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institutodelcorazonsa-my.sharepoint.com/personal/analista_gerencia_institutodelcorazon_com/Documents/Documentos/CALI/data/raw/"/>
    </mc:Choice>
  </mc:AlternateContent>
  <xr:revisionPtr revIDLastSave="312" documentId="8_{54E0E429-97B0-4A0B-B6CE-3799FEE190E8}" xr6:coauthVersionLast="47" xr6:coauthVersionMax="47" xr10:uidLastSave="{7EA26E26-4338-440D-B5D9-1B8D0C9EE494}"/>
  <bookViews>
    <workbookView xWindow="-108" yWindow="-108" windowWidth="20376" windowHeight="12096" tabRatio="942" firstSheet="1" activeTab="10" xr2:uid="{9576D0A5-0734-4438-B67B-41F18A475A3D}"/>
  </bookViews>
  <sheets>
    <sheet name="EPS EEFF" sheetId="7" r:id="rId1"/>
    <sheet name="IPS EEFF" sheetId="8" r:id="rId2"/>
    <sheet name="Inflacion" sheetId="9" r:id="rId3"/>
    <sheet name="Serv_IPS" sheetId="6" r:id="rId4"/>
    <sheet name="CI_IPS" sheetId="5" r:id="rId5"/>
    <sheet name="Tarifas" sheetId="14" r:id="rId6"/>
    <sheet name="EPS_Afiliados" sheetId="3" r:id="rId7"/>
    <sheet name="SANTANDER" sheetId="15" r:id="rId8"/>
    <sheet name="TarifasCompetencia" sheetId="16" r:id="rId9"/>
    <sheet name="Prevalencia" sheetId="12" r:id="rId10"/>
    <sheet name="Comparacion" sheetId="13" r:id="rId11"/>
    <sheet name="EPS_Edad" sheetId="10" r:id="rId12"/>
  </sheets>
  <definedNames>
    <definedName name="_xlnm._FilterDatabase" localSheetId="4" hidden="1">CI_IPS!$A$1:$E$133</definedName>
    <definedName name="_xlnm._FilterDatabase" localSheetId="0" hidden="1">'EPS EEFF'!$A$1:$I$614</definedName>
    <definedName name="_xlnm._FilterDatabase" localSheetId="1" hidden="1">'IPS EEFF'!$A$1:$I$517</definedName>
    <definedName name="_xlnm._FilterDatabase" localSheetId="3" hidden="1">Serv_IPS!$B$1:$E$649</definedName>
    <definedName name="_xlnm._FilterDatabase" localSheetId="5" hidden="1">Tarifas!$A$1:$F$55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5" i="16" l="1"/>
  <c r="B42" i="16"/>
  <c r="B41" i="16"/>
  <c r="B40" i="16"/>
  <c r="B39" i="16"/>
  <c r="B38" i="16"/>
  <c r="B37" i="16"/>
  <c r="B36" i="16"/>
  <c r="B35" i="16"/>
  <c r="B34" i="16"/>
  <c r="B33" i="16"/>
  <c r="B32" i="16"/>
  <c r="B31" i="16"/>
  <c r="B30" i="16"/>
  <c r="B29" i="16"/>
  <c r="B28" i="16"/>
  <c r="B25" i="16"/>
  <c r="B24" i="16"/>
  <c r="B23" i="16"/>
  <c r="B22" i="16"/>
  <c r="B21" i="16"/>
  <c r="B20" i="16"/>
  <c r="B19" i="16"/>
  <c r="B18" i="16"/>
  <c r="B17" i="16"/>
  <c r="B16" i="16"/>
  <c r="B15" i="16"/>
  <c r="B14" i="16"/>
  <c r="B13" i="16"/>
  <c r="B12" i="16"/>
  <c r="B11" i="16"/>
  <c r="B10" i="16"/>
  <c r="B9" i="16"/>
  <c r="B8" i="16"/>
  <c r="B7" i="16"/>
  <c r="B6" i="16"/>
  <c r="B4" i="16"/>
  <c r="B3" i="16"/>
  <c r="B2" i="16"/>
  <c r="D17" i="13"/>
  <c r="C17" i="13"/>
  <c r="C16" i="13"/>
  <c r="B16" i="13"/>
  <c r="B17" i="13" s="1"/>
  <c r="E13" i="13"/>
  <c r="E17" i="13" s="1"/>
  <c r="D18" i="12"/>
  <c r="C18" i="12"/>
  <c r="B17" i="12"/>
  <c r="B18" i="12" s="1"/>
  <c r="D14" i="12"/>
  <c r="K2" i="3" l="1"/>
  <c r="K3" i="3"/>
  <c r="K4" i="3"/>
  <c r="K5" i="3"/>
  <c r="K6" i="3"/>
  <c r="K7" i="3"/>
  <c r="K8" i="3"/>
  <c r="K9" i="3"/>
  <c r="K10" i="3"/>
  <c r="K11" i="3"/>
  <c r="K12" i="3"/>
  <c r="K13" i="3"/>
  <c r="K14" i="3"/>
  <c r="K15" i="3"/>
  <c r="K16" i="3"/>
  <c r="K17" i="3"/>
  <c r="K18" i="3"/>
  <c r="K19" i="3"/>
  <c r="K20" i="3"/>
  <c r="K21" i="3"/>
  <c r="K22" i="3"/>
  <c r="K23" i="3"/>
  <c r="K24" i="3"/>
  <c r="K25" i="3"/>
  <c r="K26" i="3"/>
  <c r="K27" i="3"/>
  <c r="K28" i="3"/>
  <c r="K29" i="3"/>
  <c r="K30" i="3"/>
  <c r="K31" i="3"/>
  <c r="K32" i="3"/>
  <c r="K33" i="3"/>
  <c r="K34" i="3"/>
  <c r="K35" i="3"/>
  <c r="K36" i="3"/>
  <c r="K37" i="3"/>
  <c r="K38" i="3"/>
  <c r="K39" i="3"/>
  <c r="K40" i="3"/>
  <c r="K41" i="3"/>
  <c r="K42" i="3"/>
  <c r="K43" i="3"/>
  <c r="K44" i="3"/>
  <c r="K45" i="3"/>
  <c r="K46" i="3"/>
  <c r="K47" i="3"/>
  <c r="K48" i="3"/>
  <c r="K49" i="3"/>
  <c r="K50" i="3"/>
  <c r="K51" i="3"/>
  <c r="K52" i="3"/>
  <c r="K53" i="3"/>
  <c r="K54" i="3"/>
  <c r="K55" i="3"/>
  <c r="K56" i="3"/>
  <c r="K57" i="3"/>
  <c r="K58" i="3"/>
  <c r="K59" i="3"/>
  <c r="K60" i="3"/>
  <c r="K61" i="3"/>
  <c r="K62" i="3"/>
  <c r="K63" i="3"/>
  <c r="K64" i="3"/>
  <c r="K65" i="3"/>
  <c r="K66" i="3"/>
  <c r="K67" i="3"/>
  <c r="K68" i="3"/>
  <c r="K69" i="3"/>
  <c r="K70" i="3"/>
  <c r="K71" i="3"/>
  <c r="K72" i="3"/>
  <c r="K73" i="3"/>
  <c r="K74" i="3"/>
  <c r="K75" i="3"/>
  <c r="K76" i="3"/>
  <c r="K77" i="3"/>
  <c r="K78" i="3"/>
  <c r="K79" i="3"/>
  <c r="K80" i="3"/>
  <c r="K81" i="3"/>
  <c r="K82" i="3"/>
  <c r="K83" i="3"/>
  <c r="K84" i="3"/>
  <c r="K85" i="3"/>
  <c r="K86" i="3"/>
  <c r="K87" i="3"/>
  <c r="K88" i="3"/>
  <c r="K89" i="3"/>
  <c r="K90" i="3"/>
  <c r="K91" i="3"/>
  <c r="K92" i="3"/>
  <c r="K93" i="3"/>
  <c r="K94" i="3"/>
  <c r="K95" i="3"/>
  <c r="K96" i="3"/>
  <c r="K97" i="3"/>
  <c r="K98" i="3"/>
  <c r="K99" i="3"/>
  <c r="K100" i="3"/>
  <c r="K101" i="3"/>
  <c r="K102" i="3"/>
  <c r="K103" i="3"/>
  <c r="K104" i="3"/>
  <c r="K105" i="3"/>
  <c r="K106" i="3"/>
  <c r="K107" i="3"/>
  <c r="K108" i="3"/>
  <c r="K109" i="3"/>
  <c r="K110" i="3"/>
  <c r="K111" i="3"/>
  <c r="K112" i="3"/>
  <c r="K113" i="3"/>
  <c r="K114" i="3"/>
  <c r="K115" i="3"/>
  <c r="K116" i="3"/>
  <c r="K117" i="3"/>
  <c r="K118" i="3"/>
  <c r="K119" i="3"/>
  <c r="K120" i="3"/>
  <c r="K121" i="3"/>
  <c r="K122" i="3"/>
  <c r="K123" i="3"/>
  <c r="K124" i="3"/>
  <c r="K125" i="3"/>
  <c r="K126" i="3"/>
  <c r="K127" i="3"/>
  <c r="K128" i="3"/>
  <c r="K129" i="3"/>
  <c r="K130" i="3"/>
  <c r="K131" i="3"/>
  <c r="K132" i="3"/>
  <c r="K133" i="3"/>
  <c r="K134" i="3"/>
  <c r="K135" i="3"/>
  <c r="K136" i="3"/>
  <c r="K137" i="3"/>
  <c r="K138" i="3"/>
  <c r="K139" i="3"/>
  <c r="K140" i="3"/>
  <c r="K141" i="3"/>
  <c r="K142" i="3"/>
  <c r="K143" i="3"/>
  <c r="K144" i="3"/>
  <c r="K145" i="3"/>
  <c r="K146" i="3"/>
  <c r="K147" i="3"/>
  <c r="K148" i="3"/>
  <c r="K149" i="3"/>
  <c r="K150" i="3"/>
  <c r="K151" i="3"/>
  <c r="K152" i="3"/>
  <c r="K153" i="3"/>
  <c r="K154" i="3"/>
  <c r="K155" i="3"/>
  <c r="K156" i="3"/>
  <c r="K157" i="3"/>
  <c r="K158" i="3"/>
  <c r="K159" i="3"/>
  <c r="K160" i="3"/>
  <c r="K161" i="3"/>
  <c r="K162" i="3"/>
  <c r="K163" i="3"/>
  <c r="K164" i="3"/>
  <c r="K165" i="3"/>
  <c r="K166" i="3"/>
  <c r="K167" i="3"/>
  <c r="K168" i="3"/>
  <c r="K169" i="3"/>
  <c r="K170" i="3"/>
  <c r="K171" i="3"/>
  <c r="K172" i="3"/>
  <c r="K173" i="3"/>
  <c r="K174" i="3"/>
  <c r="K175" i="3"/>
  <c r="K176" i="3"/>
  <c r="K177" i="3"/>
  <c r="K178" i="3"/>
  <c r="K179" i="3"/>
  <c r="K180" i="3"/>
  <c r="K181" i="3"/>
  <c r="K182" i="3"/>
  <c r="K183" i="3"/>
  <c r="K184" i="3"/>
  <c r="K185" i="3"/>
  <c r="K186" i="3"/>
  <c r="K187" i="3"/>
  <c r="K188" i="3"/>
  <c r="K189" i="3"/>
  <c r="K190" i="3"/>
  <c r="K191" i="3"/>
  <c r="K192" i="3"/>
  <c r="K193" i="3"/>
  <c r="K194" i="3"/>
  <c r="K195" i="3"/>
  <c r="K196" i="3"/>
  <c r="K197" i="3"/>
  <c r="K198" i="3"/>
  <c r="K199" i="3"/>
  <c r="K200" i="3"/>
  <c r="K201" i="3"/>
  <c r="K202" i="3"/>
  <c r="K203" i="3"/>
  <c r="K204" i="3"/>
  <c r="K205" i="3"/>
  <c r="K206" i="3"/>
  <c r="K207" i="3"/>
  <c r="K208" i="3"/>
  <c r="K209" i="3"/>
  <c r="K210" i="3"/>
  <c r="K211" i="3"/>
  <c r="K212" i="3"/>
  <c r="K213" i="3"/>
  <c r="K214" i="3"/>
  <c r="K215" i="3"/>
  <c r="K216" i="3"/>
  <c r="K217" i="3"/>
  <c r="K218" i="3"/>
  <c r="K219" i="3"/>
  <c r="K220" i="3"/>
  <c r="K221" i="3"/>
  <c r="K222" i="3"/>
  <c r="K223" i="3"/>
  <c r="K224" i="3"/>
  <c r="K225" i="3"/>
  <c r="K226" i="3"/>
  <c r="K227" i="3"/>
  <c r="K228" i="3"/>
  <c r="K229" i="3"/>
  <c r="K230" i="3"/>
  <c r="K231" i="3"/>
  <c r="K232" i="3"/>
  <c r="K233" i="3"/>
  <c r="K234" i="3"/>
  <c r="K235" i="3"/>
  <c r="K236" i="3"/>
  <c r="K237" i="3"/>
  <c r="K238" i="3"/>
  <c r="K239" i="3"/>
  <c r="K240" i="3"/>
  <c r="K241" i="3"/>
  <c r="K242" i="3"/>
  <c r="K243" i="3"/>
  <c r="K244" i="3"/>
  <c r="K245" i="3"/>
  <c r="K246" i="3"/>
  <c r="K247" i="3"/>
  <c r="K248" i="3"/>
  <c r="K249" i="3"/>
  <c r="K250" i="3"/>
  <c r="K251" i="3"/>
  <c r="K252" i="3"/>
  <c r="K253" i="3"/>
  <c r="K254" i="3"/>
  <c r="K255" i="3"/>
  <c r="K256" i="3"/>
  <c r="K257" i="3"/>
  <c r="K258" i="3"/>
  <c r="K259" i="3"/>
  <c r="K260" i="3"/>
  <c r="K261" i="3"/>
  <c r="K262" i="3"/>
  <c r="K263" i="3"/>
  <c r="K264" i="3"/>
  <c r="K265" i="3"/>
  <c r="K266" i="3"/>
  <c r="K267" i="3"/>
  <c r="K268" i="3"/>
  <c r="K269" i="3"/>
  <c r="K270" i="3"/>
  <c r="K271" i="3"/>
  <c r="K272" i="3"/>
  <c r="K273" i="3"/>
  <c r="K274" i="3"/>
  <c r="K275" i="3"/>
  <c r="K276" i="3"/>
  <c r="K277" i="3"/>
  <c r="K278" i="3"/>
  <c r="K279" i="3"/>
  <c r="K280" i="3"/>
  <c r="K281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Vanessa Blanco - Analista Planeación Financiera - Bucaramanga</author>
    <author>Paula Leon - Coordinador de Planeación Financiera</author>
  </authors>
  <commentList>
    <comment ref="D2" authorId="0" shapeId="0" xr:uid="{65741FE4-7EFE-4922-BCD9-B6F6285B260A}">
      <text>
        <r>
          <rPr>
            <sz val="11"/>
            <color theme="1"/>
            <rFont val="Calibri"/>
            <family val="2"/>
            <scheme val="minor"/>
          </rPr>
          <t>EXAMENES DE LAB, ECO DE ABDOMEN, ECO TRANSTORACICO, PRUEBA DE ESFUERZO, RADIO DE TORAX, ELECTRO, CONSULTA CON OFTAMOLOGO Y CARDIOLOGO</t>
        </r>
      </text>
    </comment>
    <comment ref="F2" authorId="1" shapeId="0" xr:uid="{0CAAF6DA-1B82-4959-AD95-FAE1EF5611DA}">
      <text>
        <r>
          <rPr>
            <sz val="11"/>
            <color theme="1"/>
            <rFont val="Calibri"/>
            <family val="2"/>
            <scheme val="minor"/>
          </rPr>
          <t xml:space="preserve">LABORATORIOS, Radiografia, mamografia, ecografia de abdomen tiroides mama y pelvica, prueba de esfuerzo, consulta
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96D4179-7461-4952-BF41-48CA01ADF053}" keepAlive="1" name="Consulta - Archivo de ejemplo" description="Conexión a la consulta 'Archivo de ejemplo' en el libro." type="5" refreshedVersion="0" background="1">
    <dbPr connection="Provider=Microsoft.Mashup.OleDb.1;Data Source=$Workbook$;Location=&quot;Archivo de ejemplo&quot;;Extended Properties=&quot;&quot;" command="SELECT * FROM [Archivo de ejemplo]"/>
  </connection>
  <connection id="2" xr16:uid="{C730913D-C121-47C6-A32D-2DFC652A06FB}" keepAlive="1" name="Consulta - EPS PRUEBA" description="Conexión a la consulta 'EPS PRUEBA' en el libro." type="5" refreshedVersion="8" background="1" saveData="1">
    <dbPr connection="Provider=Microsoft.Mashup.OleDb.1;Data Source=$Workbook$;Location=&quot;EPS PRUEBA&quot;;Extended Properties=&quot;&quot;" command="SELECT * FROM [EPS PRUEBA]"/>
  </connection>
  <connection id="3" xr16:uid="{7A9B9337-CAE7-4FD0-B1B9-3FCB11DDEAAC}" keepAlive="1" name="Consulta - Transformar archivo" description="Conexión a la consulta 'Transformar archivo' en el libro." type="5" refreshedVersion="0" background="1">
    <dbPr connection="Provider=Microsoft.Mashup.OleDb.1;Data Source=$Workbook$;Location=&quot;Transformar archivo&quot;;Extended Properties=&quot;&quot;" command="SELECT * FROM [Transformar archivo]"/>
  </connection>
</connections>
</file>

<file path=xl/sharedStrings.xml><?xml version="1.0" encoding="utf-8"?>
<sst xmlns="http://schemas.openxmlformats.org/spreadsheetml/2006/main" count="9689" uniqueCount="520">
  <si>
    <t>DEPARTAMENTO</t>
  </si>
  <si>
    <t>EPS</t>
  </si>
  <si>
    <t>RÉGIMEN</t>
  </si>
  <si>
    <t>QUINQUENIOS DANE</t>
  </si>
  <si>
    <t>FEMENINO</t>
  </si>
  <si>
    <t>MASCULINO</t>
  </si>
  <si>
    <t>TOTAL AFILIADOS</t>
  </si>
  <si>
    <t>EPS SANITAS</t>
  </si>
  <si>
    <t>CONTRIBUTIVO</t>
  </si>
  <si>
    <t>De 0 a 4 años</t>
  </si>
  <si>
    <t>De 05 a 09 años</t>
  </si>
  <si>
    <t>De 10 a 14 años</t>
  </si>
  <si>
    <t>De 15 a 19 años</t>
  </si>
  <si>
    <t>De 20 a 24 años</t>
  </si>
  <si>
    <t>De 25 a 29 años</t>
  </si>
  <si>
    <t>De 30 a 34 años</t>
  </si>
  <si>
    <t>De 35 a 39 años</t>
  </si>
  <si>
    <t>De 40 a 44 años</t>
  </si>
  <si>
    <t>De 45 a 49 años</t>
  </si>
  <si>
    <t>De 50 a 54 años</t>
  </si>
  <si>
    <t>De 55 a 59 años</t>
  </si>
  <si>
    <t>De 60 a 64 años</t>
  </si>
  <si>
    <t>De 65 a 69 años</t>
  </si>
  <si>
    <t>De 70 a 74 años</t>
  </si>
  <si>
    <t>De 75 a 79 años</t>
  </si>
  <si>
    <t>De 80 años o más</t>
  </si>
  <si>
    <t>SUBSIDIADO</t>
  </si>
  <si>
    <t>MALLAMAS EPSI</t>
  </si>
  <si>
    <t>NUEVA EPS</t>
  </si>
  <si>
    <t>REGIMEN DE EXCEPCION</t>
  </si>
  <si>
    <t>EXCEPCION</t>
  </si>
  <si>
    <t>INPEC INTRAMURAL</t>
  </si>
  <si>
    <t>CAJACOPI EPS</t>
  </si>
  <si>
    <t>COOSALUD EPS</t>
  </si>
  <si>
    <t>EPS FAMILIAR DE COLOMBIA</t>
  </si>
  <si>
    <t>EPS SOS</t>
  </si>
  <si>
    <t>EPS SURA</t>
  </si>
  <si>
    <t>FERRONALES - EAS</t>
  </si>
  <si>
    <t>SALUD TOTAL EPS</t>
  </si>
  <si>
    <t>FAMISANAR</t>
  </si>
  <si>
    <t>ASMETSALUD EPS</t>
  </si>
  <si>
    <t>BOLÍVAR</t>
  </si>
  <si>
    <t>EMSSANAR EPS</t>
  </si>
  <si>
    <t>COMFENALCO VALLE EPS</t>
  </si>
  <si>
    <t>VALLE DEL CAUCA</t>
  </si>
  <si>
    <t>Departamento</t>
  </si>
  <si>
    <t>Municipio</t>
  </si>
  <si>
    <t>Afiliados CONTRIBUTIVO</t>
  </si>
  <si>
    <t>Afiliados ESPECIALES/EXCEPCIÓN</t>
  </si>
  <si>
    <t>Afiliados SUBSIDIADO</t>
  </si>
  <si>
    <t>% Contributivo</t>
  </si>
  <si>
    <t>% Subsidiado</t>
  </si>
  <si>
    <t>% Especiales/Excep</t>
  </si>
  <si>
    <t>LA VICTORIA</t>
  </si>
  <si>
    <t>ARGELIA</t>
  </si>
  <si>
    <t>LA UNIÓN</t>
  </si>
  <si>
    <t>CANDELARIA</t>
  </si>
  <si>
    <t>RESTREPO</t>
  </si>
  <si>
    <t>SAN PEDRO</t>
  </si>
  <si>
    <t>ALCALÁ</t>
  </si>
  <si>
    <t>ANDALUCÍA</t>
  </si>
  <si>
    <t>ANSERMANUEVO</t>
  </si>
  <si>
    <t>BUENAVENTURA</t>
  </si>
  <si>
    <t>BUGALAGRANDE</t>
  </si>
  <si>
    <t>CAICEDONIA</t>
  </si>
  <si>
    <t>CALIMA</t>
  </si>
  <si>
    <t>CARTAGO</t>
  </si>
  <si>
    <t>DAGUA</t>
  </si>
  <si>
    <t>EL ÁGUILA</t>
  </si>
  <si>
    <t>EL CAIRO</t>
  </si>
  <si>
    <t>EL CERRITO</t>
  </si>
  <si>
    <t>EL DOVIO</t>
  </si>
  <si>
    <t>FLORIDA</t>
  </si>
  <si>
    <t>GINEBRA</t>
  </si>
  <si>
    <t>GUACARÍ</t>
  </si>
  <si>
    <t>GUADALAJARA DE BUGA</t>
  </si>
  <si>
    <t>JAMUNDÍ</t>
  </si>
  <si>
    <t>LA CUMBRE</t>
  </si>
  <si>
    <t>OBANDO</t>
  </si>
  <si>
    <t>PALMIRA</t>
  </si>
  <si>
    <t>PRADERA</t>
  </si>
  <si>
    <t>RIOFRÍO</t>
  </si>
  <si>
    <t>ROLDANILLO</t>
  </si>
  <si>
    <t>SANTIAGO DE CALI</t>
  </si>
  <si>
    <t>SEVILLA</t>
  </si>
  <si>
    <t>TORO</t>
  </si>
  <si>
    <t>TRUJILLO</t>
  </si>
  <si>
    <t>TULUÁ</t>
  </si>
  <si>
    <t>ULLOA</t>
  </si>
  <si>
    <t>VERSALLES</t>
  </si>
  <si>
    <t>VIJES</t>
  </si>
  <si>
    <t>YOTOCO</t>
  </si>
  <si>
    <t>YUMBO</t>
  </si>
  <si>
    <t>ZARZAL</t>
  </si>
  <si>
    <t>Intervenida?</t>
  </si>
  <si>
    <t>INTERVENIDA</t>
  </si>
  <si>
    <t>NO INTERVENIDA</t>
  </si>
  <si>
    <t>CUENTA</t>
  </si>
  <si>
    <t>2024</t>
  </si>
  <si>
    <t>2023</t>
  </si>
  <si>
    <t>2022</t>
  </si>
  <si>
    <t>2021</t>
  </si>
  <si>
    <t>2020</t>
  </si>
  <si>
    <t>2019</t>
  </si>
  <si>
    <t>CAPITAL SALUD.xlsx</t>
  </si>
  <si>
    <t xml:space="preserve">    Total Ingreso Operativo</t>
  </si>
  <si>
    <t xml:space="preserve">        Otros costos por naturaleza</t>
  </si>
  <si>
    <t xml:space="preserve">        Gastos de venta y distribución</t>
  </si>
  <si>
    <t xml:space="preserve">        Gastos administrativos</t>
  </si>
  <si>
    <t xml:space="preserve">        Gastos de depreciación, amortización y deterioro</t>
  </si>
  <si>
    <t xml:space="preserve">        Otros resultados operativos netos</t>
  </si>
  <si>
    <t xml:space="preserve">            Otros ingresos operativos</t>
  </si>
  <si>
    <t xml:space="preserve">            Otros gastos operativos</t>
  </si>
  <si>
    <t xml:space="preserve">    Ganancia operativa (EBIT)</t>
  </si>
  <si>
    <t xml:space="preserve">    EBITDA</t>
  </si>
  <si>
    <t xml:space="preserve">    Resultado financiero</t>
  </si>
  <si>
    <t xml:space="preserve">        Ingresos financieros </t>
  </si>
  <si>
    <t xml:space="preserve">            Otros ingresos financieros </t>
  </si>
  <si>
    <t xml:space="preserve">        Gastos financieros</t>
  </si>
  <si>
    <t xml:space="preserve">            Otros gastos financieros</t>
  </si>
  <si>
    <t xml:space="preserve">    Otros resultados no operativos netos</t>
  </si>
  <si>
    <t xml:space="preserve">        Otros ingresos</t>
  </si>
  <si>
    <t xml:space="preserve">        Otros gastos</t>
  </si>
  <si>
    <t xml:space="preserve">    Ganancias antes de impuestos</t>
  </si>
  <si>
    <t xml:space="preserve">    Impuesto a la renta</t>
  </si>
  <si>
    <t xml:space="preserve">    Ganancias después de impuestos</t>
  </si>
  <si>
    <t xml:space="preserve">    Ganancia (Pérdida) Neta</t>
  </si>
  <si>
    <t xml:space="preserve">    Activos Totales</t>
  </si>
  <si>
    <t xml:space="preserve">        Activos no corrientes</t>
  </si>
  <si>
    <t xml:space="preserve">            Propiedad, planta y equipo</t>
  </si>
  <si>
    <t xml:space="preserve">            Comerciales y otras cuentas a cobrar no corrientes</t>
  </si>
  <si>
    <t xml:space="preserve">            Otros activos no corrientes</t>
  </si>
  <si>
    <t xml:space="preserve">        Activos Corrientes</t>
  </si>
  <si>
    <t xml:space="preserve">            Comerciales y otras cuentas a cobrar</t>
  </si>
  <si>
    <t xml:space="preserve">                Otros créditos corrientes</t>
  </si>
  <si>
    <t xml:space="preserve">            Activos financieros de corto plazo</t>
  </si>
  <si>
    <t xml:space="preserve">            Efectivo o Equivalentes</t>
  </si>
  <si>
    <t xml:space="preserve">            Otros Activos Corrientes</t>
  </si>
  <si>
    <t xml:space="preserve">    Total de patrimonio y pasivos</t>
  </si>
  <si>
    <t xml:space="preserve">        Total de patrimonio</t>
  </si>
  <si>
    <t xml:space="preserve">            Patrimonio neto atribuible a los propietarios de la controladora</t>
  </si>
  <si>
    <t xml:space="preserve">                Capital Suscrito</t>
  </si>
  <si>
    <t xml:space="preserve">                Otras reservas</t>
  </si>
  <si>
    <t xml:space="preserve">                Resultados acumulados</t>
  </si>
  <si>
    <t xml:space="preserve">                Ganancia o Pérdida del Periodo</t>
  </si>
  <si>
    <t xml:space="preserve">        Pasivos Totales</t>
  </si>
  <si>
    <t xml:space="preserve">            Pasivos no corrientes</t>
  </si>
  <si>
    <t xml:space="preserve">                Provisiones para otros pasivos y gastos</t>
  </si>
  <si>
    <t xml:space="preserve">                Otros pasivos no corrientes</t>
  </si>
  <si>
    <t xml:space="preserve">            Pasivos Corrientes</t>
  </si>
  <si>
    <t xml:space="preserve">                Comerciales y otras cuentas a pagar</t>
  </si>
  <si>
    <t xml:space="preserve">                    Cuentas Comerciales por pagar</t>
  </si>
  <si>
    <t xml:space="preserve">                    Otras cuentas por pagar corrientes</t>
  </si>
  <si>
    <t xml:space="preserve">                Otros pasivos corrientes</t>
  </si>
  <si>
    <t>COOSALUD EPS.xlsx</t>
  </si>
  <si>
    <t xml:space="preserve">    Ingresos netos por ventas</t>
  </si>
  <si>
    <t xml:space="preserve">        Gastos por beneficios de los empleado</t>
  </si>
  <si>
    <t xml:space="preserve">        Costos de transporte</t>
  </si>
  <si>
    <t xml:space="preserve">        Impuesto y contribuciones</t>
  </si>
  <si>
    <t xml:space="preserve">            Gastos por intereses</t>
  </si>
  <si>
    <t xml:space="preserve">            Activos intangibles y valor llave</t>
  </si>
  <si>
    <t xml:space="preserve">            Activos diferidos</t>
  </si>
  <si>
    <t xml:space="preserve">                Cuentas comerciales por cobrar</t>
  </si>
  <si>
    <t xml:space="preserve">                Cuentas por cobrar a partes relacionadas</t>
  </si>
  <si>
    <t xml:space="preserve">                Créditos dudosos</t>
  </si>
  <si>
    <t xml:space="preserve">                Créditos de impuestos</t>
  </si>
  <si>
    <t xml:space="preserve">            Pagos anticipados, ingresos devengados y otros activos circulantes diferidos</t>
  </si>
  <si>
    <t xml:space="preserve">                Prima de emisión</t>
  </si>
  <si>
    <t xml:space="preserve">                Otros componentes del patrimonio </t>
  </si>
  <si>
    <t xml:space="preserve">                Créditos y préstamos corrientes</t>
  </si>
  <si>
    <t xml:space="preserve">                    Cuentas por pagar a partes relacionadas</t>
  </si>
  <si>
    <t xml:space="preserve">                Pasivos corrientes por impuesto a la renta</t>
  </si>
  <si>
    <t>EMSSANAR EPS.xlsx</t>
  </si>
  <si>
    <t xml:space="preserve">            Pérdida por fluctuación cambiaria</t>
  </si>
  <si>
    <t xml:space="preserve">                Cambios debido a la consolidación</t>
  </si>
  <si>
    <t xml:space="preserve">                Otras cuentas por pagar no corrientes</t>
  </si>
  <si>
    <t>EPS SOS.xlsx</t>
  </si>
  <si>
    <t>EPS SURA.xlsx</t>
  </si>
  <si>
    <t xml:space="preserve">            Activos financieros a largo plazo</t>
  </si>
  <si>
    <t xml:space="preserve">                Propiedades de inversión</t>
  </si>
  <si>
    <t>FAMISANAR.xlsx</t>
  </si>
  <si>
    <t>MALLAMAS EPSI.xlsx</t>
  </si>
  <si>
    <t>Otros costos por naturaleza</t>
  </si>
  <si>
    <t xml:space="preserve">            Inventarios</t>
  </si>
  <si>
    <t xml:space="preserve">                Instrumentos financieros derivados</t>
  </si>
  <si>
    <t>MUTUAL SER.xlsx</t>
  </si>
  <si>
    <t>NUEVA EPS.xlsx</t>
  </si>
  <si>
    <t xml:space="preserve">                Otros inventarios</t>
  </si>
  <si>
    <t>SALUD TOTAL EPS.xlsx</t>
  </si>
  <si>
    <t>SANITAS.xlsx</t>
  </si>
  <si>
    <t>Inflación anual</t>
  </si>
  <si>
    <t>TIPO</t>
  </si>
  <si>
    <t>Procedimientos</t>
  </si>
  <si>
    <t>SALAS</t>
  </si>
  <si>
    <t>FUNDACION VALLE DEL LILI</t>
  </si>
  <si>
    <t>Consulta Externa</t>
  </si>
  <si>
    <t>CONSULTORIOS</t>
  </si>
  <si>
    <t>Sala de Cirugía</t>
  </si>
  <si>
    <t>Intensiva Adultos</t>
  </si>
  <si>
    <t>CAMAS</t>
  </si>
  <si>
    <t>Intermedia Adultos</t>
  </si>
  <si>
    <t>Adultos</t>
  </si>
  <si>
    <t>Sillas de Quimioterapia</t>
  </si>
  <si>
    <t>SILLAS</t>
  </si>
  <si>
    <t>Unidad Móvil</t>
  </si>
  <si>
    <t>UNIDAD MOVIL</t>
  </si>
  <si>
    <t>Ambiente de transición urgencias</t>
  </si>
  <si>
    <t>Sillas de Hemodiálisis</t>
  </si>
  <si>
    <t>Sala de Radioterapia</t>
  </si>
  <si>
    <t>Partos</t>
  </si>
  <si>
    <t>Urgencias</t>
  </si>
  <si>
    <t>Observación Adultos Mujeres</t>
  </si>
  <si>
    <t>CAMILLAS</t>
  </si>
  <si>
    <t>Observación Adultos Hombres</t>
  </si>
  <si>
    <t>Observación Pediátrica</t>
  </si>
  <si>
    <t>Atención del Parto</t>
  </si>
  <si>
    <t>Intensiva Quemado Adulto</t>
  </si>
  <si>
    <t>Incubadora Básico Neonatal</t>
  </si>
  <si>
    <t>Intensiva Pediátrica</t>
  </si>
  <si>
    <t>Incubadora Intensiva Neonatal</t>
  </si>
  <si>
    <t>Intermedia Pediátrica</t>
  </si>
  <si>
    <t>Incubadora Intermedia Neonatal</t>
  </si>
  <si>
    <t>Salud Mental Pediátrico</t>
  </si>
  <si>
    <t>Salud Mental Adulto</t>
  </si>
  <si>
    <t>TPR</t>
  </si>
  <si>
    <t>Pediátrica</t>
  </si>
  <si>
    <t>Medicalizada</t>
  </si>
  <si>
    <t>AMBULANCIAS</t>
  </si>
  <si>
    <t>Básica</t>
  </si>
  <si>
    <t>CLINICA DE OCCIDENTE</t>
  </si>
  <si>
    <t>Cuna Básico Neonatal</t>
  </si>
  <si>
    <t>Cuna Intensiva Pediátrica</t>
  </si>
  <si>
    <t>Cuna Intensiva Neonatal</t>
  </si>
  <si>
    <t>Cuna Intermedia Pediátrica</t>
  </si>
  <si>
    <t>Cuna Intermedia Neonatal</t>
  </si>
  <si>
    <t>Paciente crónico sin ventilador</t>
  </si>
  <si>
    <t>ANGIOGRAFIA DE OCCIDENTE S.A.</t>
  </si>
  <si>
    <t>CLÍNICA IMBANACO S.A.S.</t>
  </si>
  <si>
    <t>Intensiva Quemado pediátrica</t>
  </si>
  <si>
    <t>DIME CLINICA NEUROCARDIOVASCULAR S.A</t>
  </si>
  <si>
    <t>cantidad</t>
  </si>
  <si>
    <t>coca_nombre</t>
  </si>
  <si>
    <t>coca_codigo</t>
  </si>
  <si>
    <t>grupo_capacidad</t>
  </si>
  <si>
    <t>nombre_prestador</t>
  </si>
  <si>
    <t>SIN COMPLEJIDAD</t>
  </si>
  <si>
    <t>TOMA DE MUESTRAS DE CUELLO UTERINO Y GINECOLÓGICAS</t>
  </si>
  <si>
    <t>Apoyo Diagnóstico y Complementación Terapéutica</t>
  </si>
  <si>
    <t>MEDIANA</t>
  </si>
  <si>
    <t>IMÁGENES DIAGNOSTICAS - NO IONIZANTES</t>
  </si>
  <si>
    <t>DIAGNÓSTICO VASCULAR</t>
  </si>
  <si>
    <t>FONOAUDIOLOGÍA Y/O TERAPIA DEL LENGUAJE</t>
  </si>
  <si>
    <t>FISIOTERAPIA</t>
  </si>
  <si>
    <t>TERAPIA OCUPACIONAL</t>
  </si>
  <si>
    <t>TOMA DE MUESTRAS DE LABORATORIO CLÍNICO</t>
  </si>
  <si>
    <t>MEDICINA DEL TRABAJO Y MEDICINA LABORAL</t>
  </si>
  <si>
    <t>NEUROCIRUGÍA</t>
  </si>
  <si>
    <t>CIRUGÍA VASCULAR</t>
  </si>
  <si>
    <t>CIRUGÍA PLÁSTICA Y ESTÉTICA</t>
  </si>
  <si>
    <t>CIRUGÍA DE MANO</t>
  </si>
  <si>
    <t>OTRAS CONSULTAS DE ESPECIALIDAD</t>
  </si>
  <si>
    <t>UROLOGÍA</t>
  </si>
  <si>
    <t>REUMATOLOGÍA</t>
  </si>
  <si>
    <t>PSIQUIATRÍA</t>
  </si>
  <si>
    <t>BAJA</t>
  </si>
  <si>
    <t>PSICOLOGÍA</t>
  </si>
  <si>
    <t>PEDIATRÍA</t>
  </si>
  <si>
    <t>OTORRINOLARINGOLOGÍA</t>
  </si>
  <si>
    <t>ORTOPEDIA Y/O TRAUMATOLOGÍA</t>
  </si>
  <si>
    <t>OPTOMETRÍA</t>
  </si>
  <si>
    <t>OFTALMOLOGÍA</t>
  </si>
  <si>
    <t>NUTRICIÓN Y DIETÉTICA</t>
  </si>
  <si>
    <t>NEUROLOGÍA</t>
  </si>
  <si>
    <t>NEUMOLOGÍA</t>
  </si>
  <si>
    <t>NEFROLOGÍA</t>
  </si>
  <si>
    <t>MEDICINA INTERNA</t>
  </si>
  <si>
    <t>MEDICINA FÍSICA Y REHABILITACIÓN</t>
  </si>
  <si>
    <t>MEDICINA FÍSICA Y DEL DEPORTE</t>
  </si>
  <si>
    <t>MEDICINA FAMILIAR</t>
  </si>
  <si>
    <t>GINECOBSTETRICIA</t>
  </si>
  <si>
    <t>GERIATRÍA</t>
  </si>
  <si>
    <t>GENÉTICA</t>
  </si>
  <si>
    <t>GASTROENTEROLOGÍA</t>
  </si>
  <si>
    <t>ENFERMERÍA</t>
  </si>
  <si>
    <t>ENDOCRINOLOGÍA</t>
  </si>
  <si>
    <t>DOLOR Y CUIDADOS PALIATIVOS</t>
  </si>
  <si>
    <t>DERMATOLOGÍA</t>
  </si>
  <si>
    <t>CARDIOLOGÍA</t>
  </si>
  <si>
    <t>PATOLOGÍA</t>
  </si>
  <si>
    <t>GESTION PRE-TRANSFUSIONAL</t>
  </si>
  <si>
    <t>ALTA</t>
  </si>
  <si>
    <t>IMÁGENES DIAGNOSTICAS - IONIZANTES</t>
  </si>
  <si>
    <t>TERAPIA RESPIRATORIA</t>
  </si>
  <si>
    <t>SERVICIO FARMACÉUTICO</t>
  </si>
  <si>
    <t>LABORATORIO CLÍNICO</t>
  </si>
  <si>
    <t>HEMATOLOGÍA ONCOLÓGICA</t>
  </si>
  <si>
    <t>ORTOPEDIA ONCOLÓGICA</t>
  </si>
  <si>
    <t>GINECOLOGÍA ONCOLÓGICA</t>
  </si>
  <si>
    <t>COLOPROCTOLOGÍA</t>
  </si>
  <si>
    <t>DERMATOLOGÍA ONCOLÓGICA</t>
  </si>
  <si>
    <t>CIRUGÍA ONCOLÓGICA</t>
  </si>
  <si>
    <t>ONCOLOGÍA CLÍNICA</t>
  </si>
  <si>
    <t>INFECTOLOGÍA</t>
  </si>
  <si>
    <t>CIRUGÍA GENERAL</t>
  </si>
  <si>
    <t>ANESTESIA</t>
  </si>
  <si>
    <t>Quirúrgicos</t>
  </si>
  <si>
    <t>CIRUGÍA PLÁSTICA ONCOLÓGICA</t>
  </si>
  <si>
    <t>CIRUGÍA GASTROINTESTINAL</t>
  </si>
  <si>
    <t>CIRUGÍA DE TÓRAX</t>
  </si>
  <si>
    <t>CIRUGÍA DE LA MANO</t>
  </si>
  <si>
    <t>OTRAS CIRUGÍAS</t>
  </si>
  <si>
    <t>CIRUGÍA UROLÓGICA</t>
  </si>
  <si>
    <t>CIRUGÍA VASCULAR Y ANGIOLÓGICA</t>
  </si>
  <si>
    <t>CIRUGÍA OTORRINOLARINGOLOGÍA</t>
  </si>
  <si>
    <t>CIRUGÍA OFTALMOLÓGICA</t>
  </si>
  <si>
    <t>CIRUGÍA ORTOPÉDICA</t>
  </si>
  <si>
    <t>CIRUGÍA MAXILOFACIAL</t>
  </si>
  <si>
    <t>CIRUGÍA GINECOLÓGICA</t>
  </si>
  <si>
    <t>CIRUGÍA DE CABEZA Y CUELLO</t>
  </si>
  <si>
    <t>HOSPITALIZACIÓN ADULTOS</t>
  </si>
  <si>
    <t>Internación</t>
  </si>
  <si>
    <t>CUIDADO INTENSIVO ADULTOS</t>
  </si>
  <si>
    <t>CUIDADO INTERMEDIO ADULTOS</t>
  </si>
  <si>
    <t>QUIMIOTERAPIA</t>
  </si>
  <si>
    <t>NEUMOLOGÍA PEDIÁTRICA</t>
  </si>
  <si>
    <t>NEFROLOGÍA PEDIÁTRICA</t>
  </si>
  <si>
    <t>HEMATOLOGÍA</t>
  </si>
  <si>
    <t>TRANSPORTE ASISTENCIAL MEDICALIZADO</t>
  </si>
  <si>
    <t>Atención Inmediata</t>
  </si>
  <si>
    <t>TRANSPORTE ASISTENCIAL BASICO</t>
  </si>
  <si>
    <t>URGENCIAS</t>
  </si>
  <si>
    <t>ATENCIÓN DEL PARTO</t>
  </si>
  <si>
    <t>HEMODINAMIA E INTERVENCIONISMO</t>
  </si>
  <si>
    <t>DIÁLISIS PERITONEAL</t>
  </si>
  <si>
    <t>HEMODIÁLISIS</t>
  </si>
  <si>
    <t>LABORATORIO DE HISTOTECNOLOGÍA</t>
  </si>
  <si>
    <t>LABORATORIO CITOLOGÍAS CERVICO-UTERINAS</t>
  </si>
  <si>
    <t>MEDICINA NUCLEAR</t>
  </si>
  <si>
    <t>RADIOTERAPIA</t>
  </si>
  <si>
    <t>VACUNACIÓN</t>
  </si>
  <si>
    <t>CIRUGÍA ORAL</t>
  </si>
  <si>
    <t>ORTOPEDIA PEDIÁTRICA</t>
  </si>
  <si>
    <t>ODONTOPEDIATRÍA</t>
  </si>
  <si>
    <t>UROLOGÍA ONCOLÓGICA</t>
  </si>
  <si>
    <t>ONCOLOGÍA Y HEMATOLOGÍA PEDIÁTRICA</t>
  </si>
  <si>
    <t>NEUROPEDIATRÍA</t>
  </si>
  <si>
    <t>NEONATOLOGÍA</t>
  </si>
  <si>
    <t>CIRUGÍA ONCOLÓGICA PEDIÁTRICA</t>
  </si>
  <si>
    <t>CIRUGÍA GINECOLÓGICA LAPAROSCÓPICA</t>
  </si>
  <si>
    <t>CIRUGÍA DERMATOLÓGICA</t>
  </si>
  <si>
    <t>CIRUGÍA DE MAMA Y TUMORES TEJIDOS BLANDOS</t>
  </si>
  <si>
    <t>CARDIOLOGÍA PEDIÁTRICA</t>
  </si>
  <si>
    <t>REHABILITACIÓN ORAL</t>
  </si>
  <si>
    <t>CIRUGÍA PEDIÁTRICA</t>
  </si>
  <si>
    <t>CIRUGÍA CARDIOVASCULAR</t>
  </si>
  <si>
    <t>HOSPITALIZACIÓN EN SALUD MENTAL</t>
  </si>
  <si>
    <t>HOSPITALIZACIÓN PEDIÁTRICA</t>
  </si>
  <si>
    <t>CUIDADO BÁSICO NEONATAL</t>
  </si>
  <si>
    <t>CUIDADO INTENSIVO PEDIÁTRICO</t>
  </si>
  <si>
    <t>CUIDADO INTENSIVO NEONATAL</t>
  </si>
  <si>
    <t>CUIDADO INTERMEDIO PEDIÁTRICO</t>
  </si>
  <si>
    <t>CUIDADO INTERMEDIO NEONATAL</t>
  </si>
  <si>
    <t>HOSPITALIZACIÓN PACIENTE CRÓNICO SIN VENTILADOR</t>
  </si>
  <si>
    <t>ODONTOLOGÍA GENERAL</t>
  </si>
  <si>
    <t>MEDICINA GENERAL</t>
  </si>
  <si>
    <t>RADIOLOGÍA ODONTOLÓGICA</t>
  </si>
  <si>
    <t>ORTODONCIA</t>
  </si>
  <si>
    <t>CIRUGÍA ENDOVASCULAR NEUROLÓGICA</t>
  </si>
  <si>
    <t>OFTALMOLOGÍA ONCOLÓGICA</t>
  </si>
  <si>
    <t>TOXICOLOGÍA</t>
  </si>
  <si>
    <t>INMUNOLOGÍA</t>
  </si>
  <si>
    <t>complejidades</t>
  </si>
  <si>
    <t>serv_nombre</t>
  </si>
  <si>
    <t>serv_codigo</t>
  </si>
  <si>
    <t>grse_nombre</t>
  </si>
  <si>
    <t>Clinica de Occidente.xlsx</t>
  </si>
  <si>
    <t>HospitalUniversitarioDelValle.xlsx</t>
  </si>
  <si>
    <t>Valle de lili.xlsx</t>
  </si>
  <si>
    <t>Instituto Diagnostico Cardiovascular.xlsx</t>
  </si>
  <si>
    <t>Imbanaco.xlsx</t>
  </si>
  <si>
    <t>Dime clinica neurocardiovascular.xlsx</t>
  </si>
  <si>
    <t>Corazon y aorta.xlsx</t>
  </si>
  <si>
    <t>Cardioprevent.xlsx</t>
  </si>
  <si>
    <t>Angiografia de occidente.xlsx</t>
  </si>
  <si>
    <t>IPS</t>
  </si>
  <si>
    <t>ENTIDAD</t>
  </si>
  <si>
    <t>PACIENTES ATENDIDOS 2025</t>
  </si>
  <si>
    <t>ICB</t>
  </si>
  <si>
    <t>GRUPO FOSCAL</t>
  </si>
  <si>
    <t>COOSALUD</t>
  </si>
  <si>
    <t>ASMET SALUD</t>
  </si>
  <si>
    <t>FUNDACIÓN SALUD MIA EPS</t>
  </si>
  <si>
    <t>REGIMEN DE EXCEPCIÓN</t>
  </si>
  <si>
    <t>OTRAS</t>
  </si>
  <si>
    <t>TOTAL</t>
  </si>
  <si>
    <t>GrupoEdad</t>
  </si>
  <si>
    <t>Prevalencia</t>
  </si>
  <si>
    <t>60-79</t>
  </si>
  <si>
    <t>40-59</t>
  </si>
  <si>
    <t>20-39</t>
  </si>
  <si>
    <t xml:space="preserve">0-19 </t>
  </si>
  <si>
    <t>80+</t>
  </si>
  <si>
    <t>SANTANDER AFILIADOS</t>
  </si>
  <si>
    <t>VALLE DEL CAUCA AFILIADOS</t>
  </si>
  <si>
    <t>ICB ATENDIDOS</t>
  </si>
  <si>
    <t>GRUPO FOSCAL ATENDIDOS</t>
  </si>
  <si>
    <t>SERVICIO</t>
  </si>
  <si>
    <t>CUPS</t>
  </si>
  <si>
    <t>PROCEDIMIENTO</t>
  </si>
  <si>
    <t>TARIFAS PROMEDIO ICB</t>
  </si>
  <si>
    <t>PACIENTES</t>
  </si>
  <si>
    <t>HEMO</t>
  </si>
  <si>
    <t>ARTERIOGRAFIA CORONARIA CON CATETERISMO IZQUIERDO</t>
  </si>
  <si>
    <t>ANGIOPLASTIA CORONARIA TRANSLUMINAL PERCUTANEA UNO O DOS VASOS</t>
  </si>
  <si>
    <t>ARTERIOGRAFIA VERTEBRAL BILATERAL SELECTIVA CON CAROTIDAS (PANANGIOGRAFIA)</t>
  </si>
  <si>
    <t>ARTERIOGRAFÍA CORONARIA CON CATETERISMO DERECHO E IZQUIERDO</t>
  </si>
  <si>
    <t>AORTOGRAMA TORACICO</t>
  </si>
  <si>
    <t>ANGIOPLASTIA CORONARIA TRANSLUMINAL PERCUTANEA MAS DE DOS VASOS</t>
  </si>
  <si>
    <t>ELECTRO</t>
  </si>
  <si>
    <t>INSERCION [IMPLANTACION] DE MARCAPASOS BICAMERAL</t>
  </si>
  <si>
    <t>INSERCIÓN [IMPLANTACIÓN] DE CARDIOVERSOR (DESFIBRILADOR) BICAMERAL VÍA PERCUTÁNEA (ENDOVASCULAR)</t>
  </si>
  <si>
    <t>INSERCION [IMPLANTACION] DE MARCAPASOS UNICAMERAL</t>
  </si>
  <si>
    <t>EXPLANTE O ELIMINACION DE MARCAPASO</t>
  </si>
  <si>
    <t>IMPLANTE DE CARDIORESINCRONIZADOR</t>
  </si>
  <si>
    <t>INSERCIÓN [IMPLANTACIÓN] DE MONITOR DE EVENTOS</t>
  </si>
  <si>
    <t>ABLACION DE LESION O TEJIDO CARDIACO FOCAL PERCUTANEA (ENDOVASCULAR)</t>
  </si>
  <si>
    <t>CIRUGIA</t>
  </si>
  <si>
    <t>REINTERVENCION DE REVASCULARIZACION CARDIACA (DERIVACION O PUENTES CORONARIOS) VIA ABIERTA</t>
  </si>
  <si>
    <t>ANASTOMOSIS SIMPLE ARTERIA DESCENDENTE ANTERIOR CON ARTERIA MAMARIA VIA ABIERTA</t>
  </si>
  <si>
    <t>REEMPLAZO DE LA VALVULA AORTICA VIA ABIERTA</t>
  </si>
  <si>
    <t>INSERCION O SUSTITUCION DE ELECTRODO EPICARDICO VIA ABIERTA</t>
  </si>
  <si>
    <t>MDNI</t>
  </si>
  <si>
    <t>ECOCARDIOGRAMA TRANSTORACICO</t>
  </si>
  <si>
    <t>ELECTROCARDIOGRAMA DE RITMO O DE SUPERFICIE</t>
  </si>
  <si>
    <t>MONITOREO ELECTROCARDIOGRAFICO CONTINUO (HOLTER)</t>
  </si>
  <si>
    <t>MONITOREO AMBULATORIO DE PRESION ARTERIAL SISTEMICA</t>
  </si>
  <si>
    <t>ELECTROCARDIOGRAMA DE RITMO O DE SUPERFICIE-</t>
  </si>
  <si>
    <t>ECOCARDIOGRAMA DE STRESS CON PRUEBA DE ESFUERZO O CON PRUEBA FARMACOLOGICA</t>
  </si>
  <si>
    <t>PRUEBA DE ESFUERZO CARDIOVASCULAR</t>
  </si>
  <si>
    <t>ECOCARDIOGRAMA TRANSESOFAGICO-</t>
  </si>
  <si>
    <t>CONSULTA</t>
  </si>
  <si>
    <t>CONSULTA DE PRIMERA VEZ POR ESPECIALISTA EN CARDIOLOGIA</t>
  </si>
  <si>
    <t>REPRO</t>
  </si>
  <si>
    <t>REVISION (REPROGRAMACION) DE MARCAPASOS</t>
  </si>
  <si>
    <t>SANTANDER</t>
  </si>
  <si>
    <t>CIUDAD</t>
  </si>
  <si>
    <t>BOGOTA</t>
  </si>
  <si>
    <t>ESTADO DE RESULTADOS SANTANDER
(Cifras en Millones)</t>
  </si>
  <si>
    <t xml:space="preserve">Ingresos </t>
  </si>
  <si>
    <t>Costos</t>
  </si>
  <si>
    <t>Utilidad Bruta</t>
  </si>
  <si>
    <t>Otros Ingresos Operacionales</t>
  </si>
  <si>
    <t>Gastos de Administración</t>
  </si>
  <si>
    <t>Gastos de Ventas</t>
  </si>
  <si>
    <t>Otros Gastos</t>
  </si>
  <si>
    <t>Depreciación</t>
  </si>
  <si>
    <t>Amortizaciones</t>
  </si>
  <si>
    <t>Utilidad Operacional</t>
  </si>
  <si>
    <t>Ebitda</t>
  </si>
  <si>
    <t>Ingresos Financieros</t>
  </si>
  <si>
    <t>Gastos Financieros</t>
  </si>
  <si>
    <t>Utilidad antes de Impuestos</t>
  </si>
  <si>
    <t>Impuesto de renta</t>
  </si>
  <si>
    <t>Impuesto diferido</t>
  </si>
  <si>
    <t>Utilidad Neta</t>
  </si>
  <si>
    <t>% costo / ingreso</t>
  </si>
  <si>
    <t>Margen bruto</t>
  </si>
  <si>
    <t>Margen neto</t>
  </si>
  <si>
    <t>Margen EBITDA</t>
  </si>
  <si>
    <t>Gastos de deterioro</t>
  </si>
  <si>
    <t>Recuperación de deterioro</t>
  </si>
  <si>
    <t>Ut Neta - deterioro</t>
  </si>
  <si>
    <t>Margen neto sin ajustes de cartera</t>
  </si>
  <si>
    <t xml:space="preserve">Grupo </t>
  </si>
  <si>
    <t>Promedio</t>
  </si>
  <si>
    <t>Hospital Universitario del Valle</t>
  </si>
  <si>
    <t>Clínica Imbanaco</t>
  </si>
  <si>
    <t>Clinica de occidente</t>
  </si>
  <si>
    <t>Dime Clinica Neurocardiovascular S.A.</t>
  </si>
  <si>
    <t>Cardioprevent</t>
  </si>
  <si>
    <t>Corazon y aorta</t>
  </si>
  <si>
    <t>Angiografía de Occidente</t>
  </si>
  <si>
    <t>Fundación Valle de Lili</t>
  </si>
  <si>
    <t>CHEQUEO</t>
  </si>
  <si>
    <t>Ecocardiograma de Stress con Prueba de Esfuerzo ó Prueba Farmacológica</t>
  </si>
  <si>
    <t>Ecocardiograma Modo M Bidimensional Doppler Color</t>
  </si>
  <si>
    <t>Ecocardiograma Transesofágico</t>
  </si>
  <si>
    <t>No manejan</t>
  </si>
  <si>
    <t>ELECTROCARDIOGRAFIA DINAMICA (HOLTER)</t>
  </si>
  <si>
    <t>ELECTROCARDIOGRAMA DE RITMO O DE SUPERFICIE SOD</t>
  </si>
  <si>
    <t>MONITOREO DE PRESION ARTERIAL SISTEMICA SOD</t>
  </si>
  <si>
    <t>Prueba de Esfuerzo (Prueba Ergometrica - Test de Ejercicio)</t>
  </si>
  <si>
    <t>Consulta Especializada</t>
  </si>
  <si>
    <t>Reprogramaciones</t>
  </si>
  <si>
    <t>ARTERIOGRAFIA CORONARIA CON CATETERISMO</t>
  </si>
  <si>
    <t>PUENTES CORONARIOS VIA ABIERTA</t>
  </si>
  <si>
    <t>ANASTOMOSIS CORONARRIA DE ARTERIA</t>
  </si>
  <si>
    <t>REEMPLAZO VALVULAR AORTICO O MITRAL VIA ABIERTA O MINIMAMENTE INVASIVO</t>
  </si>
  <si>
    <t>TERAPIAS (Respiratoria, fisica, ocupacional, fonoaudiologica)</t>
  </si>
  <si>
    <t>TERAPIA DE REHABILITACION CARDIOVASCULAR</t>
  </si>
  <si>
    <t>INTERCONSULTA POR OTRAS ESPECIALIDADES MEDICAS</t>
  </si>
  <si>
    <t>NTERCONSULTA POR ESPECIALISTA EN CARDIOLOGIA-</t>
  </si>
  <si>
    <t>INTERCONSULTA POR PSICOLOGIA</t>
  </si>
  <si>
    <t>INTERCONSULTA POR NUTRICION Y DIETETICA</t>
  </si>
  <si>
    <t>INTERCONSULTA POR TRABAJO SOCIAL</t>
  </si>
  <si>
    <t>INTERCONSULTA POR ESPECIALISTA EN CIRUGIA VASCULAR</t>
  </si>
  <si>
    <t xml:space="preserve"> INTERCONSULTA POR ESPECIALISTA EN MEDICINA INTERNA</t>
  </si>
  <si>
    <t>ECOGRAFIA DOPPLER COMO GUIA PARA PROCEDIMIENTOS</t>
  </si>
  <si>
    <t>PLETISMOGRAFÍA DE VASOS ARTERIALES EN MIEMBROS INFERIORES</t>
  </si>
  <si>
    <t>ECOGRAFIA DOPPLER DE VASOS VENOSOS DE MIEMBROS INFERIORES</t>
  </si>
  <si>
    <t>ECOGRAFIA DE ABDOMEN TOTAL</t>
  </si>
  <si>
    <t>RADIOGRAFIA DE TORAX (P.A. O A.P. Y LATERAL DECUBITO LATERAL OBLICUAS O LATERAL)</t>
  </si>
  <si>
    <t>INTERNACION ADULTOS COMPLEJIDAD ALTA HABITACION MULTIPLE</t>
  </si>
  <si>
    <t>INSERCCION CATETER PERCUTANEO O PERIFERICO</t>
  </si>
  <si>
    <t xml:space="preserve">TROMBECTOMIA DE VASOS ARTERIALES O VENOSOS VIA PERCUTANEA </t>
  </si>
  <si>
    <t>ANGIOPLASTIA O ATERECTOMIA DE VASOS DE MIEMBROS INFERIORES -CON BALON - PROTESIS (STENT) O INJERTO-</t>
  </si>
  <si>
    <t>AORTOGRAMA ABDOMINAL Y ESTUDIO DE MIEMBROS INFERIORES</t>
  </si>
  <si>
    <t>ARTERIOGRAFIA PERIFERICA DE UNA EXTREMIDAD INFERIOR POR PUNCION</t>
  </si>
  <si>
    <t>PAQUETE QUIRURGICO ARTERIOGRAFIA PULMONAR BILATERAL CON CATETERISMO</t>
  </si>
  <si>
    <t>CATETERISMO CARDIACO DEL LADO DERECHO DEL CORAZON CON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</si>
</sst>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(* #,##0_);_(* \(#,##0\);_(* &quot;-&quot;??_);_(@_)"/>
    <numFmt numFmtId="165" formatCode="&quot;$&quot;\ #,##0"/>
    <numFmt numFmtId="166" formatCode="&quot;$&quot;\ #,##0.0"/>
    <numFmt numFmtId="167" formatCode="_-&quot;$&quot;\ * #,##0_-;\-&quot;$&quot;\ * #,##0_-;_-&quot;$&quot;\ * &quot;-&quot;??_-;_-@_-"/>
  </numFmts>
  <fonts count="1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name val="Calibri"/>
    </font>
    <font>
      <b/>
      <sz val="11"/>
      <color theme="1"/>
      <name val="Calibri"/>
      <family val="2"/>
      <scheme val="minor"/>
    </font>
    <font>
      <b/>
      <sz val="12"/>
      <color rgb="FFFFFFFF"/>
      <name val="Calibri"/>
      <family val="2"/>
    </font>
    <font>
      <b/>
      <sz val="12"/>
      <color rgb="FF305496"/>
      <name val="Calibri"/>
      <family val="2"/>
    </font>
    <font>
      <b/>
      <sz val="10"/>
      <color rgb="FF757171"/>
      <name val="Calibri"/>
      <family val="2"/>
    </font>
    <font>
      <sz val="10"/>
      <color rgb="FF000000"/>
      <name val="Calibri"/>
      <family val="2"/>
    </font>
    <font>
      <b/>
      <sz val="10"/>
      <color rgb="FF1F4E78"/>
      <name val="Calibri"/>
      <family val="2"/>
    </font>
    <font>
      <b/>
      <sz val="10"/>
      <color rgb="FF000000"/>
      <name val="Calibri"/>
      <family val="2"/>
    </font>
    <font>
      <sz val="11"/>
      <color theme="1"/>
      <name val="Calibri"/>
      <family val="2"/>
    </font>
  </fonts>
  <fills count="16">
    <fill>
      <patternFill patternType="none"/>
    </fill>
    <fill>
      <patternFill patternType="gray125"/>
    </fill>
    <fill>
      <patternFill patternType="solid">
        <fgColor rgb="FF203764"/>
        <bgColor rgb="FF000000"/>
      </patternFill>
    </fill>
    <fill>
      <patternFill patternType="solid">
        <fgColor rgb="FF30549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rgb="FF808080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D6DCE4"/>
        <bgColor rgb="FF000000"/>
      </patternFill>
    </fill>
    <fill>
      <patternFill patternType="solid">
        <fgColor rgb="FFD9D9D9"/>
        <bgColor rgb="FF000000"/>
      </patternFill>
    </fill>
    <fill>
      <patternFill patternType="solid">
        <fgColor rgb="FFE1E5EB"/>
        <bgColor rgb="FF000000"/>
      </patternFill>
    </fill>
    <fill>
      <patternFill patternType="solid">
        <fgColor rgb="FFF7F7F7"/>
        <bgColor rgb="FF000000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</fills>
  <borders count="5">
    <border>
      <left/>
      <right/>
      <top/>
      <bottom/>
      <diagonal/>
    </border>
    <border>
      <left/>
      <right style="dashed">
        <color theme="0" tint="-0.14999847407452621"/>
      </right>
      <top/>
      <bottom/>
      <diagonal/>
    </border>
    <border>
      <left/>
      <right/>
      <top/>
      <bottom style="dashed">
        <color theme="0" tint="-0.14999847407452621"/>
      </bottom>
      <diagonal/>
    </border>
    <border>
      <left/>
      <right style="dashed">
        <color theme="0" tint="-0.14999847407452621"/>
      </right>
      <top/>
      <bottom style="dashed">
        <color theme="0" tint="-0.14999847407452621"/>
      </bottom>
      <diagonal/>
    </border>
    <border>
      <left/>
      <right style="thin">
        <color indexed="64"/>
      </right>
      <top/>
      <bottom/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56">
    <xf numFmtId="0" fontId="0" fillId="0" borderId="0" xfId="0"/>
    <xf numFmtId="10" fontId="0" fillId="0" borderId="0" xfId="1" applyNumberFormat="1" applyFont="1"/>
    <xf numFmtId="9" fontId="0" fillId="0" borderId="0" xfId="1" applyFont="1"/>
    <xf numFmtId="0" fontId="2" fillId="0" borderId="0" xfId="0" applyFont="1" applyAlignment="1">
      <alignment horizontal="center"/>
    </xf>
    <xf numFmtId="4" fontId="0" fillId="0" borderId="0" xfId="0" applyNumberFormat="1"/>
    <xf numFmtId="0" fontId="3" fillId="0" borderId="3" xfId="0" applyFont="1" applyBorder="1" applyAlignment="1">
      <alignment horizontal="center" vertical="center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3" fillId="0" borderId="2" xfId="0" applyFont="1" applyBorder="1"/>
    <xf numFmtId="0" fontId="0" fillId="0" borderId="1" xfId="0" applyBorder="1"/>
    <xf numFmtId="164" fontId="0" fillId="0" borderId="0" xfId="0" applyNumberFormat="1"/>
    <xf numFmtId="164" fontId="0" fillId="0" borderId="1" xfId="0" applyNumberFormat="1" applyBorder="1"/>
    <xf numFmtId="0" fontId="0" fillId="0" borderId="3" xfId="0" applyBorder="1"/>
    <xf numFmtId="164" fontId="0" fillId="0" borderId="2" xfId="0" applyNumberFormat="1" applyBorder="1"/>
    <xf numFmtId="164" fontId="0" fillId="0" borderId="3" xfId="0" applyNumberFormat="1" applyBorder="1"/>
    <xf numFmtId="0" fontId="3" fillId="0" borderId="0" xfId="0" applyFont="1"/>
    <xf numFmtId="164" fontId="3" fillId="0" borderId="0" xfId="0" applyNumberFormat="1" applyFont="1"/>
    <xf numFmtId="9" fontId="0" fillId="0" borderId="0" xfId="0" applyNumberFormat="1"/>
    <xf numFmtId="0" fontId="4" fillId="2" borderId="0" xfId="0" applyFont="1" applyFill="1" applyAlignment="1">
      <alignment horizontal="center" vertical="center" wrapText="1"/>
    </xf>
    <xf numFmtId="17" fontId="4" fillId="3" borderId="0" xfId="0" applyNumberFormat="1" applyFont="1" applyFill="1" applyAlignment="1">
      <alignment horizontal="center" vertical="center" wrapText="1"/>
    </xf>
    <xf numFmtId="17" fontId="5" fillId="4" borderId="0" xfId="0" applyNumberFormat="1" applyFont="1" applyFill="1" applyAlignment="1">
      <alignment horizontal="center" vertical="center" wrapText="1"/>
    </xf>
    <xf numFmtId="17" fontId="4" fillId="5" borderId="0" xfId="0" applyNumberFormat="1" applyFont="1" applyFill="1" applyAlignment="1">
      <alignment horizontal="center" vertical="center" wrapText="1"/>
    </xf>
    <xf numFmtId="17" fontId="4" fillId="5" borderId="4" xfId="0" applyNumberFormat="1" applyFont="1" applyFill="1" applyBorder="1" applyAlignment="1">
      <alignment horizontal="center" vertical="center" wrapText="1"/>
    </xf>
    <xf numFmtId="17" fontId="4" fillId="6" borderId="0" xfId="0" applyNumberFormat="1" applyFont="1" applyFill="1" applyAlignment="1">
      <alignment horizontal="center" vertical="center" wrapText="1"/>
    </xf>
    <xf numFmtId="17" fontId="4" fillId="7" borderId="0" xfId="0" applyNumberFormat="1" applyFont="1" applyFill="1" applyAlignment="1">
      <alignment horizontal="center" vertical="center" wrapText="1"/>
    </xf>
    <xf numFmtId="0" fontId="6" fillId="0" borderId="0" xfId="0" applyFont="1"/>
    <xf numFmtId="165" fontId="7" fillId="0" borderId="0" xfId="2" applyNumberFormat="1" applyFont="1" applyFill="1" applyBorder="1"/>
    <xf numFmtId="165" fontId="7" fillId="0" borderId="4" xfId="2" applyNumberFormat="1" applyFont="1" applyFill="1" applyBorder="1"/>
    <xf numFmtId="165" fontId="7" fillId="8" borderId="0" xfId="2" applyNumberFormat="1" applyFont="1" applyFill="1" applyBorder="1"/>
    <xf numFmtId="165" fontId="7" fillId="8" borderId="4" xfId="2" applyNumberFormat="1" applyFont="1" applyFill="1" applyBorder="1"/>
    <xf numFmtId="0" fontId="8" fillId="0" borderId="0" xfId="0" applyFont="1"/>
    <xf numFmtId="165" fontId="9" fillId="9" borderId="0" xfId="2" applyNumberFormat="1" applyFont="1" applyFill="1" applyBorder="1"/>
    <xf numFmtId="165" fontId="9" fillId="9" borderId="4" xfId="2" applyNumberFormat="1" applyFont="1" applyFill="1" applyBorder="1"/>
    <xf numFmtId="165" fontId="9" fillId="10" borderId="0" xfId="2" applyNumberFormat="1" applyFont="1" applyFill="1" applyBorder="1"/>
    <xf numFmtId="165" fontId="9" fillId="11" borderId="0" xfId="2" applyNumberFormat="1" applyFont="1" applyFill="1" applyBorder="1"/>
    <xf numFmtId="165" fontId="9" fillId="11" borderId="4" xfId="2" applyNumberFormat="1" applyFont="1" applyFill="1" applyBorder="1"/>
    <xf numFmtId="166" fontId="9" fillId="9" borderId="0" xfId="2" applyNumberFormat="1" applyFont="1" applyFill="1" applyBorder="1"/>
    <xf numFmtId="0" fontId="10" fillId="0" borderId="0" xfId="0" applyFont="1"/>
    <xf numFmtId="9" fontId="10" fillId="0" borderId="0" xfId="1" applyFont="1" applyFill="1" applyBorder="1"/>
    <xf numFmtId="0" fontId="10" fillId="0" borderId="4" xfId="0" applyFont="1" applyBorder="1"/>
    <xf numFmtId="167" fontId="10" fillId="0" borderId="0" xfId="3" applyNumberFormat="1" applyFont="1" applyFill="1" applyBorder="1"/>
    <xf numFmtId="9" fontId="9" fillId="0" borderId="0" xfId="1" applyFont="1" applyFill="1" applyBorder="1"/>
    <xf numFmtId="9" fontId="9" fillId="0" borderId="4" xfId="1" applyFont="1" applyFill="1" applyBorder="1"/>
    <xf numFmtId="10" fontId="9" fillId="0" borderId="0" xfId="1" applyNumberFormat="1" applyFont="1" applyFill="1" applyBorder="1"/>
    <xf numFmtId="167" fontId="10" fillId="0" borderId="0" xfId="0" applyNumberFormat="1" applyFont="1"/>
    <xf numFmtId="165" fontId="10" fillId="0" borderId="0" xfId="0" applyNumberFormat="1" applyFont="1"/>
    <xf numFmtId="165" fontId="7" fillId="12" borderId="0" xfId="2" applyNumberFormat="1" applyFont="1" applyFill="1" applyBorder="1"/>
    <xf numFmtId="10" fontId="9" fillId="0" borderId="4" xfId="1" applyNumberFormat="1" applyFont="1" applyFill="1" applyBorder="1"/>
    <xf numFmtId="0" fontId="3" fillId="13" borderId="0" xfId="0" applyFont="1" applyFill="1" applyAlignment="1">
      <alignment vertical="center"/>
    </xf>
    <xf numFmtId="0" fontId="3" fillId="0" borderId="0" xfId="0" applyFont="1" applyAlignment="1">
      <alignment vertical="center"/>
    </xf>
    <xf numFmtId="44" fontId="0" fillId="0" borderId="0" xfId="3" applyFont="1"/>
    <xf numFmtId="44" fontId="0" fillId="14" borderId="0" xfId="3" applyFont="1" applyFill="1"/>
    <xf numFmtId="44" fontId="0" fillId="15" borderId="0" xfId="3" applyFont="1" applyFill="1"/>
    <xf numFmtId="0" fontId="3" fillId="0" borderId="1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</cellXfs>
  <cellStyles count="4">
    <cellStyle name="Millares" xfId="2" builtinId="3"/>
    <cellStyle name="Moneda" xfId="3" builtinId="4"/>
    <cellStyle name="Normal" xfId="0" builtinId="0"/>
    <cellStyle name="Porcentaje" xfId="1" builtinId="5"/>
  </cellStyles>
  <dxfs count="1"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onnections" Target="connection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11D71A2B-217E-4CCE-97E5-F21E4EC248E5}" name="EPS_Afiliados" displayName="EPS_Afiliados" ref="A1:K281" totalsRowShown="0">
  <autoFilter ref="A1:K281" xr:uid="{11D71A2B-217E-4CCE-97E5-F21E4EC248E5}"/>
  <tableColumns count="11">
    <tableColumn id="1" xr3:uid="{56AEE38A-5C92-470F-908C-8F069F930C82}" name="Departamento"/>
    <tableColumn id="2" xr3:uid="{19879E67-6803-441B-A959-2F87682EFD7C}" name="Municipio"/>
    <tableColumn id="3" xr3:uid="{7C4C1E37-7A47-4CDE-AC78-1059C99856EE}" name="EPS"/>
    <tableColumn id="4" xr3:uid="{697E975F-1B9A-4F07-B769-4E409F374BB1}" name="Afiliados CONTRIBUTIVO"/>
    <tableColumn id="5" xr3:uid="{BAFDA98A-C37E-47E1-B147-EB508EA8C59F}" name="Afiliados ESPECIALES/EXCEPCIÓN"/>
    <tableColumn id="6" xr3:uid="{3A5ED05C-35AB-4B79-A146-39CB8AB9505B}" name="Afiliados SUBSIDIADO"/>
    <tableColumn id="7" xr3:uid="{D6EEF0E3-EC91-45FF-8C7E-4A81C6F8AE84}" name="TOTAL AFILIADOS"/>
    <tableColumn id="8" xr3:uid="{77B45CC1-B979-4F4D-968F-CDAF62420A50}" name="% Contributivo"/>
    <tableColumn id="9" xr3:uid="{66102DDF-EBD7-4D1E-83B9-19FE1DF538D7}" name="% Subsidiado"/>
    <tableColumn id="10" xr3:uid="{0CB3FD48-5BB9-4BC3-9E13-44EDB7F32316}" name="% Especiales/Excep"/>
    <tableColumn id="11" xr3:uid="{284F8FD5-99DB-4535-8212-6E2669C24D7E}" name="Intervenida?" dataDxfId="0">
      <calculatedColumnFormula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779564AB-B30E-4CA1-826B-146C1700401D}" name="EPS_Edad" displayName="EPS_Edad" ref="A1:H428" totalsRowShown="0">
  <autoFilter ref="A1:H428" xr:uid="{779564AB-B30E-4CA1-826B-146C1700401D}"/>
  <tableColumns count="8">
    <tableColumn id="1" xr3:uid="{2C8AC27F-B680-4803-B799-EE6943F74D0B}" name="DEPARTAMENTO"/>
    <tableColumn id="2" xr3:uid="{E7536673-17E9-417B-A1C2-F12988E4B346}" name="EPS"/>
    <tableColumn id="3" xr3:uid="{2EAE4C6A-6F8C-4846-B26C-1F9862240ED2}" name="RÉGIMEN"/>
    <tableColumn id="4" xr3:uid="{99D0D529-BDAA-4D54-94F1-65B43797DE7B}" name="QUINQUENIOS DANE"/>
    <tableColumn id="5" xr3:uid="{4DD0649C-DF29-429E-9B6F-48E87B64725E}" name="FEMENINO"/>
    <tableColumn id="6" xr3:uid="{F7EC32AC-C9A2-4679-BDF4-813D5409B503}" name="MASCULINO"/>
    <tableColumn id="8" xr3:uid="{841F178E-039E-4C37-8375-82688B1523D3}" name="TOTAL AFILIADOS"/>
    <tableColumn id="9" xr3:uid="{9E8D0B22-6FF5-4D6D-8399-55237370A19E}" name="Intervenida?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8158B8-8D5B-478D-99D9-8D660538EC1C}">
  <dimension ref="A1:I614"/>
  <sheetViews>
    <sheetView topLeftCell="A592" workbookViewId="0">
      <selection activeCell="A614" sqref="A614"/>
    </sheetView>
  </sheetViews>
  <sheetFormatPr baseColWidth="10" defaultColWidth="8.88671875" defaultRowHeight="14.4" x14ac:dyDescent="0.3"/>
  <cols>
    <col min="1" max="1" width="22" customWidth="1"/>
    <col min="2" max="2" width="12" customWidth="1"/>
    <col min="3" max="3" width="55" customWidth="1"/>
    <col min="4" max="9" width="14" customWidth="1"/>
  </cols>
  <sheetData>
    <row r="1" spans="1:9" x14ac:dyDescent="0.3">
      <c r="A1" s="3" t="s">
        <v>1</v>
      </c>
      <c r="B1" s="3" t="s">
        <v>191</v>
      </c>
      <c r="C1" s="3" t="s">
        <v>97</v>
      </c>
      <c r="D1" s="3" t="s">
        <v>98</v>
      </c>
      <c r="E1" s="3" t="s">
        <v>99</v>
      </c>
      <c r="F1" s="3" t="s">
        <v>100</v>
      </c>
      <c r="G1" s="3" t="s">
        <v>101</v>
      </c>
      <c r="H1" s="3" t="s">
        <v>102</v>
      </c>
      <c r="I1" s="3" t="s">
        <v>103</v>
      </c>
    </row>
    <row r="2" spans="1:9" x14ac:dyDescent="0.3">
      <c r="A2" t="s">
        <v>104</v>
      </c>
      <c r="B2" t="s">
        <v>97</v>
      </c>
      <c r="C2" t="s">
        <v>105</v>
      </c>
      <c r="D2">
        <v>2129956.9</v>
      </c>
      <c r="E2">
        <v>1955662.95</v>
      </c>
      <c r="F2">
        <v>1699990.11</v>
      </c>
      <c r="G2">
        <v>1596129.84</v>
      </c>
      <c r="H2">
        <v>1338671.76</v>
      </c>
      <c r="I2">
        <v>1258077.79</v>
      </c>
    </row>
    <row r="3" spans="1:9" x14ac:dyDescent="0.3">
      <c r="A3" t="s">
        <v>104</v>
      </c>
      <c r="B3" t="s">
        <v>97</v>
      </c>
      <c r="C3" t="s">
        <v>106</v>
      </c>
      <c r="D3">
        <v>2213610</v>
      </c>
      <c r="E3">
        <v>1990240</v>
      </c>
      <c r="F3">
        <v>1718825</v>
      </c>
      <c r="G3">
        <v>1634261</v>
      </c>
      <c r="H3">
        <v>1401485</v>
      </c>
      <c r="I3">
        <v>1315874</v>
      </c>
    </row>
    <row r="4" spans="1:9" x14ac:dyDescent="0.3">
      <c r="A4" t="s">
        <v>104</v>
      </c>
      <c r="B4" t="s">
        <v>97</v>
      </c>
      <c r="C4" t="s">
        <v>107</v>
      </c>
      <c r="D4">
        <v>0</v>
      </c>
      <c r="E4">
        <v>0</v>
      </c>
      <c r="F4">
        <v>0</v>
      </c>
      <c r="G4">
        <v>0</v>
      </c>
      <c r="H4">
        <v>0</v>
      </c>
      <c r="I4">
        <v>4430.22</v>
      </c>
    </row>
    <row r="5" spans="1:9" x14ac:dyDescent="0.3">
      <c r="A5" t="s">
        <v>104</v>
      </c>
      <c r="B5" t="s">
        <v>97</v>
      </c>
      <c r="C5" t="s">
        <v>108</v>
      </c>
      <c r="D5">
        <v>105322.66</v>
      </c>
      <c r="E5">
        <v>84028.1</v>
      </c>
      <c r="F5">
        <v>60657.55</v>
      </c>
      <c r="G5">
        <v>55404.01</v>
      </c>
      <c r="H5">
        <v>71851.820000000007</v>
      </c>
      <c r="I5">
        <v>28463.200000000001</v>
      </c>
    </row>
    <row r="6" spans="1:9" x14ac:dyDescent="0.3">
      <c r="A6" t="s">
        <v>104</v>
      </c>
      <c r="B6" t="s">
        <v>97</v>
      </c>
      <c r="C6" t="s">
        <v>109</v>
      </c>
      <c r="D6">
        <v>122112.97</v>
      </c>
      <c r="E6">
        <v>65246.61</v>
      </c>
      <c r="F6">
        <v>48312.93</v>
      </c>
      <c r="G6">
        <v>114685.42</v>
      </c>
      <c r="H6">
        <v>35288.75</v>
      </c>
      <c r="I6">
        <v>52416.79</v>
      </c>
    </row>
    <row r="7" spans="1:9" x14ac:dyDescent="0.3">
      <c r="A7" t="s">
        <v>104</v>
      </c>
      <c r="B7" t="s">
        <v>97</v>
      </c>
      <c r="C7" t="s">
        <v>110</v>
      </c>
      <c r="D7">
        <v>-2101404.4300000002</v>
      </c>
      <c r="E7">
        <v>-1941654.47</v>
      </c>
      <c r="F7">
        <v>-1688866.73</v>
      </c>
      <c r="G7">
        <v>-1533135</v>
      </c>
      <c r="H7">
        <v>-1380877.92</v>
      </c>
      <c r="I7">
        <v>-1267428.2</v>
      </c>
    </row>
    <row r="8" spans="1:9" x14ac:dyDescent="0.3">
      <c r="A8" t="s">
        <v>104</v>
      </c>
      <c r="B8" t="s">
        <v>97</v>
      </c>
      <c r="C8" t="s">
        <v>111</v>
      </c>
      <c r="D8">
        <v>0</v>
      </c>
      <c r="E8">
        <v>647.73</v>
      </c>
      <c r="F8">
        <v>0</v>
      </c>
      <c r="G8">
        <v>0</v>
      </c>
      <c r="H8">
        <v>0</v>
      </c>
      <c r="I8">
        <v>0</v>
      </c>
    </row>
    <row r="9" spans="1:9" x14ac:dyDescent="0.3">
      <c r="A9" t="s">
        <v>104</v>
      </c>
      <c r="B9" t="s">
        <v>97</v>
      </c>
      <c r="C9" t="s">
        <v>112</v>
      </c>
      <c r="D9">
        <v>2101404.4300000002</v>
      </c>
      <c r="E9">
        <v>1942302.2</v>
      </c>
      <c r="F9">
        <v>1688866.73</v>
      </c>
      <c r="G9">
        <v>1533135</v>
      </c>
      <c r="H9">
        <v>1380877.92</v>
      </c>
      <c r="I9">
        <v>1267428.2</v>
      </c>
    </row>
    <row r="10" spans="1:9" x14ac:dyDescent="0.3">
      <c r="A10" t="s">
        <v>104</v>
      </c>
      <c r="B10" t="s">
        <v>97</v>
      </c>
      <c r="C10" t="s">
        <v>113</v>
      </c>
      <c r="D10">
        <v>-198883.17</v>
      </c>
      <c r="E10">
        <v>-135913.95000000001</v>
      </c>
      <c r="F10">
        <v>-97847.11</v>
      </c>
      <c r="G10">
        <v>-107094.58</v>
      </c>
      <c r="H10">
        <v>-149346.73000000001</v>
      </c>
      <c r="I10">
        <v>-94660.62</v>
      </c>
    </row>
    <row r="11" spans="1:9" x14ac:dyDescent="0.3">
      <c r="A11" t="s">
        <v>104</v>
      </c>
      <c r="B11" t="s">
        <v>97</v>
      </c>
      <c r="C11" t="s">
        <v>114</v>
      </c>
      <c r="D11">
        <v>-76770.19</v>
      </c>
      <c r="E11">
        <v>-70667.34</v>
      </c>
      <c r="F11">
        <v>-49534.17</v>
      </c>
      <c r="G11">
        <v>7590.84</v>
      </c>
      <c r="H11">
        <v>-114057.98</v>
      </c>
      <c r="I11">
        <v>-42243.83</v>
      </c>
    </row>
    <row r="12" spans="1:9" x14ac:dyDescent="0.3">
      <c r="A12" t="s">
        <v>104</v>
      </c>
      <c r="B12" t="s">
        <v>97</v>
      </c>
      <c r="C12" t="s">
        <v>115</v>
      </c>
      <c r="D12">
        <v>31705.11</v>
      </c>
      <c r="E12">
        <v>43154.98</v>
      </c>
      <c r="F12">
        <v>29777.41</v>
      </c>
      <c r="G12">
        <v>6686.3</v>
      </c>
      <c r="H12">
        <v>9663.1</v>
      </c>
      <c r="I12">
        <v>8949.58</v>
      </c>
    </row>
    <row r="13" spans="1:9" x14ac:dyDescent="0.3">
      <c r="A13" t="s">
        <v>104</v>
      </c>
      <c r="B13" t="s">
        <v>97</v>
      </c>
      <c r="C13" t="s">
        <v>116</v>
      </c>
      <c r="D13">
        <v>31705.11</v>
      </c>
      <c r="E13">
        <v>43155.06</v>
      </c>
      <c r="F13">
        <v>29778.52</v>
      </c>
      <c r="G13">
        <v>6780.22</v>
      </c>
      <c r="H13">
        <v>9735.66</v>
      </c>
      <c r="I13">
        <v>9066.07</v>
      </c>
    </row>
    <row r="14" spans="1:9" x14ac:dyDescent="0.3">
      <c r="A14" t="s">
        <v>104</v>
      </c>
      <c r="B14" t="s">
        <v>97</v>
      </c>
      <c r="C14" t="s">
        <v>117</v>
      </c>
      <c r="D14">
        <v>31705.11</v>
      </c>
      <c r="E14">
        <v>43155.06</v>
      </c>
      <c r="F14">
        <v>29778.52</v>
      </c>
      <c r="G14">
        <v>6780.22</v>
      </c>
      <c r="H14">
        <v>9735.66</v>
      </c>
      <c r="I14">
        <v>9066.07</v>
      </c>
    </row>
    <row r="15" spans="1:9" x14ac:dyDescent="0.3">
      <c r="A15" t="s">
        <v>104</v>
      </c>
      <c r="B15" t="s">
        <v>97</v>
      </c>
      <c r="C15" t="s">
        <v>118</v>
      </c>
      <c r="D15">
        <v>0</v>
      </c>
      <c r="E15">
        <v>0.08</v>
      </c>
      <c r="F15">
        <v>1.1000000000000001</v>
      </c>
      <c r="G15">
        <v>93.93</v>
      </c>
      <c r="H15">
        <v>72.56</v>
      </c>
      <c r="I15">
        <v>116.49</v>
      </c>
    </row>
    <row r="16" spans="1:9" x14ac:dyDescent="0.3">
      <c r="A16" t="s">
        <v>104</v>
      </c>
      <c r="B16" t="s">
        <v>97</v>
      </c>
      <c r="C16" t="s">
        <v>119</v>
      </c>
      <c r="D16">
        <v>0</v>
      </c>
      <c r="E16">
        <v>0.08</v>
      </c>
      <c r="F16">
        <v>1.1000000000000001</v>
      </c>
      <c r="G16">
        <v>93.93</v>
      </c>
      <c r="H16">
        <v>72.56</v>
      </c>
      <c r="I16">
        <v>116.49</v>
      </c>
    </row>
    <row r="17" spans="1:9" x14ac:dyDescent="0.3">
      <c r="A17" t="s">
        <v>104</v>
      </c>
      <c r="B17" t="s">
        <v>97</v>
      </c>
      <c r="C17" t="s">
        <v>120</v>
      </c>
      <c r="D17">
        <v>6753.09</v>
      </c>
      <c r="E17">
        <v>-19623.689999999999</v>
      </c>
      <c r="F17">
        <v>73490.92</v>
      </c>
      <c r="G17">
        <v>90286.98</v>
      </c>
      <c r="H17">
        <v>122797.79</v>
      </c>
      <c r="I17">
        <v>42993.61</v>
      </c>
    </row>
    <row r="18" spans="1:9" x14ac:dyDescent="0.3">
      <c r="A18" t="s">
        <v>104</v>
      </c>
      <c r="B18" t="s">
        <v>97</v>
      </c>
      <c r="C18" t="s">
        <v>121</v>
      </c>
      <c r="D18">
        <v>13711.07</v>
      </c>
      <c r="E18">
        <v>17038.47</v>
      </c>
      <c r="F18">
        <v>107638.73</v>
      </c>
      <c r="G18">
        <v>96957.58</v>
      </c>
      <c r="H18">
        <v>123325.63</v>
      </c>
      <c r="I18">
        <v>43463.03</v>
      </c>
    </row>
    <row r="19" spans="1:9" x14ac:dyDescent="0.3">
      <c r="A19" t="s">
        <v>104</v>
      </c>
      <c r="B19" t="s">
        <v>97</v>
      </c>
      <c r="C19" t="s">
        <v>122</v>
      </c>
      <c r="D19">
        <v>6957.98</v>
      </c>
      <c r="E19">
        <v>36662.160000000003</v>
      </c>
      <c r="F19">
        <v>34147.81</v>
      </c>
      <c r="G19">
        <v>6670.61</v>
      </c>
      <c r="H19">
        <v>527.84</v>
      </c>
      <c r="I19">
        <v>469.42</v>
      </c>
    </row>
    <row r="20" spans="1:9" x14ac:dyDescent="0.3">
      <c r="A20" t="s">
        <v>104</v>
      </c>
      <c r="B20" t="s">
        <v>97</v>
      </c>
      <c r="C20" t="s">
        <v>123</v>
      </c>
      <c r="D20">
        <v>-94118.2</v>
      </c>
      <c r="E20">
        <v>-90235.63</v>
      </c>
      <c r="F20">
        <v>5421.23</v>
      </c>
      <c r="G20">
        <v>-10121.299999999999</v>
      </c>
      <c r="H20">
        <v>-16885.84</v>
      </c>
      <c r="I20">
        <v>-42717.43</v>
      </c>
    </row>
    <row r="21" spans="1:9" x14ac:dyDescent="0.3">
      <c r="A21" t="s">
        <v>104</v>
      </c>
      <c r="B21" t="s">
        <v>97</v>
      </c>
      <c r="C21" t="s">
        <v>124</v>
      </c>
      <c r="D21">
        <v>24630.76</v>
      </c>
      <c r="E21">
        <v>90696.78</v>
      </c>
      <c r="F21">
        <v>-4777.28</v>
      </c>
      <c r="G21">
        <v>-975.74</v>
      </c>
      <c r="H21">
        <v>2725.4</v>
      </c>
      <c r="I21">
        <v>0</v>
      </c>
    </row>
    <row r="22" spans="1:9" x14ac:dyDescent="0.3">
      <c r="A22" t="s">
        <v>104</v>
      </c>
      <c r="B22" t="s">
        <v>97</v>
      </c>
      <c r="C22" t="s">
        <v>125</v>
      </c>
      <c r="D22">
        <v>-69487.44</v>
      </c>
      <c r="E22">
        <v>461.15</v>
      </c>
      <c r="F22">
        <v>643.95000000000005</v>
      </c>
      <c r="G22">
        <v>-11097.05</v>
      </c>
      <c r="H22">
        <v>-14160.44</v>
      </c>
      <c r="I22">
        <v>-42717.43</v>
      </c>
    </row>
    <row r="23" spans="1:9" x14ac:dyDescent="0.3">
      <c r="A23" t="s">
        <v>104</v>
      </c>
      <c r="B23" t="s">
        <v>97</v>
      </c>
      <c r="C23" t="s">
        <v>126</v>
      </c>
      <c r="D23">
        <v>-69487.44</v>
      </c>
      <c r="E23">
        <v>461.15</v>
      </c>
      <c r="F23">
        <v>643.95000000000005</v>
      </c>
      <c r="G23">
        <v>-11097.05</v>
      </c>
      <c r="H23">
        <v>-14160.44</v>
      </c>
      <c r="I23">
        <v>-42717.43</v>
      </c>
    </row>
    <row r="24" spans="1:9" x14ac:dyDescent="0.3">
      <c r="A24" t="s">
        <v>104</v>
      </c>
      <c r="B24" t="s">
        <v>97</v>
      </c>
      <c r="C24" t="s">
        <v>127</v>
      </c>
      <c r="D24">
        <v>477941.58</v>
      </c>
      <c r="E24">
        <v>468373.02</v>
      </c>
      <c r="F24">
        <v>420197.66</v>
      </c>
      <c r="G24">
        <v>517450.37</v>
      </c>
      <c r="H24">
        <v>374506.76</v>
      </c>
      <c r="I24">
        <v>395134.01</v>
      </c>
    </row>
    <row r="25" spans="1:9" x14ac:dyDescent="0.3">
      <c r="A25" t="s">
        <v>104</v>
      </c>
      <c r="B25" t="s">
        <v>97</v>
      </c>
      <c r="C25" t="s">
        <v>128</v>
      </c>
      <c r="D25">
        <v>123144.28</v>
      </c>
      <c r="E25">
        <v>103742.39</v>
      </c>
      <c r="F25">
        <v>43952.79</v>
      </c>
      <c r="G25">
        <v>69583.48</v>
      </c>
      <c r="H25">
        <v>76420.289999999994</v>
      </c>
      <c r="I25">
        <v>1602.7</v>
      </c>
    </row>
    <row r="26" spans="1:9" x14ac:dyDescent="0.3">
      <c r="A26" t="s">
        <v>104</v>
      </c>
      <c r="B26" t="s">
        <v>97</v>
      </c>
      <c r="C26" t="s">
        <v>129</v>
      </c>
      <c r="D26">
        <v>1805.77</v>
      </c>
      <c r="E26">
        <v>1867.33</v>
      </c>
      <c r="F26">
        <v>1526.85</v>
      </c>
      <c r="G26">
        <v>1133.79</v>
      </c>
      <c r="H26">
        <v>1174.1500000000001</v>
      </c>
      <c r="I26">
        <v>1247.19</v>
      </c>
    </row>
    <row r="27" spans="1:9" x14ac:dyDescent="0.3">
      <c r="A27" t="s">
        <v>104</v>
      </c>
      <c r="B27" t="s">
        <v>97</v>
      </c>
      <c r="C27" t="s">
        <v>130</v>
      </c>
      <c r="D27">
        <v>0</v>
      </c>
      <c r="E27">
        <v>6427.65</v>
      </c>
      <c r="F27">
        <v>28557.439999999999</v>
      </c>
      <c r="G27">
        <v>55830.14</v>
      </c>
      <c r="H27">
        <v>60305.279999999999</v>
      </c>
      <c r="I27">
        <v>0</v>
      </c>
    </row>
    <row r="28" spans="1:9" x14ac:dyDescent="0.3">
      <c r="A28" t="s">
        <v>104</v>
      </c>
      <c r="B28" t="s">
        <v>97</v>
      </c>
      <c r="C28" t="s">
        <v>131</v>
      </c>
      <c r="D28">
        <v>121338.51</v>
      </c>
      <c r="E28">
        <v>95447.4</v>
      </c>
      <c r="F28">
        <v>13868.5</v>
      </c>
      <c r="G28">
        <v>12619.54</v>
      </c>
      <c r="H28">
        <v>14940.86</v>
      </c>
      <c r="I28">
        <v>355.52</v>
      </c>
    </row>
    <row r="29" spans="1:9" x14ac:dyDescent="0.3">
      <c r="A29" t="s">
        <v>104</v>
      </c>
      <c r="B29" t="s">
        <v>97</v>
      </c>
      <c r="C29" t="s">
        <v>132</v>
      </c>
      <c r="D29">
        <v>354797.29</v>
      </c>
      <c r="E29">
        <v>364630.64</v>
      </c>
      <c r="F29">
        <v>376244.87</v>
      </c>
      <c r="G29">
        <v>447866.89</v>
      </c>
      <c r="H29">
        <v>298086.46999999997</v>
      </c>
      <c r="I29">
        <v>393531.31</v>
      </c>
    </row>
    <row r="30" spans="1:9" x14ac:dyDescent="0.3">
      <c r="A30" t="s">
        <v>104</v>
      </c>
      <c r="B30" t="s">
        <v>97</v>
      </c>
      <c r="C30" t="s">
        <v>133</v>
      </c>
      <c r="D30">
        <v>69559.98</v>
      </c>
      <c r="E30">
        <v>41648.14</v>
      </c>
      <c r="F30">
        <v>1046.53</v>
      </c>
      <c r="G30">
        <v>11036.75</v>
      </c>
      <c r="H30">
        <v>39306.15</v>
      </c>
      <c r="I30">
        <v>29245.3</v>
      </c>
    </row>
    <row r="31" spans="1:9" x14ac:dyDescent="0.3">
      <c r="A31" t="s">
        <v>104</v>
      </c>
      <c r="B31" t="s">
        <v>97</v>
      </c>
      <c r="C31" t="s">
        <v>134</v>
      </c>
      <c r="D31">
        <v>69559.98</v>
      </c>
      <c r="E31">
        <v>41648.14</v>
      </c>
      <c r="F31">
        <v>1046.53</v>
      </c>
      <c r="G31">
        <v>11036.75</v>
      </c>
      <c r="H31">
        <v>39306.15</v>
      </c>
      <c r="I31">
        <v>29245.3</v>
      </c>
    </row>
    <row r="32" spans="1:9" x14ac:dyDescent="0.3">
      <c r="A32" t="s">
        <v>104</v>
      </c>
      <c r="B32" t="s">
        <v>97</v>
      </c>
      <c r="C32" t="s">
        <v>135</v>
      </c>
      <c r="D32">
        <v>0</v>
      </c>
      <c r="E32">
        <v>156</v>
      </c>
      <c r="F32">
        <v>156</v>
      </c>
      <c r="G32">
        <v>156</v>
      </c>
      <c r="H32">
        <v>156.80000000000001</v>
      </c>
      <c r="I32">
        <v>156.80000000000001</v>
      </c>
    </row>
    <row r="33" spans="1:9" x14ac:dyDescent="0.3">
      <c r="A33" t="s">
        <v>104</v>
      </c>
      <c r="B33" t="s">
        <v>97</v>
      </c>
      <c r="C33" t="s">
        <v>136</v>
      </c>
      <c r="D33">
        <v>251222.12</v>
      </c>
      <c r="E33">
        <v>259723.73</v>
      </c>
      <c r="F33">
        <v>317203.09999999998</v>
      </c>
      <c r="G33">
        <v>400178.77</v>
      </c>
      <c r="H33">
        <v>233920.36</v>
      </c>
      <c r="I33">
        <v>181710.68</v>
      </c>
    </row>
    <row r="34" spans="1:9" x14ac:dyDescent="0.3">
      <c r="A34" t="s">
        <v>104</v>
      </c>
      <c r="B34" t="s">
        <v>97</v>
      </c>
      <c r="C34" t="s">
        <v>137</v>
      </c>
      <c r="D34">
        <v>34015.19</v>
      </c>
      <c r="E34">
        <v>63102.76</v>
      </c>
      <c r="F34">
        <v>57839.24</v>
      </c>
      <c r="G34">
        <v>36495.370000000003</v>
      </c>
      <c r="H34">
        <v>24703.16</v>
      </c>
      <c r="I34">
        <v>182418.52</v>
      </c>
    </row>
    <row r="35" spans="1:9" x14ac:dyDescent="0.3">
      <c r="A35" t="s">
        <v>104</v>
      </c>
      <c r="B35" t="s">
        <v>97</v>
      </c>
      <c r="C35" t="s">
        <v>138</v>
      </c>
      <c r="D35">
        <v>477941.58</v>
      </c>
      <c r="E35">
        <v>468373.02</v>
      </c>
      <c r="F35">
        <v>420197.66</v>
      </c>
      <c r="G35">
        <v>517450.37</v>
      </c>
      <c r="H35">
        <v>374506.76</v>
      </c>
      <c r="I35">
        <v>395134.01</v>
      </c>
    </row>
    <row r="36" spans="1:9" x14ac:dyDescent="0.3">
      <c r="A36" t="s">
        <v>104</v>
      </c>
      <c r="B36" t="s">
        <v>97</v>
      </c>
      <c r="C36" t="s">
        <v>139</v>
      </c>
      <c r="D36">
        <v>109262.58</v>
      </c>
      <c r="E36">
        <v>86475.02</v>
      </c>
      <c r="F36">
        <v>26013.87</v>
      </c>
      <c r="G36">
        <v>25369.919999999998</v>
      </c>
      <c r="H36">
        <v>-130532.23</v>
      </c>
      <c r="I36">
        <v>-249426.32</v>
      </c>
    </row>
    <row r="37" spans="1:9" x14ac:dyDescent="0.3">
      <c r="A37" t="s">
        <v>104</v>
      </c>
      <c r="B37" t="s">
        <v>97</v>
      </c>
      <c r="C37" t="s">
        <v>140</v>
      </c>
      <c r="D37">
        <v>109262.58</v>
      </c>
      <c r="E37">
        <v>86475.02</v>
      </c>
      <c r="F37">
        <v>26013.87</v>
      </c>
      <c r="G37">
        <v>25369.919999999998</v>
      </c>
      <c r="H37">
        <v>-130532.23</v>
      </c>
      <c r="I37">
        <v>-249426.32</v>
      </c>
    </row>
    <row r="38" spans="1:9" x14ac:dyDescent="0.3">
      <c r="A38" t="s">
        <v>104</v>
      </c>
      <c r="B38" t="s">
        <v>97</v>
      </c>
      <c r="C38" t="s">
        <v>141</v>
      </c>
      <c r="D38">
        <v>664220.48</v>
      </c>
      <c r="E38">
        <v>571945.48</v>
      </c>
      <c r="F38">
        <v>511945.48</v>
      </c>
      <c r="G38">
        <v>511945.48</v>
      </c>
      <c r="H38">
        <v>344945.48</v>
      </c>
      <c r="I38">
        <v>224945.48</v>
      </c>
    </row>
    <row r="39" spans="1:9" x14ac:dyDescent="0.3">
      <c r="A39" t="s">
        <v>104</v>
      </c>
      <c r="B39" t="s">
        <v>97</v>
      </c>
      <c r="C39" t="s">
        <v>142</v>
      </c>
      <c r="D39">
        <v>57.08</v>
      </c>
      <c r="E39">
        <v>57.08</v>
      </c>
      <c r="F39">
        <v>57.08</v>
      </c>
      <c r="G39">
        <v>57.08</v>
      </c>
      <c r="H39">
        <v>57.08</v>
      </c>
      <c r="I39">
        <v>57.08</v>
      </c>
    </row>
    <row r="40" spans="1:9" x14ac:dyDescent="0.3">
      <c r="A40" t="s">
        <v>104</v>
      </c>
      <c r="B40" t="s">
        <v>97</v>
      </c>
      <c r="C40" t="s">
        <v>143</v>
      </c>
      <c r="D40">
        <v>-485527.53</v>
      </c>
      <c r="E40">
        <v>-485988.69</v>
      </c>
      <c r="F40">
        <v>-486632.64</v>
      </c>
      <c r="G40">
        <v>-475535.59</v>
      </c>
      <c r="H40">
        <v>-461374.35</v>
      </c>
      <c r="I40">
        <v>-431711.45</v>
      </c>
    </row>
    <row r="41" spans="1:9" x14ac:dyDescent="0.3">
      <c r="A41" t="s">
        <v>104</v>
      </c>
      <c r="B41" t="s">
        <v>97</v>
      </c>
      <c r="C41" t="s">
        <v>144</v>
      </c>
      <c r="D41">
        <v>-69487.44</v>
      </c>
      <c r="E41">
        <v>461.15</v>
      </c>
      <c r="F41">
        <v>643.95000000000005</v>
      </c>
      <c r="G41">
        <v>-11097.05</v>
      </c>
      <c r="H41">
        <v>-14160.44</v>
      </c>
      <c r="I41">
        <v>-42717.43</v>
      </c>
    </row>
    <row r="42" spans="1:9" x14ac:dyDescent="0.3">
      <c r="A42" t="s">
        <v>104</v>
      </c>
      <c r="B42" t="s">
        <v>97</v>
      </c>
      <c r="C42" t="s">
        <v>145</v>
      </c>
      <c r="D42">
        <v>368679</v>
      </c>
      <c r="E42">
        <v>381898</v>
      </c>
      <c r="F42">
        <v>394183.8</v>
      </c>
      <c r="G42">
        <v>492080.45</v>
      </c>
      <c r="H42">
        <v>505038.99</v>
      </c>
      <c r="I42">
        <v>644560.32999999996</v>
      </c>
    </row>
    <row r="43" spans="1:9" x14ac:dyDescent="0.3">
      <c r="A43" t="s">
        <v>104</v>
      </c>
      <c r="B43" t="s">
        <v>97</v>
      </c>
      <c r="C43" t="s">
        <v>146</v>
      </c>
      <c r="D43">
        <v>16888.349999999999</v>
      </c>
      <c r="E43">
        <v>15990.33</v>
      </c>
      <c r="F43">
        <v>11763.22</v>
      </c>
      <c r="G43">
        <v>3682.98</v>
      </c>
      <c r="H43">
        <v>465.38</v>
      </c>
      <c r="I43">
        <v>0</v>
      </c>
    </row>
    <row r="44" spans="1:9" x14ac:dyDescent="0.3">
      <c r="A44" t="s">
        <v>104</v>
      </c>
      <c r="B44" t="s">
        <v>97</v>
      </c>
      <c r="C44" t="s">
        <v>147</v>
      </c>
      <c r="D44">
        <v>16847.28</v>
      </c>
      <c r="E44">
        <v>15898.89</v>
      </c>
      <c r="F44">
        <v>11763.22</v>
      </c>
      <c r="G44">
        <v>3682.98</v>
      </c>
      <c r="H44">
        <v>465.38</v>
      </c>
      <c r="I44">
        <v>0</v>
      </c>
    </row>
    <row r="45" spans="1:9" x14ac:dyDescent="0.3">
      <c r="A45" t="s">
        <v>104</v>
      </c>
      <c r="B45" t="s">
        <v>97</v>
      </c>
      <c r="C45" t="s">
        <v>148</v>
      </c>
      <c r="D45">
        <v>41.07</v>
      </c>
      <c r="E45">
        <v>91.45</v>
      </c>
      <c r="F45">
        <v>0</v>
      </c>
      <c r="G45">
        <v>0</v>
      </c>
      <c r="H45">
        <v>0</v>
      </c>
      <c r="I45">
        <v>0</v>
      </c>
    </row>
    <row r="46" spans="1:9" x14ac:dyDescent="0.3">
      <c r="A46" t="s">
        <v>104</v>
      </c>
      <c r="B46" t="s">
        <v>97</v>
      </c>
      <c r="C46" t="s">
        <v>149</v>
      </c>
      <c r="D46">
        <v>351790.65</v>
      </c>
      <c r="E46">
        <v>365907.67</v>
      </c>
      <c r="F46">
        <v>382420.57</v>
      </c>
      <c r="G46">
        <v>488397.47</v>
      </c>
      <c r="H46">
        <v>504573.62</v>
      </c>
      <c r="I46">
        <v>644560.32999999996</v>
      </c>
    </row>
    <row r="47" spans="1:9" x14ac:dyDescent="0.3">
      <c r="A47" t="s">
        <v>104</v>
      </c>
      <c r="B47" t="s">
        <v>97</v>
      </c>
      <c r="C47" t="s">
        <v>150</v>
      </c>
      <c r="D47">
        <v>191989.08</v>
      </c>
      <c r="E47">
        <v>155824.74</v>
      </c>
      <c r="F47">
        <v>189967.32</v>
      </c>
      <c r="G47">
        <v>262645.27</v>
      </c>
      <c r="H47">
        <v>269045.39</v>
      </c>
      <c r="I47">
        <v>380561.5</v>
      </c>
    </row>
    <row r="48" spans="1:9" x14ac:dyDescent="0.3">
      <c r="A48" t="s">
        <v>104</v>
      </c>
      <c r="B48" t="s">
        <v>97</v>
      </c>
      <c r="C48" t="s">
        <v>151</v>
      </c>
      <c r="D48">
        <v>186515.99</v>
      </c>
      <c r="E48">
        <v>150985.09</v>
      </c>
      <c r="F48">
        <v>186281.49</v>
      </c>
      <c r="G48">
        <v>259710.89</v>
      </c>
      <c r="H48">
        <v>267617.90999999997</v>
      </c>
      <c r="I48">
        <v>379663.61</v>
      </c>
    </row>
    <row r="49" spans="1:9" x14ac:dyDescent="0.3">
      <c r="A49" t="s">
        <v>104</v>
      </c>
      <c r="B49" t="s">
        <v>97</v>
      </c>
      <c r="C49" t="s">
        <v>152</v>
      </c>
      <c r="D49">
        <v>5473.09</v>
      </c>
      <c r="E49">
        <v>4839.6400000000003</v>
      </c>
      <c r="F49">
        <v>3685.83</v>
      </c>
      <c r="G49">
        <v>2934.37</v>
      </c>
      <c r="H49">
        <v>1427.48</v>
      </c>
      <c r="I49">
        <v>897.9</v>
      </c>
    </row>
    <row r="50" spans="1:9" x14ac:dyDescent="0.3">
      <c r="A50" t="s">
        <v>104</v>
      </c>
      <c r="B50" t="s">
        <v>97</v>
      </c>
      <c r="C50" t="s">
        <v>147</v>
      </c>
      <c r="D50">
        <v>159777</v>
      </c>
      <c r="E50">
        <v>210058.37</v>
      </c>
      <c r="F50">
        <v>189055.32</v>
      </c>
      <c r="G50">
        <v>223074.97</v>
      </c>
      <c r="H50">
        <v>233783.29</v>
      </c>
      <c r="I50">
        <v>260683.6</v>
      </c>
    </row>
    <row r="51" spans="1:9" x14ac:dyDescent="0.3">
      <c r="A51" t="s">
        <v>104</v>
      </c>
      <c r="B51" t="s">
        <v>97</v>
      </c>
      <c r="C51" t="s">
        <v>153</v>
      </c>
      <c r="D51">
        <v>24.56</v>
      </c>
      <c r="E51">
        <v>24.56</v>
      </c>
      <c r="F51">
        <v>3397.93</v>
      </c>
      <c r="G51">
        <v>2677.23</v>
      </c>
      <c r="H51">
        <v>1744.93</v>
      </c>
      <c r="I51">
        <v>3315.22</v>
      </c>
    </row>
    <row r="52" spans="1:9" x14ac:dyDescent="0.3">
      <c r="A52" t="s">
        <v>154</v>
      </c>
      <c r="B52" t="s">
        <v>97</v>
      </c>
      <c r="C52" t="s">
        <v>105</v>
      </c>
      <c r="D52">
        <v>5353792</v>
      </c>
      <c r="E52">
        <v>4794341.33</v>
      </c>
      <c r="F52">
        <v>3983288.63</v>
      </c>
      <c r="G52">
        <v>3314616.31</v>
      </c>
      <c r="H52">
        <v>2632506.5</v>
      </c>
      <c r="I52">
        <v>2119796.19</v>
      </c>
    </row>
    <row r="53" spans="1:9" x14ac:dyDescent="0.3">
      <c r="A53" t="s">
        <v>154</v>
      </c>
      <c r="B53" t="s">
        <v>97</v>
      </c>
      <c r="C53" t="s">
        <v>155</v>
      </c>
      <c r="D53">
        <v>5353792</v>
      </c>
      <c r="E53">
        <v>4794341.33</v>
      </c>
      <c r="F53">
        <v>3983288.63</v>
      </c>
      <c r="G53">
        <v>3314616.31</v>
      </c>
      <c r="H53">
        <v>2632506.5</v>
      </c>
      <c r="I53">
        <v>2119796.19</v>
      </c>
    </row>
    <row r="54" spans="1:9" x14ac:dyDescent="0.3">
      <c r="A54" t="s">
        <v>154</v>
      </c>
      <c r="B54" t="s">
        <v>97</v>
      </c>
      <c r="C54" t="s">
        <v>108</v>
      </c>
      <c r="D54">
        <v>142246.13</v>
      </c>
      <c r="E54">
        <v>70060.509999999995</v>
      </c>
      <c r="F54">
        <v>65182.06</v>
      </c>
      <c r="G54">
        <v>46527.76</v>
      </c>
      <c r="H54">
        <v>45540.99</v>
      </c>
      <c r="I54">
        <v>28946.74</v>
      </c>
    </row>
    <row r="55" spans="1:9" x14ac:dyDescent="0.3">
      <c r="A55" t="s">
        <v>154</v>
      </c>
      <c r="B55" t="s">
        <v>97</v>
      </c>
      <c r="C55" t="s">
        <v>156</v>
      </c>
      <c r="D55">
        <v>108835.69</v>
      </c>
      <c r="E55">
        <v>97611.01</v>
      </c>
      <c r="F55">
        <v>84331.92</v>
      </c>
      <c r="G55">
        <v>69453.83</v>
      </c>
      <c r="H55">
        <v>58136.74</v>
      </c>
      <c r="I55">
        <v>50704.58</v>
      </c>
    </row>
    <row r="56" spans="1:9" x14ac:dyDescent="0.3">
      <c r="A56" t="s">
        <v>154</v>
      </c>
      <c r="B56" t="s">
        <v>97</v>
      </c>
      <c r="C56" t="s">
        <v>157</v>
      </c>
      <c r="D56">
        <v>3806.11</v>
      </c>
      <c r="E56">
        <v>3431.3</v>
      </c>
      <c r="F56">
        <v>3031.45</v>
      </c>
      <c r="G56">
        <v>1702.42</v>
      </c>
      <c r="H56">
        <v>1129.49</v>
      </c>
      <c r="I56">
        <v>4034.02</v>
      </c>
    </row>
    <row r="57" spans="1:9" x14ac:dyDescent="0.3">
      <c r="A57" t="s">
        <v>154</v>
      </c>
      <c r="B57" t="s">
        <v>97</v>
      </c>
      <c r="C57" t="s">
        <v>158</v>
      </c>
      <c r="D57">
        <v>-1629.93</v>
      </c>
      <c r="E57">
        <v>-1609.17</v>
      </c>
      <c r="F57">
        <v>-2116.96</v>
      </c>
      <c r="G57">
        <v>-1442.68</v>
      </c>
      <c r="H57">
        <v>-1415.14</v>
      </c>
      <c r="I57">
        <v>-1108.78</v>
      </c>
    </row>
    <row r="58" spans="1:9" x14ac:dyDescent="0.3">
      <c r="A58" t="s">
        <v>154</v>
      </c>
      <c r="B58" t="s">
        <v>97</v>
      </c>
      <c r="C58" t="s">
        <v>106</v>
      </c>
      <c r="D58">
        <v>6180380.46</v>
      </c>
      <c r="E58">
        <v>4637492.2300000004</v>
      </c>
      <c r="F58">
        <v>3725958.79</v>
      </c>
      <c r="G58">
        <v>3042745.72</v>
      </c>
      <c r="H58">
        <v>2403070.0099999998</v>
      </c>
      <c r="I58">
        <v>1991970.08</v>
      </c>
    </row>
    <row r="59" spans="1:9" x14ac:dyDescent="0.3">
      <c r="A59" t="s">
        <v>154</v>
      </c>
      <c r="B59" t="s">
        <v>97</v>
      </c>
      <c r="C59" t="s">
        <v>109</v>
      </c>
      <c r="D59">
        <v>50263</v>
      </c>
      <c r="E59">
        <v>11800.18</v>
      </c>
      <c r="F59">
        <v>26243.29</v>
      </c>
      <c r="G59">
        <v>19842.830000000002</v>
      </c>
      <c r="H59">
        <v>9234.64</v>
      </c>
      <c r="I59">
        <v>7203.48</v>
      </c>
    </row>
    <row r="60" spans="1:9" x14ac:dyDescent="0.3">
      <c r="A60" t="s">
        <v>154</v>
      </c>
      <c r="B60" t="s">
        <v>97</v>
      </c>
      <c r="C60" t="s">
        <v>113</v>
      </c>
      <c r="D60">
        <v>-1133369.32</v>
      </c>
      <c r="E60">
        <v>-27663.07</v>
      </c>
      <c r="F60">
        <v>76424.17</v>
      </c>
      <c r="G60">
        <v>132901.06</v>
      </c>
      <c r="H60">
        <v>113979.49</v>
      </c>
      <c r="I60">
        <v>35828.51</v>
      </c>
    </row>
    <row r="61" spans="1:9" x14ac:dyDescent="0.3">
      <c r="A61" t="s">
        <v>154</v>
      </c>
      <c r="B61" t="s">
        <v>97</v>
      </c>
      <c r="C61" t="s">
        <v>114</v>
      </c>
      <c r="D61">
        <v>-1083106.32</v>
      </c>
      <c r="E61">
        <v>-15862.89</v>
      </c>
      <c r="F61">
        <v>102667.46</v>
      </c>
      <c r="G61">
        <v>152743.89000000001</v>
      </c>
      <c r="H61">
        <v>123214.13</v>
      </c>
      <c r="I61">
        <v>43031.99</v>
      </c>
    </row>
    <row r="62" spans="1:9" x14ac:dyDescent="0.3">
      <c r="A62" t="s">
        <v>154</v>
      </c>
      <c r="B62" t="s">
        <v>97</v>
      </c>
      <c r="C62" t="s">
        <v>115</v>
      </c>
      <c r="D62">
        <v>-26717.919999999998</v>
      </c>
      <c r="E62">
        <v>-33566.21</v>
      </c>
      <c r="F62">
        <v>-24906.76</v>
      </c>
      <c r="G62">
        <v>-17756.47</v>
      </c>
      <c r="H62">
        <v>-16545.66</v>
      </c>
      <c r="I62">
        <v>-17487.18</v>
      </c>
    </row>
    <row r="63" spans="1:9" x14ac:dyDescent="0.3">
      <c r="A63" t="s">
        <v>154</v>
      </c>
      <c r="B63" t="s">
        <v>97</v>
      </c>
      <c r="C63" t="s">
        <v>118</v>
      </c>
      <c r="D63">
        <v>26717.919999999998</v>
      </c>
      <c r="E63">
        <v>33566.21</v>
      </c>
      <c r="F63">
        <v>24906.76</v>
      </c>
      <c r="G63">
        <v>17756.47</v>
      </c>
      <c r="H63">
        <v>16545.66</v>
      </c>
      <c r="I63">
        <v>17487.18</v>
      </c>
    </row>
    <row r="64" spans="1:9" x14ac:dyDescent="0.3">
      <c r="A64" t="s">
        <v>154</v>
      </c>
      <c r="B64" t="s">
        <v>97</v>
      </c>
      <c r="C64" t="s">
        <v>159</v>
      </c>
      <c r="D64">
        <v>26717.919999999998</v>
      </c>
      <c r="E64">
        <v>33566.21</v>
      </c>
      <c r="F64">
        <v>24906.76</v>
      </c>
      <c r="G64">
        <v>17756.47</v>
      </c>
      <c r="H64">
        <v>16545.66</v>
      </c>
      <c r="I64">
        <v>17487.18</v>
      </c>
    </row>
    <row r="65" spans="1:9" x14ac:dyDescent="0.3">
      <c r="A65" t="s">
        <v>154</v>
      </c>
      <c r="B65" t="s">
        <v>97</v>
      </c>
      <c r="C65" t="s">
        <v>120</v>
      </c>
      <c r="D65">
        <v>17397.12</v>
      </c>
      <c r="E65">
        <v>32995.29</v>
      </c>
      <c r="F65">
        <v>82580.929999999993</v>
      </c>
      <c r="G65">
        <v>-4152.0200000000004</v>
      </c>
      <c r="H65">
        <v>-376.29</v>
      </c>
      <c r="I65">
        <v>714.83</v>
      </c>
    </row>
    <row r="66" spans="1:9" x14ac:dyDescent="0.3">
      <c r="A66" t="s">
        <v>154</v>
      </c>
      <c r="B66" t="s">
        <v>97</v>
      </c>
      <c r="C66" t="s">
        <v>121</v>
      </c>
      <c r="D66">
        <v>27118.36</v>
      </c>
      <c r="E66">
        <v>47146.03</v>
      </c>
      <c r="F66">
        <v>96000.69</v>
      </c>
      <c r="G66">
        <v>7029.39</v>
      </c>
      <c r="H66">
        <v>11113.13</v>
      </c>
      <c r="I66">
        <v>13275.54</v>
      </c>
    </row>
    <row r="67" spans="1:9" x14ac:dyDescent="0.3">
      <c r="A67" t="s">
        <v>154</v>
      </c>
      <c r="B67" t="s">
        <v>97</v>
      </c>
      <c r="C67" t="s">
        <v>122</v>
      </c>
      <c r="D67">
        <v>9721.24</v>
      </c>
      <c r="E67">
        <v>14150.74</v>
      </c>
      <c r="F67">
        <v>13419.76</v>
      </c>
      <c r="G67">
        <v>11181.41</v>
      </c>
      <c r="H67">
        <v>11489.42</v>
      </c>
      <c r="I67">
        <v>12560.72</v>
      </c>
    </row>
    <row r="68" spans="1:9" x14ac:dyDescent="0.3">
      <c r="A68" t="s">
        <v>154</v>
      </c>
      <c r="B68" t="s">
        <v>97</v>
      </c>
      <c r="C68" t="s">
        <v>123</v>
      </c>
      <c r="D68">
        <v>-1142690.1200000001</v>
      </c>
      <c r="E68">
        <v>-28233.99</v>
      </c>
      <c r="F68">
        <v>134098.34</v>
      </c>
      <c r="G68">
        <v>110992.57</v>
      </c>
      <c r="H68">
        <v>97057.54</v>
      </c>
      <c r="I68">
        <v>19056.16</v>
      </c>
    </row>
    <row r="69" spans="1:9" x14ac:dyDescent="0.3">
      <c r="A69" t="s">
        <v>154</v>
      </c>
      <c r="B69" t="s">
        <v>97</v>
      </c>
      <c r="C69" t="s">
        <v>124</v>
      </c>
      <c r="D69">
        <v>0</v>
      </c>
      <c r="E69">
        <v>-5579.76</v>
      </c>
      <c r="F69">
        <v>-10056.790000000001</v>
      </c>
      <c r="G69">
        <v>-12282.81</v>
      </c>
      <c r="H69">
        <v>-22034.71</v>
      </c>
      <c r="I69">
        <v>-6784</v>
      </c>
    </row>
    <row r="70" spans="1:9" x14ac:dyDescent="0.3">
      <c r="A70" t="s">
        <v>154</v>
      </c>
      <c r="B70" t="s">
        <v>97</v>
      </c>
      <c r="C70" t="s">
        <v>125</v>
      </c>
      <c r="D70">
        <v>-1142690.1200000001</v>
      </c>
      <c r="E70">
        <v>-33813.75</v>
      </c>
      <c r="F70">
        <v>124041.55</v>
      </c>
      <c r="G70">
        <v>98709.77</v>
      </c>
      <c r="H70">
        <v>75022.820000000007</v>
      </c>
      <c r="I70">
        <v>12272.16</v>
      </c>
    </row>
    <row r="71" spans="1:9" x14ac:dyDescent="0.3">
      <c r="A71" t="s">
        <v>154</v>
      </c>
      <c r="B71" t="s">
        <v>97</v>
      </c>
      <c r="C71" t="s">
        <v>126</v>
      </c>
      <c r="D71">
        <v>-1142690.1200000001</v>
      </c>
      <c r="E71">
        <v>-33813.75</v>
      </c>
      <c r="F71">
        <v>124041.55</v>
      </c>
      <c r="G71">
        <v>98709.77</v>
      </c>
      <c r="H71">
        <v>75022.820000000007</v>
      </c>
      <c r="I71">
        <v>12272.16</v>
      </c>
    </row>
    <row r="72" spans="1:9" x14ac:dyDescent="0.3">
      <c r="A72" t="s">
        <v>154</v>
      </c>
      <c r="B72" t="s">
        <v>97</v>
      </c>
      <c r="C72" t="s">
        <v>127</v>
      </c>
      <c r="D72">
        <v>1942170.42</v>
      </c>
      <c r="E72">
        <v>1066681.57</v>
      </c>
      <c r="F72">
        <v>1124036.22</v>
      </c>
      <c r="G72">
        <v>1186661.42</v>
      </c>
      <c r="H72">
        <v>1078096.02</v>
      </c>
      <c r="I72">
        <v>754729.79</v>
      </c>
    </row>
    <row r="73" spans="1:9" x14ac:dyDescent="0.3">
      <c r="A73" t="s">
        <v>154</v>
      </c>
      <c r="B73" t="s">
        <v>97</v>
      </c>
      <c r="C73" t="s">
        <v>128</v>
      </c>
      <c r="D73">
        <v>23214.28</v>
      </c>
      <c r="E73">
        <v>17618.02</v>
      </c>
      <c r="F73">
        <v>19182.07</v>
      </c>
      <c r="G73">
        <v>6720.03</v>
      </c>
      <c r="H73">
        <v>6787.25</v>
      </c>
      <c r="I73">
        <v>5381.12</v>
      </c>
    </row>
    <row r="74" spans="1:9" x14ac:dyDescent="0.3">
      <c r="A74" t="s">
        <v>154</v>
      </c>
      <c r="B74" t="s">
        <v>97</v>
      </c>
      <c r="C74" t="s">
        <v>129</v>
      </c>
      <c r="D74">
        <v>12857.99</v>
      </c>
      <c r="E74">
        <v>14272.36</v>
      </c>
      <c r="F74">
        <v>15224.05</v>
      </c>
      <c r="G74">
        <v>6720.03</v>
      </c>
      <c r="H74">
        <v>6787.25</v>
      </c>
      <c r="I74">
        <v>1860.56</v>
      </c>
    </row>
    <row r="75" spans="1:9" x14ac:dyDescent="0.3">
      <c r="A75" t="s">
        <v>154</v>
      </c>
      <c r="B75" t="s">
        <v>97</v>
      </c>
      <c r="C75" t="s">
        <v>160</v>
      </c>
      <c r="D75">
        <v>2287.8000000000002</v>
      </c>
      <c r="E75">
        <v>0</v>
      </c>
      <c r="F75">
        <v>0</v>
      </c>
      <c r="G75">
        <v>0</v>
      </c>
      <c r="H75">
        <v>0</v>
      </c>
      <c r="I75">
        <v>827.66</v>
      </c>
    </row>
    <row r="76" spans="1:9" x14ac:dyDescent="0.3">
      <c r="A76" t="s">
        <v>154</v>
      </c>
      <c r="B76" t="s">
        <v>97</v>
      </c>
      <c r="C76" t="s">
        <v>161</v>
      </c>
      <c r="D76">
        <v>8068.49</v>
      </c>
      <c r="E76">
        <v>3345.66</v>
      </c>
      <c r="F76">
        <v>3958.02</v>
      </c>
      <c r="G76">
        <v>0</v>
      </c>
      <c r="H76">
        <v>0</v>
      </c>
      <c r="I76">
        <v>2692.9</v>
      </c>
    </row>
    <row r="77" spans="1:9" x14ac:dyDescent="0.3">
      <c r="A77" t="s">
        <v>154</v>
      </c>
      <c r="B77" t="s">
        <v>97</v>
      </c>
      <c r="C77" t="s">
        <v>132</v>
      </c>
      <c r="D77">
        <v>1918956.14</v>
      </c>
      <c r="E77">
        <v>1049063.55</v>
      </c>
      <c r="F77">
        <v>1104854.1499999999</v>
      </c>
      <c r="G77">
        <v>1179941.3899999999</v>
      </c>
      <c r="H77">
        <v>1071308.77</v>
      </c>
      <c r="I77">
        <v>749348.67</v>
      </c>
    </row>
    <row r="78" spans="1:9" x14ac:dyDescent="0.3">
      <c r="A78" t="s">
        <v>154</v>
      </c>
      <c r="B78" t="s">
        <v>97</v>
      </c>
      <c r="C78" t="s">
        <v>133</v>
      </c>
      <c r="D78">
        <v>561804.88</v>
      </c>
      <c r="E78">
        <v>301994.05</v>
      </c>
      <c r="F78">
        <v>287945.42</v>
      </c>
      <c r="G78">
        <v>489666.25</v>
      </c>
      <c r="H78">
        <v>594408.80000000005</v>
      </c>
      <c r="I78">
        <v>609436.75</v>
      </c>
    </row>
    <row r="79" spans="1:9" x14ac:dyDescent="0.3">
      <c r="A79" t="s">
        <v>154</v>
      </c>
      <c r="B79" t="s">
        <v>97</v>
      </c>
      <c r="C79" t="s">
        <v>162</v>
      </c>
      <c r="D79">
        <v>176763.73</v>
      </c>
      <c r="E79">
        <v>113368.01</v>
      </c>
      <c r="F79">
        <v>109833.51</v>
      </c>
      <c r="G79">
        <v>206769.44</v>
      </c>
      <c r="H79">
        <v>209438.27</v>
      </c>
      <c r="I79">
        <v>226875.63</v>
      </c>
    </row>
    <row r="80" spans="1:9" x14ac:dyDescent="0.3">
      <c r="A80" t="s">
        <v>154</v>
      </c>
      <c r="B80" t="s">
        <v>97</v>
      </c>
      <c r="C80" t="s">
        <v>163</v>
      </c>
      <c r="D80">
        <v>405911.85</v>
      </c>
      <c r="E80">
        <v>190120.75</v>
      </c>
      <c r="F80">
        <v>182183.42</v>
      </c>
      <c r="G80">
        <v>304582.51</v>
      </c>
      <c r="H80">
        <v>404582.51</v>
      </c>
      <c r="I80">
        <v>404582.51</v>
      </c>
    </row>
    <row r="81" spans="1:9" x14ac:dyDescent="0.3">
      <c r="A81" t="s">
        <v>154</v>
      </c>
      <c r="B81" t="s">
        <v>97</v>
      </c>
      <c r="C81" t="s">
        <v>134</v>
      </c>
      <c r="D81">
        <v>71750.81</v>
      </c>
      <c r="E81">
        <v>48538.93</v>
      </c>
      <c r="F81">
        <v>56983.17</v>
      </c>
      <c r="G81">
        <v>39350.230000000003</v>
      </c>
      <c r="H81">
        <v>10104.99</v>
      </c>
      <c r="I81">
        <v>7125.43</v>
      </c>
    </row>
    <row r="82" spans="1:9" x14ac:dyDescent="0.3">
      <c r="A82" t="s">
        <v>154</v>
      </c>
      <c r="B82" t="s">
        <v>97</v>
      </c>
      <c r="C82" t="s">
        <v>164</v>
      </c>
      <c r="D82">
        <v>-111426.92</v>
      </c>
      <c r="E82">
        <v>-63888.5</v>
      </c>
      <c r="F82">
        <v>-68637.17</v>
      </c>
      <c r="G82">
        <v>-65782.850000000006</v>
      </c>
      <c r="H82">
        <v>-35118.67</v>
      </c>
      <c r="I82">
        <v>-32385.78</v>
      </c>
    </row>
    <row r="83" spans="1:9" x14ac:dyDescent="0.3">
      <c r="A83" t="s">
        <v>154</v>
      </c>
      <c r="B83" t="s">
        <v>97</v>
      </c>
      <c r="C83" t="s">
        <v>165</v>
      </c>
      <c r="D83">
        <v>18805.41</v>
      </c>
      <c r="E83">
        <v>13854.85</v>
      </c>
      <c r="F83">
        <v>7582.48</v>
      </c>
      <c r="G83">
        <v>4746.93</v>
      </c>
      <c r="H83">
        <v>5401.7</v>
      </c>
      <c r="I83">
        <v>3238.96</v>
      </c>
    </row>
    <row r="84" spans="1:9" x14ac:dyDescent="0.3">
      <c r="A84" t="s">
        <v>154</v>
      </c>
      <c r="B84" t="s">
        <v>97</v>
      </c>
      <c r="C84" t="s">
        <v>166</v>
      </c>
      <c r="D84">
        <v>1229949.04</v>
      </c>
      <c r="E84">
        <v>446527.52</v>
      </c>
      <c r="F84">
        <v>320727.14</v>
      </c>
      <c r="G84">
        <v>89011.01</v>
      </c>
      <c r="H84">
        <v>226030.99</v>
      </c>
      <c r="I84">
        <v>15893.9</v>
      </c>
    </row>
    <row r="85" spans="1:9" x14ac:dyDescent="0.3">
      <c r="A85" t="s">
        <v>154</v>
      </c>
      <c r="B85" t="s">
        <v>97</v>
      </c>
      <c r="C85" t="s">
        <v>135</v>
      </c>
      <c r="D85">
        <v>0</v>
      </c>
      <c r="E85">
        <v>71200</v>
      </c>
      <c r="F85">
        <v>40000</v>
      </c>
      <c r="G85">
        <v>0</v>
      </c>
      <c r="H85">
        <v>0</v>
      </c>
      <c r="I85">
        <v>0</v>
      </c>
    </row>
    <row r="86" spans="1:9" x14ac:dyDescent="0.3">
      <c r="A86" t="s">
        <v>154</v>
      </c>
      <c r="B86" t="s">
        <v>97</v>
      </c>
      <c r="C86" t="s">
        <v>136</v>
      </c>
      <c r="D86">
        <v>127202.22</v>
      </c>
      <c r="E86">
        <v>229341.98</v>
      </c>
      <c r="F86">
        <v>456181.59</v>
      </c>
      <c r="G86">
        <v>601264.13</v>
      </c>
      <c r="H86">
        <v>250868.98</v>
      </c>
      <c r="I86">
        <v>124018.02</v>
      </c>
    </row>
    <row r="87" spans="1:9" x14ac:dyDescent="0.3">
      <c r="A87" t="s">
        <v>154</v>
      </c>
      <c r="B87" t="s">
        <v>97</v>
      </c>
      <c r="C87" t="s">
        <v>138</v>
      </c>
      <c r="D87">
        <v>1942170.42</v>
      </c>
      <c r="E87">
        <v>1066681.57</v>
      </c>
      <c r="F87">
        <v>1124036.22</v>
      </c>
      <c r="G87">
        <v>1186661.42</v>
      </c>
      <c r="H87">
        <v>1078096.02</v>
      </c>
      <c r="I87">
        <v>754729.79</v>
      </c>
    </row>
    <row r="88" spans="1:9" x14ac:dyDescent="0.3">
      <c r="A88" t="s">
        <v>154</v>
      </c>
      <c r="B88" t="s">
        <v>97</v>
      </c>
      <c r="C88" t="s">
        <v>139</v>
      </c>
      <c r="D88">
        <v>-859167.97</v>
      </c>
      <c r="E88">
        <v>223456.16</v>
      </c>
      <c r="F88">
        <v>331000.2</v>
      </c>
      <c r="G88">
        <v>282448.86</v>
      </c>
      <c r="H88">
        <v>207531.97</v>
      </c>
      <c r="I88">
        <v>78648.61</v>
      </c>
    </row>
    <row r="89" spans="1:9" x14ac:dyDescent="0.3">
      <c r="A89" t="s">
        <v>154</v>
      </c>
      <c r="B89" t="s">
        <v>97</v>
      </c>
      <c r="C89" t="s">
        <v>140</v>
      </c>
      <c r="D89">
        <v>-859167.97</v>
      </c>
      <c r="E89">
        <v>223456.16</v>
      </c>
      <c r="F89">
        <v>331000.2</v>
      </c>
      <c r="G89">
        <v>282448.86</v>
      </c>
      <c r="H89">
        <v>207531.97</v>
      </c>
      <c r="I89">
        <v>78648.61</v>
      </c>
    </row>
    <row r="90" spans="1:9" x14ac:dyDescent="0.3">
      <c r="A90" t="s">
        <v>154</v>
      </c>
      <c r="B90" t="s">
        <v>97</v>
      </c>
      <c r="C90" t="s">
        <v>141</v>
      </c>
      <c r="D90">
        <v>29940</v>
      </c>
      <c r="E90">
        <v>27450</v>
      </c>
      <c r="F90">
        <v>29835</v>
      </c>
      <c r="G90">
        <v>29835</v>
      </c>
      <c r="H90">
        <v>29835</v>
      </c>
      <c r="I90">
        <v>27615</v>
      </c>
    </row>
    <row r="91" spans="1:9" x14ac:dyDescent="0.3">
      <c r="A91" t="s">
        <v>154</v>
      </c>
      <c r="B91" t="s">
        <v>97</v>
      </c>
      <c r="C91" t="s">
        <v>167</v>
      </c>
      <c r="D91">
        <v>97996.61</v>
      </c>
      <c r="E91">
        <v>35910.57</v>
      </c>
      <c r="F91">
        <v>93591.56</v>
      </c>
      <c r="G91">
        <v>93591.56</v>
      </c>
      <c r="H91">
        <v>93591.56</v>
      </c>
      <c r="I91">
        <v>39901.57</v>
      </c>
    </row>
    <row r="92" spans="1:9" x14ac:dyDescent="0.3">
      <c r="A92" t="s">
        <v>154</v>
      </c>
      <c r="B92" t="s">
        <v>97</v>
      </c>
      <c r="C92" t="s">
        <v>142</v>
      </c>
      <c r="D92">
        <v>154990.79999999999</v>
      </c>
      <c r="E92">
        <v>188804.56</v>
      </c>
      <c r="F92">
        <v>78427.3</v>
      </c>
      <c r="G92">
        <v>60312.53</v>
      </c>
      <c r="H92">
        <v>9082.59</v>
      </c>
      <c r="I92">
        <v>2554.29</v>
      </c>
    </row>
    <row r="93" spans="1:9" x14ac:dyDescent="0.3">
      <c r="A93" t="s">
        <v>154</v>
      </c>
      <c r="B93" t="s">
        <v>97</v>
      </c>
      <c r="C93" t="s">
        <v>143</v>
      </c>
      <c r="D93">
        <v>0</v>
      </c>
      <c r="E93">
        <v>0</v>
      </c>
      <c r="F93">
        <v>0</v>
      </c>
      <c r="G93">
        <v>0</v>
      </c>
      <c r="H93">
        <v>0</v>
      </c>
      <c r="I93">
        <v>-3694.42</v>
      </c>
    </row>
    <row r="94" spans="1:9" x14ac:dyDescent="0.3">
      <c r="A94" t="s">
        <v>154</v>
      </c>
      <c r="B94" t="s">
        <v>97</v>
      </c>
      <c r="C94" t="s">
        <v>144</v>
      </c>
      <c r="D94">
        <v>-1142690.1200000001</v>
      </c>
      <c r="E94">
        <v>-33813.75</v>
      </c>
      <c r="F94">
        <v>124041.55</v>
      </c>
      <c r="G94">
        <v>98709.77</v>
      </c>
      <c r="H94">
        <v>75022.820000000007</v>
      </c>
      <c r="I94">
        <v>12272.16</v>
      </c>
    </row>
    <row r="95" spans="1:9" x14ac:dyDescent="0.3">
      <c r="A95" t="s">
        <v>154</v>
      </c>
      <c r="B95" t="s">
        <v>97</v>
      </c>
      <c r="C95" t="s">
        <v>168</v>
      </c>
      <c r="D95">
        <v>594.73</v>
      </c>
      <c r="E95">
        <v>5104.78</v>
      </c>
      <c r="F95">
        <v>5104.78</v>
      </c>
      <c r="G95">
        <v>0</v>
      </c>
      <c r="H95">
        <v>0</v>
      </c>
      <c r="I95">
        <v>0</v>
      </c>
    </row>
    <row r="96" spans="1:9" x14ac:dyDescent="0.3">
      <c r="A96" t="s">
        <v>154</v>
      </c>
      <c r="B96" t="s">
        <v>97</v>
      </c>
      <c r="C96" t="s">
        <v>145</v>
      </c>
      <c r="D96">
        <v>2801338.39</v>
      </c>
      <c r="E96">
        <v>843225.41</v>
      </c>
      <c r="F96">
        <v>793036.02</v>
      </c>
      <c r="G96">
        <v>904212.56</v>
      </c>
      <c r="H96">
        <v>870564.04</v>
      </c>
      <c r="I96">
        <v>676081.18</v>
      </c>
    </row>
    <row r="97" spans="1:9" x14ac:dyDescent="0.3">
      <c r="A97" t="s">
        <v>154</v>
      </c>
      <c r="B97" t="s">
        <v>97</v>
      </c>
      <c r="C97" t="s">
        <v>146</v>
      </c>
      <c r="D97">
        <v>1708582.37</v>
      </c>
      <c r="E97">
        <v>563207.4</v>
      </c>
      <c r="F97">
        <v>411319.6</v>
      </c>
      <c r="G97">
        <v>384060.1</v>
      </c>
      <c r="H97">
        <v>79504.5</v>
      </c>
      <c r="I97">
        <v>9073.0400000000009</v>
      </c>
    </row>
    <row r="98" spans="1:9" x14ac:dyDescent="0.3">
      <c r="A98" t="s">
        <v>154</v>
      </c>
      <c r="B98" t="s">
        <v>97</v>
      </c>
      <c r="C98" t="s">
        <v>147</v>
      </c>
      <c r="D98">
        <v>1706894.02</v>
      </c>
      <c r="E98">
        <v>562109.24</v>
      </c>
      <c r="F98">
        <v>409569.26</v>
      </c>
      <c r="G98">
        <v>383819.41</v>
      </c>
      <c r="H98">
        <v>79034.89</v>
      </c>
      <c r="I98">
        <v>8933.7000000000007</v>
      </c>
    </row>
    <row r="99" spans="1:9" x14ac:dyDescent="0.3">
      <c r="A99" t="s">
        <v>154</v>
      </c>
      <c r="B99" t="s">
        <v>97</v>
      </c>
      <c r="C99" t="s">
        <v>148</v>
      </c>
      <c r="D99">
        <v>1688.35</v>
      </c>
      <c r="E99">
        <v>1098.1600000000001</v>
      </c>
      <c r="F99">
        <v>1750.34</v>
      </c>
      <c r="G99">
        <v>240.69</v>
      </c>
      <c r="H99">
        <v>469.6</v>
      </c>
      <c r="I99">
        <v>139.33000000000001</v>
      </c>
    </row>
    <row r="100" spans="1:9" x14ac:dyDescent="0.3">
      <c r="A100" t="s">
        <v>154</v>
      </c>
      <c r="B100" t="s">
        <v>97</v>
      </c>
      <c r="C100" t="s">
        <v>149</v>
      </c>
      <c r="D100">
        <v>1092756.02</v>
      </c>
      <c r="E100">
        <v>280018.01</v>
      </c>
      <c r="F100">
        <v>381716.42</v>
      </c>
      <c r="G100">
        <v>520152.46</v>
      </c>
      <c r="H100">
        <v>791059.55</v>
      </c>
      <c r="I100">
        <v>667008.14</v>
      </c>
    </row>
    <row r="101" spans="1:9" x14ac:dyDescent="0.3">
      <c r="A101" t="s">
        <v>154</v>
      </c>
      <c r="B101" t="s">
        <v>97</v>
      </c>
      <c r="C101" t="s">
        <v>169</v>
      </c>
      <c r="D101">
        <v>92794.38</v>
      </c>
      <c r="E101">
        <v>137816.32999999999</v>
      </c>
      <c r="F101">
        <v>188467.17</v>
      </c>
      <c r="G101">
        <v>134847.18</v>
      </c>
      <c r="H101">
        <v>241886.09</v>
      </c>
      <c r="I101">
        <v>190430.59</v>
      </c>
    </row>
    <row r="102" spans="1:9" x14ac:dyDescent="0.3">
      <c r="A102" t="s">
        <v>154</v>
      </c>
      <c r="B102" t="s">
        <v>97</v>
      </c>
      <c r="C102" t="s">
        <v>150</v>
      </c>
      <c r="D102">
        <v>986536.7</v>
      </c>
      <c r="E102">
        <v>66843.55</v>
      </c>
      <c r="F102">
        <v>162766.29999999999</v>
      </c>
      <c r="G102">
        <v>361859.51</v>
      </c>
      <c r="H102">
        <v>513003.9</v>
      </c>
      <c r="I102">
        <v>395575.23</v>
      </c>
    </row>
    <row r="103" spans="1:9" x14ac:dyDescent="0.3">
      <c r="A103" t="s">
        <v>154</v>
      </c>
      <c r="B103" t="s">
        <v>97</v>
      </c>
      <c r="C103" t="s">
        <v>151</v>
      </c>
      <c r="D103">
        <v>960692.11</v>
      </c>
      <c r="E103">
        <v>51245.88</v>
      </c>
      <c r="F103">
        <v>143790.20000000001</v>
      </c>
      <c r="G103">
        <v>340033.31</v>
      </c>
      <c r="H103">
        <v>497078.3</v>
      </c>
      <c r="I103">
        <v>382360.69</v>
      </c>
    </row>
    <row r="104" spans="1:9" x14ac:dyDescent="0.3">
      <c r="A104" t="s">
        <v>154</v>
      </c>
      <c r="B104" t="s">
        <v>97</v>
      </c>
      <c r="C104" t="s">
        <v>170</v>
      </c>
      <c r="D104">
        <v>529.41999999999996</v>
      </c>
      <c r="E104">
        <v>529.41999999999996</v>
      </c>
      <c r="F104">
        <v>472.96</v>
      </c>
      <c r="G104">
        <v>472.96</v>
      </c>
      <c r="H104">
        <v>6.64</v>
      </c>
      <c r="I104">
        <v>2202.46</v>
      </c>
    </row>
    <row r="105" spans="1:9" x14ac:dyDescent="0.3">
      <c r="A105" t="s">
        <v>154</v>
      </c>
      <c r="B105" t="s">
        <v>97</v>
      </c>
      <c r="C105" t="s">
        <v>152</v>
      </c>
      <c r="D105">
        <v>25315.16</v>
      </c>
      <c r="E105">
        <v>15068.25</v>
      </c>
      <c r="F105">
        <v>18503.150000000001</v>
      </c>
      <c r="G105">
        <v>21353.25</v>
      </c>
      <c r="H105">
        <v>15918.95</v>
      </c>
      <c r="I105">
        <v>11012.08</v>
      </c>
    </row>
    <row r="106" spans="1:9" x14ac:dyDescent="0.3">
      <c r="A106" t="s">
        <v>154</v>
      </c>
      <c r="B106" t="s">
        <v>97</v>
      </c>
      <c r="C106" t="s">
        <v>147</v>
      </c>
      <c r="D106">
        <v>8200.5</v>
      </c>
      <c r="E106">
        <v>7837.6</v>
      </c>
      <c r="F106">
        <v>21629.7</v>
      </c>
      <c r="G106">
        <v>18759.71</v>
      </c>
      <c r="H106">
        <v>25619.35</v>
      </c>
      <c r="I106">
        <v>13000.57</v>
      </c>
    </row>
    <row r="107" spans="1:9" x14ac:dyDescent="0.3">
      <c r="A107" t="s">
        <v>154</v>
      </c>
      <c r="B107" t="s">
        <v>97</v>
      </c>
      <c r="C107" t="s">
        <v>153</v>
      </c>
      <c r="D107">
        <v>985.02</v>
      </c>
      <c r="E107">
        <v>61067.06</v>
      </c>
      <c r="F107">
        <v>949.94</v>
      </c>
      <c r="G107">
        <v>982.4</v>
      </c>
      <c r="H107">
        <v>1102.69</v>
      </c>
      <c r="I107">
        <v>64761.69</v>
      </c>
    </row>
    <row r="108" spans="1:9" x14ac:dyDescent="0.3">
      <c r="A108" t="s">
        <v>154</v>
      </c>
      <c r="B108" t="s">
        <v>97</v>
      </c>
      <c r="C108" t="s">
        <v>171</v>
      </c>
      <c r="D108">
        <v>4239.43</v>
      </c>
      <c r="E108">
        <v>6453.47</v>
      </c>
      <c r="F108">
        <v>7903.3</v>
      </c>
      <c r="G108">
        <v>3703.65</v>
      </c>
      <c r="H108">
        <v>9447.5300000000007</v>
      </c>
      <c r="I108">
        <v>3240.06</v>
      </c>
    </row>
    <row r="109" spans="1:9" x14ac:dyDescent="0.3">
      <c r="A109" t="s">
        <v>172</v>
      </c>
      <c r="B109" t="s">
        <v>97</v>
      </c>
      <c r="C109" t="s">
        <v>105</v>
      </c>
      <c r="D109">
        <v>2961355.73</v>
      </c>
      <c r="E109">
        <v>2700282.94</v>
      </c>
      <c r="F109">
        <v>2512061.2999999998</v>
      </c>
      <c r="G109">
        <v>2181439.5699999998</v>
      </c>
      <c r="H109">
        <v>2102673.62</v>
      </c>
      <c r="I109">
        <v>1951986.2</v>
      </c>
    </row>
    <row r="110" spans="1:9" x14ac:dyDescent="0.3">
      <c r="A110" t="s">
        <v>172</v>
      </c>
      <c r="B110" t="s">
        <v>97</v>
      </c>
      <c r="C110" t="s">
        <v>155</v>
      </c>
      <c r="D110">
        <v>2961355.73</v>
      </c>
      <c r="E110">
        <v>2700282.94</v>
      </c>
      <c r="F110">
        <v>2512061.2999999998</v>
      </c>
      <c r="G110">
        <v>2181439.5699999998</v>
      </c>
      <c r="H110">
        <v>2102673.62</v>
      </c>
      <c r="I110">
        <v>1951986.2</v>
      </c>
    </row>
    <row r="111" spans="1:9" x14ac:dyDescent="0.3">
      <c r="A111" t="s">
        <v>172</v>
      </c>
      <c r="B111" t="s">
        <v>97</v>
      </c>
      <c r="C111" t="s">
        <v>108</v>
      </c>
      <c r="D111">
        <v>30945.26</v>
      </c>
      <c r="E111">
        <v>27449.63</v>
      </c>
      <c r="F111">
        <v>25451.39</v>
      </c>
      <c r="G111">
        <v>29964.94</v>
      </c>
      <c r="H111">
        <v>21949.89</v>
      </c>
      <c r="I111">
        <v>16145.96</v>
      </c>
    </row>
    <row r="112" spans="1:9" x14ac:dyDescent="0.3">
      <c r="A112" t="s">
        <v>172</v>
      </c>
      <c r="B112" t="s">
        <v>97</v>
      </c>
      <c r="C112" t="s">
        <v>156</v>
      </c>
      <c r="D112">
        <v>87448.18</v>
      </c>
      <c r="E112">
        <v>69471.899999999994</v>
      </c>
      <c r="F112">
        <v>62279.19</v>
      </c>
      <c r="G112">
        <v>60333.97</v>
      </c>
      <c r="H112">
        <v>49699.11</v>
      </c>
      <c r="I112">
        <v>42881.84</v>
      </c>
    </row>
    <row r="113" spans="1:9" x14ac:dyDescent="0.3">
      <c r="A113" t="s">
        <v>172</v>
      </c>
      <c r="B113" t="s">
        <v>97</v>
      </c>
      <c r="C113" t="s">
        <v>157</v>
      </c>
      <c r="D113">
        <v>1312.92</v>
      </c>
      <c r="E113">
        <v>1385.48</v>
      </c>
      <c r="F113">
        <v>831.03</v>
      </c>
      <c r="G113">
        <v>1143.83</v>
      </c>
      <c r="H113">
        <v>464.11</v>
      </c>
      <c r="I113">
        <v>1489.72</v>
      </c>
    </row>
    <row r="114" spans="1:9" x14ac:dyDescent="0.3">
      <c r="A114" t="s">
        <v>172</v>
      </c>
      <c r="B114" t="s">
        <v>97</v>
      </c>
      <c r="C114" t="s">
        <v>158</v>
      </c>
      <c r="D114">
        <v>-48.27</v>
      </c>
      <c r="E114">
        <v>-61.54</v>
      </c>
      <c r="F114">
        <v>-136.91</v>
      </c>
      <c r="G114">
        <v>-35.71</v>
      </c>
      <c r="H114">
        <v>-34.03</v>
      </c>
      <c r="I114">
        <v>-46.32</v>
      </c>
    </row>
    <row r="115" spans="1:9" x14ac:dyDescent="0.3">
      <c r="A115" t="s">
        <v>172</v>
      </c>
      <c r="B115" t="s">
        <v>97</v>
      </c>
      <c r="C115" t="s">
        <v>106</v>
      </c>
      <c r="D115">
        <v>2726990.24</v>
      </c>
      <c r="E115">
        <v>2975120.95</v>
      </c>
      <c r="F115">
        <v>2830675.29</v>
      </c>
      <c r="G115">
        <v>2555555.5699999998</v>
      </c>
      <c r="H115">
        <v>2009545.85</v>
      </c>
      <c r="I115">
        <v>1920536.45</v>
      </c>
    </row>
    <row r="116" spans="1:9" x14ac:dyDescent="0.3">
      <c r="A116" t="s">
        <v>172</v>
      </c>
      <c r="B116" t="s">
        <v>97</v>
      </c>
      <c r="C116" t="s">
        <v>109</v>
      </c>
      <c r="D116">
        <v>183873.34</v>
      </c>
      <c r="E116">
        <v>135527.43</v>
      </c>
      <c r="F116">
        <v>14453.12</v>
      </c>
      <c r="G116">
        <v>49882.27</v>
      </c>
      <c r="H116">
        <v>22284.12</v>
      </c>
      <c r="I116">
        <v>151697.07</v>
      </c>
    </row>
    <row r="117" spans="1:9" x14ac:dyDescent="0.3">
      <c r="A117" t="s">
        <v>172</v>
      </c>
      <c r="B117" t="s">
        <v>97</v>
      </c>
      <c r="C117" t="s">
        <v>113</v>
      </c>
      <c r="D117">
        <v>-69262.48</v>
      </c>
      <c r="E117">
        <v>-508733.98</v>
      </c>
      <c r="F117">
        <v>-421787.84</v>
      </c>
      <c r="G117">
        <v>-516697.14</v>
      </c>
      <c r="H117">
        <v>-1303.49</v>
      </c>
      <c r="I117">
        <v>-180811.16</v>
      </c>
    </row>
    <row r="118" spans="1:9" x14ac:dyDescent="0.3">
      <c r="A118" t="s">
        <v>172</v>
      </c>
      <c r="B118" t="s">
        <v>97</v>
      </c>
      <c r="C118" t="s">
        <v>114</v>
      </c>
      <c r="D118">
        <v>114610.86</v>
      </c>
      <c r="E118">
        <v>-373206.55</v>
      </c>
      <c r="F118">
        <v>-407334.72</v>
      </c>
      <c r="G118">
        <v>-466814.87</v>
      </c>
      <c r="H118">
        <v>20980.63</v>
      </c>
      <c r="I118">
        <v>-29114.09</v>
      </c>
    </row>
    <row r="119" spans="1:9" x14ac:dyDescent="0.3">
      <c r="A119" t="s">
        <v>172</v>
      </c>
      <c r="B119" t="s">
        <v>97</v>
      </c>
      <c r="C119" t="s">
        <v>115</v>
      </c>
      <c r="D119">
        <v>-6152.27</v>
      </c>
      <c r="E119">
        <v>-6675.6</v>
      </c>
      <c r="F119">
        <v>-9712.5300000000007</v>
      </c>
      <c r="G119">
        <v>-1040.68</v>
      </c>
      <c r="H119">
        <v>-1992.78</v>
      </c>
      <c r="I119">
        <v>-1844.06</v>
      </c>
    </row>
    <row r="120" spans="1:9" x14ac:dyDescent="0.3">
      <c r="A120" t="s">
        <v>172</v>
      </c>
      <c r="B120" t="s">
        <v>97</v>
      </c>
      <c r="C120" t="s">
        <v>118</v>
      </c>
      <c r="D120">
        <v>6152.27</v>
      </c>
      <c r="E120">
        <v>6675.6</v>
      </c>
      <c r="F120">
        <v>9712.5300000000007</v>
      </c>
      <c r="G120">
        <v>1040.68</v>
      </c>
      <c r="H120">
        <v>1992.78</v>
      </c>
      <c r="I120">
        <v>1844.06</v>
      </c>
    </row>
    <row r="121" spans="1:9" x14ac:dyDescent="0.3">
      <c r="A121" t="s">
        <v>172</v>
      </c>
      <c r="B121" t="s">
        <v>97</v>
      </c>
      <c r="C121" t="s">
        <v>159</v>
      </c>
      <c r="D121">
        <v>6151.99</v>
      </c>
      <c r="E121">
        <v>1416.85</v>
      </c>
      <c r="F121">
        <v>2291.62</v>
      </c>
      <c r="G121">
        <v>567.12</v>
      </c>
      <c r="H121">
        <v>1543.68</v>
      </c>
      <c r="I121">
        <v>1623.44</v>
      </c>
    </row>
    <row r="122" spans="1:9" x14ac:dyDescent="0.3">
      <c r="A122" t="s">
        <v>172</v>
      </c>
      <c r="B122" t="s">
        <v>97</v>
      </c>
      <c r="C122" t="s">
        <v>173</v>
      </c>
      <c r="D122">
        <v>-0.28000000000000003</v>
      </c>
      <c r="E122">
        <v>0</v>
      </c>
      <c r="F122">
        <v>-460.13</v>
      </c>
      <c r="G122">
        <v>-473.56</v>
      </c>
      <c r="H122">
        <v>-449.1</v>
      </c>
      <c r="I122">
        <v>-220.63</v>
      </c>
    </row>
    <row r="123" spans="1:9" x14ac:dyDescent="0.3">
      <c r="A123" t="s">
        <v>172</v>
      </c>
      <c r="B123" t="s">
        <v>97</v>
      </c>
      <c r="C123" t="s">
        <v>119</v>
      </c>
      <c r="D123">
        <v>0</v>
      </c>
      <c r="E123">
        <v>5258.74</v>
      </c>
      <c r="F123">
        <v>6960.78</v>
      </c>
      <c r="G123">
        <v>0</v>
      </c>
      <c r="H123">
        <v>0</v>
      </c>
      <c r="I123">
        <v>0</v>
      </c>
    </row>
    <row r="124" spans="1:9" x14ac:dyDescent="0.3">
      <c r="A124" t="s">
        <v>172</v>
      </c>
      <c r="B124" t="s">
        <v>97</v>
      </c>
      <c r="C124" t="s">
        <v>120</v>
      </c>
      <c r="D124">
        <v>129101.81</v>
      </c>
      <c r="E124">
        <v>66530.95</v>
      </c>
      <c r="F124">
        <v>14384.15</v>
      </c>
      <c r="G124">
        <v>35986.94</v>
      </c>
      <c r="H124">
        <v>20244.29</v>
      </c>
      <c r="I124">
        <v>-2496.3000000000002</v>
      </c>
    </row>
    <row r="125" spans="1:9" x14ac:dyDescent="0.3">
      <c r="A125" t="s">
        <v>172</v>
      </c>
      <c r="B125" t="s">
        <v>97</v>
      </c>
      <c r="C125" t="s">
        <v>121</v>
      </c>
      <c r="D125">
        <v>131821.13</v>
      </c>
      <c r="E125">
        <v>70313.279999999999</v>
      </c>
      <c r="F125">
        <v>17555.04</v>
      </c>
      <c r="G125">
        <v>49764.94</v>
      </c>
      <c r="H125">
        <v>25817.96</v>
      </c>
      <c r="I125">
        <v>5071.92</v>
      </c>
    </row>
    <row r="126" spans="1:9" x14ac:dyDescent="0.3">
      <c r="A126" t="s">
        <v>172</v>
      </c>
      <c r="B126" t="s">
        <v>97</v>
      </c>
      <c r="C126" t="s">
        <v>122</v>
      </c>
      <c r="D126">
        <v>2719.31</v>
      </c>
      <c r="E126">
        <v>3782.33</v>
      </c>
      <c r="F126">
        <v>3170.89</v>
      </c>
      <c r="G126">
        <v>13778</v>
      </c>
      <c r="H126">
        <v>5573.67</v>
      </c>
      <c r="I126">
        <v>7568.22</v>
      </c>
    </row>
    <row r="127" spans="1:9" x14ac:dyDescent="0.3">
      <c r="A127" t="s">
        <v>172</v>
      </c>
      <c r="B127" t="s">
        <v>97</v>
      </c>
      <c r="C127" t="s">
        <v>123</v>
      </c>
      <c r="D127">
        <v>53687.07</v>
      </c>
      <c r="E127">
        <v>-448878.62</v>
      </c>
      <c r="F127">
        <v>-417116.22</v>
      </c>
      <c r="G127">
        <v>-481750.88</v>
      </c>
      <c r="H127">
        <v>16948.02</v>
      </c>
      <c r="I127">
        <v>-185151.53</v>
      </c>
    </row>
    <row r="128" spans="1:9" x14ac:dyDescent="0.3">
      <c r="A128" t="s">
        <v>172</v>
      </c>
      <c r="B128" t="s">
        <v>97</v>
      </c>
      <c r="C128" t="s">
        <v>124</v>
      </c>
      <c r="D128">
        <v>-80.040000000000006</v>
      </c>
      <c r="E128">
        <v>-73.61</v>
      </c>
      <c r="F128">
        <v>-35.46</v>
      </c>
      <c r="G128">
        <v>-10.52</v>
      </c>
      <c r="H128">
        <v>-25.15</v>
      </c>
      <c r="I128">
        <v>-8.2100000000000009</v>
      </c>
    </row>
    <row r="129" spans="1:9" x14ac:dyDescent="0.3">
      <c r="A129" t="s">
        <v>172</v>
      </c>
      <c r="B129" t="s">
        <v>97</v>
      </c>
      <c r="C129" t="s">
        <v>125</v>
      </c>
      <c r="D129">
        <v>53607.02</v>
      </c>
      <c r="E129">
        <v>-448952.24</v>
      </c>
      <c r="F129">
        <v>-417151.68</v>
      </c>
      <c r="G129">
        <v>-481761.4</v>
      </c>
      <c r="H129">
        <v>16922.87</v>
      </c>
      <c r="I129">
        <v>-185159.73</v>
      </c>
    </row>
    <row r="130" spans="1:9" x14ac:dyDescent="0.3">
      <c r="A130" t="s">
        <v>172</v>
      </c>
      <c r="B130" t="s">
        <v>97</v>
      </c>
      <c r="C130" t="s">
        <v>126</v>
      </c>
      <c r="D130">
        <v>53607.02</v>
      </c>
      <c r="E130">
        <v>-448952.24</v>
      </c>
      <c r="F130">
        <v>-417151.68</v>
      </c>
      <c r="G130">
        <v>-481761.4</v>
      </c>
      <c r="H130">
        <v>16922.87</v>
      </c>
      <c r="I130">
        <v>-185159.73</v>
      </c>
    </row>
    <row r="131" spans="1:9" x14ac:dyDescent="0.3">
      <c r="A131" t="s">
        <v>172</v>
      </c>
      <c r="B131" t="s">
        <v>97</v>
      </c>
      <c r="C131" t="s">
        <v>127</v>
      </c>
      <c r="D131">
        <v>375766.44</v>
      </c>
      <c r="E131">
        <v>229665.52</v>
      </c>
      <c r="F131">
        <v>358831.4</v>
      </c>
      <c r="G131">
        <v>349522.19</v>
      </c>
      <c r="H131">
        <v>406993.66</v>
      </c>
      <c r="I131">
        <v>372945.32</v>
      </c>
    </row>
    <row r="132" spans="1:9" x14ac:dyDescent="0.3">
      <c r="A132" t="s">
        <v>172</v>
      </c>
      <c r="B132" t="s">
        <v>97</v>
      </c>
      <c r="C132" t="s">
        <v>128</v>
      </c>
      <c r="D132">
        <v>11732.04</v>
      </c>
      <c r="E132">
        <v>18774.05</v>
      </c>
      <c r="F132">
        <v>24989.66</v>
      </c>
      <c r="G132">
        <v>28710.73</v>
      </c>
      <c r="H132">
        <v>29875.29</v>
      </c>
      <c r="I132">
        <v>30208.78</v>
      </c>
    </row>
    <row r="133" spans="1:9" x14ac:dyDescent="0.3">
      <c r="A133" t="s">
        <v>172</v>
      </c>
      <c r="B133" t="s">
        <v>97</v>
      </c>
      <c r="C133" t="s">
        <v>129</v>
      </c>
      <c r="D133">
        <v>10412.26</v>
      </c>
      <c r="E133">
        <v>10658.6</v>
      </c>
      <c r="F133">
        <v>9878.7000000000007</v>
      </c>
      <c r="G133">
        <v>10632.71</v>
      </c>
      <c r="H133">
        <v>10479.290000000001</v>
      </c>
      <c r="I133">
        <v>10875.06</v>
      </c>
    </row>
    <row r="134" spans="1:9" x14ac:dyDescent="0.3">
      <c r="A134" t="s">
        <v>172</v>
      </c>
      <c r="B134" t="s">
        <v>97</v>
      </c>
      <c r="C134" t="s">
        <v>160</v>
      </c>
      <c r="D134">
        <v>1319.77</v>
      </c>
      <c r="E134">
        <v>8115.45</v>
      </c>
      <c r="F134">
        <v>15110.96</v>
      </c>
      <c r="G134">
        <v>18073.36</v>
      </c>
      <c r="H134">
        <v>19396</v>
      </c>
      <c r="I134">
        <v>19333.72</v>
      </c>
    </row>
    <row r="135" spans="1:9" x14ac:dyDescent="0.3">
      <c r="A135" t="s">
        <v>172</v>
      </c>
      <c r="B135" t="s">
        <v>97</v>
      </c>
      <c r="C135" t="s">
        <v>161</v>
      </c>
      <c r="D135">
        <v>0</v>
      </c>
      <c r="E135">
        <v>0</v>
      </c>
      <c r="F135">
        <v>0</v>
      </c>
      <c r="G135">
        <v>4.67</v>
      </c>
      <c r="H135">
        <v>0</v>
      </c>
      <c r="I135">
        <v>0</v>
      </c>
    </row>
    <row r="136" spans="1:9" x14ac:dyDescent="0.3">
      <c r="A136" t="s">
        <v>172</v>
      </c>
      <c r="B136" t="s">
        <v>97</v>
      </c>
      <c r="C136" t="s">
        <v>132</v>
      </c>
      <c r="D136">
        <v>364034.4</v>
      </c>
      <c r="E136">
        <v>210891.47</v>
      </c>
      <c r="F136">
        <v>333841.74</v>
      </c>
      <c r="G136">
        <v>320811.46000000002</v>
      </c>
      <c r="H136">
        <v>377118.37</v>
      </c>
      <c r="I136">
        <v>342736.54</v>
      </c>
    </row>
    <row r="137" spans="1:9" x14ac:dyDescent="0.3">
      <c r="A137" t="s">
        <v>172</v>
      </c>
      <c r="B137" t="s">
        <v>97</v>
      </c>
      <c r="C137" t="s">
        <v>133</v>
      </c>
      <c r="D137">
        <v>293776.42</v>
      </c>
      <c r="E137">
        <v>145503.07</v>
      </c>
      <c r="F137">
        <v>187585.39</v>
      </c>
      <c r="G137">
        <v>257136.51</v>
      </c>
      <c r="H137">
        <v>305127.5</v>
      </c>
      <c r="I137">
        <v>303158.88</v>
      </c>
    </row>
    <row r="138" spans="1:9" x14ac:dyDescent="0.3">
      <c r="A138" t="s">
        <v>172</v>
      </c>
      <c r="B138" t="s">
        <v>97</v>
      </c>
      <c r="C138" t="s">
        <v>162</v>
      </c>
      <c r="D138">
        <v>282064.77</v>
      </c>
      <c r="E138">
        <v>184508.2</v>
      </c>
      <c r="F138">
        <v>181195.43</v>
      </c>
      <c r="G138">
        <v>222577.76</v>
      </c>
      <c r="H138">
        <v>381916.61</v>
      </c>
      <c r="I138">
        <v>410119.29</v>
      </c>
    </row>
    <row r="139" spans="1:9" x14ac:dyDescent="0.3">
      <c r="A139" t="s">
        <v>172</v>
      </c>
      <c r="B139" t="s">
        <v>97</v>
      </c>
      <c r="C139" t="s">
        <v>163</v>
      </c>
      <c r="D139">
        <v>413.51</v>
      </c>
      <c r="E139">
        <v>347.75</v>
      </c>
      <c r="F139">
        <v>347.75</v>
      </c>
      <c r="G139">
        <v>2026.81</v>
      </c>
      <c r="H139">
        <v>0</v>
      </c>
      <c r="I139">
        <v>0</v>
      </c>
    </row>
    <row r="140" spans="1:9" x14ac:dyDescent="0.3">
      <c r="A140" t="s">
        <v>172</v>
      </c>
      <c r="B140" t="s">
        <v>97</v>
      </c>
      <c r="C140" t="s">
        <v>134</v>
      </c>
      <c r="D140">
        <v>180183.56</v>
      </c>
      <c r="E140">
        <v>80668.570000000007</v>
      </c>
      <c r="F140">
        <v>65821.179999999993</v>
      </c>
      <c r="G140">
        <v>98406.61</v>
      </c>
      <c r="H140">
        <v>96225.15</v>
      </c>
      <c r="I140">
        <v>61309.71</v>
      </c>
    </row>
    <row r="141" spans="1:9" x14ac:dyDescent="0.3">
      <c r="A141" t="s">
        <v>172</v>
      </c>
      <c r="B141" t="s">
        <v>97</v>
      </c>
      <c r="C141" t="s">
        <v>164</v>
      </c>
      <c r="D141">
        <v>-168930.61</v>
      </c>
      <c r="E141">
        <v>-120051.75</v>
      </c>
      <c r="F141">
        <v>-59790.16</v>
      </c>
      <c r="G141">
        <v>-65879.91</v>
      </c>
      <c r="H141">
        <v>-173014.64</v>
      </c>
      <c r="I141">
        <v>-168276.57</v>
      </c>
    </row>
    <row r="142" spans="1:9" x14ac:dyDescent="0.3">
      <c r="A142" t="s">
        <v>172</v>
      </c>
      <c r="B142" t="s">
        <v>97</v>
      </c>
      <c r="C142" t="s">
        <v>165</v>
      </c>
      <c r="D142">
        <v>45.19</v>
      </c>
      <c r="E142">
        <v>30.3</v>
      </c>
      <c r="F142">
        <v>11.2</v>
      </c>
      <c r="G142">
        <v>5.24</v>
      </c>
      <c r="H142">
        <v>0.38</v>
      </c>
      <c r="I142">
        <v>6.44</v>
      </c>
    </row>
    <row r="143" spans="1:9" x14ac:dyDescent="0.3">
      <c r="A143" t="s">
        <v>172</v>
      </c>
      <c r="B143" t="s">
        <v>97</v>
      </c>
      <c r="C143" t="s">
        <v>166</v>
      </c>
      <c r="D143">
        <v>15422.4</v>
      </c>
      <c r="E143">
        <v>21626.67</v>
      </c>
      <c r="F143">
        <v>98576.54</v>
      </c>
      <c r="G143">
        <v>24265.82</v>
      </c>
      <c r="H143">
        <v>17680.2</v>
      </c>
      <c r="I143">
        <v>10507.17</v>
      </c>
    </row>
    <row r="144" spans="1:9" x14ac:dyDescent="0.3">
      <c r="A144" t="s">
        <v>172</v>
      </c>
      <c r="B144" t="s">
        <v>97</v>
      </c>
      <c r="C144" t="s">
        <v>135</v>
      </c>
      <c r="D144">
        <v>32603.18</v>
      </c>
      <c r="E144">
        <v>32279.58</v>
      </c>
      <c r="F144">
        <v>28296.19</v>
      </c>
      <c r="G144">
        <v>18700.75</v>
      </c>
      <c r="H144">
        <v>13053.26</v>
      </c>
      <c r="I144">
        <v>18810.09</v>
      </c>
    </row>
    <row r="145" spans="1:9" x14ac:dyDescent="0.3">
      <c r="A145" t="s">
        <v>172</v>
      </c>
      <c r="B145" t="s">
        <v>97</v>
      </c>
      <c r="C145" t="s">
        <v>136</v>
      </c>
      <c r="D145">
        <v>22232.400000000001</v>
      </c>
      <c r="E145">
        <v>11482.15</v>
      </c>
      <c r="F145">
        <v>19383.61</v>
      </c>
      <c r="G145">
        <v>20708.38</v>
      </c>
      <c r="H145">
        <v>41257.410000000003</v>
      </c>
      <c r="I145">
        <v>10260.4</v>
      </c>
    </row>
    <row r="146" spans="1:9" x14ac:dyDescent="0.3">
      <c r="A146" t="s">
        <v>172</v>
      </c>
      <c r="B146" t="s">
        <v>97</v>
      </c>
      <c r="C146" t="s">
        <v>138</v>
      </c>
      <c r="D146">
        <v>375766.44</v>
      </c>
      <c r="E146">
        <v>229665.52</v>
      </c>
      <c r="F146">
        <v>358831.4</v>
      </c>
      <c r="G146">
        <v>349522.19</v>
      </c>
      <c r="H146">
        <v>406993.66</v>
      </c>
      <c r="I146">
        <v>372945.32</v>
      </c>
    </row>
    <row r="147" spans="1:9" x14ac:dyDescent="0.3">
      <c r="A147" t="s">
        <v>172</v>
      </c>
      <c r="B147" t="s">
        <v>97</v>
      </c>
      <c r="C147" t="s">
        <v>139</v>
      </c>
      <c r="D147">
        <v>-1850416.55</v>
      </c>
      <c r="E147">
        <v>-1904023.57</v>
      </c>
      <c r="F147">
        <v>-1456277.19</v>
      </c>
      <c r="G147">
        <v>-1072524.8899999999</v>
      </c>
      <c r="H147">
        <v>-591723.25</v>
      </c>
      <c r="I147">
        <v>-607215.62</v>
      </c>
    </row>
    <row r="148" spans="1:9" x14ac:dyDescent="0.3">
      <c r="A148" t="s">
        <v>172</v>
      </c>
      <c r="B148" t="s">
        <v>97</v>
      </c>
      <c r="C148" t="s">
        <v>140</v>
      </c>
      <c r="D148">
        <v>-1850416.55</v>
      </c>
      <c r="E148">
        <v>-1904023.57</v>
      </c>
      <c r="F148">
        <v>-1456277.19</v>
      </c>
      <c r="G148">
        <v>-1072524.8899999999</v>
      </c>
      <c r="H148">
        <v>-591723.25</v>
      </c>
      <c r="I148">
        <v>-607215.62</v>
      </c>
    </row>
    <row r="149" spans="1:9" x14ac:dyDescent="0.3">
      <c r="A149" t="s">
        <v>172</v>
      </c>
      <c r="B149" t="s">
        <v>97</v>
      </c>
      <c r="C149" t="s">
        <v>141</v>
      </c>
      <c r="D149">
        <v>1033.99</v>
      </c>
      <c r="E149">
        <v>1033.99</v>
      </c>
      <c r="F149">
        <v>1033.99</v>
      </c>
      <c r="G149">
        <v>700</v>
      </c>
      <c r="H149">
        <v>700</v>
      </c>
      <c r="I149">
        <v>700</v>
      </c>
    </row>
    <row r="150" spans="1:9" x14ac:dyDescent="0.3">
      <c r="A150" t="s">
        <v>172</v>
      </c>
      <c r="B150" t="s">
        <v>97</v>
      </c>
      <c r="C150" t="s">
        <v>167</v>
      </c>
      <c r="D150">
        <v>33065.39</v>
      </c>
      <c r="E150">
        <v>33065.39</v>
      </c>
      <c r="F150">
        <v>33065.39</v>
      </c>
      <c r="G150">
        <v>0</v>
      </c>
      <c r="H150">
        <v>0</v>
      </c>
      <c r="I150">
        <v>30.5</v>
      </c>
    </row>
    <row r="151" spans="1:9" x14ac:dyDescent="0.3">
      <c r="A151" t="s">
        <v>172</v>
      </c>
      <c r="B151" t="s">
        <v>97</v>
      </c>
      <c r="C151" t="s">
        <v>142</v>
      </c>
      <c r="D151">
        <v>15551.14</v>
      </c>
      <c r="E151">
        <v>15551.14</v>
      </c>
      <c r="F151">
        <v>15551.14</v>
      </c>
      <c r="G151">
        <v>15551.14</v>
      </c>
      <c r="H151">
        <v>15551.14</v>
      </c>
      <c r="I151">
        <v>15551.14</v>
      </c>
    </row>
    <row r="152" spans="1:9" x14ac:dyDescent="0.3">
      <c r="A152" t="s">
        <v>172</v>
      </c>
      <c r="B152" t="s">
        <v>97</v>
      </c>
      <c r="C152" t="s">
        <v>143</v>
      </c>
      <c r="D152">
        <v>-2006388.59</v>
      </c>
      <c r="E152">
        <v>-1557436.35</v>
      </c>
      <c r="F152">
        <v>-1140284.67</v>
      </c>
      <c r="G152">
        <v>-658523.27</v>
      </c>
      <c r="H152">
        <v>-675446.15</v>
      </c>
      <c r="I152">
        <v>-488886.41</v>
      </c>
    </row>
    <row r="153" spans="1:9" x14ac:dyDescent="0.3">
      <c r="A153" t="s">
        <v>172</v>
      </c>
      <c r="B153" t="s">
        <v>97</v>
      </c>
      <c r="C153" t="s">
        <v>144</v>
      </c>
      <c r="D153">
        <v>53607.02</v>
      </c>
      <c r="E153">
        <v>-448952.24</v>
      </c>
      <c r="F153">
        <v>-417151.68</v>
      </c>
      <c r="G153">
        <v>-481761.4</v>
      </c>
      <c r="H153">
        <v>16922.87</v>
      </c>
      <c r="I153">
        <v>-185159.73</v>
      </c>
    </row>
    <row r="154" spans="1:9" x14ac:dyDescent="0.3">
      <c r="A154" t="s">
        <v>172</v>
      </c>
      <c r="B154" t="s">
        <v>97</v>
      </c>
      <c r="C154" t="s">
        <v>174</v>
      </c>
      <c r="D154">
        <v>52714.49</v>
      </c>
      <c r="E154">
        <v>52714.49</v>
      </c>
      <c r="F154">
        <v>51508.63</v>
      </c>
      <c r="G154">
        <v>51508.63</v>
      </c>
      <c r="H154">
        <v>50548.88</v>
      </c>
      <c r="I154">
        <v>50548.88</v>
      </c>
    </row>
    <row r="155" spans="1:9" x14ac:dyDescent="0.3">
      <c r="A155" t="s">
        <v>172</v>
      </c>
      <c r="B155" t="s">
        <v>97</v>
      </c>
      <c r="C155" t="s">
        <v>145</v>
      </c>
      <c r="D155">
        <v>2226182.98</v>
      </c>
      <c r="E155">
        <v>2133689.09</v>
      </c>
      <c r="F155">
        <v>1815108.59</v>
      </c>
      <c r="G155">
        <v>1422047.08</v>
      </c>
      <c r="H155">
        <v>998716.91</v>
      </c>
      <c r="I155">
        <v>980160.94</v>
      </c>
    </row>
    <row r="156" spans="1:9" x14ac:dyDescent="0.3">
      <c r="A156" t="s">
        <v>172</v>
      </c>
      <c r="B156" t="s">
        <v>97</v>
      </c>
      <c r="C156" t="s">
        <v>146</v>
      </c>
      <c r="D156">
        <v>747149.96</v>
      </c>
      <c r="E156">
        <v>699664.07</v>
      </c>
      <c r="F156">
        <v>704803.42</v>
      </c>
      <c r="G156">
        <v>284637.92</v>
      </c>
      <c r="H156">
        <v>252648.41</v>
      </c>
      <c r="I156">
        <v>136949.59</v>
      </c>
    </row>
    <row r="157" spans="1:9" x14ac:dyDescent="0.3">
      <c r="A157" t="s">
        <v>172</v>
      </c>
      <c r="B157" t="s">
        <v>97</v>
      </c>
      <c r="C157" t="s">
        <v>175</v>
      </c>
      <c r="D157">
        <v>0</v>
      </c>
      <c r="E157">
        <v>0</v>
      </c>
      <c r="F157">
        <v>0</v>
      </c>
      <c r="G157">
        <v>0</v>
      </c>
      <c r="H157">
        <v>45151.07</v>
      </c>
      <c r="I157">
        <v>0</v>
      </c>
    </row>
    <row r="158" spans="1:9" x14ac:dyDescent="0.3">
      <c r="A158" t="s">
        <v>172</v>
      </c>
      <c r="B158" t="s">
        <v>97</v>
      </c>
      <c r="C158" t="s">
        <v>147</v>
      </c>
      <c r="D158">
        <v>747127.46</v>
      </c>
      <c r="E158">
        <v>699652.34</v>
      </c>
      <c r="F158">
        <v>704792.2</v>
      </c>
      <c r="G158">
        <v>284631.63</v>
      </c>
      <c r="H158">
        <v>207489.88</v>
      </c>
      <c r="I158">
        <v>136941.94</v>
      </c>
    </row>
    <row r="159" spans="1:9" x14ac:dyDescent="0.3">
      <c r="A159" t="s">
        <v>172</v>
      </c>
      <c r="B159" t="s">
        <v>97</v>
      </c>
      <c r="C159" t="s">
        <v>148</v>
      </c>
      <c r="D159">
        <v>22.5</v>
      </c>
      <c r="E159">
        <v>11.72</v>
      </c>
      <c r="F159">
        <v>11.22</v>
      </c>
      <c r="G159">
        <v>6.29</v>
      </c>
      <c r="H159">
        <v>7.46</v>
      </c>
      <c r="I159">
        <v>7.65</v>
      </c>
    </row>
    <row r="160" spans="1:9" x14ac:dyDescent="0.3">
      <c r="A160" t="s">
        <v>172</v>
      </c>
      <c r="B160" t="s">
        <v>97</v>
      </c>
      <c r="C160" t="s">
        <v>149</v>
      </c>
      <c r="D160">
        <v>1479033.02</v>
      </c>
      <c r="E160">
        <v>1434025.02</v>
      </c>
      <c r="F160">
        <v>1110305.18</v>
      </c>
      <c r="G160">
        <v>1137409.1599999999</v>
      </c>
      <c r="H160">
        <v>746068.5</v>
      </c>
      <c r="I160">
        <v>843211.35</v>
      </c>
    </row>
    <row r="161" spans="1:9" x14ac:dyDescent="0.3">
      <c r="A161" t="s">
        <v>172</v>
      </c>
      <c r="B161" t="s">
        <v>97</v>
      </c>
      <c r="C161" t="s">
        <v>169</v>
      </c>
      <c r="D161">
        <v>0</v>
      </c>
      <c r="E161">
        <v>0.12</v>
      </c>
      <c r="F161">
        <v>9990.3700000000008</v>
      </c>
      <c r="G161">
        <v>20012.099999999999</v>
      </c>
      <c r="H161">
        <v>9353.07</v>
      </c>
      <c r="I161">
        <v>84807.19</v>
      </c>
    </row>
    <row r="162" spans="1:9" x14ac:dyDescent="0.3">
      <c r="A162" t="s">
        <v>172</v>
      </c>
      <c r="B162" t="s">
        <v>97</v>
      </c>
      <c r="C162" t="s">
        <v>150</v>
      </c>
      <c r="D162">
        <v>1373479.02</v>
      </c>
      <c r="E162">
        <v>1339039.29</v>
      </c>
      <c r="F162">
        <v>1004253.96</v>
      </c>
      <c r="G162">
        <v>999172.39</v>
      </c>
      <c r="H162">
        <v>728319.77</v>
      </c>
      <c r="I162">
        <v>750332.06</v>
      </c>
    </row>
    <row r="163" spans="1:9" x14ac:dyDescent="0.3">
      <c r="A163" t="s">
        <v>172</v>
      </c>
      <c r="B163" t="s">
        <v>97</v>
      </c>
      <c r="C163" t="s">
        <v>151</v>
      </c>
      <c r="D163">
        <v>1299330.9099999999</v>
      </c>
      <c r="E163">
        <v>1261758.04</v>
      </c>
      <c r="F163">
        <v>895944.46</v>
      </c>
      <c r="G163">
        <v>834934.75</v>
      </c>
      <c r="H163">
        <v>683159.56</v>
      </c>
      <c r="I163">
        <v>722056.46</v>
      </c>
    </row>
    <row r="164" spans="1:9" x14ac:dyDescent="0.3">
      <c r="A164" t="s">
        <v>172</v>
      </c>
      <c r="B164" t="s">
        <v>97</v>
      </c>
      <c r="C164" t="s">
        <v>152</v>
      </c>
      <c r="D164">
        <v>74148.12</v>
      </c>
      <c r="E164">
        <v>77281.25</v>
      </c>
      <c r="F164">
        <v>108309.5</v>
      </c>
      <c r="G164">
        <v>164237.65</v>
      </c>
      <c r="H164">
        <v>45160.21</v>
      </c>
      <c r="I164">
        <v>28275.599999999999</v>
      </c>
    </row>
    <row r="165" spans="1:9" x14ac:dyDescent="0.3">
      <c r="A165" t="s">
        <v>172</v>
      </c>
      <c r="B165" t="s">
        <v>97</v>
      </c>
      <c r="C165" t="s">
        <v>147</v>
      </c>
      <c r="D165">
        <v>10753.42</v>
      </c>
      <c r="E165">
        <v>8061.55</v>
      </c>
      <c r="F165">
        <v>28673.83</v>
      </c>
      <c r="G165">
        <v>30338.31</v>
      </c>
      <c r="H165">
        <v>5441.09</v>
      </c>
      <c r="I165">
        <v>4953.58</v>
      </c>
    </row>
    <row r="166" spans="1:9" x14ac:dyDescent="0.3">
      <c r="A166" t="s">
        <v>172</v>
      </c>
      <c r="B166" t="s">
        <v>97</v>
      </c>
      <c r="C166" t="s">
        <v>153</v>
      </c>
      <c r="D166">
        <v>90383.52</v>
      </c>
      <c r="E166">
        <v>81801.45</v>
      </c>
      <c r="F166">
        <v>62968.58</v>
      </c>
      <c r="G166">
        <v>83998.37</v>
      </c>
      <c r="H166">
        <v>555.41</v>
      </c>
      <c r="I166">
        <v>489.73</v>
      </c>
    </row>
    <row r="167" spans="1:9" x14ac:dyDescent="0.3">
      <c r="A167" t="s">
        <v>172</v>
      </c>
      <c r="B167" t="s">
        <v>97</v>
      </c>
      <c r="C167" t="s">
        <v>171</v>
      </c>
      <c r="D167">
        <v>4417.0600000000004</v>
      </c>
      <c r="E167">
        <v>5122.62</v>
      </c>
      <c r="F167">
        <v>4418.4399999999996</v>
      </c>
      <c r="G167">
        <v>3887.99</v>
      </c>
      <c r="H167">
        <v>2399.16</v>
      </c>
      <c r="I167">
        <v>2628.78</v>
      </c>
    </row>
    <row r="168" spans="1:9" x14ac:dyDescent="0.3">
      <c r="A168" t="s">
        <v>176</v>
      </c>
      <c r="B168" t="s">
        <v>97</v>
      </c>
      <c r="C168" t="s">
        <v>105</v>
      </c>
      <c r="D168">
        <v>1525033.3</v>
      </c>
      <c r="E168">
        <v>1381475.77</v>
      </c>
      <c r="F168">
        <v>1338988.77</v>
      </c>
      <c r="G168">
        <v>1382604.48</v>
      </c>
      <c r="H168">
        <v>1106497.73</v>
      </c>
      <c r="I168">
        <v>977788.73</v>
      </c>
    </row>
    <row r="169" spans="1:9" x14ac:dyDescent="0.3">
      <c r="A169" t="s">
        <v>176</v>
      </c>
      <c r="B169" t="s">
        <v>97</v>
      </c>
      <c r="C169" t="s">
        <v>155</v>
      </c>
      <c r="D169">
        <v>1525033.3</v>
      </c>
      <c r="E169">
        <v>1381475.77</v>
      </c>
      <c r="F169">
        <v>1338988.77</v>
      </c>
      <c r="G169">
        <v>1382604.48</v>
      </c>
      <c r="H169">
        <v>1106497.73</v>
      </c>
      <c r="I169">
        <v>977788.73</v>
      </c>
    </row>
    <row r="170" spans="1:9" x14ac:dyDescent="0.3">
      <c r="A170" t="s">
        <v>176</v>
      </c>
      <c r="B170" t="s">
        <v>97</v>
      </c>
      <c r="C170" t="s">
        <v>107</v>
      </c>
      <c r="D170">
        <v>378.38</v>
      </c>
      <c r="E170">
        <v>769.9</v>
      </c>
      <c r="F170">
        <v>670.76</v>
      </c>
      <c r="G170">
        <v>355.07</v>
      </c>
      <c r="H170">
        <v>416.4</v>
      </c>
      <c r="I170">
        <v>2197.6799999999998</v>
      </c>
    </row>
    <row r="171" spans="1:9" x14ac:dyDescent="0.3">
      <c r="A171" t="s">
        <v>176</v>
      </c>
      <c r="B171" t="s">
        <v>97</v>
      </c>
      <c r="C171" t="s">
        <v>108</v>
      </c>
      <c r="D171">
        <v>28011.58</v>
      </c>
      <c r="E171">
        <v>25773.360000000001</v>
      </c>
      <c r="F171">
        <v>21152.89</v>
      </c>
      <c r="G171">
        <v>23029.02</v>
      </c>
      <c r="H171">
        <v>17996.39</v>
      </c>
      <c r="I171">
        <v>17807.46</v>
      </c>
    </row>
    <row r="172" spans="1:9" x14ac:dyDescent="0.3">
      <c r="A172" t="s">
        <v>176</v>
      </c>
      <c r="B172" t="s">
        <v>97</v>
      </c>
      <c r="C172" t="s">
        <v>156</v>
      </c>
      <c r="D172">
        <v>63023.23</v>
      </c>
      <c r="E172">
        <v>62879.94</v>
      </c>
      <c r="F172">
        <v>50795.26</v>
      </c>
      <c r="G172">
        <v>44995.73</v>
      </c>
      <c r="H172">
        <v>42580.14</v>
      </c>
      <c r="I172">
        <v>43911.21</v>
      </c>
    </row>
    <row r="173" spans="1:9" x14ac:dyDescent="0.3">
      <c r="A173" t="s">
        <v>176</v>
      </c>
      <c r="B173" t="s">
        <v>97</v>
      </c>
      <c r="C173" t="s">
        <v>157</v>
      </c>
      <c r="D173">
        <v>291.67</v>
      </c>
      <c r="E173">
        <v>356.57</v>
      </c>
      <c r="F173">
        <v>245.03</v>
      </c>
      <c r="G173">
        <v>69.349999999999994</v>
      </c>
      <c r="H173">
        <v>108.44</v>
      </c>
      <c r="I173">
        <v>412.88</v>
      </c>
    </row>
    <row r="174" spans="1:9" x14ac:dyDescent="0.3">
      <c r="A174" t="s">
        <v>176</v>
      </c>
      <c r="B174" t="s">
        <v>97</v>
      </c>
      <c r="C174" t="s">
        <v>158</v>
      </c>
      <c r="D174">
        <v>-1215.74</v>
      </c>
      <c r="E174">
        <v>-1070.18</v>
      </c>
      <c r="F174">
        <v>-1049.03</v>
      </c>
      <c r="G174">
        <v>-908.78</v>
      </c>
      <c r="H174">
        <v>-916.27</v>
      </c>
      <c r="I174">
        <v>-964.22</v>
      </c>
    </row>
    <row r="175" spans="1:9" x14ac:dyDescent="0.3">
      <c r="A175" t="s">
        <v>176</v>
      </c>
      <c r="B175" t="s">
        <v>97</v>
      </c>
      <c r="C175" t="s">
        <v>106</v>
      </c>
      <c r="D175">
        <v>1791363.35</v>
      </c>
      <c r="E175">
        <v>1414077.02</v>
      </c>
      <c r="F175">
        <v>1523882.6</v>
      </c>
      <c r="G175">
        <v>1395214.66</v>
      </c>
      <c r="H175">
        <v>1064010.77</v>
      </c>
      <c r="I175">
        <v>977582.38</v>
      </c>
    </row>
    <row r="176" spans="1:9" x14ac:dyDescent="0.3">
      <c r="A176" t="s">
        <v>176</v>
      </c>
      <c r="B176" t="s">
        <v>97</v>
      </c>
      <c r="C176" t="s">
        <v>109</v>
      </c>
      <c r="D176">
        <v>4339.83</v>
      </c>
      <c r="E176">
        <v>3712.3</v>
      </c>
      <c r="F176">
        <v>4334.34</v>
      </c>
      <c r="G176">
        <v>3353.47</v>
      </c>
      <c r="H176">
        <v>3444.77</v>
      </c>
      <c r="I176">
        <v>3388.11</v>
      </c>
    </row>
    <row r="177" spans="1:9" x14ac:dyDescent="0.3">
      <c r="A177" t="s">
        <v>176</v>
      </c>
      <c r="B177" t="s">
        <v>97</v>
      </c>
      <c r="C177" t="s">
        <v>113</v>
      </c>
      <c r="D177">
        <v>-363590.48</v>
      </c>
      <c r="E177">
        <v>-127163.49</v>
      </c>
      <c r="F177">
        <v>-263141.15000000002</v>
      </c>
      <c r="G177">
        <v>-85321.59</v>
      </c>
      <c r="H177">
        <v>-22975.439999999999</v>
      </c>
      <c r="I177">
        <v>-68475.210000000006</v>
      </c>
    </row>
    <row r="178" spans="1:9" x14ac:dyDescent="0.3">
      <c r="A178" t="s">
        <v>176</v>
      </c>
      <c r="B178" t="s">
        <v>97</v>
      </c>
      <c r="C178" t="s">
        <v>114</v>
      </c>
      <c r="D178">
        <v>-359250.65</v>
      </c>
      <c r="E178">
        <v>-123451.19</v>
      </c>
      <c r="F178">
        <v>-258806.81</v>
      </c>
      <c r="G178">
        <v>-81968.12</v>
      </c>
      <c r="H178">
        <v>-19530.68</v>
      </c>
      <c r="I178">
        <v>-65087.1</v>
      </c>
    </row>
    <row r="179" spans="1:9" x14ac:dyDescent="0.3">
      <c r="A179" t="s">
        <v>176</v>
      </c>
      <c r="B179" t="s">
        <v>97</v>
      </c>
      <c r="C179" t="s">
        <v>115</v>
      </c>
      <c r="D179">
        <v>-10214.06</v>
      </c>
      <c r="E179">
        <v>-12650.22</v>
      </c>
      <c r="F179">
        <v>-10376.99</v>
      </c>
      <c r="G179">
        <v>-4275.93</v>
      </c>
      <c r="H179">
        <v>-3183.41</v>
      </c>
      <c r="I179">
        <v>-3642.76</v>
      </c>
    </row>
    <row r="180" spans="1:9" x14ac:dyDescent="0.3">
      <c r="A180" t="s">
        <v>176</v>
      </c>
      <c r="B180" t="s">
        <v>97</v>
      </c>
      <c r="C180" t="s">
        <v>118</v>
      </c>
      <c r="D180">
        <v>10214.06</v>
      </c>
      <c r="E180">
        <v>12650.22</v>
      </c>
      <c r="F180">
        <v>10376.99</v>
      </c>
      <c r="G180">
        <v>4275.93</v>
      </c>
      <c r="H180">
        <v>3183.41</v>
      </c>
      <c r="I180">
        <v>3642.76</v>
      </c>
    </row>
    <row r="181" spans="1:9" x14ac:dyDescent="0.3">
      <c r="A181" t="s">
        <v>176</v>
      </c>
      <c r="B181" t="s">
        <v>97</v>
      </c>
      <c r="C181" t="s">
        <v>159</v>
      </c>
      <c r="D181">
        <v>10214.06</v>
      </c>
      <c r="E181">
        <v>12650.22</v>
      </c>
      <c r="F181">
        <v>10376.99</v>
      </c>
      <c r="G181">
        <v>4275.93</v>
      </c>
      <c r="H181">
        <v>3183.41</v>
      </c>
      <c r="I181">
        <v>3642.76</v>
      </c>
    </row>
    <row r="182" spans="1:9" x14ac:dyDescent="0.3">
      <c r="A182" t="s">
        <v>176</v>
      </c>
      <c r="B182" t="s">
        <v>97</v>
      </c>
      <c r="C182" t="s">
        <v>120</v>
      </c>
      <c r="D182">
        <v>3148.51</v>
      </c>
      <c r="E182">
        <v>-1355.15</v>
      </c>
      <c r="F182">
        <v>4046.21</v>
      </c>
      <c r="G182">
        <v>30159.48</v>
      </c>
      <c r="H182">
        <v>12292.75</v>
      </c>
      <c r="I182">
        <v>3928.21</v>
      </c>
    </row>
    <row r="183" spans="1:9" x14ac:dyDescent="0.3">
      <c r="A183" t="s">
        <v>176</v>
      </c>
      <c r="B183" t="s">
        <v>97</v>
      </c>
      <c r="C183" t="s">
        <v>121</v>
      </c>
      <c r="D183">
        <v>5568.24</v>
      </c>
      <c r="E183">
        <v>4067.16</v>
      </c>
      <c r="F183">
        <v>7432.26</v>
      </c>
      <c r="G183">
        <v>34446.93</v>
      </c>
      <c r="H183">
        <v>16472.28</v>
      </c>
      <c r="I183">
        <v>6569.41</v>
      </c>
    </row>
    <row r="184" spans="1:9" x14ac:dyDescent="0.3">
      <c r="A184" t="s">
        <v>176</v>
      </c>
      <c r="B184" t="s">
        <v>97</v>
      </c>
      <c r="C184" t="s">
        <v>122</v>
      </c>
      <c r="D184">
        <v>2419.7199999999998</v>
      </c>
      <c r="E184">
        <v>5422.31</v>
      </c>
      <c r="F184">
        <v>3386.05</v>
      </c>
      <c r="G184">
        <v>4287.45</v>
      </c>
      <c r="H184">
        <v>4179.53</v>
      </c>
      <c r="I184">
        <v>2641.2</v>
      </c>
    </row>
    <row r="185" spans="1:9" x14ac:dyDescent="0.3">
      <c r="A185" t="s">
        <v>176</v>
      </c>
      <c r="B185" t="s">
        <v>97</v>
      </c>
      <c r="C185" t="s">
        <v>123</v>
      </c>
      <c r="D185">
        <v>-370656.03</v>
      </c>
      <c r="E185">
        <v>-141168.85999999999</v>
      </c>
      <c r="F185">
        <v>-269471.93</v>
      </c>
      <c r="G185">
        <v>-59438.04</v>
      </c>
      <c r="H185">
        <v>-13866.11</v>
      </c>
      <c r="I185">
        <v>-68189.75</v>
      </c>
    </row>
    <row r="186" spans="1:9" x14ac:dyDescent="0.3">
      <c r="A186" t="s">
        <v>176</v>
      </c>
      <c r="B186" t="s">
        <v>97</v>
      </c>
      <c r="C186" t="s">
        <v>124</v>
      </c>
      <c r="D186">
        <v>0</v>
      </c>
      <c r="E186">
        <v>0</v>
      </c>
      <c r="F186">
        <v>0</v>
      </c>
      <c r="G186">
        <v>0</v>
      </c>
      <c r="H186">
        <v>0</v>
      </c>
      <c r="I186">
        <v>16200</v>
      </c>
    </row>
    <row r="187" spans="1:9" x14ac:dyDescent="0.3">
      <c r="A187" t="s">
        <v>176</v>
      </c>
      <c r="B187" t="s">
        <v>97</v>
      </c>
      <c r="C187" t="s">
        <v>125</v>
      </c>
      <c r="D187">
        <v>-370656.03</v>
      </c>
      <c r="E187">
        <v>-141168.85999999999</v>
      </c>
      <c r="F187">
        <v>-269471.93</v>
      </c>
      <c r="G187">
        <v>-59438.04</v>
      </c>
      <c r="H187">
        <v>-13866.11</v>
      </c>
      <c r="I187">
        <v>-51989.75</v>
      </c>
    </row>
    <row r="188" spans="1:9" x14ac:dyDescent="0.3">
      <c r="A188" t="s">
        <v>176</v>
      </c>
      <c r="B188" t="s">
        <v>97</v>
      </c>
      <c r="C188" t="s">
        <v>126</v>
      </c>
      <c r="D188">
        <v>-370656.03</v>
      </c>
      <c r="E188">
        <v>-141168.85999999999</v>
      </c>
      <c r="F188">
        <v>-269471.93</v>
      </c>
      <c r="G188">
        <v>-59438.04</v>
      </c>
      <c r="H188">
        <v>-13866.11</v>
      </c>
      <c r="I188">
        <v>-51989.75</v>
      </c>
    </row>
    <row r="189" spans="1:9" x14ac:dyDescent="0.3">
      <c r="A189" t="s">
        <v>176</v>
      </c>
      <c r="B189" t="s">
        <v>97</v>
      </c>
      <c r="C189" t="s">
        <v>127</v>
      </c>
      <c r="D189">
        <v>264747.43</v>
      </c>
      <c r="E189">
        <v>285950.46999999997</v>
      </c>
      <c r="F189">
        <v>289098.34999999998</v>
      </c>
      <c r="G189">
        <v>378271.47</v>
      </c>
      <c r="H189">
        <v>295278.87</v>
      </c>
      <c r="I189">
        <v>274300.55</v>
      </c>
    </row>
    <row r="190" spans="1:9" x14ac:dyDescent="0.3">
      <c r="A190" t="s">
        <v>176</v>
      </c>
      <c r="B190" t="s">
        <v>97</v>
      </c>
      <c r="C190" t="s">
        <v>128</v>
      </c>
      <c r="D190">
        <v>73662.149999999994</v>
      </c>
      <c r="E190">
        <v>74973.61</v>
      </c>
      <c r="F190">
        <v>70580.62</v>
      </c>
      <c r="G190">
        <v>70800.12</v>
      </c>
      <c r="H190">
        <v>70877.47</v>
      </c>
      <c r="I190">
        <v>72128.69</v>
      </c>
    </row>
    <row r="191" spans="1:9" x14ac:dyDescent="0.3">
      <c r="A191" t="s">
        <v>176</v>
      </c>
      <c r="B191" t="s">
        <v>97</v>
      </c>
      <c r="C191" t="s">
        <v>129</v>
      </c>
      <c r="D191">
        <v>13446.42</v>
      </c>
      <c r="E191">
        <v>13617.32</v>
      </c>
      <c r="F191">
        <v>8334.89</v>
      </c>
      <c r="G191">
        <v>8268.17</v>
      </c>
      <c r="H191">
        <v>8485.2900000000009</v>
      </c>
      <c r="I191">
        <v>8949.23</v>
      </c>
    </row>
    <row r="192" spans="1:9" x14ac:dyDescent="0.3">
      <c r="A192" t="s">
        <v>176</v>
      </c>
      <c r="B192" t="s">
        <v>97</v>
      </c>
      <c r="C192" t="s">
        <v>160</v>
      </c>
      <c r="D192">
        <v>4015.73</v>
      </c>
      <c r="E192">
        <v>5156.3</v>
      </c>
      <c r="F192">
        <v>6045.73</v>
      </c>
      <c r="G192">
        <v>6331.95</v>
      </c>
      <c r="H192">
        <v>6192.19</v>
      </c>
      <c r="I192">
        <v>6979.46</v>
      </c>
    </row>
    <row r="193" spans="1:9" x14ac:dyDescent="0.3">
      <c r="A193" t="s">
        <v>176</v>
      </c>
      <c r="B193" t="s">
        <v>97</v>
      </c>
      <c r="C193" t="s">
        <v>161</v>
      </c>
      <c r="D193">
        <v>56200</v>
      </c>
      <c r="E193">
        <v>56200</v>
      </c>
      <c r="F193">
        <v>56200</v>
      </c>
      <c r="G193">
        <v>56200</v>
      </c>
      <c r="H193">
        <v>56200</v>
      </c>
      <c r="I193">
        <v>56200</v>
      </c>
    </row>
    <row r="194" spans="1:9" x14ac:dyDescent="0.3">
      <c r="A194" t="s">
        <v>176</v>
      </c>
      <c r="B194" t="s">
        <v>97</v>
      </c>
      <c r="C194" t="s">
        <v>132</v>
      </c>
      <c r="D194">
        <v>191085.27</v>
      </c>
      <c r="E194">
        <v>210976.86</v>
      </c>
      <c r="F194">
        <v>218517.72</v>
      </c>
      <c r="G194">
        <v>307471.34000000003</v>
      </c>
      <c r="H194">
        <v>224401.4</v>
      </c>
      <c r="I194">
        <v>202171.86</v>
      </c>
    </row>
    <row r="195" spans="1:9" x14ac:dyDescent="0.3">
      <c r="A195" t="s">
        <v>176</v>
      </c>
      <c r="B195" t="s">
        <v>97</v>
      </c>
      <c r="C195" t="s">
        <v>133</v>
      </c>
      <c r="D195">
        <v>162196.01999999999</v>
      </c>
      <c r="E195">
        <v>196264.8</v>
      </c>
      <c r="F195">
        <v>190506.82</v>
      </c>
      <c r="G195">
        <v>237185.78</v>
      </c>
      <c r="H195">
        <v>172148.18</v>
      </c>
      <c r="I195">
        <v>182939.75</v>
      </c>
    </row>
    <row r="196" spans="1:9" x14ac:dyDescent="0.3">
      <c r="A196" t="s">
        <v>176</v>
      </c>
      <c r="B196" t="s">
        <v>97</v>
      </c>
      <c r="C196" t="s">
        <v>162</v>
      </c>
      <c r="D196">
        <v>187711.79</v>
      </c>
      <c r="E196">
        <v>125445.73</v>
      </c>
      <c r="F196">
        <v>145449.22</v>
      </c>
      <c r="G196">
        <v>170808.55</v>
      </c>
      <c r="H196">
        <v>234649.9</v>
      </c>
      <c r="I196">
        <v>245944.08</v>
      </c>
    </row>
    <row r="197" spans="1:9" x14ac:dyDescent="0.3">
      <c r="A197" t="s">
        <v>176</v>
      </c>
      <c r="B197" t="s">
        <v>97</v>
      </c>
      <c r="C197" t="s">
        <v>134</v>
      </c>
      <c r="D197">
        <v>1192.31</v>
      </c>
      <c r="E197">
        <v>112005.65</v>
      </c>
      <c r="F197">
        <v>114429.92</v>
      </c>
      <c r="G197">
        <v>133601.82999999999</v>
      </c>
      <c r="H197">
        <v>6860.11</v>
      </c>
      <c r="I197">
        <v>3845.97</v>
      </c>
    </row>
    <row r="198" spans="1:9" x14ac:dyDescent="0.3">
      <c r="A198" t="s">
        <v>176</v>
      </c>
      <c r="B198" t="s">
        <v>97</v>
      </c>
      <c r="C198" t="s">
        <v>164</v>
      </c>
      <c r="D198">
        <v>-31382.5</v>
      </c>
      <c r="E198">
        <v>-44423.19</v>
      </c>
      <c r="F198">
        <v>-71613.86</v>
      </c>
      <c r="G198">
        <v>-70023.47</v>
      </c>
      <c r="H198">
        <v>-71244.55</v>
      </c>
      <c r="I198">
        <v>-68681.460000000006</v>
      </c>
    </row>
    <row r="199" spans="1:9" x14ac:dyDescent="0.3">
      <c r="A199" t="s">
        <v>176</v>
      </c>
      <c r="B199" t="s">
        <v>97</v>
      </c>
      <c r="C199" t="s">
        <v>165</v>
      </c>
      <c r="D199">
        <v>4674.41</v>
      </c>
      <c r="E199">
        <v>3236.6</v>
      </c>
      <c r="F199">
        <v>2241.5300000000002</v>
      </c>
      <c r="G199">
        <v>2798.86</v>
      </c>
      <c r="H199">
        <v>1882.73</v>
      </c>
      <c r="I199">
        <v>1831.17</v>
      </c>
    </row>
    <row r="200" spans="1:9" x14ac:dyDescent="0.3">
      <c r="A200" t="s">
        <v>176</v>
      </c>
      <c r="B200" t="s">
        <v>97</v>
      </c>
      <c r="C200" t="s">
        <v>166</v>
      </c>
      <c r="D200">
        <v>7986.97</v>
      </c>
      <c r="E200">
        <v>12030.2</v>
      </c>
      <c r="F200">
        <v>20897.36</v>
      </c>
      <c r="G200">
        <v>1549.83</v>
      </c>
      <c r="H200">
        <v>2474.14</v>
      </c>
      <c r="I200">
        <v>4217.8900000000003</v>
      </c>
    </row>
    <row r="201" spans="1:9" x14ac:dyDescent="0.3">
      <c r="A201" t="s">
        <v>176</v>
      </c>
      <c r="B201" t="s">
        <v>97</v>
      </c>
      <c r="C201" t="s">
        <v>135</v>
      </c>
      <c r="D201">
        <v>2141.4</v>
      </c>
      <c r="E201">
        <v>98.67</v>
      </c>
      <c r="F201">
        <v>105.29</v>
      </c>
      <c r="G201">
        <v>100.43</v>
      </c>
      <c r="H201">
        <v>99.89</v>
      </c>
      <c r="I201">
        <v>99.89</v>
      </c>
    </row>
    <row r="202" spans="1:9" x14ac:dyDescent="0.3">
      <c r="A202" t="s">
        <v>176</v>
      </c>
      <c r="B202" t="s">
        <v>97</v>
      </c>
      <c r="C202" t="s">
        <v>136</v>
      </c>
      <c r="D202">
        <v>18760.88</v>
      </c>
      <c r="E202">
        <v>2583.19</v>
      </c>
      <c r="F202">
        <v>7008.26</v>
      </c>
      <c r="G202">
        <v>68635.3</v>
      </c>
      <c r="H202">
        <v>49679.19</v>
      </c>
      <c r="I202">
        <v>14914.33</v>
      </c>
    </row>
    <row r="203" spans="1:9" x14ac:dyDescent="0.3">
      <c r="A203" t="s">
        <v>176</v>
      </c>
      <c r="B203" t="s">
        <v>97</v>
      </c>
      <c r="C203" t="s">
        <v>138</v>
      </c>
      <c r="D203">
        <v>264747.43</v>
      </c>
      <c r="E203">
        <v>285950.46999999997</v>
      </c>
      <c r="F203">
        <v>289098.34999999998</v>
      </c>
      <c r="G203">
        <v>378271.47</v>
      </c>
      <c r="H203">
        <v>295278.87</v>
      </c>
      <c r="I203">
        <v>274300.55</v>
      </c>
    </row>
    <row r="204" spans="1:9" x14ac:dyDescent="0.3">
      <c r="A204" t="s">
        <v>176</v>
      </c>
      <c r="B204" t="s">
        <v>97</v>
      </c>
      <c r="C204" t="s">
        <v>139</v>
      </c>
      <c r="D204">
        <v>-930548.78</v>
      </c>
      <c r="E204">
        <v>-559892.74</v>
      </c>
      <c r="F204">
        <v>-495941.63</v>
      </c>
      <c r="G204">
        <v>-226469.7</v>
      </c>
      <c r="H204">
        <v>-217031.66</v>
      </c>
      <c r="I204">
        <v>-459871.15</v>
      </c>
    </row>
    <row r="205" spans="1:9" x14ac:dyDescent="0.3">
      <c r="A205" t="s">
        <v>176</v>
      </c>
      <c r="B205" t="s">
        <v>97</v>
      </c>
      <c r="C205" t="s">
        <v>140</v>
      </c>
      <c r="D205">
        <v>-930548.78</v>
      </c>
      <c r="E205">
        <v>-559892.74</v>
      </c>
      <c r="F205">
        <v>-495941.63</v>
      </c>
      <c r="G205">
        <v>-226469.7</v>
      </c>
      <c r="H205">
        <v>-217031.66</v>
      </c>
      <c r="I205">
        <v>-459871.15</v>
      </c>
    </row>
    <row r="206" spans="1:9" x14ac:dyDescent="0.3">
      <c r="A206" t="s">
        <v>176</v>
      </c>
      <c r="B206" t="s">
        <v>97</v>
      </c>
      <c r="C206" t="s">
        <v>141</v>
      </c>
      <c r="D206">
        <v>450144.74</v>
      </c>
      <c r="E206">
        <v>450144.74</v>
      </c>
      <c r="F206">
        <v>378722.74</v>
      </c>
      <c r="G206">
        <v>378722.74</v>
      </c>
      <c r="H206">
        <v>328722.74</v>
      </c>
      <c r="I206">
        <v>72017.14</v>
      </c>
    </row>
    <row r="207" spans="1:9" x14ac:dyDescent="0.3">
      <c r="A207" t="s">
        <v>176</v>
      </c>
      <c r="B207" t="s">
        <v>97</v>
      </c>
      <c r="C207" t="s">
        <v>142</v>
      </c>
      <c r="D207">
        <v>202.58</v>
      </c>
      <c r="E207">
        <v>202.58</v>
      </c>
      <c r="F207">
        <v>202.58</v>
      </c>
      <c r="G207">
        <v>202.58</v>
      </c>
      <c r="H207">
        <v>202.58</v>
      </c>
      <c r="I207">
        <v>202.58</v>
      </c>
    </row>
    <row r="208" spans="1:9" x14ac:dyDescent="0.3">
      <c r="A208" t="s">
        <v>176</v>
      </c>
      <c r="B208" t="s">
        <v>97</v>
      </c>
      <c r="C208" t="s">
        <v>143</v>
      </c>
      <c r="D208">
        <v>-1004264.27</v>
      </c>
      <c r="E208">
        <v>-863095.4</v>
      </c>
      <c r="F208">
        <v>-593623.47</v>
      </c>
      <c r="G208">
        <v>-534185.43000000005</v>
      </c>
      <c r="H208">
        <v>-520319.32</v>
      </c>
      <c r="I208">
        <v>-468329.57</v>
      </c>
    </row>
    <row r="209" spans="1:9" x14ac:dyDescent="0.3">
      <c r="A209" t="s">
        <v>176</v>
      </c>
      <c r="B209" t="s">
        <v>97</v>
      </c>
      <c r="C209" t="s">
        <v>144</v>
      </c>
      <c r="D209">
        <v>-370656.03</v>
      </c>
      <c r="E209">
        <v>-141168.85999999999</v>
      </c>
      <c r="F209">
        <v>-269471.93</v>
      </c>
      <c r="G209">
        <v>-59438.04</v>
      </c>
      <c r="H209">
        <v>-13866.11</v>
      </c>
      <c r="I209">
        <v>-51989.75</v>
      </c>
    </row>
    <row r="210" spans="1:9" x14ac:dyDescent="0.3">
      <c r="A210" t="s">
        <v>176</v>
      </c>
      <c r="B210" t="s">
        <v>97</v>
      </c>
      <c r="C210" t="s">
        <v>174</v>
      </c>
      <c r="D210">
        <v>-5975.8</v>
      </c>
      <c r="E210">
        <v>-5975.8</v>
      </c>
      <c r="F210">
        <v>-11771.55</v>
      </c>
      <c r="G210">
        <v>-11771.55</v>
      </c>
      <c r="H210">
        <v>-11771.55</v>
      </c>
      <c r="I210">
        <v>-11771.55</v>
      </c>
    </row>
    <row r="211" spans="1:9" x14ac:dyDescent="0.3">
      <c r="A211" t="s">
        <v>176</v>
      </c>
      <c r="B211" t="s">
        <v>97</v>
      </c>
      <c r="C211" t="s">
        <v>145</v>
      </c>
      <c r="D211">
        <v>1195296.2</v>
      </c>
      <c r="E211">
        <v>845843.22</v>
      </c>
      <c r="F211">
        <v>785039.98</v>
      </c>
      <c r="G211">
        <v>604741.17000000004</v>
      </c>
      <c r="H211">
        <v>512310.53</v>
      </c>
      <c r="I211">
        <v>734171.7</v>
      </c>
    </row>
    <row r="212" spans="1:9" x14ac:dyDescent="0.3">
      <c r="A212" t="s">
        <v>176</v>
      </c>
      <c r="B212" t="s">
        <v>97</v>
      </c>
      <c r="C212" t="s">
        <v>146</v>
      </c>
      <c r="D212">
        <v>418100.43</v>
      </c>
      <c r="E212">
        <v>236484.06</v>
      </c>
      <c r="F212">
        <v>320601.52</v>
      </c>
      <c r="G212">
        <v>273466.77</v>
      </c>
      <c r="H212">
        <v>149148.73000000001</v>
      </c>
      <c r="I212">
        <v>245209.62</v>
      </c>
    </row>
    <row r="213" spans="1:9" x14ac:dyDescent="0.3">
      <c r="A213" t="s">
        <v>176</v>
      </c>
      <c r="B213" t="s">
        <v>97</v>
      </c>
      <c r="C213" t="s">
        <v>175</v>
      </c>
      <c r="D213">
        <v>0</v>
      </c>
      <c r="E213">
        <v>0</v>
      </c>
      <c r="F213">
        <v>0</v>
      </c>
      <c r="G213">
        <v>0</v>
      </c>
      <c r="H213">
        <v>0</v>
      </c>
      <c r="I213">
        <v>123835.04</v>
      </c>
    </row>
    <row r="214" spans="1:9" x14ac:dyDescent="0.3">
      <c r="A214" t="s">
        <v>176</v>
      </c>
      <c r="B214" t="s">
        <v>97</v>
      </c>
      <c r="C214" t="s">
        <v>147</v>
      </c>
      <c r="D214">
        <v>417650.82</v>
      </c>
      <c r="E214">
        <v>236335.19</v>
      </c>
      <c r="F214">
        <v>320456.24</v>
      </c>
      <c r="G214">
        <v>273460.68</v>
      </c>
      <c r="H214">
        <v>149124.93</v>
      </c>
      <c r="I214">
        <v>121243.73</v>
      </c>
    </row>
    <row r="215" spans="1:9" x14ac:dyDescent="0.3">
      <c r="A215" t="s">
        <v>176</v>
      </c>
      <c r="B215" t="s">
        <v>97</v>
      </c>
      <c r="C215" t="s">
        <v>148</v>
      </c>
      <c r="D215">
        <v>449.61</v>
      </c>
      <c r="E215">
        <v>148.87</v>
      </c>
      <c r="F215">
        <v>145.28</v>
      </c>
      <c r="G215">
        <v>6.1</v>
      </c>
      <c r="H215">
        <v>23.8</v>
      </c>
      <c r="I215">
        <v>130.85</v>
      </c>
    </row>
    <row r="216" spans="1:9" x14ac:dyDescent="0.3">
      <c r="A216" t="s">
        <v>176</v>
      </c>
      <c r="B216" t="s">
        <v>97</v>
      </c>
      <c r="C216" t="s">
        <v>149</v>
      </c>
      <c r="D216">
        <v>777195.77</v>
      </c>
      <c r="E216">
        <v>609359.16</v>
      </c>
      <c r="F216">
        <v>464438.46</v>
      </c>
      <c r="G216">
        <v>331274.39</v>
      </c>
      <c r="H216">
        <v>363161.81</v>
      </c>
      <c r="I216">
        <v>488962.07</v>
      </c>
    </row>
    <row r="217" spans="1:9" x14ac:dyDescent="0.3">
      <c r="A217" t="s">
        <v>176</v>
      </c>
      <c r="B217" t="s">
        <v>97</v>
      </c>
      <c r="C217" t="s">
        <v>169</v>
      </c>
      <c r="D217">
        <v>35716.67</v>
      </c>
      <c r="E217">
        <v>51475</v>
      </c>
      <c r="F217">
        <v>67200</v>
      </c>
      <c r="G217">
        <v>50000</v>
      </c>
      <c r="H217">
        <v>13208.11</v>
      </c>
      <c r="I217">
        <v>7600</v>
      </c>
    </row>
    <row r="218" spans="1:9" x14ac:dyDescent="0.3">
      <c r="A218" t="s">
        <v>176</v>
      </c>
      <c r="B218" t="s">
        <v>97</v>
      </c>
      <c r="C218" t="s">
        <v>150</v>
      </c>
      <c r="D218">
        <v>720426.95</v>
      </c>
      <c r="E218">
        <v>537804.56000000006</v>
      </c>
      <c r="F218">
        <v>307422.63</v>
      </c>
      <c r="G218">
        <v>264601.07</v>
      </c>
      <c r="H218">
        <v>326739.28000000003</v>
      </c>
      <c r="I218">
        <v>465601.69</v>
      </c>
    </row>
    <row r="219" spans="1:9" x14ac:dyDescent="0.3">
      <c r="A219" t="s">
        <v>176</v>
      </c>
      <c r="B219" t="s">
        <v>97</v>
      </c>
      <c r="C219" t="s">
        <v>151</v>
      </c>
      <c r="D219">
        <v>468149.54</v>
      </c>
      <c r="E219">
        <v>346647.8</v>
      </c>
      <c r="F219">
        <v>179494.69</v>
      </c>
      <c r="G219">
        <v>160701.42000000001</v>
      </c>
      <c r="H219">
        <v>239576.9</v>
      </c>
      <c r="I219">
        <v>308110.21000000002</v>
      </c>
    </row>
    <row r="220" spans="1:9" x14ac:dyDescent="0.3">
      <c r="A220" t="s">
        <v>176</v>
      </c>
      <c r="B220" t="s">
        <v>97</v>
      </c>
      <c r="C220" t="s">
        <v>170</v>
      </c>
      <c r="D220">
        <v>244492.29</v>
      </c>
      <c r="E220">
        <v>177493.11</v>
      </c>
      <c r="F220">
        <v>114781.44</v>
      </c>
      <c r="G220">
        <v>78114.73</v>
      </c>
      <c r="H220">
        <v>56359.67</v>
      </c>
      <c r="I220">
        <v>115272.18</v>
      </c>
    </row>
    <row r="221" spans="1:9" x14ac:dyDescent="0.3">
      <c r="A221" t="s">
        <v>176</v>
      </c>
      <c r="B221" t="s">
        <v>97</v>
      </c>
      <c r="C221" t="s">
        <v>152</v>
      </c>
      <c r="D221">
        <v>7785.12</v>
      </c>
      <c r="E221">
        <v>13663.65</v>
      </c>
      <c r="F221">
        <v>13146.49</v>
      </c>
      <c r="G221">
        <v>25784.92</v>
      </c>
      <c r="H221">
        <v>30802.71</v>
      </c>
      <c r="I221">
        <v>42219.3</v>
      </c>
    </row>
    <row r="222" spans="1:9" x14ac:dyDescent="0.3">
      <c r="A222" t="s">
        <v>176</v>
      </c>
      <c r="B222" t="s">
        <v>97</v>
      </c>
      <c r="C222" t="s">
        <v>147</v>
      </c>
      <c r="D222">
        <v>5626.28</v>
      </c>
      <c r="E222">
        <v>5510.57</v>
      </c>
      <c r="F222">
        <v>4819.1899999999996</v>
      </c>
      <c r="G222">
        <v>4409.99</v>
      </c>
      <c r="H222">
        <v>4298.5</v>
      </c>
      <c r="I222">
        <v>3803</v>
      </c>
    </row>
    <row r="223" spans="1:9" x14ac:dyDescent="0.3">
      <c r="A223" t="s">
        <v>176</v>
      </c>
      <c r="B223" t="s">
        <v>97</v>
      </c>
      <c r="C223" t="s">
        <v>153</v>
      </c>
      <c r="D223">
        <v>12732.13</v>
      </c>
      <c r="E223">
        <v>12090.23</v>
      </c>
      <c r="F223">
        <v>82305.3</v>
      </c>
      <c r="G223">
        <v>10026.219999999999</v>
      </c>
      <c r="H223">
        <v>16819.009999999998</v>
      </c>
      <c r="I223">
        <v>9611.51</v>
      </c>
    </row>
    <row r="224" spans="1:9" x14ac:dyDescent="0.3">
      <c r="A224" t="s">
        <v>176</v>
      </c>
      <c r="B224" t="s">
        <v>97</v>
      </c>
      <c r="C224" t="s">
        <v>171</v>
      </c>
      <c r="D224">
        <v>2693.74</v>
      </c>
      <c r="E224">
        <v>2478.79</v>
      </c>
      <c r="F224">
        <v>2691.35</v>
      </c>
      <c r="G224">
        <v>2237.11</v>
      </c>
      <c r="H224">
        <v>2096.9</v>
      </c>
      <c r="I224">
        <v>2345.88</v>
      </c>
    </row>
    <row r="225" spans="1:9" x14ac:dyDescent="0.3">
      <c r="A225" t="s">
        <v>177</v>
      </c>
      <c r="B225" t="s">
        <v>97</v>
      </c>
      <c r="C225" t="s">
        <v>105</v>
      </c>
      <c r="D225">
        <v>10896037.43</v>
      </c>
      <c r="E225">
        <v>11059375.880000001</v>
      </c>
      <c r="F225">
        <v>9014686.0399999991</v>
      </c>
      <c r="G225">
        <v>7970970.1500000004</v>
      </c>
      <c r="H225">
        <v>5926709.5999999996</v>
      </c>
      <c r="I225">
        <v>4694963.17</v>
      </c>
    </row>
    <row r="226" spans="1:9" x14ac:dyDescent="0.3">
      <c r="A226" t="s">
        <v>177</v>
      </c>
      <c r="B226" t="s">
        <v>97</v>
      </c>
      <c r="C226" t="s">
        <v>155</v>
      </c>
      <c r="D226">
        <v>10896037.43</v>
      </c>
      <c r="E226">
        <v>11059375.880000001</v>
      </c>
      <c r="F226">
        <v>9014686.0399999991</v>
      </c>
      <c r="G226">
        <v>7970970.1500000004</v>
      </c>
      <c r="H226">
        <v>5926709.5999999996</v>
      </c>
      <c r="I226">
        <v>4694963.17</v>
      </c>
    </row>
    <row r="227" spans="1:9" x14ac:dyDescent="0.3">
      <c r="A227" t="s">
        <v>177</v>
      </c>
      <c r="B227" t="s">
        <v>97</v>
      </c>
      <c r="C227" t="s">
        <v>107</v>
      </c>
      <c r="D227">
        <v>2460.27</v>
      </c>
      <c r="E227">
        <v>13122.68</v>
      </c>
      <c r="F227">
        <v>3758.3</v>
      </c>
      <c r="G227">
        <v>2885.33</v>
      </c>
      <c r="H227">
        <v>2846.75</v>
      </c>
      <c r="I227">
        <v>2318.02</v>
      </c>
    </row>
    <row r="228" spans="1:9" x14ac:dyDescent="0.3">
      <c r="A228" t="s">
        <v>177</v>
      </c>
      <c r="B228" t="s">
        <v>97</v>
      </c>
      <c r="C228" t="s">
        <v>108</v>
      </c>
      <c r="D228">
        <v>194593.89</v>
      </c>
      <c r="E228">
        <v>143391.71</v>
      </c>
      <c r="F228">
        <v>107818.5</v>
      </c>
      <c r="G228">
        <v>79261.2</v>
      </c>
      <c r="H228">
        <v>70175.240000000005</v>
      </c>
      <c r="I228">
        <v>64277.77</v>
      </c>
    </row>
    <row r="229" spans="1:9" x14ac:dyDescent="0.3">
      <c r="A229" t="s">
        <v>177</v>
      </c>
      <c r="B229" t="s">
        <v>97</v>
      </c>
      <c r="C229" t="s">
        <v>156</v>
      </c>
      <c r="D229">
        <v>145774.68</v>
      </c>
      <c r="E229">
        <v>217170.69</v>
      </c>
      <c r="F229">
        <v>180097.87</v>
      </c>
      <c r="G229">
        <v>152317.96</v>
      </c>
      <c r="H229">
        <v>141451.69</v>
      </c>
      <c r="I229">
        <v>122614.77</v>
      </c>
    </row>
    <row r="230" spans="1:9" x14ac:dyDescent="0.3">
      <c r="A230" t="s">
        <v>177</v>
      </c>
      <c r="B230" t="s">
        <v>97</v>
      </c>
      <c r="C230" t="s">
        <v>157</v>
      </c>
      <c r="D230">
        <v>1600.27</v>
      </c>
      <c r="E230">
        <v>1771.25</v>
      </c>
      <c r="F230">
        <v>1493.18</v>
      </c>
      <c r="G230">
        <v>626.97</v>
      </c>
      <c r="H230">
        <v>799.04</v>
      </c>
      <c r="I230">
        <v>2397.9499999999998</v>
      </c>
    </row>
    <row r="231" spans="1:9" x14ac:dyDescent="0.3">
      <c r="A231" t="s">
        <v>177</v>
      </c>
      <c r="B231" t="s">
        <v>97</v>
      </c>
      <c r="C231" t="s">
        <v>158</v>
      </c>
      <c r="D231">
        <v>-11640.71</v>
      </c>
      <c r="E231">
        <v>-13145.44</v>
      </c>
      <c r="F231">
        <v>-7994.51</v>
      </c>
      <c r="G231">
        <v>-6243.07</v>
      </c>
      <c r="H231">
        <v>-5456.03</v>
      </c>
      <c r="I231">
        <v>-6096.34</v>
      </c>
    </row>
    <row r="232" spans="1:9" x14ac:dyDescent="0.3">
      <c r="A232" t="s">
        <v>177</v>
      </c>
      <c r="B232" t="s">
        <v>97</v>
      </c>
      <c r="C232" t="s">
        <v>106</v>
      </c>
      <c r="D232">
        <v>10475964.42</v>
      </c>
      <c r="E232">
        <v>11006359.630000001</v>
      </c>
      <c r="F232">
        <v>8992548.0600000005</v>
      </c>
      <c r="G232">
        <v>7735495.1200000001</v>
      </c>
      <c r="H232">
        <v>5703499.6600000001</v>
      </c>
      <c r="I232">
        <v>4447689.2</v>
      </c>
    </row>
    <row r="233" spans="1:9" x14ac:dyDescent="0.3">
      <c r="A233" t="s">
        <v>177</v>
      </c>
      <c r="B233" t="s">
        <v>97</v>
      </c>
      <c r="C233" t="s">
        <v>109</v>
      </c>
      <c r="D233">
        <v>262389.78000000003</v>
      </c>
      <c r="E233">
        <v>64599.4</v>
      </c>
      <c r="F233">
        <v>38431.120000000003</v>
      </c>
      <c r="G233">
        <v>57904.480000000003</v>
      </c>
      <c r="H233">
        <v>28194.58</v>
      </c>
      <c r="I233">
        <v>68243.23</v>
      </c>
    </row>
    <row r="234" spans="1:9" x14ac:dyDescent="0.3">
      <c r="A234" t="s">
        <v>177</v>
      </c>
      <c r="B234" t="s">
        <v>97</v>
      </c>
      <c r="C234" t="s">
        <v>113</v>
      </c>
      <c r="D234">
        <v>-198386.6</v>
      </c>
      <c r="E234">
        <v>-400184.91</v>
      </c>
      <c r="F234">
        <v>-317455.5</v>
      </c>
      <c r="G234">
        <v>-65813.820000000007</v>
      </c>
      <c r="H234">
        <v>-30512.26</v>
      </c>
      <c r="I234">
        <v>-18674.099999999999</v>
      </c>
    </row>
    <row r="235" spans="1:9" x14ac:dyDescent="0.3">
      <c r="A235" t="s">
        <v>177</v>
      </c>
      <c r="B235" t="s">
        <v>97</v>
      </c>
      <c r="C235" t="s">
        <v>114</v>
      </c>
      <c r="D235">
        <v>64003.18</v>
      </c>
      <c r="E235">
        <v>-335585.51</v>
      </c>
      <c r="F235">
        <v>-279024.37</v>
      </c>
      <c r="G235">
        <v>-7909.34</v>
      </c>
      <c r="H235">
        <v>-2317.6799999999998</v>
      </c>
      <c r="I235">
        <v>49569.13</v>
      </c>
    </row>
    <row r="236" spans="1:9" x14ac:dyDescent="0.3">
      <c r="A236" t="s">
        <v>177</v>
      </c>
      <c r="B236" t="s">
        <v>97</v>
      </c>
      <c r="C236" t="s">
        <v>115</v>
      </c>
      <c r="D236">
        <v>-64032.21</v>
      </c>
      <c r="E236">
        <v>-72287.59</v>
      </c>
      <c r="F236">
        <v>-63796.65</v>
      </c>
      <c r="G236">
        <v>-57523.51</v>
      </c>
      <c r="H236">
        <v>-31835.93</v>
      </c>
      <c r="I236">
        <v>-15632.31</v>
      </c>
    </row>
    <row r="237" spans="1:9" x14ac:dyDescent="0.3">
      <c r="A237" t="s">
        <v>177</v>
      </c>
      <c r="B237" t="s">
        <v>97</v>
      </c>
      <c r="C237" t="s">
        <v>118</v>
      </c>
      <c r="D237">
        <v>64032.21</v>
      </c>
      <c r="E237">
        <v>72287.59</v>
      </c>
      <c r="F237">
        <v>63796.65</v>
      </c>
      <c r="G237">
        <v>57523.51</v>
      </c>
      <c r="H237">
        <v>31835.93</v>
      </c>
      <c r="I237">
        <v>15632.31</v>
      </c>
    </row>
    <row r="238" spans="1:9" x14ac:dyDescent="0.3">
      <c r="A238" t="s">
        <v>177</v>
      </c>
      <c r="B238" t="s">
        <v>97</v>
      </c>
      <c r="C238" t="s">
        <v>159</v>
      </c>
      <c r="D238">
        <v>17655.89</v>
      </c>
      <c r="E238">
        <v>37933.089999999997</v>
      </c>
      <c r="F238">
        <v>18033.46</v>
      </c>
      <c r="G238">
        <v>7945.65</v>
      </c>
      <c r="H238">
        <v>31835.93</v>
      </c>
      <c r="I238">
        <v>15632.31</v>
      </c>
    </row>
    <row r="239" spans="1:9" x14ac:dyDescent="0.3">
      <c r="A239" t="s">
        <v>177</v>
      </c>
      <c r="B239" t="s">
        <v>97</v>
      </c>
      <c r="C239" t="s">
        <v>119</v>
      </c>
      <c r="D239">
        <v>46376.32</v>
      </c>
      <c r="E239">
        <v>34354.5</v>
      </c>
      <c r="F239">
        <v>45763.19</v>
      </c>
      <c r="G239">
        <v>0</v>
      </c>
      <c r="H239">
        <v>0</v>
      </c>
      <c r="I239">
        <v>0</v>
      </c>
    </row>
    <row r="240" spans="1:9" x14ac:dyDescent="0.3">
      <c r="A240" t="s">
        <v>177</v>
      </c>
      <c r="B240" t="s">
        <v>97</v>
      </c>
      <c r="C240" t="s">
        <v>120</v>
      </c>
      <c r="D240">
        <v>318515.53999999998</v>
      </c>
      <c r="E240">
        <v>300125.46999999997</v>
      </c>
      <c r="F240">
        <v>247962.03</v>
      </c>
      <c r="G240">
        <v>146194.47</v>
      </c>
      <c r="H240">
        <v>95273.77</v>
      </c>
      <c r="I240">
        <v>43478.67</v>
      </c>
    </row>
    <row r="241" spans="1:9" x14ac:dyDescent="0.3">
      <c r="A241" t="s">
        <v>177</v>
      </c>
      <c r="B241" t="s">
        <v>97</v>
      </c>
      <c r="C241" t="s">
        <v>121</v>
      </c>
      <c r="D241">
        <v>357559.11</v>
      </c>
      <c r="E241">
        <v>348698.96</v>
      </c>
      <c r="F241">
        <v>286684.46999999997</v>
      </c>
      <c r="G241">
        <v>174756.89</v>
      </c>
      <c r="H241">
        <v>115525.37</v>
      </c>
      <c r="I241">
        <v>65019.87</v>
      </c>
    </row>
    <row r="242" spans="1:9" x14ac:dyDescent="0.3">
      <c r="A242" t="s">
        <v>177</v>
      </c>
      <c r="B242" t="s">
        <v>97</v>
      </c>
      <c r="C242" t="s">
        <v>122</v>
      </c>
      <c r="D242">
        <v>39043.57</v>
      </c>
      <c r="E242">
        <v>48573.49</v>
      </c>
      <c r="F242">
        <v>38722.43</v>
      </c>
      <c r="G242">
        <v>28562.42</v>
      </c>
      <c r="H242">
        <v>20251.61</v>
      </c>
      <c r="I242">
        <v>21541.200000000001</v>
      </c>
    </row>
    <row r="243" spans="1:9" x14ac:dyDescent="0.3">
      <c r="A243" t="s">
        <v>177</v>
      </c>
      <c r="B243" t="s">
        <v>97</v>
      </c>
      <c r="C243" t="s">
        <v>123</v>
      </c>
      <c r="D243">
        <v>56096.73</v>
      </c>
      <c r="E243">
        <v>-172347.03</v>
      </c>
      <c r="F243">
        <v>-133290.10999999999</v>
      </c>
      <c r="G243">
        <v>22857.13</v>
      </c>
      <c r="H243">
        <v>32925.57</v>
      </c>
      <c r="I243">
        <v>9172.25</v>
      </c>
    </row>
    <row r="244" spans="1:9" x14ac:dyDescent="0.3">
      <c r="A244" t="s">
        <v>177</v>
      </c>
      <c r="B244" t="s">
        <v>97</v>
      </c>
      <c r="C244" t="s">
        <v>124</v>
      </c>
      <c r="D244">
        <v>-29483.33</v>
      </c>
      <c r="E244">
        <v>-49159.43</v>
      </c>
      <c r="F244">
        <v>-3975.06</v>
      </c>
      <c r="G244">
        <v>-4682.37</v>
      </c>
      <c r="H244">
        <v>-775.56</v>
      </c>
      <c r="I244">
        <v>44.58</v>
      </c>
    </row>
    <row r="245" spans="1:9" x14ac:dyDescent="0.3">
      <c r="A245" t="s">
        <v>177</v>
      </c>
      <c r="B245" t="s">
        <v>97</v>
      </c>
      <c r="C245" t="s">
        <v>125</v>
      </c>
      <c r="D245">
        <v>26613.4</v>
      </c>
      <c r="E245">
        <v>-221506.46</v>
      </c>
      <c r="F245">
        <v>-137265.17000000001</v>
      </c>
      <c r="G245">
        <v>18174.759999999998</v>
      </c>
      <c r="H245">
        <v>32150.01</v>
      </c>
      <c r="I245">
        <v>9216.83</v>
      </c>
    </row>
    <row r="246" spans="1:9" x14ac:dyDescent="0.3">
      <c r="A246" t="s">
        <v>177</v>
      </c>
      <c r="B246" t="s">
        <v>97</v>
      </c>
      <c r="C246" t="s">
        <v>126</v>
      </c>
      <c r="D246">
        <v>26613.4</v>
      </c>
      <c r="E246">
        <v>-221506.46</v>
      </c>
      <c r="F246">
        <v>-137265.17000000001</v>
      </c>
      <c r="G246">
        <v>18174.759999999998</v>
      </c>
      <c r="H246">
        <v>32150.01</v>
      </c>
      <c r="I246">
        <v>9216.83</v>
      </c>
    </row>
    <row r="247" spans="1:9" x14ac:dyDescent="0.3">
      <c r="A247" t="s">
        <v>177</v>
      </c>
      <c r="B247" t="s">
        <v>97</v>
      </c>
      <c r="C247" t="s">
        <v>127</v>
      </c>
      <c r="D247">
        <v>2306266.04</v>
      </c>
      <c r="E247">
        <v>2183288.41</v>
      </c>
      <c r="F247">
        <v>2102883.67</v>
      </c>
      <c r="G247">
        <v>2090186.49</v>
      </c>
      <c r="H247">
        <v>1648572.32</v>
      </c>
      <c r="I247">
        <v>1181019.02</v>
      </c>
    </row>
    <row r="248" spans="1:9" x14ac:dyDescent="0.3">
      <c r="A248" t="s">
        <v>177</v>
      </c>
      <c r="B248" t="s">
        <v>97</v>
      </c>
      <c r="C248" t="s">
        <v>128</v>
      </c>
      <c r="D248">
        <v>21619.11</v>
      </c>
      <c r="E248">
        <v>43084.87</v>
      </c>
      <c r="F248">
        <v>68615.7</v>
      </c>
      <c r="G248">
        <v>49995.64</v>
      </c>
      <c r="H248">
        <v>46715.13</v>
      </c>
      <c r="I248">
        <v>70992.009999999995</v>
      </c>
    </row>
    <row r="249" spans="1:9" x14ac:dyDescent="0.3">
      <c r="A249" t="s">
        <v>177</v>
      </c>
      <c r="B249" t="s">
        <v>97</v>
      </c>
      <c r="C249" t="s">
        <v>129</v>
      </c>
      <c r="D249">
        <v>3924.8</v>
      </c>
      <c r="E249">
        <v>8689.02</v>
      </c>
      <c r="F249">
        <v>18511.439999999999</v>
      </c>
      <c r="G249">
        <v>17427.72</v>
      </c>
      <c r="H249">
        <v>17567.09</v>
      </c>
      <c r="I249">
        <v>42975.51</v>
      </c>
    </row>
    <row r="250" spans="1:9" x14ac:dyDescent="0.3">
      <c r="A250" t="s">
        <v>177</v>
      </c>
      <c r="B250" t="s">
        <v>97</v>
      </c>
      <c r="C250" t="s">
        <v>160</v>
      </c>
      <c r="D250">
        <v>0</v>
      </c>
      <c r="E250">
        <v>0</v>
      </c>
      <c r="F250">
        <v>1819.98</v>
      </c>
      <c r="G250">
        <v>1079.95</v>
      </c>
      <c r="H250">
        <v>161.16999999999999</v>
      </c>
      <c r="I250">
        <v>202.32</v>
      </c>
    </row>
    <row r="251" spans="1:9" x14ac:dyDescent="0.3">
      <c r="A251" t="s">
        <v>177</v>
      </c>
      <c r="B251" t="s">
        <v>97</v>
      </c>
      <c r="C251" t="s">
        <v>178</v>
      </c>
      <c r="D251">
        <v>0</v>
      </c>
      <c r="E251">
        <v>19454.41</v>
      </c>
      <c r="F251">
        <v>32845.1</v>
      </c>
      <c r="G251">
        <v>31487.97</v>
      </c>
      <c r="H251">
        <v>28986.87</v>
      </c>
      <c r="I251">
        <v>27813.15</v>
      </c>
    </row>
    <row r="252" spans="1:9" x14ac:dyDescent="0.3">
      <c r="A252" t="s">
        <v>177</v>
      </c>
      <c r="B252" t="s">
        <v>97</v>
      </c>
      <c r="C252" t="s">
        <v>179</v>
      </c>
      <c r="D252">
        <v>0</v>
      </c>
      <c r="E252">
        <v>19454.41</v>
      </c>
      <c r="F252">
        <v>32845.1</v>
      </c>
      <c r="G252">
        <v>31487.97</v>
      </c>
      <c r="H252">
        <v>28986.87</v>
      </c>
      <c r="I252">
        <v>27813.15</v>
      </c>
    </row>
    <row r="253" spans="1:9" x14ac:dyDescent="0.3">
      <c r="A253" t="s">
        <v>177</v>
      </c>
      <c r="B253" t="s">
        <v>97</v>
      </c>
      <c r="C253" t="s">
        <v>161</v>
      </c>
      <c r="D253">
        <v>0</v>
      </c>
      <c r="E253">
        <v>0</v>
      </c>
      <c r="F253">
        <v>4813.8999999999996</v>
      </c>
      <c r="G253">
        <v>0</v>
      </c>
      <c r="H253">
        <v>0</v>
      </c>
      <c r="I253">
        <v>0</v>
      </c>
    </row>
    <row r="254" spans="1:9" x14ac:dyDescent="0.3">
      <c r="A254" t="s">
        <v>177</v>
      </c>
      <c r="B254" t="s">
        <v>97</v>
      </c>
      <c r="C254" t="s">
        <v>131</v>
      </c>
      <c r="D254">
        <v>17694.310000000001</v>
      </c>
      <c r="E254">
        <v>14941.44</v>
      </c>
      <c r="F254">
        <v>10625.28</v>
      </c>
      <c r="G254">
        <v>0</v>
      </c>
      <c r="H254">
        <v>0</v>
      </c>
      <c r="I254">
        <v>1.02</v>
      </c>
    </row>
    <row r="255" spans="1:9" x14ac:dyDescent="0.3">
      <c r="A255" t="s">
        <v>177</v>
      </c>
      <c r="B255" t="s">
        <v>97</v>
      </c>
      <c r="C255" t="s">
        <v>132</v>
      </c>
      <c r="D255">
        <v>2284646.9300000002</v>
      </c>
      <c r="E255">
        <v>2140203.54</v>
      </c>
      <c r="F255">
        <v>2034267.97</v>
      </c>
      <c r="G255">
        <v>2033599.14</v>
      </c>
      <c r="H255">
        <v>1590458.92</v>
      </c>
      <c r="I255">
        <v>1110027.01</v>
      </c>
    </row>
    <row r="256" spans="1:9" x14ac:dyDescent="0.3">
      <c r="A256" t="s">
        <v>177</v>
      </c>
      <c r="B256" t="s">
        <v>97</v>
      </c>
      <c r="C256" t="s">
        <v>133</v>
      </c>
      <c r="D256">
        <v>330090.61</v>
      </c>
      <c r="E256">
        <v>538115.72</v>
      </c>
      <c r="F256">
        <v>421147.32</v>
      </c>
      <c r="G256">
        <v>526426.16</v>
      </c>
      <c r="H256">
        <v>440558.97</v>
      </c>
      <c r="I256">
        <v>420973.55</v>
      </c>
    </row>
    <row r="257" spans="1:9" x14ac:dyDescent="0.3">
      <c r="A257" t="s">
        <v>177</v>
      </c>
      <c r="B257" t="s">
        <v>97</v>
      </c>
      <c r="C257" t="s">
        <v>162</v>
      </c>
      <c r="D257">
        <v>643297.46</v>
      </c>
      <c r="E257">
        <v>605193.01</v>
      </c>
      <c r="F257">
        <v>475070.16</v>
      </c>
      <c r="G257">
        <v>649261.12</v>
      </c>
      <c r="H257">
        <v>597635.34</v>
      </c>
      <c r="I257">
        <v>615120.16</v>
      </c>
    </row>
    <row r="258" spans="1:9" x14ac:dyDescent="0.3">
      <c r="A258" t="s">
        <v>177</v>
      </c>
      <c r="B258" t="s">
        <v>97</v>
      </c>
      <c r="C258" t="s">
        <v>134</v>
      </c>
      <c r="D258">
        <v>13322</v>
      </c>
      <c r="E258">
        <v>19143.900000000001</v>
      </c>
      <c r="F258">
        <v>40294.69</v>
      </c>
      <c r="G258">
        <v>30385.69</v>
      </c>
      <c r="H258">
        <v>23768.29</v>
      </c>
      <c r="I258">
        <v>2554.06</v>
      </c>
    </row>
    <row r="259" spans="1:9" x14ac:dyDescent="0.3">
      <c r="A259" t="s">
        <v>177</v>
      </c>
      <c r="B259" t="s">
        <v>97</v>
      </c>
      <c r="C259" t="s">
        <v>164</v>
      </c>
      <c r="D259">
        <v>-326528.84999999998</v>
      </c>
      <c r="E259">
        <v>-86221.2</v>
      </c>
      <c r="F259">
        <v>-98542.56</v>
      </c>
      <c r="G259">
        <v>-153573.91</v>
      </c>
      <c r="H259">
        <v>-184238.55</v>
      </c>
      <c r="I259">
        <v>-199264.25</v>
      </c>
    </row>
    <row r="260" spans="1:9" x14ac:dyDescent="0.3">
      <c r="A260" t="s">
        <v>177</v>
      </c>
      <c r="B260" t="s">
        <v>97</v>
      </c>
      <c r="C260" t="s">
        <v>165</v>
      </c>
      <c r="D260">
        <v>0</v>
      </c>
      <c r="E260">
        <v>0</v>
      </c>
      <c r="F260">
        <v>4325.0200000000004</v>
      </c>
      <c r="G260">
        <v>353.26</v>
      </c>
      <c r="H260">
        <v>3393.88</v>
      </c>
      <c r="I260">
        <v>2563.58</v>
      </c>
    </row>
    <row r="261" spans="1:9" x14ac:dyDescent="0.3">
      <c r="A261" t="s">
        <v>177</v>
      </c>
      <c r="B261" t="s">
        <v>97</v>
      </c>
      <c r="C261" t="s">
        <v>166</v>
      </c>
      <c r="D261">
        <v>4822.07</v>
      </c>
      <c r="E261">
        <v>17221.96</v>
      </c>
      <c r="F261">
        <v>2726.95</v>
      </c>
      <c r="G261">
        <v>37235.97</v>
      </c>
      <c r="H261">
        <v>43815.92</v>
      </c>
      <c r="I261">
        <v>30346.84</v>
      </c>
    </row>
    <row r="262" spans="1:9" x14ac:dyDescent="0.3">
      <c r="A262" t="s">
        <v>177</v>
      </c>
      <c r="B262" t="s">
        <v>97</v>
      </c>
      <c r="C262" t="s">
        <v>135</v>
      </c>
      <c r="D262">
        <v>1619670.62</v>
      </c>
      <c r="E262">
        <v>1269961.04</v>
      </c>
      <c r="F262">
        <v>1231074.92</v>
      </c>
      <c r="G262">
        <v>790080.48</v>
      </c>
      <c r="H262">
        <v>670904.31999999995</v>
      </c>
      <c r="I262">
        <v>381944.82</v>
      </c>
    </row>
    <row r="263" spans="1:9" x14ac:dyDescent="0.3">
      <c r="A263" t="s">
        <v>177</v>
      </c>
      <c r="B263" t="s">
        <v>97</v>
      </c>
      <c r="C263" t="s">
        <v>136</v>
      </c>
      <c r="D263">
        <v>330063.63</v>
      </c>
      <c r="E263">
        <v>314904.83</v>
      </c>
      <c r="F263">
        <v>379318.78</v>
      </c>
      <c r="G263">
        <v>679856.54</v>
      </c>
      <c r="H263">
        <v>435179.71</v>
      </c>
      <c r="I263">
        <v>276761.8</v>
      </c>
    </row>
    <row r="264" spans="1:9" x14ac:dyDescent="0.3">
      <c r="A264" t="s">
        <v>177</v>
      </c>
      <c r="B264" t="s">
        <v>97</v>
      </c>
      <c r="C264" t="s">
        <v>138</v>
      </c>
      <c r="D264">
        <v>2306266.04</v>
      </c>
      <c r="E264">
        <v>2183288.41</v>
      </c>
      <c r="F264">
        <v>2102883.67</v>
      </c>
      <c r="G264">
        <v>2090186.49</v>
      </c>
      <c r="H264">
        <v>1648572.32</v>
      </c>
      <c r="I264">
        <v>1181019.02</v>
      </c>
    </row>
    <row r="265" spans="1:9" x14ac:dyDescent="0.3">
      <c r="A265" t="s">
        <v>177</v>
      </c>
      <c r="B265" t="s">
        <v>97</v>
      </c>
      <c r="C265" t="s">
        <v>139</v>
      </c>
      <c r="D265">
        <v>30813.42</v>
      </c>
      <c r="E265">
        <v>4200.0200000000004</v>
      </c>
      <c r="F265">
        <v>237004.44</v>
      </c>
      <c r="G265">
        <v>391707.01</v>
      </c>
      <c r="H265">
        <v>340142.51</v>
      </c>
      <c r="I265">
        <v>292810.49</v>
      </c>
    </row>
    <row r="266" spans="1:9" x14ac:dyDescent="0.3">
      <c r="A266" t="s">
        <v>177</v>
      </c>
      <c r="B266" t="s">
        <v>97</v>
      </c>
      <c r="C266" t="s">
        <v>140</v>
      </c>
      <c r="D266">
        <v>30813.42</v>
      </c>
      <c r="E266">
        <v>4200.0200000000004</v>
      </c>
      <c r="F266">
        <v>237004.44</v>
      </c>
      <c r="G266">
        <v>391707.01</v>
      </c>
      <c r="H266">
        <v>340142.51</v>
      </c>
      <c r="I266">
        <v>292810.49</v>
      </c>
    </row>
    <row r="267" spans="1:9" x14ac:dyDescent="0.3">
      <c r="A267" t="s">
        <v>177</v>
      </c>
      <c r="B267" t="s">
        <v>97</v>
      </c>
      <c r="C267" t="s">
        <v>141</v>
      </c>
      <c r="D267">
        <v>21665.48</v>
      </c>
      <c r="E267">
        <v>21665.48</v>
      </c>
      <c r="F267">
        <v>21665.48</v>
      </c>
      <c r="G267">
        <v>21665.48</v>
      </c>
      <c r="H267">
        <v>21665.48</v>
      </c>
      <c r="I267">
        <v>21665.48</v>
      </c>
    </row>
    <row r="268" spans="1:9" x14ac:dyDescent="0.3">
      <c r="A268" t="s">
        <v>177</v>
      </c>
      <c r="B268" t="s">
        <v>97</v>
      </c>
      <c r="C268" t="s">
        <v>167</v>
      </c>
      <c r="D268">
        <v>22394.53</v>
      </c>
      <c r="E268">
        <v>22394.53</v>
      </c>
      <c r="F268">
        <v>22394.53</v>
      </c>
      <c r="G268">
        <v>22394.53</v>
      </c>
      <c r="H268">
        <v>22394.53</v>
      </c>
      <c r="I268">
        <v>22394.53</v>
      </c>
    </row>
    <row r="269" spans="1:9" x14ac:dyDescent="0.3">
      <c r="A269" t="s">
        <v>177</v>
      </c>
      <c r="B269" t="s">
        <v>97</v>
      </c>
      <c r="C269" t="s">
        <v>142</v>
      </c>
      <c r="D269">
        <v>624.19000000000005</v>
      </c>
      <c r="E269">
        <v>333811.90000000002</v>
      </c>
      <c r="F269">
        <v>333811.90000000002</v>
      </c>
      <c r="G269">
        <v>282784.68</v>
      </c>
      <c r="H269">
        <v>232680.45</v>
      </c>
      <c r="I269">
        <v>206705.44</v>
      </c>
    </row>
    <row r="270" spans="1:9" x14ac:dyDescent="0.3">
      <c r="A270" t="s">
        <v>177</v>
      </c>
      <c r="B270" t="s">
        <v>97</v>
      </c>
      <c r="C270" t="s">
        <v>143</v>
      </c>
      <c r="D270">
        <v>-47750.2</v>
      </c>
      <c r="E270">
        <v>-159433.43</v>
      </c>
      <c r="F270">
        <v>-16873.88</v>
      </c>
      <c r="G270">
        <v>33365.1</v>
      </c>
      <c r="H270">
        <v>19291.43</v>
      </c>
      <c r="I270">
        <v>21358.87</v>
      </c>
    </row>
    <row r="271" spans="1:9" x14ac:dyDescent="0.3">
      <c r="A271" t="s">
        <v>177</v>
      </c>
      <c r="B271" t="s">
        <v>97</v>
      </c>
      <c r="C271" t="s">
        <v>144</v>
      </c>
      <c r="D271">
        <v>26613.4</v>
      </c>
      <c r="E271">
        <v>-221506.46</v>
      </c>
      <c r="F271">
        <v>-137265.17000000001</v>
      </c>
      <c r="G271">
        <v>18174.759999999998</v>
      </c>
      <c r="H271">
        <v>32150.01</v>
      </c>
      <c r="I271">
        <v>9216.83</v>
      </c>
    </row>
    <row r="272" spans="1:9" x14ac:dyDescent="0.3">
      <c r="A272" t="s">
        <v>177</v>
      </c>
      <c r="B272" t="s">
        <v>97</v>
      </c>
      <c r="C272" t="s">
        <v>174</v>
      </c>
      <c r="D272">
        <v>7266.03</v>
      </c>
      <c r="E272">
        <v>7268.01</v>
      </c>
      <c r="F272">
        <v>13271.6</v>
      </c>
      <c r="G272">
        <v>13322.47</v>
      </c>
      <c r="H272">
        <v>11960.61</v>
      </c>
      <c r="I272">
        <v>11469.35</v>
      </c>
    </row>
    <row r="273" spans="1:9" x14ac:dyDescent="0.3">
      <c r="A273" t="s">
        <v>177</v>
      </c>
      <c r="B273" t="s">
        <v>97</v>
      </c>
      <c r="C273" t="s">
        <v>145</v>
      </c>
      <c r="D273">
        <v>2275452.62</v>
      </c>
      <c r="E273">
        <v>2179088.39</v>
      </c>
      <c r="F273">
        <v>1865879.23</v>
      </c>
      <c r="G273">
        <v>1698479.49</v>
      </c>
      <c r="H273">
        <v>1308429.82</v>
      </c>
      <c r="I273">
        <v>888208.54</v>
      </c>
    </row>
    <row r="274" spans="1:9" x14ac:dyDescent="0.3">
      <c r="A274" t="s">
        <v>177</v>
      </c>
      <c r="B274" t="s">
        <v>97</v>
      </c>
      <c r="C274" t="s">
        <v>146</v>
      </c>
      <c r="D274">
        <v>1087578.58</v>
      </c>
      <c r="E274">
        <v>1277646.79</v>
      </c>
      <c r="F274">
        <v>959577.92</v>
      </c>
      <c r="G274">
        <v>837044.25</v>
      </c>
      <c r="H274">
        <v>112134.08</v>
      </c>
      <c r="I274">
        <v>37431.21</v>
      </c>
    </row>
    <row r="275" spans="1:9" x14ac:dyDescent="0.3">
      <c r="A275" t="s">
        <v>177</v>
      </c>
      <c r="B275" t="s">
        <v>97</v>
      </c>
      <c r="C275" t="s">
        <v>147</v>
      </c>
      <c r="D275">
        <v>1087484.06</v>
      </c>
      <c r="E275">
        <v>1277532.03</v>
      </c>
      <c r="F275">
        <v>959565.88</v>
      </c>
      <c r="G275">
        <v>837023.56</v>
      </c>
      <c r="H275">
        <v>112120.68</v>
      </c>
      <c r="I275">
        <v>37422.769999999997</v>
      </c>
    </row>
    <row r="276" spans="1:9" x14ac:dyDescent="0.3">
      <c r="A276" t="s">
        <v>177</v>
      </c>
      <c r="B276" t="s">
        <v>97</v>
      </c>
      <c r="C276" t="s">
        <v>148</v>
      </c>
      <c r="D276">
        <v>94.52</v>
      </c>
      <c r="E276">
        <v>114.76</v>
      </c>
      <c r="F276">
        <v>12.04</v>
      </c>
      <c r="G276">
        <v>20.69</v>
      </c>
      <c r="H276">
        <v>13.4</v>
      </c>
      <c r="I276">
        <v>8.44</v>
      </c>
    </row>
    <row r="277" spans="1:9" x14ac:dyDescent="0.3">
      <c r="A277" t="s">
        <v>177</v>
      </c>
      <c r="B277" t="s">
        <v>97</v>
      </c>
      <c r="C277" t="s">
        <v>149</v>
      </c>
      <c r="D277">
        <v>1187874.05</v>
      </c>
      <c r="E277">
        <v>901441.6</v>
      </c>
      <c r="F277">
        <v>906301.31</v>
      </c>
      <c r="G277">
        <v>861435.24</v>
      </c>
      <c r="H277">
        <v>1196295.73</v>
      </c>
      <c r="I277">
        <v>850777.33</v>
      </c>
    </row>
    <row r="278" spans="1:9" x14ac:dyDescent="0.3">
      <c r="A278" t="s">
        <v>177</v>
      </c>
      <c r="B278" t="s">
        <v>97</v>
      </c>
      <c r="C278" t="s">
        <v>169</v>
      </c>
      <c r="D278">
        <v>18979.259999999998</v>
      </c>
      <c r="E278">
        <v>15945.16</v>
      </c>
      <c r="F278">
        <v>11157.5</v>
      </c>
      <c r="G278">
        <v>7041.11</v>
      </c>
      <c r="H278">
        <v>12572.67</v>
      </c>
      <c r="I278">
        <v>26057.360000000001</v>
      </c>
    </row>
    <row r="279" spans="1:9" x14ac:dyDescent="0.3">
      <c r="A279" t="s">
        <v>177</v>
      </c>
      <c r="B279" t="s">
        <v>97</v>
      </c>
      <c r="C279" t="s">
        <v>150</v>
      </c>
      <c r="D279">
        <v>1023537.72</v>
      </c>
      <c r="E279">
        <v>727691.73</v>
      </c>
      <c r="F279">
        <v>752365.74</v>
      </c>
      <c r="G279">
        <v>677943.72</v>
      </c>
      <c r="H279">
        <v>1113944.73</v>
      </c>
      <c r="I279">
        <v>771161.16</v>
      </c>
    </row>
    <row r="280" spans="1:9" x14ac:dyDescent="0.3">
      <c r="A280" t="s">
        <v>177</v>
      </c>
      <c r="B280" t="s">
        <v>97</v>
      </c>
      <c r="C280" t="s">
        <v>151</v>
      </c>
      <c r="D280">
        <v>992162.4</v>
      </c>
      <c r="E280">
        <v>686653.82</v>
      </c>
      <c r="F280">
        <v>726275.26</v>
      </c>
      <c r="G280">
        <v>503267.73</v>
      </c>
      <c r="H280">
        <v>928182.81</v>
      </c>
      <c r="I280">
        <v>668590.32999999996</v>
      </c>
    </row>
    <row r="281" spans="1:9" x14ac:dyDescent="0.3">
      <c r="A281" t="s">
        <v>177</v>
      </c>
      <c r="B281" t="s">
        <v>97</v>
      </c>
      <c r="C281" t="s">
        <v>152</v>
      </c>
      <c r="D281">
        <v>31375.32</v>
      </c>
      <c r="E281">
        <v>41037.910000000003</v>
      </c>
      <c r="F281">
        <v>26090.48</v>
      </c>
      <c r="G281">
        <v>174675.99</v>
      </c>
      <c r="H281">
        <v>185761.92000000001</v>
      </c>
      <c r="I281">
        <v>102570.82</v>
      </c>
    </row>
    <row r="282" spans="1:9" x14ac:dyDescent="0.3">
      <c r="A282" t="s">
        <v>177</v>
      </c>
      <c r="B282" t="s">
        <v>97</v>
      </c>
      <c r="C282" t="s">
        <v>147</v>
      </c>
      <c r="D282">
        <v>122611.89</v>
      </c>
      <c r="E282">
        <v>106695.98</v>
      </c>
      <c r="F282">
        <v>95984.68</v>
      </c>
      <c r="G282">
        <v>145057.96</v>
      </c>
      <c r="H282">
        <v>47610.97</v>
      </c>
      <c r="I282">
        <v>36163.980000000003</v>
      </c>
    </row>
    <row r="283" spans="1:9" x14ac:dyDescent="0.3">
      <c r="A283" t="s">
        <v>177</v>
      </c>
      <c r="B283" t="s">
        <v>97</v>
      </c>
      <c r="C283" t="s">
        <v>153</v>
      </c>
      <c r="D283">
        <v>10760.37</v>
      </c>
      <c r="E283">
        <v>36275.120000000003</v>
      </c>
      <c r="F283">
        <v>27934.81</v>
      </c>
      <c r="G283">
        <v>21983.38</v>
      </c>
      <c r="H283">
        <v>14820.09</v>
      </c>
      <c r="I283">
        <v>10894.36</v>
      </c>
    </row>
    <row r="284" spans="1:9" x14ac:dyDescent="0.3">
      <c r="A284" t="s">
        <v>177</v>
      </c>
      <c r="B284" t="s">
        <v>97</v>
      </c>
      <c r="C284" t="s">
        <v>171</v>
      </c>
      <c r="D284">
        <v>11984.81</v>
      </c>
      <c r="E284">
        <v>14833.61</v>
      </c>
      <c r="F284">
        <v>18858.57</v>
      </c>
      <c r="G284">
        <v>9409.07</v>
      </c>
      <c r="H284">
        <v>7347.27</v>
      </c>
      <c r="I284">
        <v>6500.47</v>
      </c>
    </row>
    <row r="285" spans="1:9" x14ac:dyDescent="0.3">
      <c r="A285" t="s">
        <v>180</v>
      </c>
      <c r="B285" t="s">
        <v>97</v>
      </c>
      <c r="C285" t="s">
        <v>105</v>
      </c>
      <c r="D285">
        <v>5043913.8600000003</v>
      </c>
      <c r="E285">
        <v>4775494.2300000004</v>
      </c>
      <c r="F285">
        <v>3942929.62</v>
      </c>
      <c r="G285">
        <v>3581508.23</v>
      </c>
      <c r="H285">
        <v>2870121.35</v>
      </c>
      <c r="I285">
        <v>2425802.56</v>
      </c>
    </row>
    <row r="286" spans="1:9" x14ac:dyDescent="0.3">
      <c r="A286" t="s">
        <v>180</v>
      </c>
      <c r="B286" t="s">
        <v>97</v>
      </c>
      <c r="C286" t="s">
        <v>155</v>
      </c>
      <c r="D286">
        <v>5043913.8600000003</v>
      </c>
      <c r="E286">
        <v>4775494.2300000004</v>
      </c>
      <c r="F286">
        <v>3942929.62</v>
      </c>
      <c r="G286">
        <v>3581508.23</v>
      </c>
      <c r="H286">
        <v>2870121.35</v>
      </c>
      <c r="I286">
        <v>2425802.56</v>
      </c>
    </row>
    <row r="287" spans="1:9" x14ac:dyDescent="0.3">
      <c r="A287" t="s">
        <v>180</v>
      </c>
      <c r="B287" t="s">
        <v>97</v>
      </c>
      <c r="C287" t="s">
        <v>107</v>
      </c>
      <c r="D287">
        <v>992.05</v>
      </c>
      <c r="E287">
        <v>1066.01</v>
      </c>
      <c r="F287">
        <v>1341.72</v>
      </c>
      <c r="G287">
        <v>4139.43</v>
      </c>
      <c r="H287">
        <v>2710.49</v>
      </c>
      <c r="I287">
        <v>1958.4</v>
      </c>
    </row>
    <row r="288" spans="1:9" x14ac:dyDescent="0.3">
      <c r="A288" t="s">
        <v>180</v>
      </c>
      <c r="B288" t="s">
        <v>97</v>
      </c>
      <c r="C288" t="s">
        <v>108</v>
      </c>
      <c r="D288">
        <v>65004.46</v>
      </c>
      <c r="E288">
        <v>57024.81</v>
      </c>
      <c r="F288">
        <v>57982.71</v>
      </c>
      <c r="G288">
        <v>60087.35</v>
      </c>
      <c r="H288">
        <v>48398.61</v>
      </c>
      <c r="I288">
        <v>37923.17</v>
      </c>
    </row>
    <row r="289" spans="1:9" x14ac:dyDescent="0.3">
      <c r="A289" t="s">
        <v>180</v>
      </c>
      <c r="B289" t="s">
        <v>97</v>
      </c>
      <c r="C289" t="s">
        <v>156</v>
      </c>
      <c r="D289">
        <v>157900.15</v>
      </c>
      <c r="E289">
        <v>137262.5</v>
      </c>
      <c r="F289">
        <v>118854.27</v>
      </c>
      <c r="G289">
        <v>98381.440000000002</v>
      </c>
      <c r="H289">
        <v>88662.67</v>
      </c>
      <c r="I289">
        <v>92191.679999999993</v>
      </c>
    </row>
    <row r="290" spans="1:9" x14ac:dyDescent="0.3">
      <c r="A290" t="s">
        <v>180</v>
      </c>
      <c r="B290" t="s">
        <v>97</v>
      </c>
      <c r="C290" t="s">
        <v>157</v>
      </c>
      <c r="D290">
        <v>428.25</v>
      </c>
      <c r="E290">
        <v>466.56</v>
      </c>
      <c r="F290">
        <v>352.49</v>
      </c>
      <c r="G290">
        <v>182.37</v>
      </c>
      <c r="H290">
        <v>99.64</v>
      </c>
      <c r="I290">
        <v>412.23</v>
      </c>
    </row>
    <row r="291" spans="1:9" x14ac:dyDescent="0.3">
      <c r="A291" t="s">
        <v>180</v>
      </c>
      <c r="B291" t="s">
        <v>97</v>
      </c>
      <c r="C291" t="s">
        <v>158</v>
      </c>
      <c r="D291">
        <v>-4973.24</v>
      </c>
      <c r="E291">
        <v>-4072.5</v>
      </c>
      <c r="F291">
        <v>-4085.16</v>
      </c>
      <c r="G291">
        <v>-3582.58</v>
      </c>
      <c r="H291">
        <v>-1437.64</v>
      </c>
      <c r="I291">
        <v>-1235.8800000000001</v>
      </c>
    </row>
    <row r="292" spans="1:9" x14ac:dyDescent="0.3">
      <c r="A292" t="s">
        <v>180</v>
      </c>
      <c r="B292" t="s">
        <v>97</v>
      </c>
      <c r="C292" t="s">
        <v>106</v>
      </c>
      <c r="D292">
        <v>5541464.7599999998</v>
      </c>
      <c r="E292">
        <v>5047275.04</v>
      </c>
      <c r="F292">
        <v>4598467.95</v>
      </c>
      <c r="G292">
        <v>3347146.4</v>
      </c>
      <c r="H292">
        <v>2661622.92</v>
      </c>
      <c r="I292">
        <v>2328849.81</v>
      </c>
    </row>
    <row r="293" spans="1:9" x14ac:dyDescent="0.3">
      <c r="A293" t="s">
        <v>180</v>
      </c>
      <c r="B293" t="s">
        <v>97</v>
      </c>
      <c r="C293" t="s">
        <v>109</v>
      </c>
      <c r="D293">
        <v>99969.32</v>
      </c>
      <c r="E293">
        <v>36954.75</v>
      </c>
      <c r="F293">
        <v>142844.56</v>
      </c>
      <c r="G293">
        <v>56837.88</v>
      </c>
      <c r="H293">
        <v>27272.61</v>
      </c>
      <c r="I293">
        <v>32499.66</v>
      </c>
    </row>
    <row r="294" spans="1:9" x14ac:dyDescent="0.3">
      <c r="A294" t="s">
        <v>180</v>
      </c>
      <c r="B294" t="s">
        <v>97</v>
      </c>
      <c r="C294" t="s">
        <v>113</v>
      </c>
      <c r="D294">
        <v>-826818.35</v>
      </c>
      <c r="E294">
        <v>-508627.94</v>
      </c>
      <c r="F294">
        <v>-980999.24</v>
      </c>
      <c r="G294">
        <v>11150.77</v>
      </c>
      <c r="H294">
        <v>39916.769999999997</v>
      </c>
      <c r="I294">
        <v>-69268.28</v>
      </c>
    </row>
    <row r="295" spans="1:9" x14ac:dyDescent="0.3">
      <c r="A295" t="s">
        <v>180</v>
      </c>
      <c r="B295" t="s">
        <v>97</v>
      </c>
      <c r="C295" t="s">
        <v>114</v>
      </c>
      <c r="D295">
        <v>-726849.04</v>
      </c>
      <c r="E295">
        <v>-471673.19</v>
      </c>
      <c r="F295">
        <v>-838154.68</v>
      </c>
      <c r="G295">
        <v>67988.649999999994</v>
      </c>
      <c r="H295">
        <v>67189.37</v>
      </c>
      <c r="I295">
        <v>-36768.61</v>
      </c>
    </row>
    <row r="296" spans="1:9" x14ac:dyDescent="0.3">
      <c r="A296" t="s">
        <v>180</v>
      </c>
      <c r="B296" t="s">
        <v>97</v>
      </c>
      <c r="C296" t="s">
        <v>115</v>
      </c>
      <c r="D296">
        <v>-5502.26</v>
      </c>
      <c r="E296">
        <v>-5047.51</v>
      </c>
      <c r="F296">
        <v>-7197.37</v>
      </c>
      <c r="G296">
        <v>-7725.78</v>
      </c>
      <c r="H296">
        <v>-12633.32</v>
      </c>
      <c r="I296">
        <v>-15128.78</v>
      </c>
    </row>
    <row r="297" spans="1:9" x14ac:dyDescent="0.3">
      <c r="A297" t="s">
        <v>180</v>
      </c>
      <c r="B297" t="s">
        <v>97</v>
      </c>
      <c r="C297" t="s">
        <v>118</v>
      </c>
      <c r="D297">
        <v>5502.26</v>
      </c>
      <c r="E297">
        <v>5047.51</v>
      </c>
      <c r="F297">
        <v>7197.37</v>
      </c>
      <c r="G297">
        <v>7725.78</v>
      </c>
      <c r="H297">
        <v>12633.32</v>
      </c>
      <c r="I297">
        <v>15128.78</v>
      </c>
    </row>
    <row r="298" spans="1:9" x14ac:dyDescent="0.3">
      <c r="A298" t="s">
        <v>180</v>
      </c>
      <c r="B298" t="s">
        <v>97</v>
      </c>
      <c r="C298" t="s">
        <v>159</v>
      </c>
      <c r="D298">
        <v>5502.26</v>
      </c>
      <c r="E298">
        <v>5047.51</v>
      </c>
      <c r="F298">
        <v>7197.37</v>
      </c>
      <c r="G298">
        <v>7725.78</v>
      </c>
      <c r="H298">
        <v>12633.32</v>
      </c>
      <c r="I298">
        <v>15128.78</v>
      </c>
    </row>
    <row r="299" spans="1:9" x14ac:dyDescent="0.3">
      <c r="A299" t="s">
        <v>180</v>
      </c>
      <c r="B299" t="s">
        <v>97</v>
      </c>
      <c r="C299" t="s">
        <v>120</v>
      </c>
      <c r="D299">
        <v>55837.03</v>
      </c>
      <c r="E299">
        <v>16943.64</v>
      </c>
      <c r="F299">
        <v>14778.61</v>
      </c>
      <c r="G299">
        <v>861.15</v>
      </c>
      <c r="H299">
        <v>6184.23</v>
      </c>
      <c r="I299">
        <v>7457.17</v>
      </c>
    </row>
    <row r="300" spans="1:9" x14ac:dyDescent="0.3">
      <c r="A300" t="s">
        <v>180</v>
      </c>
      <c r="B300" t="s">
        <v>97</v>
      </c>
      <c r="C300" t="s">
        <v>121</v>
      </c>
      <c r="D300">
        <v>63114.74</v>
      </c>
      <c r="E300">
        <v>34348.93</v>
      </c>
      <c r="F300">
        <v>26082.31</v>
      </c>
      <c r="G300">
        <v>12037.81</v>
      </c>
      <c r="H300">
        <v>11733.16</v>
      </c>
      <c r="I300">
        <v>12676.57</v>
      </c>
    </row>
    <row r="301" spans="1:9" x14ac:dyDescent="0.3">
      <c r="A301" t="s">
        <v>180</v>
      </c>
      <c r="B301" t="s">
        <v>97</v>
      </c>
      <c r="C301" t="s">
        <v>122</v>
      </c>
      <c r="D301">
        <v>7277.71</v>
      </c>
      <c r="E301">
        <v>17405.29</v>
      </c>
      <c r="F301">
        <v>11303.7</v>
      </c>
      <c r="G301">
        <v>11176.66</v>
      </c>
      <c r="H301">
        <v>5548.93</v>
      </c>
      <c r="I301">
        <v>5219.3999999999996</v>
      </c>
    </row>
    <row r="302" spans="1:9" x14ac:dyDescent="0.3">
      <c r="A302" t="s">
        <v>180</v>
      </c>
      <c r="B302" t="s">
        <v>97</v>
      </c>
      <c r="C302" t="s">
        <v>123</v>
      </c>
      <c r="D302">
        <v>-776483.59</v>
      </c>
      <c r="E302">
        <v>-496731.8</v>
      </c>
      <c r="F302">
        <v>-973418</v>
      </c>
      <c r="G302">
        <v>4286.13</v>
      </c>
      <c r="H302">
        <v>33467.67</v>
      </c>
      <c r="I302">
        <v>-76939.89</v>
      </c>
    </row>
    <row r="303" spans="1:9" x14ac:dyDescent="0.3">
      <c r="A303" t="s">
        <v>180</v>
      </c>
      <c r="B303" t="s">
        <v>97</v>
      </c>
      <c r="C303" t="s">
        <v>124</v>
      </c>
      <c r="D303">
        <v>16520.09</v>
      </c>
      <c r="E303">
        <v>36168.15</v>
      </c>
      <c r="F303">
        <v>270000.19</v>
      </c>
      <c r="G303">
        <v>-964.02</v>
      </c>
      <c r="H303">
        <v>-13762.25</v>
      </c>
      <c r="I303">
        <v>23547.38</v>
      </c>
    </row>
    <row r="304" spans="1:9" x14ac:dyDescent="0.3">
      <c r="A304" t="s">
        <v>180</v>
      </c>
      <c r="B304" t="s">
        <v>97</v>
      </c>
      <c r="C304" t="s">
        <v>125</v>
      </c>
      <c r="D304">
        <v>-759963.5</v>
      </c>
      <c r="E304">
        <v>-460563.65</v>
      </c>
      <c r="F304">
        <v>-703417.81</v>
      </c>
      <c r="G304">
        <v>3322.11</v>
      </c>
      <c r="H304">
        <v>19705.419999999998</v>
      </c>
      <c r="I304">
        <v>-53392.51</v>
      </c>
    </row>
    <row r="305" spans="1:9" x14ac:dyDescent="0.3">
      <c r="A305" t="s">
        <v>180</v>
      </c>
      <c r="B305" t="s">
        <v>97</v>
      </c>
      <c r="C305" t="s">
        <v>126</v>
      </c>
      <c r="D305">
        <v>-759963.5</v>
      </c>
      <c r="E305">
        <v>-460563.65</v>
      </c>
      <c r="F305">
        <v>-703417.81</v>
      </c>
      <c r="G305">
        <v>3322.11</v>
      </c>
      <c r="H305">
        <v>19705.419999999998</v>
      </c>
      <c r="I305">
        <v>-53392.51</v>
      </c>
    </row>
    <row r="306" spans="1:9" x14ac:dyDescent="0.3">
      <c r="A306" t="s">
        <v>180</v>
      </c>
      <c r="B306" t="s">
        <v>97</v>
      </c>
      <c r="C306" t="s">
        <v>127</v>
      </c>
      <c r="D306">
        <v>866309</v>
      </c>
      <c r="E306">
        <v>974434.44</v>
      </c>
      <c r="F306">
        <v>947006.74</v>
      </c>
      <c r="G306">
        <v>1054606.46</v>
      </c>
      <c r="H306">
        <v>1080969.3700000001</v>
      </c>
      <c r="I306">
        <v>1142761.6200000001</v>
      </c>
    </row>
    <row r="307" spans="1:9" x14ac:dyDescent="0.3">
      <c r="A307" t="s">
        <v>180</v>
      </c>
      <c r="B307" t="s">
        <v>97</v>
      </c>
      <c r="C307" t="s">
        <v>128</v>
      </c>
      <c r="D307">
        <v>431106.97</v>
      </c>
      <c r="E307">
        <v>433672.04</v>
      </c>
      <c r="F307">
        <v>408281.9</v>
      </c>
      <c r="G307">
        <v>136824.22</v>
      </c>
      <c r="H307">
        <v>139274.21</v>
      </c>
      <c r="I307">
        <v>152990.98000000001</v>
      </c>
    </row>
    <row r="308" spans="1:9" x14ac:dyDescent="0.3">
      <c r="A308" t="s">
        <v>180</v>
      </c>
      <c r="B308" t="s">
        <v>97</v>
      </c>
      <c r="C308" t="s">
        <v>129</v>
      </c>
      <c r="D308">
        <v>30455.89</v>
      </c>
      <c r="E308">
        <v>30869.51</v>
      </c>
      <c r="F308">
        <v>31424.01</v>
      </c>
      <c r="G308">
        <v>31757.82</v>
      </c>
      <c r="H308">
        <v>32810.370000000003</v>
      </c>
      <c r="I308">
        <v>33579.160000000003</v>
      </c>
    </row>
    <row r="309" spans="1:9" x14ac:dyDescent="0.3">
      <c r="A309" t="s">
        <v>180</v>
      </c>
      <c r="B309" t="s">
        <v>97</v>
      </c>
      <c r="C309" t="s">
        <v>160</v>
      </c>
      <c r="D309">
        <v>505</v>
      </c>
      <c r="E309">
        <v>2647.89</v>
      </c>
      <c r="F309">
        <v>2869.46</v>
      </c>
      <c r="G309">
        <v>1243.77</v>
      </c>
      <c r="H309">
        <v>2218.79</v>
      </c>
      <c r="I309">
        <v>1615.6</v>
      </c>
    </row>
    <row r="310" spans="1:9" x14ac:dyDescent="0.3">
      <c r="A310" t="s">
        <v>180</v>
      </c>
      <c r="B310" t="s">
        <v>97</v>
      </c>
      <c r="C310" t="s">
        <v>161</v>
      </c>
      <c r="D310">
        <v>400146.08</v>
      </c>
      <c r="E310">
        <v>400154.64</v>
      </c>
      <c r="F310">
        <v>373988.44</v>
      </c>
      <c r="G310">
        <v>103822.62</v>
      </c>
      <c r="H310">
        <v>104245.05</v>
      </c>
      <c r="I310">
        <v>117796.23</v>
      </c>
    </row>
    <row r="311" spans="1:9" x14ac:dyDescent="0.3">
      <c r="A311" t="s">
        <v>180</v>
      </c>
      <c r="B311" t="s">
        <v>97</v>
      </c>
      <c r="C311" t="s">
        <v>132</v>
      </c>
      <c r="D311">
        <v>435202.02</v>
      </c>
      <c r="E311">
        <v>540762.4</v>
      </c>
      <c r="F311">
        <v>538724.84</v>
      </c>
      <c r="G311">
        <v>917782.24</v>
      </c>
      <c r="H311">
        <v>941695.15</v>
      </c>
      <c r="I311">
        <v>989770.64</v>
      </c>
    </row>
    <row r="312" spans="1:9" x14ac:dyDescent="0.3">
      <c r="A312" t="s">
        <v>180</v>
      </c>
      <c r="B312" t="s">
        <v>97</v>
      </c>
      <c r="C312" t="s">
        <v>133</v>
      </c>
      <c r="D312">
        <v>220825.79</v>
      </c>
      <c r="E312">
        <v>313232.03000000003</v>
      </c>
      <c r="F312">
        <v>309048.38</v>
      </c>
      <c r="G312">
        <v>617833.26</v>
      </c>
      <c r="H312">
        <v>599494.71</v>
      </c>
      <c r="I312">
        <v>868646.93</v>
      </c>
    </row>
    <row r="313" spans="1:9" x14ac:dyDescent="0.3">
      <c r="A313" t="s">
        <v>180</v>
      </c>
      <c r="B313" t="s">
        <v>97</v>
      </c>
      <c r="C313" t="s">
        <v>162</v>
      </c>
      <c r="D313">
        <v>554986.74</v>
      </c>
      <c r="E313">
        <v>542686.56000000006</v>
      </c>
      <c r="F313">
        <v>539361.91</v>
      </c>
      <c r="G313">
        <v>653926.40000000002</v>
      </c>
      <c r="H313">
        <v>615242.35</v>
      </c>
      <c r="I313">
        <v>675360.03</v>
      </c>
    </row>
    <row r="314" spans="1:9" x14ac:dyDescent="0.3">
      <c r="A314" t="s">
        <v>180</v>
      </c>
      <c r="B314" t="s">
        <v>97</v>
      </c>
      <c r="C314" t="s">
        <v>134</v>
      </c>
      <c r="D314">
        <v>28665.07</v>
      </c>
      <c r="E314">
        <v>27647.74</v>
      </c>
      <c r="F314">
        <v>45497.53</v>
      </c>
      <c r="G314">
        <v>101405.26</v>
      </c>
      <c r="H314">
        <v>70107.75</v>
      </c>
      <c r="I314">
        <v>263136.40000000002</v>
      </c>
    </row>
    <row r="315" spans="1:9" x14ac:dyDescent="0.3">
      <c r="A315" t="s">
        <v>180</v>
      </c>
      <c r="B315" t="s">
        <v>97</v>
      </c>
      <c r="C315" t="s">
        <v>164</v>
      </c>
      <c r="D315">
        <v>-365966.03</v>
      </c>
      <c r="E315">
        <v>-272084.92</v>
      </c>
      <c r="F315">
        <v>-287948.63</v>
      </c>
      <c r="G315">
        <v>-147434</v>
      </c>
      <c r="H315">
        <v>-94191.96</v>
      </c>
      <c r="I315">
        <v>-76483.5</v>
      </c>
    </row>
    <row r="316" spans="1:9" x14ac:dyDescent="0.3">
      <c r="A316" t="s">
        <v>180</v>
      </c>
      <c r="B316" t="s">
        <v>97</v>
      </c>
      <c r="C316" t="s">
        <v>165</v>
      </c>
      <c r="D316">
        <v>3140.01</v>
      </c>
      <c r="E316">
        <v>14982.65</v>
      </c>
      <c r="F316">
        <v>12137.57</v>
      </c>
      <c r="G316">
        <v>9935.59</v>
      </c>
      <c r="H316">
        <v>8336.57</v>
      </c>
      <c r="I316">
        <v>6633.99</v>
      </c>
    </row>
    <row r="317" spans="1:9" x14ac:dyDescent="0.3">
      <c r="A317" t="s">
        <v>180</v>
      </c>
      <c r="B317" t="s">
        <v>97</v>
      </c>
      <c r="C317" t="s">
        <v>166</v>
      </c>
      <c r="D317">
        <v>9809.11</v>
      </c>
      <c r="E317">
        <v>32038.99</v>
      </c>
      <c r="F317">
        <v>57609.65</v>
      </c>
      <c r="G317">
        <v>73564.97</v>
      </c>
      <c r="H317">
        <v>120891.58</v>
      </c>
      <c r="I317">
        <v>14298.85</v>
      </c>
    </row>
    <row r="318" spans="1:9" x14ac:dyDescent="0.3">
      <c r="A318" t="s">
        <v>180</v>
      </c>
      <c r="B318" t="s">
        <v>97</v>
      </c>
      <c r="C318" t="s">
        <v>135</v>
      </c>
      <c r="D318">
        <v>12886.21</v>
      </c>
      <c r="E318">
        <v>10054</v>
      </c>
      <c r="F318">
        <v>14004.9</v>
      </c>
      <c r="G318">
        <v>21</v>
      </c>
      <c r="H318">
        <v>21</v>
      </c>
      <c r="I318">
        <v>21</v>
      </c>
    </row>
    <row r="319" spans="1:9" x14ac:dyDescent="0.3">
      <c r="A319" t="s">
        <v>180</v>
      </c>
      <c r="B319" t="s">
        <v>97</v>
      </c>
      <c r="C319" t="s">
        <v>136</v>
      </c>
      <c r="D319">
        <v>191680.92</v>
      </c>
      <c r="E319">
        <v>185437.38</v>
      </c>
      <c r="F319">
        <v>158061.9</v>
      </c>
      <c r="G319">
        <v>226363.01</v>
      </c>
      <c r="H319">
        <v>221287.86</v>
      </c>
      <c r="I319">
        <v>106803.87</v>
      </c>
    </row>
    <row r="320" spans="1:9" x14ac:dyDescent="0.3">
      <c r="A320" t="s">
        <v>180</v>
      </c>
      <c r="B320" t="s">
        <v>97</v>
      </c>
      <c r="C320" t="s">
        <v>138</v>
      </c>
      <c r="D320">
        <v>866309</v>
      </c>
      <c r="E320">
        <v>974434.44</v>
      </c>
      <c r="F320">
        <v>947006.74</v>
      </c>
      <c r="G320">
        <v>1054606.46</v>
      </c>
      <c r="H320">
        <v>1080969.3700000001</v>
      </c>
      <c r="I320">
        <v>1142761.6200000001</v>
      </c>
    </row>
    <row r="321" spans="1:9" x14ac:dyDescent="0.3">
      <c r="A321" t="s">
        <v>180</v>
      </c>
      <c r="B321" t="s">
        <v>97</v>
      </c>
      <c r="C321" t="s">
        <v>139</v>
      </c>
      <c r="D321">
        <v>-2197790.08</v>
      </c>
      <c r="E321">
        <v>-1532196.92</v>
      </c>
      <c r="F321">
        <v>-1090508.96</v>
      </c>
      <c r="G321">
        <v>141579.76999999999</v>
      </c>
      <c r="H321">
        <v>132586.19</v>
      </c>
      <c r="I321">
        <v>82000.77</v>
      </c>
    </row>
    <row r="322" spans="1:9" x14ac:dyDescent="0.3">
      <c r="A322" t="s">
        <v>180</v>
      </c>
      <c r="B322" t="s">
        <v>97</v>
      </c>
      <c r="C322" t="s">
        <v>140</v>
      </c>
      <c r="D322">
        <v>-2197790.08</v>
      </c>
      <c r="E322">
        <v>-1532196.92</v>
      </c>
      <c r="F322">
        <v>-1090508.96</v>
      </c>
      <c r="G322">
        <v>141579.76999999999</v>
      </c>
      <c r="H322">
        <v>132586.19</v>
      </c>
      <c r="I322">
        <v>82000.77</v>
      </c>
    </row>
    <row r="323" spans="1:9" x14ac:dyDescent="0.3">
      <c r="A323" t="s">
        <v>180</v>
      </c>
      <c r="B323" t="s">
        <v>97</v>
      </c>
      <c r="C323" t="s">
        <v>141</v>
      </c>
      <c r="D323">
        <v>393892.28</v>
      </c>
      <c r="E323">
        <v>393892.28</v>
      </c>
      <c r="F323">
        <v>393892.28</v>
      </c>
      <c r="G323">
        <v>163892.28</v>
      </c>
      <c r="H323">
        <v>162967.67999999999</v>
      </c>
      <c r="I323">
        <v>158335.67999999999</v>
      </c>
    </row>
    <row r="324" spans="1:9" x14ac:dyDescent="0.3">
      <c r="A324" t="s">
        <v>180</v>
      </c>
      <c r="B324" t="s">
        <v>97</v>
      </c>
      <c r="C324" t="s">
        <v>167</v>
      </c>
      <c r="D324">
        <v>210837.4</v>
      </c>
      <c r="E324">
        <v>210837.4</v>
      </c>
      <c r="F324">
        <v>210837.4</v>
      </c>
      <c r="G324">
        <v>210837.4</v>
      </c>
      <c r="H324">
        <v>205598</v>
      </c>
      <c r="I324">
        <v>179350</v>
      </c>
    </row>
    <row r="325" spans="1:9" x14ac:dyDescent="0.3">
      <c r="A325" t="s">
        <v>180</v>
      </c>
      <c r="B325" t="s">
        <v>97</v>
      </c>
      <c r="C325" t="s">
        <v>142</v>
      </c>
      <c r="D325">
        <v>2323.75</v>
      </c>
      <c r="E325">
        <v>2323.75</v>
      </c>
      <c r="F325">
        <v>2323.75</v>
      </c>
      <c r="G325">
        <v>1991.54</v>
      </c>
      <c r="H325">
        <v>21</v>
      </c>
      <c r="I325">
        <v>21</v>
      </c>
    </row>
    <row r="326" spans="1:9" x14ac:dyDescent="0.3">
      <c r="A326" t="s">
        <v>180</v>
      </c>
      <c r="B326" t="s">
        <v>97</v>
      </c>
      <c r="C326" t="s">
        <v>143</v>
      </c>
      <c r="D326">
        <v>-1907268.6</v>
      </c>
      <c r="E326">
        <v>-1540876.56</v>
      </c>
      <c r="F326">
        <v>-856334.44</v>
      </c>
      <c r="G326">
        <v>-100653.42</v>
      </c>
      <c r="H326">
        <v>-118388.3</v>
      </c>
      <c r="I326">
        <v>-64995.78</v>
      </c>
    </row>
    <row r="327" spans="1:9" x14ac:dyDescent="0.3">
      <c r="A327" t="s">
        <v>180</v>
      </c>
      <c r="B327" t="s">
        <v>97</v>
      </c>
      <c r="C327" t="s">
        <v>144</v>
      </c>
      <c r="D327">
        <v>-759963.5</v>
      </c>
      <c r="E327">
        <v>-460563.65</v>
      </c>
      <c r="F327">
        <v>-703417.81</v>
      </c>
      <c r="G327">
        <v>3322.11</v>
      </c>
      <c r="H327">
        <v>19705.419999999998</v>
      </c>
      <c r="I327">
        <v>-53392.51</v>
      </c>
    </row>
    <row r="328" spans="1:9" x14ac:dyDescent="0.3">
      <c r="A328" t="s">
        <v>180</v>
      </c>
      <c r="B328" t="s">
        <v>97</v>
      </c>
      <c r="C328" t="s">
        <v>174</v>
      </c>
      <c r="D328">
        <v>-137611.41</v>
      </c>
      <c r="E328">
        <v>-137810.14000000001</v>
      </c>
      <c r="F328">
        <v>-137810.14000000001</v>
      </c>
      <c r="G328">
        <v>-137810.14000000001</v>
      </c>
      <c r="H328">
        <v>-137317.60999999999</v>
      </c>
      <c r="I328">
        <v>-137317.60999999999</v>
      </c>
    </row>
    <row r="329" spans="1:9" x14ac:dyDescent="0.3">
      <c r="A329" t="s">
        <v>180</v>
      </c>
      <c r="B329" t="s">
        <v>97</v>
      </c>
      <c r="C329" t="s">
        <v>145</v>
      </c>
      <c r="D329">
        <v>3064099.08</v>
      </c>
      <c r="E329">
        <v>2506631.36</v>
      </c>
      <c r="F329">
        <v>2037515.7</v>
      </c>
      <c r="G329">
        <v>913026.69</v>
      </c>
      <c r="H329">
        <v>948383.18</v>
      </c>
      <c r="I329">
        <v>1060760.8500000001</v>
      </c>
    </row>
    <row r="330" spans="1:9" x14ac:dyDescent="0.3">
      <c r="A330" t="s">
        <v>180</v>
      </c>
      <c r="B330" t="s">
        <v>97</v>
      </c>
      <c r="C330" t="s">
        <v>146</v>
      </c>
      <c r="D330">
        <v>1216326.5900000001</v>
      </c>
      <c r="E330">
        <v>1095196.58</v>
      </c>
      <c r="F330">
        <v>1040927.54</v>
      </c>
      <c r="G330">
        <v>365690.87</v>
      </c>
      <c r="H330">
        <v>284999.98</v>
      </c>
      <c r="I330">
        <v>239001.19</v>
      </c>
    </row>
    <row r="331" spans="1:9" x14ac:dyDescent="0.3">
      <c r="A331" t="s">
        <v>180</v>
      </c>
      <c r="B331" t="s">
        <v>97</v>
      </c>
      <c r="C331" t="s">
        <v>147</v>
      </c>
      <c r="D331">
        <v>1215954.8799999999</v>
      </c>
      <c r="E331">
        <v>1095003.33</v>
      </c>
      <c r="F331">
        <v>1040729.7</v>
      </c>
      <c r="G331">
        <v>365690.87</v>
      </c>
      <c r="H331">
        <v>284999.98</v>
      </c>
      <c r="I331">
        <v>239001.19</v>
      </c>
    </row>
    <row r="332" spans="1:9" x14ac:dyDescent="0.3">
      <c r="A332" t="s">
        <v>180</v>
      </c>
      <c r="B332" t="s">
        <v>97</v>
      </c>
      <c r="C332" t="s">
        <v>148</v>
      </c>
      <c r="D332">
        <v>371.72</v>
      </c>
      <c r="E332">
        <v>193.26</v>
      </c>
      <c r="F332">
        <v>197.84</v>
      </c>
      <c r="G332">
        <v>0</v>
      </c>
      <c r="H332">
        <v>0</v>
      </c>
      <c r="I332">
        <v>0</v>
      </c>
    </row>
    <row r="333" spans="1:9" x14ac:dyDescent="0.3">
      <c r="A333" t="s">
        <v>180</v>
      </c>
      <c r="B333" t="s">
        <v>97</v>
      </c>
      <c r="C333" t="s">
        <v>149</v>
      </c>
      <c r="D333">
        <v>1847772.48</v>
      </c>
      <c r="E333">
        <v>1411434.78</v>
      </c>
      <c r="F333">
        <v>996588.16</v>
      </c>
      <c r="G333">
        <v>547335.81000000006</v>
      </c>
      <c r="H333">
        <v>663383.19999999995</v>
      </c>
      <c r="I333">
        <v>821759.66</v>
      </c>
    </row>
    <row r="334" spans="1:9" x14ac:dyDescent="0.3">
      <c r="A334" t="s">
        <v>180</v>
      </c>
      <c r="B334" t="s">
        <v>97</v>
      </c>
      <c r="C334" t="s">
        <v>169</v>
      </c>
      <c r="D334">
        <v>10719.56</v>
      </c>
      <c r="E334">
        <v>14905.67</v>
      </c>
      <c r="F334">
        <v>19596.32</v>
      </c>
      <c r="G334">
        <v>59936.25</v>
      </c>
      <c r="H334">
        <v>128231.12</v>
      </c>
      <c r="I334">
        <v>142268.71</v>
      </c>
    </row>
    <row r="335" spans="1:9" x14ac:dyDescent="0.3">
      <c r="A335" t="s">
        <v>180</v>
      </c>
      <c r="B335" t="s">
        <v>97</v>
      </c>
      <c r="C335" t="s">
        <v>150</v>
      </c>
      <c r="D335">
        <v>1810128.59</v>
      </c>
      <c r="E335">
        <v>1350617.6</v>
      </c>
      <c r="F335">
        <v>953483.95</v>
      </c>
      <c r="G335">
        <v>452427.72</v>
      </c>
      <c r="H335">
        <v>496149.88</v>
      </c>
      <c r="I335">
        <v>658183.52</v>
      </c>
    </row>
    <row r="336" spans="1:9" x14ac:dyDescent="0.3">
      <c r="A336" t="s">
        <v>180</v>
      </c>
      <c r="B336" t="s">
        <v>97</v>
      </c>
      <c r="C336" t="s">
        <v>151</v>
      </c>
      <c r="D336">
        <v>1774058.01</v>
      </c>
      <c r="E336">
        <v>1299026.99</v>
      </c>
      <c r="F336">
        <v>909672.09</v>
      </c>
      <c r="G336">
        <v>355989.34</v>
      </c>
      <c r="H336">
        <v>385230.23</v>
      </c>
      <c r="I336">
        <v>601724.93000000005</v>
      </c>
    </row>
    <row r="337" spans="1:9" x14ac:dyDescent="0.3">
      <c r="A337" t="s">
        <v>180</v>
      </c>
      <c r="B337" t="s">
        <v>97</v>
      </c>
      <c r="C337" t="s">
        <v>152</v>
      </c>
      <c r="D337">
        <v>36070.58</v>
      </c>
      <c r="E337">
        <v>51590.61</v>
      </c>
      <c r="F337">
        <v>43811.85</v>
      </c>
      <c r="G337">
        <v>96438.39</v>
      </c>
      <c r="H337">
        <v>110919.66</v>
      </c>
      <c r="I337">
        <v>56458.59</v>
      </c>
    </row>
    <row r="338" spans="1:9" x14ac:dyDescent="0.3">
      <c r="A338" t="s">
        <v>180</v>
      </c>
      <c r="B338" t="s">
        <v>97</v>
      </c>
      <c r="C338" t="s">
        <v>147</v>
      </c>
      <c r="D338">
        <v>18079.78</v>
      </c>
      <c r="E338">
        <v>21589.69</v>
      </c>
      <c r="F338">
        <v>16686.07</v>
      </c>
      <c r="G338">
        <v>14614.13</v>
      </c>
      <c r="H338">
        <v>15578.57</v>
      </c>
      <c r="I338">
        <v>14435.23</v>
      </c>
    </row>
    <row r="339" spans="1:9" x14ac:dyDescent="0.3">
      <c r="A339" t="s">
        <v>180</v>
      </c>
      <c r="B339" t="s">
        <v>97</v>
      </c>
      <c r="C339" t="s">
        <v>153</v>
      </c>
      <c r="D339">
        <v>3047.51</v>
      </c>
      <c r="E339">
        <v>2926.1</v>
      </c>
      <c r="F339">
        <v>2543.5100000000002</v>
      </c>
      <c r="G339">
        <v>13783.11</v>
      </c>
      <c r="H339">
        <v>16848.849999999999</v>
      </c>
      <c r="I339">
        <v>2478.1</v>
      </c>
    </row>
    <row r="340" spans="1:9" x14ac:dyDescent="0.3">
      <c r="A340" t="s">
        <v>180</v>
      </c>
      <c r="B340" t="s">
        <v>97</v>
      </c>
      <c r="C340" t="s">
        <v>171</v>
      </c>
      <c r="D340">
        <v>5797.04</v>
      </c>
      <c r="E340">
        <v>21395.72</v>
      </c>
      <c r="F340">
        <v>4278.33</v>
      </c>
      <c r="G340">
        <v>6574.6</v>
      </c>
      <c r="H340">
        <v>6574.78</v>
      </c>
      <c r="I340">
        <v>4394.1099999999997</v>
      </c>
    </row>
    <row r="341" spans="1:9" x14ac:dyDescent="0.3">
      <c r="A341" t="s">
        <v>181</v>
      </c>
      <c r="B341" t="s">
        <v>97</v>
      </c>
      <c r="C341" t="s">
        <v>105</v>
      </c>
      <c r="D341">
        <v>639236.28</v>
      </c>
      <c r="E341">
        <v>534400.38</v>
      </c>
      <c r="F341">
        <v>430016.13</v>
      </c>
      <c r="G341">
        <v>370526.75</v>
      </c>
      <c r="H341">
        <v>315130.65999999997</v>
      </c>
      <c r="I341">
        <v>288130</v>
      </c>
    </row>
    <row r="342" spans="1:9" x14ac:dyDescent="0.3">
      <c r="A342" t="s">
        <v>181</v>
      </c>
      <c r="B342" t="s">
        <v>97</v>
      </c>
      <c r="C342" t="s">
        <v>182</v>
      </c>
      <c r="D342">
        <v>667620</v>
      </c>
      <c r="E342">
        <v>595805</v>
      </c>
      <c r="F342">
        <v>520995</v>
      </c>
      <c r="G342">
        <v>329538</v>
      </c>
      <c r="H342">
        <v>13633.57</v>
      </c>
      <c r="I342">
        <v>268634</v>
      </c>
    </row>
    <row r="343" spans="1:9" x14ac:dyDescent="0.3">
      <c r="A343" t="s">
        <v>181</v>
      </c>
      <c r="B343" t="s">
        <v>97</v>
      </c>
      <c r="C343" t="s">
        <v>108</v>
      </c>
      <c r="D343">
        <v>29709.56</v>
      </c>
      <c r="E343">
        <v>28079.23</v>
      </c>
      <c r="F343">
        <v>24249.51</v>
      </c>
      <c r="G343">
        <v>19154.57</v>
      </c>
      <c r="H343">
        <v>15551.97</v>
      </c>
      <c r="I343">
        <v>17234.03</v>
      </c>
    </row>
    <row r="344" spans="1:9" x14ac:dyDescent="0.3">
      <c r="A344" t="s">
        <v>181</v>
      </c>
      <c r="B344" t="s">
        <v>97</v>
      </c>
      <c r="C344" t="s">
        <v>109</v>
      </c>
      <c r="D344">
        <v>9724.35</v>
      </c>
      <c r="E344">
        <v>10946.55</v>
      </c>
      <c r="F344">
        <v>10886.67</v>
      </c>
      <c r="G344">
        <v>34491.980000000003</v>
      </c>
      <c r="H344">
        <v>11824.42</v>
      </c>
      <c r="I344">
        <v>5338.14</v>
      </c>
    </row>
    <row r="345" spans="1:9" x14ac:dyDescent="0.3">
      <c r="A345" t="s">
        <v>181</v>
      </c>
      <c r="B345" t="s">
        <v>97</v>
      </c>
      <c r="C345" t="s">
        <v>110</v>
      </c>
      <c r="D345">
        <v>-638956.68000000005</v>
      </c>
      <c r="E345">
        <v>-568333.65</v>
      </c>
      <c r="F345">
        <v>-493183.07</v>
      </c>
      <c r="G345">
        <v>-305572.69</v>
      </c>
      <c r="H345">
        <v>-274219.62</v>
      </c>
      <c r="I345">
        <v>-259612.58</v>
      </c>
    </row>
    <row r="346" spans="1:9" x14ac:dyDescent="0.3">
      <c r="A346" t="s">
        <v>181</v>
      </c>
      <c r="B346" t="s">
        <v>97</v>
      </c>
      <c r="C346" t="s">
        <v>112</v>
      </c>
      <c r="D346">
        <v>638956.68000000005</v>
      </c>
      <c r="E346">
        <v>568333.65</v>
      </c>
      <c r="F346">
        <v>493183.07</v>
      </c>
      <c r="G346">
        <v>305572.69</v>
      </c>
      <c r="H346">
        <v>274219.62</v>
      </c>
      <c r="I346">
        <v>259612.58</v>
      </c>
    </row>
    <row r="347" spans="1:9" x14ac:dyDescent="0.3">
      <c r="A347" t="s">
        <v>181</v>
      </c>
      <c r="B347" t="s">
        <v>97</v>
      </c>
      <c r="C347" t="s">
        <v>113</v>
      </c>
      <c r="D347">
        <v>-69517.850000000006</v>
      </c>
      <c r="E347">
        <v>-94906.49</v>
      </c>
      <c r="F347">
        <v>-118043.97</v>
      </c>
      <c r="G347">
        <v>-8636.7999999999993</v>
      </c>
      <c r="H347">
        <v>-98.93</v>
      </c>
      <c r="I347">
        <v>658.7</v>
      </c>
    </row>
    <row r="348" spans="1:9" x14ac:dyDescent="0.3">
      <c r="A348" t="s">
        <v>181</v>
      </c>
      <c r="B348" t="s">
        <v>97</v>
      </c>
      <c r="C348" t="s">
        <v>114</v>
      </c>
      <c r="D348">
        <v>-59793.5</v>
      </c>
      <c r="E348">
        <v>-83959.93</v>
      </c>
      <c r="F348">
        <v>-107157.29</v>
      </c>
      <c r="G348">
        <v>25855.18</v>
      </c>
      <c r="H348">
        <v>11725.5</v>
      </c>
      <c r="I348">
        <v>5996.84</v>
      </c>
    </row>
    <row r="349" spans="1:9" x14ac:dyDescent="0.3">
      <c r="A349" t="s">
        <v>181</v>
      </c>
      <c r="B349" t="s">
        <v>97</v>
      </c>
      <c r="C349" t="s">
        <v>115</v>
      </c>
      <c r="D349">
        <v>-531.29</v>
      </c>
      <c r="E349">
        <v>-929.42</v>
      </c>
      <c r="F349">
        <v>-1037.6099999999999</v>
      </c>
      <c r="G349">
        <v>3136.34</v>
      </c>
      <c r="H349">
        <v>3107.4</v>
      </c>
      <c r="I349">
        <v>52.92</v>
      </c>
    </row>
    <row r="350" spans="1:9" x14ac:dyDescent="0.3">
      <c r="A350" t="s">
        <v>181</v>
      </c>
      <c r="B350" t="s">
        <v>97</v>
      </c>
      <c r="C350" t="s">
        <v>116</v>
      </c>
      <c r="D350">
        <v>1133.03</v>
      </c>
      <c r="E350">
        <v>710.99</v>
      </c>
      <c r="F350">
        <v>325.23</v>
      </c>
      <c r="G350">
        <v>5748.87</v>
      </c>
      <c r="H350">
        <v>3349.12</v>
      </c>
      <c r="I350">
        <v>128.72999999999999</v>
      </c>
    </row>
    <row r="351" spans="1:9" x14ac:dyDescent="0.3">
      <c r="A351" t="s">
        <v>181</v>
      </c>
      <c r="B351" t="s">
        <v>97</v>
      </c>
      <c r="C351" t="s">
        <v>117</v>
      </c>
      <c r="D351">
        <v>1133.03</v>
      </c>
      <c r="E351">
        <v>710.99</v>
      </c>
      <c r="F351">
        <v>325.23</v>
      </c>
      <c r="G351">
        <v>5748.87</v>
      </c>
      <c r="H351">
        <v>3349.12</v>
      </c>
      <c r="I351">
        <v>128.72999999999999</v>
      </c>
    </row>
    <row r="352" spans="1:9" x14ac:dyDescent="0.3">
      <c r="A352" t="s">
        <v>181</v>
      </c>
      <c r="B352" t="s">
        <v>97</v>
      </c>
      <c r="C352" t="s">
        <v>118</v>
      </c>
      <c r="D352">
        <v>1664.31</v>
      </c>
      <c r="E352">
        <v>1640.41</v>
      </c>
      <c r="F352">
        <v>1362.84</v>
      </c>
      <c r="G352">
        <v>2612.52</v>
      </c>
      <c r="H352">
        <v>241.72</v>
      </c>
      <c r="I352">
        <v>75.8</v>
      </c>
    </row>
    <row r="353" spans="1:9" x14ac:dyDescent="0.3">
      <c r="A353" t="s">
        <v>181</v>
      </c>
      <c r="B353" t="s">
        <v>97</v>
      </c>
      <c r="C353" t="s">
        <v>119</v>
      </c>
      <c r="D353">
        <v>1664.31</v>
      </c>
      <c r="E353">
        <v>1640.41</v>
      </c>
      <c r="F353">
        <v>1362.84</v>
      </c>
      <c r="G353">
        <v>2612.52</v>
      </c>
      <c r="H353">
        <v>241.72</v>
      </c>
      <c r="I353">
        <v>75.8</v>
      </c>
    </row>
    <row r="354" spans="1:9" x14ac:dyDescent="0.3">
      <c r="A354" t="s">
        <v>181</v>
      </c>
      <c r="B354" t="s">
        <v>97</v>
      </c>
      <c r="C354" t="s">
        <v>120</v>
      </c>
      <c r="D354">
        <v>11832.48</v>
      </c>
      <c r="E354">
        <v>3440.18</v>
      </c>
      <c r="F354">
        <v>10810.86</v>
      </c>
      <c r="G354">
        <v>12307.16</v>
      </c>
      <c r="H354">
        <v>11922.74</v>
      </c>
      <c r="I354">
        <v>1531.31</v>
      </c>
    </row>
    <row r="355" spans="1:9" x14ac:dyDescent="0.3">
      <c r="A355" t="s">
        <v>181</v>
      </c>
      <c r="B355" t="s">
        <v>97</v>
      </c>
      <c r="C355" t="s">
        <v>121</v>
      </c>
      <c r="D355">
        <v>13892.84</v>
      </c>
      <c r="E355">
        <v>5336.89</v>
      </c>
      <c r="F355">
        <v>11576.15</v>
      </c>
      <c r="G355">
        <v>13555.79</v>
      </c>
      <c r="H355">
        <v>13482.2</v>
      </c>
      <c r="I355">
        <v>3414.43</v>
      </c>
    </row>
    <row r="356" spans="1:9" x14ac:dyDescent="0.3">
      <c r="A356" t="s">
        <v>181</v>
      </c>
      <c r="B356" t="s">
        <v>97</v>
      </c>
      <c r="C356" t="s">
        <v>122</v>
      </c>
      <c r="D356">
        <v>2060.36</v>
      </c>
      <c r="E356">
        <v>1896.71</v>
      </c>
      <c r="F356">
        <v>765.29</v>
      </c>
      <c r="G356">
        <v>1248.6300000000001</v>
      </c>
      <c r="H356">
        <v>1559.46</v>
      </c>
      <c r="I356">
        <v>1883.13</v>
      </c>
    </row>
    <row r="357" spans="1:9" x14ac:dyDescent="0.3">
      <c r="A357" t="s">
        <v>181</v>
      </c>
      <c r="B357" t="s">
        <v>97</v>
      </c>
      <c r="C357" t="s">
        <v>123</v>
      </c>
      <c r="D357">
        <v>-49464.89</v>
      </c>
      <c r="E357">
        <v>-83464.38</v>
      </c>
      <c r="F357">
        <v>-108270.72</v>
      </c>
      <c r="G357">
        <v>6806.7</v>
      </c>
      <c r="H357">
        <v>14931.21</v>
      </c>
      <c r="I357">
        <v>2242.9299999999998</v>
      </c>
    </row>
    <row r="358" spans="1:9" x14ac:dyDescent="0.3">
      <c r="A358" t="s">
        <v>181</v>
      </c>
      <c r="B358" t="s">
        <v>97</v>
      </c>
      <c r="C358" t="s">
        <v>125</v>
      </c>
      <c r="D358">
        <v>-49464.89</v>
      </c>
      <c r="E358">
        <v>-83464.38</v>
      </c>
      <c r="F358">
        <v>-108270.72</v>
      </c>
      <c r="G358">
        <v>6806.7</v>
      </c>
      <c r="H358">
        <v>14931.21</v>
      </c>
      <c r="I358">
        <v>2242.9299999999998</v>
      </c>
    </row>
    <row r="359" spans="1:9" x14ac:dyDescent="0.3">
      <c r="A359" t="s">
        <v>181</v>
      </c>
      <c r="B359" t="s">
        <v>97</v>
      </c>
      <c r="C359" t="s">
        <v>126</v>
      </c>
      <c r="D359">
        <v>-51337</v>
      </c>
      <c r="E359">
        <v>-83748</v>
      </c>
      <c r="F359">
        <v>-113021</v>
      </c>
      <c r="G359">
        <v>6024</v>
      </c>
      <c r="H359">
        <v>14124</v>
      </c>
      <c r="I359">
        <v>953</v>
      </c>
    </row>
    <row r="360" spans="1:9" x14ac:dyDescent="0.3">
      <c r="A360" t="s">
        <v>181</v>
      </c>
      <c r="B360" t="s">
        <v>97</v>
      </c>
      <c r="C360" t="s">
        <v>127</v>
      </c>
      <c r="D360">
        <v>46022.95</v>
      </c>
      <c r="E360">
        <v>42314.54</v>
      </c>
      <c r="F360">
        <v>39786</v>
      </c>
      <c r="G360">
        <v>60883.49</v>
      </c>
      <c r="H360">
        <v>59183.87</v>
      </c>
      <c r="I360">
        <v>41566.99</v>
      </c>
    </row>
    <row r="361" spans="1:9" x14ac:dyDescent="0.3">
      <c r="A361" t="s">
        <v>181</v>
      </c>
      <c r="B361" t="s">
        <v>97</v>
      </c>
      <c r="C361" t="s">
        <v>128</v>
      </c>
      <c r="D361">
        <v>22361.51</v>
      </c>
      <c r="E361">
        <v>21707.51</v>
      </c>
      <c r="F361">
        <v>22244.25</v>
      </c>
      <c r="G361">
        <v>26317.39</v>
      </c>
      <c r="H361">
        <v>28932.11</v>
      </c>
      <c r="I361">
        <v>25704.32</v>
      </c>
    </row>
    <row r="362" spans="1:9" x14ac:dyDescent="0.3">
      <c r="A362" t="s">
        <v>181</v>
      </c>
      <c r="B362" t="s">
        <v>97</v>
      </c>
      <c r="C362" t="s">
        <v>129</v>
      </c>
      <c r="D362">
        <v>15290.31</v>
      </c>
      <c r="E362">
        <v>14367.52</v>
      </c>
      <c r="F362">
        <v>14536.42</v>
      </c>
      <c r="G362">
        <v>14005.28</v>
      </c>
      <c r="H362">
        <v>13949.42</v>
      </c>
      <c r="I362">
        <v>13751.04</v>
      </c>
    </row>
    <row r="363" spans="1:9" x14ac:dyDescent="0.3">
      <c r="A363" t="s">
        <v>181</v>
      </c>
      <c r="B363" t="s">
        <v>97</v>
      </c>
      <c r="C363" t="s">
        <v>130</v>
      </c>
      <c r="D363">
        <v>1438.88</v>
      </c>
      <c r="E363">
        <v>1576.65</v>
      </c>
      <c r="F363">
        <v>1576.65</v>
      </c>
      <c r="G363">
        <v>1576.65</v>
      </c>
      <c r="H363">
        <v>0</v>
      </c>
      <c r="I363">
        <v>0</v>
      </c>
    </row>
    <row r="364" spans="1:9" x14ac:dyDescent="0.3">
      <c r="A364" t="s">
        <v>181</v>
      </c>
      <c r="B364" t="s">
        <v>97</v>
      </c>
      <c r="C364" t="s">
        <v>131</v>
      </c>
      <c r="D364">
        <v>5632.32</v>
      </c>
      <c r="E364">
        <v>5763.35</v>
      </c>
      <c r="F364">
        <v>6131.18</v>
      </c>
      <c r="G364">
        <v>10735.46</v>
      </c>
      <c r="H364">
        <v>14982.69</v>
      </c>
      <c r="I364">
        <v>11953.28</v>
      </c>
    </row>
    <row r="365" spans="1:9" x14ac:dyDescent="0.3">
      <c r="A365" t="s">
        <v>181</v>
      </c>
      <c r="B365" t="s">
        <v>97</v>
      </c>
      <c r="C365" t="s">
        <v>132</v>
      </c>
      <c r="D365">
        <v>23661.439999999999</v>
      </c>
      <c r="E365">
        <v>20607.04</v>
      </c>
      <c r="F365">
        <v>17541.759999999998</v>
      </c>
      <c r="G365">
        <v>34566.1</v>
      </c>
      <c r="H365">
        <v>30251.75</v>
      </c>
      <c r="I365">
        <v>15862.66</v>
      </c>
    </row>
    <row r="366" spans="1:9" x14ac:dyDescent="0.3">
      <c r="A366" t="s">
        <v>181</v>
      </c>
      <c r="B366" t="s">
        <v>97</v>
      </c>
      <c r="C366" t="s">
        <v>183</v>
      </c>
      <c r="D366">
        <v>4912.01</v>
      </c>
      <c r="E366">
        <v>4507.22</v>
      </c>
      <c r="F366">
        <v>3780.28</v>
      </c>
      <c r="G366">
        <v>4150.32</v>
      </c>
      <c r="H366">
        <v>5531.04</v>
      </c>
      <c r="I366">
        <v>2591.94</v>
      </c>
    </row>
    <row r="367" spans="1:9" x14ac:dyDescent="0.3">
      <c r="A367" t="s">
        <v>181</v>
      </c>
      <c r="B367" t="s">
        <v>97</v>
      </c>
      <c r="C367" t="s">
        <v>133</v>
      </c>
      <c r="D367">
        <v>6107.34</v>
      </c>
      <c r="E367">
        <v>4727.1899999999996</v>
      </c>
      <c r="F367">
        <v>4471.95</v>
      </c>
      <c r="G367">
        <v>7182.01</v>
      </c>
      <c r="H367">
        <v>10568.25</v>
      </c>
      <c r="I367">
        <v>9051.2800000000007</v>
      </c>
    </row>
    <row r="368" spans="1:9" x14ac:dyDescent="0.3">
      <c r="A368" t="s">
        <v>181</v>
      </c>
      <c r="B368" t="s">
        <v>97</v>
      </c>
      <c r="C368" t="s">
        <v>134</v>
      </c>
      <c r="D368">
        <v>6107.34</v>
      </c>
      <c r="E368">
        <v>4727.1899999999996</v>
      </c>
      <c r="F368">
        <v>4471.95</v>
      </c>
      <c r="G368">
        <v>7182.01</v>
      </c>
      <c r="H368">
        <v>10568.25</v>
      </c>
      <c r="I368">
        <v>9051.2800000000007</v>
      </c>
    </row>
    <row r="369" spans="1:9" x14ac:dyDescent="0.3">
      <c r="A369" t="s">
        <v>181</v>
      </c>
      <c r="B369" t="s">
        <v>97</v>
      </c>
      <c r="C369" t="s">
        <v>135</v>
      </c>
      <c r="D369">
        <v>1757.94</v>
      </c>
      <c r="E369">
        <v>1601.69</v>
      </c>
      <c r="F369">
        <v>2.34</v>
      </c>
      <c r="G369">
        <v>2.2999999999999998</v>
      </c>
      <c r="H369">
        <v>2.2999999999999998</v>
      </c>
      <c r="I369">
        <v>809.7</v>
      </c>
    </row>
    <row r="370" spans="1:9" x14ac:dyDescent="0.3">
      <c r="A370" t="s">
        <v>181</v>
      </c>
      <c r="B370" t="s">
        <v>97</v>
      </c>
      <c r="C370" t="s">
        <v>136</v>
      </c>
      <c r="D370">
        <v>10884.14</v>
      </c>
      <c r="E370">
        <v>9770.94</v>
      </c>
      <c r="F370">
        <v>9287.19</v>
      </c>
      <c r="G370">
        <v>23231.46</v>
      </c>
      <c r="H370">
        <v>14150.16</v>
      </c>
      <c r="I370">
        <v>3409.74</v>
      </c>
    </row>
    <row r="371" spans="1:9" x14ac:dyDescent="0.3">
      <c r="A371" t="s">
        <v>181</v>
      </c>
      <c r="B371" t="s">
        <v>97</v>
      </c>
      <c r="C371" t="s">
        <v>138</v>
      </c>
      <c r="D371">
        <v>46022.95</v>
      </c>
      <c r="E371">
        <v>42314.54</v>
      </c>
      <c r="F371">
        <v>39786</v>
      </c>
      <c r="G371">
        <v>60883.49</v>
      </c>
      <c r="H371">
        <v>59183.87</v>
      </c>
      <c r="I371">
        <v>41566.99</v>
      </c>
    </row>
    <row r="372" spans="1:9" x14ac:dyDescent="0.3">
      <c r="A372" t="s">
        <v>181</v>
      </c>
      <c r="B372" t="s">
        <v>97</v>
      </c>
      <c r="C372" t="s">
        <v>139</v>
      </c>
      <c r="D372">
        <v>-256698.91</v>
      </c>
      <c r="E372">
        <v>-207234.02</v>
      </c>
      <c r="F372">
        <v>-123769.64</v>
      </c>
      <c r="G372">
        <v>-15642.83</v>
      </c>
      <c r="H372">
        <v>-21496.3</v>
      </c>
      <c r="I372">
        <v>-36361.03</v>
      </c>
    </row>
    <row r="373" spans="1:9" x14ac:dyDescent="0.3">
      <c r="A373" t="s">
        <v>181</v>
      </c>
      <c r="B373" t="s">
        <v>97</v>
      </c>
      <c r="C373" t="s">
        <v>140</v>
      </c>
      <c r="D373">
        <v>-256698.91</v>
      </c>
      <c r="E373">
        <v>-207234.02</v>
      </c>
      <c r="F373">
        <v>-123769.64</v>
      </c>
      <c r="G373">
        <v>-15642.83</v>
      </c>
      <c r="H373">
        <v>-21496.3</v>
      </c>
      <c r="I373">
        <v>-36361.03</v>
      </c>
    </row>
    <row r="374" spans="1:9" x14ac:dyDescent="0.3">
      <c r="A374" t="s">
        <v>181</v>
      </c>
      <c r="B374" t="s">
        <v>97</v>
      </c>
      <c r="C374" t="s">
        <v>141</v>
      </c>
      <c r="D374">
        <v>5670.17</v>
      </c>
      <c r="E374">
        <v>5670.17</v>
      </c>
      <c r="F374">
        <v>5670.17</v>
      </c>
      <c r="G374">
        <v>5670.17</v>
      </c>
      <c r="H374">
        <v>5670.17</v>
      </c>
      <c r="I374">
        <v>5670.17</v>
      </c>
    </row>
    <row r="375" spans="1:9" x14ac:dyDescent="0.3">
      <c r="A375" t="s">
        <v>181</v>
      </c>
      <c r="B375" t="s">
        <v>97</v>
      </c>
      <c r="C375" t="s">
        <v>142</v>
      </c>
      <c r="D375">
        <v>873.9</v>
      </c>
      <c r="E375">
        <v>873.9</v>
      </c>
      <c r="F375">
        <v>873.9</v>
      </c>
      <c r="G375">
        <v>873.9</v>
      </c>
      <c r="H375">
        <v>873.9</v>
      </c>
      <c r="I375">
        <v>873.9</v>
      </c>
    </row>
    <row r="376" spans="1:9" x14ac:dyDescent="0.3">
      <c r="A376" t="s">
        <v>181</v>
      </c>
      <c r="B376" t="s">
        <v>97</v>
      </c>
      <c r="C376" t="s">
        <v>143</v>
      </c>
      <c r="D376">
        <v>-213778.09</v>
      </c>
      <c r="E376">
        <v>-130313.71</v>
      </c>
      <c r="F376">
        <v>-22042.99</v>
      </c>
      <c r="G376">
        <v>-28993.599999999999</v>
      </c>
      <c r="H376">
        <v>-42971.58</v>
      </c>
      <c r="I376">
        <v>-45148.03</v>
      </c>
    </row>
    <row r="377" spans="1:9" x14ac:dyDescent="0.3">
      <c r="A377" t="s">
        <v>181</v>
      </c>
      <c r="B377" t="s">
        <v>97</v>
      </c>
      <c r="C377" t="s">
        <v>144</v>
      </c>
      <c r="D377">
        <v>-49464.89</v>
      </c>
      <c r="E377">
        <v>-83464.38</v>
      </c>
      <c r="F377">
        <v>-108270.72</v>
      </c>
      <c r="G377">
        <v>6806.7</v>
      </c>
      <c r="H377">
        <v>14931.21</v>
      </c>
      <c r="I377">
        <v>2242.9299999999998</v>
      </c>
    </row>
    <row r="378" spans="1:9" x14ac:dyDescent="0.3">
      <c r="A378" t="s">
        <v>181</v>
      </c>
      <c r="B378" t="s">
        <v>97</v>
      </c>
      <c r="C378" t="s">
        <v>145</v>
      </c>
      <c r="D378">
        <v>302721.86</v>
      </c>
      <c r="E378">
        <v>249548.57</v>
      </c>
      <c r="F378">
        <v>163555.65</v>
      </c>
      <c r="G378">
        <v>76526.320000000007</v>
      </c>
      <c r="H378">
        <v>80680.160000000003</v>
      </c>
      <c r="I378">
        <v>77928.02</v>
      </c>
    </row>
    <row r="379" spans="1:9" x14ac:dyDescent="0.3">
      <c r="A379" t="s">
        <v>181</v>
      </c>
      <c r="B379" t="s">
        <v>97</v>
      </c>
      <c r="C379" t="s">
        <v>146</v>
      </c>
      <c r="D379">
        <v>8011.21</v>
      </c>
      <c r="E379">
        <v>9193.58</v>
      </c>
      <c r="F379">
        <v>9345.56</v>
      </c>
      <c r="G379">
        <v>6725.05</v>
      </c>
      <c r="H379">
        <v>11509.53</v>
      </c>
      <c r="I379">
        <v>5864.23</v>
      </c>
    </row>
    <row r="380" spans="1:9" x14ac:dyDescent="0.3">
      <c r="A380" t="s">
        <v>181</v>
      </c>
      <c r="B380" t="s">
        <v>97</v>
      </c>
      <c r="C380" t="s">
        <v>147</v>
      </c>
      <c r="D380">
        <v>7860.27</v>
      </c>
      <c r="E380">
        <v>9105.2900000000009</v>
      </c>
      <c r="F380">
        <v>9284.86</v>
      </c>
      <c r="G380">
        <v>5771.54</v>
      </c>
      <c r="H380">
        <v>10940.49</v>
      </c>
      <c r="I380">
        <v>5017.4399999999996</v>
      </c>
    </row>
    <row r="381" spans="1:9" x14ac:dyDescent="0.3">
      <c r="A381" t="s">
        <v>181</v>
      </c>
      <c r="B381" t="s">
        <v>97</v>
      </c>
      <c r="C381" t="s">
        <v>148</v>
      </c>
      <c r="D381">
        <v>150.94</v>
      </c>
      <c r="E381">
        <v>88.29</v>
      </c>
      <c r="F381">
        <v>60.71</v>
      </c>
      <c r="G381">
        <v>953.51</v>
      </c>
      <c r="H381">
        <v>569.04</v>
      </c>
      <c r="I381">
        <v>846.8</v>
      </c>
    </row>
    <row r="382" spans="1:9" x14ac:dyDescent="0.3">
      <c r="A382" t="s">
        <v>181</v>
      </c>
      <c r="B382" t="s">
        <v>97</v>
      </c>
      <c r="C382" t="s">
        <v>149</v>
      </c>
      <c r="D382">
        <v>294710.65000000002</v>
      </c>
      <c r="E382">
        <v>240354.99</v>
      </c>
      <c r="F382">
        <v>154210.09</v>
      </c>
      <c r="G382">
        <v>69801.27</v>
      </c>
      <c r="H382">
        <v>69170.64</v>
      </c>
      <c r="I382">
        <v>72063.789999999994</v>
      </c>
    </row>
    <row r="383" spans="1:9" x14ac:dyDescent="0.3">
      <c r="A383" t="s">
        <v>181</v>
      </c>
      <c r="B383" t="s">
        <v>97</v>
      </c>
      <c r="C383" t="s">
        <v>184</v>
      </c>
      <c r="D383">
        <v>0</v>
      </c>
      <c r="E383">
        <v>0</v>
      </c>
      <c r="F383">
        <v>0</v>
      </c>
      <c r="G383">
        <v>1446.03</v>
      </c>
      <c r="H383">
        <v>3552.1</v>
      </c>
      <c r="I383">
        <v>0</v>
      </c>
    </row>
    <row r="384" spans="1:9" x14ac:dyDescent="0.3">
      <c r="A384" t="s">
        <v>181</v>
      </c>
      <c r="B384" t="s">
        <v>97</v>
      </c>
      <c r="C384" t="s">
        <v>150</v>
      </c>
      <c r="D384">
        <v>294710.65000000002</v>
      </c>
      <c r="E384">
        <v>240354.99</v>
      </c>
      <c r="F384">
        <v>154210.09</v>
      </c>
      <c r="G384">
        <v>68355.240000000005</v>
      </c>
      <c r="H384">
        <v>65618.539999999994</v>
      </c>
      <c r="I384">
        <v>72063.789999999994</v>
      </c>
    </row>
    <row r="385" spans="1:9" x14ac:dyDescent="0.3">
      <c r="A385" t="s">
        <v>181</v>
      </c>
      <c r="B385" t="s">
        <v>97</v>
      </c>
      <c r="C385" t="s">
        <v>151</v>
      </c>
      <c r="D385">
        <v>292614.18</v>
      </c>
      <c r="E385">
        <v>237344.01</v>
      </c>
      <c r="F385">
        <v>151551.35999999999</v>
      </c>
      <c r="G385">
        <v>66865.100000000006</v>
      </c>
      <c r="H385">
        <v>63355.47</v>
      </c>
      <c r="I385">
        <v>70427.89</v>
      </c>
    </row>
    <row r="386" spans="1:9" x14ac:dyDescent="0.3">
      <c r="A386" t="s">
        <v>181</v>
      </c>
      <c r="B386" t="s">
        <v>97</v>
      </c>
      <c r="C386" t="s">
        <v>152</v>
      </c>
      <c r="D386">
        <v>2096.4699999999998</v>
      </c>
      <c r="E386">
        <v>3010.98</v>
      </c>
      <c r="F386">
        <v>2658.72</v>
      </c>
      <c r="G386">
        <v>1490.14</v>
      </c>
      <c r="H386">
        <v>2263.0700000000002</v>
      </c>
      <c r="I386">
        <v>1635.9</v>
      </c>
    </row>
    <row r="387" spans="1:9" x14ac:dyDescent="0.3">
      <c r="A387" t="s">
        <v>185</v>
      </c>
      <c r="B387" t="s">
        <v>97</v>
      </c>
      <c r="C387" t="s">
        <v>105</v>
      </c>
      <c r="D387">
        <v>4437840.33</v>
      </c>
      <c r="E387">
        <v>3752545.94</v>
      </c>
      <c r="F387">
        <v>3182769.91</v>
      </c>
      <c r="G387">
        <v>2725957.74</v>
      </c>
      <c r="H387">
        <v>2132903.9700000002</v>
      </c>
      <c r="I387">
        <v>1686234.56</v>
      </c>
    </row>
    <row r="388" spans="1:9" x14ac:dyDescent="0.3">
      <c r="A388" t="s">
        <v>185</v>
      </c>
      <c r="B388" t="s">
        <v>97</v>
      </c>
      <c r="C388" t="s">
        <v>155</v>
      </c>
      <c r="D388">
        <v>4437840.33</v>
      </c>
      <c r="E388">
        <v>3752545.94</v>
      </c>
      <c r="F388">
        <v>3182769.91</v>
      </c>
      <c r="G388">
        <v>2725957.74</v>
      </c>
      <c r="H388">
        <v>2132903.9700000002</v>
      </c>
      <c r="I388">
        <v>1686234.56</v>
      </c>
    </row>
    <row r="389" spans="1:9" x14ac:dyDescent="0.3">
      <c r="A389" t="s">
        <v>185</v>
      </c>
      <c r="B389" t="s">
        <v>97</v>
      </c>
      <c r="C389" t="s">
        <v>108</v>
      </c>
      <c r="D389">
        <v>47555.55</v>
      </c>
      <c r="E389">
        <v>44453.56</v>
      </c>
      <c r="F389">
        <v>52109.66</v>
      </c>
      <c r="G389">
        <v>46248.75</v>
      </c>
      <c r="H389">
        <v>32455.32</v>
      </c>
      <c r="I389">
        <v>29592.93</v>
      </c>
    </row>
    <row r="390" spans="1:9" x14ac:dyDescent="0.3">
      <c r="A390" t="s">
        <v>185</v>
      </c>
      <c r="B390" t="s">
        <v>97</v>
      </c>
      <c r="C390" t="s">
        <v>156</v>
      </c>
      <c r="D390">
        <v>64469.599999999999</v>
      </c>
      <c r="E390">
        <v>61409.09</v>
      </c>
      <c r="F390">
        <v>55627.29</v>
      </c>
      <c r="G390">
        <v>48319.8</v>
      </c>
      <c r="H390">
        <v>40871.14</v>
      </c>
      <c r="I390">
        <v>34903.03</v>
      </c>
    </row>
    <row r="391" spans="1:9" x14ac:dyDescent="0.3">
      <c r="A391" t="s">
        <v>185</v>
      </c>
      <c r="B391" t="s">
        <v>97</v>
      </c>
      <c r="C391" t="s">
        <v>157</v>
      </c>
      <c r="D391">
        <v>1344.03</v>
      </c>
      <c r="E391">
        <v>1147.0899999999999</v>
      </c>
      <c r="F391">
        <v>1168.3599999999999</v>
      </c>
      <c r="G391">
        <v>296.01</v>
      </c>
      <c r="H391">
        <v>928.23</v>
      </c>
      <c r="I391">
        <v>1373.35</v>
      </c>
    </row>
    <row r="392" spans="1:9" x14ac:dyDescent="0.3">
      <c r="A392" t="s">
        <v>185</v>
      </c>
      <c r="B392" t="s">
        <v>97</v>
      </c>
      <c r="C392" t="s">
        <v>158</v>
      </c>
      <c r="D392">
        <v>-11540.05</v>
      </c>
      <c r="E392">
        <v>-11542.22</v>
      </c>
      <c r="F392">
        <v>-9329.6200000000008</v>
      </c>
      <c r="G392">
        <v>-10426.84</v>
      </c>
      <c r="H392">
        <v>-7220.13</v>
      </c>
      <c r="I392">
        <v>-4522.88</v>
      </c>
    </row>
    <row r="393" spans="1:9" x14ac:dyDescent="0.3">
      <c r="A393" t="s">
        <v>185</v>
      </c>
      <c r="B393" t="s">
        <v>97</v>
      </c>
      <c r="C393" t="s">
        <v>106</v>
      </c>
      <c r="D393">
        <v>4427908.08</v>
      </c>
      <c r="E393">
        <v>3768910.48</v>
      </c>
      <c r="F393">
        <v>3141288.9</v>
      </c>
      <c r="G393">
        <v>2677843.84</v>
      </c>
      <c r="H393">
        <v>2008868.38</v>
      </c>
      <c r="I393">
        <v>1574970.67</v>
      </c>
    </row>
    <row r="394" spans="1:9" x14ac:dyDescent="0.3">
      <c r="A394" t="s">
        <v>185</v>
      </c>
      <c r="B394" t="s">
        <v>97</v>
      </c>
      <c r="C394" t="s">
        <v>109</v>
      </c>
      <c r="D394">
        <v>42452.33</v>
      </c>
      <c r="E394">
        <v>75145.2</v>
      </c>
      <c r="F394">
        <v>69903.05</v>
      </c>
      <c r="G394">
        <v>43579.1</v>
      </c>
      <c r="H394">
        <v>45124.83</v>
      </c>
      <c r="I394">
        <v>39719.160000000003</v>
      </c>
    </row>
    <row r="395" spans="1:9" x14ac:dyDescent="0.3">
      <c r="A395" t="s">
        <v>185</v>
      </c>
      <c r="B395" t="s">
        <v>97</v>
      </c>
      <c r="C395" t="s">
        <v>113</v>
      </c>
      <c r="D395">
        <v>-157429.29999999999</v>
      </c>
      <c r="E395">
        <v>-210061.7</v>
      </c>
      <c r="F395">
        <v>-146656.98000000001</v>
      </c>
      <c r="G395">
        <v>-104517.2</v>
      </c>
      <c r="H395">
        <v>-6192.17</v>
      </c>
      <c r="I395">
        <v>1152.55</v>
      </c>
    </row>
    <row r="396" spans="1:9" x14ac:dyDescent="0.3">
      <c r="A396" t="s">
        <v>185</v>
      </c>
      <c r="B396" t="s">
        <v>97</v>
      </c>
      <c r="C396" t="s">
        <v>114</v>
      </c>
      <c r="D396">
        <v>-114976.97</v>
      </c>
      <c r="E396">
        <v>-134916.51</v>
      </c>
      <c r="F396">
        <v>-76753.929999999993</v>
      </c>
      <c r="G396">
        <v>-60938.09</v>
      </c>
      <c r="H396">
        <v>38932.660000000003</v>
      </c>
      <c r="I396">
        <v>40871.71</v>
      </c>
    </row>
    <row r="397" spans="1:9" x14ac:dyDescent="0.3">
      <c r="A397" t="s">
        <v>185</v>
      </c>
      <c r="B397" t="s">
        <v>97</v>
      </c>
      <c r="C397" t="s">
        <v>115</v>
      </c>
      <c r="D397">
        <v>-8988.17</v>
      </c>
      <c r="E397">
        <v>-5647.88</v>
      </c>
      <c r="F397">
        <v>-20748.28</v>
      </c>
      <c r="G397">
        <v>-17280.27</v>
      </c>
      <c r="H397">
        <v>-10759.33</v>
      </c>
      <c r="I397">
        <v>-4518.97</v>
      </c>
    </row>
    <row r="398" spans="1:9" x14ac:dyDescent="0.3">
      <c r="A398" t="s">
        <v>185</v>
      </c>
      <c r="B398" t="s">
        <v>97</v>
      </c>
      <c r="C398" t="s">
        <v>118</v>
      </c>
      <c r="D398">
        <v>8988.17</v>
      </c>
      <c r="E398">
        <v>5647.88</v>
      </c>
      <c r="F398">
        <v>20748.28</v>
      </c>
      <c r="G398">
        <v>17280.27</v>
      </c>
      <c r="H398">
        <v>10759.33</v>
      </c>
      <c r="I398">
        <v>4518.97</v>
      </c>
    </row>
    <row r="399" spans="1:9" x14ac:dyDescent="0.3">
      <c r="A399" t="s">
        <v>185</v>
      </c>
      <c r="B399" t="s">
        <v>97</v>
      </c>
      <c r="C399" t="s">
        <v>159</v>
      </c>
      <c r="D399">
        <v>4328.17</v>
      </c>
      <c r="E399">
        <v>5647.88</v>
      </c>
      <c r="F399">
        <v>4209.2</v>
      </c>
      <c r="G399">
        <v>3110.93</v>
      </c>
      <c r="H399">
        <v>10759.33</v>
      </c>
      <c r="I399">
        <v>4518.97</v>
      </c>
    </row>
    <row r="400" spans="1:9" x14ac:dyDescent="0.3">
      <c r="A400" t="s">
        <v>185</v>
      </c>
      <c r="B400" t="s">
        <v>97</v>
      </c>
      <c r="C400" t="s">
        <v>119</v>
      </c>
      <c r="D400">
        <v>4660</v>
      </c>
      <c r="E400">
        <v>0</v>
      </c>
      <c r="F400">
        <v>16539.080000000002</v>
      </c>
      <c r="G400">
        <v>0</v>
      </c>
      <c r="H400">
        <v>0</v>
      </c>
      <c r="I400">
        <v>0</v>
      </c>
    </row>
    <row r="401" spans="1:9" x14ac:dyDescent="0.3">
      <c r="A401" t="s">
        <v>185</v>
      </c>
      <c r="B401" t="s">
        <v>97</v>
      </c>
      <c r="C401" t="s">
        <v>120</v>
      </c>
      <c r="D401">
        <v>46670.43</v>
      </c>
      <c r="E401">
        <v>118123.06</v>
      </c>
      <c r="F401">
        <v>169913.75</v>
      </c>
      <c r="G401">
        <v>139486.34</v>
      </c>
      <c r="H401">
        <v>50135.05</v>
      </c>
      <c r="I401">
        <v>32880.18</v>
      </c>
    </row>
    <row r="402" spans="1:9" x14ac:dyDescent="0.3">
      <c r="A402" t="s">
        <v>185</v>
      </c>
      <c r="B402" t="s">
        <v>97</v>
      </c>
      <c r="C402" t="s">
        <v>121</v>
      </c>
      <c r="D402">
        <v>55224.84</v>
      </c>
      <c r="E402">
        <v>130424.16</v>
      </c>
      <c r="F402">
        <v>182501.59</v>
      </c>
      <c r="G402">
        <v>149360.21</v>
      </c>
      <c r="H402">
        <v>66695.509999999995</v>
      </c>
      <c r="I402">
        <v>44757.69</v>
      </c>
    </row>
    <row r="403" spans="1:9" x14ac:dyDescent="0.3">
      <c r="A403" t="s">
        <v>185</v>
      </c>
      <c r="B403" t="s">
        <v>97</v>
      </c>
      <c r="C403" t="s">
        <v>122</v>
      </c>
      <c r="D403">
        <v>8554.41</v>
      </c>
      <c r="E403">
        <v>12301.1</v>
      </c>
      <c r="F403">
        <v>12587.84</v>
      </c>
      <c r="G403">
        <v>9873.8700000000008</v>
      </c>
      <c r="H403">
        <v>16560.46</v>
      </c>
      <c r="I403">
        <v>11877.51</v>
      </c>
    </row>
    <row r="404" spans="1:9" x14ac:dyDescent="0.3">
      <c r="A404" t="s">
        <v>185</v>
      </c>
      <c r="B404" t="s">
        <v>97</v>
      </c>
      <c r="C404" t="s">
        <v>123</v>
      </c>
      <c r="D404">
        <v>-119747.05</v>
      </c>
      <c r="E404">
        <v>-97586.52</v>
      </c>
      <c r="F404">
        <v>2508.5</v>
      </c>
      <c r="G404">
        <v>17688.87</v>
      </c>
      <c r="H404">
        <v>33183.56</v>
      </c>
      <c r="I404">
        <v>29513.75</v>
      </c>
    </row>
    <row r="405" spans="1:9" x14ac:dyDescent="0.3">
      <c r="A405" t="s">
        <v>185</v>
      </c>
      <c r="B405" t="s">
        <v>97</v>
      </c>
      <c r="C405" t="s">
        <v>124</v>
      </c>
      <c r="D405">
        <v>-1129.79</v>
      </c>
      <c r="E405">
        <v>-1899.47</v>
      </c>
      <c r="F405">
        <v>-747.32</v>
      </c>
      <c r="G405">
        <v>-444.4</v>
      </c>
      <c r="H405">
        <v>-170.74</v>
      </c>
      <c r="I405">
        <v>0</v>
      </c>
    </row>
    <row r="406" spans="1:9" x14ac:dyDescent="0.3">
      <c r="A406" t="s">
        <v>185</v>
      </c>
      <c r="B406" t="s">
        <v>97</v>
      </c>
      <c r="C406" t="s">
        <v>125</v>
      </c>
      <c r="D406">
        <v>-120876.83</v>
      </c>
      <c r="E406">
        <v>-99485.99</v>
      </c>
      <c r="F406">
        <v>1761.17</v>
      </c>
      <c r="G406">
        <v>17244.47</v>
      </c>
      <c r="H406">
        <v>33012.82</v>
      </c>
      <c r="I406">
        <v>29513.75</v>
      </c>
    </row>
    <row r="407" spans="1:9" x14ac:dyDescent="0.3">
      <c r="A407" t="s">
        <v>185</v>
      </c>
      <c r="B407" t="s">
        <v>97</v>
      </c>
      <c r="C407" t="s">
        <v>126</v>
      </c>
      <c r="D407">
        <v>-120876.83</v>
      </c>
      <c r="E407">
        <v>-99485.99</v>
      </c>
      <c r="F407">
        <v>1761.17</v>
      </c>
      <c r="G407">
        <v>17244.47</v>
      </c>
      <c r="H407">
        <v>33012.82</v>
      </c>
      <c r="I407">
        <v>29513.75</v>
      </c>
    </row>
    <row r="408" spans="1:9" x14ac:dyDescent="0.3">
      <c r="A408" t="s">
        <v>185</v>
      </c>
      <c r="B408" t="s">
        <v>97</v>
      </c>
      <c r="C408" t="s">
        <v>127</v>
      </c>
      <c r="D408">
        <v>574008.93000000005</v>
      </c>
      <c r="E408">
        <v>577898.11</v>
      </c>
      <c r="F408">
        <v>661077.25</v>
      </c>
      <c r="G408">
        <v>630135.23</v>
      </c>
      <c r="H408">
        <v>614751.97</v>
      </c>
      <c r="I408">
        <v>422338.4</v>
      </c>
    </row>
    <row r="409" spans="1:9" x14ac:dyDescent="0.3">
      <c r="A409" t="s">
        <v>185</v>
      </c>
      <c r="B409" t="s">
        <v>97</v>
      </c>
      <c r="C409" t="s">
        <v>128</v>
      </c>
      <c r="D409">
        <v>44872.65</v>
      </c>
      <c r="E409">
        <v>49327.8</v>
      </c>
      <c r="F409">
        <v>51818.47</v>
      </c>
      <c r="G409">
        <v>63505.53</v>
      </c>
      <c r="H409">
        <v>60110.14</v>
      </c>
      <c r="I409">
        <v>65494.3</v>
      </c>
    </row>
    <row r="410" spans="1:9" x14ac:dyDescent="0.3">
      <c r="A410" t="s">
        <v>185</v>
      </c>
      <c r="B410" t="s">
        <v>97</v>
      </c>
      <c r="C410" t="s">
        <v>129</v>
      </c>
      <c r="D410">
        <v>31571.22</v>
      </c>
      <c r="E410">
        <v>32510.799999999999</v>
      </c>
      <c r="F410">
        <v>33183.49</v>
      </c>
      <c r="G410">
        <v>49760.92</v>
      </c>
      <c r="H410">
        <v>47341.88</v>
      </c>
      <c r="I410">
        <v>61349.78</v>
      </c>
    </row>
    <row r="411" spans="1:9" x14ac:dyDescent="0.3">
      <c r="A411" t="s">
        <v>185</v>
      </c>
      <c r="B411" t="s">
        <v>97</v>
      </c>
      <c r="C411" t="s">
        <v>160</v>
      </c>
      <c r="D411">
        <v>8159.59</v>
      </c>
      <c r="E411">
        <v>11126.67</v>
      </c>
      <c r="F411">
        <v>11012.38</v>
      </c>
      <c r="G411">
        <v>13744.61</v>
      </c>
      <c r="H411">
        <v>12768.26</v>
      </c>
      <c r="I411">
        <v>4144.5200000000004</v>
      </c>
    </row>
    <row r="412" spans="1:9" x14ac:dyDescent="0.3">
      <c r="A412" t="s">
        <v>185</v>
      </c>
      <c r="B412" t="s">
        <v>97</v>
      </c>
      <c r="C412" t="s">
        <v>131</v>
      </c>
      <c r="D412">
        <v>5141.84</v>
      </c>
      <c r="E412">
        <v>5690.33</v>
      </c>
      <c r="F412">
        <v>7622.59</v>
      </c>
      <c r="G412">
        <v>0</v>
      </c>
      <c r="H412">
        <v>0</v>
      </c>
      <c r="I412">
        <v>0</v>
      </c>
    </row>
    <row r="413" spans="1:9" x14ac:dyDescent="0.3">
      <c r="A413" t="s">
        <v>185</v>
      </c>
      <c r="B413" t="s">
        <v>97</v>
      </c>
      <c r="C413" t="s">
        <v>132</v>
      </c>
      <c r="D413">
        <v>529136.28</v>
      </c>
      <c r="E413">
        <v>528570.31000000006</v>
      </c>
      <c r="F413">
        <v>609258.78</v>
      </c>
      <c r="G413">
        <v>557083.14</v>
      </c>
      <c r="H413">
        <v>542791.18000000005</v>
      </c>
      <c r="I413">
        <v>356844.1</v>
      </c>
    </row>
    <row r="414" spans="1:9" x14ac:dyDescent="0.3">
      <c r="A414" t="s">
        <v>185</v>
      </c>
      <c r="B414" t="s">
        <v>97</v>
      </c>
      <c r="C414" t="s">
        <v>133</v>
      </c>
      <c r="D414">
        <v>192326.13</v>
      </c>
      <c r="E414">
        <v>107280.77</v>
      </c>
      <c r="F414">
        <v>139881.94</v>
      </c>
      <c r="G414">
        <v>125124.2</v>
      </c>
      <c r="H414">
        <v>101228.85</v>
      </c>
      <c r="I414">
        <v>93652.74</v>
      </c>
    </row>
    <row r="415" spans="1:9" x14ac:dyDescent="0.3">
      <c r="A415" t="s">
        <v>185</v>
      </c>
      <c r="B415" t="s">
        <v>97</v>
      </c>
      <c r="C415" t="s">
        <v>162</v>
      </c>
      <c r="D415">
        <v>197478.03</v>
      </c>
      <c r="E415">
        <v>98131.43</v>
      </c>
      <c r="F415">
        <v>99800.86</v>
      </c>
      <c r="G415">
        <v>123487.22</v>
      </c>
      <c r="H415">
        <v>140505.54</v>
      </c>
      <c r="I415">
        <v>112008.26</v>
      </c>
    </row>
    <row r="416" spans="1:9" x14ac:dyDescent="0.3">
      <c r="A416" t="s">
        <v>185</v>
      </c>
      <c r="B416" t="s">
        <v>97</v>
      </c>
      <c r="C416" t="s">
        <v>134</v>
      </c>
      <c r="D416">
        <v>34732.589999999997</v>
      </c>
      <c r="E416">
        <v>104997.15</v>
      </c>
      <c r="F416">
        <v>88543.98</v>
      </c>
      <c r="G416">
        <v>54199.91</v>
      </c>
      <c r="H416">
        <v>28341.39</v>
      </c>
      <c r="I416">
        <v>41711.620000000003</v>
      </c>
    </row>
    <row r="417" spans="1:9" x14ac:dyDescent="0.3">
      <c r="A417" t="s">
        <v>185</v>
      </c>
      <c r="B417" t="s">
        <v>97</v>
      </c>
      <c r="C417" t="s">
        <v>164</v>
      </c>
      <c r="D417">
        <v>-40798.519999999997</v>
      </c>
      <c r="E417">
        <v>-97354.68</v>
      </c>
      <c r="F417">
        <v>-49509.45</v>
      </c>
      <c r="G417">
        <v>-52981.54</v>
      </c>
      <c r="H417">
        <v>-67910.48</v>
      </c>
      <c r="I417">
        <v>-60196.88</v>
      </c>
    </row>
    <row r="418" spans="1:9" x14ac:dyDescent="0.3">
      <c r="A418" t="s">
        <v>185</v>
      </c>
      <c r="B418" t="s">
        <v>97</v>
      </c>
      <c r="C418" t="s">
        <v>165</v>
      </c>
      <c r="D418">
        <v>914.03</v>
      </c>
      <c r="E418">
        <v>1506.87</v>
      </c>
      <c r="F418">
        <v>1046.54</v>
      </c>
      <c r="G418">
        <v>418.61</v>
      </c>
      <c r="H418">
        <v>292.39999999999998</v>
      </c>
      <c r="I418">
        <v>129.74</v>
      </c>
    </row>
    <row r="419" spans="1:9" x14ac:dyDescent="0.3">
      <c r="A419" t="s">
        <v>185</v>
      </c>
      <c r="B419" t="s">
        <v>97</v>
      </c>
      <c r="C419" t="s">
        <v>166</v>
      </c>
      <c r="D419">
        <v>98307.47</v>
      </c>
      <c r="E419">
        <v>143130.28</v>
      </c>
      <c r="F419">
        <v>187834.02</v>
      </c>
      <c r="G419">
        <v>102126.51</v>
      </c>
      <c r="H419">
        <v>137003.34</v>
      </c>
      <c r="I419">
        <v>112233.9</v>
      </c>
    </row>
    <row r="420" spans="1:9" x14ac:dyDescent="0.3">
      <c r="A420" t="s">
        <v>185</v>
      </c>
      <c r="B420" t="s">
        <v>97</v>
      </c>
      <c r="C420" t="s">
        <v>135</v>
      </c>
      <c r="D420">
        <v>149679.76</v>
      </c>
      <c r="E420">
        <v>135899.34</v>
      </c>
      <c r="F420">
        <v>111480.23</v>
      </c>
      <c r="G420">
        <v>122080.05</v>
      </c>
      <c r="H420">
        <v>118445.17</v>
      </c>
      <c r="I420">
        <v>81128.740000000005</v>
      </c>
    </row>
    <row r="421" spans="1:9" x14ac:dyDescent="0.3">
      <c r="A421" t="s">
        <v>185</v>
      </c>
      <c r="B421" t="s">
        <v>97</v>
      </c>
      <c r="C421" t="s">
        <v>136</v>
      </c>
      <c r="D421">
        <v>88822.92</v>
      </c>
      <c r="E421">
        <v>142259.91</v>
      </c>
      <c r="F421">
        <v>170062.58</v>
      </c>
      <c r="G421">
        <v>207752.38</v>
      </c>
      <c r="H421">
        <v>186113.82</v>
      </c>
      <c r="I421">
        <v>69828.72</v>
      </c>
    </row>
    <row r="422" spans="1:9" x14ac:dyDescent="0.3">
      <c r="A422" t="s">
        <v>185</v>
      </c>
      <c r="B422" t="s">
        <v>97</v>
      </c>
      <c r="C422" t="s">
        <v>138</v>
      </c>
      <c r="D422">
        <v>574008.93000000005</v>
      </c>
      <c r="E422">
        <v>577898.11</v>
      </c>
      <c r="F422">
        <v>661077.25</v>
      </c>
      <c r="G422">
        <v>630135.23</v>
      </c>
      <c r="H422">
        <v>614751.97</v>
      </c>
      <c r="I422">
        <v>422338.4</v>
      </c>
    </row>
    <row r="423" spans="1:9" x14ac:dyDescent="0.3">
      <c r="A423" t="s">
        <v>185</v>
      </c>
      <c r="B423" t="s">
        <v>97</v>
      </c>
      <c r="C423" t="s">
        <v>139</v>
      </c>
      <c r="D423">
        <v>-9070.64</v>
      </c>
      <c r="E423">
        <v>110736.93</v>
      </c>
      <c r="F423">
        <v>210078.58</v>
      </c>
      <c r="G423">
        <v>208185.72</v>
      </c>
      <c r="H423">
        <v>189621.56</v>
      </c>
      <c r="I423">
        <v>156484.07999999999</v>
      </c>
    </row>
    <row r="424" spans="1:9" x14ac:dyDescent="0.3">
      <c r="A424" t="s">
        <v>185</v>
      </c>
      <c r="B424" t="s">
        <v>97</v>
      </c>
      <c r="C424" t="s">
        <v>140</v>
      </c>
      <c r="D424">
        <v>-9070.64</v>
      </c>
      <c r="E424">
        <v>110736.93</v>
      </c>
      <c r="F424">
        <v>210078.58</v>
      </c>
      <c r="G424">
        <v>208185.72</v>
      </c>
      <c r="H424">
        <v>189621.56</v>
      </c>
      <c r="I424">
        <v>156484.07999999999</v>
      </c>
    </row>
    <row r="425" spans="1:9" x14ac:dyDescent="0.3">
      <c r="A425" t="s">
        <v>185</v>
      </c>
      <c r="B425" t="s">
        <v>97</v>
      </c>
      <c r="C425" t="s">
        <v>141</v>
      </c>
      <c r="D425">
        <v>23641.4</v>
      </c>
      <c r="E425">
        <v>23446.33</v>
      </c>
      <c r="F425">
        <v>17240.23</v>
      </c>
      <c r="G425">
        <v>17063.93</v>
      </c>
      <c r="H425">
        <v>16834.22</v>
      </c>
      <c r="I425">
        <v>16617.7</v>
      </c>
    </row>
    <row r="426" spans="1:9" x14ac:dyDescent="0.3">
      <c r="A426" t="s">
        <v>185</v>
      </c>
      <c r="B426" t="s">
        <v>97</v>
      </c>
      <c r="C426" t="s">
        <v>142</v>
      </c>
      <c r="D426">
        <v>171205.17</v>
      </c>
      <c r="E426">
        <v>171205.17</v>
      </c>
      <c r="F426">
        <v>167933.78</v>
      </c>
      <c r="G426">
        <v>150733.93</v>
      </c>
      <c r="H426">
        <v>117818.22</v>
      </c>
      <c r="I426">
        <v>88396.33</v>
      </c>
    </row>
    <row r="427" spans="1:9" x14ac:dyDescent="0.3">
      <c r="A427" t="s">
        <v>185</v>
      </c>
      <c r="B427" t="s">
        <v>97</v>
      </c>
      <c r="C427" t="s">
        <v>143</v>
      </c>
      <c r="D427">
        <v>-99485.99</v>
      </c>
      <c r="E427">
        <v>0</v>
      </c>
      <c r="F427">
        <v>7571.98</v>
      </c>
      <c r="G427">
        <v>0</v>
      </c>
      <c r="H427">
        <v>0</v>
      </c>
      <c r="I427">
        <v>0</v>
      </c>
    </row>
    <row r="428" spans="1:9" x14ac:dyDescent="0.3">
      <c r="A428" t="s">
        <v>185</v>
      </c>
      <c r="B428" t="s">
        <v>97</v>
      </c>
      <c r="C428" t="s">
        <v>144</v>
      </c>
      <c r="D428">
        <v>-120876.83</v>
      </c>
      <c r="E428">
        <v>-99485.99</v>
      </c>
      <c r="F428">
        <v>1761.17</v>
      </c>
      <c r="G428">
        <v>17244.47</v>
      </c>
      <c r="H428">
        <v>33012.82</v>
      </c>
      <c r="I428">
        <v>29513.75</v>
      </c>
    </row>
    <row r="429" spans="1:9" x14ac:dyDescent="0.3">
      <c r="A429" t="s">
        <v>185</v>
      </c>
      <c r="B429" t="s">
        <v>97</v>
      </c>
      <c r="C429" t="s">
        <v>174</v>
      </c>
      <c r="D429">
        <v>16445.61</v>
      </c>
      <c r="E429">
        <v>15571.42</v>
      </c>
      <c r="F429">
        <v>15571.42</v>
      </c>
      <c r="G429">
        <v>23143.4</v>
      </c>
      <c r="H429">
        <v>21956.3</v>
      </c>
      <c r="I429">
        <v>21956.3</v>
      </c>
    </row>
    <row r="430" spans="1:9" x14ac:dyDescent="0.3">
      <c r="A430" t="s">
        <v>185</v>
      </c>
      <c r="B430" t="s">
        <v>97</v>
      </c>
      <c r="C430" t="s">
        <v>145</v>
      </c>
      <c r="D430">
        <v>583079.56999999995</v>
      </c>
      <c r="E430">
        <v>467161.17</v>
      </c>
      <c r="F430">
        <v>450998.66</v>
      </c>
      <c r="G430">
        <v>421949.5</v>
      </c>
      <c r="H430">
        <v>425130.42</v>
      </c>
      <c r="I430">
        <v>265854.32</v>
      </c>
    </row>
    <row r="431" spans="1:9" x14ac:dyDescent="0.3">
      <c r="A431" t="s">
        <v>185</v>
      </c>
      <c r="B431" t="s">
        <v>97</v>
      </c>
      <c r="C431" t="s">
        <v>146</v>
      </c>
      <c r="D431">
        <v>308858.08</v>
      </c>
      <c r="E431">
        <v>258333.34</v>
      </c>
      <c r="F431">
        <v>261344</v>
      </c>
      <c r="G431">
        <v>257741.62</v>
      </c>
      <c r="H431">
        <v>253991.89</v>
      </c>
      <c r="I431">
        <v>142652.49</v>
      </c>
    </row>
    <row r="432" spans="1:9" x14ac:dyDescent="0.3">
      <c r="A432" t="s">
        <v>185</v>
      </c>
      <c r="B432" t="s">
        <v>97</v>
      </c>
      <c r="C432" t="s">
        <v>147</v>
      </c>
      <c r="D432">
        <v>308858.08</v>
      </c>
      <c r="E432">
        <v>258333.34</v>
      </c>
      <c r="F432">
        <v>261344</v>
      </c>
      <c r="G432">
        <v>257741.62</v>
      </c>
      <c r="H432">
        <v>253991.89</v>
      </c>
      <c r="I432">
        <v>142652.49</v>
      </c>
    </row>
    <row r="433" spans="1:9" x14ac:dyDescent="0.3">
      <c r="A433" t="s">
        <v>185</v>
      </c>
      <c r="B433" t="s">
        <v>97</v>
      </c>
      <c r="C433" t="s">
        <v>149</v>
      </c>
      <c r="D433">
        <v>274221.49</v>
      </c>
      <c r="E433">
        <v>208827.83</v>
      </c>
      <c r="F433">
        <v>189654.66</v>
      </c>
      <c r="G433">
        <v>164207.89000000001</v>
      </c>
      <c r="H433">
        <v>171138.53</v>
      </c>
      <c r="I433">
        <v>123201.83</v>
      </c>
    </row>
    <row r="434" spans="1:9" x14ac:dyDescent="0.3">
      <c r="A434" t="s">
        <v>185</v>
      </c>
      <c r="B434" t="s">
        <v>97</v>
      </c>
      <c r="C434" t="s">
        <v>169</v>
      </c>
      <c r="D434">
        <v>12209.77</v>
      </c>
      <c r="E434">
        <v>20737.09</v>
      </c>
      <c r="F434">
        <v>29720.54</v>
      </c>
      <c r="G434">
        <v>28302.36</v>
      </c>
      <c r="H434">
        <v>36200</v>
      </c>
      <c r="I434">
        <v>0</v>
      </c>
    </row>
    <row r="435" spans="1:9" x14ac:dyDescent="0.3">
      <c r="A435" t="s">
        <v>185</v>
      </c>
      <c r="B435" t="s">
        <v>97</v>
      </c>
      <c r="C435" t="s">
        <v>150</v>
      </c>
      <c r="D435">
        <v>245354.59</v>
      </c>
      <c r="E435">
        <v>165101.34</v>
      </c>
      <c r="F435">
        <v>152362.39000000001</v>
      </c>
      <c r="G435">
        <v>109132.97</v>
      </c>
      <c r="H435">
        <v>120957.34</v>
      </c>
      <c r="I435">
        <v>113559.61</v>
      </c>
    </row>
    <row r="436" spans="1:9" x14ac:dyDescent="0.3">
      <c r="A436" t="s">
        <v>185</v>
      </c>
      <c r="B436" t="s">
        <v>97</v>
      </c>
      <c r="C436" t="s">
        <v>151</v>
      </c>
      <c r="D436">
        <v>243499.23</v>
      </c>
      <c r="E436">
        <v>159925.85</v>
      </c>
      <c r="F436">
        <v>145336.10999999999</v>
      </c>
      <c r="G436">
        <v>89392.52</v>
      </c>
      <c r="H436">
        <v>97088.41</v>
      </c>
      <c r="I436">
        <v>84639.13</v>
      </c>
    </row>
    <row r="437" spans="1:9" x14ac:dyDescent="0.3">
      <c r="A437" t="s">
        <v>185</v>
      </c>
      <c r="B437" t="s">
        <v>97</v>
      </c>
      <c r="C437" t="s">
        <v>152</v>
      </c>
      <c r="D437">
        <v>1855.37</v>
      </c>
      <c r="E437">
        <v>5175.49</v>
      </c>
      <c r="F437">
        <v>7026.28</v>
      </c>
      <c r="G437">
        <v>8825.7999999999993</v>
      </c>
      <c r="H437">
        <v>10986.78</v>
      </c>
      <c r="I437">
        <v>28920.48</v>
      </c>
    </row>
    <row r="438" spans="1:9" x14ac:dyDescent="0.3">
      <c r="A438" t="s">
        <v>185</v>
      </c>
      <c r="B438" t="s">
        <v>97</v>
      </c>
      <c r="C438" t="s">
        <v>147</v>
      </c>
      <c r="D438">
        <v>6765</v>
      </c>
      <c r="E438">
        <v>13179.98</v>
      </c>
      <c r="F438">
        <v>5086.66</v>
      </c>
      <c r="G438">
        <v>4793.5600000000004</v>
      </c>
      <c r="H438">
        <v>6835.01</v>
      </c>
      <c r="I438">
        <v>3495.14</v>
      </c>
    </row>
    <row r="439" spans="1:9" x14ac:dyDescent="0.3">
      <c r="A439" t="s">
        <v>185</v>
      </c>
      <c r="B439" t="s">
        <v>97</v>
      </c>
      <c r="C439" t="s">
        <v>153</v>
      </c>
      <c r="D439">
        <v>1037.0999999999999</v>
      </c>
      <c r="E439">
        <v>755.91</v>
      </c>
      <c r="F439">
        <v>878.37</v>
      </c>
      <c r="G439">
        <v>7845.24</v>
      </c>
      <c r="H439">
        <v>2687.09</v>
      </c>
      <c r="I439">
        <v>2665.86</v>
      </c>
    </row>
    <row r="440" spans="1:9" x14ac:dyDescent="0.3">
      <c r="A440" t="s">
        <v>185</v>
      </c>
      <c r="B440" t="s">
        <v>97</v>
      </c>
      <c r="C440" t="s">
        <v>171</v>
      </c>
      <c r="D440">
        <v>8855.02</v>
      </c>
      <c r="E440">
        <v>9053.51</v>
      </c>
      <c r="F440">
        <v>1606.7</v>
      </c>
      <c r="G440">
        <v>14133.76</v>
      </c>
      <c r="H440">
        <v>4459.09</v>
      </c>
      <c r="I440">
        <v>3481.2</v>
      </c>
    </row>
    <row r="441" spans="1:9" x14ac:dyDescent="0.3">
      <c r="A441" t="s">
        <v>186</v>
      </c>
      <c r="B441" t="s">
        <v>97</v>
      </c>
      <c r="C441" t="s">
        <v>105</v>
      </c>
      <c r="D441">
        <v>21763418.379999999</v>
      </c>
      <c r="E441">
        <v>20220480.030000001</v>
      </c>
      <c r="F441">
        <v>14729465.58</v>
      </c>
      <c r="G441">
        <v>12294375.24</v>
      </c>
      <c r="H441">
        <v>9942273.0399999991</v>
      </c>
      <c r="I441">
        <v>7923252.4199999999</v>
      </c>
    </row>
    <row r="442" spans="1:9" x14ac:dyDescent="0.3">
      <c r="A442" t="s">
        <v>186</v>
      </c>
      <c r="B442" t="s">
        <v>97</v>
      </c>
      <c r="C442" t="s">
        <v>155</v>
      </c>
      <c r="D442">
        <v>21763418.379999999</v>
      </c>
      <c r="E442">
        <v>20220480.030000001</v>
      </c>
      <c r="F442">
        <v>14729465.58</v>
      </c>
      <c r="G442">
        <v>12294375.24</v>
      </c>
      <c r="H442">
        <v>9942273.0399999991</v>
      </c>
      <c r="I442">
        <v>7923252.4199999999</v>
      </c>
    </row>
    <row r="443" spans="1:9" x14ac:dyDescent="0.3">
      <c r="A443" t="s">
        <v>186</v>
      </c>
      <c r="B443" t="s">
        <v>97</v>
      </c>
      <c r="C443" t="s">
        <v>107</v>
      </c>
      <c r="D443">
        <v>0</v>
      </c>
      <c r="E443">
        <v>9927.82</v>
      </c>
      <c r="F443">
        <v>14184.01</v>
      </c>
      <c r="G443">
        <v>12149.4</v>
      </c>
      <c r="H443">
        <v>8163.2</v>
      </c>
      <c r="I443">
        <v>8627.9500000000007</v>
      </c>
    </row>
    <row r="444" spans="1:9" x14ac:dyDescent="0.3">
      <c r="A444" t="s">
        <v>186</v>
      </c>
      <c r="B444" t="s">
        <v>97</v>
      </c>
      <c r="C444" t="s">
        <v>108</v>
      </c>
      <c r="D444">
        <v>0</v>
      </c>
      <c r="E444">
        <v>175692.89</v>
      </c>
      <c r="F444">
        <v>145926.41</v>
      </c>
      <c r="G444">
        <v>142915.23000000001</v>
      </c>
      <c r="H444">
        <v>120798.05</v>
      </c>
      <c r="I444">
        <v>123412.81</v>
      </c>
    </row>
    <row r="445" spans="1:9" x14ac:dyDescent="0.3">
      <c r="A445" t="s">
        <v>186</v>
      </c>
      <c r="B445" t="s">
        <v>97</v>
      </c>
      <c r="C445" t="s">
        <v>156</v>
      </c>
      <c r="E445">
        <v>302184.61</v>
      </c>
      <c r="F445">
        <v>252734.62</v>
      </c>
      <c r="G445">
        <v>201643.91</v>
      </c>
      <c r="H445">
        <v>179986.82</v>
      </c>
      <c r="I445">
        <v>168544.15</v>
      </c>
    </row>
    <row r="446" spans="1:9" x14ac:dyDescent="0.3">
      <c r="A446" t="s">
        <v>186</v>
      </c>
      <c r="B446" t="s">
        <v>97</v>
      </c>
      <c r="C446" t="s">
        <v>157</v>
      </c>
      <c r="E446">
        <v>5848.54</v>
      </c>
      <c r="F446">
        <v>7007.48</v>
      </c>
      <c r="G446">
        <v>2451.06</v>
      </c>
      <c r="H446">
        <v>1576.74</v>
      </c>
      <c r="I446">
        <v>3544.96</v>
      </c>
    </row>
    <row r="447" spans="1:9" x14ac:dyDescent="0.3">
      <c r="A447" t="s">
        <v>186</v>
      </c>
      <c r="B447" t="s">
        <v>97</v>
      </c>
      <c r="C447" t="s">
        <v>158</v>
      </c>
      <c r="E447">
        <v>-826.53</v>
      </c>
      <c r="F447">
        <v>-656.92</v>
      </c>
      <c r="G447">
        <v>-497.71</v>
      </c>
      <c r="H447">
        <v>-278.32</v>
      </c>
      <c r="I447">
        <v>-161.05000000000001</v>
      </c>
    </row>
    <row r="448" spans="1:9" x14ac:dyDescent="0.3">
      <c r="A448" t="s">
        <v>186</v>
      </c>
      <c r="B448" t="s">
        <v>97</v>
      </c>
      <c r="C448" t="s">
        <v>106</v>
      </c>
      <c r="D448">
        <v>22746411.32</v>
      </c>
      <c r="E448">
        <v>19933923.84</v>
      </c>
      <c r="F448">
        <v>14141078.890000001</v>
      </c>
      <c r="G448">
        <v>11743678.68</v>
      </c>
      <c r="H448">
        <v>9482951.7300000004</v>
      </c>
      <c r="I448">
        <v>7526884.7000000002</v>
      </c>
    </row>
    <row r="449" spans="1:9" x14ac:dyDescent="0.3">
      <c r="A449" t="s">
        <v>186</v>
      </c>
      <c r="B449" t="s">
        <v>97</v>
      </c>
      <c r="C449" t="s">
        <v>109</v>
      </c>
      <c r="D449">
        <v>0</v>
      </c>
      <c r="E449">
        <v>129102.17</v>
      </c>
      <c r="F449">
        <v>136928.17000000001</v>
      </c>
      <c r="G449">
        <v>129977.82</v>
      </c>
      <c r="H449">
        <v>85451.15</v>
      </c>
      <c r="I449">
        <v>51390.66</v>
      </c>
    </row>
    <row r="450" spans="1:9" x14ac:dyDescent="0.3">
      <c r="A450" t="s">
        <v>186</v>
      </c>
      <c r="B450" t="s">
        <v>97</v>
      </c>
      <c r="C450" t="s">
        <v>113</v>
      </c>
      <c r="D450">
        <v>-1787389.11</v>
      </c>
      <c r="E450">
        <v>-337026.37</v>
      </c>
      <c r="F450">
        <v>30949.07</v>
      </c>
      <c r="G450">
        <v>61061.42</v>
      </c>
      <c r="H450">
        <v>63067.02</v>
      </c>
      <c r="I450">
        <v>40686.129999999997</v>
      </c>
    </row>
    <row r="451" spans="1:9" x14ac:dyDescent="0.3">
      <c r="A451" t="s">
        <v>186</v>
      </c>
      <c r="B451" t="s">
        <v>97</v>
      </c>
      <c r="C451" t="s">
        <v>114</v>
      </c>
      <c r="E451">
        <v>-207924.21</v>
      </c>
      <c r="F451">
        <v>167877.24</v>
      </c>
      <c r="G451">
        <v>191039.25</v>
      </c>
      <c r="H451">
        <v>148518.17000000001</v>
      </c>
      <c r="I451">
        <v>92076.79</v>
      </c>
    </row>
    <row r="452" spans="1:9" x14ac:dyDescent="0.3">
      <c r="A452" t="s">
        <v>186</v>
      </c>
      <c r="B452" t="s">
        <v>97</v>
      </c>
      <c r="C452" t="s">
        <v>115</v>
      </c>
      <c r="E452">
        <v>-41441.78</v>
      </c>
      <c r="F452">
        <v>-42782.43</v>
      </c>
      <c r="G452">
        <v>-22246.82</v>
      </c>
      <c r="H452">
        <v>-29753.17</v>
      </c>
      <c r="I452">
        <v>-33711.230000000003</v>
      </c>
    </row>
    <row r="453" spans="1:9" x14ac:dyDescent="0.3">
      <c r="A453" t="s">
        <v>186</v>
      </c>
      <c r="B453" t="s">
        <v>97</v>
      </c>
      <c r="C453" t="s">
        <v>118</v>
      </c>
      <c r="E453">
        <v>41441.78</v>
      </c>
      <c r="F453">
        <v>42782.43</v>
      </c>
      <c r="G453">
        <v>22246.82</v>
      </c>
      <c r="H453">
        <v>29753.17</v>
      </c>
      <c r="I453">
        <v>33711.230000000003</v>
      </c>
    </row>
    <row r="454" spans="1:9" x14ac:dyDescent="0.3">
      <c r="A454" t="s">
        <v>186</v>
      </c>
      <c r="B454" t="s">
        <v>97</v>
      </c>
      <c r="C454" t="s">
        <v>159</v>
      </c>
      <c r="E454">
        <v>41441.78</v>
      </c>
      <c r="F454">
        <v>34126.879999999997</v>
      </c>
      <c r="G454">
        <v>22246.82</v>
      </c>
      <c r="H454">
        <v>29753.17</v>
      </c>
      <c r="I454">
        <v>33711.230000000003</v>
      </c>
    </row>
    <row r="455" spans="1:9" x14ac:dyDescent="0.3">
      <c r="A455" t="s">
        <v>186</v>
      </c>
      <c r="B455" t="s">
        <v>97</v>
      </c>
      <c r="C455" t="s">
        <v>119</v>
      </c>
      <c r="E455">
        <v>0</v>
      </c>
      <c r="F455">
        <v>8655.5499999999993</v>
      </c>
      <c r="G455">
        <v>0</v>
      </c>
      <c r="H455">
        <v>0</v>
      </c>
      <c r="I455">
        <v>0</v>
      </c>
    </row>
    <row r="456" spans="1:9" x14ac:dyDescent="0.3">
      <c r="A456" t="s">
        <v>186</v>
      </c>
      <c r="B456" t="s">
        <v>97</v>
      </c>
      <c r="C456" t="s">
        <v>120</v>
      </c>
      <c r="D456">
        <v>0</v>
      </c>
      <c r="E456">
        <v>36556.33</v>
      </c>
      <c r="F456">
        <v>28360.400000000001</v>
      </c>
      <c r="G456">
        <v>13716.86</v>
      </c>
      <c r="H456">
        <v>7699.47</v>
      </c>
      <c r="I456">
        <v>4040.12</v>
      </c>
    </row>
    <row r="457" spans="1:9" x14ac:dyDescent="0.3">
      <c r="A457" t="s">
        <v>186</v>
      </c>
      <c r="B457" t="s">
        <v>97</v>
      </c>
      <c r="C457" t="s">
        <v>121</v>
      </c>
      <c r="D457">
        <v>0</v>
      </c>
      <c r="E457">
        <v>59201.1</v>
      </c>
      <c r="F457">
        <v>47668.49</v>
      </c>
      <c r="G457">
        <v>29108.26</v>
      </c>
      <c r="H457">
        <v>23114.71</v>
      </c>
      <c r="I457">
        <v>20688.8</v>
      </c>
    </row>
    <row r="458" spans="1:9" x14ac:dyDescent="0.3">
      <c r="A458" t="s">
        <v>186</v>
      </c>
      <c r="B458" t="s">
        <v>97</v>
      </c>
      <c r="C458" t="s">
        <v>122</v>
      </c>
      <c r="D458">
        <v>0</v>
      </c>
      <c r="E458">
        <v>22644.77</v>
      </c>
      <c r="F458">
        <v>19308.099999999999</v>
      </c>
      <c r="G458">
        <v>15391.41</v>
      </c>
      <c r="H458">
        <v>15415.24</v>
      </c>
      <c r="I458">
        <v>16648.689999999999</v>
      </c>
    </row>
    <row r="459" spans="1:9" x14ac:dyDescent="0.3">
      <c r="A459" t="s">
        <v>186</v>
      </c>
      <c r="B459" t="s">
        <v>97</v>
      </c>
      <c r="C459" t="s">
        <v>123</v>
      </c>
      <c r="D459">
        <v>-1736582.05</v>
      </c>
      <c r="E459">
        <v>-341911.83</v>
      </c>
      <c r="F459">
        <v>16527.04</v>
      </c>
      <c r="G459">
        <v>52531.46</v>
      </c>
      <c r="H459">
        <v>41013.33</v>
      </c>
      <c r="I459">
        <v>11015.02</v>
      </c>
    </row>
    <row r="460" spans="1:9" x14ac:dyDescent="0.3">
      <c r="A460" t="s">
        <v>186</v>
      </c>
      <c r="B460" t="s">
        <v>97</v>
      </c>
      <c r="C460" t="s">
        <v>124</v>
      </c>
      <c r="D460">
        <v>0</v>
      </c>
      <c r="E460">
        <v>95.06</v>
      </c>
      <c r="F460">
        <v>-6126.75</v>
      </c>
      <c r="G460">
        <v>-10939.65</v>
      </c>
      <c r="H460">
        <v>-13961.86</v>
      </c>
      <c r="I460">
        <v>1072.07</v>
      </c>
    </row>
    <row r="461" spans="1:9" x14ac:dyDescent="0.3">
      <c r="A461" t="s">
        <v>186</v>
      </c>
      <c r="B461" t="s">
        <v>97</v>
      </c>
      <c r="C461" t="s">
        <v>125</v>
      </c>
      <c r="D461">
        <v>-1736582.05</v>
      </c>
      <c r="E461">
        <v>-341816.77</v>
      </c>
      <c r="F461">
        <v>10400.280000000001</v>
      </c>
      <c r="G461">
        <v>41591.81</v>
      </c>
      <c r="H461">
        <v>27051.47</v>
      </c>
      <c r="I461">
        <v>12087.08</v>
      </c>
    </row>
    <row r="462" spans="1:9" x14ac:dyDescent="0.3">
      <c r="A462" t="s">
        <v>186</v>
      </c>
      <c r="B462" t="s">
        <v>97</v>
      </c>
      <c r="C462" t="s">
        <v>126</v>
      </c>
      <c r="D462">
        <v>-1736582.05</v>
      </c>
      <c r="E462">
        <v>-341816.77</v>
      </c>
      <c r="F462">
        <v>10400.280000000001</v>
      </c>
      <c r="G462">
        <v>41591.81</v>
      </c>
      <c r="H462">
        <v>27051.47</v>
      </c>
      <c r="I462">
        <v>12087.08</v>
      </c>
    </row>
    <row r="463" spans="1:9" x14ac:dyDescent="0.3">
      <c r="A463" t="s">
        <v>186</v>
      </c>
      <c r="B463" t="s">
        <v>97</v>
      </c>
      <c r="C463" t="s">
        <v>127</v>
      </c>
      <c r="D463">
        <v>11693006.699999999</v>
      </c>
      <c r="E463">
        <v>6815192.8499999996</v>
      </c>
      <c r="F463">
        <v>5913636.5899999999</v>
      </c>
      <c r="G463">
        <v>6128752.0499999998</v>
      </c>
      <c r="H463">
        <v>5820665.9500000002</v>
      </c>
      <c r="I463">
        <v>5770162.3499999996</v>
      </c>
    </row>
    <row r="464" spans="1:9" x14ac:dyDescent="0.3">
      <c r="A464" t="s">
        <v>186</v>
      </c>
      <c r="B464" t="s">
        <v>97</v>
      </c>
      <c r="C464" t="s">
        <v>128</v>
      </c>
      <c r="D464">
        <v>0</v>
      </c>
      <c r="E464">
        <v>72265.37</v>
      </c>
      <c r="F464">
        <v>72497.289999999994</v>
      </c>
      <c r="G464">
        <v>66772.33</v>
      </c>
      <c r="H464">
        <v>56611.69</v>
      </c>
      <c r="I464">
        <v>55060.14</v>
      </c>
    </row>
    <row r="465" spans="1:9" x14ac:dyDescent="0.3">
      <c r="A465" t="s">
        <v>186</v>
      </c>
      <c r="B465" t="s">
        <v>97</v>
      </c>
      <c r="C465" t="s">
        <v>129</v>
      </c>
      <c r="D465">
        <v>0</v>
      </c>
      <c r="E465">
        <v>7545.51</v>
      </c>
      <c r="F465">
        <v>7704.18</v>
      </c>
      <c r="G465">
        <v>6662.31</v>
      </c>
      <c r="H465">
        <v>6541.43</v>
      </c>
      <c r="I465">
        <v>6470.73</v>
      </c>
    </row>
    <row r="466" spans="1:9" x14ac:dyDescent="0.3">
      <c r="A466" t="s">
        <v>186</v>
      </c>
      <c r="B466" t="s">
        <v>97</v>
      </c>
      <c r="C466" t="s">
        <v>160</v>
      </c>
      <c r="E466">
        <v>3181.97</v>
      </c>
      <c r="F466">
        <v>3255.22</v>
      </c>
      <c r="G466">
        <v>2667.06</v>
      </c>
      <c r="H466">
        <v>3118.45</v>
      </c>
      <c r="I466">
        <v>2692.86</v>
      </c>
    </row>
    <row r="467" spans="1:9" x14ac:dyDescent="0.3">
      <c r="A467" t="s">
        <v>186</v>
      </c>
      <c r="B467" t="s">
        <v>97</v>
      </c>
      <c r="C467" t="s">
        <v>161</v>
      </c>
      <c r="E467">
        <v>61537.9</v>
      </c>
      <c r="F467">
        <v>61537.9</v>
      </c>
      <c r="G467">
        <v>57442.96</v>
      </c>
      <c r="H467">
        <v>46951.81</v>
      </c>
      <c r="I467">
        <v>45896.55</v>
      </c>
    </row>
    <row r="468" spans="1:9" x14ac:dyDescent="0.3">
      <c r="A468" t="s">
        <v>186</v>
      </c>
      <c r="B468" t="s">
        <v>97</v>
      </c>
      <c r="C468" t="s">
        <v>132</v>
      </c>
      <c r="D468">
        <v>11441577.720000001</v>
      </c>
      <c r="E468">
        <v>6742927.4699999997</v>
      </c>
      <c r="F468">
        <v>5841139.2999999998</v>
      </c>
      <c r="G468">
        <v>6061979.7199999997</v>
      </c>
      <c r="H468">
        <v>5764054.2599999998</v>
      </c>
      <c r="I468">
        <v>5715102.21</v>
      </c>
    </row>
    <row r="469" spans="1:9" x14ac:dyDescent="0.3">
      <c r="A469" t="s">
        <v>186</v>
      </c>
      <c r="B469" t="s">
        <v>97</v>
      </c>
      <c r="C469" t="s">
        <v>183</v>
      </c>
      <c r="E469">
        <v>552.88</v>
      </c>
      <c r="F469">
        <v>520.36</v>
      </c>
      <c r="G469">
        <v>431.35</v>
      </c>
      <c r="H469">
        <v>11367.67</v>
      </c>
      <c r="I469">
        <v>11409.86</v>
      </c>
    </row>
    <row r="470" spans="1:9" x14ac:dyDescent="0.3">
      <c r="A470" t="s">
        <v>186</v>
      </c>
      <c r="B470" t="s">
        <v>97</v>
      </c>
      <c r="C470" t="s">
        <v>187</v>
      </c>
      <c r="E470">
        <v>552.88</v>
      </c>
      <c r="F470">
        <v>520.36</v>
      </c>
      <c r="G470">
        <v>431.35</v>
      </c>
      <c r="H470">
        <v>11367.67</v>
      </c>
      <c r="I470">
        <v>11409.86</v>
      </c>
    </row>
    <row r="471" spans="1:9" x14ac:dyDescent="0.3">
      <c r="A471" t="s">
        <v>186</v>
      </c>
      <c r="B471" t="s">
        <v>97</v>
      </c>
      <c r="C471" t="s">
        <v>133</v>
      </c>
      <c r="E471">
        <v>2322873.84</v>
      </c>
      <c r="F471">
        <v>775975.88</v>
      </c>
      <c r="G471">
        <v>1336805.56</v>
      </c>
      <c r="H471">
        <v>2008427.37</v>
      </c>
      <c r="I471">
        <v>3133034.19</v>
      </c>
    </row>
    <row r="472" spans="1:9" x14ac:dyDescent="0.3">
      <c r="A472" t="s">
        <v>186</v>
      </c>
      <c r="B472" t="s">
        <v>97</v>
      </c>
      <c r="C472" t="s">
        <v>162</v>
      </c>
      <c r="E472">
        <v>3124335.18</v>
      </c>
      <c r="F472">
        <v>1432867.05</v>
      </c>
      <c r="G472">
        <v>1664211.56</v>
      </c>
      <c r="H472">
        <v>2421838.52</v>
      </c>
      <c r="I472">
        <v>3466381.58</v>
      </c>
    </row>
    <row r="473" spans="1:9" x14ac:dyDescent="0.3">
      <c r="A473" t="s">
        <v>186</v>
      </c>
      <c r="B473" t="s">
        <v>97</v>
      </c>
      <c r="C473" t="s">
        <v>134</v>
      </c>
      <c r="E473">
        <v>136767.53</v>
      </c>
      <c r="F473">
        <v>162393.82</v>
      </c>
      <c r="G473">
        <v>372155.5</v>
      </c>
      <c r="H473">
        <v>166447.35</v>
      </c>
      <c r="I473">
        <v>162761.39000000001</v>
      </c>
    </row>
    <row r="474" spans="1:9" x14ac:dyDescent="0.3">
      <c r="A474" t="s">
        <v>186</v>
      </c>
      <c r="B474" t="s">
        <v>97</v>
      </c>
      <c r="C474" t="s">
        <v>164</v>
      </c>
      <c r="E474">
        <v>-951252.99</v>
      </c>
      <c r="F474">
        <v>-834032.37</v>
      </c>
      <c r="G474">
        <v>-706638.61</v>
      </c>
      <c r="H474">
        <v>-582666.4</v>
      </c>
      <c r="I474">
        <v>-501657.73</v>
      </c>
    </row>
    <row r="475" spans="1:9" x14ac:dyDescent="0.3">
      <c r="A475" t="s">
        <v>186</v>
      </c>
      <c r="B475" t="s">
        <v>97</v>
      </c>
      <c r="C475" t="s">
        <v>165</v>
      </c>
      <c r="E475">
        <v>13024.11</v>
      </c>
      <c r="F475">
        <v>14747.38</v>
      </c>
      <c r="G475">
        <v>7077.11</v>
      </c>
      <c r="H475">
        <v>2807.91</v>
      </c>
      <c r="I475">
        <v>5548.95</v>
      </c>
    </row>
    <row r="476" spans="1:9" x14ac:dyDescent="0.3">
      <c r="A476" t="s">
        <v>186</v>
      </c>
      <c r="B476" t="s">
        <v>97</v>
      </c>
      <c r="C476" t="s">
        <v>166</v>
      </c>
      <c r="E476">
        <v>3474967.02</v>
      </c>
      <c r="F476">
        <v>3884560.6</v>
      </c>
      <c r="G476">
        <v>2307557.6800000002</v>
      </c>
      <c r="H476">
        <v>2415704.65</v>
      </c>
      <c r="I476">
        <v>1885226.47</v>
      </c>
    </row>
    <row r="477" spans="1:9" x14ac:dyDescent="0.3">
      <c r="A477" t="s">
        <v>186</v>
      </c>
      <c r="B477" t="s">
        <v>97</v>
      </c>
      <c r="C477" t="s">
        <v>135</v>
      </c>
      <c r="E477">
        <v>442963.95</v>
      </c>
      <c r="F477">
        <v>434242.04</v>
      </c>
      <c r="G477">
        <v>315274.03999999998</v>
      </c>
      <c r="H477">
        <v>186923.08</v>
      </c>
      <c r="I477">
        <v>250895.07</v>
      </c>
    </row>
    <row r="478" spans="1:9" x14ac:dyDescent="0.3">
      <c r="A478" t="s">
        <v>186</v>
      </c>
      <c r="B478" t="s">
        <v>97</v>
      </c>
      <c r="C478" t="s">
        <v>136</v>
      </c>
      <c r="E478">
        <v>501569.79</v>
      </c>
      <c r="F478">
        <v>745840.42</v>
      </c>
      <c r="G478">
        <v>2101911.08</v>
      </c>
      <c r="H478">
        <v>1141631.48</v>
      </c>
      <c r="I478">
        <v>434536.63</v>
      </c>
    </row>
    <row r="479" spans="1:9" x14ac:dyDescent="0.3">
      <c r="A479" t="s">
        <v>186</v>
      </c>
      <c r="B479" t="s">
        <v>97</v>
      </c>
      <c r="C479" t="s">
        <v>138</v>
      </c>
      <c r="D479">
        <v>11693006.699999999</v>
      </c>
      <c r="E479">
        <v>6815192.8499999996</v>
      </c>
      <c r="F479">
        <v>5913636.5899999999</v>
      </c>
      <c r="G479">
        <v>6128752.0499999998</v>
      </c>
      <c r="H479">
        <v>5820665.9500000002</v>
      </c>
      <c r="I479">
        <v>5770162.3499999996</v>
      </c>
    </row>
    <row r="480" spans="1:9" x14ac:dyDescent="0.3">
      <c r="A480" t="s">
        <v>186</v>
      </c>
      <c r="B480" t="s">
        <v>97</v>
      </c>
      <c r="C480" t="s">
        <v>139</v>
      </c>
      <c r="D480">
        <v>-6695083.9299999997</v>
      </c>
      <c r="E480">
        <v>143392.06</v>
      </c>
      <c r="F480">
        <v>485208.83</v>
      </c>
      <c r="G480">
        <v>365808.58</v>
      </c>
      <c r="H480">
        <v>324216.77</v>
      </c>
      <c r="I480">
        <v>297165.3</v>
      </c>
    </row>
    <row r="481" spans="1:9" x14ac:dyDescent="0.3">
      <c r="A481" t="s">
        <v>186</v>
      </c>
      <c r="B481" t="s">
        <v>97</v>
      </c>
      <c r="C481" t="s">
        <v>140</v>
      </c>
      <c r="E481">
        <v>143392.06</v>
      </c>
      <c r="F481">
        <v>485208.83</v>
      </c>
      <c r="G481">
        <v>365808.58</v>
      </c>
      <c r="H481">
        <v>324216.77</v>
      </c>
      <c r="I481">
        <v>297165.3</v>
      </c>
    </row>
    <row r="482" spans="1:9" x14ac:dyDescent="0.3">
      <c r="A482" t="s">
        <v>186</v>
      </c>
      <c r="B482" t="s">
        <v>97</v>
      </c>
      <c r="C482" t="s">
        <v>141</v>
      </c>
      <c r="E482">
        <v>388591.92</v>
      </c>
      <c r="F482">
        <v>388591.92</v>
      </c>
      <c r="G482">
        <v>295059.71000000002</v>
      </c>
      <c r="H482">
        <v>295059.71000000002</v>
      </c>
      <c r="I482">
        <v>295059.71000000002</v>
      </c>
    </row>
    <row r="483" spans="1:9" x14ac:dyDescent="0.3">
      <c r="A483" t="s">
        <v>186</v>
      </c>
      <c r="B483" t="s">
        <v>97</v>
      </c>
      <c r="C483" t="s">
        <v>167</v>
      </c>
      <c r="E483">
        <v>15467.75</v>
      </c>
      <c r="F483">
        <v>15467.75</v>
      </c>
      <c r="G483">
        <v>0</v>
      </c>
      <c r="H483">
        <v>0</v>
      </c>
      <c r="I483">
        <v>0</v>
      </c>
    </row>
    <row r="484" spans="1:9" x14ac:dyDescent="0.3">
      <c r="A484" t="s">
        <v>186</v>
      </c>
      <c r="B484" t="s">
        <v>97</v>
      </c>
      <c r="C484" t="s">
        <v>142</v>
      </c>
      <c r="E484">
        <v>81149.16</v>
      </c>
      <c r="F484">
        <v>75789.289999999994</v>
      </c>
      <c r="G484">
        <v>77138.960000000006</v>
      </c>
      <c r="H484">
        <v>27482.01</v>
      </c>
      <c r="I484">
        <v>67390.09</v>
      </c>
    </row>
    <row r="485" spans="1:9" x14ac:dyDescent="0.3">
      <c r="A485" t="s">
        <v>186</v>
      </c>
      <c r="B485" t="s">
        <v>97</v>
      </c>
      <c r="C485" t="s">
        <v>143</v>
      </c>
      <c r="E485">
        <v>0</v>
      </c>
      <c r="F485">
        <v>0</v>
      </c>
      <c r="G485">
        <v>0</v>
      </c>
      <c r="H485">
        <v>17988.91</v>
      </c>
      <c r="I485">
        <v>11890.29</v>
      </c>
    </row>
    <row r="486" spans="1:9" x14ac:dyDescent="0.3">
      <c r="A486" t="s">
        <v>186</v>
      </c>
      <c r="B486" t="s">
        <v>97</v>
      </c>
      <c r="C486" t="s">
        <v>144</v>
      </c>
      <c r="E486">
        <v>-341816.77</v>
      </c>
      <c r="F486">
        <v>10400.280000000001</v>
      </c>
      <c r="G486">
        <v>41591.81</v>
      </c>
      <c r="H486">
        <v>27051.47</v>
      </c>
      <c r="I486">
        <v>12087.08</v>
      </c>
    </row>
    <row r="487" spans="1:9" x14ac:dyDescent="0.3">
      <c r="A487" t="s">
        <v>186</v>
      </c>
      <c r="B487" t="s">
        <v>97</v>
      </c>
      <c r="C487" t="s">
        <v>174</v>
      </c>
      <c r="E487">
        <v>0</v>
      </c>
      <c r="F487">
        <v>-5040.42</v>
      </c>
      <c r="G487">
        <v>-47981.9</v>
      </c>
      <c r="H487">
        <v>-43365.32</v>
      </c>
      <c r="I487">
        <v>-89261.87</v>
      </c>
    </row>
    <row r="488" spans="1:9" x14ac:dyDescent="0.3">
      <c r="A488" t="s">
        <v>186</v>
      </c>
      <c r="B488" t="s">
        <v>97</v>
      </c>
      <c r="C488" t="s">
        <v>145</v>
      </c>
      <c r="D488">
        <v>18388090.620000001</v>
      </c>
      <c r="E488">
        <v>6671800.7800000003</v>
      </c>
      <c r="F488">
        <v>5428427.7599999998</v>
      </c>
      <c r="G488">
        <v>5762943.46</v>
      </c>
      <c r="H488">
        <v>5496449.1799999997</v>
      </c>
      <c r="I488">
        <v>5472997.0499999998</v>
      </c>
    </row>
    <row r="489" spans="1:9" x14ac:dyDescent="0.3">
      <c r="A489" t="s">
        <v>186</v>
      </c>
      <c r="B489" t="s">
        <v>97</v>
      </c>
      <c r="C489" t="s">
        <v>146</v>
      </c>
      <c r="D489">
        <v>0</v>
      </c>
      <c r="E489">
        <v>5141129.5599999996</v>
      </c>
      <c r="F489">
        <v>4397938.1399999997</v>
      </c>
      <c r="G489">
        <v>3287339.61</v>
      </c>
      <c r="H489">
        <v>2341052.36</v>
      </c>
      <c r="I489">
        <v>315045.69</v>
      </c>
    </row>
    <row r="490" spans="1:9" x14ac:dyDescent="0.3">
      <c r="A490" t="s">
        <v>186</v>
      </c>
      <c r="B490" t="s">
        <v>97</v>
      </c>
      <c r="C490" t="s">
        <v>147</v>
      </c>
      <c r="E490">
        <v>5046625.0599999996</v>
      </c>
      <c r="F490">
        <v>4320121.46</v>
      </c>
      <c r="G490">
        <v>3211238.83</v>
      </c>
      <c r="H490">
        <v>2274402.7200000002</v>
      </c>
      <c r="I490">
        <v>261488.35</v>
      </c>
    </row>
    <row r="491" spans="1:9" x14ac:dyDescent="0.3">
      <c r="A491" t="s">
        <v>186</v>
      </c>
      <c r="B491" t="s">
        <v>97</v>
      </c>
      <c r="C491" t="s">
        <v>148</v>
      </c>
      <c r="E491">
        <v>94504.5</v>
      </c>
      <c r="F491">
        <v>77816.679999999993</v>
      </c>
      <c r="G491">
        <v>76100.78</v>
      </c>
      <c r="H491">
        <v>66649.649999999994</v>
      </c>
      <c r="I491">
        <v>53557.34</v>
      </c>
    </row>
    <row r="492" spans="1:9" x14ac:dyDescent="0.3">
      <c r="A492" t="s">
        <v>186</v>
      </c>
      <c r="B492" t="s">
        <v>97</v>
      </c>
      <c r="C492" t="s">
        <v>149</v>
      </c>
      <c r="D492">
        <v>18388090.620000001</v>
      </c>
      <c r="E492">
        <v>1530671.23</v>
      </c>
      <c r="F492">
        <v>1030489.62</v>
      </c>
      <c r="G492">
        <v>2475603.85</v>
      </c>
      <c r="H492">
        <v>3155396.81</v>
      </c>
      <c r="I492">
        <v>5157951.3600000003</v>
      </c>
    </row>
    <row r="493" spans="1:9" x14ac:dyDescent="0.3">
      <c r="A493" t="s">
        <v>186</v>
      </c>
      <c r="B493" t="s">
        <v>97</v>
      </c>
      <c r="C493" t="s">
        <v>169</v>
      </c>
      <c r="E493">
        <v>140267.16</v>
      </c>
      <c r="F493">
        <v>138000</v>
      </c>
      <c r="G493">
        <v>197757.37</v>
      </c>
      <c r="H493">
        <v>159757.37</v>
      </c>
      <c r="I493">
        <v>199757.37</v>
      </c>
    </row>
    <row r="494" spans="1:9" x14ac:dyDescent="0.3">
      <c r="A494" t="s">
        <v>186</v>
      </c>
      <c r="B494" t="s">
        <v>97</v>
      </c>
      <c r="C494" t="s">
        <v>150</v>
      </c>
      <c r="E494">
        <v>1336697.3999999999</v>
      </c>
      <c r="F494">
        <v>804783.93</v>
      </c>
      <c r="G494">
        <v>1868591.47</v>
      </c>
      <c r="H494">
        <v>2539475.35</v>
      </c>
      <c r="I494">
        <v>3543638.61</v>
      </c>
    </row>
    <row r="495" spans="1:9" x14ac:dyDescent="0.3">
      <c r="A495" t="s">
        <v>186</v>
      </c>
      <c r="B495" t="s">
        <v>97</v>
      </c>
      <c r="C495" t="s">
        <v>151</v>
      </c>
      <c r="E495">
        <v>1185560.8899999999</v>
      </c>
      <c r="F495">
        <v>661067.11</v>
      </c>
      <c r="G495">
        <v>1611221.43</v>
      </c>
      <c r="H495">
        <v>2175457.6800000002</v>
      </c>
      <c r="I495">
        <v>3368235.24</v>
      </c>
    </row>
    <row r="496" spans="1:9" x14ac:dyDescent="0.3">
      <c r="A496" t="s">
        <v>186</v>
      </c>
      <c r="B496" t="s">
        <v>97</v>
      </c>
      <c r="C496" t="s">
        <v>152</v>
      </c>
      <c r="E496">
        <v>151136.51</v>
      </c>
      <c r="F496">
        <v>143716.82</v>
      </c>
      <c r="G496">
        <v>257370.04</v>
      </c>
      <c r="H496">
        <v>364017.67</v>
      </c>
      <c r="I496">
        <v>175403.37</v>
      </c>
    </row>
    <row r="497" spans="1:9" x14ac:dyDescent="0.3">
      <c r="A497" t="s">
        <v>186</v>
      </c>
      <c r="B497" t="s">
        <v>97</v>
      </c>
      <c r="C497" t="s">
        <v>147</v>
      </c>
      <c r="E497">
        <v>47590.5</v>
      </c>
      <c r="F497">
        <v>60139.88</v>
      </c>
      <c r="G497">
        <v>120579.11</v>
      </c>
      <c r="H497">
        <v>107044.45</v>
      </c>
      <c r="I497">
        <v>57592.26</v>
      </c>
    </row>
    <row r="498" spans="1:9" x14ac:dyDescent="0.3">
      <c r="A498" t="s">
        <v>186</v>
      </c>
      <c r="B498" t="s">
        <v>97</v>
      </c>
      <c r="C498" t="s">
        <v>153</v>
      </c>
      <c r="E498">
        <v>5767.12</v>
      </c>
      <c r="F498">
        <v>17091.21</v>
      </c>
      <c r="G498">
        <v>267034.71000000002</v>
      </c>
      <c r="H498">
        <v>333965.68</v>
      </c>
      <c r="I498">
        <v>1353173.6</v>
      </c>
    </row>
    <row r="499" spans="1:9" x14ac:dyDescent="0.3">
      <c r="A499" t="s">
        <v>186</v>
      </c>
      <c r="B499" t="s">
        <v>97</v>
      </c>
      <c r="C499" t="s">
        <v>171</v>
      </c>
      <c r="E499">
        <v>349.04</v>
      </c>
      <c r="F499">
        <v>10474.61</v>
      </c>
      <c r="G499">
        <v>21641.200000000001</v>
      </c>
      <c r="H499">
        <v>15153.97</v>
      </c>
      <c r="I499">
        <v>3789.52</v>
      </c>
    </row>
    <row r="500" spans="1:9" x14ac:dyDescent="0.3">
      <c r="A500" t="s">
        <v>188</v>
      </c>
      <c r="B500" t="s">
        <v>97</v>
      </c>
      <c r="C500" t="s">
        <v>105</v>
      </c>
      <c r="D500">
        <v>8116912.2599999998</v>
      </c>
      <c r="E500">
        <v>6910340</v>
      </c>
      <c r="F500">
        <v>6003876.6399999997</v>
      </c>
      <c r="G500">
        <v>4728680.9000000004</v>
      </c>
      <c r="H500">
        <v>3956423.42</v>
      </c>
      <c r="I500">
        <v>3044942.87</v>
      </c>
    </row>
    <row r="501" spans="1:9" x14ac:dyDescent="0.3">
      <c r="A501" t="s">
        <v>188</v>
      </c>
      <c r="B501" t="s">
        <v>97</v>
      </c>
      <c r="C501" t="s">
        <v>155</v>
      </c>
      <c r="D501">
        <v>8116912.2599999998</v>
      </c>
      <c r="E501">
        <v>6910340</v>
      </c>
      <c r="F501">
        <v>6003876.6399999997</v>
      </c>
      <c r="G501">
        <v>4728680.9000000004</v>
      </c>
      <c r="H501">
        <v>3956423.42</v>
      </c>
      <c r="I501">
        <v>3044942.87</v>
      </c>
    </row>
    <row r="502" spans="1:9" x14ac:dyDescent="0.3">
      <c r="A502" t="s">
        <v>188</v>
      </c>
      <c r="B502" t="s">
        <v>97</v>
      </c>
      <c r="C502" t="s">
        <v>107</v>
      </c>
      <c r="D502">
        <v>69089.52</v>
      </c>
      <c r="E502">
        <v>55977.52</v>
      </c>
      <c r="F502">
        <v>56467.48</v>
      </c>
      <c r="G502">
        <v>50107.72</v>
      </c>
      <c r="H502">
        <v>49181.83</v>
      </c>
      <c r="I502">
        <v>61158.2</v>
      </c>
    </row>
    <row r="503" spans="1:9" x14ac:dyDescent="0.3">
      <c r="A503" t="s">
        <v>188</v>
      </c>
      <c r="B503" t="s">
        <v>97</v>
      </c>
      <c r="C503" t="s">
        <v>108</v>
      </c>
      <c r="D503">
        <v>72312.97</v>
      </c>
      <c r="E503">
        <v>66315.539999999994</v>
      </c>
      <c r="F503">
        <v>156907.35999999999</v>
      </c>
      <c r="G503">
        <v>60897.14</v>
      </c>
      <c r="H503">
        <v>52953.16</v>
      </c>
      <c r="I503">
        <v>50595.74</v>
      </c>
    </row>
    <row r="504" spans="1:9" x14ac:dyDescent="0.3">
      <c r="A504" t="s">
        <v>188</v>
      </c>
      <c r="B504" t="s">
        <v>97</v>
      </c>
      <c r="C504" t="s">
        <v>156</v>
      </c>
      <c r="D504">
        <v>153052.43</v>
      </c>
      <c r="E504">
        <v>137973.78</v>
      </c>
      <c r="F504">
        <v>117198.12</v>
      </c>
      <c r="G504">
        <v>100789.79</v>
      </c>
      <c r="H504">
        <v>89556.13</v>
      </c>
      <c r="I504">
        <v>92255.34</v>
      </c>
    </row>
    <row r="505" spans="1:9" x14ac:dyDescent="0.3">
      <c r="A505" t="s">
        <v>188</v>
      </c>
      <c r="B505" t="s">
        <v>97</v>
      </c>
      <c r="C505" t="s">
        <v>157</v>
      </c>
      <c r="D505">
        <v>645.86</v>
      </c>
      <c r="E505">
        <v>812.82</v>
      </c>
      <c r="F505">
        <v>745.96</v>
      </c>
      <c r="G505">
        <v>352.51</v>
      </c>
      <c r="H505">
        <v>354.99</v>
      </c>
      <c r="I505">
        <v>982.37</v>
      </c>
    </row>
    <row r="506" spans="1:9" x14ac:dyDescent="0.3">
      <c r="A506" t="s">
        <v>188</v>
      </c>
      <c r="B506" t="s">
        <v>97</v>
      </c>
      <c r="C506" t="s">
        <v>158</v>
      </c>
      <c r="D506">
        <v>-1082.45</v>
      </c>
      <c r="E506">
        <v>-911.8</v>
      </c>
      <c r="F506">
        <v>-680.13</v>
      </c>
      <c r="G506">
        <v>-735.44</v>
      </c>
      <c r="H506">
        <v>-552.83000000000004</v>
      </c>
      <c r="I506">
        <v>-1317.25</v>
      </c>
    </row>
    <row r="507" spans="1:9" x14ac:dyDescent="0.3">
      <c r="A507" t="s">
        <v>188</v>
      </c>
      <c r="B507" t="s">
        <v>97</v>
      </c>
      <c r="C507" t="s">
        <v>106</v>
      </c>
      <c r="D507">
        <v>8077180.7699999996</v>
      </c>
      <c r="E507">
        <v>6829030</v>
      </c>
      <c r="F507">
        <v>5586705.8700000001</v>
      </c>
      <c r="G507">
        <v>4363998.1100000003</v>
      </c>
      <c r="H507">
        <v>3558902.35</v>
      </c>
      <c r="I507">
        <v>2771097.14</v>
      </c>
    </row>
    <row r="508" spans="1:9" x14ac:dyDescent="0.3">
      <c r="A508" t="s">
        <v>188</v>
      </c>
      <c r="B508" t="s">
        <v>97</v>
      </c>
      <c r="C508" t="s">
        <v>109</v>
      </c>
      <c r="D508">
        <v>8326.18</v>
      </c>
      <c r="E508">
        <v>22493.42</v>
      </c>
      <c r="F508">
        <v>17560.8</v>
      </c>
      <c r="G508">
        <v>28309.01</v>
      </c>
      <c r="H508">
        <v>84626.76</v>
      </c>
      <c r="I508">
        <v>6316.54</v>
      </c>
    </row>
    <row r="509" spans="1:9" x14ac:dyDescent="0.3">
      <c r="A509" t="s">
        <v>188</v>
      </c>
      <c r="B509" t="s">
        <v>97</v>
      </c>
      <c r="C509" t="s">
        <v>113</v>
      </c>
      <c r="D509">
        <v>-264778.46000000002</v>
      </c>
      <c r="E509">
        <v>-203175.11</v>
      </c>
      <c r="F509">
        <v>67610.92</v>
      </c>
      <c r="G509">
        <v>123491.18</v>
      </c>
      <c r="H509">
        <v>120295.37</v>
      </c>
      <c r="I509">
        <v>61220.29</v>
      </c>
    </row>
    <row r="510" spans="1:9" x14ac:dyDescent="0.3">
      <c r="A510" t="s">
        <v>188</v>
      </c>
      <c r="B510" t="s">
        <v>97</v>
      </c>
      <c r="C510" t="s">
        <v>114</v>
      </c>
      <c r="D510">
        <v>-256452.28</v>
      </c>
      <c r="E510">
        <v>-180681.69</v>
      </c>
      <c r="F510">
        <v>85171.73</v>
      </c>
      <c r="G510">
        <v>151800.19</v>
      </c>
      <c r="H510">
        <v>204922.13</v>
      </c>
      <c r="I510">
        <v>67536.83</v>
      </c>
    </row>
    <row r="511" spans="1:9" x14ac:dyDescent="0.3">
      <c r="A511" t="s">
        <v>188</v>
      </c>
      <c r="B511" t="s">
        <v>97</v>
      </c>
      <c r="C511" t="s">
        <v>115</v>
      </c>
      <c r="D511">
        <v>-1727.49</v>
      </c>
      <c r="E511">
        <v>-1233.8800000000001</v>
      </c>
      <c r="F511">
        <v>-723.41</v>
      </c>
      <c r="G511">
        <v>-630.08000000000004</v>
      </c>
      <c r="H511">
        <v>-998.94</v>
      </c>
      <c r="I511">
        <v>-710.75</v>
      </c>
    </row>
    <row r="512" spans="1:9" x14ac:dyDescent="0.3">
      <c r="A512" t="s">
        <v>188</v>
      </c>
      <c r="B512" t="s">
        <v>97</v>
      </c>
      <c r="C512" t="s">
        <v>118</v>
      </c>
      <c r="D512">
        <v>1727.49</v>
      </c>
      <c r="E512">
        <v>1233.8800000000001</v>
      </c>
      <c r="F512">
        <v>723.41</v>
      </c>
      <c r="G512">
        <v>630.08000000000004</v>
      </c>
      <c r="H512">
        <v>998.94</v>
      </c>
      <c r="I512">
        <v>710.75</v>
      </c>
    </row>
    <row r="513" spans="1:9" x14ac:dyDescent="0.3">
      <c r="A513" t="s">
        <v>188</v>
      </c>
      <c r="B513" t="s">
        <v>97</v>
      </c>
      <c r="C513" t="s">
        <v>159</v>
      </c>
      <c r="D513">
        <v>1727.49</v>
      </c>
      <c r="E513">
        <v>1233.8800000000001</v>
      </c>
      <c r="F513">
        <v>723.41</v>
      </c>
      <c r="G513">
        <v>630.08000000000004</v>
      </c>
      <c r="H513">
        <v>998.94</v>
      </c>
      <c r="I513">
        <v>710.75</v>
      </c>
    </row>
    <row r="514" spans="1:9" x14ac:dyDescent="0.3">
      <c r="A514" t="s">
        <v>188</v>
      </c>
      <c r="B514" t="s">
        <v>97</v>
      </c>
      <c r="C514" t="s">
        <v>120</v>
      </c>
      <c r="D514">
        <v>381611.24</v>
      </c>
      <c r="E514">
        <v>363876.87</v>
      </c>
      <c r="F514">
        <v>202119.67999999999</v>
      </c>
      <c r="G514">
        <v>75546.740000000005</v>
      </c>
      <c r="H514">
        <v>59178.92</v>
      </c>
      <c r="I514">
        <v>44340.51</v>
      </c>
    </row>
    <row r="515" spans="1:9" x14ac:dyDescent="0.3">
      <c r="A515" t="s">
        <v>188</v>
      </c>
      <c r="B515" t="s">
        <v>97</v>
      </c>
      <c r="C515" t="s">
        <v>121</v>
      </c>
      <c r="D515">
        <v>386303.81</v>
      </c>
      <c r="E515">
        <v>368427</v>
      </c>
      <c r="F515">
        <v>206757.08</v>
      </c>
      <c r="G515">
        <v>79826.19</v>
      </c>
      <c r="H515">
        <v>62552.34</v>
      </c>
      <c r="I515">
        <v>48662.38</v>
      </c>
    </row>
    <row r="516" spans="1:9" x14ac:dyDescent="0.3">
      <c r="A516" t="s">
        <v>188</v>
      </c>
      <c r="B516" t="s">
        <v>97</v>
      </c>
      <c r="C516" t="s">
        <v>122</v>
      </c>
      <c r="D516">
        <v>4692.5600000000004</v>
      </c>
      <c r="E516">
        <v>4550.13</v>
      </c>
      <c r="F516">
        <v>4637.3999999999996</v>
      </c>
      <c r="G516">
        <v>4279.45</v>
      </c>
      <c r="H516">
        <v>3373.42</v>
      </c>
      <c r="I516">
        <v>4321.87</v>
      </c>
    </row>
    <row r="517" spans="1:9" x14ac:dyDescent="0.3">
      <c r="A517" t="s">
        <v>188</v>
      </c>
      <c r="B517" t="s">
        <v>97</v>
      </c>
      <c r="C517" t="s">
        <v>123</v>
      </c>
      <c r="D517">
        <v>115105.29</v>
      </c>
      <c r="E517">
        <v>159473.56</v>
      </c>
      <c r="F517">
        <v>269007.19</v>
      </c>
      <c r="G517">
        <v>198407.84</v>
      </c>
      <c r="H517">
        <v>178475.35</v>
      </c>
      <c r="I517">
        <v>104850.05</v>
      </c>
    </row>
    <row r="518" spans="1:9" x14ac:dyDescent="0.3">
      <c r="A518" t="s">
        <v>188</v>
      </c>
      <c r="B518" t="s">
        <v>97</v>
      </c>
      <c r="C518" t="s">
        <v>124</v>
      </c>
      <c r="D518">
        <v>-50958.8</v>
      </c>
      <c r="E518">
        <v>-57717.56</v>
      </c>
      <c r="F518">
        <v>-95757.7</v>
      </c>
      <c r="G518">
        <v>-60648.85</v>
      </c>
      <c r="H518">
        <v>-57660.93</v>
      </c>
      <c r="I518">
        <v>-35649.019999999997</v>
      </c>
    </row>
    <row r="519" spans="1:9" x14ac:dyDescent="0.3">
      <c r="A519" t="s">
        <v>188</v>
      </c>
      <c r="B519" t="s">
        <v>97</v>
      </c>
      <c r="C519" t="s">
        <v>125</v>
      </c>
      <c r="D519">
        <v>64146.49</v>
      </c>
      <c r="E519">
        <v>101756</v>
      </c>
      <c r="F519">
        <v>173249.49</v>
      </c>
      <c r="G519">
        <v>137758.99</v>
      </c>
      <c r="H519">
        <v>120814.42</v>
      </c>
      <c r="I519">
        <v>69201.03</v>
      </c>
    </row>
    <row r="520" spans="1:9" x14ac:dyDescent="0.3">
      <c r="A520" t="s">
        <v>188</v>
      </c>
      <c r="B520" t="s">
        <v>97</v>
      </c>
      <c r="C520" t="s">
        <v>126</v>
      </c>
      <c r="D520">
        <v>64146.49</v>
      </c>
      <c r="E520">
        <v>101756</v>
      </c>
      <c r="F520">
        <v>173249.49</v>
      </c>
      <c r="G520">
        <v>137758.99</v>
      </c>
      <c r="H520">
        <v>120814.42</v>
      </c>
      <c r="I520">
        <v>69201.03</v>
      </c>
    </row>
    <row r="521" spans="1:9" x14ac:dyDescent="0.3">
      <c r="A521" t="s">
        <v>188</v>
      </c>
      <c r="B521" t="s">
        <v>97</v>
      </c>
      <c r="C521" t="s">
        <v>127</v>
      </c>
      <c r="D521">
        <v>3512480.17</v>
      </c>
      <c r="E521">
        <v>3206220</v>
      </c>
      <c r="F521">
        <v>3223520.33</v>
      </c>
      <c r="G521">
        <v>2462599.71</v>
      </c>
      <c r="H521">
        <v>1924170.91</v>
      </c>
      <c r="I521">
        <v>1261817.76</v>
      </c>
    </row>
    <row r="522" spans="1:9" x14ac:dyDescent="0.3">
      <c r="A522" t="s">
        <v>188</v>
      </c>
      <c r="B522" t="s">
        <v>97</v>
      </c>
      <c r="C522" t="s">
        <v>128</v>
      </c>
      <c r="D522">
        <v>106868.18</v>
      </c>
      <c r="E522">
        <v>110661.17</v>
      </c>
      <c r="F522">
        <v>101326.83</v>
      </c>
      <c r="G522">
        <v>103978.5</v>
      </c>
      <c r="H522">
        <v>102979.61</v>
      </c>
      <c r="I522">
        <v>88587.07</v>
      </c>
    </row>
    <row r="523" spans="1:9" x14ac:dyDescent="0.3">
      <c r="A523" t="s">
        <v>188</v>
      </c>
      <c r="B523" t="s">
        <v>97</v>
      </c>
      <c r="C523" t="s">
        <v>129</v>
      </c>
      <c r="D523">
        <v>66186.55</v>
      </c>
      <c r="E523">
        <v>69972.990000000005</v>
      </c>
      <c r="F523">
        <v>64799.839999999997</v>
      </c>
      <c r="G523">
        <v>102528.92</v>
      </c>
      <c r="H523">
        <v>101556.92</v>
      </c>
      <c r="I523">
        <v>86069.45</v>
      </c>
    </row>
    <row r="524" spans="1:9" x14ac:dyDescent="0.3">
      <c r="A524" t="s">
        <v>188</v>
      </c>
      <c r="B524" t="s">
        <v>97</v>
      </c>
      <c r="C524" t="s">
        <v>178</v>
      </c>
      <c r="D524">
        <v>39762.480000000003</v>
      </c>
      <c r="E524">
        <v>39054.97</v>
      </c>
      <c r="F524">
        <v>35331.74</v>
      </c>
      <c r="G524">
        <v>873.6</v>
      </c>
      <c r="H524">
        <v>873.6</v>
      </c>
      <c r="I524">
        <v>1968.53</v>
      </c>
    </row>
    <row r="525" spans="1:9" x14ac:dyDescent="0.3">
      <c r="A525" t="s">
        <v>188</v>
      </c>
      <c r="B525" t="s">
        <v>97</v>
      </c>
      <c r="C525" t="s">
        <v>179</v>
      </c>
      <c r="D525">
        <v>39762.480000000003</v>
      </c>
      <c r="E525">
        <v>39054.97</v>
      </c>
      <c r="F525">
        <v>35331.74</v>
      </c>
      <c r="G525">
        <v>873.6</v>
      </c>
      <c r="H525">
        <v>873.6</v>
      </c>
      <c r="I525">
        <v>1968.53</v>
      </c>
    </row>
    <row r="526" spans="1:9" x14ac:dyDescent="0.3">
      <c r="A526" t="s">
        <v>188</v>
      </c>
      <c r="B526" t="s">
        <v>97</v>
      </c>
      <c r="C526" t="s">
        <v>161</v>
      </c>
      <c r="D526">
        <v>919.15</v>
      </c>
      <c r="E526">
        <v>1633.21</v>
      </c>
      <c r="F526">
        <v>1195.25</v>
      </c>
      <c r="G526">
        <v>575.98</v>
      </c>
      <c r="H526">
        <v>549.09</v>
      </c>
      <c r="I526">
        <v>549.09</v>
      </c>
    </row>
    <row r="527" spans="1:9" x14ac:dyDescent="0.3">
      <c r="A527" t="s">
        <v>188</v>
      </c>
      <c r="B527" t="s">
        <v>97</v>
      </c>
      <c r="C527" t="s">
        <v>132</v>
      </c>
      <c r="D527">
        <v>3405611.99</v>
      </c>
      <c r="E527">
        <v>3095551.72</v>
      </c>
      <c r="F527">
        <v>3122193.51</v>
      </c>
      <c r="G527">
        <v>2358621.2200000002</v>
      </c>
      <c r="H527">
        <v>1821191.29</v>
      </c>
      <c r="I527">
        <v>1173230.68</v>
      </c>
    </row>
    <row r="528" spans="1:9" x14ac:dyDescent="0.3">
      <c r="A528" t="s">
        <v>188</v>
      </c>
      <c r="B528" t="s">
        <v>97</v>
      </c>
      <c r="C528" t="s">
        <v>133</v>
      </c>
      <c r="D528">
        <v>465964.14</v>
      </c>
      <c r="E528">
        <v>517850.13</v>
      </c>
      <c r="F528">
        <v>437201.52</v>
      </c>
      <c r="G528">
        <v>95185.75</v>
      </c>
      <c r="H528">
        <v>171284.66</v>
      </c>
      <c r="I528">
        <v>86103.93</v>
      </c>
    </row>
    <row r="529" spans="1:9" x14ac:dyDescent="0.3">
      <c r="A529" t="s">
        <v>188</v>
      </c>
      <c r="B529" t="s">
        <v>97</v>
      </c>
      <c r="C529" t="s">
        <v>162</v>
      </c>
      <c r="D529">
        <v>536965.21</v>
      </c>
      <c r="E529">
        <v>558677</v>
      </c>
      <c r="F529">
        <v>491674.69</v>
      </c>
      <c r="G529">
        <v>281167.64</v>
      </c>
      <c r="H529">
        <v>306170.49</v>
      </c>
      <c r="I529">
        <v>311118.34999999998</v>
      </c>
    </row>
    <row r="530" spans="1:9" x14ac:dyDescent="0.3">
      <c r="A530" t="s">
        <v>188</v>
      </c>
      <c r="B530" t="s">
        <v>97</v>
      </c>
      <c r="C530" t="s">
        <v>134</v>
      </c>
      <c r="D530">
        <v>12363.16</v>
      </c>
      <c r="E530">
        <v>34005.839999999997</v>
      </c>
      <c r="F530">
        <v>32190.57</v>
      </c>
      <c r="G530">
        <v>2682.19</v>
      </c>
      <c r="H530">
        <v>2974.95</v>
      </c>
      <c r="I530">
        <v>3157.26</v>
      </c>
    </row>
    <row r="531" spans="1:9" x14ac:dyDescent="0.3">
      <c r="A531" t="s">
        <v>188</v>
      </c>
      <c r="B531" t="s">
        <v>97</v>
      </c>
      <c r="C531" t="s">
        <v>164</v>
      </c>
      <c r="D531">
        <v>-128874.07</v>
      </c>
      <c r="E531">
        <v>-146077</v>
      </c>
      <c r="F531">
        <v>-132865.93</v>
      </c>
      <c r="G531">
        <v>-225068</v>
      </c>
      <c r="H531">
        <v>-163169.44</v>
      </c>
      <c r="I531">
        <v>-248297.75</v>
      </c>
    </row>
    <row r="532" spans="1:9" x14ac:dyDescent="0.3">
      <c r="A532" t="s">
        <v>188</v>
      </c>
      <c r="B532" t="s">
        <v>97</v>
      </c>
      <c r="C532" t="s">
        <v>165</v>
      </c>
      <c r="D532">
        <v>45509.84</v>
      </c>
      <c r="E532">
        <v>71244.27</v>
      </c>
      <c r="F532">
        <v>46202.19</v>
      </c>
      <c r="G532">
        <v>36403.919999999998</v>
      </c>
      <c r="H532">
        <v>25308.66</v>
      </c>
      <c r="I532">
        <v>20126.07</v>
      </c>
    </row>
    <row r="533" spans="1:9" x14ac:dyDescent="0.3">
      <c r="A533" t="s">
        <v>188</v>
      </c>
      <c r="B533" t="s">
        <v>97</v>
      </c>
      <c r="C533" t="s">
        <v>166</v>
      </c>
      <c r="D533">
        <v>19649.96</v>
      </c>
      <c r="E533">
        <v>40346.870000000003</v>
      </c>
      <c r="F533">
        <v>74198.5</v>
      </c>
      <c r="G533">
        <v>56220.47</v>
      </c>
      <c r="H533">
        <v>49685.66</v>
      </c>
      <c r="I533">
        <v>19203.36</v>
      </c>
    </row>
    <row r="534" spans="1:9" x14ac:dyDescent="0.3">
      <c r="A534" t="s">
        <v>188</v>
      </c>
      <c r="B534" t="s">
        <v>97</v>
      </c>
      <c r="C534" t="s">
        <v>135</v>
      </c>
      <c r="D534">
        <v>2779217.09</v>
      </c>
      <c r="E534">
        <v>2468610</v>
      </c>
      <c r="F534">
        <v>2577011.34</v>
      </c>
      <c r="G534">
        <v>1840919.54</v>
      </c>
      <c r="H534">
        <v>835746.93</v>
      </c>
      <c r="I534">
        <v>787889.74</v>
      </c>
    </row>
    <row r="535" spans="1:9" x14ac:dyDescent="0.3">
      <c r="A535" t="s">
        <v>188</v>
      </c>
      <c r="B535" t="s">
        <v>97</v>
      </c>
      <c r="C535" t="s">
        <v>136</v>
      </c>
      <c r="D535">
        <v>140780.79999999999</v>
      </c>
      <c r="E535">
        <v>68744.72</v>
      </c>
      <c r="F535">
        <v>33782.14</v>
      </c>
      <c r="G535">
        <v>366295.46</v>
      </c>
      <c r="H535">
        <v>764474.05</v>
      </c>
      <c r="I535">
        <v>280033.65000000002</v>
      </c>
    </row>
    <row r="536" spans="1:9" x14ac:dyDescent="0.3">
      <c r="A536" t="s">
        <v>188</v>
      </c>
      <c r="B536" t="s">
        <v>97</v>
      </c>
      <c r="C536" t="s">
        <v>138</v>
      </c>
      <c r="D536">
        <v>3512480.17</v>
      </c>
      <c r="E536">
        <v>3206218</v>
      </c>
      <c r="F536">
        <v>3223520.33</v>
      </c>
      <c r="G536">
        <v>2462599.71</v>
      </c>
      <c r="H536">
        <v>1924170.91</v>
      </c>
      <c r="I536">
        <v>1261817.76</v>
      </c>
    </row>
    <row r="537" spans="1:9" x14ac:dyDescent="0.3">
      <c r="A537" t="s">
        <v>188</v>
      </c>
      <c r="B537" t="s">
        <v>97</v>
      </c>
      <c r="C537" t="s">
        <v>139</v>
      </c>
      <c r="D537">
        <v>322845.86</v>
      </c>
      <c r="E537">
        <v>355158</v>
      </c>
      <c r="F537">
        <v>413939.42</v>
      </c>
      <c r="G537">
        <v>373448.45</v>
      </c>
      <c r="H537">
        <v>301503.88</v>
      </c>
      <c r="I537">
        <v>227634.35</v>
      </c>
    </row>
    <row r="538" spans="1:9" x14ac:dyDescent="0.3">
      <c r="A538" t="s">
        <v>188</v>
      </c>
      <c r="B538" t="s">
        <v>97</v>
      </c>
      <c r="C538" t="s">
        <v>140</v>
      </c>
      <c r="D538">
        <v>322845.86</v>
      </c>
      <c r="E538">
        <v>355158</v>
      </c>
      <c r="F538">
        <v>413939.42</v>
      </c>
      <c r="G538">
        <v>373448.45</v>
      </c>
      <c r="H538">
        <v>301503.88</v>
      </c>
      <c r="I538">
        <v>227634.35</v>
      </c>
    </row>
    <row r="539" spans="1:9" x14ac:dyDescent="0.3">
      <c r="A539" t="s">
        <v>188</v>
      </c>
      <c r="B539" t="s">
        <v>97</v>
      </c>
      <c r="C539" t="s">
        <v>141</v>
      </c>
      <c r="D539">
        <v>9318.9699999999993</v>
      </c>
      <c r="E539">
        <v>9318.9699999999993</v>
      </c>
      <c r="F539">
        <v>9318.9699999999993</v>
      </c>
      <c r="G539">
        <v>9318.9699999999993</v>
      </c>
      <c r="H539">
        <v>9318.9699999999993</v>
      </c>
      <c r="I539">
        <v>9318.9699999999993</v>
      </c>
    </row>
    <row r="540" spans="1:9" x14ac:dyDescent="0.3">
      <c r="A540" t="s">
        <v>188</v>
      </c>
      <c r="B540" t="s">
        <v>97</v>
      </c>
      <c r="C540" t="s">
        <v>167</v>
      </c>
      <c r="D540">
        <v>19013.900000000001</v>
      </c>
      <c r="E540">
        <v>19013.900000000001</v>
      </c>
      <c r="F540">
        <v>19013.900000000001</v>
      </c>
      <c r="G540">
        <v>19013.900000000001</v>
      </c>
      <c r="H540">
        <v>19013.900000000001</v>
      </c>
      <c r="I540">
        <v>19013.900000000001</v>
      </c>
    </row>
    <row r="541" spans="1:9" x14ac:dyDescent="0.3">
      <c r="A541" t="s">
        <v>188</v>
      </c>
      <c r="B541" t="s">
        <v>97</v>
      </c>
      <c r="C541" t="s">
        <v>142</v>
      </c>
      <c r="D541">
        <v>165542.71</v>
      </c>
      <c r="E541">
        <v>160245</v>
      </c>
      <c r="F541">
        <v>157745.45000000001</v>
      </c>
      <c r="G541">
        <v>152744.98000000001</v>
      </c>
      <c r="H541">
        <v>97744.98</v>
      </c>
      <c r="I541">
        <v>87744.98</v>
      </c>
    </row>
    <row r="542" spans="1:9" x14ac:dyDescent="0.3">
      <c r="A542" t="s">
        <v>188</v>
      </c>
      <c r="B542" t="s">
        <v>97</v>
      </c>
      <c r="C542" t="s">
        <v>144</v>
      </c>
      <c r="D542">
        <v>64146.49</v>
      </c>
      <c r="E542">
        <v>101756</v>
      </c>
      <c r="F542">
        <v>173249.49</v>
      </c>
      <c r="G542">
        <v>137758.99</v>
      </c>
      <c r="H542">
        <v>120814.42</v>
      </c>
      <c r="I542">
        <v>69201.03</v>
      </c>
    </row>
    <row r="543" spans="1:9" x14ac:dyDescent="0.3">
      <c r="A543" t="s">
        <v>188</v>
      </c>
      <c r="B543" t="s">
        <v>97</v>
      </c>
      <c r="C543" t="s">
        <v>174</v>
      </c>
      <c r="D543">
        <v>64823.78</v>
      </c>
      <c r="E543">
        <v>64823.78</v>
      </c>
      <c r="F543">
        <v>54611.6</v>
      </c>
      <c r="G543">
        <v>54611.6</v>
      </c>
      <c r="H543">
        <v>54611.6</v>
      </c>
      <c r="I543">
        <v>42355.46</v>
      </c>
    </row>
    <row r="544" spans="1:9" x14ac:dyDescent="0.3">
      <c r="A544" t="s">
        <v>188</v>
      </c>
      <c r="B544" t="s">
        <v>97</v>
      </c>
      <c r="C544" t="s">
        <v>145</v>
      </c>
      <c r="D544">
        <v>3189634.31</v>
      </c>
      <c r="E544">
        <v>2851060</v>
      </c>
      <c r="F544">
        <v>2809580.91</v>
      </c>
      <c r="G544">
        <v>2089151.26</v>
      </c>
      <c r="H544">
        <v>1622667.03</v>
      </c>
      <c r="I544">
        <v>1034183.41</v>
      </c>
    </row>
    <row r="545" spans="1:9" x14ac:dyDescent="0.3">
      <c r="A545" t="s">
        <v>188</v>
      </c>
      <c r="B545" t="s">
        <v>97</v>
      </c>
      <c r="C545" t="s">
        <v>146</v>
      </c>
      <c r="D545">
        <v>1681038.94</v>
      </c>
      <c r="E545">
        <v>1547632.13</v>
      </c>
      <c r="F545">
        <v>1308884.3400000001</v>
      </c>
      <c r="G545">
        <v>1010339.86</v>
      </c>
      <c r="H545">
        <v>604893.54</v>
      </c>
      <c r="I545">
        <v>43276.25</v>
      </c>
    </row>
    <row r="546" spans="1:9" x14ac:dyDescent="0.3">
      <c r="A546" t="s">
        <v>188</v>
      </c>
      <c r="B546" t="s">
        <v>97</v>
      </c>
      <c r="C546" t="s">
        <v>147</v>
      </c>
      <c r="D546">
        <v>1680893.38</v>
      </c>
      <c r="E546">
        <v>1547510</v>
      </c>
      <c r="F546">
        <v>1308851.3799999999</v>
      </c>
      <c r="G546">
        <v>1010124.38</v>
      </c>
      <c r="H546">
        <v>604291.54</v>
      </c>
      <c r="I546">
        <v>42671.88</v>
      </c>
    </row>
    <row r="547" spans="1:9" x14ac:dyDescent="0.3">
      <c r="A547" t="s">
        <v>188</v>
      </c>
      <c r="B547" t="s">
        <v>97</v>
      </c>
      <c r="C547" t="s">
        <v>148</v>
      </c>
      <c r="D547">
        <v>145.56</v>
      </c>
      <c r="E547">
        <v>122.13</v>
      </c>
      <c r="F547">
        <v>32.96</v>
      </c>
      <c r="G547">
        <v>215.48</v>
      </c>
      <c r="H547">
        <v>602</v>
      </c>
      <c r="I547">
        <v>604.37</v>
      </c>
    </row>
    <row r="548" spans="1:9" x14ac:dyDescent="0.3">
      <c r="A548" t="s">
        <v>188</v>
      </c>
      <c r="B548" t="s">
        <v>97</v>
      </c>
      <c r="C548" t="s">
        <v>149</v>
      </c>
      <c r="D548">
        <v>1508595.38</v>
      </c>
      <c r="E548">
        <v>1303419.92</v>
      </c>
      <c r="F548">
        <v>1500696.56</v>
      </c>
      <c r="G548">
        <v>1078811.4099999999</v>
      </c>
      <c r="H548">
        <v>1017773.49</v>
      </c>
      <c r="I548">
        <v>990907.16</v>
      </c>
    </row>
    <row r="549" spans="1:9" x14ac:dyDescent="0.3">
      <c r="A549" t="s">
        <v>188</v>
      </c>
      <c r="B549" t="s">
        <v>97</v>
      </c>
      <c r="C549" t="s">
        <v>150</v>
      </c>
      <c r="D549">
        <v>1282704.25</v>
      </c>
      <c r="E549">
        <v>1086740</v>
      </c>
      <c r="F549">
        <v>1330586.72</v>
      </c>
      <c r="G549">
        <v>916908.52</v>
      </c>
      <c r="H549">
        <v>627957.93000000005</v>
      </c>
      <c r="I549">
        <v>936023.57</v>
      </c>
    </row>
    <row r="550" spans="1:9" x14ac:dyDescent="0.3">
      <c r="A550" t="s">
        <v>188</v>
      </c>
      <c r="B550" t="s">
        <v>97</v>
      </c>
      <c r="C550" t="s">
        <v>151</v>
      </c>
      <c r="D550">
        <v>899865.28</v>
      </c>
      <c r="E550">
        <v>782019</v>
      </c>
      <c r="F550">
        <v>956272.63</v>
      </c>
      <c r="G550">
        <v>852472.07</v>
      </c>
      <c r="H550">
        <v>556302.57999999996</v>
      </c>
      <c r="I550">
        <v>883034.71</v>
      </c>
    </row>
    <row r="551" spans="1:9" x14ac:dyDescent="0.3">
      <c r="A551" t="s">
        <v>188</v>
      </c>
      <c r="B551" t="s">
        <v>97</v>
      </c>
      <c r="C551" t="s">
        <v>152</v>
      </c>
      <c r="D551">
        <v>382838.97</v>
      </c>
      <c r="E551">
        <v>304723.31</v>
      </c>
      <c r="F551">
        <v>374314.09</v>
      </c>
      <c r="G551">
        <v>64436.44</v>
      </c>
      <c r="H551">
        <v>71655.350000000006</v>
      </c>
      <c r="I551">
        <v>52988.86</v>
      </c>
    </row>
    <row r="552" spans="1:9" x14ac:dyDescent="0.3">
      <c r="A552" t="s">
        <v>188</v>
      </c>
      <c r="B552" t="s">
        <v>97</v>
      </c>
      <c r="C552" t="s">
        <v>147</v>
      </c>
      <c r="D552">
        <v>12571.65</v>
      </c>
      <c r="E552">
        <v>13219.41</v>
      </c>
      <c r="F552">
        <v>11182.74</v>
      </c>
      <c r="G552">
        <v>9563.2999999999993</v>
      </c>
      <c r="H552">
        <v>299786.33</v>
      </c>
      <c r="I552">
        <v>11090.52</v>
      </c>
    </row>
    <row r="553" spans="1:9" x14ac:dyDescent="0.3">
      <c r="A553" t="s">
        <v>188</v>
      </c>
      <c r="B553" t="s">
        <v>97</v>
      </c>
      <c r="C553" t="s">
        <v>153</v>
      </c>
      <c r="D553">
        <v>146688.57999999999</v>
      </c>
      <c r="E553">
        <v>131209.87</v>
      </c>
      <c r="F553">
        <v>49248.17</v>
      </c>
      <c r="G553">
        <v>82532.33</v>
      </c>
      <c r="H553">
        <v>24579.13</v>
      </c>
      <c r="I553">
        <v>1513.85</v>
      </c>
    </row>
    <row r="554" spans="1:9" x14ac:dyDescent="0.3">
      <c r="A554" t="s">
        <v>188</v>
      </c>
      <c r="B554" t="s">
        <v>97</v>
      </c>
      <c r="C554" t="s">
        <v>171</v>
      </c>
      <c r="D554">
        <v>66630.899999999994</v>
      </c>
      <c r="E554">
        <v>72250.64</v>
      </c>
      <c r="F554">
        <v>109678.93</v>
      </c>
      <c r="G554">
        <v>69807.259999999995</v>
      </c>
      <c r="H554">
        <v>65450.1</v>
      </c>
      <c r="I554">
        <v>42279.22</v>
      </c>
    </row>
    <row r="555" spans="1:9" x14ac:dyDescent="0.3">
      <c r="A555" t="s">
        <v>189</v>
      </c>
      <c r="B555" t="s">
        <v>97</v>
      </c>
      <c r="C555" t="s">
        <v>105</v>
      </c>
      <c r="D555">
        <v>11370698.98</v>
      </c>
      <c r="E555">
        <v>10367524.26</v>
      </c>
      <c r="F555">
        <v>8565360.6500000004</v>
      </c>
      <c r="G555">
        <v>7149457.8799999999</v>
      </c>
      <c r="H555">
        <v>5305091.5599999996</v>
      </c>
      <c r="I555">
        <v>3964937.47</v>
      </c>
    </row>
    <row r="556" spans="1:9" x14ac:dyDescent="0.3">
      <c r="A556" t="s">
        <v>189</v>
      </c>
      <c r="B556" t="s">
        <v>97</v>
      </c>
      <c r="C556" t="s">
        <v>155</v>
      </c>
      <c r="D556">
        <v>11370698.98</v>
      </c>
      <c r="E556">
        <v>10367524.26</v>
      </c>
      <c r="F556">
        <v>8565360.6500000004</v>
      </c>
      <c r="G556">
        <v>7149457.8799999999</v>
      </c>
      <c r="H556">
        <v>5305091.5599999996</v>
      </c>
      <c r="I556">
        <v>3964937.47</v>
      </c>
    </row>
    <row r="557" spans="1:9" x14ac:dyDescent="0.3">
      <c r="A557" t="s">
        <v>189</v>
      </c>
      <c r="B557" t="s">
        <v>97</v>
      </c>
      <c r="C557" t="s">
        <v>107</v>
      </c>
      <c r="D557">
        <v>269.93</v>
      </c>
      <c r="E557">
        <v>683.56</v>
      </c>
      <c r="F557">
        <v>297.52</v>
      </c>
      <c r="G557">
        <v>225.69</v>
      </c>
      <c r="H557">
        <v>232.83</v>
      </c>
      <c r="I557">
        <v>213.18</v>
      </c>
    </row>
    <row r="558" spans="1:9" x14ac:dyDescent="0.3">
      <c r="A558" t="s">
        <v>189</v>
      </c>
      <c r="B558" t="s">
        <v>97</v>
      </c>
      <c r="C558" t="s">
        <v>108</v>
      </c>
      <c r="D558">
        <v>147904.67000000001</v>
      </c>
      <c r="E558">
        <v>161396.04</v>
      </c>
      <c r="F558">
        <v>102795.99</v>
      </c>
      <c r="G558">
        <v>86236.3</v>
      </c>
      <c r="H558">
        <v>51735.82</v>
      </c>
      <c r="I558">
        <v>58427.57</v>
      </c>
    </row>
    <row r="559" spans="1:9" x14ac:dyDescent="0.3">
      <c r="A559" t="s">
        <v>189</v>
      </c>
      <c r="B559" t="s">
        <v>97</v>
      </c>
      <c r="C559" t="s">
        <v>156</v>
      </c>
      <c r="D559">
        <v>350921.24</v>
      </c>
      <c r="E559">
        <v>321134.96000000002</v>
      </c>
      <c r="F559">
        <v>176100.31</v>
      </c>
      <c r="G559">
        <v>133317.63</v>
      </c>
      <c r="H559">
        <v>109999.49</v>
      </c>
      <c r="I559">
        <v>95510.36</v>
      </c>
    </row>
    <row r="560" spans="1:9" x14ac:dyDescent="0.3">
      <c r="A560" t="s">
        <v>189</v>
      </c>
      <c r="B560" t="s">
        <v>97</v>
      </c>
      <c r="C560" t="s">
        <v>157</v>
      </c>
      <c r="D560">
        <v>1657.89</v>
      </c>
      <c r="E560">
        <v>3714.72</v>
      </c>
      <c r="F560">
        <v>1482.42</v>
      </c>
      <c r="G560">
        <v>1524.17</v>
      </c>
      <c r="H560">
        <v>516.74</v>
      </c>
      <c r="I560">
        <v>1828.83</v>
      </c>
    </row>
    <row r="561" spans="1:9" x14ac:dyDescent="0.3">
      <c r="A561" t="s">
        <v>189</v>
      </c>
      <c r="B561" t="s">
        <v>97</v>
      </c>
      <c r="C561" t="s">
        <v>158</v>
      </c>
      <c r="D561">
        <v>-3741.32</v>
      </c>
      <c r="E561">
        <v>-3357.96</v>
      </c>
      <c r="F561">
        <v>-2357.33</v>
      </c>
      <c r="G561">
        <v>-764.71</v>
      </c>
      <c r="H561">
        <v>-558.61</v>
      </c>
      <c r="I561">
        <v>-463.58</v>
      </c>
    </row>
    <row r="562" spans="1:9" x14ac:dyDescent="0.3">
      <c r="A562" t="s">
        <v>189</v>
      </c>
      <c r="B562" t="s">
        <v>97</v>
      </c>
      <c r="C562" t="s">
        <v>106</v>
      </c>
      <c r="D562">
        <v>11636073.26</v>
      </c>
      <c r="E562">
        <v>10097319.32</v>
      </c>
      <c r="F562">
        <v>8683309.8399999999</v>
      </c>
      <c r="G562">
        <v>6760520.7699999996</v>
      </c>
      <c r="H562">
        <v>4901269.5599999996</v>
      </c>
      <c r="I562">
        <v>3703637.14</v>
      </c>
    </row>
    <row r="563" spans="1:9" x14ac:dyDescent="0.3">
      <c r="A563" t="s">
        <v>189</v>
      </c>
      <c r="B563" t="s">
        <v>97</v>
      </c>
      <c r="C563" t="s">
        <v>109</v>
      </c>
      <c r="D563">
        <v>59163.57</v>
      </c>
      <c r="E563">
        <v>147336.62</v>
      </c>
      <c r="F563">
        <v>91680.18</v>
      </c>
      <c r="G563">
        <v>56841.49</v>
      </c>
      <c r="H563">
        <v>92805.27</v>
      </c>
      <c r="I563">
        <v>50608.6</v>
      </c>
    </row>
    <row r="564" spans="1:9" x14ac:dyDescent="0.3">
      <c r="A564" t="s">
        <v>189</v>
      </c>
      <c r="B564" t="s">
        <v>97</v>
      </c>
      <c r="C564" t="s">
        <v>113</v>
      </c>
      <c r="D564">
        <v>-829032.91</v>
      </c>
      <c r="E564">
        <v>-367418.92</v>
      </c>
      <c r="F564">
        <v>-492736.08</v>
      </c>
      <c r="G564">
        <v>95431.679999999993</v>
      </c>
      <c r="H564">
        <v>134877.76999999999</v>
      </c>
      <c r="I564">
        <v>54248.21</v>
      </c>
    </row>
    <row r="565" spans="1:9" x14ac:dyDescent="0.3">
      <c r="A565" t="s">
        <v>189</v>
      </c>
      <c r="B565" t="s">
        <v>97</v>
      </c>
      <c r="C565" t="s">
        <v>114</v>
      </c>
      <c r="D565">
        <v>-769869.34</v>
      </c>
      <c r="E565">
        <v>-220082.29</v>
      </c>
      <c r="F565">
        <v>-401055.9</v>
      </c>
      <c r="G565">
        <v>152273.18</v>
      </c>
      <c r="H565">
        <v>227683.04</v>
      </c>
      <c r="I565">
        <v>104856.81</v>
      </c>
    </row>
    <row r="566" spans="1:9" x14ac:dyDescent="0.3">
      <c r="A566" t="s">
        <v>189</v>
      </c>
      <c r="B566" t="s">
        <v>97</v>
      </c>
      <c r="C566" t="s">
        <v>115</v>
      </c>
      <c r="D566">
        <v>-89581.13</v>
      </c>
      <c r="E566">
        <v>-73138.22</v>
      </c>
      <c r="F566">
        <v>-66419.77</v>
      </c>
      <c r="G566">
        <v>-55111.63</v>
      </c>
      <c r="H566">
        <v>-43927.65</v>
      </c>
      <c r="I566">
        <v>-30353.51</v>
      </c>
    </row>
    <row r="567" spans="1:9" x14ac:dyDescent="0.3">
      <c r="A567" t="s">
        <v>189</v>
      </c>
      <c r="B567" t="s">
        <v>97</v>
      </c>
      <c r="C567" t="s">
        <v>118</v>
      </c>
      <c r="D567">
        <v>89581.13</v>
      </c>
      <c r="E567">
        <v>73138.22</v>
      </c>
      <c r="F567">
        <v>66419.77</v>
      </c>
      <c r="G567">
        <v>55111.63</v>
      </c>
      <c r="H567">
        <v>43927.65</v>
      </c>
      <c r="I567">
        <v>30353.51</v>
      </c>
    </row>
    <row r="568" spans="1:9" x14ac:dyDescent="0.3">
      <c r="A568" t="s">
        <v>189</v>
      </c>
      <c r="B568" t="s">
        <v>97</v>
      </c>
      <c r="C568" t="s">
        <v>159</v>
      </c>
      <c r="D568">
        <v>37540.75</v>
      </c>
      <c r="E568">
        <v>52674.87</v>
      </c>
      <c r="F568">
        <v>42654.47</v>
      </c>
      <c r="G568">
        <v>34448.11</v>
      </c>
      <c r="H568">
        <v>43927.65</v>
      </c>
      <c r="I568">
        <v>30353.51</v>
      </c>
    </row>
    <row r="569" spans="1:9" x14ac:dyDescent="0.3">
      <c r="A569" t="s">
        <v>189</v>
      </c>
      <c r="B569" t="s">
        <v>97</v>
      </c>
      <c r="C569" t="s">
        <v>119</v>
      </c>
      <c r="D569">
        <v>52040.38</v>
      </c>
      <c r="E569">
        <v>20463.349999999999</v>
      </c>
      <c r="F569">
        <v>23765.3</v>
      </c>
      <c r="G569">
        <v>0</v>
      </c>
      <c r="H569">
        <v>0</v>
      </c>
      <c r="I569">
        <v>0</v>
      </c>
    </row>
    <row r="570" spans="1:9" x14ac:dyDescent="0.3">
      <c r="A570" t="s">
        <v>189</v>
      </c>
      <c r="B570" t="s">
        <v>97</v>
      </c>
      <c r="C570" t="s">
        <v>120</v>
      </c>
      <c r="D570">
        <v>232226.58</v>
      </c>
      <c r="E570">
        <v>224153.35</v>
      </c>
      <c r="F570">
        <v>125445.48</v>
      </c>
      <c r="G570">
        <v>47029.09</v>
      </c>
      <c r="H570">
        <v>27424.080000000002</v>
      </c>
      <c r="I570">
        <v>17556.88</v>
      </c>
    </row>
    <row r="571" spans="1:9" x14ac:dyDescent="0.3">
      <c r="A571" t="s">
        <v>189</v>
      </c>
      <c r="B571" t="s">
        <v>97</v>
      </c>
      <c r="C571" t="s">
        <v>121</v>
      </c>
      <c r="D571">
        <v>262501.24</v>
      </c>
      <c r="E571">
        <v>255899.96</v>
      </c>
      <c r="F571">
        <v>155167.73000000001</v>
      </c>
      <c r="G571">
        <v>72660.58</v>
      </c>
      <c r="H571">
        <v>58087.48</v>
      </c>
      <c r="I571">
        <v>39012.54</v>
      </c>
    </row>
    <row r="572" spans="1:9" x14ac:dyDescent="0.3">
      <c r="A572" t="s">
        <v>189</v>
      </c>
      <c r="B572" t="s">
        <v>97</v>
      </c>
      <c r="C572" t="s">
        <v>122</v>
      </c>
      <c r="D572">
        <v>30274.65</v>
      </c>
      <c r="E572">
        <v>31746.61</v>
      </c>
      <c r="F572">
        <v>29722.25</v>
      </c>
      <c r="G572">
        <v>25631.49</v>
      </c>
      <c r="H572">
        <v>30663.4</v>
      </c>
      <c r="I572">
        <v>21455.65</v>
      </c>
    </row>
    <row r="573" spans="1:9" x14ac:dyDescent="0.3">
      <c r="A573" t="s">
        <v>189</v>
      </c>
      <c r="B573" t="s">
        <v>97</v>
      </c>
      <c r="C573" t="s">
        <v>123</v>
      </c>
      <c r="D573">
        <v>-686387.46</v>
      </c>
      <c r="E573">
        <v>-216403.79</v>
      </c>
      <c r="F573">
        <v>-433710.37</v>
      </c>
      <c r="G573">
        <v>87349.14</v>
      </c>
      <c r="H573">
        <v>118374.19</v>
      </c>
      <c r="I573">
        <v>41451.58</v>
      </c>
    </row>
    <row r="574" spans="1:9" x14ac:dyDescent="0.3">
      <c r="A574" t="s">
        <v>189</v>
      </c>
      <c r="B574" t="s">
        <v>97</v>
      </c>
      <c r="C574" t="s">
        <v>124</v>
      </c>
      <c r="D574">
        <v>-243034.31</v>
      </c>
      <c r="E574">
        <v>70019.19</v>
      </c>
      <c r="F574">
        <v>138342.63</v>
      </c>
      <c r="G574">
        <v>-20854.810000000001</v>
      </c>
      <c r="H574">
        <v>-40425.089999999997</v>
      </c>
      <c r="I574">
        <v>-15863.5</v>
      </c>
    </row>
    <row r="575" spans="1:9" x14ac:dyDescent="0.3">
      <c r="A575" t="s">
        <v>189</v>
      </c>
      <c r="B575" t="s">
        <v>97</v>
      </c>
      <c r="C575" t="s">
        <v>125</v>
      </c>
      <c r="D575">
        <v>-929421.77</v>
      </c>
      <c r="E575">
        <v>-146384.6</v>
      </c>
      <c r="F575">
        <v>-295367.73</v>
      </c>
      <c r="G575">
        <v>66494.33</v>
      </c>
      <c r="H575">
        <v>77949.100000000006</v>
      </c>
      <c r="I575">
        <v>25588.07</v>
      </c>
    </row>
    <row r="576" spans="1:9" x14ac:dyDescent="0.3">
      <c r="A576" t="s">
        <v>189</v>
      </c>
      <c r="B576" t="s">
        <v>97</v>
      </c>
      <c r="C576" t="s">
        <v>126</v>
      </c>
      <c r="D576">
        <v>-929421.77</v>
      </c>
      <c r="E576">
        <v>-146384.6</v>
      </c>
      <c r="F576">
        <v>-295367.73</v>
      </c>
      <c r="G576">
        <v>66494.33</v>
      </c>
      <c r="H576">
        <v>77949.100000000006</v>
      </c>
      <c r="I576">
        <v>25588.07</v>
      </c>
    </row>
    <row r="577" spans="1:9" x14ac:dyDescent="0.3">
      <c r="A577" t="s">
        <v>189</v>
      </c>
      <c r="B577" t="s">
        <v>97</v>
      </c>
      <c r="C577" t="s">
        <v>127</v>
      </c>
      <c r="D577">
        <v>2255814.71</v>
      </c>
      <c r="E577">
        <v>2686151.83</v>
      </c>
      <c r="F577">
        <v>2469215.7200000002</v>
      </c>
      <c r="G577">
        <v>2577187.6</v>
      </c>
      <c r="H577">
        <v>2189434.23</v>
      </c>
      <c r="I577">
        <v>2401035.59</v>
      </c>
    </row>
    <row r="578" spans="1:9" x14ac:dyDescent="0.3">
      <c r="A578" t="s">
        <v>189</v>
      </c>
      <c r="B578" t="s">
        <v>97</v>
      </c>
      <c r="C578" t="s">
        <v>128</v>
      </c>
      <c r="D578">
        <v>141829.1</v>
      </c>
      <c r="E578">
        <v>683595.55</v>
      </c>
      <c r="F578">
        <v>573306.51</v>
      </c>
      <c r="G578">
        <v>122196.03</v>
      </c>
      <c r="H578">
        <v>80126.039999999994</v>
      </c>
      <c r="I578">
        <v>348189.22</v>
      </c>
    </row>
    <row r="579" spans="1:9" x14ac:dyDescent="0.3">
      <c r="A579" t="s">
        <v>189</v>
      </c>
      <c r="B579" t="s">
        <v>97</v>
      </c>
      <c r="C579" t="s">
        <v>129</v>
      </c>
      <c r="D579">
        <v>13528.35</v>
      </c>
      <c r="E579">
        <v>13282.46</v>
      </c>
      <c r="F579">
        <v>29085.52</v>
      </c>
      <c r="G579">
        <v>28350.58</v>
      </c>
      <c r="H579">
        <v>29372.15</v>
      </c>
      <c r="I579">
        <v>33264.589999999997</v>
      </c>
    </row>
    <row r="580" spans="1:9" x14ac:dyDescent="0.3">
      <c r="A580" t="s">
        <v>189</v>
      </c>
      <c r="B580" t="s">
        <v>97</v>
      </c>
      <c r="C580" t="s">
        <v>160</v>
      </c>
      <c r="D580">
        <v>44095.1</v>
      </c>
      <c r="E580">
        <v>32800.31</v>
      </c>
      <c r="F580">
        <v>23158.47</v>
      </c>
      <c r="G580">
        <v>18084.62</v>
      </c>
      <c r="H580">
        <v>15135.16</v>
      </c>
      <c r="I580">
        <v>11181.45</v>
      </c>
    </row>
    <row r="581" spans="1:9" x14ac:dyDescent="0.3">
      <c r="A581" t="s">
        <v>189</v>
      </c>
      <c r="B581" t="s">
        <v>97</v>
      </c>
      <c r="C581" t="s">
        <v>161</v>
      </c>
      <c r="D581">
        <v>25181.64</v>
      </c>
      <c r="E581">
        <v>264441.95</v>
      </c>
      <c r="F581">
        <v>183400.74</v>
      </c>
      <c r="G581">
        <v>75760.83</v>
      </c>
      <c r="H581">
        <v>35618.730000000003</v>
      </c>
      <c r="I581">
        <v>34070.82</v>
      </c>
    </row>
    <row r="582" spans="1:9" x14ac:dyDescent="0.3">
      <c r="A582" t="s">
        <v>189</v>
      </c>
      <c r="B582" t="s">
        <v>97</v>
      </c>
      <c r="C582" t="s">
        <v>131</v>
      </c>
      <c r="D582">
        <v>59024.01</v>
      </c>
      <c r="E582">
        <v>373070.83</v>
      </c>
      <c r="F582">
        <v>337661.78</v>
      </c>
      <c r="G582">
        <v>0</v>
      </c>
      <c r="H582">
        <v>0</v>
      </c>
      <c r="I582">
        <v>269672.34999999998</v>
      </c>
    </row>
    <row r="583" spans="1:9" x14ac:dyDescent="0.3">
      <c r="A583" t="s">
        <v>189</v>
      </c>
      <c r="B583" t="s">
        <v>97</v>
      </c>
      <c r="C583" t="s">
        <v>132</v>
      </c>
      <c r="D583">
        <v>2113985.61</v>
      </c>
      <c r="E583">
        <v>2002556.28</v>
      </c>
      <c r="F583">
        <v>1895909.21</v>
      </c>
      <c r="G583">
        <v>2146043.4700000002</v>
      </c>
      <c r="H583">
        <v>1828097.49</v>
      </c>
      <c r="I583">
        <v>2052846.37</v>
      </c>
    </row>
    <row r="584" spans="1:9" x14ac:dyDescent="0.3">
      <c r="A584" t="s">
        <v>189</v>
      </c>
      <c r="B584" t="s">
        <v>97</v>
      </c>
      <c r="C584" t="s">
        <v>133</v>
      </c>
      <c r="D584">
        <v>1298433.31</v>
      </c>
      <c r="E584">
        <v>1167590.32</v>
      </c>
      <c r="F584">
        <v>1005934.93</v>
      </c>
      <c r="G584">
        <v>1056094.04</v>
      </c>
      <c r="H584">
        <v>948946.24</v>
      </c>
      <c r="I584">
        <v>1506734.89</v>
      </c>
    </row>
    <row r="585" spans="1:9" x14ac:dyDescent="0.3">
      <c r="A585" t="s">
        <v>189</v>
      </c>
      <c r="B585" t="s">
        <v>97</v>
      </c>
      <c r="C585" t="s">
        <v>162</v>
      </c>
      <c r="D585">
        <v>1612529.74</v>
      </c>
      <c r="E585">
        <v>1554460.09</v>
      </c>
      <c r="F585">
        <v>1304846.31</v>
      </c>
      <c r="G585">
        <v>1341310.45</v>
      </c>
      <c r="H585">
        <v>1187154.08</v>
      </c>
      <c r="I585">
        <v>1663275.35</v>
      </c>
    </row>
    <row r="586" spans="1:9" x14ac:dyDescent="0.3">
      <c r="A586" t="s">
        <v>189</v>
      </c>
      <c r="B586" t="s">
        <v>97</v>
      </c>
      <c r="C586" t="s">
        <v>163</v>
      </c>
      <c r="D586">
        <v>35562.75</v>
      </c>
      <c r="E586">
        <v>48467.46</v>
      </c>
      <c r="F586">
        <v>29712.3</v>
      </c>
      <c r="G586">
        <v>35443.660000000003</v>
      </c>
      <c r="H586">
        <v>41292.57</v>
      </c>
      <c r="I586">
        <v>45241.51</v>
      </c>
    </row>
    <row r="587" spans="1:9" x14ac:dyDescent="0.3">
      <c r="A587" t="s">
        <v>189</v>
      </c>
      <c r="B587" t="s">
        <v>97</v>
      </c>
      <c r="C587" t="s">
        <v>134</v>
      </c>
      <c r="D587">
        <v>85543.2</v>
      </c>
      <c r="E587">
        <v>20021.52</v>
      </c>
      <c r="F587">
        <v>19059.13</v>
      </c>
      <c r="G587">
        <v>7966.13</v>
      </c>
      <c r="H587">
        <v>7777.26</v>
      </c>
      <c r="I587">
        <v>5098.4799999999996</v>
      </c>
    </row>
    <row r="588" spans="1:9" x14ac:dyDescent="0.3">
      <c r="A588" t="s">
        <v>189</v>
      </c>
      <c r="B588" t="s">
        <v>97</v>
      </c>
      <c r="C588" t="s">
        <v>164</v>
      </c>
      <c r="D588">
        <v>-455999.33</v>
      </c>
      <c r="E588">
        <v>-467828.66</v>
      </c>
      <c r="F588">
        <v>-385572.3</v>
      </c>
      <c r="G588">
        <v>-328769.84999999998</v>
      </c>
      <c r="H588">
        <v>-287315.12</v>
      </c>
      <c r="I588">
        <v>-206983.89</v>
      </c>
    </row>
    <row r="589" spans="1:9" x14ac:dyDescent="0.3">
      <c r="A589" t="s">
        <v>189</v>
      </c>
      <c r="B589" t="s">
        <v>97</v>
      </c>
      <c r="C589" t="s">
        <v>165</v>
      </c>
      <c r="D589">
        <v>20796.96</v>
      </c>
      <c r="E589">
        <v>12469.91</v>
      </c>
      <c r="F589">
        <v>37889.49</v>
      </c>
      <c r="G589">
        <v>143.65</v>
      </c>
      <c r="H589">
        <v>37.450000000000003</v>
      </c>
      <c r="I589">
        <v>103.44</v>
      </c>
    </row>
    <row r="590" spans="1:9" x14ac:dyDescent="0.3">
      <c r="A590" t="s">
        <v>189</v>
      </c>
      <c r="B590" t="s">
        <v>97</v>
      </c>
      <c r="C590" t="s">
        <v>166</v>
      </c>
      <c r="D590">
        <v>8654.77</v>
      </c>
      <c r="E590">
        <v>6037.44</v>
      </c>
      <c r="F590">
        <v>9835</v>
      </c>
      <c r="G590">
        <v>11445.51</v>
      </c>
      <c r="H590">
        <v>6602.54</v>
      </c>
      <c r="I590">
        <v>6099.57</v>
      </c>
    </row>
    <row r="591" spans="1:9" x14ac:dyDescent="0.3">
      <c r="A591" t="s">
        <v>189</v>
      </c>
      <c r="B591" t="s">
        <v>97</v>
      </c>
      <c r="C591" t="s">
        <v>135</v>
      </c>
      <c r="D591">
        <v>677203.56</v>
      </c>
      <c r="E591">
        <v>618955.53</v>
      </c>
      <c r="F591">
        <v>641380.35</v>
      </c>
      <c r="G591">
        <v>211796.99</v>
      </c>
      <c r="H591">
        <v>218279.44</v>
      </c>
      <c r="I591">
        <v>200294.33</v>
      </c>
    </row>
    <row r="592" spans="1:9" x14ac:dyDescent="0.3">
      <c r="A592" t="s">
        <v>189</v>
      </c>
      <c r="B592" t="s">
        <v>97</v>
      </c>
      <c r="C592" t="s">
        <v>136</v>
      </c>
      <c r="D592">
        <v>129693.97</v>
      </c>
      <c r="E592">
        <v>209972.99</v>
      </c>
      <c r="F592">
        <v>238758.93</v>
      </c>
      <c r="G592">
        <v>866706.93</v>
      </c>
      <c r="H592">
        <v>654269.27</v>
      </c>
      <c r="I592">
        <v>339717.58</v>
      </c>
    </row>
    <row r="593" spans="1:9" x14ac:dyDescent="0.3">
      <c r="A593" t="s">
        <v>189</v>
      </c>
      <c r="B593" t="s">
        <v>97</v>
      </c>
      <c r="C593" t="s">
        <v>138</v>
      </c>
      <c r="D593">
        <v>2255814.71</v>
      </c>
      <c r="E593">
        <v>2686151.83</v>
      </c>
      <c r="F593">
        <v>2469215.7200000002</v>
      </c>
      <c r="G593">
        <v>2577187.6</v>
      </c>
      <c r="H593">
        <v>2189434.23</v>
      </c>
      <c r="I593">
        <v>2401035.59</v>
      </c>
    </row>
    <row r="594" spans="1:9" x14ac:dyDescent="0.3">
      <c r="A594" t="s">
        <v>189</v>
      </c>
      <c r="B594" t="s">
        <v>97</v>
      </c>
      <c r="C594" t="s">
        <v>139</v>
      </c>
      <c r="D594">
        <v>-998128.14</v>
      </c>
      <c r="E594">
        <v>-68773.539999999994</v>
      </c>
      <c r="F594">
        <v>76356.22</v>
      </c>
      <c r="G594">
        <v>372682.14</v>
      </c>
      <c r="H594">
        <v>306387.15999999997</v>
      </c>
      <c r="I594">
        <v>228897.59</v>
      </c>
    </row>
    <row r="595" spans="1:9" x14ac:dyDescent="0.3">
      <c r="A595" t="s">
        <v>189</v>
      </c>
      <c r="B595" t="s">
        <v>97</v>
      </c>
      <c r="C595" t="s">
        <v>140</v>
      </c>
      <c r="D595">
        <v>-998128.14</v>
      </c>
      <c r="E595">
        <v>-68773.539999999994</v>
      </c>
      <c r="F595">
        <v>76356.22</v>
      </c>
      <c r="G595">
        <v>372682.14</v>
      </c>
      <c r="H595">
        <v>306387.15999999997</v>
      </c>
      <c r="I595">
        <v>228897.59</v>
      </c>
    </row>
    <row r="596" spans="1:9" x14ac:dyDescent="0.3">
      <c r="A596" t="s">
        <v>189</v>
      </c>
      <c r="B596" t="s">
        <v>97</v>
      </c>
      <c r="C596" t="s">
        <v>141</v>
      </c>
      <c r="D596">
        <v>33550.769999999997</v>
      </c>
      <c r="E596">
        <v>33550.769999999997</v>
      </c>
      <c r="F596">
        <v>33550.769999999997</v>
      </c>
      <c r="G596">
        <v>33550.769999999997</v>
      </c>
      <c r="H596">
        <v>33550.769999999997</v>
      </c>
      <c r="I596">
        <v>33550.769999999997</v>
      </c>
    </row>
    <row r="597" spans="1:9" x14ac:dyDescent="0.3">
      <c r="A597" t="s">
        <v>189</v>
      </c>
      <c r="B597" t="s">
        <v>97</v>
      </c>
      <c r="C597" t="s">
        <v>167</v>
      </c>
      <c r="D597">
        <v>170515.72</v>
      </c>
      <c r="E597">
        <v>170515.72</v>
      </c>
      <c r="F597">
        <v>170515.72</v>
      </c>
      <c r="G597">
        <v>170515.72</v>
      </c>
      <c r="H597">
        <v>170515.72</v>
      </c>
      <c r="I597">
        <v>170515.72</v>
      </c>
    </row>
    <row r="598" spans="1:9" x14ac:dyDescent="0.3">
      <c r="A598" t="s">
        <v>189</v>
      </c>
      <c r="B598" t="s">
        <v>97</v>
      </c>
      <c r="C598" t="s">
        <v>142</v>
      </c>
      <c r="D598">
        <v>169855.88</v>
      </c>
      <c r="E598">
        <v>169855.88</v>
      </c>
      <c r="F598">
        <v>169855.88</v>
      </c>
      <c r="G598">
        <v>103384.04</v>
      </c>
      <c r="H598">
        <v>26195.02</v>
      </c>
      <c r="I598">
        <v>1192.01</v>
      </c>
    </row>
    <row r="599" spans="1:9" x14ac:dyDescent="0.3">
      <c r="A599" t="s">
        <v>189</v>
      </c>
      <c r="B599" t="s">
        <v>97</v>
      </c>
      <c r="C599" t="s">
        <v>143</v>
      </c>
      <c r="D599">
        <v>-441743.05</v>
      </c>
      <c r="E599">
        <v>-295264.01</v>
      </c>
      <c r="F599">
        <v>107.45</v>
      </c>
      <c r="G599">
        <v>77.31</v>
      </c>
      <c r="H599">
        <v>-679.14</v>
      </c>
      <c r="I599">
        <v>-1322.4</v>
      </c>
    </row>
    <row r="600" spans="1:9" x14ac:dyDescent="0.3">
      <c r="A600" t="s">
        <v>189</v>
      </c>
      <c r="B600" t="s">
        <v>97</v>
      </c>
      <c r="C600" t="s">
        <v>144</v>
      </c>
      <c r="D600">
        <v>-929421.77</v>
      </c>
      <c r="E600">
        <v>-146384.6</v>
      </c>
      <c r="F600">
        <v>-295367.73</v>
      </c>
      <c r="G600">
        <v>66494.33</v>
      </c>
      <c r="H600">
        <v>77949.100000000006</v>
      </c>
      <c r="I600">
        <v>25588.07</v>
      </c>
    </row>
    <row r="601" spans="1:9" x14ac:dyDescent="0.3">
      <c r="A601" t="s">
        <v>189</v>
      </c>
      <c r="B601" t="s">
        <v>97</v>
      </c>
      <c r="C601" t="s">
        <v>174</v>
      </c>
      <c r="D601">
        <v>-885.69</v>
      </c>
      <c r="E601">
        <v>-1047.3</v>
      </c>
      <c r="F601">
        <v>-2305.86</v>
      </c>
      <c r="G601">
        <v>-1340.03</v>
      </c>
      <c r="H601">
        <v>-1144.32</v>
      </c>
      <c r="I601">
        <v>-626.58000000000004</v>
      </c>
    </row>
    <row r="602" spans="1:9" x14ac:dyDescent="0.3">
      <c r="A602" t="s">
        <v>189</v>
      </c>
      <c r="B602" t="s">
        <v>97</v>
      </c>
      <c r="C602" t="s">
        <v>145</v>
      </c>
      <c r="D602">
        <v>3253942.85</v>
      </c>
      <c r="E602">
        <v>2754925.37</v>
      </c>
      <c r="F602">
        <v>2392859.5</v>
      </c>
      <c r="G602">
        <v>2204505.46</v>
      </c>
      <c r="H602">
        <v>1883047.08</v>
      </c>
      <c r="I602">
        <v>2172138</v>
      </c>
    </row>
    <row r="603" spans="1:9" x14ac:dyDescent="0.3">
      <c r="A603" t="s">
        <v>189</v>
      </c>
      <c r="B603" t="s">
        <v>97</v>
      </c>
      <c r="C603" t="s">
        <v>146</v>
      </c>
      <c r="D603">
        <v>776054.31</v>
      </c>
      <c r="E603">
        <v>471920.37</v>
      </c>
      <c r="F603">
        <v>492878.06</v>
      </c>
      <c r="G603">
        <v>285761.03000000003</v>
      </c>
      <c r="H603">
        <v>94287.66</v>
      </c>
      <c r="I603">
        <v>12520.85</v>
      </c>
    </row>
    <row r="604" spans="1:9" x14ac:dyDescent="0.3">
      <c r="A604" t="s">
        <v>189</v>
      </c>
      <c r="B604" t="s">
        <v>97</v>
      </c>
      <c r="C604" t="s">
        <v>147</v>
      </c>
      <c r="D604">
        <v>775816.7</v>
      </c>
      <c r="E604">
        <v>471647.76</v>
      </c>
      <c r="F604">
        <v>492618.64</v>
      </c>
      <c r="G604">
        <v>285653.61</v>
      </c>
      <c r="H604">
        <v>94287.66</v>
      </c>
      <c r="I604">
        <v>12520.85</v>
      </c>
    </row>
    <row r="605" spans="1:9" x14ac:dyDescent="0.3">
      <c r="A605" t="s">
        <v>189</v>
      </c>
      <c r="B605" t="s">
        <v>97</v>
      </c>
      <c r="C605" t="s">
        <v>148</v>
      </c>
      <c r="D605">
        <v>237.61</v>
      </c>
      <c r="E605">
        <v>272.61</v>
      </c>
      <c r="F605">
        <v>259.42</v>
      </c>
      <c r="G605">
        <v>107.42</v>
      </c>
      <c r="H605">
        <v>0</v>
      </c>
      <c r="I605">
        <v>0</v>
      </c>
    </row>
    <row r="606" spans="1:9" x14ac:dyDescent="0.3">
      <c r="A606" t="s">
        <v>189</v>
      </c>
      <c r="B606" t="s">
        <v>97</v>
      </c>
      <c r="C606" t="s">
        <v>149</v>
      </c>
      <c r="D606">
        <v>2477888.5499999998</v>
      </c>
      <c r="E606">
        <v>2283005</v>
      </c>
      <c r="F606">
        <v>1899981.44</v>
      </c>
      <c r="G606">
        <v>1918744.43</v>
      </c>
      <c r="H606">
        <v>1788759.42</v>
      </c>
      <c r="I606">
        <v>2159617.14</v>
      </c>
    </row>
    <row r="607" spans="1:9" x14ac:dyDescent="0.3">
      <c r="A607" t="s">
        <v>189</v>
      </c>
      <c r="B607" t="s">
        <v>97</v>
      </c>
      <c r="C607" t="s">
        <v>169</v>
      </c>
      <c r="D607">
        <v>76722.52</v>
      </c>
      <c r="E607">
        <v>437965.52</v>
      </c>
      <c r="F607">
        <v>380253.56</v>
      </c>
      <c r="G607">
        <v>896.94</v>
      </c>
      <c r="H607">
        <v>302614.73</v>
      </c>
      <c r="I607">
        <v>281677.03999999998</v>
      </c>
    </row>
    <row r="608" spans="1:9" x14ac:dyDescent="0.3">
      <c r="A608" t="s">
        <v>189</v>
      </c>
      <c r="B608" t="s">
        <v>97</v>
      </c>
      <c r="C608" t="s">
        <v>150</v>
      </c>
      <c r="D608">
        <v>2271505.4300000002</v>
      </c>
      <c r="E608">
        <v>1729513.41</v>
      </c>
      <c r="F608">
        <v>1342767.74</v>
      </c>
      <c r="G608">
        <v>1706074.05</v>
      </c>
      <c r="H608">
        <v>1164858.8700000001</v>
      </c>
      <c r="I608">
        <v>923210.07</v>
      </c>
    </row>
    <row r="609" spans="1:9" x14ac:dyDescent="0.3">
      <c r="A609" t="s">
        <v>189</v>
      </c>
      <c r="B609" t="s">
        <v>97</v>
      </c>
      <c r="C609" t="s">
        <v>151</v>
      </c>
      <c r="D609">
        <v>2214717.7200000002</v>
      </c>
      <c r="E609">
        <v>1656071.34</v>
      </c>
      <c r="F609">
        <v>1297174.52</v>
      </c>
      <c r="G609">
        <v>1125699.17</v>
      </c>
      <c r="H609">
        <v>942811.87</v>
      </c>
      <c r="I609">
        <v>767325.36</v>
      </c>
    </row>
    <row r="610" spans="1:9" x14ac:dyDescent="0.3">
      <c r="A610" t="s">
        <v>189</v>
      </c>
      <c r="B610" t="s">
        <v>97</v>
      </c>
      <c r="C610" t="s">
        <v>170</v>
      </c>
      <c r="D610">
        <v>2526.9499999999998</v>
      </c>
      <c r="E610">
        <v>10093.65</v>
      </c>
      <c r="F610">
        <v>1235.03</v>
      </c>
      <c r="G610">
        <v>39.61</v>
      </c>
      <c r="H610">
        <v>161.15</v>
      </c>
      <c r="I610">
        <v>469.4</v>
      </c>
    </row>
    <row r="611" spans="1:9" x14ac:dyDescent="0.3">
      <c r="A611" t="s">
        <v>189</v>
      </c>
      <c r="B611" t="s">
        <v>97</v>
      </c>
      <c r="C611" t="s">
        <v>152</v>
      </c>
      <c r="D611">
        <v>54260.75</v>
      </c>
      <c r="E611">
        <v>63348.42</v>
      </c>
      <c r="F611">
        <v>44358.2</v>
      </c>
      <c r="G611">
        <v>240207.81</v>
      </c>
      <c r="H611">
        <v>221885.84</v>
      </c>
      <c r="I611">
        <v>155415.32</v>
      </c>
    </row>
    <row r="612" spans="1:9" x14ac:dyDescent="0.3">
      <c r="A612" t="s">
        <v>189</v>
      </c>
      <c r="B612" t="s">
        <v>97</v>
      </c>
      <c r="C612" t="s">
        <v>147</v>
      </c>
      <c r="D612">
        <v>62803.55</v>
      </c>
      <c r="E612">
        <v>50597.9</v>
      </c>
      <c r="F612">
        <v>108363.1</v>
      </c>
      <c r="G612">
        <v>76674.61</v>
      </c>
      <c r="H612">
        <v>66446.179999999993</v>
      </c>
      <c r="I612">
        <v>39621.370000000003</v>
      </c>
    </row>
    <row r="613" spans="1:9" x14ac:dyDescent="0.3">
      <c r="A613" t="s">
        <v>189</v>
      </c>
      <c r="B613" t="s">
        <v>97</v>
      </c>
      <c r="C613" t="s">
        <v>153</v>
      </c>
      <c r="D613">
        <v>28902.17</v>
      </c>
      <c r="E613">
        <v>23475.759999999998</v>
      </c>
      <c r="F613">
        <v>42903.73</v>
      </c>
      <c r="G613">
        <v>84414.33</v>
      </c>
      <c r="H613">
        <v>215724.77</v>
      </c>
      <c r="I613">
        <v>886598.47</v>
      </c>
    </row>
    <row r="614" spans="1:9" x14ac:dyDescent="0.3">
      <c r="A614" t="s">
        <v>189</v>
      </c>
      <c r="B614" t="s">
        <v>97</v>
      </c>
      <c r="C614" t="s">
        <v>171</v>
      </c>
      <c r="D614">
        <v>37954.879999999997</v>
      </c>
      <c r="E614">
        <v>41452.410000000003</v>
      </c>
      <c r="F614">
        <v>25693.31</v>
      </c>
      <c r="G614">
        <v>50684.5</v>
      </c>
      <c r="H614">
        <v>39114.870000000003</v>
      </c>
      <c r="I614">
        <v>28510.2</v>
      </c>
    </row>
  </sheetData>
  <autoFilter ref="A1:I614" xr:uid="{048158B8-8D5B-478D-99D9-8D660538EC1C}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DCE8B5-6A1A-4F6E-8111-2257A55D428E}">
  <sheetPr filterMode="1"/>
  <dimension ref="A1:I517"/>
  <sheetViews>
    <sheetView workbookViewId="0">
      <selection activeCell="J1" sqref="J1:O1048576"/>
    </sheetView>
  </sheetViews>
  <sheetFormatPr baseColWidth="10" defaultColWidth="8.88671875" defaultRowHeight="14.4" x14ac:dyDescent="0.3"/>
  <cols>
    <col min="1" max="1" width="35" customWidth="1"/>
    <col min="2" max="2" width="55" customWidth="1"/>
    <col min="3" max="3" width="68.88671875" bestFit="1" customWidth="1"/>
    <col min="4" max="9" width="14" customWidth="1"/>
  </cols>
  <sheetData>
    <row r="1" spans="1:9" x14ac:dyDescent="0.3">
      <c r="A1" s="3" t="s">
        <v>384</v>
      </c>
      <c r="B1" t="s">
        <v>191</v>
      </c>
      <c r="C1" s="3" t="s">
        <v>97</v>
      </c>
      <c r="D1" s="3">
        <v>2024</v>
      </c>
      <c r="E1" s="3">
        <v>2023</v>
      </c>
      <c r="F1" s="3">
        <v>2022</v>
      </c>
      <c r="G1" s="3">
        <v>2021</v>
      </c>
      <c r="H1" s="3">
        <v>2020</v>
      </c>
      <c r="I1" s="3">
        <v>2019</v>
      </c>
    </row>
    <row r="2" spans="1:9" hidden="1" x14ac:dyDescent="0.3">
      <c r="A2" t="s">
        <v>383</v>
      </c>
      <c r="B2" t="s">
        <v>97</v>
      </c>
      <c r="C2" t="s">
        <v>105</v>
      </c>
      <c r="D2" s="4">
        <v>172849.78</v>
      </c>
      <c r="E2" s="4">
        <v>139949</v>
      </c>
      <c r="F2" s="4">
        <v>121783.54</v>
      </c>
      <c r="G2" s="4">
        <v>121841.38</v>
      </c>
      <c r="H2" s="4">
        <v>104853.23</v>
      </c>
      <c r="I2" s="4">
        <v>96908.28</v>
      </c>
    </row>
    <row r="3" spans="1:9" hidden="1" x14ac:dyDescent="0.3">
      <c r="A3" t="s">
        <v>383</v>
      </c>
      <c r="B3" t="s">
        <v>97</v>
      </c>
      <c r="C3" t="s">
        <v>155</v>
      </c>
      <c r="D3" s="4">
        <v>172849.78</v>
      </c>
      <c r="E3" s="4">
        <v>139949</v>
      </c>
      <c r="F3" s="4">
        <v>121783.54</v>
      </c>
      <c r="G3" s="4">
        <v>121841.38</v>
      </c>
      <c r="H3" s="4">
        <v>104853.23</v>
      </c>
      <c r="I3" s="4">
        <v>96908.28</v>
      </c>
    </row>
    <row r="4" spans="1:9" hidden="1" x14ac:dyDescent="0.3">
      <c r="A4" t="s">
        <v>383</v>
      </c>
      <c r="B4" t="s">
        <v>97</v>
      </c>
      <c r="C4" t="s">
        <v>108</v>
      </c>
      <c r="D4" s="4">
        <v>-14340.2</v>
      </c>
      <c r="E4" s="4">
        <v>-9633.15</v>
      </c>
      <c r="F4" s="4">
        <v>-9327.7999999999993</v>
      </c>
      <c r="G4" s="4">
        <v>-9937.49</v>
      </c>
      <c r="H4" s="4">
        <v>-7841.86</v>
      </c>
      <c r="I4" s="4">
        <v>-7778.07</v>
      </c>
    </row>
    <row r="5" spans="1:9" hidden="1" x14ac:dyDescent="0.3">
      <c r="A5" t="s">
        <v>383</v>
      </c>
      <c r="B5" t="s">
        <v>97</v>
      </c>
      <c r="C5" t="s">
        <v>156</v>
      </c>
      <c r="D5" s="4">
        <v>-14538.39</v>
      </c>
      <c r="E5" s="4">
        <v>-11177.75</v>
      </c>
      <c r="F5" s="4">
        <v>-9708.0300000000007</v>
      </c>
      <c r="G5" s="4">
        <v>-9711.24</v>
      </c>
      <c r="H5" s="4">
        <v>-8210.48</v>
      </c>
      <c r="I5" s="4">
        <v>-7369.68</v>
      </c>
    </row>
    <row r="6" spans="1:9" hidden="1" x14ac:dyDescent="0.3">
      <c r="A6" t="s">
        <v>383</v>
      </c>
      <c r="B6" t="s">
        <v>97</v>
      </c>
      <c r="C6" t="s">
        <v>157</v>
      </c>
      <c r="D6" s="4">
        <v>-232</v>
      </c>
      <c r="E6" s="4">
        <v>-180.6</v>
      </c>
      <c r="F6" s="4">
        <v>-169.74</v>
      </c>
      <c r="G6" s="4">
        <v>-127.66</v>
      </c>
      <c r="H6" s="4">
        <v>-105.54</v>
      </c>
      <c r="I6" s="4">
        <v>-271.45</v>
      </c>
    </row>
    <row r="7" spans="1:9" hidden="1" x14ac:dyDescent="0.3">
      <c r="A7" t="s">
        <v>383</v>
      </c>
      <c r="B7" t="s">
        <v>97</v>
      </c>
      <c r="C7" t="s">
        <v>158</v>
      </c>
      <c r="D7" s="4">
        <v>-460.76</v>
      </c>
      <c r="E7" s="4">
        <v>-379.15</v>
      </c>
      <c r="F7" s="4">
        <v>-329.44</v>
      </c>
      <c r="G7" s="4">
        <v>-289.23</v>
      </c>
      <c r="H7" s="4">
        <v>-329.25</v>
      </c>
      <c r="I7" s="4">
        <v>-250.55</v>
      </c>
    </row>
    <row r="8" spans="1:9" hidden="1" x14ac:dyDescent="0.3">
      <c r="A8" t="s">
        <v>383</v>
      </c>
      <c r="B8" t="s">
        <v>97</v>
      </c>
      <c r="C8" t="s">
        <v>106</v>
      </c>
      <c r="D8" s="4">
        <v>-127604.83</v>
      </c>
      <c r="E8" s="4">
        <v>-108123</v>
      </c>
      <c r="F8" s="4">
        <v>-88016.29</v>
      </c>
      <c r="G8" s="4">
        <v>-93237.119999999995</v>
      </c>
      <c r="H8" s="4">
        <v>-73024.88</v>
      </c>
      <c r="I8" s="4">
        <v>-71451.83</v>
      </c>
    </row>
    <row r="9" spans="1:9" hidden="1" x14ac:dyDescent="0.3">
      <c r="A9" t="s">
        <v>383</v>
      </c>
      <c r="B9" t="s">
        <v>97</v>
      </c>
      <c r="C9" t="s">
        <v>109</v>
      </c>
      <c r="D9" s="4">
        <v>-260.74</v>
      </c>
      <c r="E9" s="4">
        <v>-456.96</v>
      </c>
      <c r="F9" s="4">
        <v>-2656.22</v>
      </c>
      <c r="G9" s="4">
        <v>-3070.68</v>
      </c>
      <c r="H9" s="4">
        <v>-6008.12</v>
      </c>
      <c r="I9" s="4">
        <v>-2241.1999999999998</v>
      </c>
    </row>
    <row r="10" spans="1:9" hidden="1" x14ac:dyDescent="0.3">
      <c r="A10" t="s">
        <v>383</v>
      </c>
      <c r="B10" t="s">
        <v>97</v>
      </c>
      <c r="C10" t="s">
        <v>113</v>
      </c>
      <c r="D10" s="4">
        <v>13228.33</v>
      </c>
      <c r="E10" s="4">
        <v>9998.39</v>
      </c>
      <c r="F10" s="4">
        <v>11576.02</v>
      </c>
      <c r="G10" s="4">
        <v>5467.96</v>
      </c>
      <c r="H10" s="4">
        <v>9333.1</v>
      </c>
      <c r="I10" s="4">
        <v>7545.49</v>
      </c>
    </row>
    <row r="11" spans="1:9" hidden="1" x14ac:dyDescent="0.3">
      <c r="A11" t="s">
        <v>383</v>
      </c>
      <c r="B11" t="s">
        <v>97</v>
      </c>
      <c r="C11" t="s">
        <v>114</v>
      </c>
      <c r="D11" s="4">
        <v>13489.07</v>
      </c>
      <c r="E11" s="4">
        <v>10455.35</v>
      </c>
      <c r="F11" s="4">
        <v>14232.24</v>
      </c>
      <c r="G11" s="4">
        <v>8538.64</v>
      </c>
      <c r="H11" s="4">
        <v>15341.22</v>
      </c>
      <c r="I11" s="4">
        <v>9786.69</v>
      </c>
    </row>
    <row r="12" spans="1:9" hidden="1" x14ac:dyDescent="0.3">
      <c r="A12" t="s">
        <v>383</v>
      </c>
      <c r="B12" t="s">
        <v>97</v>
      </c>
      <c r="C12" t="s">
        <v>115</v>
      </c>
      <c r="D12" s="4">
        <v>-1793.84</v>
      </c>
      <c r="E12" s="4">
        <v>-1756.4</v>
      </c>
      <c r="F12" s="4">
        <v>-992.8</v>
      </c>
      <c r="G12" s="4">
        <v>-680.11</v>
      </c>
      <c r="H12" s="4">
        <v>-1552.79</v>
      </c>
      <c r="I12" s="4">
        <v>-2130.23</v>
      </c>
    </row>
    <row r="13" spans="1:9" hidden="1" x14ac:dyDescent="0.3">
      <c r="A13" t="s">
        <v>383</v>
      </c>
      <c r="B13" t="s">
        <v>97</v>
      </c>
      <c r="C13" t="s">
        <v>118</v>
      </c>
      <c r="D13" s="4">
        <v>-1793.84</v>
      </c>
      <c r="E13" s="4">
        <v>-1756.4</v>
      </c>
      <c r="F13" s="4">
        <v>-992.8</v>
      </c>
      <c r="G13" s="4">
        <v>-680.11</v>
      </c>
      <c r="H13" s="4">
        <v>-1552.79</v>
      </c>
      <c r="I13" s="4">
        <v>-2130.23</v>
      </c>
    </row>
    <row r="14" spans="1:9" hidden="1" x14ac:dyDescent="0.3">
      <c r="A14" t="s">
        <v>383</v>
      </c>
      <c r="B14" t="s">
        <v>97</v>
      </c>
      <c r="C14" t="s">
        <v>159</v>
      </c>
      <c r="D14" s="4">
        <v>-1793.84</v>
      </c>
      <c r="E14" s="4">
        <v>-1756.4</v>
      </c>
      <c r="F14" s="4">
        <v>-992.8</v>
      </c>
      <c r="G14" s="4">
        <v>-680.11</v>
      </c>
      <c r="H14" s="4">
        <v>-1552.79</v>
      </c>
      <c r="I14" s="4">
        <v>-2130.23</v>
      </c>
    </row>
    <row r="15" spans="1:9" hidden="1" x14ac:dyDescent="0.3">
      <c r="A15" t="s">
        <v>383</v>
      </c>
      <c r="B15" t="s">
        <v>97</v>
      </c>
      <c r="C15" t="s">
        <v>120</v>
      </c>
      <c r="D15" s="4">
        <v>81152.22</v>
      </c>
      <c r="E15" s="4">
        <v>47857.59</v>
      </c>
      <c r="F15" s="4">
        <v>52914.239999999998</v>
      </c>
      <c r="G15" s="4">
        <v>33826.410000000003</v>
      </c>
      <c r="H15" s="4">
        <v>31132.11</v>
      </c>
      <c r="I15" s="4">
        <v>23721.93</v>
      </c>
    </row>
    <row r="16" spans="1:9" hidden="1" x14ac:dyDescent="0.3">
      <c r="A16" t="s">
        <v>383</v>
      </c>
      <c r="B16" t="s">
        <v>97</v>
      </c>
      <c r="C16" t="s">
        <v>121</v>
      </c>
      <c r="D16" s="4">
        <v>83346.81</v>
      </c>
      <c r="E16" s="4">
        <v>51330.81</v>
      </c>
      <c r="F16" s="4">
        <v>55260.81</v>
      </c>
      <c r="G16" s="4">
        <v>36006</v>
      </c>
      <c r="H16" s="4">
        <v>33029.71</v>
      </c>
      <c r="I16" s="4">
        <v>25841.52</v>
      </c>
    </row>
    <row r="17" spans="1:9" hidden="1" x14ac:dyDescent="0.3">
      <c r="A17" t="s">
        <v>383</v>
      </c>
      <c r="B17" t="s">
        <v>97</v>
      </c>
      <c r="C17" t="s">
        <v>122</v>
      </c>
      <c r="D17" s="4">
        <v>-2194.59</v>
      </c>
      <c r="E17" s="4">
        <v>-3473.22</v>
      </c>
      <c r="F17" s="4">
        <v>-2346.56</v>
      </c>
      <c r="G17" s="4">
        <v>-2179.6</v>
      </c>
      <c r="H17" s="4">
        <v>-1897.6</v>
      </c>
      <c r="I17" s="4">
        <v>-2119.59</v>
      </c>
    </row>
    <row r="18" spans="1:9" hidden="1" x14ac:dyDescent="0.3">
      <c r="A18" t="s">
        <v>383</v>
      </c>
      <c r="B18" t="s">
        <v>97</v>
      </c>
      <c r="C18" t="s">
        <v>123</v>
      </c>
      <c r="D18" s="4">
        <v>92586.72</v>
      </c>
      <c r="E18" s="4">
        <v>56099.37</v>
      </c>
      <c r="F18" s="4">
        <v>63497.46</v>
      </c>
      <c r="G18" s="4">
        <v>38614.26</v>
      </c>
      <c r="H18" s="4">
        <v>38912.42</v>
      </c>
      <c r="I18" s="4">
        <v>29137.18</v>
      </c>
    </row>
    <row r="19" spans="1:9" hidden="1" x14ac:dyDescent="0.3">
      <c r="A19" t="s">
        <v>383</v>
      </c>
      <c r="B19" t="s">
        <v>97</v>
      </c>
      <c r="C19" t="s">
        <v>124</v>
      </c>
      <c r="D19" s="4">
        <v>-5593.47</v>
      </c>
      <c r="E19" s="4">
        <v>-3692.18</v>
      </c>
      <c r="F19" s="4">
        <v>-4890.78</v>
      </c>
      <c r="G19" s="4">
        <v>-1750.31</v>
      </c>
      <c r="H19" s="4">
        <v>-4664.29</v>
      </c>
      <c r="I19" s="4">
        <v>-1171.92</v>
      </c>
    </row>
    <row r="20" spans="1:9" hidden="1" x14ac:dyDescent="0.3">
      <c r="A20" t="s">
        <v>383</v>
      </c>
      <c r="B20" t="s">
        <v>97</v>
      </c>
      <c r="C20" t="s">
        <v>125</v>
      </c>
      <c r="D20" s="4">
        <v>86993.25</v>
      </c>
      <c r="E20" s="4">
        <v>52407.19</v>
      </c>
      <c r="F20" s="4">
        <v>58606.68</v>
      </c>
      <c r="G20" s="4">
        <v>36863.949999999997</v>
      </c>
      <c r="H20" s="4">
        <v>34248.129999999997</v>
      </c>
      <c r="I20" s="4">
        <v>27965.27</v>
      </c>
    </row>
    <row r="21" spans="1:9" hidden="1" x14ac:dyDescent="0.3">
      <c r="A21" t="s">
        <v>383</v>
      </c>
      <c r="B21" t="s">
        <v>97</v>
      </c>
      <c r="C21" t="s">
        <v>126</v>
      </c>
      <c r="D21" s="4">
        <v>86993.25</v>
      </c>
      <c r="E21" s="4">
        <v>52407.19</v>
      </c>
      <c r="F21" s="4">
        <v>58606.68</v>
      </c>
      <c r="G21" s="4">
        <v>36863.949999999997</v>
      </c>
      <c r="H21" s="4">
        <v>34248.129999999997</v>
      </c>
      <c r="I21" s="4">
        <v>27965.27</v>
      </c>
    </row>
    <row r="22" spans="1:9" hidden="1" x14ac:dyDescent="0.3">
      <c r="A22" t="s">
        <v>383</v>
      </c>
      <c r="B22" t="s">
        <v>97</v>
      </c>
      <c r="C22" t="s">
        <v>127</v>
      </c>
      <c r="D22" s="4">
        <v>378936.94</v>
      </c>
      <c r="E22" s="4">
        <v>307712</v>
      </c>
      <c r="F22" s="4">
        <v>234452.22</v>
      </c>
      <c r="G22" s="4">
        <v>272046.82</v>
      </c>
      <c r="H22" s="4">
        <v>230038.96</v>
      </c>
      <c r="I22" s="4">
        <v>205946.4</v>
      </c>
    </row>
    <row r="23" spans="1:9" hidden="1" x14ac:dyDescent="0.3">
      <c r="A23" t="s">
        <v>383</v>
      </c>
      <c r="B23" t="s">
        <v>97</v>
      </c>
      <c r="C23" t="s">
        <v>128</v>
      </c>
      <c r="D23" s="4">
        <v>27373.24</v>
      </c>
      <c r="E23" s="4">
        <v>21444.11</v>
      </c>
      <c r="F23" s="4">
        <v>19602.98</v>
      </c>
      <c r="G23" s="4">
        <v>22249.54</v>
      </c>
      <c r="H23" s="4">
        <v>16815.310000000001</v>
      </c>
      <c r="I23" s="4">
        <v>16759.98</v>
      </c>
    </row>
    <row r="24" spans="1:9" hidden="1" x14ac:dyDescent="0.3">
      <c r="A24" t="s">
        <v>383</v>
      </c>
      <c r="B24" t="s">
        <v>97</v>
      </c>
      <c r="C24" t="s">
        <v>129</v>
      </c>
      <c r="D24" s="4">
        <v>25955.119999999999</v>
      </c>
      <c r="E24" s="4">
        <v>20872.59</v>
      </c>
      <c r="F24" s="4">
        <v>18793.099999999999</v>
      </c>
      <c r="G24" s="4">
        <v>20830.53</v>
      </c>
      <c r="H24" s="4">
        <v>15389.29</v>
      </c>
      <c r="I24" s="4">
        <v>15456.52</v>
      </c>
    </row>
    <row r="25" spans="1:9" hidden="1" x14ac:dyDescent="0.3">
      <c r="A25" t="s">
        <v>383</v>
      </c>
      <c r="B25" t="s">
        <v>97</v>
      </c>
      <c r="C25" t="s">
        <v>160</v>
      </c>
      <c r="D25" s="4">
        <v>155.52000000000001</v>
      </c>
      <c r="E25" s="4">
        <v>194.41</v>
      </c>
      <c r="F25" s="4">
        <v>0</v>
      </c>
      <c r="G25" s="4">
        <v>0</v>
      </c>
      <c r="H25" s="4">
        <v>0</v>
      </c>
      <c r="I25" s="4">
        <v>0</v>
      </c>
    </row>
    <row r="26" spans="1:9" hidden="1" x14ac:dyDescent="0.3">
      <c r="A26" t="s">
        <v>383</v>
      </c>
      <c r="B26" t="s">
        <v>97</v>
      </c>
      <c r="C26" t="s">
        <v>161</v>
      </c>
      <c r="D26" s="4">
        <v>0</v>
      </c>
      <c r="E26" s="4">
        <v>377.12</v>
      </c>
      <c r="F26" s="4">
        <v>809.88</v>
      </c>
      <c r="G26" s="4">
        <v>1419.01</v>
      </c>
      <c r="H26" s="4">
        <v>1426.02</v>
      </c>
      <c r="I26" s="4">
        <v>1303.47</v>
      </c>
    </row>
    <row r="27" spans="1:9" hidden="1" x14ac:dyDescent="0.3">
      <c r="A27" t="s">
        <v>383</v>
      </c>
      <c r="B27" t="s">
        <v>97</v>
      </c>
      <c r="C27" t="s">
        <v>131</v>
      </c>
      <c r="D27" s="4">
        <v>1262.5899999999999</v>
      </c>
      <c r="E27" s="4">
        <v>0</v>
      </c>
      <c r="F27" s="4">
        <v>0</v>
      </c>
      <c r="G27" s="4">
        <v>0</v>
      </c>
      <c r="H27" s="4">
        <v>0</v>
      </c>
      <c r="I27" s="4">
        <v>0</v>
      </c>
    </row>
    <row r="28" spans="1:9" hidden="1" x14ac:dyDescent="0.3">
      <c r="A28" t="s">
        <v>383</v>
      </c>
      <c r="B28" t="s">
        <v>97</v>
      </c>
      <c r="C28" t="s">
        <v>132</v>
      </c>
      <c r="D28" s="4">
        <v>351563.7</v>
      </c>
      <c r="E28" s="4">
        <v>286268.51</v>
      </c>
      <c r="F28" s="4">
        <v>214849.24</v>
      </c>
      <c r="G28" s="4">
        <v>249797.27</v>
      </c>
      <c r="H28" s="4">
        <v>213223.64</v>
      </c>
      <c r="I28" s="4">
        <v>189186.42</v>
      </c>
    </row>
    <row r="29" spans="1:9" hidden="1" x14ac:dyDescent="0.3">
      <c r="A29" t="s">
        <v>383</v>
      </c>
      <c r="B29" t="s">
        <v>97</v>
      </c>
      <c r="C29" t="s">
        <v>183</v>
      </c>
      <c r="D29" s="4">
        <v>2330.21</v>
      </c>
      <c r="E29" s="4">
        <v>2669.23</v>
      </c>
      <c r="F29" s="4">
        <v>1987.35</v>
      </c>
      <c r="G29" s="4">
        <v>1541.81</v>
      </c>
      <c r="H29" s="4">
        <v>1807.02</v>
      </c>
      <c r="I29" s="4">
        <v>1268.03</v>
      </c>
    </row>
    <row r="30" spans="1:9" hidden="1" x14ac:dyDescent="0.3">
      <c r="A30" t="s">
        <v>383</v>
      </c>
      <c r="B30" t="s">
        <v>97</v>
      </c>
      <c r="C30" t="s">
        <v>187</v>
      </c>
      <c r="D30" s="4">
        <v>2330.21</v>
      </c>
      <c r="E30" s="4">
        <v>2669.23</v>
      </c>
      <c r="F30" s="4">
        <v>1987.35</v>
      </c>
      <c r="G30" s="4">
        <v>1541.81</v>
      </c>
      <c r="H30" s="4">
        <v>1807.02</v>
      </c>
      <c r="I30" s="4">
        <v>1268.03</v>
      </c>
    </row>
    <row r="31" spans="1:9" hidden="1" x14ac:dyDescent="0.3">
      <c r="A31" t="s">
        <v>383</v>
      </c>
      <c r="B31" t="s">
        <v>97</v>
      </c>
      <c r="C31" t="s">
        <v>133</v>
      </c>
      <c r="D31" s="4">
        <v>87870.28</v>
      </c>
      <c r="E31" s="4">
        <v>74603.3</v>
      </c>
      <c r="F31" s="4">
        <v>45356.82</v>
      </c>
      <c r="G31" s="4">
        <v>52764.79</v>
      </c>
      <c r="H31" s="4">
        <v>48557.36</v>
      </c>
      <c r="I31" s="4">
        <v>58030.55</v>
      </c>
    </row>
    <row r="32" spans="1:9" hidden="1" x14ac:dyDescent="0.3">
      <c r="A32" t="s">
        <v>383</v>
      </c>
      <c r="B32" t="s">
        <v>97</v>
      </c>
      <c r="C32" t="s">
        <v>162</v>
      </c>
      <c r="D32" s="4">
        <v>99642</v>
      </c>
      <c r="E32" s="4">
        <v>86554.559999999998</v>
      </c>
      <c r="F32" s="4">
        <v>58515.9</v>
      </c>
      <c r="G32" s="4">
        <v>0</v>
      </c>
      <c r="H32" s="4">
        <v>70059.78</v>
      </c>
      <c r="I32" s="4">
        <v>82529.539999999994</v>
      </c>
    </row>
    <row r="33" spans="1:9" hidden="1" x14ac:dyDescent="0.3">
      <c r="A33" t="s">
        <v>383</v>
      </c>
      <c r="B33" t="s">
        <v>97</v>
      </c>
      <c r="C33" t="s">
        <v>163</v>
      </c>
      <c r="D33" s="4">
        <v>0</v>
      </c>
      <c r="E33" s="4">
        <v>36.75</v>
      </c>
      <c r="F33" s="4">
        <v>153.02000000000001</v>
      </c>
      <c r="G33" s="4">
        <v>0</v>
      </c>
      <c r="H33" s="4">
        <v>0</v>
      </c>
      <c r="I33" s="4">
        <v>0</v>
      </c>
    </row>
    <row r="34" spans="1:9" hidden="1" x14ac:dyDescent="0.3">
      <c r="A34" t="s">
        <v>383</v>
      </c>
      <c r="B34" t="s">
        <v>97</v>
      </c>
      <c r="C34" t="s">
        <v>134</v>
      </c>
      <c r="D34" s="4">
        <v>3297.76</v>
      </c>
      <c r="E34" s="4">
        <v>2939.05</v>
      </c>
      <c r="F34" s="4">
        <v>2940.11</v>
      </c>
      <c r="G34" s="4">
        <v>1895.5</v>
      </c>
      <c r="H34" s="4">
        <v>2085.5500000000002</v>
      </c>
      <c r="I34" s="4">
        <v>1032.93</v>
      </c>
    </row>
    <row r="35" spans="1:9" hidden="1" x14ac:dyDescent="0.3">
      <c r="A35" t="s">
        <v>383</v>
      </c>
      <c r="B35" t="s">
        <v>97</v>
      </c>
      <c r="C35" t="s">
        <v>164</v>
      </c>
      <c r="D35" s="4">
        <v>-21319.57</v>
      </c>
      <c r="E35" s="4">
        <v>-19775.93</v>
      </c>
      <c r="F35" s="4">
        <v>-21913.08</v>
      </c>
      <c r="G35" s="4">
        <v>-23748.959999999999</v>
      </c>
      <c r="H35" s="4">
        <v>-27766.53</v>
      </c>
      <c r="I35" s="4">
        <v>-27331.86</v>
      </c>
    </row>
    <row r="36" spans="1:9" hidden="1" x14ac:dyDescent="0.3">
      <c r="A36" t="s">
        <v>383</v>
      </c>
      <c r="B36" t="s">
        <v>97</v>
      </c>
      <c r="C36" t="s">
        <v>165</v>
      </c>
      <c r="D36" s="4">
        <v>6250.09</v>
      </c>
      <c r="E36" s="4">
        <v>4848.87</v>
      </c>
      <c r="F36" s="4">
        <v>5660.87</v>
      </c>
      <c r="G36" s="4">
        <v>3092.57</v>
      </c>
      <c r="H36" s="4">
        <v>4178.57</v>
      </c>
      <c r="I36" s="4">
        <v>1799.94</v>
      </c>
    </row>
    <row r="37" spans="1:9" hidden="1" x14ac:dyDescent="0.3">
      <c r="A37" t="s">
        <v>383</v>
      </c>
      <c r="B37" t="s">
        <v>97</v>
      </c>
      <c r="C37" t="s">
        <v>166</v>
      </c>
      <c r="D37" s="4">
        <v>92.22</v>
      </c>
      <c r="E37" s="4">
        <v>139.4</v>
      </c>
      <c r="F37" s="4">
        <v>23.32</v>
      </c>
      <c r="G37" s="4">
        <v>603.58000000000004</v>
      </c>
      <c r="H37" s="4">
        <v>67.739999999999995</v>
      </c>
      <c r="I37" s="4">
        <v>113.48</v>
      </c>
    </row>
    <row r="38" spans="1:9" hidden="1" x14ac:dyDescent="0.3">
      <c r="A38" t="s">
        <v>383</v>
      </c>
      <c r="B38" t="s">
        <v>97</v>
      </c>
      <c r="C38" t="s">
        <v>135</v>
      </c>
      <c r="D38" s="4">
        <v>248523.7</v>
      </c>
      <c r="E38" s="4">
        <v>202665</v>
      </c>
      <c r="F38" s="4">
        <v>156218.29</v>
      </c>
      <c r="G38" s="4">
        <v>191528.6</v>
      </c>
      <c r="H38" s="4">
        <v>158936.72</v>
      </c>
      <c r="I38" s="4">
        <v>129702.43</v>
      </c>
    </row>
    <row r="39" spans="1:9" hidden="1" x14ac:dyDescent="0.3">
      <c r="A39" t="s">
        <v>383</v>
      </c>
      <c r="B39" t="s">
        <v>97</v>
      </c>
      <c r="C39" t="s">
        <v>136</v>
      </c>
      <c r="D39" s="4">
        <v>12747.28</v>
      </c>
      <c r="E39" s="4">
        <v>6191.58</v>
      </c>
      <c r="F39" s="4">
        <v>11263.46</v>
      </c>
      <c r="G39" s="4">
        <v>3358.49</v>
      </c>
      <c r="H39" s="4">
        <v>3854.8</v>
      </c>
      <c r="I39" s="4">
        <v>71.930000000000007</v>
      </c>
    </row>
    <row r="40" spans="1:9" hidden="1" x14ac:dyDescent="0.3">
      <c r="A40" t="s">
        <v>383</v>
      </c>
      <c r="B40" t="s">
        <v>97</v>
      </c>
      <c r="C40" t="s">
        <v>138</v>
      </c>
      <c r="D40" s="4">
        <v>378936.94</v>
      </c>
      <c r="E40" s="4">
        <v>307712.49</v>
      </c>
      <c r="F40" s="4">
        <v>234452.22</v>
      </c>
      <c r="G40" s="4">
        <v>272046.82</v>
      </c>
      <c r="H40" s="4">
        <v>230038.96</v>
      </c>
      <c r="I40" s="4">
        <v>205946.4</v>
      </c>
    </row>
    <row r="41" spans="1:9" hidden="1" x14ac:dyDescent="0.3">
      <c r="A41" t="s">
        <v>383</v>
      </c>
      <c r="B41" t="s">
        <v>97</v>
      </c>
      <c r="C41" t="s">
        <v>139</v>
      </c>
      <c r="D41" s="4">
        <v>285574.76</v>
      </c>
      <c r="E41" s="4">
        <v>224292</v>
      </c>
      <c r="F41" s="4">
        <v>172634.05</v>
      </c>
      <c r="G41" s="4">
        <v>199743.39</v>
      </c>
      <c r="H41" s="4">
        <v>163118.5</v>
      </c>
      <c r="I41" s="4">
        <v>129308.87</v>
      </c>
    </row>
    <row r="42" spans="1:9" hidden="1" x14ac:dyDescent="0.3">
      <c r="A42" t="s">
        <v>383</v>
      </c>
      <c r="B42" t="s">
        <v>97</v>
      </c>
      <c r="C42" t="s">
        <v>140</v>
      </c>
      <c r="D42" s="4">
        <v>285574.76</v>
      </c>
      <c r="E42" s="4">
        <v>224292</v>
      </c>
      <c r="F42" s="4">
        <v>172634.05</v>
      </c>
      <c r="G42" s="4">
        <v>199743.39</v>
      </c>
      <c r="H42" s="4">
        <v>163118.5</v>
      </c>
      <c r="I42" s="4">
        <v>129308.87</v>
      </c>
    </row>
    <row r="43" spans="1:9" hidden="1" x14ac:dyDescent="0.3">
      <c r="A43" t="s">
        <v>383</v>
      </c>
      <c r="B43" t="s">
        <v>97</v>
      </c>
      <c r="C43" t="s">
        <v>141</v>
      </c>
      <c r="D43" s="4">
        <v>350</v>
      </c>
      <c r="E43" s="4">
        <v>350</v>
      </c>
      <c r="F43" s="4">
        <v>350</v>
      </c>
      <c r="G43" s="4">
        <v>350</v>
      </c>
      <c r="H43" s="4">
        <v>350</v>
      </c>
      <c r="I43" s="4">
        <v>350</v>
      </c>
    </row>
    <row r="44" spans="1:9" hidden="1" x14ac:dyDescent="0.3">
      <c r="A44" t="s">
        <v>383</v>
      </c>
      <c r="B44" t="s">
        <v>97</v>
      </c>
      <c r="C44" t="s">
        <v>142</v>
      </c>
      <c r="D44" s="4">
        <v>3523.56</v>
      </c>
      <c r="E44" s="4">
        <v>3523.56</v>
      </c>
      <c r="F44" s="4">
        <v>3523.56</v>
      </c>
      <c r="G44" s="4">
        <v>3523.56</v>
      </c>
      <c r="H44" s="4">
        <v>3523.56</v>
      </c>
      <c r="I44" s="4">
        <v>4023.91</v>
      </c>
    </row>
    <row r="45" spans="1:9" hidden="1" x14ac:dyDescent="0.3">
      <c r="A45" t="s">
        <v>383</v>
      </c>
      <c r="B45" t="s">
        <v>97</v>
      </c>
      <c r="C45" t="s">
        <v>143</v>
      </c>
      <c r="D45" s="4">
        <v>168374.39999999999</v>
      </c>
      <c r="E45" s="4">
        <v>141678</v>
      </c>
      <c r="F45" s="4">
        <v>83820.259999999995</v>
      </c>
      <c r="G45" s="4">
        <v>117184.39</v>
      </c>
      <c r="H45" s="4">
        <v>83175.31</v>
      </c>
      <c r="I45" s="4">
        <v>55148.2</v>
      </c>
    </row>
    <row r="46" spans="1:9" hidden="1" x14ac:dyDescent="0.3">
      <c r="A46" t="s">
        <v>383</v>
      </c>
      <c r="B46" t="s">
        <v>97</v>
      </c>
      <c r="C46" t="s">
        <v>144</v>
      </c>
      <c r="D46" s="4">
        <v>86993.25</v>
      </c>
      <c r="E46" s="4">
        <v>52407.19</v>
      </c>
      <c r="F46" s="4">
        <v>58606.68</v>
      </c>
      <c r="G46" s="4">
        <v>36863.949999999997</v>
      </c>
      <c r="H46" s="4">
        <v>34248.129999999997</v>
      </c>
      <c r="I46" s="4">
        <v>27965.27</v>
      </c>
    </row>
    <row r="47" spans="1:9" hidden="1" x14ac:dyDescent="0.3">
      <c r="A47" t="s">
        <v>383</v>
      </c>
      <c r="B47" t="s">
        <v>97</v>
      </c>
      <c r="C47" t="s">
        <v>174</v>
      </c>
      <c r="D47" s="4">
        <v>26333.55</v>
      </c>
      <c r="E47" s="4">
        <v>26333.55</v>
      </c>
      <c r="F47" s="4">
        <v>26333.55</v>
      </c>
      <c r="G47" s="4">
        <v>41821.49</v>
      </c>
      <c r="H47" s="4">
        <v>41821.49</v>
      </c>
      <c r="I47" s="4">
        <v>41821.49</v>
      </c>
    </row>
    <row r="48" spans="1:9" hidden="1" x14ac:dyDescent="0.3">
      <c r="A48" t="s">
        <v>383</v>
      </c>
      <c r="B48" t="s">
        <v>97</v>
      </c>
      <c r="C48" t="s">
        <v>145</v>
      </c>
      <c r="D48" s="4">
        <v>93362.18</v>
      </c>
      <c r="E48" s="4">
        <v>83420.490000000005</v>
      </c>
      <c r="F48" s="4">
        <v>61818.16</v>
      </c>
      <c r="G48" s="4">
        <v>72303.429999999993</v>
      </c>
      <c r="H48" s="4">
        <v>66920.460000000006</v>
      </c>
      <c r="I48" s="4">
        <v>76637.53</v>
      </c>
    </row>
    <row r="49" spans="1:9" hidden="1" x14ac:dyDescent="0.3">
      <c r="A49" t="s">
        <v>383</v>
      </c>
      <c r="B49" t="s">
        <v>97</v>
      </c>
      <c r="C49" t="s">
        <v>146</v>
      </c>
      <c r="D49" s="4">
        <v>1906.34</v>
      </c>
      <c r="E49" s="4">
        <v>1057.5</v>
      </c>
      <c r="F49" s="4">
        <v>421.4</v>
      </c>
      <c r="G49" s="4">
        <v>421.4</v>
      </c>
      <c r="H49" s="4">
        <v>7603.12</v>
      </c>
      <c r="I49" s="4">
        <v>7298.16</v>
      </c>
    </row>
    <row r="50" spans="1:9" hidden="1" x14ac:dyDescent="0.3">
      <c r="A50" t="s">
        <v>383</v>
      </c>
      <c r="B50" t="s">
        <v>97</v>
      </c>
      <c r="C50" t="s">
        <v>175</v>
      </c>
      <c r="D50" s="4">
        <v>0</v>
      </c>
      <c r="E50" s="4">
        <v>0</v>
      </c>
      <c r="F50" s="4">
        <v>0</v>
      </c>
      <c r="G50" s="4">
        <v>0</v>
      </c>
      <c r="H50" s="4">
        <v>7181.72</v>
      </c>
      <c r="I50" s="4">
        <v>6888.76</v>
      </c>
    </row>
    <row r="51" spans="1:9" hidden="1" x14ac:dyDescent="0.3">
      <c r="A51" t="s">
        <v>383</v>
      </c>
      <c r="B51" t="s">
        <v>97</v>
      </c>
      <c r="C51" t="s">
        <v>147</v>
      </c>
      <c r="D51" s="4">
        <v>1906.34</v>
      </c>
      <c r="E51" s="4">
        <v>1057.5</v>
      </c>
      <c r="F51" s="4">
        <v>421.4</v>
      </c>
      <c r="G51" s="4">
        <v>421.4</v>
      </c>
      <c r="H51" s="4">
        <v>421.4</v>
      </c>
      <c r="I51" s="4">
        <v>409.4</v>
      </c>
    </row>
    <row r="52" spans="1:9" hidden="1" x14ac:dyDescent="0.3">
      <c r="A52" t="s">
        <v>383</v>
      </c>
      <c r="B52" t="s">
        <v>97</v>
      </c>
      <c r="C52" t="s">
        <v>149</v>
      </c>
      <c r="D52" s="4">
        <v>91455.84</v>
      </c>
      <c r="E52" s="4">
        <v>82363</v>
      </c>
      <c r="F52" s="4">
        <v>61396.76</v>
      </c>
      <c r="G52" s="4">
        <v>71882.03</v>
      </c>
      <c r="H52" s="4">
        <v>59317.34</v>
      </c>
      <c r="I52" s="4">
        <v>69339.37</v>
      </c>
    </row>
    <row r="53" spans="1:9" hidden="1" x14ac:dyDescent="0.3">
      <c r="A53" t="s">
        <v>383</v>
      </c>
      <c r="B53" t="s">
        <v>97</v>
      </c>
      <c r="C53" t="s">
        <v>169</v>
      </c>
      <c r="D53" s="4">
        <v>11191.54</v>
      </c>
      <c r="E53" s="4">
        <v>7551.45</v>
      </c>
      <c r="F53" s="4">
        <v>4436.3599999999997</v>
      </c>
      <c r="G53" s="4">
        <v>0</v>
      </c>
      <c r="H53" s="4">
        <v>8837.36</v>
      </c>
      <c r="I53" s="4">
        <v>15022.67</v>
      </c>
    </row>
    <row r="54" spans="1:9" hidden="1" x14ac:dyDescent="0.3">
      <c r="A54" t="s">
        <v>383</v>
      </c>
      <c r="B54" t="s">
        <v>97</v>
      </c>
      <c r="C54" t="s">
        <v>150</v>
      </c>
      <c r="D54" s="4">
        <v>70365.8</v>
      </c>
      <c r="E54" s="4">
        <v>66024.73</v>
      </c>
      <c r="F54" s="4">
        <v>49818.28</v>
      </c>
      <c r="G54" s="4">
        <v>65709.929999999993</v>
      </c>
      <c r="H54" s="4">
        <v>41328.1</v>
      </c>
      <c r="I54" s="4">
        <v>49839.54</v>
      </c>
    </row>
    <row r="55" spans="1:9" hidden="1" x14ac:dyDescent="0.3">
      <c r="A55" t="s">
        <v>383</v>
      </c>
      <c r="B55" t="s">
        <v>97</v>
      </c>
      <c r="C55" t="s">
        <v>151</v>
      </c>
      <c r="D55" s="4">
        <v>48908.27</v>
      </c>
      <c r="E55" s="4">
        <v>39595.519999999997</v>
      </c>
      <c r="F55" s="4">
        <v>26182.31</v>
      </c>
      <c r="G55" s="4">
        <v>0</v>
      </c>
      <c r="H55" s="4">
        <v>26626.71</v>
      </c>
      <c r="I55" s="4">
        <v>32532.07</v>
      </c>
    </row>
    <row r="56" spans="1:9" hidden="1" x14ac:dyDescent="0.3">
      <c r="A56" t="s">
        <v>383</v>
      </c>
      <c r="B56" t="s">
        <v>97</v>
      </c>
      <c r="C56" t="s">
        <v>170</v>
      </c>
      <c r="D56" s="4">
        <v>0</v>
      </c>
      <c r="E56" s="4">
        <v>8046.38</v>
      </c>
      <c r="F56" s="4">
        <v>7231.79</v>
      </c>
      <c r="G56" s="4">
        <v>0</v>
      </c>
      <c r="H56" s="4">
        <v>0</v>
      </c>
      <c r="I56" s="4">
        <v>0</v>
      </c>
    </row>
    <row r="57" spans="1:9" hidden="1" x14ac:dyDescent="0.3">
      <c r="A57" t="s">
        <v>383</v>
      </c>
      <c r="B57" t="s">
        <v>97</v>
      </c>
      <c r="C57" t="s">
        <v>152</v>
      </c>
      <c r="D57" s="4">
        <v>21457.53</v>
      </c>
      <c r="E57" s="4">
        <v>18382.830000000002</v>
      </c>
      <c r="F57" s="4">
        <v>16404.18</v>
      </c>
      <c r="G57" s="4">
        <v>0</v>
      </c>
      <c r="H57" s="4">
        <v>14701.4</v>
      </c>
      <c r="I57" s="4">
        <v>17307.47</v>
      </c>
    </row>
    <row r="58" spans="1:9" hidden="1" x14ac:dyDescent="0.3">
      <c r="A58" t="s">
        <v>383</v>
      </c>
      <c r="B58" t="s">
        <v>97</v>
      </c>
      <c r="C58" t="s">
        <v>147</v>
      </c>
      <c r="D58" s="4">
        <v>3871.81</v>
      </c>
      <c r="E58" s="4">
        <v>3918.55</v>
      </c>
      <c r="F58" s="4">
        <v>3180.47</v>
      </c>
      <c r="G58" s="4">
        <v>3148.47</v>
      </c>
      <c r="H58" s="4">
        <v>2247.9699999999998</v>
      </c>
      <c r="I58" s="4">
        <v>2227.0100000000002</v>
      </c>
    </row>
    <row r="59" spans="1:9" hidden="1" x14ac:dyDescent="0.3">
      <c r="A59" t="s">
        <v>383</v>
      </c>
      <c r="B59" t="s">
        <v>97</v>
      </c>
      <c r="C59" t="s">
        <v>153</v>
      </c>
      <c r="D59" s="4">
        <v>252.7</v>
      </c>
      <c r="E59" s="4">
        <v>784.05</v>
      </c>
      <c r="F59" s="4">
        <v>908.05</v>
      </c>
      <c r="G59" s="4">
        <v>1552.68</v>
      </c>
      <c r="H59" s="4">
        <v>1749.89</v>
      </c>
      <c r="I59" s="4">
        <v>1561.35</v>
      </c>
    </row>
    <row r="60" spans="1:9" hidden="1" x14ac:dyDescent="0.3">
      <c r="A60" t="s">
        <v>383</v>
      </c>
      <c r="B60" t="s">
        <v>97</v>
      </c>
      <c r="C60" t="s">
        <v>171</v>
      </c>
      <c r="D60" s="4">
        <v>5774</v>
      </c>
      <c r="E60" s="4">
        <v>4084.21</v>
      </c>
      <c r="F60" s="4">
        <v>3053.59</v>
      </c>
      <c r="G60" s="4">
        <v>1470.95</v>
      </c>
      <c r="H60" s="4">
        <v>5154.01</v>
      </c>
      <c r="I60" s="4">
        <v>688.79</v>
      </c>
    </row>
    <row r="61" spans="1:9" hidden="1" x14ac:dyDescent="0.3">
      <c r="A61" t="s">
        <v>382</v>
      </c>
      <c r="B61" t="s">
        <v>97</v>
      </c>
      <c r="C61" t="s">
        <v>105</v>
      </c>
      <c r="D61" s="4">
        <v>14620.34</v>
      </c>
      <c r="E61" s="4">
        <v>6463.62</v>
      </c>
      <c r="F61" s="4">
        <v>4864.38</v>
      </c>
      <c r="G61" s="4">
        <v>3828.68</v>
      </c>
      <c r="H61" s="4">
        <v>2907.44</v>
      </c>
      <c r="I61" s="4">
        <v>2670.29</v>
      </c>
    </row>
    <row r="62" spans="1:9" hidden="1" x14ac:dyDescent="0.3">
      <c r="A62" t="s">
        <v>382</v>
      </c>
      <c r="B62" t="s">
        <v>97</v>
      </c>
      <c r="C62" t="s">
        <v>155</v>
      </c>
      <c r="D62" s="4">
        <v>14620.34</v>
      </c>
      <c r="E62" s="4">
        <v>6463.62</v>
      </c>
      <c r="F62" s="4">
        <v>4864.38</v>
      </c>
      <c r="G62" s="4">
        <v>3828.68</v>
      </c>
      <c r="H62" s="4">
        <v>2907.44</v>
      </c>
      <c r="I62" s="4">
        <v>2670.29</v>
      </c>
    </row>
    <row r="63" spans="1:9" hidden="1" x14ac:dyDescent="0.3">
      <c r="A63" t="s">
        <v>382</v>
      </c>
      <c r="B63" t="s">
        <v>97</v>
      </c>
      <c r="C63" t="s">
        <v>107</v>
      </c>
      <c r="D63" s="4">
        <v>-29.06</v>
      </c>
      <c r="E63" s="4">
        <v>-27.85</v>
      </c>
      <c r="F63" s="4">
        <v>-0.22</v>
      </c>
      <c r="G63" s="4">
        <v>-421.3</v>
      </c>
      <c r="H63" s="4">
        <v>0</v>
      </c>
      <c r="I63" s="4">
        <v>0</v>
      </c>
    </row>
    <row r="64" spans="1:9" hidden="1" x14ac:dyDescent="0.3">
      <c r="A64" t="s">
        <v>382</v>
      </c>
      <c r="B64" t="s">
        <v>97</v>
      </c>
      <c r="C64" t="s">
        <v>108</v>
      </c>
      <c r="D64" s="4">
        <v>-2047.86</v>
      </c>
      <c r="E64" s="4">
        <v>-1137.57</v>
      </c>
      <c r="F64" s="4">
        <v>-706.35</v>
      </c>
      <c r="G64" s="4">
        <v>-373.63</v>
      </c>
      <c r="H64" s="4">
        <v>-527.13</v>
      </c>
      <c r="I64" s="4">
        <v>-333.02</v>
      </c>
    </row>
    <row r="65" spans="1:9" hidden="1" x14ac:dyDescent="0.3">
      <c r="A65" t="s">
        <v>382</v>
      </c>
      <c r="B65" t="s">
        <v>97</v>
      </c>
      <c r="C65" t="s">
        <v>156</v>
      </c>
      <c r="D65" s="4">
        <v>-5292.87</v>
      </c>
      <c r="E65" s="4">
        <v>-2515.7600000000002</v>
      </c>
      <c r="F65" s="4">
        <v>-1823.93</v>
      </c>
      <c r="G65" s="4">
        <v>-791.41</v>
      </c>
      <c r="H65" s="4">
        <v>-811.16</v>
      </c>
      <c r="I65" s="4">
        <v>-701.97</v>
      </c>
    </row>
    <row r="66" spans="1:9" hidden="1" x14ac:dyDescent="0.3">
      <c r="A66" t="s">
        <v>382</v>
      </c>
      <c r="B66" t="s">
        <v>97</v>
      </c>
      <c r="C66" t="s">
        <v>157</v>
      </c>
      <c r="D66" s="4">
        <v>-20.14</v>
      </c>
      <c r="E66" s="4">
        <v>-8.57</v>
      </c>
      <c r="F66" s="4">
        <v>-8.57</v>
      </c>
      <c r="G66" s="4">
        <v>0</v>
      </c>
      <c r="H66" s="4">
        <v>0</v>
      </c>
      <c r="I66" s="4">
        <v>-1.3</v>
      </c>
    </row>
    <row r="67" spans="1:9" hidden="1" x14ac:dyDescent="0.3">
      <c r="A67" t="s">
        <v>382</v>
      </c>
      <c r="B67" t="s">
        <v>97</v>
      </c>
      <c r="C67" t="s">
        <v>158</v>
      </c>
      <c r="D67" s="4">
        <v>-207.66</v>
      </c>
      <c r="E67" s="4">
        <v>-76.75</v>
      </c>
      <c r="F67" s="4">
        <v>-92.49</v>
      </c>
      <c r="G67" s="4">
        <v>-22.38</v>
      </c>
      <c r="H67" s="4">
        <v>-24.94</v>
      </c>
      <c r="I67" s="4">
        <v>-24.82</v>
      </c>
    </row>
    <row r="68" spans="1:9" hidden="1" x14ac:dyDescent="0.3">
      <c r="A68" t="s">
        <v>382</v>
      </c>
      <c r="B68" t="s">
        <v>97</v>
      </c>
      <c r="C68" t="s">
        <v>106</v>
      </c>
      <c r="D68" s="4">
        <v>-5474.64</v>
      </c>
      <c r="E68" s="4">
        <v>-2061.16</v>
      </c>
      <c r="F68" s="4">
        <v>-1581.19</v>
      </c>
      <c r="G68" s="4">
        <v>-1406.94</v>
      </c>
      <c r="H68" s="4">
        <v>-1205.5</v>
      </c>
      <c r="I68" s="4">
        <v>-1120.52</v>
      </c>
    </row>
    <row r="69" spans="1:9" hidden="1" x14ac:dyDescent="0.3">
      <c r="A69" t="s">
        <v>382</v>
      </c>
      <c r="B69" t="s">
        <v>97</v>
      </c>
      <c r="C69" t="s">
        <v>109</v>
      </c>
      <c r="D69" s="4">
        <v>-167.96</v>
      </c>
      <c r="E69" s="4">
        <v>-46.81</v>
      </c>
      <c r="F69" s="4">
        <v>-63.33</v>
      </c>
      <c r="G69" s="4">
        <v>-83.03</v>
      </c>
      <c r="H69" s="4">
        <v>-27.69</v>
      </c>
      <c r="I69" s="4">
        <v>-66.540000000000006</v>
      </c>
    </row>
    <row r="70" spans="1:9" hidden="1" x14ac:dyDescent="0.3">
      <c r="A70" t="s">
        <v>382</v>
      </c>
      <c r="B70" t="s">
        <v>97</v>
      </c>
      <c r="C70" t="s">
        <v>113</v>
      </c>
      <c r="D70" s="4">
        <v>1380.15</v>
      </c>
      <c r="E70" s="4">
        <v>589.15</v>
      </c>
      <c r="F70" s="4">
        <v>588.29999999999995</v>
      </c>
      <c r="G70" s="4">
        <v>729.98</v>
      </c>
      <c r="H70" s="4">
        <v>311.02999999999997</v>
      </c>
      <c r="I70" s="4">
        <v>422.13</v>
      </c>
    </row>
    <row r="71" spans="1:9" hidden="1" x14ac:dyDescent="0.3">
      <c r="A71" t="s">
        <v>382</v>
      </c>
      <c r="B71" t="s">
        <v>97</v>
      </c>
      <c r="C71" t="s">
        <v>114</v>
      </c>
      <c r="D71" s="4">
        <v>1548.11</v>
      </c>
      <c r="E71" s="4">
        <v>635.96</v>
      </c>
      <c r="F71" s="4">
        <v>651.63</v>
      </c>
      <c r="G71" s="4">
        <v>813.02</v>
      </c>
      <c r="H71" s="4">
        <v>338.72</v>
      </c>
      <c r="I71" s="4">
        <v>488.67</v>
      </c>
    </row>
    <row r="72" spans="1:9" hidden="1" x14ac:dyDescent="0.3">
      <c r="A72" t="s">
        <v>382</v>
      </c>
      <c r="B72" t="s">
        <v>97</v>
      </c>
      <c r="C72" t="s">
        <v>115</v>
      </c>
      <c r="D72" s="4">
        <v>-178.14</v>
      </c>
      <c r="E72" s="4">
        <v>-39.21</v>
      </c>
      <c r="F72" s="4">
        <v>-25.19</v>
      </c>
      <c r="G72" s="4">
        <v>-25.44</v>
      </c>
      <c r="H72" s="4">
        <v>-11.47</v>
      </c>
      <c r="I72" s="4">
        <v>-21.15</v>
      </c>
    </row>
    <row r="73" spans="1:9" hidden="1" x14ac:dyDescent="0.3">
      <c r="A73" t="s">
        <v>382</v>
      </c>
      <c r="B73" t="s">
        <v>97</v>
      </c>
      <c r="C73" t="s">
        <v>118</v>
      </c>
      <c r="D73" s="4">
        <v>-178.14</v>
      </c>
      <c r="E73" s="4">
        <v>-39.21</v>
      </c>
      <c r="F73" s="4">
        <v>-25.19</v>
      </c>
      <c r="G73" s="4">
        <v>-25.44</v>
      </c>
      <c r="H73" s="4">
        <v>-11.47</v>
      </c>
      <c r="I73" s="4">
        <v>-21.15</v>
      </c>
    </row>
    <row r="74" spans="1:9" hidden="1" x14ac:dyDescent="0.3">
      <c r="A74" t="s">
        <v>382</v>
      </c>
      <c r="B74" t="s">
        <v>97</v>
      </c>
      <c r="C74" t="s">
        <v>159</v>
      </c>
      <c r="D74" s="4">
        <v>-178.14</v>
      </c>
      <c r="E74" s="4">
        <v>-39.21</v>
      </c>
      <c r="F74" s="4">
        <v>-25.19</v>
      </c>
      <c r="G74" s="4">
        <v>-25.44</v>
      </c>
      <c r="H74" s="4">
        <v>-11.47</v>
      </c>
      <c r="I74" s="4">
        <v>-21.15</v>
      </c>
    </row>
    <row r="75" spans="1:9" hidden="1" x14ac:dyDescent="0.3">
      <c r="A75" t="s">
        <v>382</v>
      </c>
      <c r="B75" t="s">
        <v>97</v>
      </c>
      <c r="C75" t="s">
        <v>120</v>
      </c>
      <c r="D75" s="4">
        <v>-118.44</v>
      </c>
      <c r="E75" s="4">
        <v>-31.78</v>
      </c>
      <c r="F75" s="4">
        <v>-98.39</v>
      </c>
      <c r="G75" s="4">
        <v>-452.68</v>
      </c>
      <c r="H75" s="4">
        <v>-75.540000000000006</v>
      </c>
      <c r="I75" s="4">
        <v>-51.32</v>
      </c>
    </row>
    <row r="76" spans="1:9" hidden="1" x14ac:dyDescent="0.3">
      <c r="A76" t="s">
        <v>382</v>
      </c>
      <c r="B76" t="s">
        <v>97</v>
      </c>
      <c r="C76" t="s">
        <v>121</v>
      </c>
      <c r="D76" s="4">
        <v>102.32</v>
      </c>
      <c r="E76" s="4">
        <v>61.75</v>
      </c>
      <c r="F76" s="4">
        <v>114.26</v>
      </c>
      <c r="G76" s="4">
        <v>10.43</v>
      </c>
      <c r="H76" s="4">
        <v>30.03</v>
      </c>
      <c r="I76" s="4">
        <v>6.26</v>
      </c>
    </row>
    <row r="77" spans="1:9" hidden="1" x14ac:dyDescent="0.3">
      <c r="A77" t="s">
        <v>382</v>
      </c>
      <c r="B77" t="s">
        <v>97</v>
      </c>
      <c r="C77" t="s">
        <v>122</v>
      </c>
      <c r="D77" s="4">
        <v>-220.76</v>
      </c>
      <c r="E77" s="4">
        <v>-93.53</v>
      </c>
      <c r="F77" s="4">
        <v>-212.65</v>
      </c>
      <c r="G77" s="4">
        <v>-463.11</v>
      </c>
      <c r="H77" s="4">
        <v>-105.57</v>
      </c>
      <c r="I77" s="4">
        <v>-57.58</v>
      </c>
    </row>
    <row r="78" spans="1:9" hidden="1" x14ac:dyDescent="0.3">
      <c r="A78" t="s">
        <v>382</v>
      </c>
      <c r="B78" t="s">
        <v>97</v>
      </c>
      <c r="C78" t="s">
        <v>123</v>
      </c>
      <c r="D78" s="4">
        <v>1083.57</v>
      </c>
      <c r="E78" s="4">
        <v>518.16</v>
      </c>
      <c r="F78" s="4">
        <v>464.72</v>
      </c>
      <c r="G78" s="4">
        <v>251.86</v>
      </c>
      <c r="H78" s="4">
        <v>224.02</v>
      </c>
      <c r="I78" s="4">
        <v>349.65</v>
      </c>
    </row>
    <row r="79" spans="1:9" hidden="1" x14ac:dyDescent="0.3">
      <c r="A79" t="s">
        <v>382</v>
      </c>
      <c r="B79" t="s">
        <v>97</v>
      </c>
      <c r="C79" t="s">
        <v>124</v>
      </c>
      <c r="D79" s="4">
        <v>-401.28</v>
      </c>
      <c r="E79" s="4">
        <v>0</v>
      </c>
      <c r="F79" s="4">
        <v>-162.65</v>
      </c>
      <c r="G79" s="4">
        <v>-127.99</v>
      </c>
      <c r="H79" s="4">
        <v>-71.7</v>
      </c>
      <c r="I79" s="4">
        <v>-127.6</v>
      </c>
    </row>
    <row r="80" spans="1:9" hidden="1" x14ac:dyDescent="0.3">
      <c r="A80" t="s">
        <v>382</v>
      </c>
      <c r="B80" t="s">
        <v>97</v>
      </c>
      <c r="C80" t="s">
        <v>125</v>
      </c>
      <c r="D80" s="4">
        <v>682.29</v>
      </c>
      <c r="E80" s="4">
        <v>518.16</v>
      </c>
      <c r="F80" s="4">
        <v>302.07</v>
      </c>
      <c r="G80" s="4">
        <v>123.87</v>
      </c>
      <c r="H80" s="4">
        <v>152.32</v>
      </c>
      <c r="I80" s="4">
        <v>222.05</v>
      </c>
    </row>
    <row r="81" spans="1:9" hidden="1" x14ac:dyDescent="0.3">
      <c r="A81" t="s">
        <v>382</v>
      </c>
      <c r="B81" t="s">
        <v>97</v>
      </c>
      <c r="C81" t="s">
        <v>126</v>
      </c>
      <c r="D81" s="4">
        <v>682.29</v>
      </c>
      <c r="E81" s="4">
        <v>518.16</v>
      </c>
      <c r="F81" s="4">
        <v>302.07</v>
      </c>
      <c r="G81" s="4">
        <v>123.87</v>
      </c>
      <c r="H81" s="4">
        <v>152.32</v>
      </c>
      <c r="I81" s="4">
        <v>222.05</v>
      </c>
    </row>
    <row r="82" spans="1:9" hidden="1" x14ac:dyDescent="0.3">
      <c r="A82" t="s">
        <v>382</v>
      </c>
      <c r="B82" t="s">
        <v>97</v>
      </c>
      <c r="C82" t="s">
        <v>127</v>
      </c>
      <c r="D82" s="4">
        <v>4719.33</v>
      </c>
      <c r="E82" s="4">
        <v>2784.87</v>
      </c>
      <c r="F82" s="4">
        <v>2258.1</v>
      </c>
      <c r="G82" s="4">
        <v>1871.3</v>
      </c>
      <c r="H82" s="4">
        <v>1271.51</v>
      </c>
      <c r="I82" s="4">
        <v>1060.7</v>
      </c>
    </row>
    <row r="83" spans="1:9" hidden="1" x14ac:dyDescent="0.3">
      <c r="A83" t="s">
        <v>382</v>
      </c>
      <c r="B83" t="s">
        <v>97</v>
      </c>
      <c r="C83" t="s">
        <v>128</v>
      </c>
      <c r="D83" s="4">
        <v>1131.7</v>
      </c>
      <c r="E83" s="4">
        <v>521.79999999999995</v>
      </c>
      <c r="F83" s="4">
        <v>365.53</v>
      </c>
      <c r="G83" s="4">
        <v>455.23</v>
      </c>
      <c r="H83" s="4">
        <v>252.06</v>
      </c>
      <c r="I83" s="4">
        <v>231.26</v>
      </c>
    </row>
    <row r="84" spans="1:9" hidden="1" x14ac:dyDescent="0.3">
      <c r="A84" t="s">
        <v>382</v>
      </c>
      <c r="B84" t="s">
        <v>97</v>
      </c>
      <c r="C84" t="s">
        <v>129</v>
      </c>
      <c r="D84" s="4">
        <v>656.85</v>
      </c>
      <c r="E84" s="4">
        <v>521.79999999999995</v>
      </c>
      <c r="F84" s="4">
        <v>365.53</v>
      </c>
      <c r="G84" s="4">
        <v>343.23</v>
      </c>
      <c r="H84" s="4">
        <v>252.06</v>
      </c>
      <c r="I84" s="4">
        <v>231.26</v>
      </c>
    </row>
    <row r="85" spans="1:9" hidden="1" x14ac:dyDescent="0.3">
      <c r="A85" t="s">
        <v>382</v>
      </c>
      <c r="B85" t="s">
        <v>97</v>
      </c>
      <c r="C85" t="s">
        <v>160</v>
      </c>
      <c r="D85" s="4">
        <v>474.86</v>
      </c>
      <c r="E85" s="4">
        <v>0</v>
      </c>
      <c r="F85" s="4">
        <v>0</v>
      </c>
      <c r="G85" s="4">
        <v>112</v>
      </c>
      <c r="H85" s="4">
        <v>0</v>
      </c>
      <c r="I85" s="4">
        <v>0</v>
      </c>
    </row>
    <row r="86" spans="1:9" hidden="1" x14ac:dyDescent="0.3">
      <c r="A86" t="s">
        <v>382</v>
      </c>
      <c r="B86" t="s">
        <v>97</v>
      </c>
      <c r="C86" t="s">
        <v>132</v>
      </c>
      <c r="D86" s="4">
        <v>3587.62</v>
      </c>
      <c r="E86" s="4">
        <v>2263.0700000000002</v>
      </c>
      <c r="F86" s="4">
        <v>1892.57</v>
      </c>
      <c r="G86" s="4">
        <v>1416.07</v>
      </c>
      <c r="H86" s="4">
        <v>1019.46</v>
      </c>
      <c r="I86" s="4">
        <v>829.44</v>
      </c>
    </row>
    <row r="87" spans="1:9" hidden="1" x14ac:dyDescent="0.3">
      <c r="A87" t="s">
        <v>382</v>
      </c>
      <c r="B87" t="s">
        <v>97</v>
      </c>
      <c r="C87" t="s">
        <v>133</v>
      </c>
      <c r="D87" s="4">
        <v>1539.23</v>
      </c>
      <c r="E87" s="4">
        <v>2039.53</v>
      </c>
      <c r="F87" s="4">
        <v>1255.98</v>
      </c>
      <c r="G87" s="4">
        <v>962.39</v>
      </c>
      <c r="H87" s="4">
        <v>761.47</v>
      </c>
      <c r="I87" s="4">
        <v>402.59</v>
      </c>
    </row>
    <row r="88" spans="1:9" hidden="1" x14ac:dyDescent="0.3">
      <c r="A88" t="s">
        <v>382</v>
      </c>
      <c r="B88" t="s">
        <v>97</v>
      </c>
      <c r="C88" t="s">
        <v>162</v>
      </c>
      <c r="D88" s="4">
        <v>528.9</v>
      </c>
      <c r="E88" s="4">
        <v>1410.05</v>
      </c>
      <c r="F88" s="4">
        <v>811.93</v>
      </c>
      <c r="G88" s="4">
        <v>0</v>
      </c>
      <c r="H88" s="4">
        <v>588.77</v>
      </c>
      <c r="I88" s="4">
        <v>276.33999999999997</v>
      </c>
    </row>
    <row r="89" spans="1:9" hidden="1" x14ac:dyDescent="0.3">
      <c r="A89" t="s">
        <v>382</v>
      </c>
      <c r="B89" t="s">
        <v>97</v>
      </c>
      <c r="C89" t="s">
        <v>134</v>
      </c>
      <c r="D89" s="4">
        <v>90.32</v>
      </c>
      <c r="E89" s="4">
        <v>9.57</v>
      </c>
      <c r="F89" s="4">
        <v>7.11</v>
      </c>
      <c r="G89" s="4">
        <v>14.2</v>
      </c>
      <c r="H89" s="4">
        <v>0</v>
      </c>
      <c r="I89" s="4">
        <v>0</v>
      </c>
    </row>
    <row r="90" spans="1:9" hidden="1" x14ac:dyDescent="0.3">
      <c r="A90" t="s">
        <v>382</v>
      </c>
      <c r="B90" t="s">
        <v>97</v>
      </c>
      <c r="C90" t="s">
        <v>165</v>
      </c>
      <c r="D90" s="4">
        <v>920.01</v>
      </c>
      <c r="E90" s="4">
        <v>619.9</v>
      </c>
      <c r="F90" s="4">
        <v>436.94</v>
      </c>
      <c r="G90" s="4">
        <v>299.33</v>
      </c>
      <c r="H90" s="4">
        <v>172.69</v>
      </c>
      <c r="I90" s="4">
        <v>126.24</v>
      </c>
    </row>
    <row r="91" spans="1:9" hidden="1" x14ac:dyDescent="0.3">
      <c r="A91" t="s">
        <v>382</v>
      </c>
      <c r="B91" t="s">
        <v>97</v>
      </c>
      <c r="C91" t="s">
        <v>166</v>
      </c>
      <c r="D91" s="4">
        <v>17.09</v>
      </c>
      <c r="E91" s="4">
        <v>55.28</v>
      </c>
      <c r="F91" s="4">
        <v>15.49</v>
      </c>
      <c r="G91" s="4">
        <v>7.0000000000000007E-2</v>
      </c>
      <c r="H91" s="4">
        <v>36.450000000000003</v>
      </c>
      <c r="I91" s="4">
        <v>9.41</v>
      </c>
    </row>
    <row r="92" spans="1:9" hidden="1" x14ac:dyDescent="0.3">
      <c r="A92" t="s">
        <v>382</v>
      </c>
      <c r="B92" t="s">
        <v>97</v>
      </c>
      <c r="C92" t="s">
        <v>136</v>
      </c>
      <c r="D92" s="4">
        <v>2031.3</v>
      </c>
      <c r="E92" s="4">
        <v>168.26</v>
      </c>
      <c r="F92" s="4">
        <v>621.09</v>
      </c>
      <c r="G92" s="4">
        <v>453.61</v>
      </c>
      <c r="H92" s="4">
        <v>221.54</v>
      </c>
      <c r="I92" s="4">
        <v>417.45</v>
      </c>
    </row>
    <row r="93" spans="1:9" hidden="1" x14ac:dyDescent="0.3">
      <c r="A93" t="s">
        <v>382</v>
      </c>
      <c r="B93" t="s">
        <v>97</v>
      </c>
      <c r="C93" t="s">
        <v>138</v>
      </c>
      <c r="D93" s="4">
        <v>4719.33</v>
      </c>
      <c r="E93" s="4">
        <v>2784.87</v>
      </c>
      <c r="F93" s="4">
        <v>2258.1</v>
      </c>
      <c r="G93" s="4">
        <v>1871.3</v>
      </c>
      <c r="H93" s="4">
        <v>1271.51</v>
      </c>
      <c r="I93" s="4">
        <v>1060.7</v>
      </c>
    </row>
    <row r="94" spans="1:9" hidden="1" x14ac:dyDescent="0.3">
      <c r="A94" t="s">
        <v>382</v>
      </c>
      <c r="B94" t="s">
        <v>97</v>
      </c>
      <c r="C94" t="s">
        <v>139</v>
      </c>
      <c r="D94" s="4">
        <v>2304.5100000000002</v>
      </c>
      <c r="E94" s="4">
        <v>1941.91</v>
      </c>
      <c r="F94" s="4">
        <v>1453.3</v>
      </c>
      <c r="G94" s="4">
        <v>1153.26</v>
      </c>
      <c r="H94" s="4">
        <v>1026.83</v>
      </c>
      <c r="I94" s="4">
        <v>765.66</v>
      </c>
    </row>
    <row r="95" spans="1:9" hidden="1" x14ac:dyDescent="0.3">
      <c r="A95" t="s">
        <v>382</v>
      </c>
      <c r="B95" t="s">
        <v>97</v>
      </c>
      <c r="C95" t="s">
        <v>140</v>
      </c>
      <c r="D95" s="4">
        <v>2304.5100000000002</v>
      </c>
      <c r="E95" s="4">
        <v>1941.91</v>
      </c>
      <c r="F95" s="4">
        <v>1453.3</v>
      </c>
      <c r="G95" s="4">
        <v>1153.26</v>
      </c>
      <c r="H95" s="4">
        <v>1026.83</v>
      </c>
      <c r="I95" s="4">
        <v>765.66</v>
      </c>
    </row>
    <row r="96" spans="1:9" hidden="1" x14ac:dyDescent="0.3">
      <c r="A96" t="s">
        <v>382</v>
      </c>
      <c r="B96" t="s">
        <v>97</v>
      </c>
      <c r="C96" t="s">
        <v>141</v>
      </c>
      <c r="D96" s="4">
        <v>20</v>
      </c>
      <c r="E96" s="4">
        <v>20</v>
      </c>
      <c r="F96" s="4">
        <v>20</v>
      </c>
      <c r="G96" s="4">
        <v>20</v>
      </c>
      <c r="H96" s="4">
        <v>20</v>
      </c>
      <c r="I96" s="4">
        <v>20</v>
      </c>
    </row>
    <row r="97" spans="1:9" hidden="1" x14ac:dyDescent="0.3">
      <c r="A97" t="s">
        <v>382</v>
      </c>
      <c r="B97" t="s">
        <v>97</v>
      </c>
      <c r="C97" t="s">
        <v>142</v>
      </c>
      <c r="D97" s="4">
        <v>80</v>
      </c>
      <c r="E97" s="4">
        <v>80</v>
      </c>
      <c r="F97" s="4">
        <v>80</v>
      </c>
      <c r="G97" s="4">
        <v>80</v>
      </c>
      <c r="H97" s="4">
        <v>80</v>
      </c>
      <c r="I97" s="4">
        <v>65.48</v>
      </c>
    </row>
    <row r="98" spans="1:9" hidden="1" x14ac:dyDescent="0.3">
      <c r="A98" t="s">
        <v>382</v>
      </c>
      <c r="B98" t="s">
        <v>97</v>
      </c>
      <c r="C98" t="s">
        <v>143</v>
      </c>
      <c r="D98" s="4">
        <v>1522.22</v>
      </c>
      <c r="E98" s="4">
        <v>1323.76</v>
      </c>
      <c r="F98" s="4">
        <v>1051.23</v>
      </c>
      <c r="G98" s="4">
        <v>929.39</v>
      </c>
      <c r="H98" s="4">
        <v>774.51</v>
      </c>
      <c r="I98" s="4">
        <v>458.12</v>
      </c>
    </row>
    <row r="99" spans="1:9" hidden="1" x14ac:dyDescent="0.3">
      <c r="A99" t="s">
        <v>382</v>
      </c>
      <c r="B99" t="s">
        <v>97</v>
      </c>
      <c r="C99" t="s">
        <v>144</v>
      </c>
      <c r="D99" s="4">
        <v>682.29</v>
      </c>
      <c r="E99" s="4">
        <v>518.16</v>
      </c>
      <c r="F99" s="4">
        <v>302.07</v>
      </c>
      <c r="G99" s="4">
        <v>123.87</v>
      </c>
      <c r="H99" s="4">
        <v>152.32</v>
      </c>
      <c r="I99" s="4">
        <v>222.05</v>
      </c>
    </row>
    <row r="100" spans="1:9" hidden="1" x14ac:dyDescent="0.3">
      <c r="A100" t="s">
        <v>382</v>
      </c>
      <c r="B100" t="s">
        <v>97</v>
      </c>
      <c r="C100" t="s">
        <v>145</v>
      </c>
      <c r="D100" s="4">
        <v>2414.8200000000002</v>
      </c>
      <c r="E100" s="4">
        <v>842.96</v>
      </c>
      <c r="F100" s="4">
        <v>804.8</v>
      </c>
      <c r="G100" s="4">
        <v>718.04</v>
      </c>
      <c r="H100" s="4">
        <v>244.68</v>
      </c>
      <c r="I100" s="4">
        <v>295.05</v>
      </c>
    </row>
    <row r="101" spans="1:9" hidden="1" x14ac:dyDescent="0.3">
      <c r="A101" t="s">
        <v>382</v>
      </c>
      <c r="B101" t="s">
        <v>97</v>
      </c>
      <c r="C101" t="s">
        <v>149</v>
      </c>
      <c r="D101" s="4">
        <v>2414.8200000000002</v>
      </c>
      <c r="E101" s="4">
        <v>842.96</v>
      </c>
      <c r="F101" s="4">
        <v>804.8</v>
      </c>
      <c r="G101" s="4">
        <v>718.04</v>
      </c>
      <c r="H101" s="4">
        <v>244.68</v>
      </c>
      <c r="I101" s="4">
        <v>295.05</v>
      </c>
    </row>
    <row r="102" spans="1:9" hidden="1" x14ac:dyDescent="0.3">
      <c r="A102" t="s">
        <v>382</v>
      </c>
      <c r="B102" t="s">
        <v>97</v>
      </c>
      <c r="C102" t="s">
        <v>169</v>
      </c>
      <c r="D102" s="4">
        <v>0</v>
      </c>
      <c r="E102" s="4">
        <v>93.25</v>
      </c>
      <c r="F102" s="4">
        <v>0</v>
      </c>
      <c r="G102" s="4">
        <v>0</v>
      </c>
      <c r="H102" s="4">
        <v>0</v>
      </c>
      <c r="I102" s="4">
        <v>0</v>
      </c>
    </row>
    <row r="103" spans="1:9" hidden="1" x14ac:dyDescent="0.3">
      <c r="A103" t="s">
        <v>382</v>
      </c>
      <c r="B103" t="s">
        <v>97</v>
      </c>
      <c r="C103" t="s">
        <v>150</v>
      </c>
      <c r="D103" s="4">
        <v>1297.57</v>
      </c>
      <c r="E103" s="4">
        <v>537.78</v>
      </c>
      <c r="F103" s="4">
        <v>445.59</v>
      </c>
      <c r="G103" s="4">
        <v>535.94000000000005</v>
      </c>
      <c r="H103" s="4">
        <v>93.43</v>
      </c>
      <c r="I103" s="4">
        <v>89.93</v>
      </c>
    </row>
    <row r="104" spans="1:9" hidden="1" x14ac:dyDescent="0.3">
      <c r="A104" t="s">
        <v>382</v>
      </c>
      <c r="B104" t="s">
        <v>97</v>
      </c>
      <c r="C104" t="s">
        <v>151</v>
      </c>
      <c r="D104" s="4">
        <v>0</v>
      </c>
      <c r="E104" s="4">
        <v>0</v>
      </c>
      <c r="F104" s="4">
        <v>170.41</v>
      </c>
      <c r="G104" s="4">
        <v>0</v>
      </c>
      <c r="H104" s="4">
        <v>0</v>
      </c>
      <c r="I104" s="4">
        <v>0</v>
      </c>
    </row>
    <row r="105" spans="1:9" hidden="1" x14ac:dyDescent="0.3">
      <c r="A105" t="s">
        <v>382</v>
      </c>
      <c r="B105" t="s">
        <v>97</v>
      </c>
      <c r="C105" t="s">
        <v>152</v>
      </c>
      <c r="D105" s="4">
        <v>1297.57</v>
      </c>
      <c r="E105" s="4">
        <v>537.78</v>
      </c>
      <c r="F105" s="4">
        <v>275.19</v>
      </c>
      <c r="G105" s="4">
        <v>0</v>
      </c>
      <c r="H105" s="4">
        <v>93.43</v>
      </c>
      <c r="I105" s="4">
        <v>89.93</v>
      </c>
    </row>
    <row r="106" spans="1:9" hidden="1" x14ac:dyDescent="0.3">
      <c r="A106" t="s">
        <v>382</v>
      </c>
      <c r="B106" t="s">
        <v>97</v>
      </c>
      <c r="C106" t="s">
        <v>147</v>
      </c>
      <c r="D106" s="4">
        <v>613.39</v>
      </c>
      <c r="E106" s="4">
        <v>188.78</v>
      </c>
      <c r="F106" s="4">
        <v>148.11000000000001</v>
      </c>
      <c r="G106" s="4">
        <v>52.61</v>
      </c>
      <c r="H106" s="4">
        <v>47.48</v>
      </c>
      <c r="I106" s="4">
        <v>69.17</v>
      </c>
    </row>
    <row r="107" spans="1:9" hidden="1" x14ac:dyDescent="0.3">
      <c r="A107" t="s">
        <v>382</v>
      </c>
      <c r="B107" t="s">
        <v>97</v>
      </c>
      <c r="C107" t="s">
        <v>153</v>
      </c>
      <c r="D107" s="4">
        <v>64.67</v>
      </c>
      <c r="E107" s="4">
        <v>7.51</v>
      </c>
      <c r="F107" s="4">
        <v>1.08</v>
      </c>
      <c r="G107" s="4">
        <v>0</v>
      </c>
      <c r="H107" s="4">
        <v>0</v>
      </c>
      <c r="I107" s="4">
        <v>0</v>
      </c>
    </row>
    <row r="108" spans="1:9" hidden="1" x14ac:dyDescent="0.3">
      <c r="A108" t="s">
        <v>382</v>
      </c>
      <c r="B108" t="s">
        <v>97</v>
      </c>
      <c r="C108" t="s">
        <v>171</v>
      </c>
      <c r="D108" s="4">
        <v>439.2</v>
      </c>
      <c r="E108" s="4">
        <v>15.63</v>
      </c>
      <c r="F108" s="4">
        <v>210.01</v>
      </c>
      <c r="G108" s="4">
        <v>129.49</v>
      </c>
      <c r="H108" s="4">
        <v>103.77</v>
      </c>
      <c r="I108" s="4">
        <v>135.94999999999999</v>
      </c>
    </row>
    <row r="109" spans="1:9" hidden="1" x14ac:dyDescent="0.3">
      <c r="A109" t="s">
        <v>381</v>
      </c>
      <c r="B109" t="s">
        <v>97</v>
      </c>
      <c r="C109" t="s">
        <v>105</v>
      </c>
      <c r="D109" s="4">
        <v>28774.39</v>
      </c>
      <c r="E109" s="4">
        <v>24820.23</v>
      </c>
      <c r="F109" s="4">
        <v>19475.88</v>
      </c>
      <c r="G109" s="4">
        <v>13875.26</v>
      </c>
      <c r="H109" s="4">
        <v>12840.8</v>
      </c>
      <c r="I109" s="4">
        <v>14284.72</v>
      </c>
    </row>
    <row r="110" spans="1:9" hidden="1" x14ac:dyDescent="0.3">
      <c r="A110" t="s">
        <v>381</v>
      </c>
      <c r="B110" t="s">
        <v>97</v>
      </c>
      <c r="C110" t="s">
        <v>155</v>
      </c>
      <c r="D110" s="4">
        <v>28774.39</v>
      </c>
      <c r="E110" s="4">
        <v>24820.23</v>
      </c>
      <c r="F110" s="4">
        <v>19475.88</v>
      </c>
      <c r="G110" s="4">
        <v>13875.26</v>
      </c>
      <c r="H110" s="4">
        <v>12840.8</v>
      </c>
      <c r="I110" s="4">
        <v>14284.72</v>
      </c>
    </row>
    <row r="111" spans="1:9" hidden="1" x14ac:dyDescent="0.3">
      <c r="A111" t="s">
        <v>381</v>
      </c>
      <c r="B111" t="s">
        <v>97</v>
      </c>
      <c r="C111" t="s">
        <v>108</v>
      </c>
      <c r="D111" s="4">
        <v>-263.68</v>
      </c>
      <c r="E111" s="4">
        <v>-449.78</v>
      </c>
      <c r="F111" s="4">
        <v>-322.49</v>
      </c>
      <c r="G111" s="4">
        <v>-140.44</v>
      </c>
      <c r="H111" s="4">
        <v>-140.07</v>
      </c>
      <c r="I111" s="4">
        <v>-142.52000000000001</v>
      </c>
    </row>
    <row r="112" spans="1:9" hidden="1" x14ac:dyDescent="0.3">
      <c r="A112" t="s">
        <v>381</v>
      </c>
      <c r="B112" t="s">
        <v>97</v>
      </c>
      <c r="C112" t="s">
        <v>156</v>
      </c>
      <c r="D112" s="4">
        <v>-2614.04</v>
      </c>
      <c r="E112" s="4">
        <v>-1679.78</v>
      </c>
      <c r="F112" s="4">
        <v>-1492.05</v>
      </c>
      <c r="G112" s="4">
        <v>-1053.93</v>
      </c>
      <c r="H112" s="4">
        <v>-1153.22</v>
      </c>
      <c r="I112" s="4">
        <v>-1225.6300000000001</v>
      </c>
    </row>
    <row r="113" spans="1:9" hidden="1" x14ac:dyDescent="0.3">
      <c r="A113" t="s">
        <v>381</v>
      </c>
      <c r="B113" t="s">
        <v>97</v>
      </c>
      <c r="C113" t="s">
        <v>157</v>
      </c>
      <c r="D113" s="4">
        <v>-1.48</v>
      </c>
      <c r="E113" s="4">
        <v>-1.93</v>
      </c>
      <c r="F113" s="4">
        <v>-0.34</v>
      </c>
      <c r="G113" s="4">
        <v>-2.2799999999999998</v>
      </c>
      <c r="H113" s="4">
        <v>-0.85</v>
      </c>
      <c r="I113" s="4">
        <v>-9.76</v>
      </c>
    </row>
    <row r="114" spans="1:9" hidden="1" x14ac:dyDescent="0.3">
      <c r="A114" t="s">
        <v>381</v>
      </c>
      <c r="B114" t="s">
        <v>97</v>
      </c>
      <c r="C114" t="s">
        <v>158</v>
      </c>
      <c r="D114" s="4">
        <v>-67.8</v>
      </c>
      <c r="E114" s="4">
        <v>-262.75</v>
      </c>
      <c r="F114" s="4">
        <v>-217.08</v>
      </c>
      <c r="G114" s="4">
        <v>-160.01</v>
      </c>
      <c r="H114" s="4">
        <v>-141.76</v>
      </c>
      <c r="I114" s="4">
        <v>-147.02000000000001</v>
      </c>
    </row>
    <row r="115" spans="1:9" hidden="1" x14ac:dyDescent="0.3">
      <c r="A115" t="s">
        <v>381</v>
      </c>
      <c r="B115" t="s">
        <v>97</v>
      </c>
      <c r="C115" t="s">
        <v>106</v>
      </c>
      <c r="D115" s="4">
        <v>-21612.81</v>
      </c>
      <c r="E115" s="4">
        <v>-18757.52</v>
      </c>
      <c r="F115" s="4">
        <v>-15744.15</v>
      </c>
      <c r="G115" s="4">
        <v>-10467.18</v>
      </c>
      <c r="H115" s="4">
        <v>-9636.09</v>
      </c>
      <c r="I115" s="4">
        <v>-11351.23</v>
      </c>
    </row>
    <row r="116" spans="1:9" hidden="1" x14ac:dyDescent="0.3">
      <c r="A116" t="s">
        <v>381</v>
      </c>
      <c r="B116" t="s">
        <v>97</v>
      </c>
      <c r="C116" t="s">
        <v>109</v>
      </c>
      <c r="D116" s="4">
        <v>-8.19</v>
      </c>
      <c r="E116" s="4">
        <v>-34.4</v>
      </c>
      <c r="F116" s="4">
        <v>-52.71</v>
      </c>
      <c r="G116" s="4">
        <v>-846.39</v>
      </c>
      <c r="H116" s="4">
        <v>-580.76</v>
      </c>
      <c r="I116" s="4">
        <v>-85.43</v>
      </c>
    </row>
    <row r="117" spans="1:9" hidden="1" x14ac:dyDescent="0.3">
      <c r="A117" t="s">
        <v>381</v>
      </c>
      <c r="B117" t="s">
        <v>97</v>
      </c>
      <c r="C117" t="s">
        <v>113</v>
      </c>
      <c r="D117" s="4">
        <v>4206.3999999999996</v>
      </c>
      <c r="E117" s="4">
        <v>3634.07</v>
      </c>
      <c r="F117" s="4">
        <v>1647.07</v>
      </c>
      <c r="G117" s="4">
        <v>1205.04</v>
      </c>
      <c r="H117" s="4">
        <v>1188.05</v>
      </c>
      <c r="I117" s="4">
        <v>1323.13</v>
      </c>
    </row>
    <row r="118" spans="1:9" hidden="1" x14ac:dyDescent="0.3">
      <c r="A118" t="s">
        <v>381</v>
      </c>
      <c r="B118" t="s">
        <v>97</v>
      </c>
      <c r="C118" t="s">
        <v>114</v>
      </c>
      <c r="D118" s="4">
        <v>4214.59</v>
      </c>
      <c r="E118" s="4">
        <v>3668.47</v>
      </c>
      <c r="F118" s="4">
        <v>1699.78</v>
      </c>
      <c r="G118" s="4">
        <v>2051.4299999999998</v>
      </c>
      <c r="H118" s="4">
        <v>1768.81</v>
      </c>
      <c r="I118" s="4">
        <v>1408.56</v>
      </c>
    </row>
    <row r="119" spans="1:9" hidden="1" x14ac:dyDescent="0.3">
      <c r="A119" t="s">
        <v>381</v>
      </c>
      <c r="B119" t="s">
        <v>97</v>
      </c>
      <c r="C119" t="s">
        <v>115</v>
      </c>
      <c r="D119" s="4">
        <v>-3413.8</v>
      </c>
      <c r="E119" s="4">
        <v>-2172.85</v>
      </c>
      <c r="F119" s="4">
        <v>-699.01</v>
      </c>
      <c r="G119" s="4">
        <v>-580.16</v>
      </c>
      <c r="H119" s="4">
        <v>-674.35</v>
      </c>
      <c r="I119" s="4">
        <v>-740.59</v>
      </c>
    </row>
    <row r="120" spans="1:9" hidden="1" x14ac:dyDescent="0.3">
      <c r="A120" t="s">
        <v>381</v>
      </c>
      <c r="B120" t="s">
        <v>97</v>
      </c>
      <c r="C120" t="s">
        <v>118</v>
      </c>
      <c r="D120" s="4">
        <v>-3413.8</v>
      </c>
      <c r="E120" s="4">
        <v>-2172.85</v>
      </c>
      <c r="F120" s="4">
        <v>-699.01</v>
      </c>
      <c r="G120" s="4">
        <v>-580.16</v>
      </c>
      <c r="H120" s="4">
        <v>-674.35</v>
      </c>
      <c r="I120" s="4">
        <v>-740.59</v>
      </c>
    </row>
    <row r="121" spans="1:9" hidden="1" x14ac:dyDescent="0.3">
      <c r="A121" t="s">
        <v>381</v>
      </c>
      <c r="B121" t="s">
        <v>97</v>
      </c>
      <c r="C121" t="s">
        <v>159</v>
      </c>
      <c r="D121" s="4">
        <v>-3413.8</v>
      </c>
      <c r="E121" s="4">
        <v>-2172.85</v>
      </c>
      <c r="F121" s="4">
        <v>-699.01</v>
      </c>
      <c r="G121" s="4">
        <v>-580.16</v>
      </c>
      <c r="H121" s="4">
        <v>-674.35</v>
      </c>
      <c r="I121" s="4">
        <v>-740.59</v>
      </c>
    </row>
    <row r="122" spans="1:9" hidden="1" x14ac:dyDescent="0.3">
      <c r="A122" t="s">
        <v>381</v>
      </c>
      <c r="B122" t="s">
        <v>97</v>
      </c>
      <c r="C122" t="s">
        <v>120</v>
      </c>
      <c r="D122" s="4">
        <v>92.71</v>
      </c>
      <c r="E122" s="4">
        <v>177</v>
      </c>
      <c r="F122" s="4">
        <v>395.89</v>
      </c>
      <c r="G122" s="4">
        <v>441.07</v>
      </c>
      <c r="H122" s="4">
        <v>200.43</v>
      </c>
      <c r="I122" s="4">
        <v>78.59</v>
      </c>
    </row>
    <row r="123" spans="1:9" hidden="1" x14ac:dyDescent="0.3">
      <c r="A123" t="s">
        <v>381</v>
      </c>
      <c r="B123" t="s">
        <v>97</v>
      </c>
      <c r="C123" t="s">
        <v>121</v>
      </c>
      <c r="D123" s="4">
        <v>140.22999999999999</v>
      </c>
      <c r="E123" s="4">
        <v>226.96</v>
      </c>
      <c r="F123" s="4">
        <v>453.64</v>
      </c>
      <c r="G123" s="4">
        <v>487.92</v>
      </c>
      <c r="H123" s="4">
        <v>231.38</v>
      </c>
      <c r="I123" s="4">
        <v>131.4</v>
      </c>
    </row>
    <row r="124" spans="1:9" hidden="1" x14ac:dyDescent="0.3">
      <c r="A124" t="s">
        <v>381</v>
      </c>
      <c r="B124" t="s">
        <v>97</v>
      </c>
      <c r="C124" t="s">
        <v>122</v>
      </c>
      <c r="D124" s="4">
        <v>-47.51</v>
      </c>
      <c r="E124" s="4">
        <v>-49.96</v>
      </c>
      <c r="F124" s="4">
        <v>-57.75</v>
      </c>
      <c r="G124" s="4">
        <v>-46.85</v>
      </c>
      <c r="H124" s="4">
        <v>-30.95</v>
      </c>
      <c r="I124" s="4">
        <v>-52.81</v>
      </c>
    </row>
    <row r="125" spans="1:9" hidden="1" x14ac:dyDescent="0.3">
      <c r="A125" t="s">
        <v>381</v>
      </c>
      <c r="B125" t="s">
        <v>97</v>
      </c>
      <c r="C125" t="s">
        <v>123</v>
      </c>
      <c r="D125" s="4">
        <v>885.31</v>
      </c>
      <c r="E125" s="4">
        <v>1638.22</v>
      </c>
      <c r="F125" s="4">
        <v>1343.95</v>
      </c>
      <c r="G125" s="4">
        <v>1065.95</v>
      </c>
      <c r="H125" s="4">
        <v>714.13</v>
      </c>
      <c r="I125" s="4">
        <v>661.13</v>
      </c>
    </row>
    <row r="126" spans="1:9" hidden="1" x14ac:dyDescent="0.3">
      <c r="A126" t="s">
        <v>381</v>
      </c>
      <c r="B126" t="s">
        <v>97</v>
      </c>
      <c r="C126" t="s">
        <v>124</v>
      </c>
      <c r="D126" s="4">
        <v>0</v>
      </c>
      <c r="E126" s="4">
        <v>-589.65</v>
      </c>
      <c r="F126" s="4">
        <v>-540.4</v>
      </c>
      <c r="G126" s="4">
        <v>-387.25</v>
      </c>
      <c r="H126" s="4">
        <v>-240.49</v>
      </c>
      <c r="I126" s="4">
        <v>-234.1</v>
      </c>
    </row>
    <row r="127" spans="1:9" hidden="1" x14ac:dyDescent="0.3">
      <c r="A127" t="s">
        <v>381</v>
      </c>
      <c r="B127" t="s">
        <v>97</v>
      </c>
      <c r="C127" t="s">
        <v>125</v>
      </c>
      <c r="D127" s="4">
        <v>885.31</v>
      </c>
      <c r="E127" s="4">
        <v>1048.57</v>
      </c>
      <c r="F127" s="4">
        <v>803.55</v>
      </c>
      <c r="G127" s="4">
        <v>678.7</v>
      </c>
      <c r="H127" s="4">
        <v>473.64</v>
      </c>
      <c r="I127" s="4">
        <v>427.03</v>
      </c>
    </row>
    <row r="128" spans="1:9" hidden="1" x14ac:dyDescent="0.3">
      <c r="A128" t="s">
        <v>381</v>
      </c>
      <c r="B128" t="s">
        <v>97</v>
      </c>
      <c r="C128" t="s">
        <v>126</v>
      </c>
      <c r="D128" s="4">
        <v>885.31</v>
      </c>
      <c r="E128" s="4">
        <v>1048.57</v>
      </c>
      <c r="F128" s="4">
        <v>803.55</v>
      </c>
      <c r="G128" s="4">
        <v>678.7</v>
      </c>
      <c r="H128" s="4">
        <v>473.64</v>
      </c>
      <c r="I128" s="4">
        <v>427.03</v>
      </c>
    </row>
    <row r="129" spans="1:9" hidden="1" x14ac:dyDescent="0.3">
      <c r="A129" t="s">
        <v>381</v>
      </c>
      <c r="B129" t="s">
        <v>97</v>
      </c>
      <c r="C129" t="s">
        <v>127</v>
      </c>
      <c r="D129" s="4">
        <v>28320.51</v>
      </c>
      <c r="E129" s="4">
        <v>22551.61</v>
      </c>
      <c r="F129" s="4">
        <v>14929.85</v>
      </c>
      <c r="G129" s="4">
        <v>12831.34</v>
      </c>
      <c r="H129" s="4">
        <v>12788.47</v>
      </c>
      <c r="I129" s="4">
        <v>12320.18</v>
      </c>
    </row>
    <row r="130" spans="1:9" hidden="1" x14ac:dyDescent="0.3">
      <c r="A130" t="s">
        <v>381</v>
      </c>
      <c r="B130" t="s">
        <v>97</v>
      </c>
      <c r="C130" t="s">
        <v>128</v>
      </c>
      <c r="D130" s="4">
        <v>8963.1299999999992</v>
      </c>
      <c r="E130" s="4">
        <v>8998.34</v>
      </c>
      <c r="F130" s="4">
        <v>5099.41</v>
      </c>
      <c r="G130" s="4">
        <v>3274.64</v>
      </c>
      <c r="H130" s="4">
        <v>3471.94</v>
      </c>
      <c r="I130" s="4">
        <v>3786.85</v>
      </c>
    </row>
    <row r="131" spans="1:9" hidden="1" x14ac:dyDescent="0.3">
      <c r="A131" t="s">
        <v>381</v>
      </c>
      <c r="B131" t="s">
        <v>97</v>
      </c>
      <c r="C131" t="s">
        <v>129</v>
      </c>
      <c r="D131" s="4">
        <v>8963.1299999999992</v>
      </c>
      <c r="E131" s="4">
        <v>8998.34</v>
      </c>
      <c r="F131" s="4">
        <v>5099.41</v>
      </c>
      <c r="G131" s="4">
        <v>3274.64</v>
      </c>
      <c r="H131" s="4">
        <v>3471.94</v>
      </c>
      <c r="I131" s="4">
        <v>3786.85</v>
      </c>
    </row>
    <row r="132" spans="1:9" hidden="1" x14ac:dyDescent="0.3">
      <c r="A132" t="s">
        <v>381</v>
      </c>
      <c r="B132" t="s">
        <v>97</v>
      </c>
      <c r="C132" t="s">
        <v>132</v>
      </c>
      <c r="D132" s="4">
        <v>19357.38</v>
      </c>
      <c r="E132" s="4">
        <v>13553.27</v>
      </c>
      <c r="F132" s="4">
        <v>9830.44</v>
      </c>
      <c r="G132" s="4">
        <v>9556.7099999999991</v>
      </c>
      <c r="H132" s="4">
        <v>9316.5300000000007</v>
      </c>
      <c r="I132" s="4">
        <v>8533.33</v>
      </c>
    </row>
    <row r="133" spans="1:9" hidden="1" x14ac:dyDescent="0.3">
      <c r="A133" t="s">
        <v>381</v>
      </c>
      <c r="B133" t="s">
        <v>97</v>
      </c>
      <c r="C133" t="s">
        <v>183</v>
      </c>
      <c r="D133" s="4">
        <v>1509.68</v>
      </c>
      <c r="E133" s="4">
        <v>685.65</v>
      </c>
      <c r="F133" s="4">
        <v>471.17</v>
      </c>
      <c r="G133" s="4">
        <v>430.42</v>
      </c>
      <c r="H133" s="4">
        <v>236.46</v>
      </c>
      <c r="I133" s="4">
        <v>111.37</v>
      </c>
    </row>
    <row r="134" spans="1:9" hidden="1" x14ac:dyDescent="0.3">
      <c r="A134" t="s">
        <v>381</v>
      </c>
      <c r="B134" t="s">
        <v>97</v>
      </c>
      <c r="C134" t="s">
        <v>187</v>
      </c>
      <c r="D134" s="4">
        <v>1509.68</v>
      </c>
      <c r="E134" s="4">
        <v>685.65</v>
      </c>
      <c r="F134" s="4">
        <v>471.17</v>
      </c>
      <c r="G134" s="4">
        <v>430.42</v>
      </c>
      <c r="H134" s="4">
        <v>236.46</v>
      </c>
      <c r="I134" s="4">
        <v>111.37</v>
      </c>
    </row>
    <row r="135" spans="1:9" hidden="1" x14ac:dyDescent="0.3">
      <c r="A135" t="s">
        <v>381</v>
      </c>
      <c r="B135" t="s">
        <v>97</v>
      </c>
      <c r="C135" t="s">
        <v>133</v>
      </c>
      <c r="D135" s="4">
        <v>15739.95</v>
      </c>
      <c r="E135" s="4">
        <v>11112.75</v>
      </c>
      <c r="F135" s="4">
        <v>8430.59</v>
      </c>
      <c r="G135" s="4">
        <v>7785.03</v>
      </c>
      <c r="H135" s="4">
        <v>5485.11</v>
      </c>
      <c r="I135" s="4">
        <v>8206.73</v>
      </c>
    </row>
    <row r="136" spans="1:9" hidden="1" x14ac:dyDescent="0.3">
      <c r="A136" t="s">
        <v>381</v>
      </c>
      <c r="B136" t="s">
        <v>97</v>
      </c>
      <c r="C136" t="s">
        <v>162</v>
      </c>
      <c r="D136" s="4">
        <v>12636.5</v>
      </c>
      <c r="E136" s="4">
        <v>8708.83</v>
      </c>
      <c r="F136" s="4">
        <v>7193.63</v>
      </c>
      <c r="G136" s="4">
        <v>0</v>
      </c>
      <c r="H136" s="4">
        <v>4943.75</v>
      </c>
      <c r="I136" s="4">
        <v>7377.11</v>
      </c>
    </row>
    <row r="137" spans="1:9" hidden="1" x14ac:dyDescent="0.3">
      <c r="A137" t="s">
        <v>381</v>
      </c>
      <c r="B137" t="s">
        <v>97</v>
      </c>
      <c r="C137" t="s">
        <v>134</v>
      </c>
      <c r="D137" s="4">
        <v>1399.55</v>
      </c>
      <c r="E137" s="4">
        <v>1185.04</v>
      </c>
      <c r="F137" s="4">
        <v>350.01</v>
      </c>
      <c r="G137" s="4">
        <v>317.3</v>
      </c>
      <c r="H137" s="4">
        <v>160.13</v>
      </c>
      <c r="I137" s="4">
        <v>94.42</v>
      </c>
    </row>
    <row r="138" spans="1:9" hidden="1" x14ac:dyDescent="0.3">
      <c r="A138" t="s">
        <v>381</v>
      </c>
      <c r="B138" t="s">
        <v>97</v>
      </c>
      <c r="C138" t="s">
        <v>164</v>
      </c>
      <c r="D138" s="4">
        <v>-636.57000000000005</v>
      </c>
      <c r="E138" s="4">
        <v>-636.57000000000005</v>
      </c>
      <c r="F138" s="4">
        <v>-636.57000000000005</v>
      </c>
      <c r="G138" s="4">
        <v>-1416.57</v>
      </c>
      <c r="H138" s="4">
        <v>-598.84</v>
      </c>
      <c r="I138" s="4">
        <v>-111.92</v>
      </c>
    </row>
    <row r="139" spans="1:9" hidden="1" x14ac:dyDescent="0.3">
      <c r="A139" t="s">
        <v>381</v>
      </c>
      <c r="B139" t="s">
        <v>97</v>
      </c>
      <c r="C139" t="s">
        <v>165</v>
      </c>
      <c r="D139" s="4">
        <v>2340.4699999999998</v>
      </c>
      <c r="E139" s="4">
        <v>1855.45</v>
      </c>
      <c r="F139" s="4">
        <v>1523.52</v>
      </c>
      <c r="G139" s="4">
        <v>1164.03</v>
      </c>
      <c r="H139" s="4">
        <v>980.07</v>
      </c>
      <c r="I139" s="4">
        <v>847.13</v>
      </c>
    </row>
    <row r="140" spans="1:9" hidden="1" x14ac:dyDescent="0.3">
      <c r="A140" t="s">
        <v>381</v>
      </c>
      <c r="B140" t="s">
        <v>97</v>
      </c>
      <c r="C140" t="s">
        <v>166</v>
      </c>
      <c r="D140" s="4">
        <v>862.34</v>
      </c>
      <c r="E140" s="4">
        <v>960.53</v>
      </c>
      <c r="F140" s="4">
        <v>85.86</v>
      </c>
      <c r="G140" s="4">
        <v>113.17</v>
      </c>
      <c r="H140" s="4">
        <v>1.31</v>
      </c>
      <c r="I140" s="4">
        <v>33.14</v>
      </c>
    </row>
    <row r="141" spans="1:9" hidden="1" x14ac:dyDescent="0.3">
      <c r="A141" t="s">
        <v>381</v>
      </c>
      <c r="B141" t="s">
        <v>97</v>
      </c>
      <c r="C141" t="s">
        <v>135</v>
      </c>
      <c r="D141" s="4">
        <v>480.16</v>
      </c>
      <c r="E141" s="4">
        <v>240</v>
      </c>
      <c r="F141" s="4">
        <v>0</v>
      </c>
      <c r="G141" s="4">
        <v>0</v>
      </c>
      <c r="H141" s="4">
        <v>0</v>
      </c>
      <c r="I141" s="4">
        <v>0</v>
      </c>
    </row>
    <row r="142" spans="1:9" hidden="1" x14ac:dyDescent="0.3">
      <c r="A142" t="s">
        <v>381</v>
      </c>
      <c r="B142" t="s">
        <v>97</v>
      </c>
      <c r="C142" t="s">
        <v>136</v>
      </c>
      <c r="D142" s="4">
        <v>765.25</v>
      </c>
      <c r="E142" s="4">
        <v>554.34</v>
      </c>
      <c r="F142" s="4">
        <v>842.82</v>
      </c>
      <c r="G142" s="4">
        <v>1228.08</v>
      </c>
      <c r="H142" s="4">
        <v>3593.66</v>
      </c>
      <c r="I142" s="4">
        <v>182.08</v>
      </c>
    </row>
    <row r="143" spans="1:9" hidden="1" x14ac:dyDescent="0.3">
      <c r="A143" t="s">
        <v>381</v>
      </c>
      <c r="B143" t="s">
        <v>97</v>
      </c>
      <c r="C143" t="s">
        <v>138</v>
      </c>
      <c r="D143" s="4">
        <v>28320.51</v>
      </c>
      <c r="E143" s="4">
        <v>22551.61</v>
      </c>
      <c r="F143" s="4">
        <v>14929.85</v>
      </c>
      <c r="G143" s="4">
        <v>12831.34</v>
      </c>
      <c r="H143" s="4">
        <v>12788.47</v>
      </c>
      <c r="I143" s="4">
        <v>12320.18</v>
      </c>
    </row>
    <row r="144" spans="1:9" hidden="1" x14ac:dyDescent="0.3">
      <c r="A144" t="s">
        <v>381</v>
      </c>
      <c r="B144" t="s">
        <v>97</v>
      </c>
      <c r="C144" t="s">
        <v>139</v>
      </c>
      <c r="D144" s="4">
        <v>7217.53</v>
      </c>
      <c r="E144" s="4">
        <v>6123.63</v>
      </c>
      <c r="F144" s="4">
        <v>5021.4399999999996</v>
      </c>
      <c r="G144" s="4">
        <v>4317.8999999999996</v>
      </c>
      <c r="H144" s="4">
        <v>3639.2</v>
      </c>
      <c r="I144" s="4">
        <v>3165.56</v>
      </c>
    </row>
    <row r="145" spans="1:9" hidden="1" x14ac:dyDescent="0.3">
      <c r="A145" t="s">
        <v>381</v>
      </c>
      <c r="B145" t="s">
        <v>97</v>
      </c>
      <c r="C145" t="s">
        <v>140</v>
      </c>
      <c r="D145" s="4">
        <v>7217.53</v>
      </c>
      <c r="E145" s="4">
        <v>6123.63</v>
      </c>
      <c r="F145" s="4">
        <v>5021.4399999999996</v>
      </c>
      <c r="G145" s="4">
        <v>4317.8999999999996</v>
      </c>
      <c r="H145" s="4">
        <v>3639.2</v>
      </c>
      <c r="I145" s="4">
        <v>3165.56</v>
      </c>
    </row>
    <row r="146" spans="1:9" hidden="1" x14ac:dyDescent="0.3">
      <c r="A146" t="s">
        <v>381</v>
      </c>
      <c r="B146" t="s">
        <v>97</v>
      </c>
      <c r="C146" t="s">
        <v>141</v>
      </c>
      <c r="D146" s="4">
        <v>1639.5</v>
      </c>
      <c r="E146" s="4">
        <v>2561.7199999999998</v>
      </c>
      <c r="F146" s="4">
        <v>1061.72</v>
      </c>
      <c r="G146" s="4">
        <v>1061.7</v>
      </c>
      <c r="H146" s="4">
        <v>1061.7</v>
      </c>
      <c r="I146" s="4">
        <v>650</v>
      </c>
    </row>
    <row r="147" spans="1:9" hidden="1" x14ac:dyDescent="0.3">
      <c r="A147" t="s">
        <v>381</v>
      </c>
      <c r="B147" t="s">
        <v>97</v>
      </c>
      <c r="C147" t="s">
        <v>142</v>
      </c>
      <c r="D147" s="4">
        <v>578.70000000000005</v>
      </c>
      <c r="E147" s="4">
        <v>452.98</v>
      </c>
      <c r="F147" s="4">
        <v>367.26</v>
      </c>
      <c r="G147" s="4">
        <v>252.03</v>
      </c>
      <c r="H147" s="4">
        <v>252.03</v>
      </c>
      <c r="I147" s="4">
        <v>209.33</v>
      </c>
    </row>
    <row r="148" spans="1:9" hidden="1" x14ac:dyDescent="0.3">
      <c r="A148" t="s">
        <v>381</v>
      </c>
      <c r="B148" t="s">
        <v>97</v>
      </c>
      <c r="C148" t="s">
        <v>143</v>
      </c>
      <c r="D148" s="4">
        <v>4227.41</v>
      </c>
      <c r="E148" s="4">
        <v>2173.75</v>
      </c>
      <c r="F148" s="4">
        <v>2902.3</v>
      </c>
      <c r="G148" s="4">
        <v>2438.86</v>
      </c>
      <c r="H148" s="4">
        <v>1965.22</v>
      </c>
      <c r="I148" s="4">
        <v>1992.59</v>
      </c>
    </row>
    <row r="149" spans="1:9" hidden="1" x14ac:dyDescent="0.3">
      <c r="A149" t="s">
        <v>381</v>
      </c>
      <c r="B149" t="s">
        <v>97</v>
      </c>
      <c r="C149" t="s">
        <v>144</v>
      </c>
      <c r="D149" s="4">
        <v>885.31</v>
      </c>
      <c r="E149" s="4">
        <v>1048.57</v>
      </c>
      <c r="F149" s="4">
        <v>803.55</v>
      </c>
      <c r="G149" s="4">
        <v>678.7</v>
      </c>
      <c r="H149" s="4">
        <v>473.64</v>
      </c>
      <c r="I149" s="4">
        <v>427.03</v>
      </c>
    </row>
    <row r="150" spans="1:9" hidden="1" x14ac:dyDescent="0.3">
      <c r="A150" t="s">
        <v>381</v>
      </c>
      <c r="B150" t="s">
        <v>97</v>
      </c>
      <c r="C150" t="s">
        <v>174</v>
      </c>
      <c r="D150" s="4">
        <v>-113.39</v>
      </c>
      <c r="E150" s="4">
        <v>-113.39</v>
      </c>
      <c r="F150" s="4">
        <v>-113.39</v>
      </c>
      <c r="G150" s="4">
        <v>-113.39</v>
      </c>
      <c r="H150" s="4">
        <v>-113.39</v>
      </c>
      <c r="I150" s="4">
        <v>-113.39</v>
      </c>
    </row>
    <row r="151" spans="1:9" hidden="1" x14ac:dyDescent="0.3">
      <c r="A151" t="s">
        <v>381</v>
      </c>
      <c r="B151" t="s">
        <v>97</v>
      </c>
      <c r="C151" t="s">
        <v>145</v>
      </c>
      <c r="D151" s="4">
        <v>21102.98</v>
      </c>
      <c r="E151" s="4">
        <v>16427.97</v>
      </c>
      <c r="F151" s="4">
        <v>9908.41</v>
      </c>
      <c r="G151" s="4">
        <v>8513.44</v>
      </c>
      <c r="H151" s="4">
        <v>9149.27</v>
      </c>
      <c r="I151" s="4">
        <v>9154.6200000000008</v>
      </c>
    </row>
    <row r="152" spans="1:9" hidden="1" x14ac:dyDescent="0.3">
      <c r="A152" t="s">
        <v>381</v>
      </c>
      <c r="B152" t="s">
        <v>97</v>
      </c>
      <c r="C152" t="s">
        <v>146</v>
      </c>
      <c r="D152" s="4">
        <v>1755</v>
      </c>
      <c r="E152" s="4">
        <v>0</v>
      </c>
      <c r="F152" s="4">
        <v>0.15</v>
      </c>
      <c r="G152" s="4">
        <v>0</v>
      </c>
      <c r="H152" s="4">
        <v>739.37</v>
      </c>
      <c r="I152" s="4">
        <v>572.02</v>
      </c>
    </row>
    <row r="153" spans="1:9" hidden="1" x14ac:dyDescent="0.3">
      <c r="A153" t="s">
        <v>381</v>
      </c>
      <c r="B153" t="s">
        <v>97</v>
      </c>
      <c r="C153" t="s">
        <v>175</v>
      </c>
      <c r="D153" s="4">
        <v>1755</v>
      </c>
      <c r="E153" s="4">
        <v>0</v>
      </c>
      <c r="F153" s="4">
        <v>0.15</v>
      </c>
      <c r="G153" s="4">
        <v>0</v>
      </c>
      <c r="H153" s="4">
        <v>739.37</v>
      </c>
      <c r="I153" s="4">
        <v>572.02</v>
      </c>
    </row>
    <row r="154" spans="1:9" hidden="1" x14ac:dyDescent="0.3">
      <c r="A154" t="s">
        <v>381</v>
      </c>
      <c r="B154" t="s">
        <v>97</v>
      </c>
      <c r="C154" t="s">
        <v>149</v>
      </c>
      <c r="D154" s="4">
        <v>19347.98</v>
      </c>
      <c r="E154" s="4">
        <v>16427.97</v>
      </c>
      <c r="F154" s="4">
        <v>9908.26</v>
      </c>
      <c r="G154" s="4">
        <v>8513.44</v>
      </c>
      <c r="H154" s="4">
        <v>8409.9</v>
      </c>
      <c r="I154" s="4">
        <v>8582.6</v>
      </c>
    </row>
    <row r="155" spans="1:9" hidden="1" x14ac:dyDescent="0.3">
      <c r="A155" t="s">
        <v>381</v>
      </c>
      <c r="B155" t="s">
        <v>97</v>
      </c>
      <c r="C155" t="s">
        <v>169</v>
      </c>
      <c r="D155" s="4">
        <v>9242.2999999999993</v>
      </c>
      <c r="E155" s="4">
        <v>8937.73</v>
      </c>
      <c r="F155" s="4">
        <v>4291.5200000000004</v>
      </c>
      <c r="G155" s="4">
        <v>0</v>
      </c>
      <c r="H155" s="4">
        <v>4423.62</v>
      </c>
      <c r="I155" s="4">
        <v>2344.48</v>
      </c>
    </row>
    <row r="156" spans="1:9" hidden="1" x14ac:dyDescent="0.3">
      <c r="A156" t="s">
        <v>381</v>
      </c>
      <c r="B156" t="s">
        <v>97</v>
      </c>
      <c r="C156" t="s">
        <v>150</v>
      </c>
      <c r="D156" s="4">
        <v>9360.02</v>
      </c>
      <c r="E156" s="4">
        <v>6191.03</v>
      </c>
      <c r="F156" s="4">
        <v>4404.1400000000003</v>
      </c>
      <c r="G156" s="4">
        <v>7592.83</v>
      </c>
      <c r="H156" s="4">
        <v>3379.6</v>
      </c>
      <c r="I156" s="4">
        <v>5615.29</v>
      </c>
    </row>
    <row r="157" spans="1:9" hidden="1" x14ac:dyDescent="0.3">
      <c r="A157" t="s">
        <v>381</v>
      </c>
      <c r="B157" t="s">
        <v>97</v>
      </c>
      <c r="C157" t="s">
        <v>151</v>
      </c>
      <c r="D157" s="4">
        <v>5911.64</v>
      </c>
      <c r="E157" s="4">
        <v>4609.88</v>
      </c>
      <c r="F157" s="4">
        <v>3142.68</v>
      </c>
      <c r="G157" s="4">
        <v>0</v>
      </c>
      <c r="H157" s="4">
        <v>2721.97</v>
      </c>
      <c r="I157" s="4">
        <v>4621.4399999999996</v>
      </c>
    </row>
    <row r="158" spans="1:9" hidden="1" x14ac:dyDescent="0.3">
      <c r="A158" t="s">
        <v>381</v>
      </c>
      <c r="B158" t="s">
        <v>97</v>
      </c>
      <c r="C158" t="s">
        <v>152</v>
      </c>
      <c r="D158" s="4">
        <v>3448.38</v>
      </c>
      <c r="E158" s="4">
        <v>1581.15</v>
      </c>
      <c r="F158" s="4">
        <v>1261.46</v>
      </c>
      <c r="G158" s="4">
        <v>0</v>
      </c>
      <c r="H158" s="4">
        <v>657.63</v>
      </c>
      <c r="I158" s="4">
        <v>993.86</v>
      </c>
    </row>
    <row r="159" spans="1:9" hidden="1" x14ac:dyDescent="0.3">
      <c r="A159" t="s">
        <v>381</v>
      </c>
      <c r="B159" t="s">
        <v>97</v>
      </c>
      <c r="C159" t="s">
        <v>147</v>
      </c>
      <c r="D159" s="4">
        <v>525.79</v>
      </c>
      <c r="E159" s="4">
        <v>309.33999999999997</v>
      </c>
      <c r="F159" s="4">
        <v>227.03</v>
      </c>
      <c r="G159" s="4">
        <v>142.53</v>
      </c>
      <c r="H159" s="4">
        <v>120.62</v>
      </c>
      <c r="I159" s="4">
        <v>153.5</v>
      </c>
    </row>
    <row r="160" spans="1:9" hidden="1" x14ac:dyDescent="0.3">
      <c r="A160" t="s">
        <v>381</v>
      </c>
      <c r="B160" t="s">
        <v>97</v>
      </c>
      <c r="C160" t="s">
        <v>153</v>
      </c>
      <c r="D160" s="4">
        <v>161.62</v>
      </c>
      <c r="E160" s="4">
        <v>146.66</v>
      </c>
      <c r="F160" s="4">
        <v>146.63999999999999</v>
      </c>
      <c r="G160" s="4">
        <v>172.11</v>
      </c>
      <c r="H160" s="4">
        <v>91.1</v>
      </c>
      <c r="I160" s="4">
        <v>78.23</v>
      </c>
    </row>
    <row r="161" spans="1:9" hidden="1" x14ac:dyDescent="0.3">
      <c r="A161" t="s">
        <v>381</v>
      </c>
      <c r="B161" t="s">
        <v>97</v>
      </c>
      <c r="C161" t="s">
        <v>171</v>
      </c>
      <c r="D161" s="4">
        <v>58.24</v>
      </c>
      <c r="E161" s="4">
        <v>843.21</v>
      </c>
      <c r="F161" s="4">
        <v>838.93</v>
      </c>
      <c r="G161" s="4">
        <v>605.98</v>
      </c>
      <c r="H161" s="4">
        <v>394.96</v>
      </c>
      <c r="I161" s="4">
        <v>391.11</v>
      </c>
    </row>
    <row r="162" spans="1:9" hidden="1" x14ac:dyDescent="0.3">
      <c r="A162" t="s">
        <v>380</v>
      </c>
      <c r="B162" t="s">
        <v>97</v>
      </c>
      <c r="C162" t="s">
        <v>105</v>
      </c>
      <c r="D162" s="4">
        <v>85376.41</v>
      </c>
      <c r="E162" s="4">
        <v>76332.42</v>
      </c>
      <c r="F162" s="4">
        <v>62926.74</v>
      </c>
      <c r="G162" s="4">
        <v>60026.51</v>
      </c>
      <c r="H162" s="4">
        <v>48315.3</v>
      </c>
      <c r="I162" s="4">
        <v>45416.39</v>
      </c>
    </row>
    <row r="163" spans="1:9" hidden="1" x14ac:dyDescent="0.3">
      <c r="A163" t="s">
        <v>380</v>
      </c>
      <c r="B163" t="s">
        <v>97</v>
      </c>
      <c r="C163" t="s">
        <v>155</v>
      </c>
      <c r="D163" s="4">
        <v>85376.41</v>
      </c>
      <c r="E163" s="4">
        <v>76332.42</v>
      </c>
      <c r="F163" s="4">
        <v>62926.74</v>
      </c>
      <c r="G163" s="4">
        <v>60026.51</v>
      </c>
      <c r="H163" s="4">
        <v>48315.3</v>
      </c>
      <c r="I163" s="4">
        <v>45416.39</v>
      </c>
    </row>
    <row r="164" spans="1:9" hidden="1" x14ac:dyDescent="0.3">
      <c r="A164" t="s">
        <v>380</v>
      </c>
      <c r="B164" t="s">
        <v>97</v>
      </c>
      <c r="C164" t="s">
        <v>107</v>
      </c>
      <c r="D164" s="4">
        <v>-3503.71</v>
      </c>
      <c r="E164" s="4">
        <v>-2739.38</v>
      </c>
      <c r="F164" s="4">
        <v>-2624.47</v>
      </c>
      <c r="G164" s="4">
        <v>-2321.3200000000002</v>
      </c>
      <c r="H164" s="4">
        <v>-1930.59</v>
      </c>
      <c r="I164" s="4">
        <v>-3575.25</v>
      </c>
    </row>
    <row r="165" spans="1:9" hidden="1" x14ac:dyDescent="0.3">
      <c r="A165" t="s">
        <v>380</v>
      </c>
      <c r="B165" t="s">
        <v>97</v>
      </c>
      <c r="C165" t="s">
        <v>108</v>
      </c>
      <c r="D165" s="4">
        <v>-911.02</v>
      </c>
      <c r="E165" s="4">
        <v>-811.55</v>
      </c>
      <c r="F165" s="4">
        <v>-4141.3599999999997</v>
      </c>
      <c r="G165" s="4">
        <v>-2978.68</v>
      </c>
      <c r="H165" s="4">
        <v>-703.69</v>
      </c>
      <c r="I165" s="4">
        <v>-456.97</v>
      </c>
    </row>
    <row r="166" spans="1:9" hidden="1" x14ac:dyDescent="0.3">
      <c r="A166" t="s">
        <v>380</v>
      </c>
      <c r="B166" t="s">
        <v>97</v>
      </c>
      <c r="C166" t="s">
        <v>156</v>
      </c>
      <c r="D166" s="4">
        <v>-10452.98</v>
      </c>
      <c r="E166" s="4">
        <v>-9230.15</v>
      </c>
      <c r="F166" s="4">
        <v>-8166.07</v>
      </c>
      <c r="G166" s="4">
        <v>-7298.27</v>
      </c>
      <c r="H166" s="4">
        <v>-6244.3</v>
      </c>
      <c r="I166" s="4">
        <v>-6008.03</v>
      </c>
    </row>
    <row r="167" spans="1:9" hidden="1" x14ac:dyDescent="0.3">
      <c r="A167" t="s">
        <v>380</v>
      </c>
      <c r="B167" t="s">
        <v>97</v>
      </c>
      <c r="C167" t="s">
        <v>157</v>
      </c>
      <c r="D167" s="4">
        <v>-9.6</v>
      </c>
      <c r="E167" s="4">
        <v>-10.37</v>
      </c>
      <c r="F167" s="4">
        <v>-8.2799999999999994</v>
      </c>
      <c r="G167" s="4">
        <v>-3.77</v>
      </c>
      <c r="H167" s="4">
        <v>-10.029999999999999</v>
      </c>
      <c r="I167" s="4">
        <v>-17.64</v>
      </c>
    </row>
    <row r="168" spans="1:9" hidden="1" x14ac:dyDescent="0.3">
      <c r="A168" t="s">
        <v>380</v>
      </c>
      <c r="B168" t="s">
        <v>97</v>
      </c>
      <c r="C168" t="s">
        <v>158</v>
      </c>
      <c r="D168" s="4">
        <v>-138.34</v>
      </c>
      <c r="E168" s="4">
        <v>-123.15</v>
      </c>
      <c r="F168" s="4">
        <v>-140.28</v>
      </c>
      <c r="G168" s="4">
        <v>-108.2</v>
      </c>
      <c r="H168" s="4">
        <v>-127.76</v>
      </c>
      <c r="I168" s="4">
        <v>-57.08</v>
      </c>
    </row>
    <row r="169" spans="1:9" hidden="1" x14ac:dyDescent="0.3">
      <c r="A169" t="s">
        <v>380</v>
      </c>
      <c r="B169" t="s">
        <v>97</v>
      </c>
      <c r="C169" t="s">
        <v>106</v>
      </c>
      <c r="D169" s="4">
        <v>-57145.14</v>
      </c>
      <c r="E169" s="4">
        <v>-55053.23</v>
      </c>
      <c r="F169" s="4">
        <v>-46917.83</v>
      </c>
      <c r="G169" s="4">
        <v>-44127</v>
      </c>
      <c r="H169" s="4">
        <v>-36724.78</v>
      </c>
      <c r="I169" s="4">
        <v>-31419.68</v>
      </c>
    </row>
    <row r="170" spans="1:9" hidden="1" x14ac:dyDescent="0.3">
      <c r="A170" t="s">
        <v>380</v>
      </c>
      <c r="B170" t="s">
        <v>97</v>
      </c>
      <c r="C170" t="s">
        <v>109</v>
      </c>
      <c r="D170" s="4">
        <v>-1455.06</v>
      </c>
      <c r="E170" s="4">
        <v>-1405.9</v>
      </c>
      <c r="F170" s="4">
        <v>-1035.6300000000001</v>
      </c>
      <c r="G170" s="4">
        <v>-797.82</v>
      </c>
      <c r="H170" s="4">
        <v>-680.16</v>
      </c>
      <c r="I170" s="4">
        <v>-1311.24</v>
      </c>
    </row>
    <row r="171" spans="1:9" hidden="1" x14ac:dyDescent="0.3">
      <c r="A171" t="s">
        <v>380</v>
      </c>
      <c r="B171" t="s">
        <v>97</v>
      </c>
      <c r="C171" t="s">
        <v>113</v>
      </c>
      <c r="D171" s="4">
        <v>11760.56</v>
      </c>
      <c r="E171" s="4">
        <v>6958.69</v>
      </c>
      <c r="F171" s="4">
        <v>-107.18</v>
      </c>
      <c r="G171" s="4">
        <v>2391.4499999999998</v>
      </c>
      <c r="H171" s="4">
        <v>1893.98</v>
      </c>
      <c r="I171" s="4">
        <v>2570.48</v>
      </c>
    </row>
    <row r="172" spans="1:9" hidden="1" x14ac:dyDescent="0.3">
      <c r="A172" t="s">
        <v>380</v>
      </c>
      <c r="B172" t="s">
        <v>97</v>
      </c>
      <c r="C172" t="s">
        <v>114</v>
      </c>
      <c r="D172" s="4">
        <v>13215.62</v>
      </c>
      <c r="E172" s="4">
        <v>8364.59</v>
      </c>
      <c r="F172" s="4">
        <v>928.45</v>
      </c>
      <c r="G172" s="4">
        <v>3189.27</v>
      </c>
      <c r="H172" s="4">
        <v>2574.14</v>
      </c>
      <c r="I172" s="4">
        <v>3881.72</v>
      </c>
    </row>
    <row r="173" spans="1:9" hidden="1" x14ac:dyDescent="0.3">
      <c r="A173" t="s">
        <v>380</v>
      </c>
      <c r="B173" t="s">
        <v>97</v>
      </c>
      <c r="C173" t="s">
        <v>115</v>
      </c>
      <c r="D173" s="4">
        <v>-2904.4</v>
      </c>
      <c r="E173" s="4">
        <v>-3478.17</v>
      </c>
      <c r="F173" s="4">
        <v>-1494.48</v>
      </c>
      <c r="G173" s="4">
        <v>-995.58</v>
      </c>
      <c r="H173" s="4">
        <v>-751.35</v>
      </c>
      <c r="I173" s="4">
        <v>-1682.03</v>
      </c>
    </row>
    <row r="174" spans="1:9" hidden="1" x14ac:dyDescent="0.3">
      <c r="A174" t="s">
        <v>380</v>
      </c>
      <c r="B174" t="s">
        <v>97</v>
      </c>
      <c r="C174" t="s">
        <v>118</v>
      </c>
      <c r="D174" s="4">
        <v>-2904.4</v>
      </c>
      <c r="E174" s="4">
        <v>-3478.17</v>
      </c>
      <c r="F174" s="4">
        <v>-1494.48</v>
      </c>
      <c r="G174" s="4">
        <v>-995.58</v>
      </c>
      <c r="H174" s="4">
        <v>-751.35</v>
      </c>
      <c r="I174" s="4">
        <v>-1682.03</v>
      </c>
    </row>
    <row r="175" spans="1:9" hidden="1" x14ac:dyDescent="0.3">
      <c r="A175" t="s">
        <v>380</v>
      </c>
      <c r="B175" t="s">
        <v>97</v>
      </c>
      <c r="C175" t="s">
        <v>159</v>
      </c>
      <c r="D175" s="4">
        <v>-2280.6</v>
      </c>
      <c r="E175" s="4">
        <v>-2669.58</v>
      </c>
      <c r="F175" s="4">
        <v>-1494.48</v>
      </c>
      <c r="G175" s="4">
        <v>-995.58</v>
      </c>
      <c r="H175" s="4">
        <v>-751.35</v>
      </c>
      <c r="I175" s="4">
        <v>-1099.6600000000001</v>
      </c>
    </row>
    <row r="176" spans="1:9" hidden="1" x14ac:dyDescent="0.3">
      <c r="A176" t="s">
        <v>380</v>
      </c>
      <c r="B176" t="s">
        <v>97</v>
      </c>
      <c r="C176" t="s">
        <v>173</v>
      </c>
      <c r="D176" s="4">
        <v>0</v>
      </c>
      <c r="E176" s="4">
        <v>0</v>
      </c>
      <c r="F176" s="4">
        <v>0</v>
      </c>
      <c r="G176" s="4">
        <v>0</v>
      </c>
      <c r="H176" s="4">
        <v>0</v>
      </c>
      <c r="I176" s="4">
        <v>-582.37</v>
      </c>
    </row>
    <row r="177" spans="1:9" hidden="1" x14ac:dyDescent="0.3">
      <c r="A177" t="s">
        <v>380</v>
      </c>
      <c r="B177" t="s">
        <v>97</v>
      </c>
      <c r="C177" t="s">
        <v>119</v>
      </c>
      <c r="D177" s="4">
        <v>-623.79999999999995</v>
      </c>
      <c r="E177" s="4">
        <v>0</v>
      </c>
      <c r="F177" s="4">
        <v>0</v>
      </c>
      <c r="G177" s="4">
        <v>0</v>
      </c>
      <c r="H177" s="4">
        <v>0</v>
      </c>
      <c r="I177" s="4">
        <v>0</v>
      </c>
    </row>
    <row r="178" spans="1:9" hidden="1" x14ac:dyDescent="0.3">
      <c r="A178" t="s">
        <v>380</v>
      </c>
      <c r="B178" t="s">
        <v>97</v>
      </c>
      <c r="C178" t="s">
        <v>120</v>
      </c>
      <c r="D178" s="4">
        <v>-2517.3000000000002</v>
      </c>
      <c r="E178" s="4">
        <v>-59.32</v>
      </c>
      <c r="F178" s="4">
        <v>7389.27</v>
      </c>
      <c r="G178" s="4">
        <v>-282.33999999999997</v>
      </c>
      <c r="H178" s="4">
        <v>643.92999999999995</v>
      </c>
      <c r="I178" s="4">
        <v>554.13</v>
      </c>
    </row>
    <row r="179" spans="1:9" hidden="1" x14ac:dyDescent="0.3">
      <c r="A179" t="s">
        <v>380</v>
      </c>
      <c r="B179" t="s">
        <v>97</v>
      </c>
      <c r="C179" t="s">
        <v>121</v>
      </c>
      <c r="D179" s="4">
        <v>957.54</v>
      </c>
      <c r="E179" s="4">
        <v>2209.58</v>
      </c>
      <c r="F179" s="4">
        <v>8601.43</v>
      </c>
      <c r="G179" s="4">
        <v>1515.39</v>
      </c>
      <c r="H179" s="4">
        <v>6249.62</v>
      </c>
      <c r="I179" s="4">
        <v>1919.96</v>
      </c>
    </row>
    <row r="180" spans="1:9" hidden="1" x14ac:dyDescent="0.3">
      <c r="A180" t="s">
        <v>380</v>
      </c>
      <c r="B180" t="s">
        <v>97</v>
      </c>
      <c r="C180" t="s">
        <v>122</v>
      </c>
      <c r="D180" s="4">
        <v>-3474.84</v>
      </c>
      <c r="E180" s="4">
        <v>-2268.9</v>
      </c>
      <c r="F180" s="4">
        <v>-1212.1600000000001</v>
      </c>
      <c r="G180" s="4">
        <v>-1797.73</v>
      </c>
      <c r="H180" s="4">
        <v>-5605.7</v>
      </c>
      <c r="I180" s="4">
        <v>-1365.84</v>
      </c>
    </row>
    <row r="181" spans="1:9" hidden="1" x14ac:dyDescent="0.3">
      <c r="A181" t="s">
        <v>380</v>
      </c>
      <c r="B181" t="s">
        <v>97</v>
      </c>
      <c r="C181" t="s">
        <v>123</v>
      </c>
      <c r="D181" s="4">
        <v>6338.86</v>
      </c>
      <c r="E181" s="4">
        <v>3421.2</v>
      </c>
      <c r="F181" s="4">
        <v>5787.62</v>
      </c>
      <c r="G181" s="4">
        <v>1113.53</v>
      </c>
      <c r="H181" s="4">
        <v>1786.56</v>
      </c>
      <c r="I181" s="4">
        <v>1442.58</v>
      </c>
    </row>
    <row r="182" spans="1:9" hidden="1" x14ac:dyDescent="0.3">
      <c r="A182" t="s">
        <v>380</v>
      </c>
      <c r="B182" t="s">
        <v>97</v>
      </c>
      <c r="C182" t="s">
        <v>124</v>
      </c>
      <c r="D182" s="4">
        <v>-2373.29</v>
      </c>
      <c r="E182" s="4">
        <v>-1658.3</v>
      </c>
      <c r="F182" s="4">
        <v>-1386.23</v>
      </c>
      <c r="G182" s="4">
        <v>-1130.52</v>
      </c>
      <c r="H182" s="4">
        <v>-419.42</v>
      </c>
      <c r="I182" s="4">
        <v>-984.57</v>
      </c>
    </row>
    <row r="183" spans="1:9" hidden="1" x14ac:dyDescent="0.3">
      <c r="A183" t="s">
        <v>380</v>
      </c>
      <c r="B183" t="s">
        <v>97</v>
      </c>
      <c r="C183" t="s">
        <v>125</v>
      </c>
      <c r="D183" s="4">
        <v>3965.58</v>
      </c>
      <c r="E183" s="4">
        <v>1762.9</v>
      </c>
      <c r="F183" s="4">
        <v>4401.3900000000003</v>
      </c>
      <c r="G183" s="4">
        <v>-16.989999999999998</v>
      </c>
      <c r="H183" s="4">
        <v>1367.14</v>
      </c>
      <c r="I183" s="4">
        <v>458.01</v>
      </c>
    </row>
    <row r="184" spans="1:9" hidden="1" x14ac:dyDescent="0.3">
      <c r="A184" t="s">
        <v>380</v>
      </c>
      <c r="B184" t="s">
        <v>97</v>
      </c>
      <c r="C184" t="s">
        <v>126</v>
      </c>
      <c r="D184" s="4">
        <v>3965.58</v>
      </c>
      <c r="E184" s="4">
        <v>1762.9</v>
      </c>
      <c r="F184" s="4">
        <v>4401.3900000000003</v>
      </c>
      <c r="G184" s="4">
        <v>-16.989999999999998</v>
      </c>
      <c r="H184" s="4">
        <v>1367.14</v>
      </c>
      <c r="I184" s="4">
        <v>458.01</v>
      </c>
    </row>
    <row r="185" spans="1:9" hidden="1" x14ac:dyDescent="0.3">
      <c r="A185" t="s">
        <v>380</v>
      </c>
      <c r="B185" t="s">
        <v>97</v>
      </c>
      <c r="C185" t="s">
        <v>127</v>
      </c>
      <c r="D185" s="4">
        <v>64042.26</v>
      </c>
      <c r="E185" s="4">
        <v>54946.58</v>
      </c>
      <c r="F185" s="4">
        <v>53446.97</v>
      </c>
      <c r="G185" s="4">
        <v>48764.55</v>
      </c>
      <c r="H185" s="4">
        <v>49987.89</v>
      </c>
      <c r="I185" s="4">
        <v>43785.73</v>
      </c>
    </row>
    <row r="186" spans="1:9" hidden="1" x14ac:dyDescent="0.3">
      <c r="A186" t="s">
        <v>380</v>
      </c>
      <c r="B186" t="s">
        <v>97</v>
      </c>
      <c r="C186" t="s">
        <v>128</v>
      </c>
      <c r="D186" s="4">
        <v>26792.55</v>
      </c>
      <c r="E186" s="4">
        <v>21711.919999999998</v>
      </c>
      <c r="F186" s="4">
        <v>22791.39</v>
      </c>
      <c r="G186" s="4">
        <v>14607.59</v>
      </c>
      <c r="H186" s="4">
        <v>14217.26</v>
      </c>
      <c r="I186" s="4">
        <v>12433.5</v>
      </c>
    </row>
    <row r="187" spans="1:9" hidden="1" x14ac:dyDescent="0.3">
      <c r="A187" t="s">
        <v>380</v>
      </c>
      <c r="B187" t="s">
        <v>97</v>
      </c>
      <c r="C187" t="s">
        <v>129</v>
      </c>
      <c r="D187" s="4">
        <v>18064</v>
      </c>
      <c r="E187" s="4">
        <v>12921.4</v>
      </c>
      <c r="F187" s="4">
        <v>12735.38</v>
      </c>
      <c r="G187" s="4">
        <v>12014.47</v>
      </c>
      <c r="H187" s="4">
        <v>12310.85</v>
      </c>
      <c r="I187" s="4">
        <v>10432.950000000001</v>
      </c>
    </row>
    <row r="188" spans="1:9" hidden="1" x14ac:dyDescent="0.3">
      <c r="A188" t="s">
        <v>380</v>
      </c>
      <c r="B188" t="s">
        <v>97</v>
      </c>
      <c r="C188" t="s">
        <v>160</v>
      </c>
      <c r="D188" s="4">
        <v>7922.98</v>
      </c>
      <c r="E188" s="4">
        <v>8170.09</v>
      </c>
      <c r="F188" s="4">
        <v>9199.1299999999992</v>
      </c>
      <c r="G188" s="4">
        <v>2300.17</v>
      </c>
      <c r="H188" s="4">
        <v>1176.28</v>
      </c>
      <c r="I188" s="4">
        <v>1745.79</v>
      </c>
    </row>
    <row r="189" spans="1:9" hidden="1" x14ac:dyDescent="0.3">
      <c r="A189" t="s">
        <v>380</v>
      </c>
      <c r="B189" t="s">
        <v>97</v>
      </c>
      <c r="C189" t="s">
        <v>161</v>
      </c>
      <c r="D189" s="4">
        <v>805.57</v>
      </c>
      <c r="E189" s="4">
        <v>620.42999999999995</v>
      </c>
      <c r="F189" s="4">
        <v>856.88</v>
      </c>
      <c r="G189" s="4">
        <v>292.95999999999998</v>
      </c>
      <c r="H189" s="4">
        <v>730.13</v>
      </c>
      <c r="I189" s="4">
        <v>160.19</v>
      </c>
    </row>
    <row r="190" spans="1:9" hidden="1" x14ac:dyDescent="0.3">
      <c r="A190" t="s">
        <v>380</v>
      </c>
      <c r="B190" t="s">
        <v>97</v>
      </c>
      <c r="C190" t="s">
        <v>131</v>
      </c>
      <c r="D190" s="4">
        <v>0</v>
      </c>
      <c r="E190" s="4">
        <v>0</v>
      </c>
      <c r="F190" s="4">
        <v>0</v>
      </c>
      <c r="G190" s="4">
        <v>0</v>
      </c>
      <c r="H190" s="4">
        <v>0</v>
      </c>
      <c r="I190" s="4">
        <v>94.57</v>
      </c>
    </row>
    <row r="191" spans="1:9" hidden="1" x14ac:dyDescent="0.3">
      <c r="A191" t="s">
        <v>380</v>
      </c>
      <c r="B191" t="s">
        <v>97</v>
      </c>
      <c r="C191" t="s">
        <v>132</v>
      </c>
      <c r="D191" s="4">
        <v>37249.71</v>
      </c>
      <c r="E191" s="4">
        <v>33234.660000000003</v>
      </c>
      <c r="F191" s="4">
        <v>30655.58</v>
      </c>
      <c r="G191" s="4">
        <v>34156.959999999999</v>
      </c>
      <c r="H191" s="4">
        <v>35770.639999999999</v>
      </c>
      <c r="I191" s="4">
        <v>31352.23</v>
      </c>
    </row>
    <row r="192" spans="1:9" hidden="1" x14ac:dyDescent="0.3">
      <c r="A192" t="s">
        <v>380</v>
      </c>
      <c r="B192" t="s">
        <v>97</v>
      </c>
      <c r="C192" t="s">
        <v>183</v>
      </c>
      <c r="D192" s="4">
        <v>2266.0300000000002</v>
      </c>
      <c r="E192" s="4">
        <v>2614.9299999999998</v>
      </c>
      <c r="F192" s="4">
        <v>4620.5</v>
      </c>
      <c r="G192" s="4">
        <v>3854.1</v>
      </c>
      <c r="H192" s="4">
        <v>3470.1</v>
      </c>
      <c r="I192" s="4">
        <v>1295.78</v>
      </c>
    </row>
    <row r="193" spans="1:9" hidden="1" x14ac:dyDescent="0.3">
      <c r="A193" t="s">
        <v>380</v>
      </c>
      <c r="B193" t="s">
        <v>97</v>
      </c>
      <c r="C193" t="s">
        <v>187</v>
      </c>
      <c r="D193" s="4">
        <v>2266.0300000000002</v>
      </c>
      <c r="E193" s="4">
        <v>2614.9299999999998</v>
      </c>
      <c r="F193" s="4">
        <v>4620.5</v>
      </c>
      <c r="G193" s="4">
        <v>3854.1</v>
      </c>
      <c r="H193" s="4">
        <v>3470.1</v>
      </c>
      <c r="I193" s="4">
        <v>1295.78</v>
      </c>
    </row>
    <row r="194" spans="1:9" hidden="1" x14ac:dyDescent="0.3">
      <c r="A194" t="s">
        <v>380</v>
      </c>
      <c r="B194" t="s">
        <v>97</v>
      </c>
      <c r="C194" t="s">
        <v>133</v>
      </c>
      <c r="D194" s="4">
        <v>32877.949999999997</v>
      </c>
      <c r="E194" s="4">
        <v>25526.33</v>
      </c>
      <c r="F194" s="4">
        <v>23463.68</v>
      </c>
      <c r="G194" s="4">
        <v>27821.32</v>
      </c>
      <c r="H194" s="4">
        <v>31214.09</v>
      </c>
      <c r="I194" s="4">
        <v>27932.25</v>
      </c>
    </row>
    <row r="195" spans="1:9" hidden="1" x14ac:dyDescent="0.3">
      <c r="A195" t="s">
        <v>380</v>
      </c>
      <c r="B195" t="s">
        <v>97</v>
      </c>
      <c r="C195" t="s">
        <v>162</v>
      </c>
      <c r="D195" s="4">
        <v>37531.980000000003</v>
      </c>
      <c r="E195" s="4">
        <v>27552.47</v>
      </c>
      <c r="F195" s="4">
        <v>25595</v>
      </c>
      <c r="G195" s="4">
        <v>0</v>
      </c>
      <c r="H195" s="4">
        <v>34904.910000000003</v>
      </c>
      <c r="I195" s="4">
        <v>24814.68</v>
      </c>
    </row>
    <row r="196" spans="1:9" hidden="1" x14ac:dyDescent="0.3">
      <c r="A196" t="s">
        <v>380</v>
      </c>
      <c r="B196" t="s">
        <v>97</v>
      </c>
      <c r="C196" t="s">
        <v>134</v>
      </c>
      <c r="D196" s="4">
        <v>77.150000000000006</v>
      </c>
      <c r="E196" s="4">
        <v>95.74</v>
      </c>
      <c r="F196" s="4">
        <v>102.82</v>
      </c>
      <c r="G196" s="4">
        <v>117.34</v>
      </c>
      <c r="H196" s="4">
        <v>1132.76</v>
      </c>
      <c r="I196" s="4">
        <v>1108.72</v>
      </c>
    </row>
    <row r="197" spans="1:9" hidden="1" x14ac:dyDescent="0.3">
      <c r="A197" t="s">
        <v>380</v>
      </c>
      <c r="B197" t="s">
        <v>97</v>
      </c>
      <c r="C197" t="s">
        <v>164</v>
      </c>
      <c r="D197" s="4">
        <v>-8205.9599999999991</v>
      </c>
      <c r="E197" s="4">
        <v>-5570.8</v>
      </c>
      <c r="F197" s="4">
        <v>-5530.79</v>
      </c>
      <c r="G197" s="4">
        <v>-8147.62</v>
      </c>
      <c r="H197" s="4">
        <v>-7153.9</v>
      </c>
      <c r="I197" s="4">
        <v>-54.74</v>
      </c>
    </row>
    <row r="198" spans="1:9" hidden="1" x14ac:dyDescent="0.3">
      <c r="A198" t="s">
        <v>380</v>
      </c>
      <c r="B198" t="s">
        <v>97</v>
      </c>
      <c r="C198" t="s">
        <v>165</v>
      </c>
      <c r="D198" s="4">
        <v>3474.78</v>
      </c>
      <c r="E198" s="4">
        <v>3448.92</v>
      </c>
      <c r="F198" s="4">
        <v>3296.64</v>
      </c>
      <c r="G198" s="4">
        <v>3746.61</v>
      </c>
      <c r="H198" s="4">
        <v>2330.31</v>
      </c>
      <c r="I198" s="4">
        <v>2063.59</v>
      </c>
    </row>
    <row r="199" spans="1:9" hidden="1" x14ac:dyDescent="0.3">
      <c r="A199" t="s">
        <v>380</v>
      </c>
      <c r="B199" t="s">
        <v>97</v>
      </c>
      <c r="C199" t="s">
        <v>166</v>
      </c>
      <c r="D199" s="4">
        <v>110.67</v>
      </c>
      <c r="E199" s="4">
        <v>145.44</v>
      </c>
      <c r="F199" s="4">
        <v>17.899999999999999</v>
      </c>
      <c r="G199" s="4">
        <v>92.23</v>
      </c>
      <c r="H199" s="4">
        <v>14.4</v>
      </c>
      <c r="I199" s="4">
        <v>41.2</v>
      </c>
    </row>
    <row r="200" spans="1:9" hidden="1" x14ac:dyDescent="0.3">
      <c r="A200" t="s">
        <v>380</v>
      </c>
      <c r="B200" t="s">
        <v>97</v>
      </c>
      <c r="C200" t="s">
        <v>135</v>
      </c>
      <c r="D200" s="4">
        <v>7.68</v>
      </c>
      <c r="E200" s="4">
        <v>7.68</v>
      </c>
      <c r="F200" s="4">
        <v>7.68</v>
      </c>
      <c r="G200" s="4">
        <v>7.68</v>
      </c>
      <c r="H200" s="4">
        <v>64.680000000000007</v>
      </c>
      <c r="I200" s="4">
        <v>1138.48</v>
      </c>
    </row>
    <row r="201" spans="1:9" hidden="1" x14ac:dyDescent="0.3">
      <c r="A201" t="s">
        <v>380</v>
      </c>
      <c r="B201" t="s">
        <v>97</v>
      </c>
      <c r="C201" t="s">
        <v>136</v>
      </c>
      <c r="D201" s="4">
        <v>1987.38</v>
      </c>
      <c r="E201" s="4">
        <v>4940.28</v>
      </c>
      <c r="F201" s="4">
        <v>2545.8200000000002</v>
      </c>
      <c r="G201" s="4">
        <v>2381.62</v>
      </c>
      <c r="H201" s="4">
        <v>1007.37</v>
      </c>
      <c r="I201" s="4">
        <v>944.51</v>
      </c>
    </row>
    <row r="202" spans="1:9" hidden="1" x14ac:dyDescent="0.3">
      <c r="A202" t="s">
        <v>380</v>
      </c>
      <c r="B202" t="s">
        <v>97</v>
      </c>
      <c r="C202" t="s">
        <v>138</v>
      </c>
      <c r="D202" s="4">
        <v>64042.26</v>
      </c>
      <c r="E202" s="4">
        <v>54946.58</v>
      </c>
      <c r="F202" s="4">
        <v>53446.97</v>
      </c>
      <c r="G202" s="4">
        <v>48764.55</v>
      </c>
      <c r="H202" s="4">
        <v>49987.89</v>
      </c>
      <c r="I202" s="4">
        <v>43785.73</v>
      </c>
    </row>
    <row r="203" spans="1:9" hidden="1" x14ac:dyDescent="0.3">
      <c r="A203" t="s">
        <v>380</v>
      </c>
      <c r="B203" t="s">
        <v>97</v>
      </c>
      <c r="C203" t="s">
        <v>139</v>
      </c>
      <c r="D203" s="4">
        <v>22640.75</v>
      </c>
      <c r="E203" s="4">
        <v>15778.2</v>
      </c>
      <c r="F203" s="4">
        <v>15086.94</v>
      </c>
      <c r="G203" s="4">
        <v>10697.3</v>
      </c>
      <c r="H203" s="4">
        <v>9493.92</v>
      </c>
      <c r="I203" s="4">
        <v>6621.18</v>
      </c>
    </row>
    <row r="204" spans="1:9" hidden="1" x14ac:dyDescent="0.3">
      <c r="A204" t="s">
        <v>380</v>
      </c>
      <c r="B204" t="s">
        <v>97</v>
      </c>
      <c r="C204" t="s">
        <v>140</v>
      </c>
      <c r="D204" s="4">
        <v>22640.75</v>
      </c>
      <c r="E204" s="4">
        <v>15778.2</v>
      </c>
      <c r="F204" s="4">
        <v>15086.94</v>
      </c>
      <c r="G204" s="4">
        <v>10697.3</v>
      </c>
      <c r="H204" s="4">
        <v>9493.92</v>
      </c>
      <c r="I204" s="4">
        <v>6621.18</v>
      </c>
    </row>
    <row r="205" spans="1:9" hidden="1" x14ac:dyDescent="0.3">
      <c r="A205" t="s">
        <v>380</v>
      </c>
      <c r="B205" t="s">
        <v>97</v>
      </c>
      <c r="C205" t="s">
        <v>141</v>
      </c>
      <c r="D205" s="4">
        <v>3263.16</v>
      </c>
      <c r="E205" s="4">
        <v>3263.16</v>
      </c>
      <c r="F205" s="4">
        <v>3263.16</v>
      </c>
      <c r="G205" s="4">
        <v>3263.16</v>
      </c>
      <c r="H205" s="4">
        <v>3263.16</v>
      </c>
      <c r="I205" s="4">
        <v>2138</v>
      </c>
    </row>
    <row r="206" spans="1:9" hidden="1" x14ac:dyDescent="0.3">
      <c r="A206" t="s">
        <v>380</v>
      </c>
      <c r="B206" t="s">
        <v>97</v>
      </c>
      <c r="C206" t="s">
        <v>167</v>
      </c>
      <c r="D206" s="4">
        <v>12605.82</v>
      </c>
      <c r="E206" s="4">
        <v>9708.86</v>
      </c>
      <c r="F206" s="4">
        <v>10045.31</v>
      </c>
      <c r="G206" s="4">
        <v>9742.99</v>
      </c>
      <c r="H206" s="4">
        <v>8522.6200000000008</v>
      </c>
      <c r="I206" s="4">
        <v>6950.15</v>
      </c>
    </row>
    <row r="207" spans="1:9" hidden="1" x14ac:dyDescent="0.3">
      <c r="A207" t="s">
        <v>380</v>
      </c>
      <c r="B207" t="s">
        <v>97</v>
      </c>
      <c r="C207" t="s">
        <v>142</v>
      </c>
      <c r="D207" s="4">
        <v>1809.97</v>
      </c>
      <c r="E207" s="4">
        <v>1298.47</v>
      </c>
      <c r="F207" s="4">
        <v>984.41</v>
      </c>
      <c r="G207" s="4">
        <v>1298.47</v>
      </c>
      <c r="H207" s="4">
        <v>1161.75</v>
      </c>
      <c r="I207" s="4">
        <v>1031.4100000000001</v>
      </c>
    </row>
    <row r="208" spans="1:9" hidden="1" x14ac:dyDescent="0.3">
      <c r="A208" t="s">
        <v>380</v>
      </c>
      <c r="B208" t="s">
        <v>97</v>
      </c>
      <c r="C208" t="s">
        <v>143</v>
      </c>
      <c r="D208" s="4">
        <v>5129.82</v>
      </c>
      <c r="E208" s="4">
        <v>3878.43</v>
      </c>
      <c r="F208" s="4">
        <v>526.29</v>
      </c>
      <c r="G208" s="4">
        <v>543.28</v>
      </c>
      <c r="H208" s="4">
        <v>-687.14</v>
      </c>
      <c r="I208" s="4">
        <v>-675.63</v>
      </c>
    </row>
    <row r="209" spans="1:9" hidden="1" x14ac:dyDescent="0.3">
      <c r="A209" t="s">
        <v>380</v>
      </c>
      <c r="B209" t="s">
        <v>97</v>
      </c>
      <c r="C209" t="s">
        <v>144</v>
      </c>
      <c r="D209" s="4">
        <v>3965.58</v>
      </c>
      <c r="E209" s="4">
        <v>1762.9</v>
      </c>
      <c r="F209" s="4">
        <v>4401.3900000000003</v>
      </c>
      <c r="G209" s="4">
        <v>-16.989999999999998</v>
      </c>
      <c r="H209" s="4">
        <v>1367.14</v>
      </c>
      <c r="I209" s="4">
        <v>458.01</v>
      </c>
    </row>
    <row r="210" spans="1:9" hidden="1" x14ac:dyDescent="0.3">
      <c r="A210" t="s">
        <v>380</v>
      </c>
      <c r="B210" t="s">
        <v>97</v>
      </c>
      <c r="C210" t="s">
        <v>174</v>
      </c>
      <c r="D210" s="4">
        <v>-4133.6099999999997</v>
      </c>
      <c r="E210" s="4">
        <v>-4133.6099999999997</v>
      </c>
      <c r="F210" s="4">
        <v>-4133.6099999999997</v>
      </c>
      <c r="G210" s="4">
        <v>-4133.6099999999997</v>
      </c>
      <c r="H210" s="4">
        <v>-4133.6099999999997</v>
      </c>
      <c r="I210" s="4">
        <v>-3280.77</v>
      </c>
    </row>
    <row r="211" spans="1:9" hidden="1" x14ac:dyDescent="0.3">
      <c r="A211" t="s">
        <v>380</v>
      </c>
      <c r="B211" t="s">
        <v>97</v>
      </c>
      <c r="C211" t="s">
        <v>145</v>
      </c>
      <c r="D211" s="4">
        <v>41401.51</v>
      </c>
      <c r="E211" s="4">
        <v>39168.379999999997</v>
      </c>
      <c r="F211" s="4">
        <v>38360.03</v>
      </c>
      <c r="G211" s="4">
        <v>38067.25</v>
      </c>
      <c r="H211" s="4">
        <v>40493.980000000003</v>
      </c>
      <c r="I211" s="4">
        <v>37164.559999999998</v>
      </c>
    </row>
    <row r="212" spans="1:9" hidden="1" x14ac:dyDescent="0.3">
      <c r="A212" t="s">
        <v>380</v>
      </c>
      <c r="B212" t="s">
        <v>97</v>
      </c>
      <c r="C212" t="s">
        <v>146</v>
      </c>
      <c r="D212" s="4">
        <v>73.209999999999994</v>
      </c>
      <c r="E212" s="4">
        <v>209.69</v>
      </c>
      <c r="F212" s="4">
        <v>1086.25</v>
      </c>
      <c r="G212" s="4">
        <v>866.62</v>
      </c>
      <c r="H212" s="4">
        <v>3137.28</v>
      </c>
      <c r="I212" s="4">
        <v>1044.81</v>
      </c>
    </row>
    <row r="213" spans="1:9" hidden="1" x14ac:dyDescent="0.3">
      <c r="A213" t="s">
        <v>380</v>
      </c>
      <c r="B213" t="s">
        <v>97</v>
      </c>
      <c r="C213" t="s">
        <v>175</v>
      </c>
      <c r="D213" s="4">
        <v>73.209999999999994</v>
      </c>
      <c r="E213" s="4">
        <v>188</v>
      </c>
      <c r="F213" s="4">
        <v>719.9</v>
      </c>
      <c r="G213" s="4">
        <v>0</v>
      </c>
      <c r="H213" s="4">
        <v>2686.45</v>
      </c>
      <c r="I213" s="4">
        <v>593.98</v>
      </c>
    </row>
    <row r="214" spans="1:9" hidden="1" x14ac:dyDescent="0.3">
      <c r="A214" t="s">
        <v>380</v>
      </c>
      <c r="B214" t="s">
        <v>97</v>
      </c>
      <c r="C214" t="s">
        <v>147</v>
      </c>
      <c r="D214" s="4">
        <v>0</v>
      </c>
      <c r="E214" s="4">
        <v>21.69</v>
      </c>
      <c r="F214" s="4">
        <v>366.35</v>
      </c>
      <c r="G214" s="4">
        <v>866.62</v>
      </c>
      <c r="H214" s="4">
        <v>450.83</v>
      </c>
      <c r="I214" s="4">
        <v>450.83</v>
      </c>
    </row>
    <row r="215" spans="1:9" hidden="1" x14ac:dyDescent="0.3">
      <c r="A215" t="s">
        <v>380</v>
      </c>
      <c r="B215" t="s">
        <v>97</v>
      </c>
      <c r="C215" t="s">
        <v>149</v>
      </c>
      <c r="D215" s="4">
        <v>41328.300000000003</v>
      </c>
      <c r="E215" s="4">
        <v>38958.69</v>
      </c>
      <c r="F215" s="4">
        <v>37273.78</v>
      </c>
      <c r="G215" s="4">
        <v>37200.629999999997</v>
      </c>
      <c r="H215" s="4">
        <v>37356.699999999997</v>
      </c>
      <c r="I215" s="4">
        <v>36119.74</v>
      </c>
    </row>
    <row r="216" spans="1:9" hidden="1" x14ac:dyDescent="0.3">
      <c r="A216" t="s">
        <v>380</v>
      </c>
      <c r="B216" t="s">
        <v>97</v>
      </c>
      <c r="C216" t="s">
        <v>169</v>
      </c>
      <c r="D216" s="4">
        <v>9047.85</v>
      </c>
      <c r="E216" s="4">
        <v>4379.43</v>
      </c>
      <c r="F216" s="4">
        <v>4610.7700000000004</v>
      </c>
      <c r="G216" s="4">
        <v>0</v>
      </c>
      <c r="H216" s="4">
        <v>7483.28</v>
      </c>
      <c r="I216" s="4">
        <v>6592.46</v>
      </c>
    </row>
    <row r="217" spans="1:9" hidden="1" x14ac:dyDescent="0.3">
      <c r="A217" t="s">
        <v>380</v>
      </c>
      <c r="B217" t="s">
        <v>97</v>
      </c>
      <c r="C217" t="s">
        <v>150</v>
      </c>
      <c r="D217" s="4">
        <v>22981.63</v>
      </c>
      <c r="E217" s="4">
        <v>25197.93</v>
      </c>
      <c r="F217" s="4">
        <v>23720.639999999999</v>
      </c>
      <c r="G217" s="4">
        <v>26610.97</v>
      </c>
      <c r="H217" s="4">
        <v>18444.93</v>
      </c>
      <c r="I217" s="4">
        <v>20942.59</v>
      </c>
    </row>
    <row r="218" spans="1:9" hidden="1" x14ac:dyDescent="0.3">
      <c r="A218" t="s">
        <v>380</v>
      </c>
      <c r="B218" t="s">
        <v>97</v>
      </c>
      <c r="C218" t="s">
        <v>151</v>
      </c>
      <c r="D218" s="4">
        <v>14216.46</v>
      </c>
      <c r="E218" s="4">
        <v>15747.45</v>
      </c>
      <c r="F218" s="4">
        <v>15093.79</v>
      </c>
      <c r="G218" s="4">
        <v>0</v>
      </c>
      <c r="H218" s="4">
        <v>16112.27</v>
      </c>
      <c r="I218" s="4">
        <v>13026.58</v>
      </c>
    </row>
    <row r="219" spans="1:9" hidden="1" x14ac:dyDescent="0.3">
      <c r="A219" t="s">
        <v>380</v>
      </c>
      <c r="B219" t="s">
        <v>97</v>
      </c>
      <c r="C219" t="s">
        <v>170</v>
      </c>
      <c r="D219" s="4">
        <v>0</v>
      </c>
      <c r="E219" s="4">
        <v>0</v>
      </c>
      <c r="F219" s="4">
        <v>0</v>
      </c>
      <c r="G219" s="4">
        <v>0</v>
      </c>
      <c r="H219" s="4">
        <v>0</v>
      </c>
      <c r="I219" s="4">
        <v>5986.76</v>
      </c>
    </row>
    <row r="220" spans="1:9" hidden="1" x14ac:dyDescent="0.3">
      <c r="A220" t="s">
        <v>380</v>
      </c>
      <c r="B220" t="s">
        <v>97</v>
      </c>
      <c r="C220" t="s">
        <v>152</v>
      </c>
      <c r="D220" s="4">
        <v>8765.16</v>
      </c>
      <c r="E220" s="4">
        <v>9450.48</v>
      </c>
      <c r="F220" s="4">
        <v>8626.84</v>
      </c>
      <c r="G220" s="4">
        <v>0</v>
      </c>
      <c r="H220" s="4">
        <v>2332.67</v>
      </c>
      <c r="I220" s="4">
        <v>1929.24</v>
      </c>
    </row>
    <row r="221" spans="1:9" hidden="1" x14ac:dyDescent="0.3">
      <c r="A221" t="s">
        <v>380</v>
      </c>
      <c r="B221" t="s">
        <v>97</v>
      </c>
      <c r="C221" t="s">
        <v>147</v>
      </c>
      <c r="D221" s="4">
        <v>5984.23</v>
      </c>
      <c r="E221" s="4">
        <v>6531.29</v>
      </c>
      <c r="F221" s="4">
        <v>6032.1</v>
      </c>
      <c r="G221" s="4">
        <v>8039.49</v>
      </c>
      <c r="H221" s="4">
        <v>7967.76</v>
      </c>
      <c r="I221" s="4">
        <v>6444.38</v>
      </c>
    </row>
    <row r="222" spans="1:9" hidden="1" x14ac:dyDescent="0.3">
      <c r="A222" t="s">
        <v>380</v>
      </c>
      <c r="B222" t="s">
        <v>97</v>
      </c>
      <c r="C222" t="s">
        <v>153</v>
      </c>
      <c r="D222" s="4">
        <v>131.41</v>
      </c>
      <c r="E222" s="4">
        <v>6.89</v>
      </c>
      <c r="F222" s="4">
        <v>13.56</v>
      </c>
      <c r="G222" s="4">
        <v>290.95</v>
      </c>
      <c r="H222" s="4">
        <v>1218.82</v>
      </c>
      <c r="I222" s="4">
        <v>11.59</v>
      </c>
    </row>
    <row r="223" spans="1:9" hidden="1" x14ac:dyDescent="0.3">
      <c r="A223" t="s">
        <v>380</v>
      </c>
      <c r="B223" t="s">
        <v>97</v>
      </c>
      <c r="C223" t="s">
        <v>171</v>
      </c>
      <c r="D223" s="4">
        <v>3183.18</v>
      </c>
      <c r="E223" s="4">
        <v>2843.15</v>
      </c>
      <c r="F223" s="4">
        <v>2896.71</v>
      </c>
      <c r="G223" s="4">
        <v>2259.23</v>
      </c>
      <c r="H223" s="4">
        <v>2241.89</v>
      </c>
      <c r="I223" s="4">
        <v>2128.7199999999998</v>
      </c>
    </row>
    <row r="224" spans="1:9" hidden="1" x14ac:dyDescent="0.3">
      <c r="A224" t="s">
        <v>379</v>
      </c>
      <c r="B224" t="s">
        <v>97</v>
      </c>
      <c r="C224" t="s">
        <v>105</v>
      </c>
      <c r="D224" s="4">
        <v>906554.73</v>
      </c>
      <c r="E224" s="4">
        <v>835545</v>
      </c>
      <c r="F224" s="4">
        <v>750660.87</v>
      </c>
      <c r="G224" s="4">
        <v>629104.27</v>
      </c>
      <c r="H224" s="4">
        <v>490168.21</v>
      </c>
      <c r="I224" s="4">
        <v>481910.73</v>
      </c>
    </row>
    <row r="225" spans="1:9" hidden="1" x14ac:dyDescent="0.3">
      <c r="A225" t="s">
        <v>379</v>
      </c>
      <c r="B225" t="s">
        <v>97</v>
      </c>
      <c r="C225" t="s">
        <v>155</v>
      </c>
      <c r="D225" s="4">
        <v>906554.73</v>
      </c>
      <c r="E225" s="4">
        <v>835545</v>
      </c>
      <c r="F225" s="4">
        <v>750660.87</v>
      </c>
      <c r="G225" s="4">
        <v>629104.27</v>
      </c>
      <c r="H225" s="4">
        <v>490168.21</v>
      </c>
      <c r="I225" s="4">
        <v>481910.73</v>
      </c>
    </row>
    <row r="226" spans="1:9" hidden="1" x14ac:dyDescent="0.3">
      <c r="A226" t="s">
        <v>379</v>
      </c>
      <c r="B226" t="s">
        <v>97</v>
      </c>
      <c r="C226" t="s">
        <v>108</v>
      </c>
      <c r="D226" s="4">
        <v>-27486.76</v>
      </c>
      <c r="E226" s="4">
        <v>-25342.18</v>
      </c>
      <c r="F226" s="4">
        <v>-31176.67</v>
      </c>
      <c r="G226" s="4">
        <v>-17785.59</v>
      </c>
      <c r="H226" s="4">
        <v>-68261.399999999994</v>
      </c>
      <c r="I226" s="4">
        <v>-20740.07</v>
      </c>
    </row>
    <row r="227" spans="1:9" hidden="1" x14ac:dyDescent="0.3">
      <c r="A227" t="s">
        <v>379</v>
      </c>
      <c r="B227" t="s">
        <v>97</v>
      </c>
      <c r="C227" t="s">
        <v>156</v>
      </c>
      <c r="D227" s="4">
        <v>-70562.23</v>
      </c>
      <c r="E227" s="4">
        <v>-52621.91</v>
      </c>
      <c r="F227" s="4">
        <v>-39682.35</v>
      </c>
      <c r="G227" s="4">
        <v>-37403.61</v>
      </c>
      <c r="H227" s="4">
        <v>-37668.94</v>
      </c>
      <c r="I227" s="4">
        <v>-33763.56</v>
      </c>
    </row>
    <row r="228" spans="1:9" hidden="1" x14ac:dyDescent="0.3">
      <c r="A228" t="s">
        <v>379</v>
      </c>
      <c r="B228" t="s">
        <v>97</v>
      </c>
      <c r="C228" t="s">
        <v>157</v>
      </c>
      <c r="D228" s="4">
        <v>-279.51</v>
      </c>
      <c r="E228" s="4">
        <v>-206.35</v>
      </c>
      <c r="F228" s="4">
        <v>-169.98</v>
      </c>
      <c r="G228" s="4">
        <v>-110.04</v>
      </c>
      <c r="H228" s="4">
        <v>-39.32</v>
      </c>
      <c r="I228" s="4">
        <v>-144.09</v>
      </c>
    </row>
    <row r="229" spans="1:9" hidden="1" x14ac:dyDescent="0.3">
      <c r="A229" t="s">
        <v>379</v>
      </c>
      <c r="B229" t="s">
        <v>97</v>
      </c>
      <c r="C229" t="s">
        <v>158</v>
      </c>
      <c r="D229" s="4">
        <v>-6309.65</v>
      </c>
      <c r="E229" s="4">
        <v>-5454.34</v>
      </c>
      <c r="F229" s="4">
        <v>-4301.8999999999996</v>
      </c>
      <c r="G229" s="4">
        <v>-3718.48</v>
      </c>
      <c r="H229" s="4">
        <v>-4217.47</v>
      </c>
      <c r="I229" s="4">
        <v>-3439.7</v>
      </c>
    </row>
    <row r="230" spans="1:9" hidden="1" x14ac:dyDescent="0.3">
      <c r="A230" t="s">
        <v>379</v>
      </c>
      <c r="B230" t="s">
        <v>97</v>
      </c>
      <c r="C230" t="s">
        <v>106</v>
      </c>
      <c r="D230" s="4">
        <v>-709169.35</v>
      </c>
      <c r="E230" s="4">
        <v>-679087</v>
      </c>
      <c r="F230" s="4">
        <v>-606316.59</v>
      </c>
      <c r="G230" s="4">
        <v>-451373.63</v>
      </c>
      <c r="H230" s="4">
        <v>-444376.52</v>
      </c>
      <c r="I230" s="4">
        <v>-380455.76</v>
      </c>
    </row>
    <row r="231" spans="1:9" hidden="1" x14ac:dyDescent="0.3">
      <c r="A231" t="s">
        <v>379</v>
      </c>
      <c r="B231" t="s">
        <v>97</v>
      </c>
      <c r="C231" t="s">
        <v>109</v>
      </c>
      <c r="D231" s="4">
        <v>-16291.76</v>
      </c>
      <c r="E231" s="4">
        <v>-16230.05</v>
      </c>
      <c r="F231" s="4">
        <v>-11450.44</v>
      </c>
      <c r="G231" s="4">
        <v>-17269.36</v>
      </c>
      <c r="H231" s="4">
        <v>-13510.87</v>
      </c>
      <c r="I231" s="4">
        <v>-11273.42</v>
      </c>
    </row>
    <row r="232" spans="1:9" hidden="1" x14ac:dyDescent="0.3">
      <c r="A232" t="s">
        <v>379</v>
      </c>
      <c r="B232" t="s">
        <v>97</v>
      </c>
      <c r="C232" t="s">
        <v>113</v>
      </c>
      <c r="D232" s="4">
        <v>75214.53</v>
      </c>
      <c r="E232" s="4">
        <v>56603.199999999997</v>
      </c>
      <c r="F232" s="4">
        <v>57562.94</v>
      </c>
      <c r="G232" s="4">
        <v>101443.56</v>
      </c>
      <c r="H232" s="4">
        <v>-77906.31</v>
      </c>
      <c r="I232" s="4">
        <v>32094.14</v>
      </c>
    </row>
    <row r="233" spans="1:9" hidden="1" x14ac:dyDescent="0.3">
      <c r="A233" t="s">
        <v>379</v>
      </c>
      <c r="B233" t="s">
        <v>97</v>
      </c>
      <c r="C233" t="s">
        <v>114</v>
      </c>
      <c r="D233" s="4">
        <v>91506.29</v>
      </c>
      <c r="E233" s="4">
        <v>72833.25</v>
      </c>
      <c r="F233" s="4">
        <v>69013.38</v>
      </c>
      <c r="G233" s="4">
        <v>118712.92</v>
      </c>
      <c r="H233" s="4">
        <v>-64395.44</v>
      </c>
      <c r="I233" s="4">
        <v>43367.56</v>
      </c>
    </row>
    <row r="234" spans="1:9" hidden="1" x14ac:dyDescent="0.3">
      <c r="A234" t="s">
        <v>379</v>
      </c>
      <c r="B234" t="s">
        <v>97</v>
      </c>
      <c r="C234" t="s">
        <v>115</v>
      </c>
      <c r="D234" s="4">
        <v>-68611.539999999994</v>
      </c>
      <c r="E234" s="4">
        <v>-68528.92</v>
      </c>
      <c r="F234" s="4">
        <v>-39416.35</v>
      </c>
      <c r="G234" s="4">
        <v>-24963.64</v>
      </c>
      <c r="H234" s="4">
        <v>-55293.56</v>
      </c>
      <c r="I234" s="4">
        <v>-35066.06</v>
      </c>
    </row>
    <row r="235" spans="1:9" hidden="1" x14ac:dyDescent="0.3">
      <c r="A235" t="s">
        <v>379</v>
      </c>
      <c r="B235" t="s">
        <v>97</v>
      </c>
      <c r="C235" t="s">
        <v>118</v>
      </c>
      <c r="D235" s="4">
        <v>-68611.539999999994</v>
      </c>
      <c r="E235" s="4">
        <v>-68528.92</v>
      </c>
      <c r="F235" s="4">
        <v>-39416.35</v>
      </c>
      <c r="G235" s="4">
        <v>-24963.64</v>
      </c>
      <c r="H235" s="4">
        <v>-55293.56</v>
      </c>
      <c r="I235" s="4">
        <v>-35066.06</v>
      </c>
    </row>
    <row r="236" spans="1:9" hidden="1" x14ac:dyDescent="0.3">
      <c r="A236" t="s">
        <v>379</v>
      </c>
      <c r="B236" t="s">
        <v>97</v>
      </c>
      <c r="C236" t="s">
        <v>159</v>
      </c>
      <c r="D236" s="4">
        <v>-68611.539999999994</v>
      </c>
      <c r="E236" s="4">
        <v>-68528.92</v>
      </c>
      <c r="F236" s="4">
        <v>-39416.35</v>
      </c>
      <c r="G236" s="4">
        <v>-24963.64</v>
      </c>
      <c r="H236" s="4">
        <v>-55293.56</v>
      </c>
      <c r="I236" s="4">
        <v>-35066.06</v>
      </c>
    </row>
    <row r="237" spans="1:9" hidden="1" x14ac:dyDescent="0.3">
      <c r="A237" t="s">
        <v>379</v>
      </c>
      <c r="B237" t="s">
        <v>97</v>
      </c>
      <c r="C237" t="s">
        <v>120</v>
      </c>
      <c r="D237" s="4">
        <v>51614.51</v>
      </c>
      <c r="E237" s="4">
        <v>52318.76</v>
      </c>
      <c r="F237" s="4">
        <v>58471.03</v>
      </c>
      <c r="G237" s="4">
        <v>7850.4</v>
      </c>
      <c r="H237" s="4">
        <v>9464.06</v>
      </c>
      <c r="I237" s="4">
        <v>11728.22</v>
      </c>
    </row>
    <row r="238" spans="1:9" hidden="1" x14ac:dyDescent="0.3">
      <c r="A238" t="s">
        <v>379</v>
      </c>
      <c r="B238" t="s">
        <v>97</v>
      </c>
      <c r="C238" t="s">
        <v>121</v>
      </c>
      <c r="D238" s="4">
        <v>66221.83</v>
      </c>
      <c r="E238" s="4">
        <v>67573.960000000006</v>
      </c>
      <c r="F238" s="4">
        <v>73225.87</v>
      </c>
      <c r="G238" s="4">
        <v>21221.11</v>
      </c>
      <c r="H238" s="4">
        <v>18164.82</v>
      </c>
      <c r="I238" s="4">
        <v>16543.169999999998</v>
      </c>
    </row>
    <row r="239" spans="1:9" hidden="1" x14ac:dyDescent="0.3">
      <c r="A239" t="s">
        <v>379</v>
      </c>
      <c r="B239" t="s">
        <v>97</v>
      </c>
      <c r="C239" t="s">
        <v>122</v>
      </c>
      <c r="D239" s="4">
        <v>-14607.32</v>
      </c>
      <c r="E239" s="4">
        <v>-15255.2</v>
      </c>
      <c r="F239" s="4">
        <v>-14754.84</v>
      </c>
      <c r="G239" s="4">
        <v>-13370.71</v>
      </c>
      <c r="H239" s="4">
        <v>-8700.76</v>
      </c>
      <c r="I239" s="4">
        <v>-4814.95</v>
      </c>
    </row>
    <row r="240" spans="1:9" hidden="1" x14ac:dyDescent="0.3">
      <c r="A240" t="s">
        <v>379</v>
      </c>
      <c r="B240" t="s">
        <v>97</v>
      </c>
      <c r="C240" t="s">
        <v>123</v>
      </c>
      <c r="D240" s="4">
        <v>58217.5</v>
      </c>
      <c r="E240" s="4">
        <v>40393.71</v>
      </c>
      <c r="F240" s="4">
        <v>76617.62</v>
      </c>
      <c r="G240" s="4">
        <v>84330.32</v>
      </c>
      <c r="H240" s="4">
        <v>-123735.81</v>
      </c>
      <c r="I240" s="4">
        <v>8756.2999999999993</v>
      </c>
    </row>
    <row r="241" spans="1:9" hidden="1" x14ac:dyDescent="0.3">
      <c r="A241" t="s">
        <v>379</v>
      </c>
      <c r="B241" t="s">
        <v>97</v>
      </c>
      <c r="C241" t="s">
        <v>124</v>
      </c>
      <c r="D241" s="4">
        <v>-19457.48</v>
      </c>
      <c r="E241" s="4">
        <v>-12457.03</v>
      </c>
      <c r="F241" s="4">
        <v>-37104.550000000003</v>
      </c>
      <c r="G241" s="4">
        <v>-24057.72</v>
      </c>
      <c r="H241" s="4">
        <v>18870.400000000001</v>
      </c>
      <c r="I241" s="4">
        <v>-6484.85</v>
      </c>
    </row>
    <row r="242" spans="1:9" hidden="1" x14ac:dyDescent="0.3">
      <c r="A242" t="s">
        <v>379</v>
      </c>
      <c r="B242" t="s">
        <v>97</v>
      </c>
      <c r="C242" t="s">
        <v>125</v>
      </c>
      <c r="D242" s="4">
        <v>38760.019999999997</v>
      </c>
      <c r="E242" s="4">
        <v>27936.67</v>
      </c>
      <c r="F242" s="4">
        <v>39513.07</v>
      </c>
      <c r="G242" s="4">
        <v>60272.6</v>
      </c>
      <c r="H242" s="4">
        <v>-104865.41</v>
      </c>
      <c r="I242" s="4">
        <v>2271.44</v>
      </c>
    </row>
    <row r="243" spans="1:9" hidden="1" x14ac:dyDescent="0.3">
      <c r="A243" t="s">
        <v>379</v>
      </c>
      <c r="B243" t="s">
        <v>97</v>
      </c>
      <c r="C243" t="s">
        <v>126</v>
      </c>
      <c r="D243" s="4">
        <v>38760.019999999997</v>
      </c>
      <c r="E243" s="4">
        <v>27936.67</v>
      </c>
      <c r="F243" s="4">
        <v>39513.07</v>
      </c>
      <c r="G243" s="4">
        <v>60272.6</v>
      </c>
      <c r="H243" s="4">
        <v>-104865.41</v>
      </c>
      <c r="I243" s="4">
        <v>2271.44</v>
      </c>
    </row>
    <row r="244" spans="1:9" hidden="1" x14ac:dyDescent="0.3">
      <c r="A244" t="s">
        <v>379</v>
      </c>
      <c r="B244" t="s">
        <v>97</v>
      </c>
      <c r="C244" t="s">
        <v>127</v>
      </c>
      <c r="D244" s="4">
        <v>1233441.32</v>
      </c>
      <c r="E244" s="4">
        <v>1171850</v>
      </c>
      <c r="F244" s="4">
        <v>1056937.68</v>
      </c>
      <c r="G244" s="4">
        <v>1002279.21</v>
      </c>
      <c r="H244" s="4">
        <v>941330.2</v>
      </c>
      <c r="I244" s="4">
        <v>954235.1</v>
      </c>
    </row>
    <row r="245" spans="1:9" hidden="1" x14ac:dyDescent="0.3">
      <c r="A245" t="s">
        <v>379</v>
      </c>
      <c r="B245" t="s">
        <v>97</v>
      </c>
      <c r="C245" t="s">
        <v>128</v>
      </c>
      <c r="D245" s="4">
        <v>645716.46</v>
      </c>
      <c r="E245" s="4">
        <v>644713.02</v>
      </c>
      <c r="F245" s="4">
        <v>660052.88</v>
      </c>
      <c r="G245" s="4">
        <v>652399.53</v>
      </c>
      <c r="H245" s="4">
        <v>645244.86</v>
      </c>
      <c r="I245" s="4">
        <v>645972.56999999995</v>
      </c>
    </row>
    <row r="246" spans="1:9" hidden="1" x14ac:dyDescent="0.3">
      <c r="A246" t="s">
        <v>379</v>
      </c>
      <c r="B246" t="s">
        <v>97</v>
      </c>
      <c r="C246" t="s">
        <v>129</v>
      </c>
      <c r="D246" s="4">
        <v>610457.61</v>
      </c>
      <c r="E246" s="4">
        <v>610702</v>
      </c>
      <c r="F246" s="4">
        <v>624973.84</v>
      </c>
      <c r="G246" s="4">
        <v>617594.81000000006</v>
      </c>
      <c r="H246" s="4">
        <v>615821.82999999996</v>
      </c>
      <c r="I246" s="4">
        <v>632807.94999999995</v>
      </c>
    </row>
    <row r="247" spans="1:9" hidden="1" x14ac:dyDescent="0.3">
      <c r="A247" t="s">
        <v>379</v>
      </c>
      <c r="B247" t="s">
        <v>97</v>
      </c>
      <c r="C247" t="s">
        <v>160</v>
      </c>
      <c r="D247" s="4">
        <v>1893.91</v>
      </c>
      <c r="E247" s="4">
        <v>2461.13</v>
      </c>
      <c r="F247" s="4">
        <v>3942.63</v>
      </c>
      <c r="G247" s="4">
        <v>4038.23</v>
      </c>
      <c r="H247" s="4">
        <v>1650.04</v>
      </c>
      <c r="I247" s="4">
        <v>945.02</v>
      </c>
    </row>
    <row r="248" spans="1:9" hidden="1" x14ac:dyDescent="0.3">
      <c r="A248" t="s">
        <v>379</v>
      </c>
      <c r="B248" t="s">
        <v>97</v>
      </c>
      <c r="C248" t="s">
        <v>130</v>
      </c>
      <c r="D248" s="4">
        <v>0</v>
      </c>
      <c r="E248" s="4">
        <v>0</v>
      </c>
      <c r="F248" s="4">
        <v>0</v>
      </c>
      <c r="G248" s="4">
        <v>0</v>
      </c>
      <c r="H248" s="4">
        <v>0</v>
      </c>
      <c r="I248" s="4">
        <v>31.5</v>
      </c>
    </row>
    <row r="249" spans="1:9" hidden="1" x14ac:dyDescent="0.3">
      <c r="A249" t="s">
        <v>379</v>
      </c>
      <c r="B249" t="s">
        <v>97</v>
      </c>
      <c r="C249" t="s">
        <v>163</v>
      </c>
      <c r="D249" s="4">
        <v>0</v>
      </c>
      <c r="E249" s="4">
        <v>0</v>
      </c>
      <c r="F249" s="4">
        <v>0</v>
      </c>
      <c r="G249" s="4">
        <v>0</v>
      </c>
      <c r="H249" s="4">
        <v>0</v>
      </c>
      <c r="I249" s="4">
        <v>31.5</v>
      </c>
    </row>
    <row r="250" spans="1:9" hidden="1" x14ac:dyDescent="0.3">
      <c r="A250" t="s">
        <v>379</v>
      </c>
      <c r="B250" t="s">
        <v>97</v>
      </c>
      <c r="C250" t="s">
        <v>178</v>
      </c>
      <c r="D250" s="4">
        <v>0</v>
      </c>
      <c r="E250" s="4">
        <v>0</v>
      </c>
      <c r="F250" s="4">
        <v>0</v>
      </c>
      <c r="G250" s="4">
        <v>0</v>
      </c>
      <c r="H250" s="4">
        <v>0</v>
      </c>
      <c r="I250" s="4">
        <v>3635.91</v>
      </c>
    </row>
    <row r="251" spans="1:9" hidden="1" x14ac:dyDescent="0.3">
      <c r="A251" t="s">
        <v>379</v>
      </c>
      <c r="B251" t="s">
        <v>97</v>
      </c>
      <c r="C251" t="s">
        <v>179</v>
      </c>
      <c r="D251" s="4">
        <v>0</v>
      </c>
      <c r="E251" s="4">
        <v>0</v>
      </c>
      <c r="F251" s="4">
        <v>0</v>
      </c>
      <c r="G251" s="4">
        <v>0</v>
      </c>
      <c r="H251" s="4">
        <v>0</v>
      </c>
      <c r="I251" s="4">
        <v>3635.91</v>
      </c>
    </row>
    <row r="252" spans="1:9" hidden="1" x14ac:dyDescent="0.3">
      <c r="A252" t="s">
        <v>379</v>
      </c>
      <c r="B252" t="s">
        <v>97</v>
      </c>
      <c r="C252" t="s">
        <v>161</v>
      </c>
      <c r="D252" s="4">
        <v>33261.06</v>
      </c>
      <c r="E252" s="4">
        <v>31446.01</v>
      </c>
      <c r="F252" s="4">
        <v>31032.54</v>
      </c>
      <c r="G252" s="4">
        <v>30662.62</v>
      </c>
      <c r="H252" s="4">
        <v>27669.119999999999</v>
      </c>
      <c r="I252" s="4">
        <v>8448.31</v>
      </c>
    </row>
    <row r="253" spans="1:9" hidden="1" x14ac:dyDescent="0.3">
      <c r="A253" t="s">
        <v>379</v>
      </c>
      <c r="B253" t="s">
        <v>97</v>
      </c>
      <c r="C253" t="s">
        <v>131</v>
      </c>
      <c r="D253" s="4">
        <v>103.88</v>
      </c>
      <c r="E253" s="4">
        <v>103.88</v>
      </c>
      <c r="F253" s="4">
        <v>103.88</v>
      </c>
      <c r="G253" s="4">
        <v>103.88</v>
      </c>
      <c r="H253" s="4">
        <v>103.88</v>
      </c>
      <c r="I253" s="4">
        <v>103.88</v>
      </c>
    </row>
    <row r="254" spans="1:9" hidden="1" x14ac:dyDescent="0.3">
      <c r="A254" t="s">
        <v>379</v>
      </c>
      <c r="B254" t="s">
        <v>97</v>
      </c>
      <c r="C254" t="s">
        <v>132</v>
      </c>
      <c r="D254" s="4">
        <v>587724.86</v>
      </c>
      <c r="E254" s="4">
        <v>527138.9</v>
      </c>
      <c r="F254" s="4">
        <v>396884.8</v>
      </c>
      <c r="G254" s="4">
        <v>349879.68</v>
      </c>
      <c r="H254" s="4">
        <v>296085.34000000003</v>
      </c>
      <c r="I254" s="4">
        <v>308262.53000000003</v>
      </c>
    </row>
    <row r="255" spans="1:9" hidden="1" x14ac:dyDescent="0.3">
      <c r="A255" t="s">
        <v>379</v>
      </c>
      <c r="B255" t="s">
        <v>97</v>
      </c>
      <c r="C255" t="s">
        <v>183</v>
      </c>
      <c r="D255" s="4">
        <v>14094.53</v>
      </c>
      <c r="E255" s="4">
        <v>16667.97</v>
      </c>
      <c r="F255" s="4">
        <v>16474.16</v>
      </c>
      <c r="G255" s="4">
        <v>14791.96</v>
      </c>
      <c r="H255" s="4">
        <v>18354.16</v>
      </c>
      <c r="I255" s="4">
        <v>10602.7</v>
      </c>
    </row>
    <row r="256" spans="1:9" hidden="1" x14ac:dyDescent="0.3">
      <c r="A256" t="s">
        <v>379</v>
      </c>
      <c r="B256" t="s">
        <v>97</v>
      </c>
      <c r="C256" t="s">
        <v>187</v>
      </c>
      <c r="D256" s="4">
        <v>14094.53</v>
      </c>
      <c r="E256" s="4">
        <v>16667.97</v>
      </c>
      <c r="F256" s="4">
        <v>16474.16</v>
      </c>
      <c r="G256" s="4">
        <v>14791.96</v>
      </c>
      <c r="H256" s="4">
        <v>18354.16</v>
      </c>
      <c r="I256" s="4">
        <v>10602.7</v>
      </c>
    </row>
    <row r="257" spans="1:9" hidden="1" x14ac:dyDescent="0.3">
      <c r="A257" t="s">
        <v>379</v>
      </c>
      <c r="B257" t="s">
        <v>97</v>
      </c>
      <c r="C257" t="s">
        <v>133</v>
      </c>
      <c r="D257" s="4">
        <v>557546.19999999995</v>
      </c>
      <c r="E257" s="4">
        <v>478261.4</v>
      </c>
      <c r="F257" s="4">
        <v>333118.89</v>
      </c>
      <c r="G257" s="4">
        <v>289700.53000000003</v>
      </c>
      <c r="H257" s="4">
        <v>259675.71</v>
      </c>
      <c r="I257" s="4">
        <v>274294.03999999998</v>
      </c>
    </row>
    <row r="258" spans="1:9" hidden="1" x14ac:dyDescent="0.3">
      <c r="A258" t="s">
        <v>379</v>
      </c>
      <c r="B258" t="s">
        <v>97</v>
      </c>
      <c r="C258" t="s">
        <v>162</v>
      </c>
      <c r="D258" s="4">
        <v>632891.05000000005</v>
      </c>
      <c r="E258" s="4">
        <v>538934</v>
      </c>
      <c r="F258" s="4">
        <v>414126.42</v>
      </c>
      <c r="G258" s="4">
        <v>0</v>
      </c>
      <c r="H258" s="4">
        <v>332529.03000000003</v>
      </c>
      <c r="I258" s="4">
        <v>287632.82</v>
      </c>
    </row>
    <row r="259" spans="1:9" hidden="1" x14ac:dyDescent="0.3">
      <c r="A259" t="s">
        <v>379</v>
      </c>
      <c r="B259" t="s">
        <v>97</v>
      </c>
      <c r="C259" t="s">
        <v>134</v>
      </c>
      <c r="D259" s="4">
        <v>12807.32</v>
      </c>
      <c r="E259" s="4">
        <v>13694.49</v>
      </c>
      <c r="F259" s="4">
        <v>12661.91</v>
      </c>
      <c r="G259" s="4">
        <v>6701.76</v>
      </c>
      <c r="H259" s="4">
        <v>6364.1</v>
      </c>
      <c r="I259" s="4">
        <v>5051.18</v>
      </c>
    </row>
    <row r="260" spans="1:9" hidden="1" x14ac:dyDescent="0.3">
      <c r="A260" t="s">
        <v>379</v>
      </c>
      <c r="B260" t="s">
        <v>97</v>
      </c>
      <c r="C260" t="s">
        <v>164</v>
      </c>
      <c r="D260" s="4">
        <v>-98606.27</v>
      </c>
      <c r="E260" s="4">
        <v>-91433.46</v>
      </c>
      <c r="F260" s="4">
        <v>-93882.81</v>
      </c>
      <c r="G260" s="4">
        <v>-91361.2</v>
      </c>
      <c r="H260" s="4">
        <v>-92823.99</v>
      </c>
      <c r="I260" s="4">
        <v>-26558.21</v>
      </c>
    </row>
    <row r="261" spans="1:9" hidden="1" x14ac:dyDescent="0.3">
      <c r="A261" t="s">
        <v>379</v>
      </c>
      <c r="B261" t="s">
        <v>97</v>
      </c>
      <c r="C261" t="s">
        <v>165</v>
      </c>
      <c r="D261" s="4">
        <v>10454.11</v>
      </c>
      <c r="E261" s="4">
        <v>17067.2</v>
      </c>
      <c r="F261" s="4">
        <v>213.37</v>
      </c>
      <c r="G261" s="4">
        <v>43.33</v>
      </c>
      <c r="H261" s="4">
        <v>13606.56</v>
      </c>
      <c r="I261" s="4">
        <v>8168.25</v>
      </c>
    </row>
    <row r="262" spans="1:9" hidden="1" x14ac:dyDescent="0.3">
      <c r="A262" t="s">
        <v>379</v>
      </c>
      <c r="B262" t="s">
        <v>97</v>
      </c>
      <c r="C262" t="s">
        <v>166</v>
      </c>
      <c r="D262" s="4">
        <v>3083.06</v>
      </c>
      <c r="E262" s="4">
        <v>2384.6</v>
      </c>
      <c r="F262" s="4">
        <v>1982.93</v>
      </c>
      <c r="G262" s="4">
        <v>4428.1099999999997</v>
      </c>
      <c r="H262" s="4">
        <v>2738.54</v>
      </c>
      <c r="I262" s="4">
        <v>2753.52</v>
      </c>
    </row>
    <row r="263" spans="1:9" hidden="1" x14ac:dyDescent="0.3">
      <c r="A263" t="s">
        <v>379</v>
      </c>
      <c r="B263" t="s">
        <v>97</v>
      </c>
      <c r="C263" t="s">
        <v>135</v>
      </c>
      <c r="D263" s="4">
        <v>8139.39</v>
      </c>
      <c r="E263" s="4">
        <v>6309.96</v>
      </c>
      <c r="F263" s="4">
        <v>3756.16</v>
      </c>
      <c r="G263" s="4">
        <v>4206.16</v>
      </c>
      <c r="H263" s="4">
        <v>2504.16</v>
      </c>
      <c r="I263" s="4">
        <v>2461.0100000000002</v>
      </c>
    </row>
    <row r="264" spans="1:9" hidden="1" x14ac:dyDescent="0.3">
      <c r="A264" t="s">
        <v>379</v>
      </c>
      <c r="B264" t="s">
        <v>97</v>
      </c>
      <c r="C264" t="s">
        <v>136</v>
      </c>
      <c r="D264" s="4">
        <v>4861.68</v>
      </c>
      <c r="E264" s="4">
        <v>23514.98</v>
      </c>
      <c r="F264" s="4">
        <v>41552.660000000003</v>
      </c>
      <c r="G264" s="4">
        <v>36752.910000000003</v>
      </c>
      <c r="H264" s="4">
        <v>12812.77</v>
      </c>
      <c r="I264" s="4">
        <v>18151.259999999998</v>
      </c>
    </row>
    <row r="265" spans="1:9" hidden="1" x14ac:dyDescent="0.3">
      <c r="A265" t="s">
        <v>379</v>
      </c>
      <c r="B265" t="s">
        <v>97</v>
      </c>
      <c r="C265" t="s">
        <v>138</v>
      </c>
      <c r="D265" s="4">
        <v>1233441.32</v>
      </c>
      <c r="E265" s="4">
        <v>1171852</v>
      </c>
      <c r="F265" s="4">
        <v>1056937.68</v>
      </c>
      <c r="G265" s="4">
        <v>1002279.21</v>
      </c>
      <c r="H265" s="4">
        <v>941330.2</v>
      </c>
      <c r="I265" s="4">
        <v>954235.1</v>
      </c>
    </row>
    <row r="266" spans="1:9" hidden="1" x14ac:dyDescent="0.3">
      <c r="A266" t="s">
        <v>379</v>
      </c>
      <c r="B266" t="s">
        <v>97</v>
      </c>
      <c r="C266" t="s">
        <v>139</v>
      </c>
      <c r="D266" s="4">
        <v>391389.03</v>
      </c>
      <c r="E266" s="4">
        <v>352883</v>
      </c>
      <c r="F266" s="4">
        <v>326219.61</v>
      </c>
      <c r="G266" s="4">
        <v>289757.5</v>
      </c>
      <c r="H266" s="4">
        <v>208517.6</v>
      </c>
      <c r="I266" s="4">
        <v>314954.96000000002</v>
      </c>
    </row>
    <row r="267" spans="1:9" hidden="1" x14ac:dyDescent="0.3">
      <c r="A267" t="s">
        <v>379</v>
      </c>
      <c r="B267" t="s">
        <v>97</v>
      </c>
      <c r="C267" t="s">
        <v>140</v>
      </c>
      <c r="D267" s="4">
        <v>391389.03</v>
      </c>
      <c r="E267" s="4">
        <v>352883</v>
      </c>
      <c r="F267" s="4">
        <v>326219.61</v>
      </c>
      <c r="G267" s="4">
        <v>289757.5</v>
      </c>
      <c r="H267" s="4">
        <v>208517.6</v>
      </c>
      <c r="I267" s="4">
        <v>314954.96000000002</v>
      </c>
    </row>
    <row r="268" spans="1:9" hidden="1" x14ac:dyDescent="0.3">
      <c r="A268" t="s">
        <v>379</v>
      </c>
      <c r="B268" t="s">
        <v>97</v>
      </c>
      <c r="C268" t="s">
        <v>141</v>
      </c>
      <c r="D268" s="4">
        <v>823.62</v>
      </c>
      <c r="E268" s="4">
        <v>823.62</v>
      </c>
      <c r="F268" s="4">
        <v>823.62</v>
      </c>
      <c r="G268" s="4">
        <v>823.62</v>
      </c>
      <c r="H268" s="4">
        <v>823.62</v>
      </c>
      <c r="I268" s="4">
        <v>823.62</v>
      </c>
    </row>
    <row r="269" spans="1:9" hidden="1" x14ac:dyDescent="0.3">
      <c r="A269" t="s">
        <v>379</v>
      </c>
      <c r="B269" t="s">
        <v>97</v>
      </c>
      <c r="C269" t="s">
        <v>167</v>
      </c>
      <c r="D269" s="4">
        <v>48283.42</v>
      </c>
      <c r="E269" s="4">
        <v>48283.42</v>
      </c>
      <c r="F269" s="4">
        <v>48283.42</v>
      </c>
      <c r="G269" s="4">
        <v>48283.42</v>
      </c>
      <c r="H269" s="4">
        <v>48283.42</v>
      </c>
      <c r="I269" s="4">
        <v>48283.42</v>
      </c>
    </row>
    <row r="270" spans="1:9" hidden="1" x14ac:dyDescent="0.3">
      <c r="A270" t="s">
        <v>379</v>
      </c>
      <c r="B270" t="s">
        <v>97</v>
      </c>
      <c r="C270" t="s">
        <v>142</v>
      </c>
      <c r="D270" s="4">
        <v>4539.6400000000003</v>
      </c>
      <c r="E270" s="4">
        <v>4539.6400000000003</v>
      </c>
      <c r="F270" s="4">
        <v>87828.28</v>
      </c>
      <c r="G270" s="4">
        <v>90788.85</v>
      </c>
      <c r="H270" s="4">
        <v>90788.85</v>
      </c>
      <c r="I270" s="4">
        <v>88517.4</v>
      </c>
    </row>
    <row r="271" spans="1:9" hidden="1" x14ac:dyDescent="0.3">
      <c r="A271" t="s">
        <v>379</v>
      </c>
      <c r="B271" t="s">
        <v>97</v>
      </c>
      <c r="C271" t="s">
        <v>143</v>
      </c>
      <c r="D271" s="4">
        <v>105745.9</v>
      </c>
      <c r="E271" s="4">
        <v>77809.23</v>
      </c>
      <c r="F271" s="4">
        <v>-44992.480000000003</v>
      </c>
      <c r="G271" s="4">
        <v>-106100.02</v>
      </c>
      <c r="H271" s="4">
        <v>-28602.080000000002</v>
      </c>
      <c r="I271" s="4">
        <v>-17683.12</v>
      </c>
    </row>
    <row r="272" spans="1:9" hidden="1" x14ac:dyDescent="0.3">
      <c r="A272" t="s">
        <v>379</v>
      </c>
      <c r="B272" t="s">
        <v>97</v>
      </c>
      <c r="C272" t="s">
        <v>144</v>
      </c>
      <c r="D272" s="4">
        <v>38760.019999999997</v>
      </c>
      <c r="E272" s="4">
        <v>27936.67</v>
      </c>
      <c r="F272" s="4">
        <v>39513.07</v>
      </c>
      <c r="G272" s="4">
        <v>60272.6</v>
      </c>
      <c r="H272" s="4">
        <v>-104865.41</v>
      </c>
      <c r="I272" s="4">
        <v>2271.44</v>
      </c>
    </row>
    <row r="273" spans="1:9" hidden="1" x14ac:dyDescent="0.3">
      <c r="A273" t="s">
        <v>379</v>
      </c>
      <c r="B273" t="s">
        <v>97</v>
      </c>
      <c r="C273" t="s">
        <v>174</v>
      </c>
      <c r="D273" s="4">
        <v>193236.43</v>
      </c>
      <c r="E273" s="4">
        <v>193490.78</v>
      </c>
      <c r="F273" s="4">
        <v>194763.69</v>
      </c>
      <c r="G273" s="4">
        <v>195689.03</v>
      </c>
      <c r="H273" s="4">
        <v>202089.2</v>
      </c>
      <c r="I273" s="4">
        <v>192742.19</v>
      </c>
    </row>
    <row r="274" spans="1:9" hidden="1" x14ac:dyDescent="0.3">
      <c r="A274" t="s">
        <v>379</v>
      </c>
      <c r="B274" t="s">
        <v>97</v>
      </c>
      <c r="C274" t="s">
        <v>145</v>
      </c>
      <c r="D274" s="4">
        <v>842052.28</v>
      </c>
      <c r="E274" s="4">
        <v>818969</v>
      </c>
      <c r="F274" s="4">
        <v>730718.08</v>
      </c>
      <c r="G274" s="4">
        <v>712521.71</v>
      </c>
      <c r="H274" s="4">
        <v>732812.6</v>
      </c>
      <c r="I274" s="4">
        <v>639280.15</v>
      </c>
    </row>
    <row r="275" spans="1:9" hidden="1" x14ac:dyDescent="0.3">
      <c r="A275" t="s">
        <v>379</v>
      </c>
      <c r="B275" t="s">
        <v>97</v>
      </c>
      <c r="C275" t="s">
        <v>146</v>
      </c>
      <c r="D275" s="4">
        <v>8625.39</v>
      </c>
      <c r="E275" s="4">
        <v>8894.07</v>
      </c>
      <c r="F275" s="4">
        <v>10768.02</v>
      </c>
      <c r="G275" s="4">
        <v>7299.69</v>
      </c>
      <c r="H275" s="4">
        <v>5858.17</v>
      </c>
      <c r="I275" s="4">
        <v>26524.37</v>
      </c>
    </row>
    <row r="276" spans="1:9" hidden="1" x14ac:dyDescent="0.3">
      <c r="A276" t="s">
        <v>379</v>
      </c>
      <c r="B276" t="s">
        <v>97</v>
      </c>
      <c r="C276" t="s">
        <v>175</v>
      </c>
      <c r="D276" s="4">
        <v>0</v>
      </c>
      <c r="E276" s="4">
        <v>0</v>
      </c>
      <c r="F276" s="4">
        <v>0</v>
      </c>
      <c r="G276" s="4">
        <v>0</v>
      </c>
      <c r="H276" s="4">
        <v>0</v>
      </c>
      <c r="I276" s="4">
        <v>20457.849999999999</v>
      </c>
    </row>
    <row r="277" spans="1:9" hidden="1" x14ac:dyDescent="0.3">
      <c r="A277" t="s">
        <v>379</v>
      </c>
      <c r="B277" t="s">
        <v>97</v>
      </c>
      <c r="C277" t="s">
        <v>147</v>
      </c>
      <c r="D277" s="4">
        <v>6947.84</v>
      </c>
      <c r="E277" s="4">
        <v>6448.29</v>
      </c>
      <c r="F277" s="4">
        <v>8661.67</v>
      </c>
      <c r="G277" s="4">
        <v>6146.64</v>
      </c>
      <c r="H277" s="4">
        <v>4995.63</v>
      </c>
      <c r="I277" s="4">
        <v>5218.25</v>
      </c>
    </row>
    <row r="278" spans="1:9" hidden="1" x14ac:dyDescent="0.3">
      <c r="A278" t="s">
        <v>379</v>
      </c>
      <c r="B278" t="s">
        <v>97</v>
      </c>
      <c r="C278" t="s">
        <v>148</v>
      </c>
      <c r="D278" s="4">
        <v>1677.55</v>
      </c>
      <c r="E278" s="4">
        <v>2445.7800000000002</v>
      </c>
      <c r="F278" s="4">
        <v>2106.34</v>
      </c>
      <c r="G278" s="4">
        <v>1153.05</v>
      </c>
      <c r="H278" s="4">
        <v>862.55</v>
      </c>
      <c r="I278" s="4">
        <v>848.27</v>
      </c>
    </row>
    <row r="279" spans="1:9" hidden="1" x14ac:dyDescent="0.3">
      <c r="A279" t="s">
        <v>379</v>
      </c>
      <c r="B279" t="s">
        <v>97</v>
      </c>
      <c r="C279" t="s">
        <v>149</v>
      </c>
      <c r="D279" s="4">
        <v>833426.9</v>
      </c>
      <c r="E279" s="4">
        <v>810074.97</v>
      </c>
      <c r="F279" s="4">
        <v>719950.06</v>
      </c>
      <c r="G279" s="4">
        <v>705222.02</v>
      </c>
      <c r="H279" s="4">
        <v>726954.43</v>
      </c>
      <c r="I279" s="4">
        <v>612755.78</v>
      </c>
    </row>
    <row r="280" spans="1:9" hidden="1" x14ac:dyDescent="0.3">
      <c r="A280" t="s">
        <v>379</v>
      </c>
      <c r="B280" t="s">
        <v>97</v>
      </c>
      <c r="C280" t="s">
        <v>169</v>
      </c>
      <c r="D280" s="4">
        <v>427321.41</v>
      </c>
      <c r="E280" s="4">
        <v>430825</v>
      </c>
      <c r="F280" s="4">
        <v>401985.1</v>
      </c>
      <c r="G280" s="4">
        <v>0</v>
      </c>
      <c r="H280" s="4">
        <v>399572.93</v>
      </c>
      <c r="I280" s="4">
        <v>354249.09</v>
      </c>
    </row>
    <row r="281" spans="1:9" hidden="1" x14ac:dyDescent="0.3">
      <c r="A281" t="s">
        <v>379</v>
      </c>
      <c r="B281" t="s">
        <v>97</v>
      </c>
      <c r="C281" t="s">
        <v>150</v>
      </c>
      <c r="D281" s="4">
        <v>199929.74</v>
      </c>
      <c r="E281" s="4">
        <v>175961</v>
      </c>
      <c r="F281" s="4">
        <v>119633.88</v>
      </c>
      <c r="G281" s="4">
        <v>515487.22</v>
      </c>
      <c r="H281" s="4">
        <v>107992.34</v>
      </c>
      <c r="I281" s="4">
        <v>82843.789999999994</v>
      </c>
    </row>
    <row r="282" spans="1:9" hidden="1" x14ac:dyDescent="0.3">
      <c r="A282" t="s">
        <v>379</v>
      </c>
      <c r="B282" t="s">
        <v>97</v>
      </c>
      <c r="C282" t="s">
        <v>151</v>
      </c>
      <c r="D282" s="4">
        <v>115788.22</v>
      </c>
      <c r="E282" s="4">
        <v>103373</v>
      </c>
      <c r="F282" s="4">
        <v>60264.03</v>
      </c>
      <c r="G282" s="4">
        <v>0</v>
      </c>
      <c r="H282" s="4">
        <v>71116</v>
      </c>
      <c r="I282" s="4">
        <v>53130.559999999998</v>
      </c>
    </row>
    <row r="283" spans="1:9" hidden="1" x14ac:dyDescent="0.3">
      <c r="A283" t="s">
        <v>379</v>
      </c>
      <c r="B283" t="s">
        <v>97</v>
      </c>
      <c r="C283" t="s">
        <v>152</v>
      </c>
      <c r="D283" s="4">
        <v>84141.52</v>
      </c>
      <c r="E283" s="4">
        <v>72587.44</v>
      </c>
      <c r="F283" s="4">
        <v>59369.85</v>
      </c>
      <c r="G283" s="4">
        <v>0</v>
      </c>
      <c r="H283" s="4">
        <v>36876.33</v>
      </c>
      <c r="I283" s="4">
        <v>29713.22</v>
      </c>
    </row>
    <row r="284" spans="1:9" hidden="1" x14ac:dyDescent="0.3">
      <c r="A284" t="s">
        <v>379</v>
      </c>
      <c r="B284" t="s">
        <v>97</v>
      </c>
      <c r="C284" t="s">
        <v>147</v>
      </c>
      <c r="D284" s="4">
        <v>31341.360000000001</v>
      </c>
      <c r="E284" s="4">
        <v>29316.560000000001</v>
      </c>
      <c r="F284" s="4">
        <v>23804.85</v>
      </c>
      <c r="G284" s="4">
        <v>25033.83</v>
      </c>
      <c r="H284" s="4">
        <v>59948.65</v>
      </c>
      <c r="I284" s="4">
        <v>14748.74</v>
      </c>
    </row>
    <row r="285" spans="1:9" hidden="1" x14ac:dyDescent="0.3">
      <c r="A285" t="s">
        <v>379</v>
      </c>
      <c r="B285" t="s">
        <v>97</v>
      </c>
      <c r="C285" t="s">
        <v>153</v>
      </c>
      <c r="D285" s="4">
        <v>79916.42</v>
      </c>
      <c r="E285" s="4">
        <v>78323.8</v>
      </c>
      <c r="F285" s="4">
        <v>70352.73</v>
      </c>
      <c r="G285" s="4">
        <v>69438.87</v>
      </c>
      <c r="H285" s="4">
        <v>80820.09</v>
      </c>
      <c r="I285" s="4">
        <v>81309.820000000007</v>
      </c>
    </row>
    <row r="286" spans="1:9" hidden="1" x14ac:dyDescent="0.3">
      <c r="A286" t="s">
        <v>379</v>
      </c>
      <c r="B286" t="s">
        <v>97</v>
      </c>
      <c r="C286" t="s">
        <v>171</v>
      </c>
      <c r="D286" s="4">
        <v>94917.97</v>
      </c>
      <c r="E286" s="4">
        <v>95648.61</v>
      </c>
      <c r="F286" s="4">
        <v>104173.51</v>
      </c>
      <c r="G286" s="4">
        <v>95262.080000000002</v>
      </c>
      <c r="H286" s="4">
        <v>78620.42</v>
      </c>
      <c r="I286" s="4">
        <v>79604.33</v>
      </c>
    </row>
    <row r="287" spans="1:9" hidden="1" x14ac:dyDescent="0.3">
      <c r="A287" t="s">
        <v>378</v>
      </c>
      <c r="B287" t="s">
        <v>97</v>
      </c>
      <c r="C287" t="s">
        <v>105</v>
      </c>
      <c r="D287" s="4">
        <v>516.91</v>
      </c>
      <c r="E287" s="4">
        <v>547.20000000000005</v>
      </c>
      <c r="F287" s="4">
        <v>0</v>
      </c>
      <c r="G287" s="4">
        <v>0</v>
      </c>
      <c r="H287" s="4">
        <v>0</v>
      </c>
      <c r="I287" s="4">
        <v>0</v>
      </c>
    </row>
    <row r="288" spans="1:9" hidden="1" x14ac:dyDescent="0.3">
      <c r="A288" t="s">
        <v>378</v>
      </c>
      <c r="B288" t="s">
        <v>97</v>
      </c>
      <c r="C288" t="s">
        <v>155</v>
      </c>
      <c r="D288" s="4">
        <v>516.91</v>
      </c>
      <c r="E288" s="4">
        <v>547.20000000000005</v>
      </c>
      <c r="F288" s="4">
        <v>0</v>
      </c>
      <c r="G288" s="4">
        <v>0</v>
      </c>
      <c r="H288" s="4">
        <v>0</v>
      </c>
      <c r="I288" s="4">
        <v>0</v>
      </c>
    </row>
    <row r="289" spans="1:9" hidden="1" x14ac:dyDescent="0.3">
      <c r="A289" t="s">
        <v>378</v>
      </c>
      <c r="B289" t="s">
        <v>97</v>
      </c>
      <c r="C289" t="s">
        <v>107</v>
      </c>
      <c r="D289" s="4">
        <v>-28.3</v>
      </c>
      <c r="E289" s="4">
        <v>-264.2</v>
      </c>
      <c r="F289" s="4">
        <v>0</v>
      </c>
      <c r="G289" s="4">
        <v>0</v>
      </c>
      <c r="H289" s="4">
        <v>0</v>
      </c>
      <c r="I289" s="4">
        <v>0</v>
      </c>
    </row>
    <row r="290" spans="1:9" hidden="1" x14ac:dyDescent="0.3">
      <c r="A290" t="s">
        <v>378</v>
      </c>
      <c r="B290" t="s">
        <v>97</v>
      </c>
      <c r="C290" t="s">
        <v>108</v>
      </c>
      <c r="D290" s="4">
        <v>-84.49</v>
      </c>
      <c r="E290" s="4">
        <v>0</v>
      </c>
      <c r="F290" s="4">
        <v>0</v>
      </c>
      <c r="G290" s="4">
        <v>0</v>
      </c>
      <c r="H290" s="4">
        <v>0</v>
      </c>
      <c r="I290" s="4">
        <v>0</v>
      </c>
    </row>
    <row r="291" spans="1:9" hidden="1" x14ac:dyDescent="0.3">
      <c r="A291" t="s">
        <v>378</v>
      </c>
      <c r="B291" t="s">
        <v>97</v>
      </c>
      <c r="C291" t="s">
        <v>156</v>
      </c>
      <c r="D291" s="4">
        <v>-83.58</v>
      </c>
      <c r="E291" s="4">
        <v>0</v>
      </c>
      <c r="F291" s="4">
        <v>0</v>
      </c>
      <c r="G291" s="4">
        <v>0</v>
      </c>
      <c r="H291" s="4">
        <v>0</v>
      </c>
      <c r="I291" s="4">
        <v>0</v>
      </c>
    </row>
    <row r="292" spans="1:9" hidden="1" x14ac:dyDescent="0.3">
      <c r="A292" t="s">
        <v>378</v>
      </c>
      <c r="B292" t="s">
        <v>97</v>
      </c>
      <c r="C292" t="s">
        <v>106</v>
      </c>
      <c r="D292" s="4">
        <v>-117.26</v>
      </c>
      <c r="E292" s="4">
        <v>-92.15</v>
      </c>
      <c r="F292" s="4">
        <v>0</v>
      </c>
      <c r="G292" s="4">
        <v>0</v>
      </c>
      <c r="H292" s="4">
        <v>0</v>
      </c>
      <c r="I292" s="4">
        <v>0</v>
      </c>
    </row>
    <row r="293" spans="1:9" hidden="1" x14ac:dyDescent="0.3">
      <c r="A293" t="s">
        <v>378</v>
      </c>
      <c r="B293" t="s">
        <v>97</v>
      </c>
      <c r="C293" t="s">
        <v>109</v>
      </c>
      <c r="D293" s="4">
        <v>-46.69</v>
      </c>
      <c r="E293" s="4">
        <v>0</v>
      </c>
      <c r="F293" s="4">
        <v>0</v>
      </c>
      <c r="G293" s="4">
        <v>0</v>
      </c>
      <c r="H293" s="4">
        <v>0</v>
      </c>
      <c r="I293" s="4">
        <v>0</v>
      </c>
    </row>
    <row r="294" spans="1:9" hidden="1" x14ac:dyDescent="0.3">
      <c r="A294" t="s">
        <v>378</v>
      </c>
      <c r="B294" t="s">
        <v>97</v>
      </c>
      <c r="C294" t="s">
        <v>113</v>
      </c>
      <c r="D294" s="4">
        <v>156.59</v>
      </c>
      <c r="E294" s="4">
        <v>190.84</v>
      </c>
      <c r="F294" s="4">
        <v>0</v>
      </c>
      <c r="G294" s="4">
        <v>0</v>
      </c>
      <c r="H294" s="4">
        <v>0</v>
      </c>
      <c r="I294" s="4">
        <v>0</v>
      </c>
    </row>
    <row r="295" spans="1:9" hidden="1" x14ac:dyDescent="0.3">
      <c r="A295" t="s">
        <v>378</v>
      </c>
      <c r="B295" t="s">
        <v>97</v>
      </c>
      <c r="C295" t="s">
        <v>114</v>
      </c>
      <c r="D295" s="4">
        <v>203.28</v>
      </c>
      <c r="E295" s="4">
        <v>0</v>
      </c>
      <c r="F295" s="4">
        <v>0</v>
      </c>
      <c r="G295" s="4">
        <v>0</v>
      </c>
      <c r="H295" s="4">
        <v>0</v>
      </c>
      <c r="I295" s="4">
        <v>0</v>
      </c>
    </row>
    <row r="296" spans="1:9" hidden="1" x14ac:dyDescent="0.3">
      <c r="A296" t="s">
        <v>378</v>
      </c>
      <c r="B296" t="s">
        <v>97</v>
      </c>
      <c r="C296" t="s">
        <v>115</v>
      </c>
      <c r="D296" s="4">
        <v>-2.67</v>
      </c>
      <c r="E296" s="4">
        <v>0</v>
      </c>
      <c r="F296" s="4">
        <v>0</v>
      </c>
      <c r="G296" s="4">
        <v>0</v>
      </c>
      <c r="H296" s="4">
        <v>0</v>
      </c>
      <c r="I296" s="4">
        <v>0</v>
      </c>
    </row>
    <row r="297" spans="1:9" hidden="1" x14ac:dyDescent="0.3">
      <c r="A297" t="s">
        <v>378</v>
      </c>
      <c r="B297" t="s">
        <v>97</v>
      </c>
      <c r="C297" t="s">
        <v>118</v>
      </c>
      <c r="D297" s="4">
        <v>-2.67</v>
      </c>
      <c r="E297" s="4">
        <v>0</v>
      </c>
      <c r="F297" s="4">
        <v>0</v>
      </c>
      <c r="G297" s="4">
        <v>0</v>
      </c>
      <c r="H297" s="4">
        <v>0</v>
      </c>
      <c r="I297" s="4">
        <v>0</v>
      </c>
    </row>
    <row r="298" spans="1:9" hidden="1" x14ac:dyDescent="0.3">
      <c r="A298" t="s">
        <v>378</v>
      </c>
      <c r="B298" t="s">
        <v>97</v>
      </c>
      <c r="C298" t="s">
        <v>159</v>
      </c>
      <c r="D298" s="4">
        <v>-2.67</v>
      </c>
      <c r="E298" s="4">
        <v>0</v>
      </c>
      <c r="F298" s="4">
        <v>0</v>
      </c>
      <c r="G298" s="4">
        <v>0</v>
      </c>
      <c r="H298" s="4">
        <v>0</v>
      </c>
      <c r="I298" s="4">
        <v>0</v>
      </c>
    </row>
    <row r="299" spans="1:9" hidden="1" x14ac:dyDescent="0.3">
      <c r="A299" t="s">
        <v>378</v>
      </c>
      <c r="B299" t="s">
        <v>97</v>
      </c>
      <c r="C299" t="s">
        <v>120</v>
      </c>
      <c r="D299" s="4">
        <v>-12.16</v>
      </c>
      <c r="E299" s="4">
        <v>-1.25</v>
      </c>
      <c r="F299" s="4">
        <v>0</v>
      </c>
      <c r="G299" s="4">
        <v>0</v>
      </c>
      <c r="H299" s="4">
        <v>0</v>
      </c>
      <c r="I299" s="4">
        <v>0</v>
      </c>
    </row>
    <row r="300" spans="1:9" hidden="1" x14ac:dyDescent="0.3">
      <c r="A300" t="s">
        <v>378</v>
      </c>
      <c r="B300" t="s">
        <v>97</v>
      </c>
      <c r="C300" t="s">
        <v>121</v>
      </c>
      <c r="D300" s="4">
        <v>0.01</v>
      </c>
      <c r="E300" s="4">
        <v>0</v>
      </c>
      <c r="F300" s="4">
        <v>0</v>
      </c>
      <c r="G300" s="4">
        <v>0</v>
      </c>
      <c r="H300" s="4">
        <v>0</v>
      </c>
      <c r="I300" s="4">
        <v>0</v>
      </c>
    </row>
    <row r="301" spans="1:9" hidden="1" x14ac:dyDescent="0.3">
      <c r="A301" t="s">
        <v>378</v>
      </c>
      <c r="B301" t="s">
        <v>97</v>
      </c>
      <c r="C301" t="s">
        <v>122</v>
      </c>
      <c r="D301" s="4">
        <v>-12.17</v>
      </c>
      <c r="E301" s="4">
        <v>-1.25</v>
      </c>
      <c r="F301" s="4">
        <v>0</v>
      </c>
      <c r="G301" s="4">
        <v>0</v>
      </c>
      <c r="H301" s="4">
        <v>0</v>
      </c>
      <c r="I301" s="4">
        <v>0</v>
      </c>
    </row>
    <row r="302" spans="1:9" hidden="1" x14ac:dyDescent="0.3">
      <c r="A302" t="s">
        <v>378</v>
      </c>
      <c r="B302" t="s">
        <v>97</v>
      </c>
      <c r="C302" t="s">
        <v>123</v>
      </c>
      <c r="D302" s="4">
        <v>141.75</v>
      </c>
      <c r="E302" s="4">
        <v>134.87</v>
      </c>
      <c r="F302" s="4">
        <v>0</v>
      </c>
      <c r="G302" s="4">
        <v>0</v>
      </c>
      <c r="H302" s="4">
        <v>0</v>
      </c>
      <c r="I302" s="4">
        <v>0</v>
      </c>
    </row>
    <row r="303" spans="1:9" hidden="1" x14ac:dyDescent="0.3">
      <c r="A303" t="s">
        <v>378</v>
      </c>
      <c r="B303" t="s">
        <v>97</v>
      </c>
      <c r="C303" t="s">
        <v>124</v>
      </c>
      <c r="D303" s="4">
        <v>-37.729999999999997</v>
      </c>
      <c r="E303" s="4">
        <v>27.36</v>
      </c>
      <c r="F303" s="4">
        <v>0</v>
      </c>
      <c r="G303" s="4">
        <v>0</v>
      </c>
      <c r="H303" s="4">
        <v>0</v>
      </c>
      <c r="I303" s="4">
        <v>0</v>
      </c>
    </row>
    <row r="304" spans="1:9" hidden="1" x14ac:dyDescent="0.3">
      <c r="A304" t="s">
        <v>378</v>
      </c>
      <c r="B304" t="s">
        <v>97</v>
      </c>
      <c r="C304" t="s">
        <v>125</v>
      </c>
      <c r="D304" s="4">
        <v>104.02</v>
      </c>
      <c r="E304" s="4">
        <v>162.22999999999999</v>
      </c>
      <c r="F304" s="4">
        <v>0</v>
      </c>
      <c r="G304" s="4">
        <v>0</v>
      </c>
      <c r="H304" s="4">
        <v>0</v>
      </c>
      <c r="I304" s="4">
        <v>0</v>
      </c>
    </row>
    <row r="305" spans="1:9" hidden="1" x14ac:dyDescent="0.3">
      <c r="A305" t="s">
        <v>378</v>
      </c>
      <c r="B305" t="s">
        <v>97</v>
      </c>
      <c r="C305" t="s">
        <v>126</v>
      </c>
      <c r="D305" s="4">
        <v>104.02</v>
      </c>
      <c r="E305" s="4">
        <v>162.22999999999999</v>
      </c>
      <c r="F305" s="4">
        <v>0</v>
      </c>
      <c r="G305" s="4">
        <v>0</v>
      </c>
      <c r="H305" s="4">
        <v>0</v>
      </c>
      <c r="I305" s="4">
        <v>0</v>
      </c>
    </row>
    <row r="306" spans="1:9" hidden="1" x14ac:dyDescent="0.3">
      <c r="A306" t="s">
        <v>378</v>
      </c>
      <c r="B306" t="s">
        <v>97</v>
      </c>
      <c r="C306" t="s">
        <v>127</v>
      </c>
      <c r="D306" s="4">
        <v>497.19</v>
      </c>
      <c r="E306" s="4">
        <v>585.77</v>
      </c>
      <c r="F306" s="4">
        <v>0</v>
      </c>
      <c r="G306" s="4">
        <v>0</v>
      </c>
      <c r="H306" s="4">
        <v>0</v>
      </c>
      <c r="I306" s="4">
        <v>0</v>
      </c>
    </row>
    <row r="307" spans="1:9" hidden="1" x14ac:dyDescent="0.3">
      <c r="A307" t="s">
        <v>378</v>
      </c>
      <c r="B307" t="s">
        <v>97</v>
      </c>
      <c r="C307" t="s">
        <v>128</v>
      </c>
      <c r="D307" s="4">
        <v>366.66</v>
      </c>
      <c r="E307" s="4">
        <v>405.56</v>
      </c>
      <c r="F307" s="4">
        <v>0</v>
      </c>
      <c r="G307" s="4">
        <v>0</v>
      </c>
      <c r="H307" s="4">
        <v>0</v>
      </c>
      <c r="I307" s="4">
        <v>0</v>
      </c>
    </row>
    <row r="308" spans="1:9" hidden="1" x14ac:dyDescent="0.3">
      <c r="A308" t="s">
        <v>378</v>
      </c>
      <c r="B308" t="s">
        <v>97</v>
      </c>
      <c r="C308" t="s">
        <v>129</v>
      </c>
      <c r="D308" s="4">
        <v>366.66</v>
      </c>
      <c r="E308" s="4">
        <v>405.56</v>
      </c>
      <c r="F308" s="4">
        <v>0</v>
      </c>
      <c r="G308" s="4">
        <v>0</v>
      </c>
      <c r="H308" s="4">
        <v>0</v>
      </c>
      <c r="I308" s="4">
        <v>0</v>
      </c>
    </row>
    <row r="309" spans="1:9" hidden="1" x14ac:dyDescent="0.3">
      <c r="A309" t="s">
        <v>378</v>
      </c>
      <c r="B309" t="s">
        <v>97</v>
      </c>
      <c r="C309" t="s">
        <v>132</v>
      </c>
      <c r="D309" s="4">
        <v>130.53</v>
      </c>
      <c r="E309" s="4">
        <v>180.21</v>
      </c>
      <c r="F309" s="4">
        <v>0</v>
      </c>
      <c r="G309" s="4">
        <v>0</v>
      </c>
      <c r="H309" s="4">
        <v>0</v>
      </c>
      <c r="I309" s="4">
        <v>0</v>
      </c>
    </row>
    <row r="310" spans="1:9" hidden="1" x14ac:dyDescent="0.3">
      <c r="A310" t="s">
        <v>378</v>
      </c>
      <c r="B310" t="s">
        <v>97</v>
      </c>
      <c r="C310" t="s">
        <v>183</v>
      </c>
      <c r="D310" s="4">
        <v>14.88</v>
      </c>
      <c r="E310" s="4">
        <v>0</v>
      </c>
      <c r="F310" s="4">
        <v>0</v>
      </c>
      <c r="G310" s="4">
        <v>0</v>
      </c>
      <c r="H310" s="4">
        <v>0</v>
      </c>
      <c r="I310" s="4">
        <v>0</v>
      </c>
    </row>
    <row r="311" spans="1:9" hidden="1" x14ac:dyDescent="0.3">
      <c r="A311" t="s">
        <v>378</v>
      </c>
      <c r="B311" t="s">
        <v>97</v>
      </c>
      <c r="C311" t="s">
        <v>187</v>
      </c>
      <c r="D311" s="4">
        <v>14.88</v>
      </c>
      <c r="E311" s="4">
        <v>0</v>
      </c>
      <c r="F311" s="4">
        <v>0</v>
      </c>
      <c r="G311" s="4">
        <v>0</v>
      </c>
      <c r="H311" s="4">
        <v>0</v>
      </c>
      <c r="I311" s="4">
        <v>0</v>
      </c>
    </row>
    <row r="312" spans="1:9" hidden="1" x14ac:dyDescent="0.3">
      <c r="A312" t="s">
        <v>378</v>
      </c>
      <c r="B312" t="s">
        <v>97</v>
      </c>
      <c r="C312" t="s">
        <v>133</v>
      </c>
      <c r="D312" s="4">
        <v>109.3</v>
      </c>
      <c r="E312" s="4">
        <v>0</v>
      </c>
      <c r="F312" s="4">
        <v>0</v>
      </c>
      <c r="G312" s="4">
        <v>0</v>
      </c>
      <c r="H312" s="4">
        <v>0</v>
      </c>
      <c r="I312" s="4">
        <v>0</v>
      </c>
    </row>
    <row r="313" spans="1:9" hidden="1" x14ac:dyDescent="0.3">
      <c r="A313" t="s">
        <v>378</v>
      </c>
      <c r="B313" t="s">
        <v>97</v>
      </c>
      <c r="C313" t="s">
        <v>162</v>
      </c>
      <c r="D313" s="4">
        <v>88.72</v>
      </c>
      <c r="E313" s="4">
        <v>0</v>
      </c>
      <c r="F313" s="4">
        <v>0</v>
      </c>
      <c r="G313" s="4">
        <v>0</v>
      </c>
      <c r="H313" s="4">
        <v>0</v>
      </c>
      <c r="I313" s="4">
        <v>0</v>
      </c>
    </row>
    <row r="314" spans="1:9" hidden="1" x14ac:dyDescent="0.3">
      <c r="A314" t="s">
        <v>378</v>
      </c>
      <c r="B314" t="s">
        <v>97</v>
      </c>
      <c r="C314" t="s">
        <v>165</v>
      </c>
      <c r="D314" s="4">
        <v>20.58</v>
      </c>
      <c r="E314" s="4">
        <v>0</v>
      </c>
      <c r="F314" s="4">
        <v>0</v>
      </c>
      <c r="G314" s="4">
        <v>0</v>
      </c>
      <c r="H314" s="4">
        <v>0</v>
      </c>
      <c r="I314" s="4">
        <v>0</v>
      </c>
    </row>
    <row r="315" spans="1:9" hidden="1" x14ac:dyDescent="0.3">
      <c r="A315" t="s">
        <v>378</v>
      </c>
      <c r="B315" t="s">
        <v>97</v>
      </c>
      <c r="C315" t="s">
        <v>136</v>
      </c>
      <c r="D315" s="4">
        <v>6.36</v>
      </c>
      <c r="E315" s="4">
        <v>0</v>
      </c>
      <c r="F315" s="4">
        <v>0</v>
      </c>
      <c r="G315" s="4">
        <v>0</v>
      </c>
      <c r="H315" s="4">
        <v>0</v>
      </c>
      <c r="I315" s="4">
        <v>0</v>
      </c>
    </row>
    <row r="316" spans="1:9" hidden="1" x14ac:dyDescent="0.3">
      <c r="A316" t="s">
        <v>378</v>
      </c>
      <c r="B316" t="s">
        <v>97</v>
      </c>
      <c r="C316" t="s">
        <v>138</v>
      </c>
      <c r="D316" s="4">
        <v>497.19</v>
      </c>
      <c r="E316" s="4">
        <v>585.77</v>
      </c>
      <c r="F316" s="4">
        <v>0</v>
      </c>
      <c r="G316" s="4">
        <v>0</v>
      </c>
      <c r="H316" s="4">
        <v>0</v>
      </c>
      <c r="I316" s="4">
        <v>0</v>
      </c>
    </row>
    <row r="317" spans="1:9" hidden="1" x14ac:dyDescent="0.3">
      <c r="A317" t="s">
        <v>378</v>
      </c>
      <c r="B317" t="s">
        <v>97</v>
      </c>
      <c r="C317" t="s">
        <v>139</v>
      </c>
      <c r="D317" s="4">
        <v>310.52999999999997</v>
      </c>
      <c r="E317" s="4">
        <v>206.51</v>
      </c>
      <c r="F317" s="4">
        <v>0</v>
      </c>
      <c r="G317" s="4">
        <v>0</v>
      </c>
      <c r="H317" s="4">
        <v>0</v>
      </c>
      <c r="I317" s="4">
        <v>0</v>
      </c>
    </row>
    <row r="318" spans="1:9" hidden="1" x14ac:dyDescent="0.3">
      <c r="A318" t="s">
        <v>378</v>
      </c>
      <c r="B318" t="s">
        <v>97</v>
      </c>
      <c r="C318" t="s">
        <v>140</v>
      </c>
      <c r="D318" s="4">
        <v>310.52999999999997</v>
      </c>
      <c r="E318" s="4">
        <v>0</v>
      </c>
      <c r="F318" s="4">
        <v>0</v>
      </c>
      <c r="G318" s="4">
        <v>0</v>
      </c>
      <c r="H318" s="4">
        <v>0</v>
      </c>
      <c r="I318" s="4">
        <v>0</v>
      </c>
    </row>
    <row r="319" spans="1:9" hidden="1" x14ac:dyDescent="0.3">
      <c r="A319" t="s">
        <v>378</v>
      </c>
      <c r="B319" t="s">
        <v>97</v>
      </c>
      <c r="C319" t="s">
        <v>141</v>
      </c>
      <c r="D319" s="4">
        <v>6</v>
      </c>
      <c r="E319" s="4">
        <v>0</v>
      </c>
      <c r="F319" s="4">
        <v>0</v>
      </c>
      <c r="G319" s="4">
        <v>0</v>
      </c>
      <c r="H319" s="4">
        <v>0</v>
      </c>
      <c r="I319" s="4">
        <v>0</v>
      </c>
    </row>
    <row r="320" spans="1:9" hidden="1" x14ac:dyDescent="0.3">
      <c r="A320" t="s">
        <v>378</v>
      </c>
      <c r="B320" t="s">
        <v>97</v>
      </c>
      <c r="C320" t="s">
        <v>143</v>
      </c>
      <c r="D320" s="4">
        <v>200.51</v>
      </c>
      <c r="E320" s="4">
        <v>0</v>
      </c>
      <c r="F320" s="4">
        <v>0</v>
      </c>
      <c r="G320" s="4">
        <v>0</v>
      </c>
      <c r="H320" s="4">
        <v>0</v>
      </c>
      <c r="I320" s="4">
        <v>0</v>
      </c>
    </row>
    <row r="321" spans="1:9" hidden="1" x14ac:dyDescent="0.3">
      <c r="A321" t="s">
        <v>378</v>
      </c>
      <c r="B321" t="s">
        <v>97</v>
      </c>
      <c r="C321" t="s">
        <v>144</v>
      </c>
      <c r="D321" s="4">
        <v>104.02</v>
      </c>
      <c r="E321" s="4">
        <v>0</v>
      </c>
      <c r="F321" s="4">
        <v>0</v>
      </c>
      <c r="G321" s="4">
        <v>0</v>
      </c>
      <c r="H321" s="4">
        <v>0</v>
      </c>
      <c r="I321" s="4">
        <v>0</v>
      </c>
    </row>
    <row r="322" spans="1:9" hidden="1" x14ac:dyDescent="0.3">
      <c r="A322" t="s">
        <v>378</v>
      </c>
      <c r="B322" t="s">
        <v>97</v>
      </c>
      <c r="C322" t="s">
        <v>145</v>
      </c>
      <c r="D322" s="4">
        <v>186.66</v>
      </c>
      <c r="E322" s="4">
        <v>379.26</v>
      </c>
      <c r="F322" s="4">
        <v>0</v>
      </c>
      <c r="G322" s="4">
        <v>0</v>
      </c>
      <c r="H322" s="4">
        <v>0</v>
      </c>
      <c r="I322" s="4">
        <v>0</v>
      </c>
    </row>
    <row r="323" spans="1:9" hidden="1" x14ac:dyDescent="0.3">
      <c r="A323" t="s">
        <v>378</v>
      </c>
      <c r="B323" t="s">
        <v>97</v>
      </c>
      <c r="C323" t="s">
        <v>146</v>
      </c>
      <c r="D323" s="4">
        <v>0</v>
      </c>
      <c r="E323" s="4">
        <v>368.03</v>
      </c>
      <c r="F323" s="4">
        <v>0</v>
      </c>
      <c r="G323" s="4">
        <v>0</v>
      </c>
      <c r="H323" s="4">
        <v>0</v>
      </c>
      <c r="I323" s="4">
        <v>0</v>
      </c>
    </row>
    <row r="324" spans="1:9" hidden="1" x14ac:dyDescent="0.3">
      <c r="A324" t="s">
        <v>378</v>
      </c>
      <c r="B324" t="s">
        <v>97</v>
      </c>
      <c r="C324" t="s">
        <v>149</v>
      </c>
      <c r="D324" s="4">
        <v>186.66</v>
      </c>
      <c r="E324" s="4">
        <v>11.24</v>
      </c>
      <c r="F324" s="4">
        <v>0</v>
      </c>
      <c r="G324" s="4">
        <v>0</v>
      </c>
      <c r="H324" s="4">
        <v>0</v>
      </c>
      <c r="I324" s="4">
        <v>0</v>
      </c>
    </row>
    <row r="325" spans="1:9" hidden="1" x14ac:dyDescent="0.3">
      <c r="A325" t="s">
        <v>378</v>
      </c>
      <c r="B325" t="s">
        <v>97</v>
      </c>
      <c r="C325" t="s">
        <v>150</v>
      </c>
      <c r="D325" s="4">
        <v>167.24</v>
      </c>
      <c r="E325" s="4">
        <v>0</v>
      </c>
      <c r="F325" s="4">
        <v>0</v>
      </c>
      <c r="G325" s="4">
        <v>0</v>
      </c>
      <c r="H325" s="4">
        <v>0</v>
      </c>
      <c r="I325" s="4">
        <v>0</v>
      </c>
    </row>
    <row r="326" spans="1:9" hidden="1" x14ac:dyDescent="0.3">
      <c r="A326" t="s">
        <v>378</v>
      </c>
      <c r="B326" t="s">
        <v>97</v>
      </c>
      <c r="C326" t="s">
        <v>170</v>
      </c>
      <c r="D326" s="4">
        <v>153.79</v>
      </c>
      <c r="E326" s="4">
        <v>0</v>
      </c>
      <c r="F326" s="4">
        <v>0</v>
      </c>
      <c r="G326" s="4">
        <v>0</v>
      </c>
      <c r="H326" s="4">
        <v>0</v>
      </c>
      <c r="I326" s="4">
        <v>0</v>
      </c>
    </row>
    <row r="327" spans="1:9" hidden="1" x14ac:dyDescent="0.3">
      <c r="A327" t="s">
        <v>378</v>
      </c>
      <c r="B327" t="s">
        <v>97</v>
      </c>
      <c r="C327" t="s">
        <v>152</v>
      </c>
      <c r="D327" s="4">
        <v>13.45</v>
      </c>
      <c r="E327" s="4">
        <v>0</v>
      </c>
      <c r="F327" s="4">
        <v>0</v>
      </c>
      <c r="G327" s="4">
        <v>0</v>
      </c>
      <c r="H327" s="4">
        <v>0</v>
      </c>
      <c r="I327" s="4">
        <v>0</v>
      </c>
    </row>
    <row r="328" spans="1:9" hidden="1" x14ac:dyDescent="0.3">
      <c r="A328" t="s">
        <v>378</v>
      </c>
      <c r="B328" t="s">
        <v>97</v>
      </c>
      <c r="C328" t="s">
        <v>147</v>
      </c>
      <c r="D328" s="4">
        <v>4.67</v>
      </c>
      <c r="E328" s="4">
        <v>0</v>
      </c>
      <c r="F328" s="4">
        <v>0</v>
      </c>
      <c r="G328" s="4">
        <v>0</v>
      </c>
      <c r="H328" s="4">
        <v>0</v>
      </c>
      <c r="I328" s="4">
        <v>0</v>
      </c>
    </row>
    <row r="329" spans="1:9" hidden="1" x14ac:dyDescent="0.3">
      <c r="A329" t="s">
        <v>378</v>
      </c>
      <c r="B329" t="s">
        <v>97</v>
      </c>
      <c r="C329" t="s">
        <v>171</v>
      </c>
      <c r="D329" s="4">
        <v>14.75</v>
      </c>
      <c r="E329" s="4">
        <v>0</v>
      </c>
      <c r="F329" s="4">
        <v>0</v>
      </c>
      <c r="G329" s="4">
        <v>0</v>
      </c>
      <c r="H329" s="4">
        <v>0</v>
      </c>
      <c r="I329" s="4">
        <v>0</v>
      </c>
    </row>
    <row r="330" spans="1:9" x14ac:dyDescent="0.3">
      <c r="A330" t="s">
        <v>377</v>
      </c>
      <c r="B330" t="s">
        <v>97</v>
      </c>
      <c r="C330" t="s">
        <v>105</v>
      </c>
      <c r="D330" s="4">
        <v>1578955.38</v>
      </c>
      <c r="E330" s="4">
        <v>1413930</v>
      </c>
      <c r="F330" s="4">
        <v>1257208.3999999999</v>
      </c>
      <c r="G330" s="4">
        <v>1121760.25</v>
      </c>
      <c r="H330" s="4">
        <v>800647.43</v>
      </c>
      <c r="I330" s="4">
        <v>819883.76</v>
      </c>
    </row>
    <row r="331" spans="1:9" x14ac:dyDescent="0.3">
      <c r="A331" t="s">
        <v>377</v>
      </c>
      <c r="B331" t="s">
        <v>97</v>
      </c>
      <c r="C331" t="s">
        <v>155</v>
      </c>
      <c r="D331" s="4">
        <v>1578955.38</v>
      </c>
      <c r="E331" s="4">
        <v>1413930</v>
      </c>
      <c r="F331" s="4">
        <v>1257208.3999999999</v>
      </c>
      <c r="G331" s="4">
        <v>1121760.25</v>
      </c>
      <c r="H331" s="4">
        <v>800647.43</v>
      </c>
      <c r="I331" s="4">
        <v>819883.76</v>
      </c>
    </row>
    <row r="332" spans="1:9" x14ac:dyDescent="0.3">
      <c r="A332" t="s">
        <v>377</v>
      </c>
      <c r="B332" t="s">
        <v>97</v>
      </c>
      <c r="C332" t="s">
        <v>108</v>
      </c>
      <c r="D332" s="4">
        <v>-18117.689999999999</v>
      </c>
      <c r="E332" s="4">
        <v>-14822.37</v>
      </c>
      <c r="F332" s="4">
        <v>-12392.43</v>
      </c>
      <c r="G332" s="4">
        <v>-13117.14</v>
      </c>
      <c r="H332" s="4">
        <v>-10529.36</v>
      </c>
      <c r="I332" s="4">
        <v>-9482.73</v>
      </c>
    </row>
    <row r="333" spans="1:9" x14ac:dyDescent="0.3">
      <c r="A333" t="s">
        <v>377</v>
      </c>
      <c r="B333" t="s">
        <v>97</v>
      </c>
      <c r="C333" t="s">
        <v>156</v>
      </c>
      <c r="D333" s="4">
        <v>-55703.74</v>
      </c>
      <c r="E333" s="4">
        <v>-58495.27</v>
      </c>
      <c r="F333" s="4">
        <v>-55500.93</v>
      </c>
      <c r="G333" s="4">
        <v>-43724.45</v>
      </c>
      <c r="H333" s="4">
        <v>-37674.370000000003</v>
      </c>
      <c r="I333" s="4">
        <v>-34804.94</v>
      </c>
    </row>
    <row r="334" spans="1:9" x14ac:dyDescent="0.3">
      <c r="A334" t="s">
        <v>377</v>
      </c>
      <c r="B334" t="s">
        <v>97</v>
      </c>
      <c r="C334" t="s">
        <v>157</v>
      </c>
      <c r="D334" s="4">
        <v>-196.28</v>
      </c>
      <c r="E334" s="4">
        <v>-112.11</v>
      </c>
      <c r="F334" s="4">
        <v>-130.44</v>
      </c>
      <c r="G334" s="4">
        <v>-28.94</v>
      </c>
      <c r="H334" s="4">
        <v>-36.68</v>
      </c>
      <c r="I334" s="4">
        <v>-270.75</v>
      </c>
    </row>
    <row r="335" spans="1:9" x14ac:dyDescent="0.3">
      <c r="A335" t="s">
        <v>377</v>
      </c>
      <c r="B335" t="s">
        <v>97</v>
      </c>
      <c r="C335" t="s">
        <v>158</v>
      </c>
      <c r="D335" s="4">
        <v>-1379.27</v>
      </c>
      <c r="E335" s="4">
        <v>-1549.28</v>
      </c>
      <c r="F335" s="4">
        <v>-3443.77</v>
      </c>
      <c r="G335" s="4">
        <v>-1286.82</v>
      </c>
      <c r="H335" s="4">
        <v>-868.98</v>
      </c>
      <c r="I335" s="4">
        <v>-871.49</v>
      </c>
    </row>
    <row r="336" spans="1:9" x14ac:dyDescent="0.3">
      <c r="A336" t="s">
        <v>377</v>
      </c>
      <c r="B336" t="s">
        <v>97</v>
      </c>
      <c r="C336" t="s">
        <v>106</v>
      </c>
      <c r="D336" s="4">
        <v>-1320826.6499999999</v>
      </c>
      <c r="E336" s="4">
        <v>-1204905.8899999999</v>
      </c>
      <c r="F336" s="4">
        <v>-1055699.06</v>
      </c>
      <c r="G336" s="4">
        <v>-932494.04</v>
      </c>
      <c r="H336" s="4">
        <v>-704328.79</v>
      </c>
      <c r="I336" s="4">
        <v>-662727.17000000004</v>
      </c>
    </row>
    <row r="337" spans="1:9" x14ac:dyDescent="0.3">
      <c r="A337" t="s">
        <v>377</v>
      </c>
      <c r="B337" t="s">
        <v>97</v>
      </c>
      <c r="C337" t="s">
        <v>109</v>
      </c>
      <c r="D337" s="4">
        <v>-141154.74</v>
      </c>
      <c r="E337" s="4">
        <v>-65010.66</v>
      </c>
      <c r="F337" s="4">
        <v>-42391.94</v>
      </c>
      <c r="G337" s="4">
        <v>-20036.54</v>
      </c>
      <c r="H337" s="4">
        <v>-17065.21</v>
      </c>
      <c r="I337" s="4">
        <v>-19737</v>
      </c>
    </row>
    <row r="338" spans="1:9" x14ac:dyDescent="0.3">
      <c r="A338" t="s">
        <v>377</v>
      </c>
      <c r="B338" t="s">
        <v>97</v>
      </c>
      <c r="C338" t="s">
        <v>113</v>
      </c>
      <c r="D338" s="4">
        <v>41573.839999999997</v>
      </c>
      <c r="E338" s="4">
        <v>69034.75</v>
      </c>
      <c r="F338" s="4">
        <v>87439.66</v>
      </c>
      <c r="G338" s="4">
        <v>102997.61</v>
      </c>
      <c r="H338" s="4">
        <v>26958.48</v>
      </c>
      <c r="I338" s="4">
        <v>91989.67</v>
      </c>
    </row>
    <row r="339" spans="1:9" x14ac:dyDescent="0.3">
      <c r="A339" t="s">
        <v>377</v>
      </c>
      <c r="B339" t="s">
        <v>97</v>
      </c>
      <c r="C339" t="s">
        <v>114</v>
      </c>
      <c r="D339" s="4">
        <v>182728.58</v>
      </c>
      <c r="E339" s="4">
        <v>134045.41</v>
      </c>
      <c r="F339" s="4">
        <v>129831.61</v>
      </c>
      <c r="G339" s="4">
        <v>123034.15</v>
      </c>
      <c r="H339" s="4">
        <v>44023.69</v>
      </c>
      <c r="I339" s="4">
        <v>111726.67</v>
      </c>
    </row>
    <row r="340" spans="1:9" x14ac:dyDescent="0.3">
      <c r="A340" t="s">
        <v>377</v>
      </c>
      <c r="B340" t="s">
        <v>97</v>
      </c>
      <c r="C340" t="s">
        <v>115</v>
      </c>
      <c r="D340" s="4">
        <v>-82806.69</v>
      </c>
      <c r="E340" s="4">
        <v>-96519.19</v>
      </c>
      <c r="F340" s="4">
        <v>-29163.919999999998</v>
      </c>
      <c r="G340" s="4">
        <v>-13178.6</v>
      </c>
      <c r="H340" s="4">
        <v>-24771.08</v>
      </c>
      <c r="I340" s="4">
        <v>-18535.14</v>
      </c>
    </row>
    <row r="341" spans="1:9" x14ac:dyDescent="0.3">
      <c r="A341" t="s">
        <v>377</v>
      </c>
      <c r="B341" t="s">
        <v>97</v>
      </c>
      <c r="C341" t="s">
        <v>118</v>
      </c>
      <c r="D341" s="4">
        <v>-82806.69</v>
      </c>
      <c r="E341" s="4">
        <v>-96519.19</v>
      </c>
      <c r="F341" s="4">
        <v>-29163.919999999998</v>
      </c>
      <c r="G341" s="4">
        <v>-13178.6</v>
      </c>
      <c r="H341" s="4">
        <v>-24771.08</v>
      </c>
      <c r="I341" s="4">
        <v>-18535.14</v>
      </c>
    </row>
    <row r="342" spans="1:9" x14ac:dyDescent="0.3">
      <c r="A342" t="s">
        <v>377</v>
      </c>
      <c r="B342" t="s">
        <v>97</v>
      </c>
      <c r="C342" t="s">
        <v>159</v>
      </c>
      <c r="D342" s="4">
        <v>-82806.69</v>
      </c>
      <c r="E342" s="4">
        <v>-96519.19</v>
      </c>
      <c r="F342" s="4">
        <v>-29163.919999999998</v>
      </c>
      <c r="G342" s="4">
        <v>-13178.6</v>
      </c>
      <c r="H342" s="4">
        <v>-24771.08</v>
      </c>
      <c r="I342" s="4">
        <v>-18535.14</v>
      </c>
    </row>
    <row r="343" spans="1:9" x14ac:dyDescent="0.3">
      <c r="A343" t="s">
        <v>377</v>
      </c>
      <c r="B343" t="s">
        <v>97</v>
      </c>
      <c r="C343" t="s">
        <v>120</v>
      </c>
      <c r="D343" s="4">
        <v>42431.37</v>
      </c>
      <c r="E343" s="4">
        <v>17085.75</v>
      </c>
      <c r="F343" s="4">
        <v>48627.96</v>
      </c>
      <c r="G343" s="4">
        <v>18971.84</v>
      </c>
      <c r="H343" s="4">
        <v>23993.01</v>
      </c>
      <c r="I343" s="4">
        <v>2627.06</v>
      </c>
    </row>
    <row r="344" spans="1:9" x14ac:dyDescent="0.3">
      <c r="A344" t="s">
        <v>377</v>
      </c>
      <c r="B344" t="s">
        <v>97</v>
      </c>
      <c r="C344" t="s">
        <v>121</v>
      </c>
      <c r="D344" s="4">
        <v>72230.720000000001</v>
      </c>
      <c r="E344" s="4">
        <v>42501.93</v>
      </c>
      <c r="F344" s="4">
        <v>71867.31</v>
      </c>
      <c r="G344" s="4">
        <v>34317.93</v>
      </c>
      <c r="H344" s="4">
        <v>43838.14</v>
      </c>
      <c r="I344" s="4">
        <v>27204.68</v>
      </c>
    </row>
    <row r="345" spans="1:9" x14ac:dyDescent="0.3">
      <c r="A345" t="s">
        <v>377</v>
      </c>
      <c r="B345" t="s">
        <v>97</v>
      </c>
      <c r="C345" t="s">
        <v>122</v>
      </c>
      <c r="D345" s="4">
        <v>-29799.35</v>
      </c>
      <c r="E345" s="4">
        <v>-25416.19</v>
      </c>
      <c r="F345" s="4">
        <v>-23239.34</v>
      </c>
      <c r="G345" s="4">
        <v>-15346.09</v>
      </c>
      <c r="H345" s="4">
        <v>-19845.13</v>
      </c>
      <c r="I345" s="4">
        <v>-24577.62</v>
      </c>
    </row>
    <row r="346" spans="1:9" x14ac:dyDescent="0.3">
      <c r="A346" t="s">
        <v>377</v>
      </c>
      <c r="B346" t="s">
        <v>97</v>
      </c>
      <c r="C346" t="s">
        <v>123</v>
      </c>
      <c r="D346" s="4">
        <v>1198.52</v>
      </c>
      <c r="E346" s="4">
        <v>-10395.959999999999</v>
      </c>
      <c r="F346" s="4">
        <v>106903.7</v>
      </c>
      <c r="G346" s="4">
        <v>108790.85</v>
      </c>
      <c r="H346" s="4">
        <v>26180.41</v>
      </c>
      <c r="I346" s="4">
        <v>76081.59</v>
      </c>
    </row>
    <row r="347" spans="1:9" x14ac:dyDescent="0.3">
      <c r="A347" t="s">
        <v>377</v>
      </c>
      <c r="B347" t="s">
        <v>97</v>
      </c>
      <c r="C347" t="s">
        <v>124</v>
      </c>
      <c r="D347" s="4">
        <v>-142.71</v>
      </c>
      <c r="E347" s="4">
        <v>-70.87</v>
      </c>
      <c r="F347" s="4">
        <v>-427.21</v>
      </c>
      <c r="G347" s="4">
        <v>-67.84</v>
      </c>
      <c r="H347" s="4">
        <v>-121.88</v>
      </c>
      <c r="I347" s="4">
        <v>-4.2300000000000004</v>
      </c>
    </row>
    <row r="348" spans="1:9" x14ac:dyDescent="0.3">
      <c r="A348" t="s">
        <v>377</v>
      </c>
      <c r="B348" t="s">
        <v>97</v>
      </c>
      <c r="C348" t="s">
        <v>125</v>
      </c>
      <c r="D348" s="4">
        <v>1055.81</v>
      </c>
      <c r="E348" s="4">
        <v>-10466.83</v>
      </c>
      <c r="F348" s="4">
        <v>106476.49</v>
      </c>
      <c r="G348" s="4">
        <v>108723.01</v>
      </c>
      <c r="H348" s="4">
        <v>26058.53</v>
      </c>
      <c r="I348" s="4">
        <v>76077.36</v>
      </c>
    </row>
    <row r="349" spans="1:9" x14ac:dyDescent="0.3">
      <c r="A349" t="s">
        <v>377</v>
      </c>
      <c r="B349" t="s">
        <v>97</v>
      </c>
      <c r="C349" t="s">
        <v>126</v>
      </c>
      <c r="D349" s="4">
        <v>1055.81</v>
      </c>
      <c r="E349" s="4">
        <v>-10466.83</v>
      </c>
      <c r="F349" s="4">
        <v>106476.49</v>
      </c>
      <c r="G349" s="4">
        <v>108723.01</v>
      </c>
      <c r="H349" s="4">
        <v>26058.53</v>
      </c>
      <c r="I349" s="4">
        <v>76077.36</v>
      </c>
    </row>
    <row r="350" spans="1:9" x14ac:dyDescent="0.3">
      <c r="A350" t="s">
        <v>377</v>
      </c>
      <c r="B350" t="s">
        <v>97</v>
      </c>
      <c r="C350" t="s">
        <v>127</v>
      </c>
      <c r="D350" s="4">
        <v>2009805.05</v>
      </c>
      <c r="E350" s="4">
        <v>1725030</v>
      </c>
      <c r="F350" s="4">
        <v>1614797.5</v>
      </c>
      <c r="G350" s="4">
        <v>1501112.62</v>
      </c>
      <c r="H350" s="4">
        <v>1390032.31</v>
      </c>
      <c r="I350" s="4">
        <v>918093.28</v>
      </c>
    </row>
    <row r="351" spans="1:9" x14ac:dyDescent="0.3">
      <c r="A351" t="s">
        <v>377</v>
      </c>
      <c r="B351" t="s">
        <v>97</v>
      </c>
      <c r="C351" t="s">
        <v>128</v>
      </c>
      <c r="D351" s="4">
        <v>1095192.49</v>
      </c>
      <c r="E351" s="4">
        <v>1040968.08</v>
      </c>
      <c r="F351" s="4">
        <v>968871.1</v>
      </c>
      <c r="G351" s="4">
        <v>739175.15</v>
      </c>
      <c r="H351" s="4">
        <v>708254.13</v>
      </c>
      <c r="I351" s="4">
        <v>461127.44</v>
      </c>
    </row>
    <row r="352" spans="1:9" x14ac:dyDescent="0.3">
      <c r="A352" t="s">
        <v>377</v>
      </c>
      <c r="B352" t="s">
        <v>97</v>
      </c>
      <c r="C352" t="s">
        <v>129</v>
      </c>
      <c r="D352" s="4">
        <v>1039862.58</v>
      </c>
      <c r="E352" s="4">
        <v>848918</v>
      </c>
      <c r="F352" s="4">
        <v>782317.63</v>
      </c>
      <c r="G352" s="4">
        <v>707491.82</v>
      </c>
      <c r="H352" s="4">
        <v>675230.37</v>
      </c>
      <c r="I352" s="4">
        <v>425184.33</v>
      </c>
    </row>
    <row r="353" spans="1:9" x14ac:dyDescent="0.3">
      <c r="A353" t="s">
        <v>377</v>
      </c>
      <c r="B353" t="s">
        <v>97</v>
      </c>
      <c r="C353" t="s">
        <v>160</v>
      </c>
      <c r="D353" s="4">
        <v>29921.439999999999</v>
      </c>
      <c r="E353" s="4">
        <v>31650.05</v>
      </c>
      <c r="F353" s="4">
        <v>30834.07</v>
      </c>
      <c r="G353" s="4">
        <v>25544.73</v>
      </c>
      <c r="H353" s="4">
        <v>27136.09</v>
      </c>
      <c r="I353" s="4">
        <v>21566.04</v>
      </c>
    </row>
    <row r="354" spans="1:9" x14ac:dyDescent="0.3">
      <c r="A354" t="s">
        <v>377</v>
      </c>
      <c r="B354" t="s">
        <v>97</v>
      </c>
      <c r="C354" t="s">
        <v>178</v>
      </c>
      <c r="D354" s="4">
        <v>3525.8</v>
      </c>
      <c r="E354" s="4">
        <v>3525.8</v>
      </c>
      <c r="F354" s="4">
        <v>3525.8</v>
      </c>
      <c r="G354" s="4">
        <v>3525.8</v>
      </c>
      <c r="H354" s="4">
        <v>3525.8</v>
      </c>
      <c r="I354" s="4">
        <v>2644.35</v>
      </c>
    </row>
    <row r="355" spans="1:9" x14ac:dyDescent="0.3">
      <c r="A355" t="s">
        <v>377</v>
      </c>
      <c r="B355" t="s">
        <v>97</v>
      </c>
      <c r="C355" t="s">
        <v>179</v>
      </c>
      <c r="D355" s="4">
        <v>3525.8</v>
      </c>
      <c r="E355" s="4">
        <v>3525.8</v>
      </c>
      <c r="F355" s="4">
        <v>3525.8</v>
      </c>
      <c r="G355" s="4">
        <v>3525.8</v>
      </c>
      <c r="H355" s="4">
        <v>3525.8</v>
      </c>
      <c r="I355" s="4">
        <v>2644.35</v>
      </c>
    </row>
    <row r="356" spans="1:9" x14ac:dyDescent="0.3">
      <c r="A356" t="s">
        <v>377</v>
      </c>
      <c r="B356" t="s">
        <v>97</v>
      </c>
      <c r="C356" t="s">
        <v>131</v>
      </c>
      <c r="D356" s="4">
        <v>21882.67</v>
      </c>
      <c r="E356" s="4">
        <v>156874.23000000001</v>
      </c>
      <c r="F356" s="4">
        <v>152193.60000000001</v>
      </c>
      <c r="G356" s="4">
        <v>2612.81</v>
      </c>
      <c r="H356" s="4">
        <v>2361.87</v>
      </c>
      <c r="I356" s="4">
        <v>11732.72</v>
      </c>
    </row>
    <row r="357" spans="1:9" x14ac:dyDescent="0.3">
      <c r="A357" t="s">
        <v>377</v>
      </c>
      <c r="B357" t="s">
        <v>97</v>
      </c>
      <c r="C357" t="s">
        <v>132</v>
      </c>
      <c r="D357" s="4">
        <v>914612.56</v>
      </c>
      <c r="E357" s="4">
        <v>684056.22</v>
      </c>
      <c r="F357" s="4">
        <v>645926.40000000002</v>
      </c>
      <c r="G357" s="4">
        <v>606731.44999999995</v>
      </c>
      <c r="H357" s="4">
        <v>520398.09</v>
      </c>
      <c r="I357" s="4">
        <v>456965.84</v>
      </c>
    </row>
    <row r="358" spans="1:9" x14ac:dyDescent="0.3">
      <c r="A358" t="s">
        <v>377</v>
      </c>
      <c r="B358" t="s">
        <v>97</v>
      </c>
      <c r="C358" t="s">
        <v>183</v>
      </c>
      <c r="D358" s="4">
        <v>27281.96</v>
      </c>
      <c r="E358" s="4">
        <v>24057.87</v>
      </c>
      <c r="F358" s="4">
        <v>24783.89</v>
      </c>
      <c r="G358" s="4">
        <v>22405.78</v>
      </c>
      <c r="H358" s="4">
        <v>22168.35</v>
      </c>
      <c r="I358" s="4">
        <v>13171.54</v>
      </c>
    </row>
    <row r="359" spans="1:9" x14ac:dyDescent="0.3">
      <c r="A359" t="s">
        <v>377</v>
      </c>
      <c r="B359" t="s">
        <v>97</v>
      </c>
      <c r="C359" t="s">
        <v>187</v>
      </c>
      <c r="D359" s="4">
        <v>27281.96</v>
      </c>
      <c r="E359" s="4">
        <v>24057.87</v>
      </c>
      <c r="F359" s="4">
        <v>24783.89</v>
      </c>
      <c r="G359" s="4">
        <v>22405.78</v>
      </c>
      <c r="H359" s="4">
        <v>22168.35</v>
      </c>
      <c r="I359" s="4">
        <v>13171.54</v>
      </c>
    </row>
    <row r="360" spans="1:9" x14ac:dyDescent="0.3">
      <c r="A360" t="s">
        <v>377</v>
      </c>
      <c r="B360" t="s">
        <v>97</v>
      </c>
      <c r="C360" t="s">
        <v>133</v>
      </c>
      <c r="D360" s="4">
        <v>629564.42000000004</v>
      </c>
      <c r="E360" s="4">
        <v>502347.49</v>
      </c>
      <c r="F360" s="4">
        <v>384004.92</v>
      </c>
      <c r="G360" s="4">
        <v>363791.44</v>
      </c>
      <c r="H360" s="4">
        <v>317164.17</v>
      </c>
      <c r="I360" s="4">
        <v>274313.31</v>
      </c>
    </row>
    <row r="361" spans="1:9" x14ac:dyDescent="0.3">
      <c r="A361" t="s">
        <v>377</v>
      </c>
      <c r="B361" t="s">
        <v>97</v>
      </c>
      <c r="C361" t="s">
        <v>162</v>
      </c>
      <c r="D361" s="4">
        <v>866549.86</v>
      </c>
      <c r="E361" s="4">
        <v>622972</v>
      </c>
      <c r="F361" s="4">
        <v>458015.48</v>
      </c>
      <c r="G361" s="4">
        <v>417977.46</v>
      </c>
      <c r="H361" s="4">
        <v>363988.83</v>
      </c>
      <c r="I361" s="4">
        <v>316802.81</v>
      </c>
    </row>
    <row r="362" spans="1:9" x14ac:dyDescent="0.3">
      <c r="A362" t="s">
        <v>377</v>
      </c>
      <c r="B362" t="s">
        <v>97</v>
      </c>
      <c r="C362" t="s">
        <v>134</v>
      </c>
      <c r="D362" s="4">
        <v>43895.16</v>
      </c>
      <c r="E362" s="4">
        <v>36066.410000000003</v>
      </c>
      <c r="F362" s="4">
        <v>34662.67</v>
      </c>
      <c r="G362" s="4">
        <v>28672.16</v>
      </c>
      <c r="H362" s="4">
        <v>23642.87</v>
      </c>
      <c r="I362" s="4">
        <v>17287.54</v>
      </c>
    </row>
    <row r="363" spans="1:9" x14ac:dyDescent="0.3">
      <c r="A363" t="s">
        <v>377</v>
      </c>
      <c r="B363" t="s">
        <v>97</v>
      </c>
      <c r="C363" t="s">
        <v>164</v>
      </c>
      <c r="D363" s="4">
        <v>-280880.59999999998</v>
      </c>
      <c r="E363" s="4">
        <v>-156691</v>
      </c>
      <c r="F363" s="4">
        <v>-108781.28</v>
      </c>
      <c r="G363" s="4">
        <v>-82873.2</v>
      </c>
      <c r="H363" s="4">
        <v>-70486.990000000005</v>
      </c>
      <c r="I363" s="4">
        <v>-59818.27</v>
      </c>
    </row>
    <row r="364" spans="1:9" x14ac:dyDescent="0.3">
      <c r="A364" t="s">
        <v>377</v>
      </c>
      <c r="B364" t="s">
        <v>97</v>
      </c>
      <c r="C364" t="s">
        <v>165</v>
      </c>
      <c r="D364" s="4">
        <v>0</v>
      </c>
      <c r="E364" s="4">
        <v>0</v>
      </c>
      <c r="F364" s="4">
        <v>108.05</v>
      </c>
      <c r="G364" s="4">
        <v>15.02</v>
      </c>
      <c r="H364" s="4">
        <v>19.46</v>
      </c>
      <c r="I364" s="4">
        <v>41.23</v>
      </c>
    </row>
    <row r="365" spans="1:9" x14ac:dyDescent="0.3">
      <c r="A365" t="s">
        <v>377</v>
      </c>
      <c r="B365" t="s">
        <v>97</v>
      </c>
      <c r="C365" t="s">
        <v>166</v>
      </c>
      <c r="D365" s="4">
        <v>9545.2800000000007</v>
      </c>
      <c r="E365" s="4">
        <v>14719.51</v>
      </c>
      <c r="F365" s="4">
        <v>19171.939999999999</v>
      </c>
      <c r="G365" s="4">
        <v>17413.63</v>
      </c>
      <c r="H365" s="4">
        <v>16457.29</v>
      </c>
      <c r="I365" s="4">
        <v>13878.97</v>
      </c>
    </row>
    <row r="366" spans="1:9" x14ac:dyDescent="0.3">
      <c r="A366" t="s">
        <v>377</v>
      </c>
      <c r="B366" t="s">
        <v>97</v>
      </c>
      <c r="C366" t="s">
        <v>135</v>
      </c>
      <c r="D366" s="4">
        <v>423.09</v>
      </c>
      <c r="E366" s="4">
        <v>589.34</v>
      </c>
      <c r="F366" s="4">
        <v>609.34</v>
      </c>
      <c r="G366" s="4">
        <v>676.84</v>
      </c>
      <c r="H366" s="4">
        <v>565.59</v>
      </c>
      <c r="I366" s="4">
        <v>833.09</v>
      </c>
    </row>
    <row r="367" spans="1:9" x14ac:dyDescent="0.3">
      <c r="A367" t="s">
        <v>377</v>
      </c>
      <c r="B367" t="s">
        <v>97</v>
      </c>
      <c r="C367" t="s">
        <v>136</v>
      </c>
      <c r="D367" s="4">
        <v>247797.8</v>
      </c>
      <c r="E367" s="4">
        <v>142342</v>
      </c>
      <c r="F367" s="4">
        <v>217356.3</v>
      </c>
      <c r="G367" s="4">
        <v>202443.76</v>
      </c>
      <c r="H367" s="4">
        <v>164042.69</v>
      </c>
      <c r="I367" s="4">
        <v>154768.93</v>
      </c>
    </row>
    <row r="368" spans="1:9" x14ac:dyDescent="0.3">
      <c r="A368" t="s">
        <v>377</v>
      </c>
      <c r="B368" t="s">
        <v>97</v>
      </c>
      <c r="C368" t="s">
        <v>138</v>
      </c>
      <c r="D368" s="4">
        <v>2009805.05</v>
      </c>
      <c r="E368" s="4">
        <v>1725026</v>
      </c>
      <c r="F368" s="4">
        <v>1614797.5</v>
      </c>
      <c r="G368" s="4">
        <v>1501112.62</v>
      </c>
      <c r="H368" s="4">
        <v>1390032.31</v>
      </c>
      <c r="I368" s="4">
        <v>918093.28</v>
      </c>
    </row>
    <row r="369" spans="1:9" x14ac:dyDescent="0.3">
      <c r="A369" t="s">
        <v>377</v>
      </c>
      <c r="B369" t="s">
        <v>97</v>
      </c>
      <c r="C369" t="s">
        <v>139</v>
      </c>
      <c r="D369" s="4">
        <v>974233.41</v>
      </c>
      <c r="E369" s="4">
        <v>973178</v>
      </c>
      <c r="F369" s="4">
        <v>983644.43</v>
      </c>
      <c r="G369" s="4">
        <v>877167.94</v>
      </c>
      <c r="H369" s="4">
        <v>768444.92</v>
      </c>
      <c r="I369" s="4">
        <v>559509.37</v>
      </c>
    </row>
    <row r="370" spans="1:9" x14ac:dyDescent="0.3">
      <c r="A370" t="s">
        <v>377</v>
      </c>
      <c r="B370" t="s">
        <v>97</v>
      </c>
      <c r="C370" t="s">
        <v>140</v>
      </c>
      <c r="D370" s="4">
        <v>974233.41</v>
      </c>
      <c r="E370" s="4">
        <v>973178</v>
      </c>
      <c r="F370" s="4">
        <v>983644.43</v>
      </c>
      <c r="G370" s="4">
        <v>877167.94</v>
      </c>
      <c r="H370" s="4">
        <v>768444.92</v>
      </c>
      <c r="I370" s="4">
        <v>559509.37</v>
      </c>
    </row>
    <row r="371" spans="1:9" x14ac:dyDescent="0.3">
      <c r="A371" t="s">
        <v>377</v>
      </c>
      <c r="B371" t="s">
        <v>97</v>
      </c>
      <c r="C371" t="s">
        <v>167</v>
      </c>
      <c r="D371" s="4">
        <v>17443.439999999999</v>
      </c>
      <c r="E371" s="4">
        <v>17443.439999999999</v>
      </c>
      <c r="F371" s="4">
        <v>17443.439999999999</v>
      </c>
      <c r="G371" s="4">
        <v>17443.439999999999</v>
      </c>
      <c r="H371" s="4">
        <v>17443.439999999999</v>
      </c>
      <c r="I371" s="4">
        <v>17443.439999999999</v>
      </c>
    </row>
    <row r="372" spans="1:9" x14ac:dyDescent="0.3">
      <c r="A372" t="s">
        <v>377</v>
      </c>
      <c r="B372" t="s">
        <v>97</v>
      </c>
      <c r="C372" t="s">
        <v>143</v>
      </c>
      <c r="D372" s="4">
        <v>659835.91</v>
      </c>
      <c r="E372" s="4">
        <v>670303</v>
      </c>
      <c r="F372" s="4">
        <v>563826.25</v>
      </c>
      <c r="G372" s="4">
        <v>445874.69</v>
      </c>
      <c r="H372" s="4">
        <v>415107.92</v>
      </c>
      <c r="I372" s="4">
        <v>343885.52</v>
      </c>
    </row>
    <row r="373" spans="1:9" x14ac:dyDescent="0.3">
      <c r="A373" t="s">
        <v>377</v>
      </c>
      <c r="B373" t="s">
        <v>97</v>
      </c>
      <c r="C373" t="s">
        <v>144</v>
      </c>
      <c r="D373" s="4">
        <v>1055.81</v>
      </c>
      <c r="E373" s="4">
        <v>-10466.83</v>
      </c>
      <c r="F373" s="4">
        <v>106476.49</v>
      </c>
      <c r="G373" s="4">
        <v>108723.01</v>
      </c>
      <c r="H373" s="4">
        <v>26058.53</v>
      </c>
      <c r="I373" s="4">
        <v>76077.36</v>
      </c>
    </row>
    <row r="374" spans="1:9" x14ac:dyDescent="0.3">
      <c r="A374" t="s">
        <v>377</v>
      </c>
      <c r="B374" t="s">
        <v>97</v>
      </c>
      <c r="C374" t="s">
        <v>174</v>
      </c>
      <c r="D374" s="4">
        <v>295898.25</v>
      </c>
      <c r="E374" s="4">
        <v>295898</v>
      </c>
      <c r="F374" s="4">
        <v>295898.25</v>
      </c>
      <c r="G374" s="4">
        <v>305126.78999999998</v>
      </c>
      <c r="H374" s="4">
        <v>309835.03000000003</v>
      </c>
      <c r="I374" s="4">
        <v>122103.06</v>
      </c>
    </row>
    <row r="375" spans="1:9" x14ac:dyDescent="0.3">
      <c r="A375" t="s">
        <v>377</v>
      </c>
      <c r="B375" t="s">
        <v>97</v>
      </c>
      <c r="C375" t="s">
        <v>145</v>
      </c>
      <c r="D375" s="4">
        <v>1035571.64</v>
      </c>
      <c r="E375" s="4">
        <v>751848</v>
      </c>
      <c r="F375" s="4">
        <v>631153.06999999995</v>
      </c>
      <c r="G375" s="4">
        <v>623944.68000000005</v>
      </c>
      <c r="H375" s="4">
        <v>621587.39</v>
      </c>
      <c r="I375" s="4">
        <v>358583.91</v>
      </c>
    </row>
    <row r="376" spans="1:9" x14ac:dyDescent="0.3">
      <c r="A376" t="s">
        <v>377</v>
      </c>
      <c r="B376" t="s">
        <v>97</v>
      </c>
      <c r="C376" t="s">
        <v>146</v>
      </c>
      <c r="D376" s="4">
        <v>499.98</v>
      </c>
      <c r="E376" s="4">
        <v>608.57000000000005</v>
      </c>
      <c r="F376" s="4">
        <v>571.78</v>
      </c>
      <c r="G376" s="4">
        <v>859.08</v>
      </c>
      <c r="H376" s="4">
        <v>257.39999999999998</v>
      </c>
      <c r="I376" s="4">
        <v>742.62</v>
      </c>
    </row>
    <row r="377" spans="1:9" x14ac:dyDescent="0.3">
      <c r="A377" t="s">
        <v>377</v>
      </c>
      <c r="B377" t="s">
        <v>97</v>
      </c>
      <c r="C377" t="s">
        <v>147</v>
      </c>
      <c r="D377" s="4">
        <v>499.98</v>
      </c>
      <c r="E377" s="4">
        <v>608.57000000000005</v>
      </c>
      <c r="F377" s="4">
        <v>571.78</v>
      </c>
      <c r="G377" s="4">
        <v>859.08</v>
      </c>
      <c r="H377" s="4">
        <v>257.39999999999998</v>
      </c>
      <c r="I377" s="4">
        <v>742.62</v>
      </c>
    </row>
    <row r="378" spans="1:9" x14ac:dyDescent="0.3">
      <c r="A378" t="s">
        <v>377</v>
      </c>
      <c r="B378" t="s">
        <v>97</v>
      </c>
      <c r="C378" t="s">
        <v>149</v>
      </c>
      <c r="D378" s="4">
        <v>1035071.66</v>
      </c>
      <c r="E378" s="4">
        <v>751238.66</v>
      </c>
      <c r="F378" s="4">
        <v>630581.28</v>
      </c>
      <c r="G378" s="4">
        <v>623085.6</v>
      </c>
      <c r="H378" s="4">
        <v>621329.99</v>
      </c>
      <c r="I378" s="4">
        <v>357841.29</v>
      </c>
    </row>
    <row r="379" spans="1:9" x14ac:dyDescent="0.3">
      <c r="A379" t="s">
        <v>377</v>
      </c>
      <c r="B379" t="s">
        <v>97</v>
      </c>
      <c r="C379" t="s">
        <v>169</v>
      </c>
      <c r="D379" s="4">
        <v>526559.24</v>
      </c>
      <c r="E379" s="4">
        <v>352668.68</v>
      </c>
      <c r="F379" s="4">
        <v>314205.67</v>
      </c>
      <c r="G379" s="4">
        <v>341302.3</v>
      </c>
      <c r="H379" s="4">
        <v>364843.88</v>
      </c>
      <c r="I379" s="4">
        <v>171398.7</v>
      </c>
    </row>
    <row r="380" spans="1:9" x14ac:dyDescent="0.3">
      <c r="A380" t="s">
        <v>377</v>
      </c>
      <c r="B380" t="s">
        <v>97</v>
      </c>
      <c r="C380" t="s">
        <v>150</v>
      </c>
      <c r="D380" s="4">
        <v>359452.82</v>
      </c>
      <c r="E380" s="4">
        <v>282150.32</v>
      </c>
      <c r="F380" s="4">
        <v>214104.42</v>
      </c>
      <c r="G380" s="4">
        <v>201384.35</v>
      </c>
      <c r="H380" s="4">
        <v>164498.35</v>
      </c>
      <c r="I380" s="4">
        <v>114338.35</v>
      </c>
    </row>
    <row r="381" spans="1:9" x14ac:dyDescent="0.3">
      <c r="A381" t="s">
        <v>377</v>
      </c>
      <c r="B381" t="s">
        <v>97</v>
      </c>
      <c r="C381" t="s">
        <v>151</v>
      </c>
      <c r="D381" s="4">
        <v>173657.25</v>
      </c>
      <c r="E381" s="4">
        <v>117115</v>
      </c>
      <c r="F381" s="4">
        <v>103455.32</v>
      </c>
      <c r="G381" s="4">
        <v>96971.96</v>
      </c>
      <c r="H381" s="4">
        <v>78183.600000000006</v>
      </c>
      <c r="I381" s="4">
        <v>47240.25</v>
      </c>
    </row>
    <row r="382" spans="1:9" x14ac:dyDescent="0.3">
      <c r="A382" t="s">
        <v>377</v>
      </c>
      <c r="B382" t="s">
        <v>97</v>
      </c>
      <c r="C382" t="s">
        <v>152</v>
      </c>
      <c r="D382" s="4">
        <v>185795.57</v>
      </c>
      <c r="E382" s="4">
        <v>165035.91</v>
      </c>
      <c r="F382" s="4">
        <v>110649.1</v>
      </c>
      <c r="G382" s="4">
        <v>96891.82</v>
      </c>
      <c r="H382" s="4">
        <v>86314.74</v>
      </c>
      <c r="I382" s="4">
        <v>67098.100000000006</v>
      </c>
    </row>
    <row r="383" spans="1:9" x14ac:dyDescent="0.3">
      <c r="A383" t="s">
        <v>377</v>
      </c>
      <c r="B383" t="s">
        <v>97</v>
      </c>
      <c r="C383" t="s">
        <v>147</v>
      </c>
      <c r="D383" s="4">
        <v>132398.29999999999</v>
      </c>
      <c r="E383" s="4">
        <v>98534.52</v>
      </c>
      <c r="F383" s="4">
        <v>83218.240000000005</v>
      </c>
      <c r="G383" s="4">
        <v>64940.04</v>
      </c>
      <c r="H383" s="4">
        <v>74865.13</v>
      </c>
      <c r="I383" s="4">
        <v>52276.25</v>
      </c>
    </row>
    <row r="384" spans="1:9" x14ac:dyDescent="0.3">
      <c r="A384" t="s">
        <v>377</v>
      </c>
      <c r="B384" t="s">
        <v>97</v>
      </c>
      <c r="C384" t="s">
        <v>153</v>
      </c>
      <c r="D384" s="4">
        <v>13372.36</v>
      </c>
      <c r="E384" s="4">
        <v>14406.14</v>
      </c>
      <c r="F384" s="4">
        <v>15639.4</v>
      </c>
      <c r="G384" s="4">
        <v>12315.96</v>
      </c>
      <c r="H384" s="4">
        <v>14451.64</v>
      </c>
      <c r="I384" s="4">
        <v>16900.599999999999</v>
      </c>
    </row>
    <row r="385" spans="1:9" x14ac:dyDescent="0.3">
      <c r="A385" t="s">
        <v>377</v>
      </c>
      <c r="B385" t="s">
        <v>97</v>
      </c>
      <c r="C385" t="s">
        <v>171</v>
      </c>
      <c r="D385" s="4">
        <v>3288.93</v>
      </c>
      <c r="E385" s="4">
        <v>3479.01</v>
      </c>
      <c r="F385" s="4">
        <v>3413.55</v>
      </c>
      <c r="G385" s="4">
        <v>3142.95</v>
      </c>
      <c r="H385" s="4">
        <v>2670.99</v>
      </c>
      <c r="I385" s="4">
        <v>2927.39</v>
      </c>
    </row>
    <row r="386" spans="1:9" hidden="1" x14ac:dyDescent="0.3">
      <c r="A386" t="s">
        <v>376</v>
      </c>
      <c r="B386" t="s">
        <v>97</v>
      </c>
      <c r="C386" t="s">
        <v>105</v>
      </c>
      <c r="D386" s="4">
        <v>684113.91</v>
      </c>
      <c r="E386" s="4">
        <v>555748.36</v>
      </c>
      <c r="F386" s="4">
        <v>454890.5</v>
      </c>
      <c r="G386" s="4">
        <v>448230.04</v>
      </c>
      <c r="H386" s="4">
        <v>457239.7</v>
      </c>
      <c r="I386" s="4">
        <v>416262.95</v>
      </c>
    </row>
    <row r="387" spans="1:9" hidden="1" x14ac:dyDescent="0.3">
      <c r="A387" t="s">
        <v>376</v>
      </c>
      <c r="B387" t="s">
        <v>97</v>
      </c>
      <c r="C387" t="s">
        <v>155</v>
      </c>
      <c r="D387" s="4">
        <v>612596.31999999995</v>
      </c>
      <c r="E387" s="4">
        <v>465155.69</v>
      </c>
      <c r="F387" s="4">
        <v>402006.36</v>
      </c>
      <c r="G387" s="4">
        <v>348651.75</v>
      </c>
      <c r="H387" s="4">
        <v>352508.69</v>
      </c>
      <c r="I387" s="4">
        <v>352935.02</v>
      </c>
    </row>
    <row r="388" spans="1:9" hidden="1" x14ac:dyDescent="0.3">
      <c r="A388" t="s">
        <v>376</v>
      </c>
      <c r="B388" t="s">
        <v>97</v>
      </c>
      <c r="C388" t="s">
        <v>108</v>
      </c>
      <c r="D388" s="4">
        <v>-86385.24</v>
      </c>
      <c r="E388" s="4">
        <v>-74915.3</v>
      </c>
      <c r="F388" s="4">
        <v>-70598.240000000005</v>
      </c>
      <c r="G388" s="4">
        <v>-70176.34</v>
      </c>
      <c r="H388" s="4">
        <v>-65977.759999999995</v>
      </c>
      <c r="I388" s="4">
        <v>-65156.91</v>
      </c>
    </row>
    <row r="389" spans="1:9" hidden="1" x14ac:dyDescent="0.3">
      <c r="A389" t="s">
        <v>376</v>
      </c>
      <c r="B389" t="s">
        <v>97</v>
      </c>
      <c r="C389" t="s">
        <v>156</v>
      </c>
      <c r="D389" s="4">
        <v>0</v>
      </c>
      <c r="E389" s="4">
        <v>0</v>
      </c>
      <c r="F389" s="4">
        <v>0</v>
      </c>
      <c r="G389" s="4">
        <v>0</v>
      </c>
      <c r="H389" s="4">
        <v>0</v>
      </c>
      <c r="I389" s="4">
        <v>0</v>
      </c>
    </row>
    <row r="390" spans="1:9" hidden="1" x14ac:dyDescent="0.3">
      <c r="A390" t="s">
        <v>376</v>
      </c>
      <c r="B390" t="s">
        <v>97</v>
      </c>
      <c r="C390" t="s">
        <v>157</v>
      </c>
      <c r="D390" s="4">
        <v>0</v>
      </c>
      <c r="E390" s="4">
        <v>0</v>
      </c>
      <c r="F390" s="4">
        <v>0</v>
      </c>
      <c r="G390" s="4">
        <v>0</v>
      </c>
      <c r="H390" s="4">
        <v>0</v>
      </c>
      <c r="I390" s="4">
        <v>0</v>
      </c>
    </row>
    <row r="391" spans="1:9" hidden="1" x14ac:dyDescent="0.3">
      <c r="A391" t="s">
        <v>376</v>
      </c>
      <c r="B391" t="s">
        <v>97</v>
      </c>
      <c r="C391" t="s">
        <v>158</v>
      </c>
      <c r="D391" s="4">
        <v>0</v>
      </c>
      <c r="E391" s="4">
        <v>0</v>
      </c>
      <c r="F391" s="4">
        <v>0</v>
      </c>
      <c r="G391" s="4">
        <v>0</v>
      </c>
      <c r="H391" s="4">
        <v>0</v>
      </c>
      <c r="I391" s="4">
        <v>0</v>
      </c>
    </row>
    <row r="392" spans="1:9" hidden="1" x14ac:dyDescent="0.3">
      <c r="A392" t="s">
        <v>376</v>
      </c>
      <c r="B392" t="s">
        <v>97</v>
      </c>
      <c r="C392" t="s">
        <v>106</v>
      </c>
      <c r="D392" s="4">
        <v>0</v>
      </c>
      <c r="E392" s="4">
        <v>0</v>
      </c>
      <c r="F392" s="4">
        <v>0</v>
      </c>
      <c r="G392" s="4">
        <v>0</v>
      </c>
      <c r="H392" s="4">
        <v>0</v>
      </c>
      <c r="I392" s="4">
        <v>0</v>
      </c>
    </row>
    <row r="393" spans="1:9" hidden="1" x14ac:dyDescent="0.3">
      <c r="A393" t="s">
        <v>376</v>
      </c>
      <c r="B393" t="s">
        <v>97</v>
      </c>
      <c r="C393" t="s">
        <v>109</v>
      </c>
      <c r="D393" s="4">
        <v>-28311.19</v>
      </c>
      <c r="E393" s="4">
        <v>-24379.57</v>
      </c>
      <c r="F393" s="4">
        <v>-25747.32</v>
      </c>
      <c r="G393" s="4">
        <v>-25986.92</v>
      </c>
      <c r="H393" s="4">
        <v>-22435.279999999999</v>
      </c>
      <c r="I393" s="4">
        <v>-19052.099999999999</v>
      </c>
    </row>
    <row r="394" spans="1:9" hidden="1" x14ac:dyDescent="0.3">
      <c r="A394" t="s">
        <v>376</v>
      </c>
      <c r="B394" t="s">
        <v>97</v>
      </c>
      <c r="C394" t="s">
        <v>113</v>
      </c>
      <c r="D394" s="4">
        <v>127129.35</v>
      </c>
      <c r="E394" s="4">
        <v>99834.15</v>
      </c>
      <c r="F394" s="4">
        <v>34083.279999999999</v>
      </c>
      <c r="G394" s="4">
        <v>53847.71</v>
      </c>
      <c r="H394" s="4">
        <v>62307.79</v>
      </c>
      <c r="I394" s="4">
        <v>77946.69</v>
      </c>
    </row>
    <row r="395" spans="1:9" hidden="1" x14ac:dyDescent="0.3">
      <c r="A395" t="s">
        <v>376</v>
      </c>
      <c r="B395" t="s">
        <v>97</v>
      </c>
      <c r="C395" t="s">
        <v>114</v>
      </c>
      <c r="D395" s="4">
        <v>155440.54</v>
      </c>
      <c r="E395" s="4">
        <v>124213.72</v>
      </c>
      <c r="F395" s="4">
        <v>59830.6</v>
      </c>
      <c r="G395" s="4">
        <v>79834.63</v>
      </c>
      <c r="H395" s="4">
        <v>84743.07</v>
      </c>
      <c r="I395" s="4">
        <v>96998.79</v>
      </c>
    </row>
    <row r="396" spans="1:9" hidden="1" x14ac:dyDescent="0.3">
      <c r="A396" t="s">
        <v>376</v>
      </c>
      <c r="B396" t="s">
        <v>97</v>
      </c>
      <c r="C396" t="s">
        <v>115</v>
      </c>
      <c r="D396" s="4">
        <v>5576.1</v>
      </c>
      <c r="E396" s="4">
        <v>10686.6</v>
      </c>
      <c r="F396" s="4">
        <v>4332.12</v>
      </c>
      <c r="G396" s="4">
        <v>-2814.83</v>
      </c>
      <c r="H396" s="4">
        <v>4301.7299999999996</v>
      </c>
      <c r="I396" s="4">
        <v>2893.27</v>
      </c>
    </row>
    <row r="397" spans="1:9" hidden="1" x14ac:dyDescent="0.3">
      <c r="A397" t="s">
        <v>376</v>
      </c>
      <c r="B397" t="s">
        <v>97</v>
      </c>
      <c r="C397" t="s">
        <v>118</v>
      </c>
      <c r="D397" s="4">
        <v>-2595.9499999999998</v>
      </c>
      <c r="E397" s="4">
        <v>-3804.85</v>
      </c>
      <c r="F397" s="4">
        <v>-3881.94</v>
      </c>
      <c r="G397" s="4">
        <v>-4197.6000000000004</v>
      </c>
      <c r="H397" s="4">
        <v>-1917.48</v>
      </c>
      <c r="I397" s="4">
        <v>-1022.67</v>
      </c>
    </row>
    <row r="398" spans="1:9" hidden="1" x14ac:dyDescent="0.3">
      <c r="A398" t="s">
        <v>376</v>
      </c>
      <c r="B398" t="s">
        <v>97</v>
      </c>
      <c r="C398" t="s">
        <v>159</v>
      </c>
      <c r="D398" s="4">
        <v>0</v>
      </c>
      <c r="E398" s="4">
        <v>0</v>
      </c>
      <c r="F398" s="4">
        <v>0</v>
      </c>
      <c r="G398" s="4">
        <v>0</v>
      </c>
      <c r="H398" s="4">
        <v>0</v>
      </c>
      <c r="I398" s="4">
        <v>0</v>
      </c>
    </row>
    <row r="399" spans="1:9" hidden="1" x14ac:dyDescent="0.3">
      <c r="A399" t="s">
        <v>376</v>
      </c>
      <c r="B399" t="s">
        <v>97</v>
      </c>
      <c r="C399" t="s">
        <v>120</v>
      </c>
      <c r="D399" s="4">
        <v>-18096.560000000001</v>
      </c>
      <c r="E399" s="4">
        <v>-17234.349999999999</v>
      </c>
      <c r="F399" s="4">
        <v>-20028.39</v>
      </c>
      <c r="G399" s="4">
        <v>-12564.76</v>
      </c>
      <c r="H399" s="4">
        <v>-27564.67</v>
      </c>
      <c r="I399" s="4">
        <v>28667.05</v>
      </c>
    </row>
    <row r="400" spans="1:9" hidden="1" x14ac:dyDescent="0.3">
      <c r="A400" t="s">
        <v>376</v>
      </c>
      <c r="B400" t="s">
        <v>97</v>
      </c>
      <c r="C400" t="s">
        <v>121</v>
      </c>
      <c r="D400" s="4">
        <v>18724.009999999998</v>
      </c>
      <c r="E400" s="4">
        <v>13500.83</v>
      </c>
      <c r="F400" s="4">
        <v>17053.5</v>
      </c>
      <c r="G400" s="4">
        <v>15734.2</v>
      </c>
      <c r="H400" s="4">
        <v>14245.08</v>
      </c>
      <c r="I400" s="4">
        <v>45590.64</v>
      </c>
    </row>
    <row r="401" spans="1:9" hidden="1" x14ac:dyDescent="0.3">
      <c r="A401" t="s">
        <v>376</v>
      </c>
      <c r="B401" t="s">
        <v>97</v>
      </c>
      <c r="C401" t="s">
        <v>122</v>
      </c>
      <c r="D401" s="4">
        <v>-36820.57</v>
      </c>
      <c r="E401" s="4">
        <v>-30735.18</v>
      </c>
      <c r="F401" s="4">
        <v>-37081.879999999997</v>
      </c>
      <c r="G401" s="4">
        <v>-28298.959999999999</v>
      </c>
      <c r="H401" s="4">
        <v>-41809.74</v>
      </c>
      <c r="I401" s="4">
        <v>-16923.59</v>
      </c>
    </row>
    <row r="402" spans="1:9" hidden="1" x14ac:dyDescent="0.3">
      <c r="A402" t="s">
        <v>376</v>
      </c>
      <c r="B402" t="s">
        <v>97</v>
      </c>
      <c r="C402" t="s">
        <v>123</v>
      </c>
      <c r="D402" s="4">
        <v>119932.86</v>
      </c>
      <c r="E402" s="4">
        <v>98706.11</v>
      </c>
      <c r="F402" s="4">
        <v>18387.009999999998</v>
      </c>
      <c r="G402" s="4">
        <v>38468.120000000003</v>
      </c>
      <c r="H402" s="4">
        <v>39044.85</v>
      </c>
      <c r="I402" s="4">
        <v>109507.01</v>
      </c>
    </row>
    <row r="403" spans="1:9" hidden="1" x14ac:dyDescent="0.3">
      <c r="A403" t="s">
        <v>376</v>
      </c>
      <c r="B403" t="s">
        <v>97</v>
      </c>
      <c r="C403" t="s">
        <v>124</v>
      </c>
      <c r="D403" s="4">
        <v>0</v>
      </c>
      <c r="E403" s="4">
        <v>0</v>
      </c>
      <c r="F403" s="4">
        <v>0</v>
      </c>
      <c r="G403" s="4">
        <v>0</v>
      </c>
      <c r="H403" s="4">
        <v>0</v>
      </c>
      <c r="I403" s="4">
        <v>0</v>
      </c>
    </row>
    <row r="404" spans="1:9" hidden="1" x14ac:dyDescent="0.3">
      <c r="A404" t="s">
        <v>376</v>
      </c>
      <c r="B404" t="s">
        <v>97</v>
      </c>
      <c r="C404" t="s">
        <v>125</v>
      </c>
      <c r="D404" s="4">
        <v>119932.86</v>
      </c>
      <c r="E404" s="4">
        <v>98706.11</v>
      </c>
      <c r="F404" s="4">
        <v>18387.009999999998</v>
      </c>
      <c r="G404" s="4">
        <v>38468.120000000003</v>
      </c>
      <c r="H404" s="4">
        <v>39044.85</v>
      </c>
      <c r="I404" s="4">
        <v>109507.01</v>
      </c>
    </row>
    <row r="405" spans="1:9" hidden="1" x14ac:dyDescent="0.3">
      <c r="A405" t="s">
        <v>376</v>
      </c>
      <c r="B405" t="s">
        <v>97</v>
      </c>
      <c r="C405" t="s">
        <v>126</v>
      </c>
      <c r="D405" s="4">
        <v>119932.86</v>
      </c>
      <c r="E405" s="4">
        <v>98706.11</v>
      </c>
      <c r="F405" s="4">
        <v>18387.009999999998</v>
      </c>
      <c r="G405" s="4">
        <v>38468.120000000003</v>
      </c>
      <c r="H405" s="4">
        <v>39044.85</v>
      </c>
      <c r="I405" s="4">
        <v>109507.01</v>
      </c>
    </row>
    <row r="406" spans="1:9" hidden="1" x14ac:dyDescent="0.3">
      <c r="A406" t="s">
        <v>376</v>
      </c>
      <c r="B406" t="s">
        <v>97</v>
      </c>
      <c r="C406" t="s">
        <v>127</v>
      </c>
      <c r="D406" s="4">
        <v>1309615.44</v>
      </c>
      <c r="E406" s="4">
        <v>1168328.81</v>
      </c>
      <c r="F406" s="4">
        <v>1090160.72</v>
      </c>
      <c r="G406" s="4">
        <v>1069740.92</v>
      </c>
      <c r="H406" s="4">
        <v>1021412.31</v>
      </c>
      <c r="I406" s="4">
        <v>926837.57</v>
      </c>
    </row>
    <row r="407" spans="1:9" hidden="1" x14ac:dyDescent="0.3">
      <c r="A407" t="s">
        <v>376</v>
      </c>
      <c r="B407" t="s">
        <v>97</v>
      </c>
      <c r="C407" t="s">
        <v>128</v>
      </c>
      <c r="D407" s="4">
        <v>928981.52</v>
      </c>
      <c r="E407" s="4">
        <v>830557.31</v>
      </c>
      <c r="F407" s="4">
        <v>891016.26</v>
      </c>
      <c r="G407" s="4">
        <v>713621.58</v>
      </c>
      <c r="H407" s="4">
        <v>691735.4</v>
      </c>
      <c r="I407" s="4">
        <v>654797.73</v>
      </c>
    </row>
    <row r="408" spans="1:9" hidden="1" x14ac:dyDescent="0.3">
      <c r="A408" t="s">
        <v>376</v>
      </c>
      <c r="B408" t="s">
        <v>97</v>
      </c>
      <c r="C408" t="s">
        <v>129</v>
      </c>
      <c r="D408" s="4">
        <v>696708.03</v>
      </c>
      <c r="E408" s="4">
        <v>607151.6</v>
      </c>
      <c r="F408" s="4">
        <v>586319.35999999999</v>
      </c>
      <c r="G408" s="4">
        <v>573827.94999999995</v>
      </c>
      <c r="H408" s="4">
        <v>579557.6</v>
      </c>
      <c r="I408" s="4">
        <v>538329.66</v>
      </c>
    </row>
    <row r="409" spans="1:9" hidden="1" x14ac:dyDescent="0.3">
      <c r="A409" t="s">
        <v>376</v>
      </c>
      <c r="B409" t="s">
        <v>97</v>
      </c>
      <c r="C409" t="s">
        <v>160</v>
      </c>
      <c r="D409" s="4">
        <v>0</v>
      </c>
      <c r="E409" s="4">
        <v>0</v>
      </c>
      <c r="F409" s="4">
        <v>0</v>
      </c>
      <c r="G409" s="4">
        <v>0</v>
      </c>
      <c r="H409" s="4">
        <v>0</v>
      </c>
      <c r="I409" s="4">
        <v>0</v>
      </c>
    </row>
    <row r="410" spans="1:9" hidden="1" x14ac:dyDescent="0.3">
      <c r="A410" t="s">
        <v>376</v>
      </c>
      <c r="B410" t="s">
        <v>97</v>
      </c>
      <c r="C410" t="s">
        <v>161</v>
      </c>
      <c r="D410" s="4">
        <v>0</v>
      </c>
      <c r="E410" s="4">
        <v>0</v>
      </c>
      <c r="F410" s="4">
        <v>0</v>
      </c>
      <c r="G410" s="4">
        <v>0</v>
      </c>
      <c r="H410" s="4">
        <v>0</v>
      </c>
      <c r="I410" s="4">
        <v>0</v>
      </c>
    </row>
    <row r="411" spans="1:9" hidden="1" x14ac:dyDescent="0.3">
      <c r="A411" t="s">
        <v>376</v>
      </c>
      <c r="B411" t="s">
        <v>97</v>
      </c>
      <c r="C411" t="s">
        <v>131</v>
      </c>
      <c r="D411" s="4">
        <v>94226.44</v>
      </c>
      <c r="E411" s="4">
        <v>124301.38</v>
      </c>
      <c r="F411" s="4">
        <v>78182.7</v>
      </c>
      <c r="G411" s="4">
        <v>59525.1</v>
      </c>
      <c r="H411" s="4">
        <v>59481.01</v>
      </c>
      <c r="I411" s="4">
        <v>56019.13</v>
      </c>
    </row>
    <row r="412" spans="1:9" hidden="1" x14ac:dyDescent="0.3">
      <c r="A412" t="s">
        <v>376</v>
      </c>
      <c r="B412" t="s">
        <v>97</v>
      </c>
      <c r="C412" t="s">
        <v>132</v>
      </c>
      <c r="D412" s="4">
        <v>380633.92</v>
      </c>
      <c r="E412" s="4">
        <v>337771.5</v>
      </c>
      <c r="F412" s="4">
        <v>199144.47</v>
      </c>
      <c r="G412" s="4">
        <v>356119.33</v>
      </c>
      <c r="H412" s="4">
        <v>329676.92</v>
      </c>
      <c r="I412" s="4">
        <v>272039.84000000003</v>
      </c>
    </row>
    <row r="413" spans="1:9" hidden="1" x14ac:dyDescent="0.3">
      <c r="A413" t="s">
        <v>376</v>
      </c>
      <c r="B413" t="s">
        <v>97</v>
      </c>
      <c r="C413" t="s">
        <v>183</v>
      </c>
      <c r="D413" s="4">
        <v>11625.25</v>
      </c>
      <c r="E413" s="4">
        <v>7504.14</v>
      </c>
      <c r="F413" s="4">
        <v>6349.38</v>
      </c>
      <c r="G413" s="4">
        <v>14435.86</v>
      </c>
      <c r="H413" s="4">
        <v>10328.89</v>
      </c>
      <c r="I413" s="4">
        <v>8437.48</v>
      </c>
    </row>
    <row r="414" spans="1:9" hidden="1" x14ac:dyDescent="0.3">
      <c r="A414" t="s">
        <v>376</v>
      </c>
      <c r="B414" t="s">
        <v>97</v>
      </c>
      <c r="C414" t="s">
        <v>187</v>
      </c>
      <c r="D414" s="4">
        <v>0</v>
      </c>
      <c r="E414" s="4">
        <v>0</v>
      </c>
      <c r="F414" s="4">
        <v>0</v>
      </c>
      <c r="G414" s="4">
        <v>0</v>
      </c>
      <c r="H414" s="4">
        <v>0</v>
      </c>
      <c r="I414" s="4">
        <v>0</v>
      </c>
    </row>
    <row r="415" spans="1:9" hidden="1" x14ac:dyDescent="0.3">
      <c r="A415" t="s">
        <v>376</v>
      </c>
      <c r="B415" t="s">
        <v>97</v>
      </c>
      <c r="C415" t="s">
        <v>133</v>
      </c>
      <c r="D415" s="4">
        <v>336566.2</v>
      </c>
      <c r="E415" s="4">
        <v>295631.21000000002</v>
      </c>
      <c r="F415" s="4">
        <v>111615.39</v>
      </c>
      <c r="G415" s="4">
        <v>233343.23</v>
      </c>
      <c r="H415" s="4">
        <v>260591.54</v>
      </c>
      <c r="I415" s="4">
        <v>218731.39</v>
      </c>
    </row>
    <row r="416" spans="1:9" hidden="1" x14ac:dyDescent="0.3">
      <c r="A416" t="s">
        <v>376</v>
      </c>
      <c r="B416" t="s">
        <v>97</v>
      </c>
      <c r="C416" t="s">
        <v>162</v>
      </c>
      <c r="D416" s="4">
        <v>0</v>
      </c>
      <c r="E416" s="4">
        <v>0</v>
      </c>
      <c r="F416" s="4">
        <v>0.24</v>
      </c>
      <c r="G416" s="4">
        <v>0</v>
      </c>
      <c r="H416" s="4">
        <v>1.77</v>
      </c>
      <c r="I416" s="4">
        <v>1.39</v>
      </c>
    </row>
    <row r="417" spans="1:9" hidden="1" x14ac:dyDescent="0.3">
      <c r="A417" t="s">
        <v>376</v>
      </c>
      <c r="B417" t="s">
        <v>97</v>
      </c>
      <c r="C417" t="s">
        <v>163</v>
      </c>
      <c r="D417" s="4">
        <v>0</v>
      </c>
      <c r="E417" s="4">
        <v>0</v>
      </c>
      <c r="F417" s="4">
        <v>0</v>
      </c>
      <c r="G417" s="4">
        <v>0</v>
      </c>
      <c r="H417" s="4">
        <v>0</v>
      </c>
      <c r="I417" s="4">
        <v>0</v>
      </c>
    </row>
    <row r="418" spans="1:9" hidden="1" x14ac:dyDescent="0.3">
      <c r="A418" t="s">
        <v>376</v>
      </c>
      <c r="B418" t="s">
        <v>97</v>
      </c>
      <c r="C418" t="s">
        <v>134</v>
      </c>
      <c r="D418" s="4">
        <v>336566.2</v>
      </c>
      <c r="E418" s="4">
        <v>295631.21000000002</v>
      </c>
      <c r="F418" s="4">
        <v>111615.15</v>
      </c>
      <c r="G418" s="4">
        <v>233343.23</v>
      </c>
      <c r="H418" s="4">
        <v>260589.77</v>
      </c>
      <c r="I418" s="4">
        <v>218730</v>
      </c>
    </row>
    <row r="419" spans="1:9" hidden="1" x14ac:dyDescent="0.3">
      <c r="A419" t="s">
        <v>376</v>
      </c>
      <c r="B419" t="s">
        <v>97</v>
      </c>
      <c r="C419" t="s">
        <v>164</v>
      </c>
      <c r="D419" s="4">
        <v>0</v>
      </c>
      <c r="E419" s="4">
        <v>0</v>
      </c>
      <c r="F419" s="4">
        <v>0</v>
      </c>
      <c r="G419" s="4">
        <v>0</v>
      </c>
      <c r="H419" s="4">
        <v>0</v>
      </c>
      <c r="I419" s="4">
        <v>0</v>
      </c>
    </row>
    <row r="420" spans="1:9" hidden="1" x14ac:dyDescent="0.3">
      <c r="A420" t="s">
        <v>376</v>
      </c>
      <c r="B420" t="s">
        <v>97</v>
      </c>
      <c r="C420" t="s">
        <v>165</v>
      </c>
      <c r="D420" s="4">
        <v>0</v>
      </c>
      <c r="E420" s="4">
        <v>0</v>
      </c>
      <c r="F420" s="4">
        <v>0</v>
      </c>
      <c r="G420" s="4">
        <v>0</v>
      </c>
      <c r="H420" s="4">
        <v>0</v>
      </c>
      <c r="I420" s="4">
        <v>0</v>
      </c>
    </row>
    <row r="421" spans="1:9" hidden="1" x14ac:dyDescent="0.3">
      <c r="A421" t="s">
        <v>376</v>
      </c>
      <c r="B421" t="s">
        <v>97</v>
      </c>
      <c r="C421" t="s">
        <v>166</v>
      </c>
      <c r="D421" s="4">
        <v>0</v>
      </c>
      <c r="E421" s="4">
        <v>0</v>
      </c>
      <c r="F421" s="4">
        <v>0</v>
      </c>
      <c r="G421" s="4">
        <v>0</v>
      </c>
      <c r="H421" s="4">
        <v>0</v>
      </c>
      <c r="I421" s="4">
        <v>0</v>
      </c>
    </row>
    <row r="422" spans="1:9" hidden="1" x14ac:dyDescent="0.3">
      <c r="A422" t="s">
        <v>376</v>
      </c>
      <c r="B422" t="s">
        <v>97</v>
      </c>
      <c r="C422" t="s">
        <v>135</v>
      </c>
      <c r="D422" s="4">
        <v>0</v>
      </c>
      <c r="E422" s="4">
        <v>0</v>
      </c>
      <c r="F422" s="4">
        <v>0</v>
      </c>
      <c r="G422" s="4">
        <v>0</v>
      </c>
      <c r="H422" s="4">
        <v>0</v>
      </c>
      <c r="I422" s="4">
        <v>0</v>
      </c>
    </row>
    <row r="423" spans="1:9" hidden="1" x14ac:dyDescent="0.3">
      <c r="A423" t="s">
        <v>376</v>
      </c>
      <c r="B423" t="s">
        <v>97</v>
      </c>
      <c r="C423" t="s">
        <v>136</v>
      </c>
      <c r="D423" s="4">
        <v>32442.47</v>
      </c>
      <c r="E423" s="4">
        <v>34636.14</v>
      </c>
      <c r="F423" s="4">
        <v>81179.7</v>
      </c>
      <c r="G423" s="4">
        <v>108340.24</v>
      </c>
      <c r="H423" s="4">
        <v>58756.480000000003</v>
      </c>
      <c r="I423" s="4">
        <v>44870.97</v>
      </c>
    </row>
    <row r="424" spans="1:9" hidden="1" x14ac:dyDescent="0.3">
      <c r="A424" t="s">
        <v>376</v>
      </c>
      <c r="B424" t="s">
        <v>97</v>
      </c>
      <c r="C424" t="s">
        <v>138</v>
      </c>
      <c r="D424" s="4">
        <v>1309615.44</v>
      </c>
      <c r="E424" s="4">
        <v>1168328.81</v>
      </c>
      <c r="F424" s="4">
        <v>1090160.72</v>
      </c>
      <c r="G424" s="4">
        <v>1069740.92</v>
      </c>
      <c r="H424" s="4">
        <v>1021412.31</v>
      </c>
      <c r="I424" s="4">
        <v>926837.57</v>
      </c>
    </row>
    <row r="425" spans="1:9" hidden="1" x14ac:dyDescent="0.3">
      <c r="A425" t="s">
        <v>376</v>
      </c>
      <c r="B425" t="s">
        <v>97</v>
      </c>
      <c r="C425" t="s">
        <v>139</v>
      </c>
      <c r="D425" s="4">
        <v>989146.27</v>
      </c>
      <c r="E425" s="4">
        <v>869208.8</v>
      </c>
      <c r="F425" s="4">
        <v>770502.69</v>
      </c>
      <c r="G425" s="4">
        <v>752115.68</v>
      </c>
      <c r="H425" s="4">
        <v>700250.29</v>
      </c>
      <c r="I425" s="4">
        <v>661205.43000000005</v>
      </c>
    </row>
    <row r="426" spans="1:9" hidden="1" x14ac:dyDescent="0.3">
      <c r="A426" t="s">
        <v>376</v>
      </c>
      <c r="B426" t="s">
        <v>97</v>
      </c>
      <c r="C426" t="s">
        <v>140</v>
      </c>
      <c r="D426" s="4">
        <v>989146.27</v>
      </c>
      <c r="E426" s="4">
        <v>869208.8</v>
      </c>
      <c r="F426" s="4">
        <v>770502.69</v>
      </c>
      <c r="G426" s="4">
        <v>752115.68</v>
      </c>
      <c r="H426" s="4">
        <v>700250.29</v>
      </c>
      <c r="I426" s="4">
        <v>661205.43000000005</v>
      </c>
    </row>
    <row r="427" spans="1:9" hidden="1" x14ac:dyDescent="0.3">
      <c r="A427" t="s">
        <v>376</v>
      </c>
      <c r="B427" t="s">
        <v>97</v>
      </c>
      <c r="C427" t="s">
        <v>141</v>
      </c>
      <c r="D427" s="4">
        <v>321621.09999999998</v>
      </c>
      <c r="E427" s="4">
        <v>321621.09999999998</v>
      </c>
      <c r="F427" s="4">
        <v>321621.09999999998</v>
      </c>
      <c r="G427" s="4">
        <v>321621.09999999998</v>
      </c>
      <c r="H427" s="4">
        <v>321621.09999999998</v>
      </c>
      <c r="I427" s="4">
        <v>321621.09999999998</v>
      </c>
    </row>
    <row r="428" spans="1:9" hidden="1" x14ac:dyDescent="0.3">
      <c r="A428" t="s">
        <v>376</v>
      </c>
      <c r="B428" t="s">
        <v>97</v>
      </c>
      <c r="C428" t="s">
        <v>142</v>
      </c>
      <c r="D428" s="4">
        <v>0</v>
      </c>
      <c r="E428" s="4">
        <v>0</v>
      </c>
      <c r="F428" s="4">
        <v>0</v>
      </c>
      <c r="G428" s="4">
        <v>0</v>
      </c>
      <c r="H428" s="4">
        <v>0</v>
      </c>
      <c r="I428" s="4">
        <v>0</v>
      </c>
    </row>
    <row r="429" spans="1:9" hidden="1" x14ac:dyDescent="0.3">
      <c r="A429" t="s">
        <v>376</v>
      </c>
      <c r="B429" t="s">
        <v>97</v>
      </c>
      <c r="C429" t="s">
        <v>143</v>
      </c>
      <c r="D429" s="4">
        <v>547592.31000000006</v>
      </c>
      <c r="E429" s="4">
        <v>448881.6</v>
      </c>
      <c r="F429" s="4">
        <v>430494.58</v>
      </c>
      <c r="G429" s="4">
        <v>392026.46</v>
      </c>
      <c r="H429" s="4">
        <v>339584.34</v>
      </c>
      <c r="I429" s="4">
        <v>230077.32</v>
      </c>
    </row>
    <row r="430" spans="1:9" hidden="1" x14ac:dyDescent="0.3">
      <c r="A430" t="s">
        <v>376</v>
      </c>
      <c r="B430" t="s">
        <v>97</v>
      </c>
      <c r="C430" t="s">
        <v>144</v>
      </c>
      <c r="D430" s="4">
        <v>119932.86</v>
      </c>
      <c r="E430" s="4">
        <v>98706.11</v>
      </c>
      <c r="F430" s="4">
        <v>18387.009999999998</v>
      </c>
      <c r="G430" s="4">
        <v>38468.120000000003</v>
      </c>
      <c r="H430" s="4">
        <v>39044.85</v>
      </c>
      <c r="I430" s="4">
        <v>109507.01</v>
      </c>
    </row>
    <row r="431" spans="1:9" hidden="1" x14ac:dyDescent="0.3">
      <c r="A431" t="s">
        <v>376</v>
      </c>
      <c r="B431" t="s">
        <v>97</v>
      </c>
      <c r="C431" t="s">
        <v>174</v>
      </c>
      <c r="D431" s="4">
        <v>0</v>
      </c>
      <c r="E431" s="4">
        <v>0</v>
      </c>
      <c r="F431" s="4">
        <v>0</v>
      </c>
      <c r="G431" s="4">
        <v>0</v>
      </c>
      <c r="H431" s="4">
        <v>0</v>
      </c>
      <c r="I431" s="4">
        <v>0</v>
      </c>
    </row>
    <row r="432" spans="1:9" hidden="1" x14ac:dyDescent="0.3">
      <c r="A432" t="s">
        <v>376</v>
      </c>
      <c r="B432" t="s">
        <v>97</v>
      </c>
      <c r="C432" t="s">
        <v>145</v>
      </c>
      <c r="D432" s="4">
        <v>320469.17</v>
      </c>
      <c r="E432" s="4">
        <v>299120.01</v>
      </c>
      <c r="F432" s="4">
        <v>319658.03000000003</v>
      </c>
      <c r="G432" s="4">
        <v>317625.24</v>
      </c>
      <c r="H432" s="4">
        <v>321162.03000000003</v>
      </c>
      <c r="I432" s="4">
        <v>265632.13</v>
      </c>
    </row>
    <row r="433" spans="1:9" hidden="1" x14ac:dyDescent="0.3">
      <c r="A433" t="s">
        <v>376</v>
      </c>
      <c r="B433" t="s">
        <v>97</v>
      </c>
      <c r="C433" t="s">
        <v>146</v>
      </c>
      <c r="D433" s="4">
        <v>127401.09</v>
      </c>
      <c r="E433" s="4">
        <v>134207.54</v>
      </c>
      <c r="F433" s="4">
        <v>131874.28</v>
      </c>
      <c r="G433" s="4">
        <v>139203.69</v>
      </c>
      <c r="H433" s="4">
        <v>151386.66</v>
      </c>
      <c r="I433" s="4">
        <v>121317.85</v>
      </c>
    </row>
    <row r="434" spans="1:9" hidden="1" x14ac:dyDescent="0.3">
      <c r="A434" t="s">
        <v>376</v>
      </c>
      <c r="B434" t="s">
        <v>97</v>
      </c>
      <c r="C434" t="s">
        <v>175</v>
      </c>
      <c r="D434" s="4">
        <v>97983.24</v>
      </c>
      <c r="E434" s="4">
        <v>92208.5</v>
      </c>
      <c r="F434" s="4">
        <v>91807.11</v>
      </c>
      <c r="G434" s="4">
        <v>93937.42</v>
      </c>
      <c r="H434" s="4">
        <v>95547.83</v>
      </c>
      <c r="I434" s="4">
        <v>63077.41</v>
      </c>
    </row>
    <row r="435" spans="1:9" hidden="1" x14ac:dyDescent="0.3">
      <c r="A435" t="s">
        <v>376</v>
      </c>
      <c r="B435" t="s">
        <v>97</v>
      </c>
      <c r="C435" t="s">
        <v>147</v>
      </c>
      <c r="D435" s="4">
        <v>28374.080000000002</v>
      </c>
      <c r="E435" s="4">
        <v>41900.120000000003</v>
      </c>
      <c r="F435" s="4">
        <v>38372.78</v>
      </c>
      <c r="G435" s="4">
        <v>39270.980000000003</v>
      </c>
      <c r="H435" s="4">
        <v>52326.32</v>
      </c>
      <c r="I435" s="4">
        <v>53802.73</v>
      </c>
    </row>
    <row r="436" spans="1:9" hidden="1" x14ac:dyDescent="0.3">
      <c r="A436" t="s">
        <v>376</v>
      </c>
      <c r="B436" t="s">
        <v>97</v>
      </c>
      <c r="C436" t="s">
        <v>149</v>
      </c>
      <c r="D436" s="4">
        <v>193068.08</v>
      </c>
      <c r="E436" s="4">
        <v>164912.47</v>
      </c>
      <c r="F436" s="4">
        <v>187783.75</v>
      </c>
      <c r="G436" s="4">
        <v>178421.55</v>
      </c>
      <c r="H436" s="4">
        <v>169775.35999999999</v>
      </c>
      <c r="I436" s="4">
        <v>144314.28</v>
      </c>
    </row>
    <row r="437" spans="1:9" hidden="1" x14ac:dyDescent="0.3">
      <c r="A437" t="s">
        <v>376</v>
      </c>
      <c r="B437" t="s">
        <v>97</v>
      </c>
      <c r="C437" t="s">
        <v>169</v>
      </c>
      <c r="D437" s="4">
        <v>0</v>
      </c>
      <c r="E437" s="4">
        <v>0</v>
      </c>
      <c r="F437" s="4">
        <v>0</v>
      </c>
      <c r="G437" s="4">
        <v>0</v>
      </c>
      <c r="H437" s="4">
        <v>0</v>
      </c>
      <c r="I437" s="4">
        <v>0</v>
      </c>
    </row>
    <row r="438" spans="1:9" hidden="1" x14ac:dyDescent="0.3">
      <c r="A438" t="s">
        <v>376</v>
      </c>
      <c r="B438" t="s">
        <v>97</v>
      </c>
      <c r="C438" t="s">
        <v>150</v>
      </c>
      <c r="D438" s="4">
        <v>184931.72</v>
      </c>
      <c r="E438" s="4">
        <v>142482.21</v>
      </c>
      <c r="F438" s="4">
        <v>152427.84</v>
      </c>
      <c r="G438" s="4">
        <v>146949.74</v>
      </c>
      <c r="H438" s="4">
        <v>144603.29999999999</v>
      </c>
      <c r="I438" s="4">
        <v>140854.31</v>
      </c>
    </row>
    <row r="439" spans="1:9" hidden="1" x14ac:dyDescent="0.3">
      <c r="A439" t="s">
        <v>376</v>
      </c>
      <c r="B439" t="s">
        <v>97</v>
      </c>
      <c r="C439" t="s">
        <v>151</v>
      </c>
      <c r="D439" s="4">
        <v>178289.8</v>
      </c>
      <c r="E439" s="4">
        <v>136365.12</v>
      </c>
      <c r="F439" s="4">
        <v>146820.66</v>
      </c>
      <c r="G439" s="4">
        <v>140817.18</v>
      </c>
      <c r="H439" s="4">
        <v>139434.65</v>
      </c>
      <c r="I439" s="4">
        <v>127167.63</v>
      </c>
    </row>
    <row r="440" spans="1:9" hidden="1" x14ac:dyDescent="0.3">
      <c r="A440" t="s">
        <v>376</v>
      </c>
      <c r="B440" t="s">
        <v>97</v>
      </c>
      <c r="C440" t="s">
        <v>170</v>
      </c>
      <c r="D440" s="4">
        <v>0</v>
      </c>
      <c r="E440" s="4">
        <v>0</v>
      </c>
      <c r="F440" s="4">
        <v>0</v>
      </c>
      <c r="G440" s="4">
        <v>0</v>
      </c>
      <c r="H440" s="4">
        <v>0</v>
      </c>
      <c r="I440" s="4">
        <v>0</v>
      </c>
    </row>
    <row r="441" spans="1:9" hidden="1" x14ac:dyDescent="0.3">
      <c r="A441" t="s">
        <v>376</v>
      </c>
      <c r="B441" t="s">
        <v>97</v>
      </c>
      <c r="C441" t="s">
        <v>152</v>
      </c>
      <c r="D441" s="4">
        <v>6641.92</v>
      </c>
      <c r="E441" s="4">
        <v>6117.09</v>
      </c>
      <c r="F441" s="4">
        <v>5607.18</v>
      </c>
      <c r="G441" s="4">
        <v>6132.56</v>
      </c>
      <c r="H441" s="4">
        <v>5168.6499999999996</v>
      </c>
      <c r="I441" s="4">
        <v>13686.68</v>
      </c>
    </row>
    <row r="442" spans="1:9" hidden="1" x14ac:dyDescent="0.3">
      <c r="A442" t="s">
        <v>376</v>
      </c>
      <c r="B442" t="s">
        <v>97</v>
      </c>
      <c r="C442" t="s">
        <v>153</v>
      </c>
      <c r="D442" s="4">
        <v>0</v>
      </c>
      <c r="E442" s="4">
        <v>2430.2600000000002</v>
      </c>
      <c r="F442" s="4">
        <v>207.9</v>
      </c>
      <c r="G442" s="4">
        <v>0</v>
      </c>
      <c r="H442" s="4">
        <v>4538.2700000000004</v>
      </c>
      <c r="I442" s="4">
        <v>1.92</v>
      </c>
    </row>
    <row r="443" spans="1:9" hidden="1" x14ac:dyDescent="0.3">
      <c r="A443" t="s">
        <v>376</v>
      </c>
      <c r="B443" t="s">
        <v>97</v>
      </c>
      <c r="C443" t="s">
        <v>171</v>
      </c>
      <c r="D443" s="4">
        <v>0</v>
      </c>
      <c r="E443" s="4">
        <v>0</v>
      </c>
      <c r="F443" s="4">
        <v>0</v>
      </c>
      <c r="G443" s="4">
        <v>0</v>
      </c>
      <c r="H443" s="4">
        <v>0</v>
      </c>
      <c r="I443" s="4">
        <v>0</v>
      </c>
    </row>
    <row r="444" spans="1:9" hidden="1" x14ac:dyDescent="0.3">
      <c r="A444" t="s">
        <v>376</v>
      </c>
      <c r="B444" t="s">
        <v>97</v>
      </c>
      <c r="C444" t="s">
        <v>107</v>
      </c>
      <c r="D444" s="4">
        <v>0</v>
      </c>
      <c r="E444" s="4">
        <v>0</v>
      </c>
      <c r="F444" s="4">
        <v>0</v>
      </c>
      <c r="G444" s="4">
        <v>0</v>
      </c>
      <c r="H444" s="4">
        <v>0</v>
      </c>
      <c r="I444" s="4">
        <v>0</v>
      </c>
    </row>
    <row r="445" spans="1:9" hidden="1" x14ac:dyDescent="0.3">
      <c r="A445" t="s">
        <v>376</v>
      </c>
      <c r="B445" t="s">
        <v>97</v>
      </c>
      <c r="C445" t="s">
        <v>173</v>
      </c>
      <c r="D445" s="4">
        <v>0</v>
      </c>
      <c r="E445" s="4">
        <v>0</v>
      </c>
      <c r="F445" s="4">
        <v>0</v>
      </c>
      <c r="G445" s="4">
        <v>0</v>
      </c>
      <c r="H445" s="4">
        <v>0</v>
      </c>
      <c r="I445" s="4">
        <v>0</v>
      </c>
    </row>
    <row r="446" spans="1:9" hidden="1" x14ac:dyDescent="0.3">
      <c r="A446" t="s">
        <v>376</v>
      </c>
      <c r="B446" t="s">
        <v>97</v>
      </c>
      <c r="C446" t="s">
        <v>119</v>
      </c>
      <c r="D446" s="4">
        <v>-2595.9499999999998</v>
      </c>
      <c r="E446" s="4">
        <v>-3804.85</v>
      </c>
      <c r="F446" s="4">
        <v>-3881.94</v>
      </c>
      <c r="G446" s="4">
        <v>-4197.6000000000004</v>
      </c>
      <c r="H446" s="4">
        <v>-1917.48</v>
      </c>
      <c r="I446" s="4">
        <v>-1022.67</v>
      </c>
    </row>
    <row r="447" spans="1:9" hidden="1" x14ac:dyDescent="0.3">
      <c r="A447" t="s">
        <v>376</v>
      </c>
      <c r="B447" t="s">
        <v>97</v>
      </c>
      <c r="C447" t="s">
        <v>167</v>
      </c>
      <c r="D447" s="4">
        <v>0</v>
      </c>
      <c r="E447" s="4">
        <v>0</v>
      </c>
      <c r="F447" s="4">
        <v>0</v>
      </c>
      <c r="G447" s="4">
        <v>0</v>
      </c>
      <c r="H447" s="4">
        <v>0</v>
      </c>
      <c r="I447" s="4">
        <v>0</v>
      </c>
    </row>
    <row r="448" spans="1:9" hidden="1" x14ac:dyDescent="0.3">
      <c r="A448" t="s">
        <v>376</v>
      </c>
      <c r="B448" t="s">
        <v>97</v>
      </c>
      <c r="C448" t="s">
        <v>130</v>
      </c>
      <c r="D448" s="4">
        <v>138047.04000000001</v>
      </c>
      <c r="E448" s="4">
        <v>99104.34</v>
      </c>
      <c r="F448" s="4">
        <v>226514.2</v>
      </c>
      <c r="G448" s="4">
        <v>80268.53</v>
      </c>
      <c r="H448" s="4">
        <v>52696.78</v>
      </c>
      <c r="I448" s="4">
        <v>60448.93</v>
      </c>
    </row>
    <row r="449" spans="1:9" hidden="1" x14ac:dyDescent="0.3">
      <c r="A449" t="s">
        <v>376</v>
      </c>
      <c r="B449" t="s">
        <v>97</v>
      </c>
      <c r="C449" t="s">
        <v>178</v>
      </c>
      <c r="D449" s="4">
        <v>0</v>
      </c>
      <c r="E449" s="4">
        <v>0</v>
      </c>
      <c r="F449" s="4">
        <v>0</v>
      </c>
      <c r="G449" s="4">
        <v>0</v>
      </c>
      <c r="H449" s="4">
        <v>0</v>
      </c>
      <c r="I449" s="4">
        <v>0</v>
      </c>
    </row>
    <row r="450" spans="1:9" hidden="1" x14ac:dyDescent="0.3">
      <c r="A450" t="s">
        <v>376</v>
      </c>
      <c r="B450" t="s">
        <v>97</v>
      </c>
      <c r="C450" t="s">
        <v>179</v>
      </c>
      <c r="D450" s="4">
        <v>0</v>
      </c>
      <c r="E450" s="4">
        <v>0</v>
      </c>
      <c r="F450" s="4">
        <v>0</v>
      </c>
      <c r="G450" s="4">
        <v>0</v>
      </c>
      <c r="H450" s="4">
        <v>0</v>
      </c>
      <c r="I450" s="4">
        <v>0</v>
      </c>
    </row>
    <row r="451" spans="1:9" hidden="1" x14ac:dyDescent="0.3">
      <c r="A451" t="s">
        <v>376</v>
      </c>
      <c r="B451" t="s">
        <v>97</v>
      </c>
      <c r="C451" t="s">
        <v>148</v>
      </c>
      <c r="D451" s="4">
        <v>1043.78</v>
      </c>
      <c r="E451" s="4">
        <v>98.91</v>
      </c>
      <c r="F451" s="4">
        <v>265.81</v>
      </c>
      <c r="G451" s="4">
        <v>3138.14</v>
      </c>
      <c r="H451" s="4">
        <v>271.73</v>
      </c>
      <c r="I451" s="4">
        <v>449.6</v>
      </c>
    </row>
    <row r="452" spans="1:9" hidden="1" x14ac:dyDescent="0.3">
      <c r="A452" t="s">
        <v>375</v>
      </c>
      <c r="B452" t="s">
        <v>97</v>
      </c>
      <c r="C452" t="s">
        <v>105</v>
      </c>
      <c r="D452" s="4">
        <v>679878.78</v>
      </c>
      <c r="E452" s="4">
        <v>488088</v>
      </c>
      <c r="F452" s="4">
        <v>370099.5</v>
      </c>
      <c r="G452" s="4">
        <v>319515.21000000002</v>
      </c>
      <c r="H452" s="4">
        <v>255307.71</v>
      </c>
      <c r="I452" s="4">
        <v>249958.64</v>
      </c>
    </row>
    <row r="453" spans="1:9" hidden="1" x14ac:dyDescent="0.3">
      <c r="A453" t="s">
        <v>375</v>
      </c>
      <c r="B453" t="s">
        <v>97</v>
      </c>
      <c r="C453" t="s">
        <v>155</v>
      </c>
      <c r="D453" s="4">
        <v>679878.78</v>
      </c>
      <c r="E453" s="4">
        <v>488088</v>
      </c>
      <c r="F453" s="4">
        <v>370099.5</v>
      </c>
      <c r="G453" s="4">
        <v>319515.21000000002</v>
      </c>
      <c r="H453" s="4">
        <v>255307.71</v>
      </c>
      <c r="I453" s="4">
        <v>249958.64</v>
      </c>
    </row>
    <row r="454" spans="1:9" hidden="1" x14ac:dyDescent="0.3">
      <c r="A454" t="s">
        <v>375</v>
      </c>
      <c r="B454" t="s">
        <v>97</v>
      </c>
      <c r="C454" t="s">
        <v>108</v>
      </c>
      <c r="D454" s="4">
        <v>-25647.47</v>
      </c>
      <c r="E454" s="4">
        <v>-15598.44</v>
      </c>
      <c r="F454" s="4">
        <v>-13967.66</v>
      </c>
      <c r="G454" s="4">
        <v>-10651.35</v>
      </c>
      <c r="H454" s="4">
        <v>-6511.67</v>
      </c>
      <c r="I454" s="4">
        <v>-6889.83</v>
      </c>
    </row>
    <row r="455" spans="1:9" hidden="1" x14ac:dyDescent="0.3">
      <c r="A455" t="s">
        <v>375</v>
      </c>
      <c r="B455" t="s">
        <v>97</v>
      </c>
      <c r="C455" t="s">
        <v>156</v>
      </c>
      <c r="D455" s="4">
        <v>-40125.96</v>
      </c>
      <c r="E455" s="4">
        <v>-26908.75</v>
      </c>
      <c r="F455" s="4">
        <v>-20996.45</v>
      </c>
      <c r="G455" s="4">
        <v>-17736.62</v>
      </c>
      <c r="H455" s="4">
        <v>-16742.060000000001</v>
      </c>
      <c r="I455" s="4">
        <v>-14763.97</v>
      </c>
    </row>
    <row r="456" spans="1:9" hidden="1" x14ac:dyDescent="0.3">
      <c r="A456" t="s">
        <v>375</v>
      </c>
      <c r="B456" t="s">
        <v>97</v>
      </c>
      <c r="C456" t="s">
        <v>157</v>
      </c>
      <c r="D456" s="4">
        <v>-244.83</v>
      </c>
      <c r="E456" s="4">
        <v>-135.94999999999999</v>
      </c>
      <c r="F456" s="4">
        <v>-98.91</v>
      </c>
      <c r="G456" s="4">
        <v>-11.61</v>
      </c>
      <c r="H456" s="4">
        <v>-69.77</v>
      </c>
      <c r="I456" s="4">
        <v>-214.01</v>
      </c>
    </row>
    <row r="457" spans="1:9" hidden="1" x14ac:dyDescent="0.3">
      <c r="A457" t="s">
        <v>375</v>
      </c>
      <c r="B457" t="s">
        <v>97</v>
      </c>
      <c r="C457" t="s">
        <v>158</v>
      </c>
      <c r="D457" s="4">
        <v>-2529.44</v>
      </c>
      <c r="E457" s="4">
        <v>-1859.7</v>
      </c>
      <c r="F457" s="4">
        <v>-1618.89</v>
      </c>
      <c r="G457" s="4">
        <v>-1272.68</v>
      </c>
      <c r="H457" s="4">
        <v>-1028.71</v>
      </c>
      <c r="I457" s="4">
        <v>-965.15</v>
      </c>
    </row>
    <row r="458" spans="1:9" hidden="1" x14ac:dyDescent="0.3">
      <c r="A458" t="s">
        <v>375</v>
      </c>
      <c r="B458" t="s">
        <v>97</v>
      </c>
      <c r="C458" t="s">
        <v>106</v>
      </c>
      <c r="D458" s="4">
        <v>-429049.66</v>
      </c>
      <c r="E458" s="4">
        <v>-330520</v>
      </c>
      <c r="F458" s="4">
        <v>-261390.91</v>
      </c>
      <c r="G458" s="4">
        <v>-222855.27</v>
      </c>
      <c r="H458" s="4">
        <v>-182535.69</v>
      </c>
      <c r="I458" s="4">
        <v>-176542.56</v>
      </c>
    </row>
    <row r="459" spans="1:9" hidden="1" x14ac:dyDescent="0.3">
      <c r="A459" t="s">
        <v>375</v>
      </c>
      <c r="B459" t="s">
        <v>97</v>
      </c>
      <c r="C459" t="s">
        <v>109</v>
      </c>
      <c r="D459" s="4">
        <v>-2530.83</v>
      </c>
      <c r="E459" s="4">
        <v>-2222.11</v>
      </c>
      <c r="F459" s="4">
        <v>-1691.54</v>
      </c>
      <c r="G459" s="4">
        <v>-1492.72</v>
      </c>
      <c r="H459" s="4">
        <v>-1213.8800000000001</v>
      </c>
      <c r="I459" s="4">
        <v>-1241.51</v>
      </c>
    </row>
    <row r="460" spans="1:9" hidden="1" x14ac:dyDescent="0.3">
      <c r="A460" t="s">
        <v>375</v>
      </c>
      <c r="B460" t="s">
        <v>97</v>
      </c>
      <c r="C460" t="s">
        <v>113</v>
      </c>
      <c r="D460" s="4">
        <v>175059.22</v>
      </c>
      <c r="E460" s="4">
        <v>110416.81</v>
      </c>
      <c r="F460" s="4">
        <v>70072.19</v>
      </c>
      <c r="G460" s="4">
        <v>65309.599999999999</v>
      </c>
      <c r="H460" s="4">
        <v>47006.44</v>
      </c>
      <c r="I460" s="4">
        <v>49262.87</v>
      </c>
    </row>
    <row r="461" spans="1:9" hidden="1" x14ac:dyDescent="0.3">
      <c r="A461" t="s">
        <v>375</v>
      </c>
      <c r="B461" t="s">
        <v>97</v>
      </c>
      <c r="C461" t="s">
        <v>114</v>
      </c>
      <c r="D461" s="4">
        <v>177590.05</v>
      </c>
      <c r="E461" s="4">
        <v>112638.92</v>
      </c>
      <c r="F461" s="4">
        <v>71763.740000000005</v>
      </c>
      <c r="G461" s="4">
        <v>66802.320000000007</v>
      </c>
      <c r="H461" s="4">
        <v>48220.32</v>
      </c>
      <c r="I461" s="4">
        <v>50504.37</v>
      </c>
    </row>
    <row r="462" spans="1:9" hidden="1" x14ac:dyDescent="0.3">
      <c r="A462" t="s">
        <v>375</v>
      </c>
      <c r="B462" t="s">
        <v>97</v>
      </c>
      <c r="C462" t="s">
        <v>115</v>
      </c>
      <c r="D462" s="4">
        <v>-22949.57</v>
      </c>
      <c r="E462" s="4">
        <v>-26274.94</v>
      </c>
      <c r="F462" s="4">
        <v>-15800.36</v>
      </c>
      <c r="G462" s="4">
        <v>-6016.34</v>
      </c>
      <c r="H462" s="4">
        <v>-4724.4799999999996</v>
      </c>
      <c r="I462" s="4">
        <v>-4948.83</v>
      </c>
    </row>
    <row r="463" spans="1:9" hidden="1" x14ac:dyDescent="0.3">
      <c r="A463" t="s">
        <v>375</v>
      </c>
      <c r="B463" t="s">
        <v>97</v>
      </c>
      <c r="C463" t="s">
        <v>118</v>
      </c>
      <c r="D463" s="4">
        <v>-22949.57</v>
      </c>
      <c r="E463" s="4">
        <v>-26274.94</v>
      </c>
      <c r="F463" s="4">
        <v>-15800.36</v>
      </c>
      <c r="G463" s="4">
        <v>-6016.34</v>
      </c>
      <c r="H463" s="4">
        <v>-4724.4799999999996</v>
      </c>
      <c r="I463" s="4">
        <v>-4948.83</v>
      </c>
    </row>
    <row r="464" spans="1:9" hidden="1" x14ac:dyDescent="0.3">
      <c r="A464" t="s">
        <v>375</v>
      </c>
      <c r="B464" t="s">
        <v>97</v>
      </c>
      <c r="C464" t="s">
        <v>159</v>
      </c>
      <c r="D464" s="4">
        <v>-22949.57</v>
      </c>
      <c r="E464" s="4">
        <v>-26274.94</v>
      </c>
      <c r="F464" s="4">
        <v>-15800.36</v>
      </c>
      <c r="G464" s="4">
        <v>-6016.34</v>
      </c>
      <c r="H464" s="4">
        <v>-4724.4799999999996</v>
      </c>
      <c r="I464" s="4">
        <v>-4948.83</v>
      </c>
    </row>
    <row r="465" spans="1:9" hidden="1" x14ac:dyDescent="0.3">
      <c r="A465" t="s">
        <v>375</v>
      </c>
      <c r="B465" t="s">
        <v>97</v>
      </c>
      <c r="C465" t="s">
        <v>120</v>
      </c>
      <c r="D465" s="4">
        <v>-1686.21</v>
      </c>
      <c r="E465" s="4">
        <v>7774.47</v>
      </c>
      <c r="F465" s="4">
        <v>16009.44</v>
      </c>
      <c r="G465" s="4">
        <v>3265.35</v>
      </c>
      <c r="H465" s="4">
        <v>4568.43</v>
      </c>
      <c r="I465" s="4">
        <v>668.15</v>
      </c>
    </row>
    <row r="466" spans="1:9" hidden="1" x14ac:dyDescent="0.3">
      <c r="A466" t="s">
        <v>375</v>
      </c>
      <c r="B466" t="s">
        <v>97</v>
      </c>
      <c r="C466" t="s">
        <v>121</v>
      </c>
      <c r="D466" s="4">
        <v>21058.83</v>
      </c>
      <c r="E466" s="4">
        <v>23018.35</v>
      </c>
      <c r="F466" s="4">
        <v>24339.33</v>
      </c>
      <c r="G466" s="4">
        <v>7954.71</v>
      </c>
      <c r="H466" s="4">
        <v>9666.8799999999992</v>
      </c>
      <c r="I466" s="4">
        <v>11614.19</v>
      </c>
    </row>
    <row r="467" spans="1:9" hidden="1" x14ac:dyDescent="0.3">
      <c r="A467" t="s">
        <v>375</v>
      </c>
      <c r="B467" t="s">
        <v>97</v>
      </c>
      <c r="C467" t="s">
        <v>122</v>
      </c>
      <c r="D467" s="4">
        <v>-22745.040000000001</v>
      </c>
      <c r="E467" s="4">
        <v>-15243.88</v>
      </c>
      <c r="F467" s="4">
        <v>-8329.89</v>
      </c>
      <c r="G467" s="4">
        <v>-4689.37</v>
      </c>
      <c r="H467" s="4">
        <v>-5098.45</v>
      </c>
      <c r="I467" s="4">
        <v>-10946.05</v>
      </c>
    </row>
    <row r="468" spans="1:9" hidden="1" x14ac:dyDescent="0.3">
      <c r="A468" t="s">
        <v>375</v>
      </c>
      <c r="B468" t="s">
        <v>97</v>
      </c>
      <c r="C468" t="s">
        <v>123</v>
      </c>
      <c r="D468" s="4">
        <v>150423.44</v>
      </c>
      <c r="E468" s="4">
        <v>91916.6</v>
      </c>
      <c r="F468" s="4">
        <v>70281.279999999999</v>
      </c>
      <c r="G468" s="4">
        <v>62558.61</v>
      </c>
      <c r="H468" s="4">
        <v>46850.39</v>
      </c>
      <c r="I468" s="4">
        <v>44982.19</v>
      </c>
    </row>
    <row r="469" spans="1:9" hidden="1" x14ac:dyDescent="0.3">
      <c r="A469" t="s">
        <v>375</v>
      </c>
      <c r="B469" t="s">
        <v>97</v>
      </c>
      <c r="C469" t="s">
        <v>124</v>
      </c>
      <c r="D469" s="4">
        <v>-55106.41</v>
      </c>
      <c r="E469" s="4">
        <v>-33520.910000000003</v>
      </c>
      <c r="F469" s="4">
        <v>-26350.42</v>
      </c>
      <c r="G469" s="4">
        <v>-21759.3</v>
      </c>
      <c r="H469" s="4">
        <v>-13771.11</v>
      </c>
      <c r="I469" s="4">
        <v>-13226.47</v>
      </c>
    </row>
    <row r="470" spans="1:9" hidden="1" x14ac:dyDescent="0.3">
      <c r="A470" t="s">
        <v>375</v>
      </c>
      <c r="B470" t="s">
        <v>97</v>
      </c>
      <c r="C470" t="s">
        <v>125</v>
      </c>
      <c r="D470" s="4">
        <v>95317.03</v>
      </c>
      <c r="E470" s="4">
        <v>58395.69</v>
      </c>
      <c r="F470" s="4">
        <v>43930.85</v>
      </c>
      <c r="G470" s="4">
        <v>40799.31</v>
      </c>
      <c r="H470" s="4">
        <v>33079.279999999999</v>
      </c>
      <c r="I470" s="4">
        <v>31755.72</v>
      </c>
    </row>
    <row r="471" spans="1:9" hidden="1" x14ac:dyDescent="0.3">
      <c r="A471" t="s">
        <v>375</v>
      </c>
      <c r="B471" t="s">
        <v>97</v>
      </c>
      <c r="C471" t="s">
        <v>126</v>
      </c>
      <c r="D471" s="4">
        <v>95317.03</v>
      </c>
      <c r="E471" s="4">
        <v>58395.69</v>
      </c>
      <c r="F471" s="4">
        <v>43930.85</v>
      </c>
      <c r="G471" s="4">
        <v>40799.31</v>
      </c>
      <c r="H471" s="4">
        <v>33079.279999999999</v>
      </c>
      <c r="I471" s="4">
        <v>31755.72</v>
      </c>
    </row>
    <row r="472" spans="1:9" hidden="1" x14ac:dyDescent="0.3">
      <c r="A472" t="s">
        <v>375</v>
      </c>
      <c r="B472" t="s">
        <v>97</v>
      </c>
      <c r="C472" t="s">
        <v>127</v>
      </c>
      <c r="D472" s="4">
        <v>654800.09</v>
      </c>
      <c r="E472" s="4">
        <v>519898</v>
      </c>
      <c r="F472" s="4">
        <v>421850.4</v>
      </c>
      <c r="G472" s="4">
        <v>413111.6</v>
      </c>
      <c r="H472" s="4">
        <v>329069.87</v>
      </c>
      <c r="I472" s="4">
        <v>292147.78999999998</v>
      </c>
    </row>
    <row r="473" spans="1:9" hidden="1" x14ac:dyDescent="0.3">
      <c r="A473" t="s">
        <v>375</v>
      </c>
      <c r="B473" t="s">
        <v>97</v>
      </c>
      <c r="C473" t="s">
        <v>128</v>
      </c>
      <c r="D473" s="4">
        <v>248434.79</v>
      </c>
      <c r="E473" s="4">
        <v>225291.66</v>
      </c>
      <c r="F473" s="4">
        <v>184988.14</v>
      </c>
      <c r="G473" s="4">
        <v>167224.26</v>
      </c>
      <c r="H473" s="4">
        <v>130964.31</v>
      </c>
      <c r="I473" s="4">
        <v>117086.43</v>
      </c>
    </row>
    <row r="474" spans="1:9" hidden="1" x14ac:dyDescent="0.3">
      <c r="A474" t="s">
        <v>375</v>
      </c>
      <c r="B474" t="s">
        <v>97</v>
      </c>
      <c r="C474" t="s">
        <v>129</v>
      </c>
      <c r="D474" s="4">
        <v>242857.38</v>
      </c>
      <c r="E474" s="4">
        <v>221640</v>
      </c>
      <c r="F474" s="4">
        <v>183758.56</v>
      </c>
      <c r="G474" s="4">
        <v>166259.69</v>
      </c>
      <c r="H474" s="4">
        <v>130512.25</v>
      </c>
      <c r="I474" s="4">
        <v>116303.79</v>
      </c>
    </row>
    <row r="475" spans="1:9" hidden="1" x14ac:dyDescent="0.3">
      <c r="A475" t="s">
        <v>375</v>
      </c>
      <c r="B475" t="s">
        <v>97</v>
      </c>
      <c r="C475" t="s">
        <v>160</v>
      </c>
      <c r="D475" s="4">
        <v>3537.61</v>
      </c>
      <c r="E475" s="4">
        <v>2571.15</v>
      </c>
      <c r="F475" s="4">
        <v>12.61</v>
      </c>
      <c r="G475" s="4">
        <v>16.3</v>
      </c>
      <c r="H475" s="4">
        <v>38.07</v>
      </c>
      <c r="I475" s="4">
        <v>207.9</v>
      </c>
    </row>
    <row r="476" spans="1:9" hidden="1" x14ac:dyDescent="0.3">
      <c r="A476" t="s">
        <v>375</v>
      </c>
      <c r="B476" t="s">
        <v>97</v>
      </c>
      <c r="C476" t="s">
        <v>161</v>
      </c>
      <c r="D476" s="4">
        <v>0</v>
      </c>
      <c r="E476" s="4">
        <v>0</v>
      </c>
      <c r="F476" s="4">
        <v>0</v>
      </c>
      <c r="G476" s="4">
        <v>0</v>
      </c>
      <c r="H476" s="4">
        <v>0</v>
      </c>
      <c r="I476" s="4">
        <v>0</v>
      </c>
    </row>
    <row r="477" spans="1:9" hidden="1" x14ac:dyDescent="0.3">
      <c r="A477" t="s">
        <v>375</v>
      </c>
      <c r="B477" t="s">
        <v>97</v>
      </c>
      <c r="C477" t="s">
        <v>131</v>
      </c>
      <c r="D477" s="4">
        <v>2039.8</v>
      </c>
      <c r="E477" s="4">
        <v>1080.51</v>
      </c>
      <c r="F477" s="4">
        <v>1216.97</v>
      </c>
      <c r="G477" s="4">
        <v>948.28</v>
      </c>
      <c r="H477" s="4">
        <v>413.99</v>
      </c>
      <c r="I477" s="4">
        <v>574.74</v>
      </c>
    </row>
    <row r="478" spans="1:9" hidden="1" x14ac:dyDescent="0.3">
      <c r="A478" t="s">
        <v>375</v>
      </c>
      <c r="B478" t="s">
        <v>97</v>
      </c>
      <c r="C478" t="s">
        <v>132</v>
      </c>
      <c r="D478" s="4">
        <v>406365.3</v>
      </c>
      <c r="E478" s="4">
        <v>294606.98</v>
      </c>
      <c r="F478" s="4">
        <v>236862.26</v>
      </c>
      <c r="G478" s="4">
        <v>245887.34</v>
      </c>
      <c r="H478" s="4">
        <v>198105.56</v>
      </c>
      <c r="I478" s="4">
        <v>175061.36</v>
      </c>
    </row>
    <row r="479" spans="1:9" hidden="1" x14ac:dyDescent="0.3">
      <c r="A479" t="s">
        <v>375</v>
      </c>
      <c r="B479" t="s">
        <v>97</v>
      </c>
      <c r="C479" t="s">
        <v>183</v>
      </c>
      <c r="D479" s="4">
        <v>15775.5</v>
      </c>
      <c r="E479" s="4">
        <v>17207.55</v>
      </c>
      <c r="F479" s="4">
        <v>10760.73</v>
      </c>
      <c r="G479" s="4">
        <v>8055.56</v>
      </c>
      <c r="H479" s="4">
        <v>9857.83</v>
      </c>
      <c r="I479" s="4">
        <v>10478.959999999999</v>
      </c>
    </row>
    <row r="480" spans="1:9" hidden="1" x14ac:dyDescent="0.3">
      <c r="A480" t="s">
        <v>375</v>
      </c>
      <c r="B480" t="s">
        <v>97</v>
      </c>
      <c r="C480" t="s">
        <v>187</v>
      </c>
      <c r="D480" s="4">
        <v>15775.5</v>
      </c>
      <c r="E480" s="4">
        <v>17207.55</v>
      </c>
      <c r="F480" s="4">
        <v>10760.73</v>
      </c>
      <c r="G480" s="4">
        <v>8055.56</v>
      </c>
      <c r="H480" s="4">
        <v>9857.83</v>
      </c>
      <c r="I480" s="4">
        <v>10478.959999999999</v>
      </c>
    </row>
    <row r="481" spans="1:9" hidden="1" x14ac:dyDescent="0.3">
      <c r="A481" t="s">
        <v>375</v>
      </c>
      <c r="B481" t="s">
        <v>97</v>
      </c>
      <c r="C481" t="s">
        <v>133</v>
      </c>
      <c r="D481" s="4">
        <v>370926.75</v>
      </c>
      <c r="E481" s="4">
        <v>248181.11</v>
      </c>
      <c r="F481" s="4">
        <v>175833.96</v>
      </c>
      <c r="G481" s="4">
        <v>191875.16</v>
      </c>
      <c r="H481" s="4">
        <v>143920.89000000001</v>
      </c>
      <c r="I481" s="4">
        <v>147381.82999999999</v>
      </c>
    </row>
    <row r="482" spans="1:9" hidden="1" x14ac:dyDescent="0.3">
      <c r="A482" t="s">
        <v>375</v>
      </c>
      <c r="B482" t="s">
        <v>97</v>
      </c>
      <c r="C482" t="s">
        <v>162</v>
      </c>
      <c r="D482" s="4">
        <v>387689.25</v>
      </c>
      <c r="E482" s="4">
        <v>260070</v>
      </c>
      <c r="F482" s="4">
        <v>184669.14</v>
      </c>
      <c r="G482" s="4">
        <v>0</v>
      </c>
      <c r="H482" s="4">
        <v>146997.13</v>
      </c>
      <c r="I482" s="4">
        <v>138849.4</v>
      </c>
    </row>
    <row r="483" spans="1:9" hidden="1" x14ac:dyDescent="0.3">
      <c r="A483" t="s">
        <v>375</v>
      </c>
      <c r="B483" t="s">
        <v>97</v>
      </c>
      <c r="C483" t="s">
        <v>163</v>
      </c>
      <c r="D483" s="4">
        <v>0</v>
      </c>
      <c r="E483" s="4">
        <v>0</v>
      </c>
      <c r="F483" s="4">
        <v>0</v>
      </c>
      <c r="G483" s="4">
        <v>0</v>
      </c>
      <c r="H483" s="4">
        <v>0</v>
      </c>
      <c r="I483" s="4">
        <v>12788.45</v>
      </c>
    </row>
    <row r="484" spans="1:9" hidden="1" x14ac:dyDescent="0.3">
      <c r="A484" t="s">
        <v>375</v>
      </c>
      <c r="B484" t="s">
        <v>97</v>
      </c>
      <c r="C484" t="s">
        <v>134</v>
      </c>
      <c r="D484" s="4">
        <v>4320.3500000000004</v>
      </c>
      <c r="E484" s="4">
        <v>265.38</v>
      </c>
      <c r="F484" s="4">
        <v>494.51</v>
      </c>
      <c r="G484" s="4">
        <v>1250.06</v>
      </c>
      <c r="H484" s="4">
        <v>1705.46</v>
      </c>
      <c r="I484" s="4">
        <v>2446.12</v>
      </c>
    </row>
    <row r="485" spans="1:9" hidden="1" x14ac:dyDescent="0.3">
      <c r="A485" t="s">
        <v>375</v>
      </c>
      <c r="B485" t="s">
        <v>97</v>
      </c>
      <c r="C485" t="s">
        <v>164</v>
      </c>
      <c r="D485" s="4">
        <v>-21082.85</v>
      </c>
      <c r="E485" s="4">
        <v>-12153.88</v>
      </c>
      <c r="F485" s="4">
        <v>-9329.69</v>
      </c>
      <c r="G485" s="4">
        <v>-9136.06</v>
      </c>
      <c r="H485" s="4">
        <v>-7108.38</v>
      </c>
      <c r="I485" s="4">
        <v>-7337.73</v>
      </c>
    </row>
    <row r="486" spans="1:9" hidden="1" x14ac:dyDescent="0.3">
      <c r="A486" t="s">
        <v>375</v>
      </c>
      <c r="B486" t="s">
        <v>97</v>
      </c>
      <c r="C486" t="s">
        <v>165</v>
      </c>
      <c r="D486" s="4">
        <v>0</v>
      </c>
      <c r="E486" s="4">
        <v>0</v>
      </c>
      <c r="F486" s="4">
        <v>0</v>
      </c>
      <c r="G486" s="4">
        <v>0</v>
      </c>
      <c r="H486" s="4">
        <v>2326.6799999999998</v>
      </c>
      <c r="I486" s="4">
        <v>635.59</v>
      </c>
    </row>
    <row r="487" spans="1:9" hidden="1" x14ac:dyDescent="0.3">
      <c r="A487" t="s">
        <v>375</v>
      </c>
      <c r="B487" t="s">
        <v>97</v>
      </c>
      <c r="C487" t="s">
        <v>166</v>
      </c>
      <c r="D487" s="4">
        <v>6644.22</v>
      </c>
      <c r="E487" s="4">
        <v>8235.89</v>
      </c>
      <c r="F487" s="4">
        <v>7320.51</v>
      </c>
      <c r="G487" s="4">
        <v>2706.12</v>
      </c>
      <c r="H487" s="4">
        <v>1920.56</v>
      </c>
      <c r="I487" s="4">
        <v>991.69</v>
      </c>
    </row>
    <row r="488" spans="1:9" hidden="1" x14ac:dyDescent="0.3">
      <c r="A488" t="s">
        <v>375</v>
      </c>
      <c r="B488" t="s">
        <v>97</v>
      </c>
      <c r="C488" t="s">
        <v>135</v>
      </c>
      <c r="D488" s="4">
        <v>2841.94</v>
      </c>
      <c r="E488" s="4">
        <v>11852.24</v>
      </c>
      <c r="F488" s="4">
        <v>16918.25</v>
      </c>
      <c r="G488" s="4">
        <v>8872.84</v>
      </c>
      <c r="H488" s="4">
        <v>23222.89</v>
      </c>
      <c r="I488" s="4">
        <v>5021.3100000000004</v>
      </c>
    </row>
    <row r="489" spans="1:9" hidden="1" x14ac:dyDescent="0.3">
      <c r="A489" t="s">
        <v>375</v>
      </c>
      <c r="B489" t="s">
        <v>97</v>
      </c>
      <c r="C489" t="s">
        <v>136</v>
      </c>
      <c r="D489" s="4">
        <v>10176.879999999999</v>
      </c>
      <c r="E489" s="4">
        <v>9130.19</v>
      </c>
      <c r="F489" s="4">
        <v>26028.81</v>
      </c>
      <c r="G489" s="4">
        <v>34377.660000000003</v>
      </c>
      <c r="H489" s="4">
        <v>19183.38</v>
      </c>
      <c r="I489" s="4">
        <v>11187.57</v>
      </c>
    </row>
    <row r="490" spans="1:9" hidden="1" x14ac:dyDescent="0.3">
      <c r="A490" t="s">
        <v>375</v>
      </c>
      <c r="B490" t="s">
        <v>97</v>
      </c>
      <c r="C490" t="s">
        <v>138</v>
      </c>
      <c r="D490" s="4">
        <v>654800.09</v>
      </c>
      <c r="E490" s="4">
        <v>519899</v>
      </c>
      <c r="F490" s="4">
        <v>421850.4</v>
      </c>
      <c r="G490" s="4">
        <v>413111.6</v>
      </c>
      <c r="H490" s="4">
        <v>329069.87</v>
      </c>
      <c r="I490" s="4">
        <v>292147.78999999998</v>
      </c>
    </row>
    <row r="491" spans="1:9" hidden="1" x14ac:dyDescent="0.3">
      <c r="A491" t="s">
        <v>375</v>
      </c>
      <c r="B491" t="s">
        <v>97</v>
      </c>
      <c r="C491" t="s">
        <v>139</v>
      </c>
      <c r="D491" s="4">
        <v>309688.05</v>
      </c>
      <c r="E491" s="4">
        <v>245700</v>
      </c>
      <c r="F491" s="4">
        <v>187322.8</v>
      </c>
      <c r="G491" s="4">
        <v>228248.15</v>
      </c>
      <c r="H491" s="4">
        <v>187448.84</v>
      </c>
      <c r="I491" s="4">
        <v>154557.16</v>
      </c>
    </row>
    <row r="492" spans="1:9" hidden="1" x14ac:dyDescent="0.3">
      <c r="A492" t="s">
        <v>375</v>
      </c>
      <c r="B492" t="s">
        <v>97</v>
      </c>
      <c r="C492" t="s">
        <v>140</v>
      </c>
      <c r="D492" s="4">
        <v>309688.05</v>
      </c>
      <c r="E492" s="4">
        <v>245700</v>
      </c>
      <c r="F492" s="4">
        <v>187322.8</v>
      </c>
      <c r="G492" s="4">
        <v>228248.15</v>
      </c>
      <c r="H492" s="4">
        <v>187448.84</v>
      </c>
      <c r="I492" s="4">
        <v>154557.16</v>
      </c>
    </row>
    <row r="493" spans="1:9" hidden="1" x14ac:dyDescent="0.3">
      <c r="A493" t="s">
        <v>375</v>
      </c>
      <c r="B493" t="s">
        <v>97</v>
      </c>
      <c r="C493" t="s">
        <v>141</v>
      </c>
      <c r="D493" s="4">
        <v>699.99</v>
      </c>
      <c r="E493" s="4">
        <v>699.99</v>
      </c>
      <c r="F493" s="4">
        <v>699.99</v>
      </c>
      <c r="G493" s="4">
        <v>699.99</v>
      </c>
      <c r="H493" s="4">
        <v>699.99</v>
      </c>
      <c r="I493" s="4">
        <v>699.99</v>
      </c>
    </row>
    <row r="494" spans="1:9" hidden="1" x14ac:dyDescent="0.3">
      <c r="A494" t="s">
        <v>375</v>
      </c>
      <c r="B494" t="s">
        <v>97</v>
      </c>
      <c r="C494" t="s">
        <v>142</v>
      </c>
      <c r="D494" s="4">
        <v>177526.21</v>
      </c>
      <c r="E494" s="4">
        <v>149307</v>
      </c>
      <c r="F494" s="4">
        <v>103532.47</v>
      </c>
      <c r="G494" s="4">
        <v>149287.89000000001</v>
      </c>
      <c r="H494" s="4">
        <v>116208.62</v>
      </c>
      <c r="I494" s="4">
        <v>79969.149999999994</v>
      </c>
    </row>
    <row r="495" spans="1:9" hidden="1" x14ac:dyDescent="0.3">
      <c r="A495" t="s">
        <v>375</v>
      </c>
      <c r="B495" t="s">
        <v>97</v>
      </c>
      <c r="C495" t="s">
        <v>143</v>
      </c>
      <c r="D495" s="4">
        <v>0</v>
      </c>
      <c r="E495" s="4">
        <v>0</v>
      </c>
      <c r="F495" s="4">
        <v>0</v>
      </c>
      <c r="G495" s="4">
        <v>0</v>
      </c>
      <c r="H495" s="4">
        <v>33827.089999999997</v>
      </c>
      <c r="I495" s="4">
        <v>0</v>
      </c>
    </row>
    <row r="496" spans="1:9" hidden="1" x14ac:dyDescent="0.3">
      <c r="A496" t="s">
        <v>375</v>
      </c>
      <c r="B496" t="s">
        <v>97</v>
      </c>
      <c r="C496" t="s">
        <v>144</v>
      </c>
      <c r="D496" s="4">
        <v>95317.03</v>
      </c>
      <c r="E496" s="4">
        <v>58395.69</v>
      </c>
      <c r="F496" s="4">
        <v>43930.85</v>
      </c>
      <c r="G496" s="4">
        <v>40799.31</v>
      </c>
      <c r="H496" s="4">
        <v>33079.279999999999</v>
      </c>
      <c r="I496" s="4">
        <v>31755.72</v>
      </c>
    </row>
    <row r="497" spans="1:9" hidden="1" x14ac:dyDescent="0.3">
      <c r="A497" t="s">
        <v>375</v>
      </c>
      <c r="B497" t="s">
        <v>97</v>
      </c>
      <c r="C497" t="s">
        <v>174</v>
      </c>
      <c r="D497" s="4">
        <v>32510.95</v>
      </c>
      <c r="E497" s="4">
        <v>33663.32</v>
      </c>
      <c r="F497" s="4">
        <v>35525.620000000003</v>
      </c>
      <c r="G497" s="4">
        <v>33827.089999999997</v>
      </c>
      <c r="H497" s="4">
        <v>0</v>
      </c>
      <c r="I497" s="4">
        <v>38498.43</v>
      </c>
    </row>
    <row r="498" spans="1:9" hidden="1" x14ac:dyDescent="0.3">
      <c r="A498" t="s">
        <v>375</v>
      </c>
      <c r="B498" t="s">
        <v>97</v>
      </c>
      <c r="C498" t="s">
        <v>145</v>
      </c>
      <c r="D498" s="4">
        <v>345112.05</v>
      </c>
      <c r="E498" s="4">
        <v>274199</v>
      </c>
      <c r="F498" s="4">
        <v>234527.6</v>
      </c>
      <c r="G498" s="4">
        <v>184863.45</v>
      </c>
      <c r="H498" s="4">
        <v>141621.03</v>
      </c>
      <c r="I498" s="4">
        <v>137590.64000000001</v>
      </c>
    </row>
    <row r="499" spans="1:9" hidden="1" x14ac:dyDescent="0.3">
      <c r="A499" t="s">
        <v>375</v>
      </c>
      <c r="B499" t="s">
        <v>97</v>
      </c>
      <c r="C499" t="s">
        <v>146</v>
      </c>
      <c r="D499" s="4">
        <v>11081.71</v>
      </c>
      <c r="E499" s="4">
        <v>8498.5400000000009</v>
      </c>
      <c r="F499" s="4">
        <v>6420.71</v>
      </c>
      <c r="G499" s="4">
        <v>6798.48</v>
      </c>
      <c r="H499" s="4">
        <v>6848.06</v>
      </c>
      <c r="I499" s="4">
        <v>4208.93</v>
      </c>
    </row>
    <row r="500" spans="1:9" hidden="1" x14ac:dyDescent="0.3">
      <c r="A500" t="s">
        <v>375</v>
      </c>
      <c r="B500" t="s">
        <v>97</v>
      </c>
      <c r="C500" t="s">
        <v>175</v>
      </c>
      <c r="D500" s="4">
        <v>0</v>
      </c>
      <c r="E500" s="4">
        <v>0</v>
      </c>
      <c r="F500" s="4">
        <v>0</v>
      </c>
      <c r="G500" s="4">
        <v>0</v>
      </c>
      <c r="H500" s="4">
        <v>0</v>
      </c>
      <c r="I500" s="4">
        <v>0</v>
      </c>
    </row>
    <row r="501" spans="1:9" hidden="1" x14ac:dyDescent="0.3">
      <c r="A501" t="s">
        <v>375</v>
      </c>
      <c r="B501" t="s">
        <v>97</v>
      </c>
      <c r="C501" t="s">
        <v>147</v>
      </c>
      <c r="D501" s="4">
        <v>9970.1299999999992</v>
      </c>
      <c r="E501" s="4">
        <v>7787.93</v>
      </c>
      <c r="F501" s="4">
        <v>5926.91</v>
      </c>
      <c r="G501" s="4">
        <v>5098.3599999999997</v>
      </c>
      <c r="H501" s="4">
        <v>4451.8900000000003</v>
      </c>
      <c r="I501" s="4">
        <v>4412.57</v>
      </c>
    </row>
    <row r="502" spans="1:9" hidden="1" x14ac:dyDescent="0.3">
      <c r="A502" t="s">
        <v>375</v>
      </c>
      <c r="B502" t="s">
        <v>97</v>
      </c>
      <c r="C502" t="s">
        <v>149</v>
      </c>
      <c r="D502" s="4">
        <v>334030.33</v>
      </c>
      <c r="E502" s="4">
        <v>265700.53000000003</v>
      </c>
      <c r="F502" s="4">
        <v>228106.89</v>
      </c>
      <c r="G502" s="4">
        <v>178064.97</v>
      </c>
      <c r="H502" s="4">
        <v>134772.97</v>
      </c>
      <c r="I502" s="4">
        <v>133381.71</v>
      </c>
    </row>
    <row r="503" spans="1:9" hidden="1" x14ac:dyDescent="0.3">
      <c r="A503" t="s">
        <v>375</v>
      </c>
      <c r="B503" t="s">
        <v>97</v>
      </c>
      <c r="C503" t="s">
        <v>169</v>
      </c>
      <c r="D503" s="4">
        <v>151521.17000000001</v>
      </c>
      <c r="E503" s="4">
        <v>128419</v>
      </c>
      <c r="F503" s="4">
        <v>109151.23</v>
      </c>
      <c r="G503" s="4">
        <v>0</v>
      </c>
      <c r="H503" s="4">
        <v>59676.77</v>
      </c>
      <c r="I503" s="4">
        <v>50115.5</v>
      </c>
    </row>
    <row r="504" spans="1:9" hidden="1" x14ac:dyDescent="0.3">
      <c r="A504" t="s">
        <v>375</v>
      </c>
      <c r="B504" t="s">
        <v>97</v>
      </c>
      <c r="C504" t="s">
        <v>150</v>
      </c>
      <c r="D504" s="4">
        <v>134100.71</v>
      </c>
      <c r="E504" s="4">
        <v>103788</v>
      </c>
      <c r="F504" s="4">
        <v>85727.49</v>
      </c>
      <c r="G504" s="4">
        <v>149311.28</v>
      </c>
      <c r="H504" s="4">
        <v>52174.84</v>
      </c>
      <c r="I504" s="4">
        <v>58205.36</v>
      </c>
    </row>
    <row r="505" spans="1:9" hidden="1" x14ac:dyDescent="0.3">
      <c r="A505" t="s">
        <v>375</v>
      </c>
      <c r="B505" t="s">
        <v>97</v>
      </c>
      <c r="C505" t="s">
        <v>151</v>
      </c>
      <c r="D505" s="4">
        <v>93396.62</v>
      </c>
      <c r="E505" s="4">
        <v>66813.850000000006</v>
      </c>
      <c r="F505" s="4">
        <v>42645.26</v>
      </c>
      <c r="G505" s="4">
        <v>0</v>
      </c>
      <c r="H505" s="4">
        <v>31227.03</v>
      </c>
      <c r="I505" s="4">
        <v>34616.18</v>
      </c>
    </row>
    <row r="506" spans="1:9" hidden="1" x14ac:dyDescent="0.3">
      <c r="A506" t="s">
        <v>375</v>
      </c>
      <c r="B506" t="s">
        <v>97</v>
      </c>
      <c r="C506" t="s">
        <v>170</v>
      </c>
      <c r="D506" s="4">
        <v>0</v>
      </c>
      <c r="E506" s="4">
        <v>0</v>
      </c>
      <c r="F506" s="4">
        <v>0</v>
      </c>
      <c r="G506" s="4">
        <v>0</v>
      </c>
      <c r="H506" s="4">
        <v>0</v>
      </c>
      <c r="I506" s="4">
        <v>3816.95</v>
      </c>
    </row>
    <row r="507" spans="1:9" hidden="1" x14ac:dyDescent="0.3">
      <c r="A507" t="s">
        <v>375</v>
      </c>
      <c r="B507" t="s">
        <v>97</v>
      </c>
      <c r="C507" t="s">
        <v>152</v>
      </c>
      <c r="D507" s="4">
        <v>40704.080000000002</v>
      </c>
      <c r="E507" s="4">
        <v>36974.199999999997</v>
      </c>
      <c r="F507" s="4">
        <v>43082.23</v>
      </c>
      <c r="G507" s="4">
        <v>0</v>
      </c>
      <c r="H507" s="4">
        <v>20947.810000000001</v>
      </c>
      <c r="I507" s="4">
        <v>19772.23</v>
      </c>
    </row>
    <row r="508" spans="1:9" hidden="1" x14ac:dyDescent="0.3">
      <c r="A508" t="s">
        <v>375</v>
      </c>
      <c r="B508" t="s">
        <v>97</v>
      </c>
      <c r="C508" t="s">
        <v>153</v>
      </c>
      <c r="D508" s="4">
        <v>1354.58</v>
      </c>
      <c r="E508" s="4">
        <v>1506.94</v>
      </c>
      <c r="F508" s="4">
        <v>3172.13</v>
      </c>
      <c r="G508" s="4">
        <v>2826.26</v>
      </c>
      <c r="H508" s="4">
        <v>2390.0500000000002</v>
      </c>
      <c r="I508" s="4">
        <v>3083.59</v>
      </c>
    </row>
    <row r="509" spans="1:9" hidden="1" x14ac:dyDescent="0.3">
      <c r="A509" t="s">
        <v>375</v>
      </c>
      <c r="B509" t="s">
        <v>97</v>
      </c>
      <c r="C509" t="s">
        <v>171</v>
      </c>
      <c r="D509" s="4">
        <v>37083.75</v>
      </c>
      <c r="E509" s="4">
        <v>24198.66</v>
      </c>
      <c r="F509" s="4">
        <v>24129.119999999999</v>
      </c>
      <c r="G509" s="4">
        <v>20829.07</v>
      </c>
      <c r="H509" s="4">
        <v>16079.42</v>
      </c>
      <c r="I509" s="4">
        <v>17564.689999999999</v>
      </c>
    </row>
    <row r="510" spans="1:9" hidden="1" x14ac:dyDescent="0.3">
      <c r="A510" t="s">
        <v>375</v>
      </c>
      <c r="B510" t="s">
        <v>97</v>
      </c>
      <c r="C510" t="s">
        <v>107</v>
      </c>
      <c r="D510" s="4">
        <v>-677.21</v>
      </c>
      <c r="E510" s="4">
        <v>-426.24</v>
      </c>
      <c r="F510" s="4">
        <v>-262.93</v>
      </c>
      <c r="G510" s="4">
        <v>-185.37</v>
      </c>
      <c r="H510" s="4">
        <v>-199.5</v>
      </c>
      <c r="I510" s="4">
        <v>-78.75</v>
      </c>
    </row>
    <row r="511" spans="1:9" hidden="1" x14ac:dyDescent="0.3">
      <c r="A511" t="s">
        <v>375</v>
      </c>
      <c r="B511" t="s">
        <v>97</v>
      </c>
      <c r="C511" t="s">
        <v>173</v>
      </c>
      <c r="D511" s="4">
        <v>0</v>
      </c>
      <c r="E511" s="4">
        <v>0</v>
      </c>
      <c r="F511" s="4">
        <v>0</v>
      </c>
      <c r="G511" s="4">
        <v>0</v>
      </c>
      <c r="H511" s="4">
        <v>0</v>
      </c>
      <c r="I511" s="4">
        <v>0</v>
      </c>
    </row>
    <row r="512" spans="1:9" hidden="1" x14ac:dyDescent="0.3">
      <c r="A512" t="s">
        <v>375</v>
      </c>
      <c r="B512" t="s">
        <v>97</v>
      </c>
      <c r="C512" t="s">
        <v>119</v>
      </c>
      <c r="D512" s="4">
        <v>0</v>
      </c>
      <c r="E512" s="4">
        <v>0</v>
      </c>
      <c r="F512" s="4">
        <v>0</v>
      </c>
      <c r="G512" s="4">
        <v>0</v>
      </c>
      <c r="H512" s="4">
        <v>0</v>
      </c>
      <c r="I512" s="4">
        <v>0</v>
      </c>
    </row>
    <row r="513" spans="1:9" hidden="1" x14ac:dyDescent="0.3">
      <c r="A513" t="s">
        <v>375</v>
      </c>
      <c r="B513" t="s">
        <v>97</v>
      </c>
      <c r="C513" t="s">
        <v>167</v>
      </c>
      <c r="D513" s="4">
        <v>3633.87</v>
      </c>
      <c r="E513" s="4">
        <v>3633.87</v>
      </c>
      <c r="F513" s="4">
        <v>3633.87</v>
      </c>
      <c r="G513" s="4">
        <v>3633.87</v>
      </c>
      <c r="H513" s="4">
        <v>3633.87</v>
      </c>
      <c r="I513" s="4">
        <v>3633.87</v>
      </c>
    </row>
    <row r="514" spans="1:9" hidden="1" x14ac:dyDescent="0.3">
      <c r="A514" t="s">
        <v>375</v>
      </c>
      <c r="B514" t="s">
        <v>97</v>
      </c>
      <c r="C514" t="s">
        <v>130</v>
      </c>
      <c r="D514" s="4">
        <v>0</v>
      </c>
      <c r="E514" s="4">
        <v>0</v>
      </c>
      <c r="F514" s="4">
        <v>0</v>
      </c>
      <c r="G514" s="4">
        <v>0</v>
      </c>
      <c r="H514" s="4">
        <v>0</v>
      </c>
      <c r="I514" s="4">
        <v>0</v>
      </c>
    </row>
    <row r="515" spans="1:9" hidden="1" x14ac:dyDescent="0.3">
      <c r="A515" t="s">
        <v>375</v>
      </c>
      <c r="B515" t="s">
        <v>97</v>
      </c>
      <c r="C515" t="s">
        <v>178</v>
      </c>
      <c r="D515" s="4">
        <v>0</v>
      </c>
      <c r="E515" s="4">
        <v>0</v>
      </c>
      <c r="F515" s="4">
        <v>0</v>
      </c>
      <c r="G515" s="4">
        <v>0</v>
      </c>
      <c r="H515" s="4">
        <v>0</v>
      </c>
      <c r="I515" s="4">
        <v>0</v>
      </c>
    </row>
    <row r="516" spans="1:9" hidden="1" x14ac:dyDescent="0.3">
      <c r="A516" t="s">
        <v>375</v>
      </c>
      <c r="B516" t="s">
        <v>97</v>
      </c>
      <c r="C516" t="s">
        <v>179</v>
      </c>
      <c r="D516" s="4">
        <v>0</v>
      </c>
      <c r="E516" s="4">
        <v>0</v>
      </c>
      <c r="F516" s="4">
        <v>0</v>
      </c>
      <c r="G516" s="4">
        <v>0</v>
      </c>
      <c r="H516" s="4">
        <v>0</v>
      </c>
      <c r="I516" s="4">
        <v>0</v>
      </c>
    </row>
    <row r="517" spans="1:9" hidden="1" x14ac:dyDescent="0.3">
      <c r="A517" t="s">
        <v>375</v>
      </c>
      <c r="B517" t="s">
        <v>97</v>
      </c>
      <c r="C517" t="s">
        <v>148</v>
      </c>
      <c r="D517" s="4">
        <v>9.57</v>
      </c>
      <c r="E517" s="4">
        <v>8</v>
      </c>
      <c r="F517" s="4">
        <v>5.17</v>
      </c>
      <c r="G517" s="4">
        <v>1.63</v>
      </c>
      <c r="H517" s="4">
        <v>1.51</v>
      </c>
      <c r="I517" s="4">
        <v>3.34</v>
      </c>
    </row>
  </sheetData>
  <autoFilter ref="A1:I517" xr:uid="{57DCE8B5-6A1A-4F6E-8111-2257A55D428E}">
    <filterColumn colId="0">
      <filters>
        <filter val="Valle de lili.xlsx"/>
      </filters>
    </filterColumn>
  </autoFilter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240C5D-7F1E-42AB-A694-DFA019719E55}">
  <dimension ref="A1:F3"/>
  <sheetViews>
    <sheetView workbookViewId="0">
      <selection activeCell="F6" sqref="F6"/>
    </sheetView>
  </sheetViews>
  <sheetFormatPr baseColWidth="10" defaultRowHeight="14.4" x14ac:dyDescent="0.3"/>
  <sheetData>
    <row r="1" spans="1:6" x14ac:dyDescent="0.3">
      <c r="A1" t="s">
        <v>190</v>
      </c>
    </row>
    <row r="2" spans="1:6" x14ac:dyDescent="0.3">
      <c r="A2">
        <v>2025</v>
      </c>
      <c r="B2">
        <v>2024</v>
      </c>
      <c r="C2">
        <v>2023</v>
      </c>
      <c r="D2">
        <v>2022</v>
      </c>
      <c r="E2">
        <v>2021</v>
      </c>
      <c r="F2">
        <v>2020</v>
      </c>
    </row>
    <row r="3" spans="1:6" x14ac:dyDescent="0.3">
      <c r="A3">
        <v>5.0999999999999997E-2</v>
      </c>
      <c r="B3">
        <v>5.1999999999999998E-2</v>
      </c>
      <c r="C3">
        <v>9.2799999999999994E-2</v>
      </c>
      <c r="D3">
        <v>0.13120000000000001</v>
      </c>
      <c r="E3">
        <v>5.62E-2</v>
      </c>
      <c r="F3">
        <v>1.61E-2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5A81A6-8AFB-423B-93D7-9EDA3BA5C866}">
  <dimension ref="A1:E649"/>
  <sheetViews>
    <sheetView workbookViewId="0">
      <selection activeCell="A24" sqref="A24"/>
    </sheetView>
  </sheetViews>
  <sheetFormatPr baseColWidth="10" defaultRowHeight="14.4" x14ac:dyDescent="0.3"/>
  <cols>
    <col min="1" max="1" width="38.33203125" bestFit="1" customWidth="1"/>
    <col min="2" max="2" width="44.88671875" bestFit="1" customWidth="1"/>
    <col min="3" max="3" width="11" bestFit="1" customWidth="1"/>
    <col min="4" max="4" width="42.109375" bestFit="1" customWidth="1"/>
    <col min="5" max="5" width="16.33203125" bestFit="1" customWidth="1"/>
  </cols>
  <sheetData>
    <row r="1" spans="1:5" x14ac:dyDescent="0.3">
      <c r="A1" t="s">
        <v>244</v>
      </c>
      <c r="B1" t="s">
        <v>374</v>
      </c>
      <c r="C1" t="s">
        <v>373</v>
      </c>
      <c r="D1" t="s">
        <v>372</v>
      </c>
      <c r="E1" t="s">
        <v>371</v>
      </c>
    </row>
    <row r="2" spans="1:5" x14ac:dyDescent="0.3">
      <c r="A2" t="s">
        <v>236</v>
      </c>
      <c r="B2" t="s">
        <v>247</v>
      </c>
      <c r="C2">
        <v>714</v>
      </c>
      <c r="D2" t="s">
        <v>293</v>
      </c>
      <c r="E2" t="s">
        <v>248</v>
      </c>
    </row>
    <row r="3" spans="1:5" x14ac:dyDescent="0.3">
      <c r="A3" t="s">
        <v>236</v>
      </c>
      <c r="B3" t="s">
        <v>247</v>
      </c>
      <c r="C3">
        <v>742</v>
      </c>
      <c r="D3" t="s">
        <v>250</v>
      </c>
      <c r="E3" t="s">
        <v>248</v>
      </c>
    </row>
    <row r="4" spans="1:5" x14ac:dyDescent="0.3">
      <c r="A4" t="s">
        <v>236</v>
      </c>
      <c r="B4" t="s">
        <v>247</v>
      </c>
      <c r="C4">
        <v>743</v>
      </c>
      <c r="D4" t="s">
        <v>332</v>
      </c>
      <c r="E4" t="s">
        <v>290</v>
      </c>
    </row>
    <row r="5" spans="1:5" x14ac:dyDescent="0.3">
      <c r="A5" t="s">
        <v>236</v>
      </c>
      <c r="B5" t="s">
        <v>195</v>
      </c>
      <c r="C5">
        <v>361</v>
      </c>
      <c r="D5" t="s">
        <v>351</v>
      </c>
      <c r="E5" t="s">
        <v>248</v>
      </c>
    </row>
    <row r="6" spans="1:5" x14ac:dyDescent="0.3">
      <c r="A6" t="s">
        <v>236</v>
      </c>
      <c r="B6" t="s">
        <v>247</v>
      </c>
      <c r="C6">
        <v>714</v>
      </c>
      <c r="D6" t="s">
        <v>293</v>
      </c>
      <c r="E6" t="s">
        <v>290</v>
      </c>
    </row>
    <row r="7" spans="1:5" x14ac:dyDescent="0.3">
      <c r="A7" t="s">
        <v>236</v>
      </c>
      <c r="B7" t="s">
        <v>247</v>
      </c>
      <c r="C7">
        <v>742</v>
      </c>
      <c r="D7" t="s">
        <v>250</v>
      </c>
      <c r="E7" t="s">
        <v>248</v>
      </c>
    </row>
    <row r="8" spans="1:5" x14ac:dyDescent="0.3">
      <c r="A8" t="s">
        <v>236</v>
      </c>
      <c r="B8" t="s">
        <v>247</v>
      </c>
      <c r="C8">
        <v>743</v>
      </c>
      <c r="D8" t="s">
        <v>332</v>
      </c>
      <c r="E8" t="s">
        <v>290</v>
      </c>
    </row>
    <row r="9" spans="1:5" x14ac:dyDescent="0.3">
      <c r="A9" t="s">
        <v>236</v>
      </c>
      <c r="B9" t="s">
        <v>195</v>
      </c>
      <c r="C9">
        <v>312</v>
      </c>
      <c r="D9" t="s">
        <v>283</v>
      </c>
      <c r="E9" t="s">
        <v>264</v>
      </c>
    </row>
    <row r="10" spans="1:5" x14ac:dyDescent="0.3">
      <c r="A10" t="s">
        <v>236</v>
      </c>
      <c r="B10" t="s">
        <v>195</v>
      </c>
      <c r="C10">
        <v>320</v>
      </c>
      <c r="D10" t="s">
        <v>279</v>
      </c>
      <c r="E10" t="s">
        <v>248</v>
      </c>
    </row>
    <row r="11" spans="1:5" x14ac:dyDescent="0.3">
      <c r="A11" t="s">
        <v>236</v>
      </c>
      <c r="B11" t="s">
        <v>195</v>
      </c>
      <c r="C11">
        <v>328</v>
      </c>
      <c r="D11" t="s">
        <v>364</v>
      </c>
      <c r="E11" t="s">
        <v>264</v>
      </c>
    </row>
    <row r="12" spans="1:5" x14ac:dyDescent="0.3">
      <c r="A12" t="s">
        <v>236</v>
      </c>
      <c r="B12" t="s">
        <v>195</v>
      </c>
      <c r="C12">
        <v>334</v>
      </c>
      <c r="D12" t="s">
        <v>363</v>
      </c>
      <c r="E12" t="s">
        <v>264</v>
      </c>
    </row>
    <row r="13" spans="1:5" x14ac:dyDescent="0.3">
      <c r="A13" t="s">
        <v>236</v>
      </c>
      <c r="B13" t="s">
        <v>195</v>
      </c>
      <c r="C13">
        <v>342</v>
      </c>
      <c r="D13" t="s">
        <v>266</v>
      </c>
      <c r="E13" t="s">
        <v>248</v>
      </c>
    </row>
    <row r="14" spans="1:5" x14ac:dyDescent="0.3">
      <c r="A14" t="s">
        <v>236</v>
      </c>
      <c r="B14" t="s">
        <v>195</v>
      </c>
      <c r="C14">
        <v>344</v>
      </c>
      <c r="D14" t="s">
        <v>265</v>
      </c>
      <c r="E14" t="s">
        <v>264</v>
      </c>
    </row>
    <row r="15" spans="1:5" x14ac:dyDescent="0.3">
      <c r="A15" t="s">
        <v>236</v>
      </c>
      <c r="B15" t="s">
        <v>247</v>
      </c>
      <c r="C15">
        <v>748</v>
      </c>
      <c r="D15" t="s">
        <v>365</v>
      </c>
      <c r="E15" t="s">
        <v>245</v>
      </c>
    </row>
    <row r="16" spans="1:5" x14ac:dyDescent="0.3">
      <c r="A16" t="s">
        <v>236</v>
      </c>
      <c r="B16" t="s">
        <v>247</v>
      </c>
      <c r="C16">
        <v>749</v>
      </c>
      <c r="D16" t="s">
        <v>246</v>
      </c>
      <c r="E16" t="s">
        <v>245</v>
      </c>
    </row>
    <row r="17" spans="1:5" x14ac:dyDescent="0.3">
      <c r="A17" t="s">
        <v>236</v>
      </c>
      <c r="B17" t="s">
        <v>247</v>
      </c>
      <c r="C17">
        <v>714</v>
      </c>
      <c r="D17" t="s">
        <v>293</v>
      </c>
      <c r="E17" t="s">
        <v>248</v>
      </c>
    </row>
    <row r="18" spans="1:5" x14ac:dyDescent="0.3">
      <c r="A18" t="s">
        <v>236</v>
      </c>
      <c r="B18" t="s">
        <v>247</v>
      </c>
      <c r="C18">
        <v>742</v>
      </c>
      <c r="D18" t="s">
        <v>250</v>
      </c>
      <c r="E18" t="s">
        <v>248</v>
      </c>
    </row>
    <row r="19" spans="1:5" x14ac:dyDescent="0.3">
      <c r="A19" t="s">
        <v>236</v>
      </c>
      <c r="B19" t="s">
        <v>247</v>
      </c>
      <c r="C19">
        <v>743</v>
      </c>
      <c r="D19" t="s">
        <v>332</v>
      </c>
      <c r="E19" t="s">
        <v>290</v>
      </c>
    </row>
    <row r="20" spans="1:5" x14ac:dyDescent="0.3">
      <c r="A20" t="s">
        <v>236</v>
      </c>
      <c r="B20" t="s">
        <v>195</v>
      </c>
      <c r="C20">
        <v>308</v>
      </c>
      <c r="D20" t="s">
        <v>286</v>
      </c>
      <c r="E20" t="s">
        <v>248</v>
      </c>
    </row>
    <row r="21" spans="1:5" x14ac:dyDescent="0.3">
      <c r="A21" t="s">
        <v>236</v>
      </c>
      <c r="B21" t="s">
        <v>195</v>
      </c>
      <c r="C21">
        <v>312</v>
      </c>
      <c r="D21" t="s">
        <v>283</v>
      </c>
      <c r="E21" t="s">
        <v>264</v>
      </c>
    </row>
    <row r="22" spans="1:5" x14ac:dyDescent="0.3">
      <c r="A22" t="s">
        <v>236</v>
      </c>
      <c r="B22" t="s">
        <v>195</v>
      </c>
      <c r="C22">
        <v>320</v>
      </c>
      <c r="D22" t="s">
        <v>279</v>
      </c>
      <c r="E22" t="s">
        <v>248</v>
      </c>
    </row>
    <row r="23" spans="1:5" x14ac:dyDescent="0.3">
      <c r="A23" t="s">
        <v>236</v>
      </c>
      <c r="B23" t="s">
        <v>195</v>
      </c>
      <c r="C23">
        <v>328</v>
      </c>
      <c r="D23" t="s">
        <v>364</v>
      </c>
      <c r="E23" t="s">
        <v>264</v>
      </c>
    </row>
    <row r="24" spans="1:5" x14ac:dyDescent="0.3">
      <c r="A24" t="s">
        <v>236</v>
      </c>
      <c r="B24" t="s">
        <v>195</v>
      </c>
      <c r="C24">
        <v>329</v>
      </c>
      <c r="D24" t="s">
        <v>275</v>
      </c>
      <c r="E24" t="s">
        <v>248</v>
      </c>
    </row>
    <row r="25" spans="1:5" x14ac:dyDescent="0.3">
      <c r="A25" t="s">
        <v>236</v>
      </c>
      <c r="B25" t="s">
        <v>195</v>
      </c>
      <c r="C25">
        <v>330</v>
      </c>
      <c r="D25" t="s">
        <v>274</v>
      </c>
      <c r="E25" t="s">
        <v>248</v>
      </c>
    </row>
    <row r="26" spans="1:5" x14ac:dyDescent="0.3">
      <c r="A26" t="s">
        <v>236</v>
      </c>
      <c r="B26" t="s">
        <v>195</v>
      </c>
      <c r="C26">
        <v>333</v>
      </c>
      <c r="D26" t="s">
        <v>271</v>
      </c>
      <c r="E26" t="s">
        <v>264</v>
      </c>
    </row>
    <row r="27" spans="1:5" x14ac:dyDescent="0.3">
      <c r="A27" t="s">
        <v>236</v>
      </c>
      <c r="B27" t="s">
        <v>195</v>
      </c>
      <c r="C27">
        <v>334</v>
      </c>
      <c r="D27" t="s">
        <v>363</v>
      </c>
      <c r="E27" t="s">
        <v>264</v>
      </c>
    </row>
    <row r="28" spans="1:5" x14ac:dyDescent="0.3">
      <c r="A28" t="s">
        <v>236</v>
      </c>
      <c r="B28" t="s">
        <v>195</v>
      </c>
      <c r="C28">
        <v>342</v>
      </c>
      <c r="D28" t="s">
        <v>266</v>
      </c>
      <c r="E28" t="s">
        <v>248</v>
      </c>
    </row>
    <row r="29" spans="1:5" x14ac:dyDescent="0.3">
      <c r="A29" t="s">
        <v>236</v>
      </c>
      <c r="B29" t="s">
        <v>195</v>
      </c>
      <c r="C29">
        <v>344</v>
      </c>
      <c r="D29" t="s">
        <v>265</v>
      </c>
      <c r="E29" t="s">
        <v>264</v>
      </c>
    </row>
    <row r="30" spans="1:5" x14ac:dyDescent="0.3">
      <c r="A30" t="s">
        <v>236</v>
      </c>
      <c r="B30" t="s">
        <v>195</v>
      </c>
      <c r="C30">
        <v>420</v>
      </c>
      <c r="D30" t="s">
        <v>339</v>
      </c>
      <c r="E30" t="s">
        <v>264</v>
      </c>
    </row>
    <row r="31" spans="1:5" x14ac:dyDescent="0.3">
      <c r="A31" t="s">
        <v>236</v>
      </c>
      <c r="B31" t="s">
        <v>247</v>
      </c>
      <c r="C31">
        <v>712</v>
      </c>
      <c r="D31" t="s">
        <v>254</v>
      </c>
      <c r="E31" t="s">
        <v>245</v>
      </c>
    </row>
    <row r="32" spans="1:5" x14ac:dyDescent="0.3">
      <c r="A32" t="s">
        <v>236</v>
      </c>
      <c r="B32" t="s">
        <v>247</v>
      </c>
      <c r="C32">
        <v>744</v>
      </c>
      <c r="D32" t="s">
        <v>291</v>
      </c>
      <c r="E32" t="s">
        <v>248</v>
      </c>
    </row>
    <row r="33" spans="1:5" x14ac:dyDescent="0.3">
      <c r="A33" t="s">
        <v>236</v>
      </c>
      <c r="B33" t="s">
        <v>247</v>
      </c>
      <c r="C33">
        <v>745</v>
      </c>
      <c r="D33" t="s">
        <v>249</v>
      </c>
      <c r="E33" t="s">
        <v>248</v>
      </c>
    </row>
    <row r="34" spans="1:5" x14ac:dyDescent="0.3">
      <c r="A34" t="s">
        <v>236</v>
      </c>
      <c r="B34" t="s">
        <v>247</v>
      </c>
      <c r="C34">
        <v>748</v>
      </c>
      <c r="D34" t="s">
        <v>365</v>
      </c>
      <c r="E34" t="s">
        <v>245</v>
      </c>
    </row>
    <row r="35" spans="1:5" x14ac:dyDescent="0.3">
      <c r="A35" t="s">
        <v>236</v>
      </c>
      <c r="B35" t="s">
        <v>247</v>
      </c>
      <c r="C35">
        <v>749</v>
      </c>
      <c r="D35" t="s">
        <v>246</v>
      </c>
      <c r="E35" t="s">
        <v>245</v>
      </c>
    </row>
    <row r="36" spans="1:5" x14ac:dyDescent="0.3">
      <c r="A36" t="s">
        <v>236</v>
      </c>
      <c r="B36" t="s">
        <v>195</v>
      </c>
      <c r="C36">
        <v>308</v>
      </c>
      <c r="D36" t="s">
        <v>286</v>
      </c>
      <c r="E36" t="s">
        <v>248</v>
      </c>
    </row>
    <row r="37" spans="1:5" x14ac:dyDescent="0.3">
      <c r="A37" t="s">
        <v>236</v>
      </c>
      <c r="B37" t="s">
        <v>195</v>
      </c>
      <c r="C37">
        <v>312</v>
      </c>
      <c r="D37" t="s">
        <v>283</v>
      </c>
      <c r="E37" t="s">
        <v>264</v>
      </c>
    </row>
    <row r="38" spans="1:5" x14ac:dyDescent="0.3">
      <c r="A38" t="s">
        <v>236</v>
      </c>
      <c r="B38" t="s">
        <v>195</v>
      </c>
      <c r="C38">
        <v>318</v>
      </c>
      <c r="D38" t="s">
        <v>280</v>
      </c>
      <c r="E38" t="s">
        <v>248</v>
      </c>
    </row>
    <row r="39" spans="1:5" x14ac:dyDescent="0.3">
      <c r="A39" t="s">
        <v>236</v>
      </c>
      <c r="B39" t="s">
        <v>195</v>
      </c>
      <c r="C39">
        <v>320</v>
      </c>
      <c r="D39" t="s">
        <v>279</v>
      </c>
      <c r="E39" t="s">
        <v>248</v>
      </c>
    </row>
    <row r="40" spans="1:5" x14ac:dyDescent="0.3">
      <c r="A40" t="s">
        <v>236</v>
      </c>
      <c r="B40" t="s">
        <v>195</v>
      </c>
      <c r="C40">
        <v>328</v>
      </c>
      <c r="D40" t="s">
        <v>364</v>
      </c>
      <c r="E40" t="s">
        <v>264</v>
      </c>
    </row>
    <row r="41" spans="1:5" x14ac:dyDescent="0.3">
      <c r="A41" t="s">
        <v>236</v>
      </c>
      <c r="B41" t="s">
        <v>195</v>
      </c>
      <c r="C41">
        <v>329</v>
      </c>
      <c r="D41" t="s">
        <v>275</v>
      </c>
      <c r="E41" t="s">
        <v>248</v>
      </c>
    </row>
    <row r="42" spans="1:5" x14ac:dyDescent="0.3">
      <c r="A42" t="s">
        <v>236</v>
      </c>
      <c r="B42" t="s">
        <v>195</v>
      </c>
      <c r="C42">
        <v>333</v>
      </c>
      <c r="D42" t="s">
        <v>271</v>
      </c>
      <c r="E42" t="s">
        <v>264</v>
      </c>
    </row>
    <row r="43" spans="1:5" x14ac:dyDescent="0.3">
      <c r="A43" t="s">
        <v>236</v>
      </c>
      <c r="B43" t="s">
        <v>195</v>
      </c>
      <c r="C43">
        <v>334</v>
      </c>
      <c r="D43" t="s">
        <v>363</v>
      </c>
      <c r="E43" t="s">
        <v>264</v>
      </c>
    </row>
    <row r="44" spans="1:5" x14ac:dyDescent="0.3">
      <c r="A44" t="s">
        <v>236</v>
      </c>
      <c r="B44" t="s">
        <v>195</v>
      </c>
      <c r="C44">
        <v>342</v>
      </c>
      <c r="D44" t="s">
        <v>266</v>
      </c>
      <c r="E44" t="s">
        <v>248</v>
      </c>
    </row>
    <row r="45" spans="1:5" x14ac:dyDescent="0.3">
      <c r="A45" t="s">
        <v>236</v>
      </c>
      <c r="B45" t="s">
        <v>195</v>
      </c>
      <c r="C45">
        <v>344</v>
      </c>
      <c r="D45" t="s">
        <v>265</v>
      </c>
      <c r="E45" t="s">
        <v>264</v>
      </c>
    </row>
    <row r="46" spans="1:5" x14ac:dyDescent="0.3">
      <c r="A46" t="s">
        <v>236</v>
      </c>
      <c r="B46" t="s">
        <v>195</v>
      </c>
      <c r="C46">
        <v>420</v>
      </c>
      <c r="D46" t="s">
        <v>339</v>
      </c>
      <c r="E46" t="s">
        <v>264</v>
      </c>
    </row>
    <row r="47" spans="1:5" x14ac:dyDescent="0.3">
      <c r="A47" t="s">
        <v>236</v>
      </c>
      <c r="B47" t="s">
        <v>247</v>
      </c>
      <c r="C47">
        <v>748</v>
      </c>
      <c r="D47" t="s">
        <v>365</v>
      </c>
      <c r="E47" t="s">
        <v>245</v>
      </c>
    </row>
    <row r="48" spans="1:5" x14ac:dyDescent="0.3">
      <c r="A48" t="s">
        <v>236</v>
      </c>
      <c r="B48" t="s">
        <v>247</v>
      </c>
      <c r="C48">
        <v>749</v>
      </c>
      <c r="D48" t="s">
        <v>246</v>
      </c>
      <c r="E48" t="s">
        <v>245</v>
      </c>
    </row>
    <row r="49" spans="1:5" x14ac:dyDescent="0.3">
      <c r="A49" t="s">
        <v>236</v>
      </c>
      <c r="B49" t="s">
        <v>195</v>
      </c>
      <c r="C49">
        <v>302</v>
      </c>
      <c r="D49" t="s">
        <v>287</v>
      </c>
      <c r="E49" t="s">
        <v>248</v>
      </c>
    </row>
    <row r="50" spans="1:5" x14ac:dyDescent="0.3">
      <c r="A50" t="s">
        <v>236</v>
      </c>
      <c r="B50" t="s">
        <v>195</v>
      </c>
      <c r="C50">
        <v>328</v>
      </c>
      <c r="D50" t="s">
        <v>364</v>
      </c>
      <c r="E50" t="s">
        <v>264</v>
      </c>
    </row>
    <row r="51" spans="1:5" x14ac:dyDescent="0.3">
      <c r="A51" t="s">
        <v>236</v>
      </c>
      <c r="B51" t="s">
        <v>195</v>
      </c>
      <c r="C51">
        <v>356</v>
      </c>
      <c r="D51" t="s">
        <v>260</v>
      </c>
      <c r="E51" t="s">
        <v>248</v>
      </c>
    </row>
    <row r="52" spans="1:5" x14ac:dyDescent="0.3">
      <c r="A52" t="s">
        <v>236</v>
      </c>
      <c r="B52" t="s">
        <v>195</v>
      </c>
      <c r="C52">
        <v>372</v>
      </c>
      <c r="D52" t="s">
        <v>257</v>
      </c>
      <c r="E52" t="s">
        <v>248</v>
      </c>
    </row>
    <row r="53" spans="1:5" x14ac:dyDescent="0.3">
      <c r="A53" t="s">
        <v>236</v>
      </c>
      <c r="B53" t="s">
        <v>195</v>
      </c>
      <c r="C53">
        <v>387</v>
      </c>
      <c r="D53" t="s">
        <v>256</v>
      </c>
      <c r="E53" t="s">
        <v>248</v>
      </c>
    </row>
    <row r="54" spans="1:5" x14ac:dyDescent="0.3">
      <c r="A54" t="s">
        <v>236</v>
      </c>
      <c r="B54" t="s">
        <v>195</v>
      </c>
      <c r="C54">
        <v>308</v>
      </c>
      <c r="D54" t="s">
        <v>286</v>
      </c>
      <c r="E54" t="s">
        <v>248</v>
      </c>
    </row>
    <row r="55" spans="1:5" x14ac:dyDescent="0.3">
      <c r="A55" t="s">
        <v>236</v>
      </c>
      <c r="B55" t="s">
        <v>195</v>
      </c>
      <c r="C55">
        <v>312</v>
      </c>
      <c r="D55" t="s">
        <v>283</v>
      </c>
      <c r="E55" t="s">
        <v>264</v>
      </c>
    </row>
    <row r="56" spans="1:5" x14ac:dyDescent="0.3">
      <c r="A56" t="s">
        <v>236</v>
      </c>
      <c r="B56" t="s">
        <v>195</v>
      </c>
      <c r="C56">
        <v>320</v>
      </c>
      <c r="D56" t="s">
        <v>279</v>
      </c>
      <c r="E56" t="s">
        <v>248</v>
      </c>
    </row>
    <row r="57" spans="1:5" x14ac:dyDescent="0.3">
      <c r="A57" t="s">
        <v>236</v>
      </c>
      <c r="B57" t="s">
        <v>195</v>
      </c>
      <c r="C57">
        <v>328</v>
      </c>
      <c r="D57" t="s">
        <v>364</v>
      </c>
      <c r="E57" t="s">
        <v>264</v>
      </c>
    </row>
    <row r="58" spans="1:5" x14ac:dyDescent="0.3">
      <c r="A58" t="s">
        <v>236</v>
      </c>
      <c r="B58" t="s">
        <v>195</v>
      </c>
      <c r="C58">
        <v>329</v>
      </c>
      <c r="D58" t="s">
        <v>275</v>
      </c>
      <c r="E58" t="s">
        <v>248</v>
      </c>
    </row>
    <row r="59" spans="1:5" x14ac:dyDescent="0.3">
      <c r="A59" t="s">
        <v>236</v>
      </c>
      <c r="B59" t="s">
        <v>195</v>
      </c>
      <c r="C59">
        <v>333</v>
      </c>
      <c r="D59" t="s">
        <v>271</v>
      </c>
      <c r="E59" t="s">
        <v>264</v>
      </c>
    </row>
    <row r="60" spans="1:5" x14ac:dyDescent="0.3">
      <c r="A60" t="s">
        <v>236</v>
      </c>
      <c r="B60" t="s">
        <v>195</v>
      </c>
      <c r="C60">
        <v>334</v>
      </c>
      <c r="D60" t="s">
        <v>363</v>
      </c>
      <c r="E60" t="s">
        <v>264</v>
      </c>
    </row>
    <row r="61" spans="1:5" x14ac:dyDescent="0.3">
      <c r="A61" t="s">
        <v>236</v>
      </c>
      <c r="B61" t="s">
        <v>195</v>
      </c>
      <c r="C61">
        <v>342</v>
      </c>
      <c r="D61" t="s">
        <v>266</v>
      </c>
      <c r="E61" t="s">
        <v>248</v>
      </c>
    </row>
    <row r="62" spans="1:5" x14ac:dyDescent="0.3">
      <c r="A62" t="s">
        <v>236</v>
      </c>
      <c r="B62" t="s">
        <v>195</v>
      </c>
      <c r="C62">
        <v>344</v>
      </c>
      <c r="D62" t="s">
        <v>265</v>
      </c>
      <c r="E62" t="s">
        <v>264</v>
      </c>
    </row>
    <row r="63" spans="1:5" x14ac:dyDescent="0.3">
      <c r="A63" t="s">
        <v>236</v>
      </c>
      <c r="B63" t="s">
        <v>195</v>
      </c>
      <c r="C63">
        <v>420</v>
      </c>
      <c r="D63" t="s">
        <v>339</v>
      </c>
      <c r="E63" t="s">
        <v>264</v>
      </c>
    </row>
    <row r="64" spans="1:5" x14ac:dyDescent="0.3">
      <c r="A64" t="s">
        <v>236</v>
      </c>
      <c r="B64" t="s">
        <v>247</v>
      </c>
      <c r="C64">
        <v>712</v>
      </c>
      <c r="D64" t="s">
        <v>254</v>
      </c>
      <c r="E64" t="s">
        <v>245</v>
      </c>
    </row>
    <row r="65" spans="1:5" x14ac:dyDescent="0.3">
      <c r="A65" t="s">
        <v>236</v>
      </c>
      <c r="B65" t="s">
        <v>247</v>
      </c>
      <c r="C65">
        <v>748</v>
      </c>
      <c r="D65" t="s">
        <v>365</v>
      </c>
      <c r="E65" t="s">
        <v>245</v>
      </c>
    </row>
    <row r="66" spans="1:5" x14ac:dyDescent="0.3">
      <c r="A66" t="s">
        <v>236</v>
      </c>
      <c r="B66" t="s">
        <v>247</v>
      </c>
      <c r="C66">
        <v>749</v>
      </c>
      <c r="D66" t="s">
        <v>246</v>
      </c>
      <c r="E66" t="s">
        <v>245</v>
      </c>
    </row>
    <row r="67" spans="1:5" x14ac:dyDescent="0.3">
      <c r="A67" t="s">
        <v>229</v>
      </c>
      <c r="B67" t="s">
        <v>195</v>
      </c>
      <c r="C67">
        <v>327</v>
      </c>
      <c r="D67" t="s">
        <v>276</v>
      </c>
      <c r="E67" t="s">
        <v>248</v>
      </c>
    </row>
    <row r="68" spans="1:5" x14ac:dyDescent="0.3">
      <c r="A68" t="s">
        <v>229</v>
      </c>
      <c r="B68" t="s">
        <v>247</v>
      </c>
      <c r="C68">
        <v>728</v>
      </c>
      <c r="D68" t="s">
        <v>253</v>
      </c>
      <c r="E68" t="s">
        <v>245</v>
      </c>
    </row>
    <row r="69" spans="1:5" x14ac:dyDescent="0.3">
      <c r="A69" t="s">
        <v>229</v>
      </c>
      <c r="B69" t="s">
        <v>247</v>
      </c>
      <c r="C69">
        <v>729</v>
      </c>
      <c r="D69" t="s">
        <v>292</v>
      </c>
      <c r="E69" t="s">
        <v>245</v>
      </c>
    </row>
    <row r="70" spans="1:5" x14ac:dyDescent="0.3">
      <c r="A70" t="s">
        <v>229</v>
      </c>
      <c r="B70" t="s">
        <v>247</v>
      </c>
      <c r="C70">
        <v>739</v>
      </c>
      <c r="D70" t="s">
        <v>252</v>
      </c>
      <c r="E70" t="s">
        <v>245</v>
      </c>
    </row>
    <row r="71" spans="1:5" x14ac:dyDescent="0.3">
      <c r="A71" t="s">
        <v>229</v>
      </c>
      <c r="B71" t="s">
        <v>247</v>
      </c>
      <c r="C71">
        <v>740</v>
      </c>
      <c r="D71" t="s">
        <v>251</v>
      </c>
      <c r="E71" t="s">
        <v>245</v>
      </c>
    </row>
    <row r="72" spans="1:5" x14ac:dyDescent="0.3">
      <c r="A72" t="s">
        <v>229</v>
      </c>
      <c r="B72" t="s">
        <v>320</v>
      </c>
      <c r="C72">
        <v>105</v>
      </c>
      <c r="D72" t="s">
        <v>361</v>
      </c>
      <c r="E72" t="s">
        <v>248</v>
      </c>
    </row>
    <row r="73" spans="1:5" x14ac:dyDescent="0.3">
      <c r="A73" t="s">
        <v>229</v>
      </c>
      <c r="B73" t="s">
        <v>320</v>
      </c>
      <c r="C73">
        <v>106</v>
      </c>
      <c r="D73" t="s">
        <v>360</v>
      </c>
      <c r="E73" t="s">
        <v>248</v>
      </c>
    </row>
    <row r="74" spans="1:5" x14ac:dyDescent="0.3">
      <c r="A74" t="s">
        <v>229</v>
      </c>
      <c r="B74" t="s">
        <v>320</v>
      </c>
      <c r="C74">
        <v>107</v>
      </c>
      <c r="D74" t="s">
        <v>322</v>
      </c>
      <c r="E74" t="s">
        <v>248</v>
      </c>
    </row>
    <row r="75" spans="1:5" x14ac:dyDescent="0.3">
      <c r="A75" t="s">
        <v>229</v>
      </c>
      <c r="B75" t="s">
        <v>320</v>
      </c>
      <c r="C75">
        <v>108</v>
      </c>
      <c r="D75" t="s">
        <v>359</v>
      </c>
      <c r="E75" t="s">
        <v>290</v>
      </c>
    </row>
    <row r="76" spans="1:5" x14ac:dyDescent="0.3">
      <c r="A76" t="s">
        <v>229</v>
      </c>
      <c r="B76" t="s">
        <v>320</v>
      </c>
      <c r="C76">
        <v>109</v>
      </c>
      <c r="D76" t="s">
        <v>358</v>
      </c>
      <c r="E76" t="s">
        <v>290</v>
      </c>
    </row>
    <row r="77" spans="1:5" x14ac:dyDescent="0.3">
      <c r="A77" t="s">
        <v>229</v>
      </c>
      <c r="B77" t="s">
        <v>320</v>
      </c>
      <c r="C77">
        <v>110</v>
      </c>
      <c r="D77" t="s">
        <v>321</v>
      </c>
      <c r="E77" t="s">
        <v>290</v>
      </c>
    </row>
    <row r="78" spans="1:5" x14ac:dyDescent="0.3">
      <c r="A78" t="s">
        <v>229</v>
      </c>
      <c r="B78" t="s">
        <v>320</v>
      </c>
      <c r="C78">
        <v>120</v>
      </c>
      <c r="D78" t="s">
        <v>357</v>
      </c>
      <c r="E78" t="s">
        <v>264</v>
      </c>
    </row>
    <row r="79" spans="1:5" x14ac:dyDescent="0.3">
      <c r="A79" t="s">
        <v>229</v>
      </c>
      <c r="B79" t="s">
        <v>320</v>
      </c>
      <c r="C79">
        <v>129</v>
      </c>
      <c r="D79" t="s">
        <v>319</v>
      </c>
      <c r="E79" t="s">
        <v>290</v>
      </c>
    </row>
    <row r="80" spans="1:5" x14ac:dyDescent="0.3">
      <c r="A80" t="s">
        <v>229</v>
      </c>
      <c r="B80" t="s">
        <v>320</v>
      </c>
      <c r="C80">
        <v>130</v>
      </c>
      <c r="D80" t="s">
        <v>356</v>
      </c>
      <c r="E80" t="s">
        <v>290</v>
      </c>
    </row>
    <row r="81" spans="1:5" x14ac:dyDescent="0.3">
      <c r="A81" t="s">
        <v>229</v>
      </c>
      <c r="B81" t="s">
        <v>320</v>
      </c>
      <c r="C81">
        <v>134</v>
      </c>
      <c r="D81" t="s">
        <v>362</v>
      </c>
      <c r="E81" t="s">
        <v>264</v>
      </c>
    </row>
    <row r="82" spans="1:5" x14ac:dyDescent="0.3">
      <c r="A82" t="s">
        <v>229</v>
      </c>
      <c r="B82" t="s">
        <v>305</v>
      </c>
      <c r="C82">
        <v>201</v>
      </c>
      <c r="D82" t="s">
        <v>318</v>
      </c>
      <c r="E82" t="s">
        <v>290</v>
      </c>
    </row>
    <row r="83" spans="1:5" x14ac:dyDescent="0.3">
      <c r="A83" t="s">
        <v>229</v>
      </c>
      <c r="B83" t="s">
        <v>305</v>
      </c>
      <c r="C83">
        <v>202</v>
      </c>
      <c r="D83" t="s">
        <v>354</v>
      </c>
      <c r="E83" t="s">
        <v>290</v>
      </c>
    </row>
    <row r="84" spans="1:5" x14ac:dyDescent="0.3">
      <c r="A84" t="s">
        <v>229</v>
      </c>
      <c r="B84" t="s">
        <v>305</v>
      </c>
      <c r="C84">
        <v>203</v>
      </c>
      <c r="D84" t="s">
        <v>303</v>
      </c>
      <c r="E84" t="s">
        <v>248</v>
      </c>
    </row>
    <row r="85" spans="1:5" x14ac:dyDescent="0.3">
      <c r="A85" t="s">
        <v>229</v>
      </c>
      <c r="B85" t="s">
        <v>305</v>
      </c>
      <c r="C85">
        <v>204</v>
      </c>
      <c r="D85" t="s">
        <v>317</v>
      </c>
      <c r="E85" t="s">
        <v>248</v>
      </c>
    </row>
    <row r="86" spans="1:5" x14ac:dyDescent="0.3">
      <c r="A86" t="s">
        <v>229</v>
      </c>
      <c r="B86" t="s">
        <v>305</v>
      </c>
      <c r="C86">
        <v>205</v>
      </c>
      <c r="D86" t="s">
        <v>316</v>
      </c>
      <c r="E86" t="s">
        <v>248</v>
      </c>
    </row>
    <row r="87" spans="1:5" x14ac:dyDescent="0.3">
      <c r="A87" t="s">
        <v>229</v>
      </c>
      <c r="B87" t="s">
        <v>305</v>
      </c>
      <c r="C87">
        <v>207</v>
      </c>
      <c r="D87" t="s">
        <v>315</v>
      </c>
      <c r="E87" t="s">
        <v>290</v>
      </c>
    </row>
    <row r="88" spans="1:5" x14ac:dyDescent="0.3">
      <c r="A88" t="s">
        <v>229</v>
      </c>
      <c r="B88" t="s">
        <v>305</v>
      </c>
      <c r="C88">
        <v>209</v>
      </c>
      <c r="D88" t="s">
        <v>313</v>
      </c>
      <c r="E88" t="s">
        <v>248</v>
      </c>
    </row>
    <row r="89" spans="1:5" x14ac:dyDescent="0.3">
      <c r="A89" t="s">
        <v>229</v>
      </c>
      <c r="B89" t="s">
        <v>305</v>
      </c>
      <c r="C89">
        <v>210</v>
      </c>
      <c r="D89" t="s">
        <v>300</v>
      </c>
      <c r="E89" t="s">
        <v>290</v>
      </c>
    </row>
    <row r="90" spans="1:5" x14ac:dyDescent="0.3">
      <c r="A90" t="s">
        <v>229</v>
      </c>
      <c r="B90" t="s">
        <v>305</v>
      </c>
      <c r="C90">
        <v>212</v>
      </c>
      <c r="D90" t="s">
        <v>353</v>
      </c>
      <c r="E90" t="s">
        <v>248</v>
      </c>
    </row>
    <row r="91" spans="1:5" x14ac:dyDescent="0.3">
      <c r="A91" t="s">
        <v>229</v>
      </c>
      <c r="B91" t="s">
        <v>305</v>
      </c>
      <c r="C91">
        <v>214</v>
      </c>
      <c r="D91" t="s">
        <v>312</v>
      </c>
      <c r="E91" t="s">
        <v>290</v>
      </c>
    </row>
    <row r="92" spans="1:5" x14ac:dyDescent="0.3">
      <c r="A92" t="s">
        <v>229</v>
      </c>
      <c r="B92" t="s">
        <v>305</v>
      </c>
      <c r="C92">
        <v>215</v>
      </c>
      <c r="D92" t="s">
        <v>311</v>
      </c>
      <c r="E92" t="s">
        <v>290</v>
      </c>
    </row>
    <row r="93" spans="1:5" x14ac:dyDescent="0.3">
      <c r="A93" t="s">
        <v>229</v>
      </c>
      <c r="B93" t="s">
        <v>305</v>
      </c>
      <c r="C93">
        <v>217</v>
      </c>
      <c r="D93" t="s">
        <v>310</v>
      </c>
      <c r="E93" t="s">
        <v>290</v>
      </c>
    </row>
    <row r="94" spans="1:5" x14ac:dyDescent="0.3">
      <c r="A94" t="s">
        <v>229</v>
      </c>
      <c r="B94" t="s">
        <v>305</v>
      </c>
      <c r="C94">
        <v>231</v>
      </c>
      <c r="D94" t="s">
        <v>309</v>
      </c>
      <c r="E94" t="s">
        <v>290</v>
      </c>
    </row>
    <row r="95" spans="1:5" x14ac:dyDescent="0.3">
      <c r="A95" t="s">
        <v>229</v>
      </c>
      <c r="B95" t="s">
        <v>305</v>
      </c>
      <c r="C95">
        <v>232</v>
      </c>
      <c r="D95" t="s">
        <v>350</v>
      </c>
      <c r="E95" t="s">
        <v>290</v>
      </c>
    </row>
    <row r="96" spans="1:5" x14ac:dyDescent="0.3">
      <c r="A96" t="s">
        <v>229</v>
      </c>
      <c r="B96" t="s">
        <v>305</v>
      </c>
      <c r="C96">
        <v>233</v>
      </c>
      <c r="D96" t="s">
        <v>349</v>
      </c>
      <c r="E96" t="s">
        <v>290</v>
      </c>
    </row>
    <row r="97" spans="1:5" x14ac:dyDescent="0.3">
      <c r="A97" t="s">
        <v>229</v>
      </c>
      <c r="B97" t="s">
        <v>305</v>
      </c>
      <c r="C97">
        <v>234</v>
      </c>
      <c r="D97" t="s">
        <v>308</v>
      </c>
      <c r="E97" t="s">
        <v>290</v>
      </c>
    </row>
    <row r="98" spans="1:5" x14ac:dyDescent="0.3">
      <c r="A98" t="s">
        <v>229</v>
      </c>
      <c r="B98" t="s">
        <v>305</v>
      </c>
      <c r="C98">
        <v>235</v>
      </c>
      <c r="D98" t="s">
        <v>307</v>
      </c>
      <c r="E98" t="s">
        <v>290</v>
      </c>
    </row>
    <row r="99" spans="1:5" x14ac:dyDescent="0.3">
      <c r="A99" t="s">
        <v>229</v>
      </c>
      <c r="B99" t="s">
        <v>305</v>
      </c>
      <c r="C99">
        <v>237</v>
      </c>
      <c r="D99" t="s">
        <v>306</v>
      </c>
      <c r="E99" t="s">
        <v>290</v>
      </c>
    </row>
    <row r="100" spans="1:5" x14ac:dyDescent="0.3">
      <c r="A100" t="s">
        <v>229</v>
      </c>
      <c r="B100" t="s">
        <v>305</v>
      </c>
      <c r="C100">
        <v>245</v>
      </c>
      <c r="D100" t="s">
        <v>256</v>
      </c>
      <c r="E100" t="s">
        <v>290</v>
      </c>
    </row>
    <row r="101" spans="1:5" x14ac:dyDescent="0.3">
      <c r="A101" t="s">
        <v>229</v>
      </c>
      <c r="B101" t="s">
        <v>195</v>
      </c>
      <c r="C101">
        <v>301</v>
      </c>
      <c r="D101" t="s">
        <v>304</v>
      </c>
      <c r="E101" t="s">
        <v>248</v>
      </c>
    </row>
    <row r="102" spans="1:5" x14ac:dyDescent="0.3">
      <c r="A102" t="s">
        <v>229</v>
      </c>
      <c r="B102" t="s">
        <v>195</v>
      </c>
      <c r="C102">
        <v>306</v>
      </c>
      <c r="D102" t="s">
        <v>353</v>
      </c>
      <c r="E102" t="s">
        <v>248</v>
      </c>
    </row>
    <row r="103" spans="1:5" x14ac:dyDescent="0.3">
      <c r="A103" t="s">
        <v>229</v>
      </c>
      <c r="B103" t="s">
        <v>195</v>
      </c>
      <c r="C103">
        <v>308</v>
      </c>
      <c r="D103" t="s">
        <v>286</v>
      </c>
      <c r="E103" t="s">
        <v>248</v>
      </c>
    </row>
    <row r="104" spans="1:5" x14ac:dyDescent="0.3">
      <c r="A104" t="s">
        <v>229</v>
      </c>
      <c r="B104" t="s">
        <v>195</v>
      </c>
      <c r="C104">
        <v>316</v>
      </c>
      <c r="D104" t="s">
        <v>282</v>
      </c>
      <c r="E104" t="s">
        <v>248</v>
      </c>
    </row>
    <row r="105" spans="1:5" x14ac:dyDescent="0.3">
      <c r="A105" t="s">
        <v>229</v>
      </c>
      <c r="B105" t="s">
        <v>195</v>
      </c>
      <c r="C105">
        <v>320</v>
      </c>
      <c r="D105" t="s">
        <v>279</v>
      </c>
      <c r="E105" t="s">
        <v>248</v>
      </c>
    </row>
    <row r="106" spans="1:5" x14ac:dyDescent="0.3">
      <c r="A106" t="s">
        <v>229</v>
      </c>
      <c r="B106" t="s">
        <v>195</v>
      </c>
      <c r="C106">
        <v>327</v>
      </c>
      <c r="D106" t="s">
        <v>276</v>
      </c>
      <c r="E106" t="s">
        <v>248</v>
      </c>
    </row>
    <row r="107" spans="1:5" x14ac:dyDescent="0.3">
      <c r="A107" t="s">
        <v>229</v>
      </c>
      <c r="B107" t="s">
        <v>195</v>
      </c>
      <c r="C107">
        <v>329</v>
      </c>
      <c r="D107" t="s">
        <v>275</v>
      </c>
      <c r="E107" t="s">
        <v>248</v>
      </c>
    </row>
    <row r="108" spans="1:5" x14ac:dyDescent="0.3">
      <c r="A108" t="s">
        <v>229</v>
      </c>
      <c r="B108" t="s">
        <v>195</v>
      </c>
      <c r="C108">
        <v>331</v>
      </c>
      <c r="D108" t="s">
        <v>273</v>
      </c>
      <c r="E108" t="s">
        <v>248</v>
      </c>
    </row>
    <row r="109" spans="1:5" x14ac:dyDescent="0.3">
      <c r="A109" t="s">
        <v>229</v>
      </c>
      <c r="B109" t="s">
        <v>195</v>
      </c>
      <c r="C109">
        <v>332</v>
      </c>
      <c r="D109" t="s">
        <v>272</v>
      </c>
      <c r="E109" t="s">
        <v>248</v>
      </c>
    </row>
    <row r="110" spans="1:5" x14ac:dyDescent="0.3">
      <c r="A110" t="s">
        <v>229</v>
      </c>
      <c r="B110" t="s">
        <v>195</v>
      </c>
      <c r="C110">
        <v>333</v>
      </c>
      <c r="D110" t="s">
        <v>271</v>
      </c>
      <c r="E110" t="s">
        <v>264</v>
      </c>
    </row>
    <row r="111" spans="1:5" x14ac:dyDescent="0.3">
      <c r="A111" t="s">
        <v>229</v>
      </c>
      <c r="B111" t="s">
        <v>195</v>
      </c>
      <c r="C111">
        <v>339</v>
      </c>
      <c r="D111" t="s">
        <v>268</v>
      </c>
      <c r="E111" t="s">
        <v>248</v>
      </c>
    </row>
    <row r="112" spans="1:5" x14ac:dyDescent="0.3">
      <c r="A112" t="s">
        <v>229</v>
      </c>
      <c r="B112" t="s">
        <v>195</v>
      </c>
      <c r="C112">
        <v>340</v>
      </c>
      <c r="D112" t="s">
        <v>267</v>
      </c>
      <c r="E112" t="s">
        <v>248</v>
      </c>
    </row>
    <row r="113" spans="1:5" x14ac:dyDescent="0.3">
      <c r="A113" t="s">
        <v>229</v>
      </c>
      <c r="B113" t="s">
        <v>195</v>
      </c>
      <c r="C113">
        <v>348</v>
      </c>
      <c r="D113" t="s">
        <v>262</v>
      </c>
      <c r="E113" t="s">
        <v>248</v>
      </c>
    </row>
    <row r="114" spans="1:5" x14ac:dyDescent="0.3">
      <c r="A114" t="s">
        <v>229</v>
      </c>
      <c r="B114" t="s">
        <v>195</v>
      </c>
      <c r="C114">
        <v>373</v>
      </c>
      <c r="D114" t="s">
        <v>300</v>
      </c>
      <c r="E114" t="s">
        <v>248</v>
      </c>
    </row>
    <row r="115" spans="1:5" x14ac:dyDescent="0.3">
      <c r="A115" t="s">
        <v>229</v>
      </c>
      <c r="B115" t="s">
        <v>195</v>
      </c>
      <c r="C115">
        <v>383</v>
      </c>
      <c r="D115" t="s">
        <v>337</v>
      </c>
      <c r="E115" t="s">
        <v>248</v>
      </c>
    </row>
    <row r="116" spans="1:5" x14ac:dyDescent="0.3">
      <c r="A116" t="s">
        <v>229</v>
      </c>
      <c r="B116" t="s">
        <v>247</v>
      </c>
      <c r="C116">
        <v>706</v>
      </c>
      <c r="D116" t="s">
        <v>294</v>
      </c>
      <c r="E116" t="s">
        <v>245</v>
      </c>
    </row>
    <row r="117" spans="1:5" x14ac:dyDescent="0.3">
      <c r="A117" t="s">
        <v>229</v>
      </c>
      <c r="B117" t="s">
        <v>247</v>
      </c>
      <c r="C117">
        <v>714</v>
      </c>
      <c r="D117" t="s">
        <v>293</v>
      </c>
      <c r="E117" t="s">
        <v>290</v>
      </c>
    </row>
    <row r="118" spans="1:5" x14ac:dyDescent="0.3">
      <c r="A118" t="s">
        <v>229</v>
      </c>
      <c r="B118" t="s">
        <v>247</v>
      </c>
      <c r="C118">
        <v>715</v>
      </c>
      <c r="D118" t="s">
        <v>337</v>
      </c>
      <c r="E118" t="s">
        <v>290</v>
      </c>
    </row>
    <row r="119" spans="1:5" x14ac:dyDescent="0.3">
      <c r="A119" t="s">
        <v>229</v>
      </c>
      <c r="B119" t="s">
        <v>247</v>
      </c>
      <c r="C119">
        <v>717</v>
      </c>
      <c r="D119" t="s">
        <v>336</v>
      </c>
      <c r="E119" t="s">
        <v>245</v>
      </c>
    </row>
    <row r="120" spans="1:5" x14ac:dyDescent="0.3">
      <c r="A120" t="s">
        <v>229</v>
      </c>
      <c r="B120" t="s">
        <v>247</v>
      </c>
      <c r="C120">
        <v>731</v>
      </c>
      <c r="D120" t="s">
        <v>335</v>
      </c>
      <c r="E120" t="s">
        <v>245</v>
      </c>
    </row>
    <row r="121" spans="1:5" x14ac:dyDescent="0.3">
      <c r="A121" t="s">
        <v>229</v>
      </c>
      <c r="B121" t="s">
        <v>247</v>
      </c>
      <c r="C121">
        <v>739</v>
      </c>
      <c r="D121" t="s">
        <v>252</v>
      </c>
      <c r="E121" t="s">
        <v>245</v>
      </c>
    </row>
    <row r="122" spans="1:5" x14ac:dyDescent="0.3">
      <c r="A122" t="s">
        <v>229</v>
      </c>
      <c r="B122" t="s">
        <v>247</v>
      </c>
      <c r="C122">
        <v>744</v>
      </c>
      <c r="D122" t="s">
        <v>291</v>
      </c>
      <c r="E122" t="s">
        <v>290</v>
      </c>
    </row>
    <row r="123" spans="1:5" x14ac:dyDescent="0.3">
      <c r="A123" t="s">
        <v>229</v>
      </c>
      <c r="B123" t="s">
        <v>247</v>
      </c>
      <c r="C123">
        <v>745</v>
      </c>
      <c r="D123" t="s">
        <v>249</v>
      </c>
      <c r="E123" t="s">
        <v>248</v>
      </c>
    </row>
    <row r="124" spans="1:5" x14ac:dyDescent="0.3">
      <c r="A124" t="s">
        <v>229</v>
      </c>
      <c r="B124" t="s">
        <v>247</v>
      </c>
      <c r="C124">
        <v>746</v>
      </c>
      <c r="D124" t="s">
        <v>289</v>
      </c>
      <c r="E124" t="s">
        <v>245</v>
      </c>
    </row>
    <row r="125" spans="1:5" x14ac:dyDescent="0.3">
      <c r="A125" t="s">
        <v>229</v>
      </c>
      <c r="B125" t="s">
        <v>247</v>
      </c>
      <c r="C125">
        <v>747</v>
      </c>
      <c r="D125" t="s">
        <v>288</v>
      </c>
      <c r="E125" t="s">
        <v>248</v>
      </c>
    </row>
    <row r="126" spans="1:5" x14ac:dyDescent="0.3">
      <c r="A126" t="s">
        <v>229</v>
      </c>
      <c r="B126" t="s">
        <v>328</v>
      </c>
      <c r="C126">
        <v>1101</v>
      </c>
      <c r="D126" t="s">
        <v>331</v>
      </c>
      <c r="E126" t="s">
        <v>290</v>
      </c>
    </row>
    <row r="127" spans="1:5" x14ac:dyDescent="0.3">
      <c r="A127" t="s">
        <v>229</v>
      </c>
      <c r="B127" t="s">
        <v>328</v>
      </c>
      <c r="C127">
        <v>1102</v>
      </c>
      <c r="D127" t="s">
        <v>330</v>
      </c>
      <c r="E127" t="s">
        <v>290</v>
      </c>
    </row>
    <row r="128" spans="1:5" x14ac:dyDescent="0.3">
      <c r="A128" t="s">
        <v>229</v>
      </c>
      <c r="B128" t="s">
        <v>195</v>
      </c>
      <c r="C128">
        <v>302</v>
      </c>
      <c r="D128" t="s">
        <v>287</v>
      </c>
      <c r="E128" t="s">
        <v>248</v>
      </c>
    </row>
    <row r="129" spans="1:5" x14ac:dyDescent="0.3">
      <c r="A129" t="s">
        <v>229</v>
      </c>
      <c r="B129" t="s">
        <v>195</v>
      </c>
      <c r="C129">
        <v>303</v>
      </c>
      <c r="D129" t="s">
        <v>354</v>
      </c>
      <c r="E129" t="s">
        <v>248</v>
      </c>
    </row>
    <row r="130" spans="1:5" x14ac:dyDescent="0.3">
      <c r="A130" t="s">
        <v>229</v>
      </c>
      <c r="B130" t="s">
        <v>195</v>
      </c>
      <c r="C130">
        <v>304</v>
      </c>
      <c r="D130" t="s">
        <v>303</v>
      </c>
      <c r="E130" t="s">
        <v>248</v>
      </c>
    </row>
    <row r="131" spans="1:5" x14ac:dyDescent="0.3">
      <c r="A131" t="s">
        <v>229</v>
      </c>
      <c r="B131" t="s">
        <v>195</v>
      </c>
      <c r="C131">
        <v>306</v>
      </c>
      <c r="D131" t="s">
        <v>353</v>
      </c>
      <c r="E131" t="s">
        <v>248</v>
      </c>
    </row>
    <row r="132" spans="1:5" x14ac:dyDescent="0.3">
      <c r="A132" t="s">
        <v>229</v>
      </c>
      <c r="B132" t="s">
        <v>195</v>
      </c>
      <c r="C132">
        <v>308</v>
      </c>
      <c r="D132" t="s">
        <v>286</v>
      </c>
      <c r="E132" t="s">
        <v>248</v>
      </c>
    </row>
    <row r="133" spans="1:5" x14ac:dyDescent="0.3">
      <c r="A133" t="s">
        <v>229</v>
      </c>
      <c r="B133" t="s">
        <v>195</v>
      </c>
      <c r="C133">
        <v>309</v>
      </c>
      <c r="D133" t="s">
        <v>285</v>
      </c>
      <c r="E133" t="s">
        <v>248</v>
      </c>
    </row>
    <row r="134" spans="1:5" x14ac:dyDescent="0.3">
      <c r="A134" t="s">
        <v>229</v>
      </c>
      <c r="B134" t="s">
        <v>195</v>
      </c>
      <c r="C134">
        <v>310</v>
      </c>
      <c r="D134" t="s">
        <v>284</v>
      </c>
      <c r="E134" t="s">
        <v>248</v>
      </c>
    </row>
    <row r="135" spans="1:5" x14ac:dyDescent="0.3">
      <c r="A135" t="s">
        <v>229</v>
      </c>
      <c r="B135" t="s">
        <v>195</v>
      </c>
      <c r="C135">
        <v>312</v>
      </c>
      <c r="D135" t="s">
        <v>283</v>
      </c>
      <c r="E135" t="s">
        <v>264</v>
      </c>
    </row>
    <row r="136" spans="1:5" x14ac:dyDescent="0.3">
      <c r="A136" t="s">
        <v>229</v>
      </c>
      <c r="B136" t="s">
        <v>195</v>
      </c>
      <c r="C136">
        <v>318</v>
      </c>
      <c r="D136" t="s">
        <v>280</v>
      </c>
      <c r="E136" t="s">
        <v>248</v>
      </c>
    </row>
    <row r="137" spans="1:5" x14ac:dyDescent="0.3">
      <c r="A137" t="s">
        <v>229</v>
      </c>
      <c r="B137" t="s">
        <v>195</v>
      </c>
      <c r="C137">
        <v>320</v>
      </c>
      <c r="D137" t="s">
        <v>279</v>
      </c>
      <c r="E137" t="s">
        <v>248</v>
      </c>
    </row>
    <row r="138" spans="1:5" x14ac:dyDescent="0.3">
      <c r="A138" t="s">
        <v>229</v>
      </c>
      <c r="B138" t="s">
        <v>195</v>
      </c>
      <c r="C138">
        <v>323</v>
      </c>
      <c r="D138" t="s">
        <v>302</v>
      </c>
      <c r="E138" t="s">
        <v>248</v>
      </c>
    </row>
    <row r="139" spans="1:5" x14ac:dyDescent="0.3">
      <c r="A139" t="s">
        <v>229</v>
      </c>
      <c r="B139" t="s">
        <v>195</v>
      </c>
      <c r="C139">
        <v>329</v>
      </c>
      <c r="D139" t="s">
        <v>275</v>
      </c>
      <c r="E139" t="s">
        <v>248</v>
      </c>
    </row>
    <row r="140" spans="1:5" x14ac:dyDescent="0.3">
      <c r="A140" t="s">
        <v>229</v>
      </c>
      <c r="B140" t="s">
        <v>195</v>
      </c>
      <c r="C140">
        <v>330</v>
      </c>
      <c r="D140" t="s">
        <v>274</v>
      </c>
      <c r="E140" t="s">
        <v>248</v>
      </c>
    </row>
    <row r="141" spans="1:5" x14ac:dyDescent="0.3">
      <c r="A141" t="s">
        <v>229</v>
      </c>
      <c r="B141" t="s">
        <v>195</v>
      </c>
      <c r="C141">
        <v>331</v>
      </c>
      <c r="D141" t="s">
        <v>273</v>
      </c>
      <c r="E141" t="s">
        <v>248</v>
      </c>
    </row>
    <row r="142" spans="1:5" x14ac:dyDescent="0.3">
      <c r="A142" t="s">
        <v>229</v>
      </c>
      <c r="B142" t="s">
        <v>195</v>
      </c>
      <c r="C142">
        <v>332</v>
      </c>
      <c r="D142" t="s">
        <v>272</v>
      </c>
      <c r="E142" t="s">
        <v>248</v>
      </c>
    </row>
    <row r="143" spans="1:5" x14ac:dyDescent="0.3">
      <c r="A143" t="s">
        <v>229</v>
      </c>
      <c r="B143" t="s">
        <v>195</v>
      </c>
      <c r="C143">
        <v>333</v>
      </c>
      <c r="D143" t="s">
        <v>271</v>
      </c>
      <c r="E143" t="s">
        <v>264</v>
      </c>
    </row>
    <row r="144" spans="1:5" x14ac:dyDescent="0.3">
      <c r="A144" t="s">
        <v>229</v>
      </c>
      <c r="B144" t="s">
        <v>195</v>
      </c>
      <c r="C144">
        <v>339</v>
      </c>
      <c r="D144" t="s">
        <v>268</v>
      </c>
      <c r="E144" t="s">
        <v>248</v>
      </c>
    </row>
    <row r="145" spans="1:5" x14ac:dyDescent="0.3">
      <c r="A145" t="s">
        <v>229</v>
      </c>
      <c r="B145" t="s">
        <v>195</v>
      </c>
      <c r="C145">
        <v>340</v>
      </c>
      <c r="D145" t="s">
        <v>267</v>
      </c>
      <c r="E145" t="s">
        <v>248</v>
      </c>
    </row>
    <row r="146" spans="1:5" x14ac:dyDescent="0.3">
      <c r="A146" t="s">
        <v>229</v>
      </c>
      <c r="B146" t="s">
        <v>195</v>
      </c>
      <c r="C146">
        <v>344</v>
      </c>
      <c r="D146" t="s">
        <v>265</v>
      </c>
      <c r="E146" t="s">
        <v>264</v>
      </c>
    </row>
    <row r="147" spans="1:5" x14ac:dyDescent="0.3">
      <c r="A147" t="s">
        <v>229</v>
      </c>
      <c r="B147" t="s">
        <v>195</v>
      </c>
      <c r="C147">
        <v>345</v>
      </c>
      <c r="D147" t="s">
        <v>263</v>
      </c>
      <c r="E147" t="s">
        <v>248</v>
      </c>
    </row>
    <row r="148" spans="1:5" x14ac:dyDescent="0.3">
      <c r="A148" t="s">
        <v>229</v>
      </c>
      <c r="B148" t="s">
        <v>195</v>
      </c>
      <c r="C148">
        <v>348</v>
      </c>
      <c r="D148" t="s">
        <v>262</v>
      </c>
      <c r="E148" t="s">
        <v>248</v>
      </c>
    </row>
    <row r="149" spans="1:5" x14ac:dyDescent="0.3">
      <c r="A149" t="s">
        <v>229</v>
      </c>
      <c r="B149" t="s">
        <v>195</v>
      </c>
      <c r="C149">
        <v>355</v>
      </c>
      <c r="D149" t="s">
        <v>261</v>
      </c>
      <c r="E149" t="s">
        <v>248</v>
      </c>
    </row>
    <row r="150" spans="1:5" x14ac:dyDescent="0.3">
      <c r="A150" t="s">
        <v>229</v>
      </c>
      <c r="B150" t="s">
        <v>195</v>
      </c>
      <c r="C150">
        <v>362</v>
      </c>
      <c r="D150" t="s">
        <v>318</v>
      </c>
      <c r="E150" t="s">
        <v>248</v>
      </c>
    </row>
    <row r="151" spans="1:5" x14ac:dyDescent="0.3">
      <c r="A151" t="s">
        <v>229</v>
      </c>
      <c r="B151" t="s">
        <v>195</v>
      </c>
      <c r="C151">
        <v>363</v>
      </c>
      <c r="D151" t="s">
        <v>259</v>
      </c>
      <c r="E151" t="s">
        <v>248</v>
      </c>
    </row>
    <row r="152" spans="1:5" x14ac:dyDescent="0.3">
      <c r="A152" t="s">
        <v>229</v>
      </c>
      <c r="B152" t="s">
        <v>195</v>
      </c>
      <c r="C152">
        <v>364</v>
      </c>
      <c r="D152" t="s">
        <v>350</v>
      </c>
      <c r="E152" t="s">
        <v>248</v>
      </c>
    </row>
    <row r="153" spans="1:5" x14ac:dyDescent="0.3">
      <c r="A153" t="s">
        <v>229</v>
      </c>
      <c r="B153" t="s">
        <v>195</v>
      </c>
      <c r="C153">
        <v>365</v>
      </c>
      <c r="D153" t="s">
        <v>349</v>
      </c>
      <c r="E153" t="s">
        <v>248</v>
      </c>
    </row>
    <row r="154" spans="1:5" x14ac:dyDescent="0.3">
      <c r="A154" t="s">
        <v>229</v>
      </c>
      <c r="B154" t="s">
        <v>195</v>
      </c>
      <c r="C154">
        <v>366</v>
      </c>
      <c r="D154" t="s">
        <v>308</v>
      </c>
      <c r="E154" t="s">
        <v>248</v>
      </c>
    </row>
    <row r="155" spans="1:5" x14ac:dyDescent="0.3">
      <c r="A155" t="s">
        <v>229</v>
      </c>
      <c r="B155" t="s">
        <v>195</v>
      </c>
      <c r="C155">
        <v>367</v>
      </c>
      <c r="D155" t="s">
        <v>307</v>
      </c>
      <c r="E155" t="s">
        <v>248</v>
      </c>
    </row>
    <row r="156" spans="1:5" x14ac:dyDescent="0.3">
      <c r="A156" t="s">
        <v>229</v>
      </c>
      <c r="B156" t="s">
        <v>195</v>
      </c>
      <c r="C156">
        <v>368</v>
      </c>
      <c r="D156" t="s">
        <v>348</v>
      </c>
      <c r="E156" t="s">
        <v>248</v>
      </c>
    </row>
    <row r="157" spans="1:5" x14ac:dyDescent="0.3">
      <c r="A157" t="s">
        <v>229</v>
      </c>
      <c r="B157" t="s">
        <v>195</v>
      </c>
      <c r="C157">
        <v>369</v>
      </c>
      <c r="D157" t="s">
        <v>258</v>
      </c>
      <c r="E157" t="s">
        <v>248</v>
      </c>
    </row>
    <row r="158" spans="1:5" x14ac:dyDescent="0.3">
      <c r="A158" t="s">
        <v>229</v>
      </c>
      <c r="B158" t="s">
        <v>195</v>
      </c>
      <c r="C158">
        <v>370</v>
      </c>
      <c r="D158" t="s">
        <v>306</v>
      </c>
      <c r="E158" t="s">
        <v>248</v>
      </c>
    </row>
    <row r="159" spans="1:5" x14ac:dyDescent="0.3">
      <c r="A159" t="s">
        <v>229</v>
      </c>
      <c r="B159" t="s">
        <v>195</v>
      </c>
      <c r="C159">
        <v>372</v>
      </c>
      <c r="D159" t="s">
        <v>257</v>
      </c>
      <c r="E159" t="s">
        <v>248</v>
      </c>
    </row>
    <row r="160" spans="1:5" x14ac:dyDescent="0.3">
      <c r="A160" t="s">
        <v>229</v>
      </c>
      <c r="B160" t="s">
        <v>195</v>
      </c>
      <c r="C160">
        <v>375</v>
      </c>
      <c r="D160" t="s">
        <v>299</v>
      </c>
      <c r="E160" t="s">
        <v>248</v>
      </c>
    </row>
    <row r="161" spans="1:5" x14ac:dyDescent="0.3">
      <c r="A161" t="s">
        <v>229</v>
      </c>
      <c r="B161" t="s">
        <v>195</v>
      </c>
      <c r="C161">
        <v>377</v>
      </c>
      <c r="D161" t="s">
        <v>298</v>
      </c>
      <c r="E161" t="s">
        <v>248</v>
      </c>
    </row>
    <row r="162" spans="1:5" x14ac:dyDescent="0.3">
      <c r="A162" t="s">
        <v>229</v>
      </c>
      <c r="B162" t="s">
        <v>195</v>
      </c>
      <c r="C162">
        <v>379</v>
      </c>
      <c r="D162" t="s">
        <v>297</v>
      </c>
      <c r="E162" t="s">
        <v>248</v>
      </c>
    </row>
    <row r="163" spans="1:5" x14ac:dyDescent="0.3">
      <c r="A163" t="s">
        <v>229</v>
      </c>
      <c r="B163" t="s">
        <v>195</v>
      </c>
      <c r="C163">
        <v>387</v>
      </c>
      <c r="D163" t="s">
        <v>256</v>
      </c>
      <c r="E163" t="s">
        <v>248</v>
      </c>
    </row>
    <row r="164" spans="1:5" x14ac:dyDescent="0.3">
      <c r="A164" t="s">
        <v>229</v>
      </c>
      <c r="B164" t="s">
        <v>195</v>
      </c>
      <c r="C164">
        <v>393</v>
      </c>
      <c r="D164" t="s">
        <v>296</v>
      </c>
      <c r="E164" t="s">
        <v>248</v>
      </c>
    </row>
    <row r="165" spans="1:5" x14ac:dyDescent="0.3">
      <c r="A165" t="s">
        <v>229</v>
      </c>
      <c r="B165" t="s">
        <v>195</v>
      </c>
      <c r="C165">
        <v>395</v>
      </c>
      <c r="D165" t="s">
        <v>343</v>
      </c>
      <c r="E165" t="s">
        <v>248</v>
      </c>
    </row>
    <row r="166" spans="1:5" x14ac:dyDescent="0.3">
      <c r="A166" t="s">
        <v>229</v>
      </c>
      <c r="B166" t="s">
        <v>195</v>
      </c>
      <c r="C166">
        <v>409</v>
      </c>
      <c r="D166" t="s">
        <v>341</v>
      </c>
      <c r="E166" t="s">
        <v>248</v>
      </c>
    </row>
    <row r="167" spans="1:5" x14ac:dyDescent="0.3">
      <c r="A167" t="s">
        <v>229</v>
      </c>
      <c r="B167" t="s">
        <v>195</v>
      </c>
      <c r="C167">
        <v>411</v>
      </c>
      <c r="D167" t="s">
        <v>316</v>
      </c>
      <c r="E167" t="s">
        <v>248</v>
      </c>
    </row>
    <row r="168" spans="1:5" x14ac:dyDescent="0.3">
      <c r="A168" t="s">
        <v>229</v>
      </c>
      <c r="B168" t="s">
        <v>247</v>
      </c>
      <c r="C168">
        <v>709</v>
      </c>
      <c r="D168" t="s">
        <v>323</v>
      </c>
      <c r="E168" t="s">
        <v>290</v>
      </c>
    </row>
    <row r="169" spans="1:5" x14ac:dyDescent="0.3">
      <c r="A169" t="s">
        <v>229</v>
      </c>
      <c r="B169" t="s">
        <v>195</v>
      </c>
      <c r="C169">
        <v>321</v>
      </c>
      <c r="D169" t="s">
        <v>326</v>
      </c>
      <c r="E169" t="s">
        <v>248</v>
      </c>
    </row>
    <row r="170" spans="1:5" x14ac:dyDescent="0.3">
      <c r="A170" t="s">
        <v>229</v>
      </c>
      <c r="B170" t="s">
        <v>195</v>
      </c>
      <c r="C170">
        <v>336</v>
      </c>
      <c r="D170" t="s">
        <v>301</v>
      </c>
      <c r="E170" t="s">
        <v>248</v>
      </c>
    </row>
    <row r="171" spans="1:5" x14ac:dyDescent="0.3">
      <c r="A171" t="s">
        <v>229</v>
      </c>
      <c r="B171" t="s">
        <v>195</v>
      </c>
      <c r="C171">
        <v>344</v>
      </c>
      <c r="D171" t="s">
        <v>265</v>
      </c>
      <c r="E171" t="s">
        <v>264</v>
      </c>
    </row>
    <row r="172" spans="1:5" x14ac:dyDescent="0.3">
      <c r="A172" t="s">
        <v>229</v>
      </c>
      <c r="B172" t="s">
        <v>195</v>
      </c>
      <c r="C172">
        <v>391</v>
      </c>
      <c r="D172" t="s">
        <v>344</v>
      </c>
      <c r="E172" t="s">
        <v>248</v>
      </c>
    </row>
    <row r="173" spans="1:5" x14ac:dyDescent="0.3">
      <c r="A173" t="s">
        <v>229</v>
      </c>
      <c r="B173" t="s">
        <v>195</v>
      </c>
      <c r="C173">
        <v>406</v>
      </c>
      <c r="D173" t="s">
        <v>295</v>
      </c>
      <c r="E173" t="s">
        <v>248</v>
      </c>
    </row>
    <row r="174" spans="1:5" x14ac:dyDescent="0.3">
      <c r="A174" t="s">
        <v>229</v>
      </c>
      <c r="B174" t="s">
        <v>195</v>
      </c>
      <c r="C174">
        <v>408</v>
      </c>
      <c r="D174" t="s">
        <v>338</v>
      </c>
      <c r="E174" t="s">
        <v>248</v>
      </c>
    </row>
    <row r="175" spans="1:5" x14ac:dyDescent="0.3">
      <c r="A175" t="s">
        <v>229</v>
      </c>
      <c r="B175" t="s">
        <v>247</v>
      </c>
      <c r="C175">
        <v>709</v>
      </c>
      <c r="D175" t="s">
        <v>323</v>
      </c>
      <c r="E175" t="s">
        <v>290</v>
      </c>
    </row>
    <row r="176" spans="1:5" x14ac:dyDescent="0.3">
      <c r="A176" t="s">
        <v>229</v>
      </c>
      <c r="B176" t="s">
        <v>247</v>
      </c>
      <c r="C176">
        <v>711</v>
      </c>
      <c r="D176" t="s">
        <v>338</v>
      </c>
      <c r="E176" t="s">
        <v>290</v>
      </c>
    </row>
    <row r="177" spans="1:5" x14ac:dyDescent="0.3">
      <c r="A177" t="s">
        <v>237</v>
      </c>
      <c r="B177" t="s">
        <v>195</v>
      </c>
      <c r="C177">
        <v>302</v>
      </c>
      <c r="D177" t="s">
        <v>287</v>
      </c>
      <c r="E177" t="s">
        <v>248</v>
      </c>
    </row>
    <row r="178" spans="1:5" x14ac:dyDescent="0.3">
      <c r="A178" t="s">
        <v>237</v>
      </c>
      <c r="B178" t="s">
        <v>195</v>
      </c>
      <c r="C178">
        <v>304</v>
      </c>
      <c r="D178" t="s">
        <v>303</v>
      </c>
      <c r="E178" t="s">
        <v>248</v>
      </c>
    </row>
    <row r="179" spans="1:5" x14ac:dyDescent="0.3">
      <c r="A179" t="s">
        <v>237</v>
      </c>
      <c r="B179" t="s">
        <v>195</v>
      </c>
      <c r="C179">
        <v>306</v>
      </c>
      <c r="D179" t="s">
        <v>353</v>
      </c>
      <c r="E179" t="s">
        <v>248</v>
      </c>
    </row>
    <row r="180" spans="1:5" x14ac:dyDescent="0.3">
      <c r="A180" t="s">
        <v>237</v>
      </c>
      <c r="B180" t="s">
        <v>195</v>
      </c>
      <c r="C180">
        <v>308</v>
      </c>
      <c r="D180" t="s">
        <v>286</v>
      </c>
      <c r="E180" t="s">
        <v>248</v>
      </c>
    </row>
    <row r="181" spans="1:5" x14ac:dyDescent="0.3">
      <c r="A181" t="s">
        <v>237</v>
      </c>
      <c r="B181" t="s">
        <v>195</v>
      </c>
      <c r="C181">
        <v>310</v>
      </c>
      <c r="D181" t="s">
        <v>284</v>
      </c>
      <c r="E181" t="s">
        <v>248</v>
      </c>
    </row>
    <row r="182" spans="1:5" x14ac:dyDescent="0.3">
      <c r="A182" t="s">
        <v>237</v>
      </c>
      <c r="B182" t="s">
        <v>195</v>
      </c>
      <c r="C182">
        <v>312</v>
      </c>
      <c r="D182" t="s">
        <v>283</v>
      </c>
      <c r="E182" t="s">
        <v>264</v>
      </c>
    </row>
    <row r="183" spans="1:5" x14ac:dyDescent="0.3">
      <c r="A183" t="s">
        <v>237</v>
      </c>
      <c r="B183" t="s">
        <v>195</v>
      </c>
      <c r="C183">
        <v>316</v>
      </c>
      <c r="D183" t="s">
        <v>282</v>
      </c>
      <c r="E183" t="s">
        <v>248</v>
      </c>
    </row>
    <row r="184" spans="1:5" x14ac:dyDescent="0.3">
      <c r="A184" t="s">
        <v>237</v>
      </c>
      <c r="B184" t="s">
        <v>195</v>
      </c>
      <c r="C184">
        <v>317</v>
      </c>
      <c r="D184" t="s">
        <v>281</v>
      </c>
      <c r="E184" t="s">
        <v>248</v>
      </c>
    </row>
    <row r="185" spans="1:5" x14ac:dyDescent="0.3">
      <c r="A185" t="s">
        <v>237</v>
      </c>
      <c r="B185" t="s">
        <v>195</v>
      </c>
      <c r="C185">
        <v>318</v>
      </c>
      <c r="D185" t="s">
        <v>280</v>
      </c>
      <c r="E185" t="s">
        <v>248</v>
      </c>
    </row>
    <row r="186" spans="1:5" x14ac:dyDescent="0.3">
      <c r="A186" t="s">
        <v>237</v>
      </c>
      <c r="B186" t="s">
        <v>195</v>
      </c>
      <c r="C186">
        <v>320</v>
      </c>
      <c r="D186" t="s">
        <v>279</v>
      </c>
      <c r="E186" t="s">
        <v>248</v>
      </c>
    </row>
    <row r="187" spans="1:5" x14ac:dyDescent="0.3">
      <c r="A187" t="s">
        <v>237</v>
      </c>
      <c r="B187" t="s">
        <v>195</v>
      </c>
      <c r="C187">
        <v>321</v>
      </c>
      <c r="D187" t="s">
        <v>326</v>
      </c>
      <c r="E187" t="s">
        <v>248</v>
      </c>
    </row>
    <row r="188" spans="1:5" x14ac:dyDescent="0.3">
      <c r="A188" t="s">
        <v>237</v>
      </c>
      <c r="B188" t="s">
        <v>195</v>
      </c>
      <c r="C188">
        <v>323</v>
      </c>
      <c r="D188" t="s">
        <v>302</v>
      </c>
      <c r="E188" t="s">
        <v>248</v>
      </c>
    </row>
    <row r="189" spans="1:5" x14ac:dyDescent="0.3">
      <c r="A189" t="s">
        <v>237</v>
      </c>
      <c r="B189" t="s">
        <v>195</v>
      </c>
      <c r="C189">
        <v>324</v>
      </c>
      <c r="D189" t="s">
        <v>370</v>
      </c>
      <c r="E189" t="s">
        <v>248</v>
      </c>
    </row>
    <row r="190" spans="1:5" x14ac:dyDescent="0.3">
      <c r="A190" t="s">
        <v>237</v>
      </c>
      <c r="B190" t="s">
        <v>195</v>
      </c>
      <c r="C190">
        <v>325</v>
      </c>
      <c r="D190" t="s">
        <v>278</v>
      </c>
      <c r="E190" t="s">
        <v>248</v>
      </c>
    </row>
    <row r="191" spans="1:5" x14ac:dyDescent="0.3">
      <c r="A191" t="s">
        <v>237</v>
      </c>
      <c r="B191" t="s">
        <v>195</v>
      </c>
      <c r="C191">
        <v>326</v>
      </c>
      <c r="D191" t="s">
        <v>277</v>
      </c>
      <c r="E191" t="s">
        <v>248</v>
      </c>
    </row>
    <row r="192" spans="1:5" x14ac:dyDescent="0.3">
      <c r="A192" t="s">
        <v>237</v>
      </c>
      <c r="B192" t="s">
        <v>195</v>
      </c>
      <c r="C192">
        <v>327</v>
      </c>
      <c r="D192" t="s">
        <v>276</v>
      </c>
      <c r="E192" t="s">
        <v>248</v>
      </c>
    </row>
    <row r="193" spans="1:5" x14ac:dyDescent="0.3">
      <c r="A193" t="s">
        <v>237</v>
      </c>
      <c r="B193" t="s">
        <v>195</v>
      </c>
      <c r="C193">
        <v>328</v>
      </c>
      <c r="D193" t="s">
        <v>364</v>
      </c>
      <c r="E193" t="s">
        <v>264</v>
      </c>
    </row>
    <row r="194" spans="1:5" x14ac:dyDescent="0.3">
      <c r="A194" t="s">
        <v>237</v>
      </c>
      <c r="B194" t="s">
        <v>195</v>
      </c>
      <c r="C194">
        <v>329</v>
      </c>
      <c r="D194" t="s">
        <v>275</v>
      </c>
      <c r="E194" t="s">
        <v>248</v>
      </c>
    </row>
    <row r="195" spans="1:5" x14ac:dyDescent="0.3">
      <c r="A195" t="s">
        <v>237</v>
      </c>
      <c r="B195" t="s">
        <v>195</v>
      </c>
      <c r="C195">
        <v>330</v>
      </c>
      <c r="D195" t="s">
        <v>274</v>
      </c>
      <c r="E195" t="s">
        <v>248</v>
      </c>
    </row>
    <row r="196" spans="1:5" x14ac:dyDescent="0.3">
      <c r="A196" t="s">
        <v>237</v>
      </c>
      <c r="B196" t="s">
        <v>195</v>
      </c>
      <c r="C196">
        <v>331</v>
      </c>
      <c r="D196" t="s">
        <v>273</v>
      </c>
      <c r="E196" t="s">
        <v>248</v>
      </c>
    </row>
    <row r="197" spans="1:5" x14ac:dyDescent="0.3">
      <c r="A197" t="s">
        <v>237</v>
      </c>
      <c r="B197" t="s">
        <v>195</v>
      </c>
      <c r="C197">
        <v>332</v>
      </c>
      <c r="D197" t="s">
        <v>272</v>
      </c>
      <c r="E197" t="s">
        <v>248</v>
      </c>
    </row>
    <row r="198" spans="1:5" x14ac:dyDescent="0.3">
      <c r="A198" t="s">
        <v>237</v>
      </c>
      <c r="B198" t="s">
        <v>195</v>
      </c>
      <c r="C198">
        <v>333</v>
      </c>
      <c r="D198" t="s">
        <v>271</v>
      </c>
      <c r="E198" t="s">
        <v>264</v>
      </c>
    </row>
    <row r="199" spans="1:5" x14ac:dyDescent="0.3">
      <c r="A199" t="s">
        <v>237</v>
      </c>
      <c r="B199" t="s">
        <v>195</v>
      </c>
      <c r="C199">
        <v>336</v>
      </c>
      <c r="D199" t="s">
        <v>301</v>
      </c>
      <c r="E199" t="s">
        <v>248</v>
      </c>
    </row>
    <row r="200" spans="1:5" x14ac:dyDescent="0.3">
      <c r="A200" t="s">
        <v>237</v>
      </c>
      <c r="B200" t="s">
        <v>195</v>
      </c>
      <c r="C200">
        <v>339</v>
      </c>
      <c r="D200" t="s">
        <v>268</v>
      </c>
      <c r="E200" t="s">
        <v>248</v>
      </c>
    </row>
    <row r="201" spans="1:5" x14ac:dyDescent="0.3">
      <c r="A201" t="s">
        <v>237</v>
      </c>
      <c r="B201" t="s">
        <v>195</v>
      </c>
      <c r="C201">
        <v>340</v>
      </c>
      <c r="D201" t="s">
        <v>267</v>
      </c>
      <c r="E201" t="s">
        <v>248</v>
      </c>
    </row>
    <row r="202" spans="1:5" x14ac:dyDescent="0.3">
      <c r="A202" t="s">
        <v>237</v>
      </c>
      <c r="B202" t="s">
        <v>195</v>
      </c>
      <c r="C202">
        <v>342</v>
      </c>
      <c r="D202" t="s">
        <v>266</v>
      </c>
      <c r="E202" t="s">
        <v>248</v>
      </c>
    </row>
    <row r="203" spans="1:5" x14ac:dyDescent="0.3">
      <c r="A203" t="s">
        <v>237</v>
      </c>
      <c r="B203" t="s">
        <v>195</v>
      </c>
      <c r="C203">
        <v>344</v>
      </c>
      <c r="D203" t="s">
        <v>265</v>
      </c>
      <c r="E203" t="s">
        <v>264</v>
      </c>
    </row>
    <row r="204" spans="1:5" x14ac:dyDescent="0.3">
      <c r="A204" t="s">
        <v>237</v>
      </c>
      <c r="B204" t="s">
        <v>195</v>
      </c>
      <c r="C204">
        <v>345</v>
      </c>
      <c r="D204" t="s">
        <v>263</v>
      </c>
      <c r="E204" t="s">
        <v>248</v>
      </c>
    </row>
    <row r="205" spans="1:5" x14ac:dyDescent="0.3">
      <c r="A205" t="s">
        <v>237</v>
      </c>
      <c r="B205" t="s">
        <v>195</v>
      </c>
      <c r="C205">
        <v>348</v>
      </c>
      <c r="D205" t="s">
        <v>262</v>
      </c>
      <c r="E205" t="s">
        <v>248</v>
      </c>
    </row>
    <row r="206" spans="1:5" x14ac:dyDescent="0.3">
      <c r="A206" t="s">
        <v>237</v>
      </c>
      <c r="B206" t="s">
        <v>195</v>
      </c>
      <c r="C206">
        <v>354</v>
      </c>
      <c r="D206" t="s">
        <v>369</v>
      </c>
      <c r="E206" t="s">
        <v>248</v>
      </c>
    </row>
    <row r="207" spans="1:5" x14ac:dyDescent="0.3">
      <c r="A207" t="s">
        <v>237</v>
      </c>
      <c r="B207" t="s">
        <v>195</v>
      </c>
      <c r="C207">
        <v>355</v>
      </c>
      <c r="D207" t="s">
        <v>261</v>
      </c>
      <c r="E207" t="s">
        <v>248</v>
      </c>
    </row>
    <row r="208" spans="1:5" x14ac:dyDescent="0.3">
      <c r="A208" t="s">
        <v>237</v>
      </c>
      <c r="B208" t="s">
        <v>195</v>
      </c>
      <c r="C208">
        <v>356</v>
      </c>
      <c r="D208" t="s">
        <v>260</v>
      </c>
      <c r="E208" t="s">
        <v>248</v>
      </c>
    </row>
    <row r="209" spans="1:5" x14ac:dyDescent="0.3">
      <c r="A209" t="s">
        <v>237</v>
      </c>
      <c r="B209" t="s">
        <v>195</v>
      </c>
      <c r="C209">
        <v>361</v>
      </c>
      <c r="D209" t="s">
        <v>351</v>
      </c>
      <c r="E209" t="s">
        <v>248</v>
      </c>
    </row>
    <row r="210" spans="1:5" x14ac:dyDescent="0.3">
      <c r="A210" t="s">
        <v>237</v>
      </c>
      <c r="B210" t="s">
        <v>195</v>
      </c>
      <c r="C210">
        <v>362</v>
      </c>
      <c r="D210" t="s">
        <v>318</v>
      </c>
      <c r="E210" t="s">
        <v>248</v>
      </c>
    </row>
    <row r="211" spans="1:5" x14ac:dyDescent="0.3">
      <c r="A211" t="s">
        <v>237</v>
      </c>
      <c r="B211" t="s">
        <v>195</v>
      </c>
      <c r="C211">
        <v>363</v>
      </c>
      <c r="D211" t="s">
        <v>259</v>
      </c>
      <c r="E211" t="s">
        <v>248</v>
      </c>
    </row>
    <row r="212" spans="1:5" x14ac:dyDescent="0.3">
      <c r="A212" t="s">
        <v>237</v>
      </c>
      <c r="B212" t="s">
        <v>195</v>
      </c>
      <c r="C212">
        <v>364</v>
      </c>
      <c r="D212" t="s">
        <v>350</v>
      </c>
      <c r="E212" t="s">
        <v>248</v>
      </c>
    </row>
    <row r="213" spans="1:5" x14ac:dyDescent="0.3">
      <c r="A213" t="s">
        <v>237</v>
      </c>
      <c r="B213" t="s">
        <v>195</v>
      </c>
      <c r="C213">
        <v>366</v>
      </c>
      <c r="D213" t="s">
        <v>308</v>
      </c>
      <c r="E213" t="s">
        <v>248</v>
      </c>
    </row>
    <row r="214" spans="1:5" x14ac:dyDescent="0.3">
      <c r="A214" t="s">
        <v>237</v>
      </c>
      <c r="B214" t="s">
        <v>195</v>
      </c>
      <c r="C214">
        <v>367</v>
      </c>
      <c r="D214" t="s">
        <v>307</v>
      </c>
      <c r="E214" t="s">
        <v>248</v>
      </c>
    </row>
    <row r="215" spans="1:5" x14ac:dyDescent="0.3">
      <c r="A215" t="s">
        <v>237</v>
      </c>
      <c r="B215" t="s">
        <v>195</v>
      </c>
      <c r="C215">
        <v>369</v>
      </c>
      <c r="D215" t="s">
        <v>258</v>
      </c>
      <c r="E215" t="s">
        <v>248</v>
      </c>
    </row>
    <row r="216" spans="1:5" x14ac:dyDescent="0.3">
      <c r="A216" t="s">
        <v>237</v>
      </c>
      <c r="B216" t="s">
        <v>195</v>
      </c>
      <c r="C216">
        <v>372</v>
      </c>
      <c r="D216" t="s">
        <v>257</v>
      </c>
      <c r="E216" t="s">
        <v>248</v>
      </c>
    </row>
    <row r="217" spans="1:5" x14ac:dyDescent="0.3">
      <c r="A217" t="s">
        <v>237</v>
      </c>
      <c r="B217" t="s">
        <v>195</v>
      </c>
      <c r="C217">
        <v>373</v>
      </c>
      <c r="D217" t="s">
        <v>300</v>
      </c>
      <c r="E217" t="s">
        <v>248</v>
      </c>
    </row>
    <row r="218" spans="1:5" x14ac:dyDescent="0.3">
      <c r="A218" t="s">
        <v>237</v>
      </c>
      <c r="B218" t="s">
        <v>195</v>
      </c>
      <c r="C218">
        <v>377</v>
      </c>
      <c r="D218" t="s">
        <v>298</v>
      </c>
      <c r="E218" t="s">
        <v>248</v>
      </c>
    </row>
    <row r="219" spans="1:5" x14ac:dyDescent="0.3">
      <c r="A219" t="s">
        <v>237</v>
      </c>
      <c r="B219" t="s">
        <v>195</v>
      </c>
      <c r="C219">
        <v>379</v>
      </c>
      <c r="D219" t="s">
        <v>297</v>
      </c>
      <c r="E219" t="s">
        <v>248</v>
      </c>
    </row>
    <row r="220" spans="1:5" x14ac:dyDescent="0.3">
      <c r="A220" t="s">
        <v>237</v>
      </c>
      <c r="B220" t="s">
        <v>195</v>
      </c>
      <c r="C220">
        <v>383</v>
      </c>
      <c r="D220" t="s">
        <v>337</v>
      </c>
      <c r="E220" t="s">
        <v>248</v>
      </c>
    </row>
    <row r="221" spans="1:5" x14ac:dyDescent="0.3">
      <c r="A221" t="s">
        <v>237</v>
      </c>
      <c r="B221" t="s">
        <v>195</v>
      </c>
      <c r="C221">
        <v>384</v>
      </c>
      <c r="D221" t="s">
        <v>325</v>
      </c>
      <c r="E221" t="s">
        <v>248</v>
      </c>
    </row>
    <row r="222" spans="1:5" x14ac:dyDescent="0.3">
      <c r="A222" t="s">
        <v>237</v>
      </c>
      <c r="B222" t="s">
        <v>195</v>
      </c>
      <c r="C222">
        <v>386</v>
      </c>
      <c r="D222" t="s">
        <v>324</v>
      </c>
      <c r="E222" t="s">
        <v>248</v>
      </c>
    </row>
    <row r="223" spans="1:5" x14ac:dyDescent="0.3">
      <c r="A223" t="s">
        <v>237</v>
      </c>
      <c r="B223" t="s">
        <v>195</v>
      </c>
      <c r="C223">
        <v>387</v>
      </c>
      <c r="D223" t="s">
        <v>256</v>
      </c>
      <c r="E223" t="s">
        <v>248</v>
      </c>
    </row>
    <row r="224" spans="1:5" x14ac:dyDescent="0.3">
      <c r="A224" t="s">
        <v>237</v>
      </c>
      <c r="B224" t="s">
        <v>195</v>
      </c>
      <c r="C224">
        <v>388</v>
      </c>
      <c r="D224" t="s">
        <v>345</v>
      </c>
      <c r="E224" t="s">
        <v>248</v>
      </c>
    </row>
    <row r="225" spans="1:5" x14ac:dyDescent="0.3">
      <c r="A225" t="s">
        <v>237</v>
      </c>
      <c r="B225" t="s">
        <v>195</v>
      </c>
      <c r="C225">
        <v>393</v>
      </c>
      <c r="D225" t="s">
        <v>296</v>
      </c>
      <c r="E225" t="s">
        <v>248</v>
      </c>
    </row>
    <row r="226" spans="1:5" x14ac:dyDescent="0.3">
      <c r="A226" t="s">
        <v>237</v>
      </c>
      <c r="B226" t="s">
        <v>195</v>
      </c>
      <c r="C226">
        <v>395</v>
      </c>
      <c r="D226" t="s">
        <v>343</v>
      </c>
      <c r="E226" t="s">
        <v>248</v>
      </c>
    </row>
    <row r="227" spans="1:5" x14ac:dyDescent="0.3">
      <c r="A227" t="s">
        <v>237</v>
      </c>
      <c r="B227" t="s">
        <v>195</v>
      </c>
      <c r="C227">
        <v>407</v>
      </c>
      <c r="D227" t="s">
        <v>255</v>
      </c>
      <c r="E227" t="s">
        <v>248</v>
      </c>
    </row>
    <row r="228" spans="1:5" x14ac:dyDescent="0.3">
      <c r="A228" t="s">
        <v>237</v>
      </c>
      <c r="B228" t="s">
        <v>195</v>
      </c>
      <c r="C228">
        <v>409</v>
      </c>
      <c r="D228" t="s">
        <v>341</v>
      </c>
      <c r="E228" t="s">
        <v>248</v>
      </c>
    </row>
    <row r="229" spans="1:5" x14ac:dyDescent="0.3">
      <c r="A229" t="s">
        <v>237</v>
      </c>
      <c r="B229" t="s">
        <v>247</v>
      </c>
      <c r="C229">
        <v>714</v>
      </c>
      <c r="D229" t="s">
        <v>293</v>
      </c>
      <c r="E229" t="s">
        <v>248</v>
      </c>
    </row>
    <row r="230" spans="1:5" x14ac:dyDescent="0.3">
      <c r="A230" t="s">
        <v>237</v>
      </c>
      <c r="B230" t="s">
        <v>247</v>
      </c>
      <c r="C230">
        <v>739</v>
      </c>
      <c r="D230" t="s">
        <v>252</v>
      </c>
      <c r="E230" t="s">
        <v>245</v>
      </c>
    </row>
    <row r="231" spans="1:5" x14ac:dyDescent="0.3">
      <c r="A231" t="s">
        <v>237</v>
      </c>
      <c r="B231" t="s">
        <v>247</v>
      </c>
      <c r="C231">
        <v>744</v>
      </c>
      <c r="D231" t="s">
        <v>291</v>
      </c>
      <c r="E231" t="s">
        <v>264</v>
      </c>
    </row>
    <row r="232" spans="1:5" x14ac:dyDescent="0.3">
      <c r="A232" t="s">
        <v>237</v>
      </c>
      <c r="B232" t="s">
        <v>247</v>
      </c>
      <c r="C232">
        <v>745</v>
      </c>
      <c r="D232" t="s">
        <v>249</v>
      </c>
      <c r="E232" t="s">
        <v>248</v>
      </c>
    </row>
    <row r="233" spans="1:5" x14ac:dyDescent="0.3">
      <c r="A233" t="s">
        <v>237</v>
      </c>
      <c r="B233" t="s">
        <v>320</v>
      </c>
      <c r="C233">
        <v>105</v>
      </c>
      <c r="D233" t="s">
        <v>361</v>
      </c>
      <c r="E233" t="s">
        <v>248</v>
      </c>
    </row>
    <row r="234" spans="1:5" x14ac:dyDescent="0.3">
      <c r="A234" t="s">
        <v>237</v>
      </c>
      <c r="B234" t="s">
        <v>320</v>
      </c>
      <c r="C234">
        <v>106</v>
      </c>
      <c r="D234" t="s">
        <v>360</v>
      </c>
      <c r="E234" t="s">
        <v>248</v>
      </c>
    </row>
    <row r="235" spans="1:5" x14ac:dyDescent="0.3">
      <c r="A235" t="s">
        <v>237</v>
      </c>
      <c r="B235" t="s">
        <v>320</v>
      </c>
      <c r="C235">
        <v>107</v>
      </c>
      <c r="D235" t="s">
        <v>322</v>
      </c>
      <c r="E235" t="s">
        <v>248</v>
      </c>
    </row>
    <row r="236" spans="1:5" x14ac:dyDescent="0.3">
      <c r="A236" t="s">
        <v>237</v>
      </c>
      <c r="B236" t="s">
        <v>320</v>
      </c>
      <c r="C236">
        <v>108</v>
      </c>
      <c r="D236" t="s">
        <v>359</v>
      </c>
      <c r="E236" t="s">
        <v>290</v>
      </c>
    </row>
    <row r="237" spans="1:5" x14ac:dyDescent="0.3">
      <c r="A237" t="s">
        <v>237</v>
      </c>
      <c r="B237" t="s">
        <v>320</v>
      </c>
      <c r="C237">
        <v>109</v>
      </c>
      <c r="D237" t="s">
        <v>358</v>
      </c>
      <c r="E237" t="s">
        <v>290</v>
      </c>
    </row>
    <row r="238" spans="1:5" x14ac:dyDescent="0.3">
      <c r="A238" t="s">
        <v>237</v>
      </c>
      <c r="B238" t="s">
        <v>320</v>
      </c>
      <c r="C238">
        <v>110</v>
      </c>
      <c r="D238" t="s">
        <v>321</v>
      </c>
      <c r="E238" t="s">
        <v>290</v>
      </c>
    </row>
    <row r="239" spans="1:5" x14ac:dyDescent="0.3">
      <c r="A239" t="s">
        <v>237</v>
      </c>
      <c r="B239" t="s">
        <v>320</v>
      </c>
      <c r="C239">
        <v>120</v>
      </c>
      <c r="D239" t="s">
        <v>357</v>
      </c>
      <c r="E239" t="s">
        <v>264</v>
      </c>
    </row>
    <row r="240" spans="1:5" x14ac:dyDescent="0.3">
      <c r="A240" t="s">
        <v>237</v>
      </c>
      <c r="B240" t="s">
        <v>320</v>
      </c>
      <c r="C240">
        <v>129</v>
      </c>
      <c r="D240" t="s">
        <v>319</v>
      </c>
      <c r="E240" t="s">
        <v>290</v>
      </c>
    </row>
    <row r="241" spans="1:5" x14ac:dyDescent="0.3">
      <c r="A241" t="s">
        <v>237</v>
      </c>
      <c r="B241" t="s">
        <v>320</v>
      </c>
      <c r="C241">
        <v>130</v>
      </c>
      <c r="D241" t="s">
        <v>356</v>
      </c>
      <c r="E241" t="s">
        <v>290</v>
      </c>
    </row>
    <row r="242" spans="1:5" x14ac:dyDescent="0.3">
      <c r="A242" t="s">
        <v>237</v>
      </c>
      <c r="B242" t="s">
        <v>305</v>
      </c>
      <c r="C242">
        <v>201</v>
      </c>
      <c r="D242" t="s">
        <v>318</v>
      </c>
      <c r="E242" t="s">
        <v>290</v>
      </c>
    </row>
    <row r="243" spans="1:5" x14ac:dyDescent="0.3">
      <c r="A243" t="s">
        <v>237</v>
      </c>
      <c r="B243" t="s">
        <v>305</v>
      </c>
      <c r="C243">
        <v>202</v>
      </c>
      <c r="D243" t="s">
        <v>354</v>
      </c>
      <c r="E243" t="s">
        <v>290</v>
      </c>
    </row>
    <row r="244" spans="1:5" x14ac:dyDescent="0.3">
      <c r="A244" t="s">
        <v>237</v>
      </c>
      <c r="B244" t="s">
        <v>305</v>
      </c>
      <c r="C244">
        <v>203</v>
      </c>
      <c r="D244" t="s">
        <v>303</v>
      </c>
      <c r="E244" t="s">
        <v>248</v>
      </c>
    </row>
    <row r="245" spans="1:5" x14ac:dyDescent="0.3">
      <c r="A245" t="s">
        <v>237</v>
      </c>
      <c r="B245" t="s">
        <v>305</v>
      </c>
      <c r="C245">
        <v>204</v>
      </c>
      <c r="D245" t="s">
        <v>317</v>
      </c>
      <c r="E245" t="s">
        <v>290</v>
      </c>
    </row>
    <row r="246" spans="1:5" x14ac:dyDescent="0.3">
      <c r="A246" t="s">
        <v>237</v>
      </c>
      <c r="B246" t="s">
        <v>305</v>
      </c>
      <c r="C246">
        <v>205</v>
      </c>
      <c r="D246" t="s">
        <v>316</v>
      </c>
      <c r="E246" t="s">
        <v>248</v>
      </c>
    </row>
    <row r="247" spans="1:5" x14ac:dyDescent="0.3">
      <c r="A247" t="s">
        <v>237</v>
      </c>
      <c r="B247" t="s">
        <v>305</v>
      </c>
      <c r="C247">
        <v>207</v>
      </c>
      <c r="D247" t="s">
        <v>315</v>
      </c>
      <c r="E247" t="s">
        <v>290</v>
      </c>
    </row>
    <row r="248" spans="1:5" x14ac:dyDescent="0.3">
      <c r="A248" t="s">
        <v>237</v>
      </c>
      <c r="B248" t="s">
        <v>305</v>
      </c>
      <c r="C248">
        <v>208</v>
      </c>
      <c r="D248" t="s">
        <v>314</v>
      </c>
      <c r="E248" t="s">
        <v>290</v>
      </c>
    </row>
    <row r="249" spans="1:5" x14ac:dyDescent="0.3">
      <c r="A249" t="s">
        <v>237</v>
      </c>
      <c r="B249" t="s">
        <v>305</v>
      </c>
      <c r="C249">
        <v>209</v>
      </c>
      <c r="D249" t="s">
        <v>313</v>
      </c>
      <c r="E249" t="s">
        <v>290</v>
      </c>
    </row>
    <row r="250" spans="1:5" x14ac:dyDescent="0.3">
      <c r="A250" t="s">
        <v>237</v>
      </c>
      <c r="B250" t="s">
        <v>305</v>
      </c>
      <c r="C250">
        <v>210</v>
      </c>
      <c r="D250" t="s">
        <v>300</v>
      </c>
      <c r="E250" t="s">
        <v>290</v>
      </c>
    </row>
    <row r="251" spans="1:5" x14ac:dyDescent="0.3">
      <c r="A251" t="s">
        <v>237</v>
      </c>
      <c r="B251" t="s">
        <v>305</v>
      </c>
      <c r="C251">
        <v>212</v>
      </c>
      <c r="D251" t="s">
        <v>353</v>
      </c>
      <c r="E251" t="s">
        <v>290</v>
      </c>
    </row>
    <row r="252" spans="1:5" x14ac:dyDescent="0.3">
      <c r="A252" t="s">
        <v>237</v>
      </c>
      <c r="B252" t="s">
        <v>305</v>
      </c>
      <c r="C252">
        <v>213</v>
      </c>
      <c r="D252" t="s">
        <v>258</v>
      </c>
      <c r="E252" t="s">
        <v>290</v>
      </c>
    </row>
    <row r="253" spans="1:5" x14ac:dyDescent="0.3">
      <c r="A253" t="s">
        <v>237</v>
      </c>
      <c r="B253" t="s">
        <v>305</v>
      </c>
      <c r="C253">
        <v>214</v>
      </c>
      <c r="D253" t="s">
        <v>312</v>
      </c>
      <c r="E253" t="s">
        <v>290</v>
      </c>
    </row>
    <row r="254" spans="1:5" x14ac:dyDescent="0.3">
      <c r="A254" t="s">
        <v>237</v>
      </c>
      <c r="B254" t="s">
        <v>305</v>
      </c>
      <c r="C254">
        <v>215</v>
      </c>
      <c r="D254" t="s">
        <v>311</v>
      </c>
      <c r="E254" t="s">
        <v>290</v>
      </c>
    </row>
    <row r="255" spans="1:5" x14ac:dyDescent="0.3">
      <c r="A255" t="s">
        <v>237</v>
      </c>
      <c r="B255" t="s">
        <v>305</v>
      </c>
      <c r="C255">
        <v>217</v>
      </c>
      <c r="D255" t="s">
        <v>310</v>
      </c>
      <c r="E255" t="s">
        <v>290</v>
      </c>
    </row>
    <row r="256" spans="1:5" x14ac:dyDescent="0.3">
      <c r="A256" t="s">
        <v>237</v>
      </c>
      <c r="B256" t="s">
        <v>305</v>
      </c>
      <c r="C256">
        <v>218</v>
      </c>
      <c r="D256" t="s">
        <v>367</v>
      </c>
      <c r="E256" t="s">
        <v>290</v>
      </c>
    </row>
    <row r="257" spans="1:5" x14ac:dyDescent="0.3">
      <c r="A257" t="s">
        <v>237</v>
      </c>
      <c r="B257" t="s">
        <v>305</v>
      </c>
      <c r="C257">
        <v>227</v>
      </c>
      <c r="D257" t="s">
        <v>347</v>
      </c>
      <c r="E257" t="s">
        <v>290</v>
      </c>
    </row>
    <row r="258" spans="1:5" x14ac:dyDescent="0.3">
      <c r="A258" t="s">
        <v>237</v>
      </c>
      <c r="B258" t="s">
        <v>305</v>
      </c>
      <c r="C258">
        <v>231</v>
      </c>
      <c r="D258" t="s">
        <v>309</v>
      </c>
      <c r="E258" t="s">
        <v>290</v>
      </c>
    </row>
    <row r="259" spans="1:5" x14ac:dyDescent="0.3">
      <c r="A259" t="s">
        <v>237</v>
      </c>
      <c r="B259" t="s">
        <v>305</v>
      </c>
      <c r="C259">
        <v>232</v>
      </c>
      <c r="D259" t="s">
        <v>350</v>
      </c>
      <c r="E259" t="s">
        <v>290</v>
      </c>
    </row>
    <row r="260" spans="1:5" x14ac:dyDescent="0.3">
      <c r="A260" t="s">
        <v>237</v>
      </c>
      <c r="B260" t="s">
        <v>305</v>
      </c>
      <c r="C260">
        <v>233</v>
      </c>
      <c r="D260" t="s">
        <v>349</v>
      </c>
      <c r="E260" t="s">
        <v>290</v>
      </c>
    </row>
    <row r="261" spans="1:5" x14ac:dyDescent="0.3">
      <c r="A261" t="s">
        <v>237</v>
      </c>
      <c r="B261" t="s">
        <v>305</v>
      </c>
      <c r="C261">
        <v>234</v>
      </c>
      <c r="D261" t="s">
        <v>308</v>
      </c>
      <c r="E261" t="s">
        <v>290</v>
      </c>
    </row>
    <row r="262" spans="1:5" x14ac:dyDescent="0.3">
      <c r="A262" t="s">
        <v>237</v>
      </c>
      <c r="B262" t="s">
        <v>305</v>
      </c>
      <c r="C262">
        <v>235</v>
      </c>
      <c r="D262" t="s">
        <v>307</v>
      </c>
      <c r="E262" t="s">
        <v>290</v>
      </c>
    </row>
    <row r="263" spans="1:5" x14ac:dyDescent="0.3">
      <c r="A263" t="s">
        <v>237</v>
      </c>
      <c r="B263" t="s">
        <v>305</v>
      </c>
      <c r="C263">
        <v>245</v>
      </c>
      <c r="D263" t="s">
        <v>256</v>
      </c>
      <c r="E263" t="s">
        <v>290</v>
      </c>
    </row>
    <row r="264" spans="1:5" x14ac:dyDescent="0.3">
      <c r="A264" t="s">
        <v>237</v>
      </c>
      <c r="B264" t="s">
        <v>195</v>
      </c>
      <c r="C264">
        <v>301</v>
      </c>
      <c r="D264" t="s">
        <v>304</v>
      </c>
      <c r="E264" t="s">
        <v>248</v>
      </c>
    </row>
    <row r="265" spans="1:5" x14ac:dyDescent="0.3">
      <c r="A265" t="s">
        <v>237</v>
      </c>
      <c r="B265" t="s">
        <v>195</v>
      </c>
      <c r="C265">
        <v>302</v>
      </c>
      <c r="D265" t="s">
        <v>287</v>
      </c>
      <c r="E265" t="s">
        <v>248</v>
      </c>
    </row>
    <row r="266" spans="1:5" x14ac:dyDescent="0.3">
      <c r="A266" t="s">
        <v>237</v>
      </c>
      <c r="B266" t="s">
        <v>195</v>
      </c>
      <c r="C266">
        <v>309</v>
      </c>
      <c r="D266" t="s">
        <v>285</v>
      </c>
      <c r="E266" t="s">
        <v>248</v>
      </c>
    </row>
    <row r="267" spans="1:5" x14ac:dyDescent="0.3">
      <c r="A267" t="s">
        <v>237</v>
      </c>
      <c r="B267" t="s">
        <v>195</v>
      </c>
      <c r="C267">
        <v>317</v>
      </c>
      <c r="D267" t="s">
        <v>281</v>
      </c>
      <c r="E267" t="s">
        <v>248</v>
      </c>
    </row>
    <row r="268" spans="1:5" x14ac:dyDescent="0.3">
      <c r="A268" t="s">
        <v>237</v>
      </c>
      <c r="B268" t="s">
        <v>195</v>
      </c>
      <c r="C268">
        <v>320</v>
      </c>
      <c r="D268" t="s">
        <v>279</v>
      </c>
      <c r="E268" t="s">
        <v>248</v>
      </c>
    </row>
    <row r="269" spans="1:5" x14ac:dyDescent="0.3">
      <c r="A269" t="s">
        <v>237</v>
      </c>
      <c r="B269" t="s">
        <v>195</v>
      </c>
      <c r="C269">
        <v>321</v>
      </c>
      <c r="D269" t="s">
        <v>326</v>
      </c>
      <c r="E269" t="s">
        <v>248</v>
      </c>
    </row>
    <row r="270" spans="1:5" x14ac:dyDescent="0.3">
      <c r="A270" t="s">
        <v>237</v>
      </c>
      <c r="B270" t="s">
        <v>195</v>
      </c>
      <c r="C270">
        <v>323</v>
      </c>
      <c r="D270" t="s">
        <v>302</v>
      </c>
      <c r="E270" t="s">
        <v>248</v>
      </c>
    </row>
    <row r="271" spans="1:5" x14ac:dyDescent="0.3">
      <c r="A271" t="s">
        <v>237</v>
      </c>
      <c r="B271" t="s">
        <v>195</v>
      </c>
      <c r="C271">
        <v>326</v>
      </c>
      <c r="D271" t="s">
        <v>277</v>
      </c>
      <c r="E271" t="s">
        <v>248</v>
      </c>
    </row>
    <row r="272" spans="1:5" x14ac:dyDescent="0.3">
      <c r="A272" t="s">
        <v>237</v>
      </c>
      <c r="B272" t="s">
        <v>195</v>
      </c>
      <c r="C272">
        <v>327</v>
      </c>
      <c r="D272" t="s">
        <v>276</v>
      </c>
      <c r="E272" t="s">
        <v>248</v>
      </c>
    </row>
    <row r="273" spans="1:5" x14ac:dyDescent="0.3">
      <c r="A273" t="s">
        <v>237</v>
      </c>
      <c r="B273" t="s">
        <v>195</v>
      </c>
      <c r="C273">
        <v>328</v>
      </c>
      <c r="D273" t="s">
        <v>364</v>
      </c>
      <c r="E273" t="s">
        <v>264</v>
      </c>
    </row>
    <row r="274" spans="1:5" x14ac:dyDescent="0.3">
      <c r="A274" t="s">
        <v>237</v>
      </c>
      <c r="B274" t="s">
        <v>195</v>
      </c>
      <c r="C274">
        <v>329</v>
      </c>
      <c r="D274" t="s">
        <v>275</v>
      </c>
      <c r="E274" t="s">
        <v>248</v>
      </c>
    </row>
    <row r="275" spans="1:5" x14ac:dyDescent="0.3">
      <c r="A275" t="s">
        <v>237</v>
      </c>
      <c r="B275" t="s">
        <v>195</v>
      </c>
      <c r="C275">
        <v>333</v>
      </c>
      <c r="D275" t="s">
        <v>271</v>
      </c>
      <c r="E275" t="s">
        <v>264</v>
      </c>
    </row>
    <row r="276" spans="1:5" x14ac:dyDescent="0.3">
      <c r="A276" t="s">
        <v>237</v>
      </c>
      <c r="B276" t="s">
        <v>195</v>
      </c>
      <c r="C276">
        <v>334</v>
      </c>
      <c r="D276" t="s">
        <v>363</v>
      </c>
      <c r="E276" t="s">
        <v>264</v>
      </c>
    </row>
    <row r="277" spans="1:5" x14ac:dyDescent="0.3">
      <c r="A277" t="s">
        <v>237</v>
      </c>
      <c r="B277" t="s">
        <v>195</v>
      </c>
      <c r="C277">
        <v>336</v>
      </c>
      <c r="D277" t="s">
        <v>301</v>
      </c>
      <c r="E277" t="s">
        <v>248</v>
      </c>
    </row>
    <row r="278" spans="1:5" x14ac:dyDescent="0.3">
      <c r="A278" t="s">
        <v>237</v>
      </c>
      <c r="B278" t="s">
        <v>195</v>
      </c>
      <c r="C278">
        <v>338</v>
      </c>
      <c r="D278" t="s">
        <v>366</v>
      </c>
      <c r="E278" t="s">
        <v>248</v>
      </c>
    </row>
    <row r="279" spans="1:5" x14ac:dyDescent="0.3">
      <c r="A279" t="s">
        <v>237</v>
      </c>
      <c r="B279" t="s">
        <v>195</v>
      </c>
      <c r="C279">
        <v>344</v>
      </c>
      <c r="D279" t="s">
        <v>265</v>
      </c>
      <c r="E279" t="s">
        <v>264</v>
      </c>
    </row>
    <row r="280" spans="1:5" x14ac:dyDescent="0.3">
      <c r="A280" t="s">
        <v>237</v>
      </c>
      <c r="B280" t="s">
        <v>195</v>
      </c>
      <c r="C280">
        <v>375</v>
      </c>
      <c r="D280" t="s">
        <v>299</v>
      </c>
      <c r="E280" t="s">
        <v>248</v>
      </c>
    </row>
    <row r="281" spans="1:5" x14ac:dyDescent="0.3">
      <c r="A281" t="s">
        <v>237</v>
      </c>
      <c r="B281" t="s">
        <v>195</v>
      </c>
      <c r="C281">
        <v>391</v>
      </c>
      <c r="D281" t="s">
        <v>344</v>
      </c>
      <c r="E281" t="s">
        <v>248</v>
      </c>
    </row>
    <row r="282" spans="1:5" x14ac:dyDescent="0.3">
      <c r="A282" t="s">
        <v>237</v>
      </c>
      <c r="B282" t="s">
        <v>195</v>
      </c>
      <c r="C282">
        <v>396</v>
      </c>
      <c r="D282" t="s">
        <v>342</v>
      </c>
      <c r="E282" t="s">
        <v>248</v>
      </c>
    </row>
    <row r="283" spans="1:5" x14ac:dyDescent="0.3">
      <c r="A283" t="s">
        <v>237</v>
      </c>
      <c r="B283" t="s">
        <v>195</v>
      </c>
      <c r="C283">
        <v>406</v>
      </c>
      <c r="D283" t="s">
        <v>295</v>
      </c>
      <c r="E283" t="s">
        <v>248</v>
      </c>
    </row>
    <row r="284" spans="1:5" x14ac:dyDescent="0.3">
      <c r="A284" t="s">
        <v>237</v>
      </c>
      <c r="B284" t="s">
        <v>195</v>
      </c>
      <c r="C284">
        <v>407</v>
      </c>
      <c r="D284" t="s">
        <v>255</v>
      </c>
      <c r="E284" t="s">
        <v>248</v>
      </c>
    </row>
    <row r="285" spans="1:5" x14ac:dyDescent="0.3">
      <c r="A285" t="s">
        <v>237</v>
      </c>
      <c r="B285" t="s">
        <v>195</v>
      </c>
      <c r="C285">
        <v>408</v>
      </c>
      <c r="D285" t="s">
        <v>338</v>
      </c>
      <c r="E285" t="s">
        <v>248</v>
      </c>
    </row>
    <row r="286" spans="1:5" x14ac:dyDescent="0.3">
      <c r="A286" t="s">
        <v>237</v>
      </c>
      <c r="B286" t="s">
        <v>195</v>
      </c>
      <c r="C286">
        <v>410</v>
      </c>
      <c r="D286" t="s">
        <v>340</v>
      </c>
      <c r="E286" t="s">
        <v>248</v>
      </c>
    </row>
    <row r="287" spans="1:5" x14ac:dyDescent="0.3">
      <c r="A287" t="s">
        <v>237</v>
      </c>
      <c r="B287" t="s">
        <v>195</v>
      </c>
      <c r="C287">
        <v>411</v>
      </c>
      <c r="D287" t="s">
        <v>316</v>
      </c>
      <c r="E287" t="s">
        <v>248</v>
      </c>
    </row>
    <row r="288" spans="1:5" x14ac:dyDescent="0.3">
      <c r="A288" t="s">
        <v>237</v>
      </c>
      <c r="B288" t="s">
        <v>247</v>
      </c>
      <c r="C288">
        <v>706</v>
      </c>
      <c r="D288" t="s">
        <v>294</v>
      </c>
      <c r="E288" t="s">
        <v>245</v>
      </c>
    </row>
    <row r="289" spans="1:5" x14ac:dyDescent="0.3">
      <c r="A289" t="s">
        <v>237</v>
      </c>
      <c r="B289" t="s">
        <v>247</v>
      </c>
      <c r="C289">
        <v>709</v>
      </c>
      <c r="D289" t="s">
        <v>323</v>
      </c>
      <c r="E289" t="s">
        <v>290</v>
      </c>
    </row>
    <row r="290" spans="1:5" x14ac:dyDescent="0.3">
      <c r="A290" t="s">
        <v>237</v>
      </c>
      <c r="B290" t="s">
        <v>247</v>
      </c>
      <c r="C290">
        <v>711</v>
      </c>
      <c r="D290" t="s">
        <v>338</v>
      </c>
      <c r="E290" t="s">
        <v>290</v>
      </c>
    </row>
    <row r="291" spans="1:5" x14ac:dyDescent="0.3">
      <c r="A291" t="s">
        <v>237</v>
      </c>
      <c r="B291" t="s">
        <v>247</v>
      </c>
      <c r="C291">
        <v>712</v>
      </c>
      <c r="D291" t="s">
        <v>254</v>
      </c>
      <c r="E291" t="s">
        <v>245</v>
      </c>
    </row>
    <row r="292" spans="1:5" x14ac:dyDescent="0.3">
      <c r="A292" t="s">
        <v>237</v>
      </c>
      <c r="B292" t="s">
        <v>247</v>
      </c>
      <c r="C292">
        <v>714</v>
      </c>
      <c r="D292" t="s">
        <v>293</v>
      </c>
      <c r="E292" t="s">
        <v>290</v>
      </c>
    </row>
    <row r="293" spans="1:5" x14ac:dyDescent="0.3">
      <c r="A293" t="s">
        <v>237</v>
      </c>
      <c r="B293" t="s">
        <v>247</v>
      </c>
      <c r="C293">
        <v>715</v>
      </c>
      <c r="D293" t="s">
        <v>337</v>
      </c>
      <c r="E293" t="s">
        <v>290</v>
      </c>
    </row>
    <row r="294" spans="1:5" x14ac:dyDescent="0.3">
      <c r="A294" t="s">
        <v>237</v>
      </c>
      <c r="B294" t="s">
        <v>247</v>
      </c>
      <c r="C294">
        <v>742</v>
      </c>
      <c r="D294" t="s">
        <v>250</v>
      </c>
      <c r="E294" t="s">
        <v>248</v>
      </c>
    </row>
    <row r="295" spans="1:5" x14ac:dyDescent="0.3">
      <c r="A295" t="s">
        <v>237</v>
      </c>
      <c r="B295" t="s">
        <v>247</v>
      </c>
      <c r="C295">
        <v>743</v>
      </c>
      <c r="D295" t="s">
        <v>332</v>
      </c>
      <c r="E295" t="s">
        <v>290</v>
      </c>
    </row>
    <row r="296" spans="1:5" x14ac:dyDescent="0.3">
      <c r="A296" t="s">
        <v>237</v>
      </c>
      <c r="B296" t="s">
        <v>247</v>
      </c>
      <c r="C296">
        <v>744</v>
      </c>
      <c r="D296" t="s">
        <v>291</v>
      </c>
      <c r="E296" t="s">
        <v>290</v>
      </c>
    </row>
    <row r="297" spans="1:5" x14ac:dyDescent="0.3">
      <c r="A297" t="s">
        <v>237</v>
      </c>
      <c r="B297" t="s">
        <v>247</v>
      </c>
      <c r="C297">
        <v>745</v>
      </c>
      <c r="D297" t="s">
        <v>249</v>
      </c>
      <c r="E297" t="s">
        <v>248</v>
      </c>
    </row>
    <row r="298" spans="1:5" x14ac:dyDescent="0.3">
      <c r="A298" t="s">
        <v>237</v>
      </c>
      <c r="B298" t="s">
        <v>247</v>
      </c>
      <c r="C298">
        <v>746</v>
      </c>
      <c r="D298" t="s">
        <v>289</v>
      </c>
      <c r="E298" t="s">
        <v>245</v>
      </c>
    </row>
    <row r="299" spans="1:5" x14ac:dyDescent="0.3">
      <c r="A299" t="s">
        <v>237</v>
      </c>
      <c r="B299" t="s">
        <v>247</v>
      </c>
      <c r="C299">
        <v>747</v>
      </c>
      <c r="D299" t="s">
        <v>288</v>
      </c>
      <c r="E299" t="s">
        <v>248</v>
      </c>
    </row>
    <row r="300" spans="1:5" x14ac:dyDescent="0.3">
      <c r="A300" t="s">
        <v>237</v>
      </c>
      <c r="B300" t="s">
        <v>247</v>
      </c>
      <c r="C300">
        <v>748</v>
      </c>
      <c r="D300" t="s">
        <v>365</v>
      </c>
      <c r="E300" t="s">
        <v>245</v>
      </c>
    </row>
    <row r="301" spans="1:5" x14ac:dyDescent="0.3">
      <c r="A301" t="s">
        <v>237</v>
      </c>
      <c r="B301" t="s">
        <v>247</v>
      </c>
      <c r="C301">
        <v>749</v>
      </c>
      <c r="D301" t="s">
        <v>246</v>
      </c>
      <c r="E301" t="s">
        <v>245</v>
      </c>
    </row>
    <row r="302" spans="1:5" x14ac:dyDescent="0.3">
      <c r="A302" t="s">
        <v>237</v>
      </c>
      <c r="B302" t="s">
        <v>328</v>
      </c>
      <c r="C302">
        <v>1101</v>
      </c>
      <c r="D302" t="s">
        <v>331</v>
      </c>
      <c r="E302" t="s">
        <v>290</v>
      </c>
    </row>
    <row r="303" spans="1:5" x14ac:dyDescent="0.3">
      <c r="A303" t="s">
        <v>237</v>
      </c>
      <c r="B303" t="s">
        <v>328</v>
      </c>
      <c r="C303">
        <v>1102</v>
      </c>
      <c r="D303" t="s">
        <v>330</v>
      </c>
      <c r="E303" t="s">
        <v>290</v>
      </c>
    </row>
    <row r="304" spans="1:5" x14ac:dyDescent="0.3">
      <c r="A304" t="s">
        <v>239</v>
      </c>
      <c r="B304" t="s">
        <v>320</v>
      </c>
      <c r="C304">
        <v>107</v>
      </c>
      <c r="D304" t="s">
        <v>322</v>
      </c>
      <c r="E304" t="s">
        <v>248</v>
      </c>
    </row>
    <row r="305" spans="1:5" x14ac:dyDescent="0.3">
      <c r="A305" t="s">
        <v>239</v>
      </c>
      <c r="B305" t="s">
        <v>320</v>
      </c>
      <c r="C305">
        <v>110</v>
      </c>
      <c r="D305" t="s">
        <v>321</v>
      </c>
      <c r="E305" t="s">
        <v>290</v>
      </c>
    </row>
    <row r="306" spans="1:5" x14ac:dyDescent="0.3">
      <c r="A306" t="s">
        <v>239</v>
      </c>
      <c r="B306" t="s">
        <v>320</v>
      </c>
      <c r="C306">
        <v>129</v>
      </c>
      <c r="D306" t="s">
        <v>319</v>
      </c>
      <c r="E306" t="s">
        <v>290</v>
      </c>
    </row>
    <row r="307" spans="1:5" x14ac:dyDescent="0.3">
      <c r="A307" t="s">
        <v>239</v>
      </c>
      <c r="B307" t="s">
        <v>305</v>
      </c>
      <c r="C307">
        <v>202</v>
      </c>
      <c r="D307" t="s">
        <v>354</v>
      </c>
      <c r="E307" t="s">
        <v>290</v>
      </c>
    </row>
    <row r="308" spans="1:5" x14ac:dyDescent="0.3">
      <c r="A308" t="s">
        <v>239</v>
      </c>
      <c r="B308" t="s">
        <v>305</v>
      </c>
      <c r="C308">
        <v>203</v>
      </c>
      <c r="D308" t="s">
        <v>303</v>
      </c>
      <c r="E308" t="s">
        <v>248</v>
      </c>
    </row>
    <row r="309" spans="1:5" x14ac:dyDescent="0.3">
      <c r="A309" t="s">
        <v>239</v>
      </c>
      <c r="B309" t="s">
        <v>305</v>
      </c>
      <c r="C309">
        <v>207</v>
      </c>
      <c r="D309" t="s">
        <v>315</v>
      </c>
      <c r="E309" t="s">
        <v>248</v>
      </c>
    </row>
    <row r="310" spans="1:5" x14ac:dyDescent="0.3">
      <c r="A310" t="s">
        <v>239</v>
      </c>
      <c r="B310" t="s">
        <v>305</v>
      </c>
      <c r="C310">
        <v>214</v>
      </c>
      <c r="D310" t="s">
        <v>312</v>
      </c>
      <c r="E310" t="s">
        <v>290</v>
      </c>
    </row>
    <row r="311" spans="1:5" x14ac:dyDescent="0.3">
      <c r="A311" t="s">
        <v>239</v>
      </c>
      <c r="B311" t="s">
        <v>305</v>
      </c>
      <c r="C311">
        <v>215</v>
      </c>
      <c r="D311" t="s">
        <v>311</v>
      </c>
      <c r="E311" t="s">
        <v>248</v>
      </c>
    </row>
    <row r="312" spans="1:5" x14ac:dyDescent="0.3">
      <c r="A312" t="s">
        <v>239</v>
      </c>
      <c r="B312" t="s">
        <v>305</v>
      </c>
      <c r="C312">
        <v>218</v>
      </c>
      <c r="D312" t="s">
        <v>367</v>
      </c>
      <c r="E312" t="s">
        <v>290</v>
      </c>
    </row>
    <row r="313" spans="1:5" x14ac:dyDescent="0.3">
      <c r="A313" t="s">
        <v>239</v>
      </c>
      <c r="B313" t="s">
        <v>305</v>
      </c>
      <c r="C313">
        <v>231</v>
      </c>
      <c r="D313" t="s">
        <v>309</v>
      </c>
      <c r="E313" t="s">
        <v>248</v>
      </c>
    </row>
    <row r="314" spans="1:5" x14ac:dyDescent="0.3">
      <c r="A314" t="s">
        <v>239</v>
      </c>
      <c r="B314" t="s">
        <v>305</v>
      </c>
      <c r="C314">
        <v>234</v>
      </c>
      <c r="D314" t="s">
        <v>308</v>
      </c>
      <c r="E314" t="s">
        <v>290</v>
      </c>
    </row>
    <row r="315" spans="1:5" x14ac:dyDescent="0.3">
      <c r="A315" t="s">
        <v>239</v>
      </c>
      <c r="B315" t="s">
        <v>305</v>
      </c>
      <c r="C315">
        <v>245</v>
      </c>
      <c r="D315" t="s">
        <v>256</v>
      </c>
      <c r="E315" t="s">
        <v>290</v>
      </c>
    </row>
    <row r="316" spans="1:5" x14ac:dyDescent="0.3">
      <c r="A316" t="s">
        <v>239</v>
      </c>
      <c r="B316" t="s">
        <v>195</v>
      </c>
      <c r="C316">
        <v>301</v>
      </c>
      <c r="D316" t="s">
        <v>304</v>
      </c>
      <c r="E316" t="s">
        <v>248</v>
      </c>
    </row>
    <row r="317" spans="1:5" x14ac:dyDescent="0.3">
      <c r="A317" t="s">
        <v>239</v>
      </c>
      <c r="B317" t="s">
        <v>195</v>
      </c>
      <c r="C317">
        <v>302</v>
      </c>
      <c r="D317" t="s">
        <v>287</v>
      </c>
      <c r="E317" t="s">
        <v>248</v>
      </c>
    </row>
    <row r="318" spans="1:5" x14ac:dyDescent="0.3">
      <c r="A318" t="s">
        <v>239</v>
      </c>
      <c r="B318" t="s">
        <v>195</v>
      </c>
      <c r="C318">
        <v>303</v>
      </c>
      <c r="D318" t="s">
        <v>354</v>
      </c>
      <c r="E318" t="s">
        <v>248</v>
      </c>
    </row>
    <row r="319" spans="1:5" x14ac:dyDescent="0.3">
      <c r="A319" t="s">
        <v>239</v>
      </c>
      <c r="B319" t="s">
        <v>195</v>
      </c>
      <c r="C319">
        <v>304</v>
      </c>
      <c r="D319" t="s">
        <v>303</v>
      </c>
      <c r="E319" t="s">
        <v>248</v>
      </c>
    </row>
    <row r="320" spans="1:5" x14ac:dyDescent="0.3">
      <c r="A320" t="s">
        <v>239</v>
      </c>
      <c r="B320" t="s">
        <v>195</v>
      </c>
      <c r="C320">
        <v>310</v>
      </c>
      <c r="D320" t="s">
        <v>284</v>
      </c>
      <c r="E320" t="s">
        <v>248</v>
      </c>
    </row>
    <row r="321" spans="1:5" x14ac:dyDescent="0.3">
      <c r="A321" t="s">
        <v>239</v>
      </c>
      <c r="B321" t="s">
        <v>195</v>
      </c>
      <c r="C321">
        <v>312</v>
      </c>
      <c r="D321" t="s">
        <v>283</v>
      </c>
      <c r="E321" t="s">
        <v>264</v>
      </c>
    </row>
    <row r="322" spans="1:5" x14ac:dyDescent="0.3">
      <c r="A322" t="s">
        <v>239</v>
      </c>
      <c r="B322" t="s">
        <v>195</v>
      </c>
      <c r="C322">
        <v>316</v>
      </c>
      <c r="D322" t="s">
        <v>282</v>
      </c>
      <c r="E322" t="s">
        <v>248</v>
      </c>
    </row>
    <row r="323" spans="1:5" x14ac:dyDescent="0.3">
      <c r="A323" t="s">
        <v>239</v>
      </c>
      <c r="B323" t="s">
        <v>195</v>
      </c>
      <c r="C323">
        <v>318</v>
      </c>
      <c r="D323" t="s">
        <v>280</v>
      </c>
      <c r="E323" t="s">
        <v>248</v>
      </c>
    </row>
    <row r="324" spans="1:5" x14ac:dyDescent="0.3">
      <c r="A324" t="s">
        <v>239</v>
      </c>
      <c r="B324" t="s">
        <v>195</v>
      </c>
      <c r="C324">
        <v>329</v>
      </c>
      <c r="D324" t="s">
        <v>275</v>
      </c>
      <c r="E324" t="s">
        <v>248</v>
      </c>
    </row>
    <row r="325" spans="1:5" x14ac:dyDescent="0.3">
      <c r="A325" t="s">
        <v>239</v>
      </c>
      <c r="B325" t="s">
        <v>195</v>
      </c>
      <c r="C325">
        <v>330</v>
      </c>
      <c r="D325" t="s">
        <v>274</v>
      </c>
      <c r="E325" t="s">
        <v>248</v>
      </c>
    </row>
    <row r="326" spans="1:5" x14ac:dyDescent="0.3">
      <c r="A326" t="s">
        <v>239</v>
      </c>
      <c r="B326" t="s">
        <v>195</v>
      </c>
      <c r="C326">
        <v>331</v>
      </c>
      <c r="D326" t="s">
        <v>273</v>
      </c>
      <c r="E326" t="s">
        <v>248</v>
      </c>
    </row>
    <row r="327" spans="1:5" x14ac:dyDescent="0.3">
      <c r="A327" t="s">
        <v>239</v>
      </c>
      <c r="B327" t="s">
        <v>195</v>
      </c>
      <c r="C327">
        <v>332</v>
      </c>
      <c r="D327" t="s">
        <v>272</v>
      </c>
      <c r="E327" t="s">
        <v>248</v>
      </c>
    </row>
    <row r="328" spans="1:5" x14ac:dyDescent="0.3">
      <c r="A328" t="s">
        <v>239</v>
      </c>
      <c r="B328" t="s">
        <v>195</v>
      </c>
      <c r="C328">
        <v>333</v>
      </c>
      <c r="D328" t="s">
        <v>271</v>
      </c>
      <c r="E328" t="s">
        <v>264</v>
      </c>
    </row>
    <row r="329" spans="1:5" x14ac:dyDescent="0.3">
      <c r="A329" t="s">
        <v>239</v>
      </c>
      <c r="B329" t="s">
        <v>195</v>
      </c>
      <c r="C329">
        <v>344</v>
      </c>
      <c r="D329" t="s">
        <v>265</v>
      </c>
      <c r="E329" t="s">
        <v>264</v>
      </c>
    </row>
    <row r="330" spans="1:5" x14ac:dyDescent="0.3">
      <c r="A330" t="s">
        <v>239</v>
      </c>
      <c r="B330" t="s">
        <v>195</v>
      </c>
      <c r="C330">
        <v>345</v>
      </c>
      <c r="D330" t="s">
        <v>263</v>
      </c>
      <c r="E330" t="s">
        <v>248</v>
      </c>
    </row>
    <row r="331" spans="1:5" x14ac:dyDescent="0.3">
      <c r="A331" t="s">
        <v>239</v>
      </c>
      <c r="B331" t="s">
        <v>195</v>
      </c>
      <c r="C331">
        <v>355</v>
      </c>
      <c r="D331" t="s">
        <v>261</v>
      </c>
      <c r="E331" t="s">
        <v>248</v>
      </c>
    </row>
    <row r="332" spans="1:5" x14ac:dyDescent="0.3">
      <c r="A332" t="s">
        <v>239</v>
      </c>
      <c r="B332" t="s">
        <v>195</v>
      </c>
      <c r="C332">
        <v>361</v>
      </c>
      <c r="D332" t="s">
        <v>351</v>
      </c>
      <c r="E332" t="s">
        <v>248</v>
      </c>
    </row>
    <row r="333" spans="1:5" x14ac:dyDescent="0.3">
      <c r="A333" t="s">
        <v>239</v>
      </c>
      <c r="B333" t="s">
        <v>195</v>
      </c>
      <c r="C333">
        <v>372</v>
      </c>
      <c r="D333" t="s">
        <v>257</v>
      </c>
      <c r="E333" t="s">
        <v>248</v>
      </c>
    </row>
    <row r="334" spans="1:5" x14ac:dyDescent="0.3">
      <c r="A334" t="s">
        <v>239</v>
      </c>
      <c r="B334" t="s">
        <v>195</v>
      </c>
      <c r="C334">
        <v>387</v>
      </c>
      <c r="D334" t="s">
        <v>256</v>
      </c>
      <c r="E334" t="s">
        <v>248</v>
      </c>
    </row>
    <row r="335" spans="1:5" x14ac:dyDescent="0.3">
      <c r="A335" t="s">
        <v>239</v>
      </c>
      <c r="B335" t="s">
        <v>247</v>
      </c>
      <c r="C335">
        <v>706</v>
      </c>
      <c r="D335" t="s">
        <v>294</v>
      </c>
      <c r="E335" t="s">
        <v>245</v>
      </c>
    </row>
    <row r="336" spans="1:5" x14ac:dyDescent="0.3">
      <c r="A336" t="s">
        <v>239</v>
      </c>
      <c r="B336" t="s">
        <v>247</v>
      </c>
      <c r="C336">
        <v>712</v>
      </c>
      <c r="D336" t="s">
        <v>254</v>
      </c>
      <c r="E336" t="s">
        <v>245</v>
      </c>
    </row>
    <row r="337" spans="1:5" x14ac:dyDescent="0.3">
      <c r="A337" t="s">
        <v>239</v>
      </c>
      <c r="B337" t="s">
        <v>247</v>
      </c>
      <c r="C337">
        <v>714</v>
      </c>
      <c r="D337" t="s">
        <v>293</v>
      </c>
      <c r="E337" t="s">
        <v>290</v>
      </c>
    </row>
    <row r="338" spans="1:5" x14ac:dyDescent="0.3">
      <c r="A338" t="s">
        <v>239</v>
      </c>
      <c r="B338" t="s">
        <v>247</v>
      </c>
      <c r="C338">
        <v>739</v>
      </c>
      <c r="D338" t="s">
        <v>252</v>
      </c>
      <c r="E338" t="s">
        <v>245</v>
      </c>
    </row>
    <row r="339" spans="1:5" x14ac:dyDescent="0.3">
      <c r="A339" t="s">
        <v>239</v>
      </c>
      <c r="B339" t="s">
        <v>247</v>
      </c>
      <c r="C339">
        <v>740</v>
      </c>
      <c r="D339" t="s">
        <v>251</v>
      </c>
      <c r="E339" t="s">
        <v>245</v>
      </c>
    </row>
    <row r="340" spans="1:5" x14ac:dyDescent="0.3">
      <c r="A340" t="s">
        <v>239</v>
      </c>
      <c r="B340" t="s">
        <v>247</v>
      </c>
      <c r="C340">
        <v>742</v>
      </c>
      <c r="D340" t="s">
        <v>250</v>
      </c>
      <c r="E340" t="s">
        <v>248</v>
      </c>
    </row>
    <row r="341" spans="1:5" x14ac:dyDescent="0.3">
      <c r="A341" t="s">
        <v>239</v>
      </c>
      <c r="B341" t="s">
        <v>247</v>
      </c>
      <c r="C341">
        <v>743</v>
      </c>
      <c r="D341" t="s">
        <v>332</v>
      </c>
      <c r="E341" t="s">
        <v>290</v>
      </c>
    </row>
    <row r="342" spans="1:5" x14ac:dyDescent="0.3">
      <c r="A342" t="s">
        <v>239</v>
      </c>
      <c r="B342" t="s">
        <v>247</v>
      </c>
      <c r="C342">
        <v>744</v>
      </c>
      <c r="D342" t="s">
        <v>291</v>
      </c>
      <c r="E342" t="s">
        <v>290</v>
      </c>
    </row>
    <row r="343" spans="1:5" x14ac:dyDescent="0.3">
      <c r="A343" t="s">
        <v>239</v>
      </c>
      <c r="B343" t="s">
        <v>247</v>
      </c>
      <c r="C343">
        <v>745</v>
      </c>
      <c r="D343" t="s">
        <v>249</v>
      </c>
      <c r="E343" t="s">
        <v>248</v>
      </c>
    </row>
    <row r="344" spans="1:5" x14ac:dyDescent="0.3">
      <c r="A344" t="s">
        <v>239</v>
      </c>
      <c r="B344" t="s">
        <v>247</v>
      </c>
      <c r="C344">
        <v>746</v>
      </c>
      <c r="D344" t="s">
        <v>289</v>
      </c>
      <c r="E344" t="s">
        <v>245</v>
      </c>
    </row>
    <row r="345" spans="1:5" x14ac:dyDescent="0.3">
      <c r="A345" t="s">
        <v>239</v>
      </c>
      <c r="B345" t="s">
        <v>328</v>
      </c>
      <c r="C345">
        <v>1102</v>
      </c>
      <c r="D345" t="s">
        <v>330</v>
      </c>
      <c r="E345" t="s">
        <v>290</v>
      </c>
    </row>
    <row r="346" spans="1:5" x14ac:dyDescent="0.3">
      <c r="A346" t="s">
        <v>194</v>
      </c>
      <c r="B346" t="s">
        <v>320</v>
      </c>
      <c r="C346">
        <v>105</v>
      </c>
      <c r="D346" t="s">
        <v>361</v>
      </c>
      <c r="E346" t="s">
        <v>248</v>
      </c>
    </row>
    <row r="347" spans="1:5" x14ac:dyDescent="0.3">
      <c r="A347" t="s">
        <v>194</v>
      </c>
      <c r="B347" t="s">
        <v>320</v>
      </c>
      <c r="C347">
        <v>106</v>
      </c>
      <c r="D347" t="s">
        <v>360</v>
      </c>
      <c r="E347" t="s">
        <v>248</v>
      </c>
    </row>
    <row r="348" spans="1:5" x14ac:dyDescent="0.3">
      <c r="A348" t="s">
        <v>194</v>
      </c>
      <c r="B348" t="s">
        <v>320</v>
      </c>
      <c r="C348">
        <v>107</v>
      </c>
      <c r="D348" t="s">
        <v>322</v>
      </c>
      <c r="E348" t="s">
        <v>248</v>
      </c>
    </row>
    <row r="349" spans="1:5" x14ac:dyDescent="0.3">
      <c r="A349" t="s">
        <v>194</v>
      </c>
      <c r="B349" t="s">
        <v>320</v>
      </c>
      <c r="C349">
        <v>108</v>
      </c>
      <c r="D349" t="s">
        <v>359</v>
      </c>
      <c r="E349" t="s">
        <v>290</v>
      </c>
    </row>
    <row r="350" spans="1:5" x14ac:dyDescent="0.3">
      <c r="A350" t="s">
        <v>194</v>
      </c>
      <c r="B350" t="s">
        <v>320</v>
      </c>
      <c r="C350">
        <v>109</v>
      </c>
      <c r="D350" t="s">
        <v>358</v>
      </c>
      <c r="E350" t="s">
        <v>290</v>
      </c>
    </row>
    <row r="351" spans="1:5" x14ac:dyDescent="0.3">
      <c r="A351" t="s">
        <v>194</v>
      </c>
      <c r="B351" t="s">
        <v>320</v>
      </c>
      <c r="C351">
        <v>110</v>
      </c>
      <c r="D351" t="s">
        <v>321</v>
      </c>
      <c r="E351" t="s">
        <v>290</v>
      </c>
    </row>
    <row r="352" spans="1:5" x14ac:dyDescent="0.3">
      <c r="A352" t="s">
        <v>194</v>
      </c>
      <c r="B352" t="s">
        <v>320</v>
      </c>
      <c r="C352">
        <v>120</v>
      </c>
      <c r="D352" t="s">
        <v>357</v>
      </c>
      <c r="E352" t="s">
        <v>264</v>
      </c>
    </row>
    <row r="353" spans="1:5" x14ac:dyDescent="0.3">
      <c r="A353" t="s">
        <v>194</v>
      </c>
      <c r="B353" t="s">
        <v>320</v>
      </c>
      <c r="C353">
        <v>129</v>
      </c>
      <c r="D353" t="s">
        <v>319</v>
      </c>
      <c r="E353" t="s">
        <v>290</v>
      </c>
    </row>
    <row r="354" spans="1:5" x14ac:dyDescent="0.3">
      <c r="A354" t="s">
        <v>194</v>
      </c>
      <c r="B354" t="s">
        <v>320</v>
      </c>
      <c r="C354">
        <v>130</v>
      </c>
      <c r="D354" t="s">
        <v>356</v>
      </c>
      <c r="E354" t="s">
        <v>290</v>
      </c>
    </row>
    <row r="355" spans="1:5" x14ac:dyDescent="0.3">
      <c r="A355" t="s">
        <v>194</v>
      </c>
      <c r="B355" t="s">
        <v>320</v>
      </c>
      <c r="C355">
        <v>131</v>
      </c>
      <c r="D355" t="s">
        <v>355</v>
      </c>
      <c r="E355" t="s">
        <v>290</v>
      </c>
    </row>
    <row r="356" spans="1:5" x14ac:dyDescent="0.3">
      <c r="A356" t="s">
        <v>194</v>
      </c>
      <c r="B356" t="s">
        <v>305</v>
      </c>
      <c r="C356">
        <v>201</v>
      </c>
      <c r="D356" t="s">
        <v>318</v>
      </c>
      <c r="E356" t="s">
        <v>290</v>
      </c>
    </row>
    <row r="357" spans="1:5" x14ac:dyDescent="0.3">
      <c r="A357" t="s">
        <v>194</v>
      </c>
      <c r="B357" t="s">
        <v>305</v>
      </c>
      <c r="C357">
        <v>202</v>
      </c>
      <c r="D357" t="s">
        <v>354</v>
      </c>
      <c r="E357" t="s">
        <v>290</v>
      </c>
    </row>
    <row r="358" spans="1:5" x14ac:dyDescent="0.3">
      <c r="A358" t="s">
        <v>194</v>
      </c>
      <c r="B358" t="s">
        <v>305</v>
      </c>
      <c r="C358">
        <v>203</v>
      </c>
      <c r="D358" t="s">
        <v>303</v>
      </c>
      <c r="E358" t="s">
        <v>248</v>
      </c>
    </row>
    <row r="359" spans="1:5" x14ac:dyDescent="0.3">
      <c r="A359" t="s">
        <v>194</v>
      </c>
      <c r="B359" t="s">
        <v>305</v>
      </c>
      <c r="C359">
        <v>204</v>
      </c>
      <c r="D359" t="s">
        <v>317</v>
      </c>
      <c r="E359" t="s">
        <v>248</v>
      </c>
    </row>
    <row r="360" spans="1:5" x14ac:dyDescent="0.3">
      <c r="A360" t="s">
        <v>194</v>
      </c>
      <c r="B360" t="s">
        <v>305</v>
      </c>
      <c r="C360">
        <v>205</v>
      </c>
      <c r="D360" t="s">
        <v>316</v>
      </c>
      <c r="E360" t="s">
        <v>248</v>
      </c>
    </row>
    <row r="361" spans="1:5" x14ac:dyDescent="0.3">
      <c r="A361" t="s">
        <v>194</v>
      </c>
      <c r="B361" t="s">
        <v>305</v>
      </c>
      <c r="C361">
        <v>207</v>
      </c>
      <c r="D361" t="s">
        <v>315</v>
      </c>
      <c r="E361" t="s">
        <v>290</v>
      </c>
    </row>
    <row r="362" spans="1:5" x14ac:dyDescent="0.3">
      <c r="A362" t="s">
        <v>194</v>
      </c>
      <c r="B362" t="s">
        <v>305</v>
      </c>
      <c r="C362">
        <v>208</v>
      </c>
      <c r="D362" t="s">
        <v>314</v>
      </c>
      <c r="E362" t="s">
        <v>290</v>
      </c>
    </row>
    <row r="363" spans="1:5" x14ac:dyDescent="0.3">
      <c r="A363" t="s">
        <v>194</v>
      </c>
      <c r="B363" t="s">
        <v>305</v>
      </c>
      <c r="C363">
        <v>209</v>
      </c>
      <c r="D363" t="s">
        <v>313</v>
      </c>
      <c r="E363" t="s">
        <v>290</v>
      </c>
    </row>
    <row r="364" spans="1:5" x14ac:dyDescent="0.3">
      <c r="A364" t="s">
        <v>194</v>
      </c>
      <c r="B364" t="s">
        <v>305</v>
      </c>
      <c r="C364">
        <v>210</v>
      </c>
      <c r="D364" t="s">
        <v>300</v>
      </c>
      <c r="E364" t="s">
        <v>290</v>
      </c>
    </row>
    <row r="365" spans="1:5" x14ac:dyDescent="0.3">
      <c r="A365" t="s">
        <v>194</v>
      </c>
      <c r="B365" t="s">
        <v>305</v>
      </c>
      <c r="C365">
        <v>211</v>
      </c>
      <c r="D365" t="s">
        <v>340</v>
      </c>
      <c r="E365" t="s">
        <v>248</v>
      </c>
    </row>
    <row r="366" spans="1:5" x14ac:dyDescent="0.3">
      <c r="A366" t="s">
        <v>194</v>
      </c>
      <c r="B366" t="s">
        <v>305</v>
      </c>
      <c r="C366">
        <v>212</v>
      </c>
      <c r="D366" t="s">
        <v>353</v>
      </c>
      <c r="E366" t="s">
        <v>290</v>
      </c>
    </row>
    <row r="367" spans="1:5" x14ac:dyDescent="0.3">
      <c r="A367" t="s">
        <v>194</v>
      </c>
      <c r="B367" t="s">
        <v>305</v>
      </c>
      <c r="C367">
        <v>213</v>
      </c>
      <c r="D367" t="s">
        <v>258</v>
      </c>
      <c r="E367" t="s">
        <v>290</v>
      </c>
    </row>
    <row r="368" spans="1:5" x14ac:dyDescent="0.3">
      <c r="A368" t="s">
        <v>194</v>
      </c>
      <c r="B368" t="s">
        <v>305</v>
      </c>
      <c r="C368">
        <v>214</v>
      </c>
      <c r="D368" t="s">
        <v>312</v>
      </c>
      <c r="E368" t="s">
        <v>290</v>
      </c>
    </row>
    <row r="369" spans="1:5" x14ac:dyDescent="0.3">
      <c r="A369" t="s">
        <v>194</v>
      </c>
      <c r="B369" t="s">
        <v>305</v>
      </c>
      <c r="C369">
        <v>215</v>
      </c>
      <c r="D369" t="s">
        <v>311</v>
      </c>
      <c r="E369" t="s">
        <v>290</v>
      </c>
    </row>
    <row r="370" spans="1:5" x14ac:dyDescent="0.3">
      <c r="A370" t="s">
        <v>194</v>
      </c>
      <c r="B370" t="s">
        <v>305</v>
      </c>
      <c r="C370">
        <v>217</v>
      </c>
      <c r="D370" t="s">
        <v>310</v>
      </c>
      <c r="E370" t="s">
        <v>290</v>
      </c>
    </row>
    <row r="371" spans="1:5" x14ac:dyDescent="0.3">
      <c r="A371" t="s">
        <v>194</v>
      </c>
      <c r="B371" t="s">
        <v>305</v>
      </c>
      <c r="C371">
        <v>227</v>
      </c>
      <c r="D371" t="s">
        <v>347</v>
      </c>
      <c r="E371" t="s">
        <v>290</v>
      </c>
    </row>
    <row r="372" spans="1:5" x14ac:dyDescent="0.3">
      <c r="A372" t="s">
        <v>194</v>
      </c>
      <c r="B372" t="s">
        <v>305</v>
      </c>
      <c r="C372">
        <v>231</v>
      </c>
      <c r="D372" t="s">
        <v>309</v>
      </c>
      <c r="E372" t="s">
        <v>290</v>
      </c>
    </row>
    <row r="373" spans="1:5" x14ac:dyDescent="0.3">
      <c r="A373" t="s">
        <v>194</v>
      </c>
      <c r="B373" t="s">
        <v>305</v>
      </c>
      <c r="C373">
        <v>232</v>
      </c>
      <c r="D373" t="s">
        <v>350</v>
      </c>
      <c r="E373" t="s">
        <v>290</v>
      </c>
    </row>
    <row r="374" spans="1:5" x14ac:dyDescent="0.3">
      <c r="A374" t="s">
        <v>194</v>
      </c>
      <c r="B374" t="s">
        <v>305</v>
      </c>
      <c r="C374">
        <v>233</v>
      </c>
      <c r="D374" t="s">
        <v>349</v>
      </c>
      <c r="E374" t="s">
        <v>290</v>
      </c>
    </row>
    <row r="375" spans="1:5" x14ac:dyDescent="0.3">
      <c r="A375" t="s">
        <v>194</v>
      </c>
      <c r="B375" t="s">
        <v>305</v>
      </c>
      <c r="C375">
        <v>234</v>
      </c>
      <c r="D375" t="s">
        <v>308</v>
      </c>
      <c r="E375" t="s">
        <v>290</v>
      </c>
    </row>
    <row r="376" spans="1:5" x14ac:dyDescent="0.3">
      <c r="A376" t="s">
        <v>194</v>
      </c>
      <c r="B376" t="s">
        <v>305</v>
      </c>
      <c r="C376">
        <v>235</v>
      </c>
      <c r="D376" t="s">
        <v>307</v>
      </c>
      <c r="E376" t="s">
        <v>290</v>
      </c>
    </row>
    <row r="377" spans="1:5" x14ac:dyDescent="0.3">
      <c r="A377" t="s">
        <v>194</v>
      </c>
      <c r="B377" t="s">
        <v>305</v>
      </c>
      <c r="C377">
        <v>237</v>
      </c>
      <c r="D377" t="s">
        <v>306</v>
      </c>
      <c r="E377" t="s">
        <v>290</v>
      </c>
    </row>
    <row r="378" spans="1:5" x14ac:dyDescent="0.3">
      <c r="A378" t="s">
        <v>194</v>
      </c>
      <c r="B378" t="s">
        <v>305</v>
      </c>
      <c r="C378">
        <v>245</v>
      </c>
      <c r="D378" t="s">
        <v>256</v>
      </c>
      <c r="E378" t="s">
        <v>290</v>
      </c>
    </row>
    <row r="379" spans="1:5" x14ac:dyDescent="0.3">
      <c r="A379" t="s">
        <v>194</v>
      </c>
      <c r="B379" t="s">
        <v>195</v>
      </c>
      <c r="C379">
        <v>301</v>
      </c>
      <c r="D379" t="s">
        <v>304</v>
      </c>
      <c r="E379" t="s">
        <v>248</v>
      </c>
    </row>
    <row r="380" spans="1:5" x14ac:dyDescent="0.3">
      <c r="A380" t="s">
        <v>194</v>
      </c>
      <c r="B380" t="s">
        <v>195</v>
      </c>
      <c r="C380">
        <v>302</v>
      </c>
      <c r="D380" t="s">
        <v>287</v>
      </c>
      <c r="E380" t="s">
        <v>248</v>
      </c>
    </row>
    <row r="381" spans="1:5" x14ac:dyDescent="0.3">
      <c r="A381" t="s">
        <v>194</v>
      </c>
      <c r="B381" t="s">
        <v>195</v>
      </c>
      <c r="C381">
        <v>303</v>
      </c>
      <c r="D381" t="s">
        <v>354</v>
      </c>
      <c r="E381" t="s">
        <v>248</v>
      </c>
    </row>
    <row r="382" spans="1:5" x14ac:dyDescent="0.3">
      <c r="A382" t="s">
        <v>194</v>
      </c>
      <c r="B382" t="s">
        <v>195</v>
      </c>
      <c r="C382">
        <v>304</v>
      </c>
      <c r="D382" t="s">
        <v>303</v>
      </c>
      <c r="E382" t="s">
        <v>248</v>
      </c>
    </row>
    <row r="383" spans="1:5" x14ac:dyDescent="0.3">
      <c r="A383" t="s">
        <v>194</v>
      </c>
      <c r="B383" t="s">
        <v>195</v>
      </c>
      <c r="C383">
        <v>306</v>
      </c>
      <c r="D383" t="s">
        <v>353</v>
      </c>
      <c r="E383" t="s">
        <v>248</v>
      </c>
    </row>
    <row r="384" spans="1:5" x14ac:dyDescent="0.3">
      <c r="A384" t="s">
        <v>194</v>
      </c>
      <c r="B384" t="s">
        <v>195</v>
      </c>
      <c r="C384">
        <v>308</v>
      </c>
      <c r="D384" t="s">
        <v>286</v>
      </c>
      <c r="E384" t="s">
        <v>248</v>
      </c>
    </row>
    <row r="385" spans="1:5" x14ac:dyDescent="0.3">
      <c r="A385" t="s">
        <v>194</v>
      </c>
      <c r="B385" t="s">
        <v>195</v>
      </c>
      <c r="C385">
        <v>309</v>
      </c>
      <c r="D385" t="s">
        <v>285</v>
      </c>
      <c r="E385" t="s">
        <v>248</v>
      </c>
    </row>
    <row r="386" spans="1:5" x14ac:dyDescent="0.3">
      <c r="A386" t="s">
        <v>194</v>
      </c>
      <c r="B386" t="s">
        <v>195</v>
      </c>
      <c r="C386">
        <v>310</v>
      </c>
      <c r="D386" t="s">
        <v>284</v>
      </c>
      <c r="E386" t="s">
        <v>248</v>
      </c>
    </row>
    <row r="387" spans="1:5" x14ac:dyDescent="0.3">
      <c r="A387" t="s">
        <v>194</v>
      </c>
      <c r="B387" t="s">
        <v>195</v>
      </c>
      <c r="C387">
        <v>312</v>
      </c>
      <c r="D387" t="s">
        <v>283</v>
      </c>
      <c r="E387" t="s">
        <v>264</v>
      </c>
    </row>
    <row r="388" spans="1:5" x14ac:dyDescent="0.3">
      <c r="A388" t="s">
        <v>194</v>
      </c>
      <c r="B388" t="s">
        <v>195</v>
      </c>
      <c r="C388">
        <v>316</v>
      </c>
      <c r="D388" t="s">
        <v>282</v>
      </c>
      <c r="E388" t="s">
        <v>248</v>
      </c>
    </row>
    <row r="389" spans="1:5" x14ac:dyDescent="0.3">
      <c r="A389" t="s">
        <v>194</v>
      </c>
      <c r="B389" t="s">
        <v>195</v>
      </c>
      <c r="C389">
        <v>317</v>
      </c>
      <c r="D389" t="s">
        <v>281</v>
      </c>
      <c r="E389" t="s">
        <v>248</v>
      </c>
    </row>
    <row r="390" spans="1:5" x14ac:dyDescent="0.3">
      <c r="A390" t="s">
        <v>194</v>
      </c>
      <c r="B390" t="s">
        <v>195</v>
      </c>
      <c r="C390">
        <v>318</v>
      </c>
      <c r="D390" t="s">
        <v>280</v>
      </c>
      <c r="E390" t="s">
        <v>248</v>
      </c>
    </row>
    <row r="391" spans="1:5" x14ac:dyDescent="0.3">
      <c r="A391" t="s">
        <v>194</v>
      </c>
      <c r="B391" t="s">
        <v>195</v>
      </c>
      <c r="C391">
        <v>320</v>
      </c>
      <c r="D391" t="s">
        <v>279</v>
      </c>
      <c r="E391" t="s">
        <v>248</v>
      </c>
    </row>
    <row r="392" spans="1:5" x14ac:dyDescent="0.3">
      <c r="A392" t="s">
        <v>194</v>
      </c>
      <c r="B392" t="s">
        <v>195</v>
      </c>
      <c r="C392">
        <v>321</v>
      </c>
      <c r="D392" t="s">
        <v>326</v>
      </c>
      <c r="E392" t="s">
        <v>248</v>
      </c>
    </row>
    <row r="393" spans="1:5" x14ac:dyDescent="0.3">
      <c r="A393" t="s">
        <v>194</v>
      </c>
      <c r="B393" t="s">
        <v>195</v>
      </c>
      <c r="C393">
        <v>323</v>
      </c>
      <c r="D393" t="s">
        <v>302</v>
      </c>
      <c r="E393" t="s">
        <v>248</v>
      </c>
    </row>
    <row r="394" spans="1:5" x14ac:dyDescent="0.3">
      <c r="A394" t="s">
        <v>194</v>
      </c>
      <c r="B394" t="s">
        <v>195</v>
      </c>
      <c r="C394">
        <v>325</v>
      </c>
      <c r="D394" t="s">
        <v>278</v>
      </c>
      <c r="E394" t="s">
        <v>248</v>
      </c>
    </row>
    <row r="395" spans="1:5" x14ac:dyDescent="0.3">
      <c r="A395" t="s">
        <v>194</v>
      </c>
      <c r="B395" t="s">
        <v>195</v>
      </c>
      <c r="C395">
        <v>326</v>
      </c>
      <c r="D395" t="s">
        <v>277</v>
      </c>
      <c r="E395" t="s">
        <v>248</v>
      </c>
    </row>
    <row r="396" spans="1:5" x14ac:dyDescent="0.3">
      <c r="A396" t="s">
        <v>194</v>
      </c>
      <c r="B396" t="s">
        <v>195</v>
      </c>
      <c r="C396">
        <v>327</v>
      </c>
      <c r="D396" t="s">
        <v>276</v>
      </c>
      <c r="E396" t="s">
        <v>248</v>
      </c>
    </row>
    <row r="397" spans="1:5" x14ac:dyDescent="0.3">
      <c r="A397" t="s">
        <v>194</v>
      </c>
      <c r="B397" t="s">
        <v>195</v>
      </c>
      <c r="C397">
        <v>329</v>
      </c>
      <c r="D397" t="s">
        <v>275</v>
      </c>
      <c r="E397" t="s">
        <v>248</v>
      </c>
    </row>
    <row r="398" spans="1:5" x14ac:dyDescent="0.3">
      <c r="A398" t="s">
        <v>194</v>
      </c>
      <c r="B398" t="s">
        <v>195</v>
      </c>
      <c r="C398">
        <v>330</v>
      </c>
      <c r="D398" t="s">
        <v>274</v>
      </c>
      <c r="E398" t="s">
        <v>248</v>
      </c>
    </row>
    <row r="399" spans="1:5" x14ac:dyDescent="0.3">
      <c r="A399" t="s">
        <v>194</v>
      </c>
      <c r="B399" t="s">
        <v>195</v>
      </c>
      <c r="C399">
        <v>331</v>
      </c>
      <c r="D399" t="s">
        <v>273</v>
      </c>
      <c r="E399" t="s">
        <v>248</v>
      </c>
    </row>
    <row r="400" spans="1:5" x14ac:dyDescent="0.3">
      <c r="A400" t="s">
        <v>194</v>
      </c>
      <c r="B400" t="s">
        <v>195</v>
      </c>
      <c r="C400">
        <v>332</v>
      </c>
      <c r="D400" t="s">
        <v>272</v>
      </c>
      <c r="E400" t="s">
        <v>248</v>
      </c>
    </row>
    <row r="401" spans="1:5" x14ac:dyDescent="0.3">
      <c r="A401" t="s">
        <v>194</v>
      </c>
      <c r="B401" t="s">
        <v>195</v>
      </c>
      <c r="C401">
        <v>333</v>
      </c>
      <c r="D401" t="s">
        <v>271</v>
      </c>
      <c r="E401" t="s">
        <v>264</v>
      </c>
    </row>
    <row r="402" spans="1:5" x14ac:dyDescent="0.3">
      <c r="A402" t="s">
        <v>194</v>
      </c>
      <c r="B402" t="s">
        <v>195</v>
      </c>
      <c r="C402">
        <v>335</v>
      </c>
      <c r="D402" t="s">
        <v>270</v>
      </c>
      <c r="E402" t="s">
        <v>248</v>
      </c>
    </row>
    <row r="403" spans="1:5" x14ac:dyDescent="0.3">
      <c r="A403" t="s">
        <v>194</v>
      </c>
      <c r="B403" t="s">
        <v>195</v>
      </c>
      <c r="C403">
        <v>336</v>
      </c>
      <c r="D403" t="s">
        <v>301</v>
      </c>
      <c r="E403" t="s">
        <v>248</v>
      </c>
    </row>
    <row r="404" spans="1:5" x14ac:dyDescent="0.3">
      <c r="A404" t="s">
        <v>194</v>
      </c>
      <c r="B404" t="s">
        <v>195</v>
      </c>
      <c r="C404">
        <v>337</v>
      </c>
      <c r="D404" t="s">
        <v>269</v>
      </c>
      <c r="E404" t="s">
        <v>264</v>
      </c>
    </row>
    <row r="405" spans="1:5" x14ac:dyDescent="0.3">
      <c r="A405" t="s">
        <v>194</v>
      </c>
      <c r="B405" t="s">
        <v>195</v>
      </c>
      <c r="C405">
        <v>339</v>
      </c>
      <c r="D405" t="s">
        <v>268</v>
      </c>
      <c r="E405" t="s">
        <v>248</v>
      </c>
    </row>
    <row r="406" spans="1:5" x14ac:dyDescent="0.3">
      <c r="A406" t="s">
        <v>194</v>
      </c>
      <c r="B406" t="s">
        <v>195</v>
      </c>
      <c r="C406">
        <v>340</v>
      </c>
      <c r="D406" t="s">
        <v>267</v>
      </c>
      <c r="E406" t="s">
        <v>248</v>
      </c>
    </row>
    <row r="407" spans="1:5" x14ac:dyDescent="0.3">
      <c r="A407" t="s">
        <v>194</v>
      </c>
      <c r="B407" t="s">
        <v>195</v>
      </c>
      <c r="C407">
        <v>342</v>
      </c>
      <c r="D407" t="s">
        <v>266</v>
      </c>
      <c r="E407" t="s">
        <v>248</v>
      </c>
    </row>
    <row r="408" spans="1:5" x14ac:dyDescent="0.3">
      <c r="A408" t="s">
        <v>194</v>
      </c>
      <c r="B408" t="s">
        <v>195</v>
      </c>
      <c r="C408">
        <v>344</v>
      </c>
      <c r="D408" t="s">
        <v>265</v>
      </c>
      <c r="E408" t="s">
        <v>264</v>
      </c>
    </row>
    <row r="409" spans="1:5" x14ac:dyDescent="0.3">
      <c r="A409" t="s">
        <v>194</v>
      </c>
      <c r="B409" t="s">
        <v>195</v>
      </c>
      <c r="C409">
        <v>345</v>
      </c>
      <c r="D409" t="s">
        <v>263</v>
      </c>
      <c r="E409" t="s">
        <v>248</v>
      </c>
    </row>
    <row r="410" spans="1:5" x14ac:dyDescent="0.3">
      <c r="A410" t="s">
        <v>194</v>
      </c>
      <c r="B410" t="s">
        <v>195</v>
      </c>
      <c r="C410">
        <v>347</v>
      </c>
      <c r="D410" t="s">
        <v>352</v>
      </c>
      <c r="E410" t="s">
        <v>248</v>
      </c>
    </row>
    <row r="411" spans="1:5" x14ac:dyDescent="0.3">
      <c r="A411" t="s">
        <v>194</v>
      </c>
      <c r="B411" t="s">
        <v>195</v>
      </c>
      <c r="C411">
        <v>348</v>
      </c>
      <c r="D411" t="s">
        <v>262</v>
      </c>
      <c r="E411" t="s">
        <v>248</v>
      </c>
    </row>
    <row r="412" spans="1:5" x14ac:dyDescent="0.3">
      <c r="A412" t="s">
        <v>194</v>
      </c>
      <c r="B412" t="s">
        <v>195</v>
      </c>
      <c r="C412">
        <v>355</v>
      </c>
      <c r="D412" t="s">
        <v>261</v>
      </c>
      <c r="E412" t="s">
        <v>248</v>
      </c>
    </row>
    <row r="413" spans="1:5" x14ac:dyDescent="0.3">
      <c r="A413" t="s">
        <v>194</v>
      </c>
      <c r="B413" t="s">
        <v>195</v>
      </c>
      <c r="C413">
        <v>356</v>
      </c>
      <c r="D413" t="s">
        <v>260</v>
      </c>
      <c r="E413" t="s">
        <v>248</v>
      </c>
    </row>
    <row r="414" spans="1:5" x14ac:dyDescent="0.3">
      <c r="A414" t="s">
        <v>194</v>
      </c>
      <c r="B414" t="s">
        <v>195</v>
      </c>
      <c r="C414">
        <v>361</v>
      </c>
      <c r="D414" t="s">
        <v>351</v>
      </c>
      <c r="E414" t="s">
        <v>248</v>
      </c>
    </row>
    <row r="415" spans="1:5" x14ac:dyDescent="0.3">
      <c r="A415" t="s">
        <v>194</v>
      </c>
      <c r="B415" t="s">
        <v>195</v>
      </c>
      <c r="C415">
        <v>362</v>
      </c>
      <c r="D415" t="s">
        <v>318</v>
      </c>
      <c r="E415" t="s">
        <v>248</v>
      </c>
    </row>
    <row r="416" spans="1:5" x14ac:dyDescent="0.3">
      <c r="A416" t="s">
        <v>194</v>
      </c>
      <c r="B416" t="s">
        <v>195</v>
      </c>
      <c r="C416">
        <v>363</v>
      </c>
      <c r="D416" t="s">
        <v>259</v>
      </c>
      <c r="E416" t="s">
        <v>248</v>
      </c>
    </row>
    <row r="417" spans="1:5" x14ac:dyDescent="0.3">
      <c r="A417" t="s">
        <v>194</v>
      </c>
      <c r="B417" t="s">
        <v>195</v>
      </c>
      <c r="C417">
        <v>364</v>
      </c>
      <c r="D417" t="s">
        <v>350</v>
      </c>
      <c r="E417" t="s">
        <v>248</v>
      </c>
    </row>
    <row r="418" spans="1:5" x14ac:dyDescent="0.3">
      <c r="A418" t="s">
        <v>194</v>
      </c>
      <c r="B418" t="s">
        <v>195</v>
      </c>
      <c r="C418">
        <v>365</v>
      </c>
      <c r="D418" t="s">
        <v>349</v>
      </c>
      <c r="E418" t="s">
        <v>248</v>
      </c>
    </row>
    <row r="419" spans="1:5" x14ac:dyDescent="0.3">
      <c r="A419" t="s">
        <v>194</v>
      </c>
      <c r="B419" t="s">
        <v>195</v>
      </c>
      <c r="C419">
        <v>366</v>
      </c>
      <c r="D419" t="s">
        <v>308</v>
      </c>
      <c r="E419" t="s">
        <v>248</v>
      </c>
    </row>
    <row r="420" spans="1:5" x14ac:dyDescent="0.3">
      <c r="A420" t="s">
        <v>194</v>
      </c>
      <c r="B420" t="s">
        <v>195</v>
      </c>
      <c r="C420">
        <v>367</v>
      </c>
      <c r="D420" t="s">
        <v>307</v>
      </c>
      <c r="E420" t="s">
        <v>248</v>
      </c>
    </row>
    <row r="421" spans="1:5" x14ac:dyDescent="0.3">
      <c r="A421" t="s">
        <v>194</v>
      </c>
      <c r="B421" t="s">
        <v>195</v>
      </c>
      <c r="C421">
        <v>368</v>
      </c>
      <c r="D421" t="s">
        <v>348</v>
      </c>
      <c r="E421" t="s">
        <v>248</v>
      </c>
    </row>
    <row r="422" spans="1:5" x14ac:dyDescent="0.3">
      <c r="A422" t="s">
        <v>194</v>
      </c>
      <c r="B422" t="s">
        <v>195</v>
      </c>
      <c r="C422">
        <v>369</v>
      </c>
      <c r="D422" t="s">
        <v>258</v>
      </c>
      <c r="E422" t="s">
        <v>248</v>
      </c>
    </row>
    <row r="423" spans="1:5" x14ac:dyDescent="0.3">
      <c r="A423" t="s">
        <v>194</v>
      </c>
      <c r="B423" t="s">
        <v>195</v>
      </c>
      <c r="C423">
        <v>370</v>
      </c>
      <c r="D423" t="s">
        <v>306</v>
      </c>
      <c r="E423" t="s">
        <v>248</v>
      </c>
    </row>
    <row r="424" spans="1:5" x14ac:dyDescent="0.3">
      <c r="A424" t="s">
        <v>194</v>
      </c>
      <c r="B424" t="s">
        <v>195</v>
      </c>
      <c r="C424">
        <v>372</v>
      </c>
      <c r="D424" t="s">
        <v>257</v>
      </c>
      <c r="E424" t="s">
        <v>248</v>
      </c>
    </row>
    <row r="425" spans="1:5" x14ac:dyDescent="0.3">
      <c r="A425" t="s">
        <v>194</v>
      </c>
      <c r="B425" t="s">
        <v>195</v>
      </c>
      <c r="C425">
        <v>373</v>
      </c>
      <c r="D425" t="s">
        <v>300</v>
      </c>
      <c r="E425" t="s">
        <v>248</v>
      </c>
    </row>
    <row r="426" spans="1:5" x14ac:dyDescent="0.3">
      <c r="A426" t="s">
        <v>194</v>
      </c>
      <c r="B426" t="s">
        <v>195</v>
      </c>
      <c r="C426">
        <v>374</v>
      </c>
      <c r="D426" t="s">
        <v>347</v>
      </c>
      <c r="E426" t="s">
        <v>248</v>
      </c>
    </row>
    <row r="427" spans="1:5" x14ac:dyDescent="0.3">
      <c r="A427" t="s">
        <v>194</v>
      </c>
      <c r="B427" t="s">
        <v>195</v>
      </c>
      <c r="C427">
        <v>375</v>
      </c>
      <c r="D427" t="s">
        <v>299</v>
      </c>
      <c r="E427" t="s">
        <v>248</v>
      </c>
    </row>
    <row r="428" spans="1:5" x14ac:dyDescent="0.3">
      <c r="A428" t="s">
        <v>194</v>
      </c>
      <c r="B428" t="s">
        <v>195</v>
      </c>
      <c r="C428">
        <v>377</v>
      </c>
      <c r="D428" t="s">
        <v>298</v>
      </c>
      <c r="E428" t="s">
        <v>248</v>
      </c>
    </row>
    <row r="429" spans="1:5" x14ac:dyDescent="0.3">
      <c r="A429" t="s">
        <v>194</v>
      </c>
      <c r="B429" t="s">
        <v>195</v>
      </c>
      <c r="C429">
        <v>379</v>
      </c>
      <c r="D429" t="s">
        <v>297</v>
      </c>
      <c r="E429" t="s">
        <v>248</v>
      </c>
    </row>
    <row r="430" spans="1:5" x14ac:dyDescent="0.3">
      <c r="A430" t="s">
        <v>194</v>
      </c>
      <c r="B430" t="s">
        <v>195</v>
      </c>
      <c r="C430">
        <v>383</v>
      </c>
      <c r="D430" t="s">
        <v>337</v>
      </c>
      <c r="E430" t="s">
        <v>248</v>
      </c>
    </row>
    <row r="431" spans="1:5" x14ac:dyDescent="0.3">
      <c r="A431" t="s">
        <v>194</v>
      </c>
      <c r="B431" t="s">
        <v>195</v>
      </c>
      <c r="C431">
        <v>384</v>
      </c>
      <c r="D431" t="s">
        <v>325</v>
      </c>
      <c r="E431" t="s">
        <v>248</v>
      </c>
    </row>
    <row r="432" spans="1:5" x14ac:dyDescent="0.3">
      <c r="A432" t="s">
        <v>194</v>
      </c>
      <c r="B432" t="s">
        <v>195</v>
      </c>
      <c r="C432">
        <v>385</v>
      </c>
      <c r="D432" t="s">
        <v>346</v>
      </c>
      <c r="E432" t="s">
        <v>248</v>
      </c>
    </row>
    <row r="433" spans="1:5" x14ac:dyDescent="0.3">
      <c r="A433" t="s">
        <v>194</v>
      </c>
      <c r="B433" t="s">
        <v>195</v>
      </c>
      <c r="C433">
        <v>386</v>
      </c>
      <c r="D433" t="s">
        <v>324</v>
      </c>
      <c r="E433" t="s">
        <v>248</v>
      </c>
    </row>
    <row r="434" spans="1:5" x14ac:dyDescent="0.3">
      <c r="A434" t="s">
        <v>194</v>
      </c>
      <c r="B434" t="s">
        <v>195</v>
      </c>
      <c r="C434">
        <v>387</v>
      </c>
      <c r="D434" t="s">
        <v>256</v>
      </c>
      <c r="E434" t="s">
        <v>248</v>
      </c>
    </row>
    <row r="435" spans="1:5" x14ac:dyDescent="0.3">
      <c r="A435" t="s">
        <v>194</v>
      </c>
      <c r="B435" t="s">
        <v>195</v>
      </c>
      <c r="C435">
        <v>388</v>
      </c>
      <c r="D435" t="s">
        <v>345</v>
      </c>
      <c r="E435" t="s">
        <v>248</v>
      </c>
    </row>
    <row r="436" spans="1:5" x14ac:dyDescent="0.3">
      <c r="A436" t="s">
        <v>194</v>
      </c>
      <c r="B436" t="s">
        <v>195</v>
      </c>
      <c r="C436">
        <v>391</v>
      </c>
      <c r="D436" t="s">
        <v>344</v>
      </c>
      <c r="E436" t="s">
        <v>248</v>
      </c>
    </row>
    <row r="437" spans="1:5" x14ac:dyDescent="0.3">
      <c r="A437" t="s">
        <v>194</v>
      </c>
      <c r="B437" t="s">
        <v>195</v>
      </c>
      <c r="C437">
        <v>393</v>
      </c>
      <c r="D437" t="s">
        <v>296</v>
      </c>
      <c r="E437" t="s">
        <v>248</v>
      </c>
    </row>
    <row r="438" spans="1:5" x14ac:dyDescent="0.3">
      <c r="A438" t="s">
        <v>194</v>
      </c>
      <c r="B438" t="s">
        <v>195</v>
      </c>
      <c r="C438">
        <v>395</v>
      </c>
      <c r="D438" t="s">
        <v>343</v>
      </c>
      <c r="E438" t="s">
        <v>248</v>
      </c>
    </row>
    <row r="439" spans="1:5" x14ac:dyDescent="0.3">
      <c r="A439" t="s">
        <v>194</v>
      </c>
      <c r="B439" t="s">
        <v>195</v>
      </c>
      <c r="C439">
        <v>396</v>
      </c>
      <c r="D439" t="s">
        <v>342</v>
      </c>
      <c r="E439" t="s">
        <v>248</v>
      </c>
    </row>
    <row r="440" spans="1:5" x14ac:dyDescent="0.3">
      <c r="A440" t="s">
        <v>194</v>
      </c>
      <c r="B440" t="s">
        <v>195</v>
      </c>
      <c r="C440">
        <v>406</v>
      </c>
      <c r="D440" t="s">
        <v>295</v>
      </c>
      <c r="E440" t="s">
        <v>248</v>
      </c>
    </row>
    <row r="441" spans="1:5" x14ac:dyDescent="0.3">
      <c r="A441" t="s">
        <v>194</v>
      </c>
      <c r="B441" t="s">
        <v>195</v>
      </c>
      <c r="C441">
        <v>407</v>
      </c>
      <c r="D441" t="s">
        <v>255</v>
      </c>
      <c r="E441" t="s">
        <v>248</v>
      </c>
    </row>
    <row r="442" spans="1:5" x14ac:dyDescent="0.3">
      <c r="A442" t="s">
        <v>194</v>
      </c>
      <c r="B442" t="s">
        <v>195</v>
      </c>
      <c r="C442">
        <v>408</v>
      </c>
      <c r="D442" t="s">
        <v>338</v>
      </c>
      <c r="E442" t="s">
        <v>248</v>
      </c>
    </row>
    <row r="443" spans="1:5" x14ac:dyDescent="0.3">
      <c r="A443" t="s">
        <v>194</v>
      </c>
      <c r="B443" t="s">
        <v>195</v>
      </c>
      <c r="C443">
        <v>409</v>
      </c>
      <c r="D443" t="s">
        <v>341</v>
      </c>
      <c r="E443" t="s">
        <v>248</v>
      </c>
    </row>
    <row r="444" spans="1:5" x14ac:dyDescent="0.3">
      <c r="A444" t="s">
        <v>194</v>
      </c>
      <c r="B444" t="s">
        <v>195</v>
      </c>
      <c r="C444">
        <v>410</v>
      </c>
      <c r="D444" t="s">
        <v>340</v>
      </c>
      <c r="E444" t="s">
        <v>248</v>
      </c>
    </row>
    <row r="445" spans="1:5" x14ac:dyDescent="0.3">
      <c r="A445" t="s">
        <v>194</v>
      </c>
      <c r="B445" t="s">
        <v>195</v>
      </c>
      <c r="C445">
        <v>411</v>
      </c>
      <c r="D445" t="s">
        <v>316</v>
      </c>
      <c r="E445" t="s">
        <v>248</v>
      </c>
    </row>
    <row r="446" spans="1:5" x14ac:dyDescent="0.3">
      <c r="A446" t="s">
        <v>194</v>
      </c>
      <c r="B446" t="s">
        <v>195</v>
      </c>
      <c r="C446">
        <v>420</v>
      </c>
      <c r="D446" t="s">
        <v>339</v>
      </c>
      <c r="E446" t="s">
        <v>264</v>
      </c>
    </row>
    <row r="447" spans="1:5" x14ac:dyDescent="0.3">
      <c r="A447" t="s">
        <v>194</v>
      </c>
      <c r="B447" t="s">
        <v>247</v>
      </c>
      <c r="C447">
        <v>706</v>
      </c>
      <c r="D447" t="s">
        <v>294</v>
      </c>
      <c r="E447" t="s">
        <v>245</v>
      </c>
    </row>
    <row r="448" spans="1:5" x14ac:dyDescent="0.3">
      <c r="A448" t="s">
        <v>194</v>
      </c>
      <c r="B448" t="s">
        <v>247</v>
      </c>
      <c r="C448">
        <v>709</v>
      </c>
      <c r="D448" t="s">
        <v>323</v>
      </c>
      <c r="E448" t="s">
        <v>290</v>
      </c>
    </row>
    <row r="449" spans="1:5" x14ac:dyDescent="0.3">
      <c r="A449" t="s">
        <v>194</v>
      </c>
      <c r="B449" t="s">
        <v>247</v>
      </c>
      <c r="C449">
        <v>711</v>
      </c>
      <c r="D449" t="s">
        <v>338</v>
      </c>
      <c r="E449" t="s">
        <v>290</v>
      </c>
    </row>
    <row r="450" spans="1:5" x14ac:dyDescent="0.3">
      <c r="A450" t="s">
        <v>194</v>
      </c>
      <c r="B450" t="s">
        <v>247</v>
      </c>
      <c r="C450">
        <v>712</v>
      </c>
      <c r="D450" t="s">
        <v>254</v>
      </c>
      <c r="E450" t="s">
        <v>245</v>
      </c>
    </row>
    <row r="451" spans="1:5" x14ac:dyDescent="0.3">
      <c r="A451" t="s">
        <v>194</v>
      </c>
      <c r="B451" t="s">
        <v>247</v>
      </c>
      <c r="C451">
        <v>714</v>
      </c>
      <c r="D451" t="s">
        <v>293</v>
      </c>
      <c r="E451" t="s">
        <v>290</v>
      </c>
    </row>
    <row r="452" spans="1:5" x14ac:dyDescent="0.3">
      <c r="A452" t="s">
        <v>194</v>
      </c>
      <c r="B452" t="s">
        <v>247</v>
      </c>
      <c r="C452">
        <v>715</v>
      </c>
      <c r="D452" t="s">
        <v>337</v>
      </c>
      <c r="E452" t="s">
        <v>290</v>
      </c>
    </row>
    <row r="453" spans="1:5" x14ac:dyDescent="0.3">
      <c r="A453" t="s">
        <v>194</v>
      </c>
      <c r="B453" t="s">
        <v>247</v>
      </c>
      <c r="C453">
        <v>717</v>
      </c>
      <c r="D453" t="s">
        <v>336</v>
      </c>
      <c r="E453" t="s">
        <v>245</v>
      </c>
    </row>
    <row r="454" spans="1:5" x14ac:dyDescent="0.3">
      <c r="A454" t="s">
        <v>194</v>
      </c>
      <c r="B454" t="s">
        <v>247</v>
      </c>
      <c r="C454">
        <v>728</v>
      </c>
      <c r="D454" t="s">
        <v>253</v>
      </c>
      <c r="E454" t="s">
        <v>245</v>
      </c>
    </row>
    <row r="455" spans="1:5" x14ac:dyDescent="0.3">
      <c r="A455" t="s">
        <v>194</v>
      </c>
      <c r="B455" t="s">
        <v>247</v>
      </c>
      <c r="C455">
        <v>729</v>
      </c>
      <c r="D455" t="s">
        <v>292</v>
      </c>
      <c r="E455" t="s">
        <v>245</v>
      </c>
    </row>
    <row r="456" spans="1:5" x14ac:dyDescent="0.3">
      <c r="A456" t="s">
        <v>194</v>
      </c>
      <c r="B456" t="s">
        <v>247</v>
      </c>
      <c r="C456">
        <v>731</v>
      </c>
      <c r="D456" t="s">
        <v>335</v>
      </c>
      <c r="E456" t="s">
        <v>245</v>
      </c>
    </row>
    <row r="457" spans="1:5" x14ac:dyDescent="0.3">
      <c r="A457" t="s">
        <v>194</v>
      </c>
      <c r="B457" t="s">
        <v>247</v>
      </c>
      <c r="C457">
        <v>733</v>
      </c>
      <c r="D457" t="s">
        <v>334</v>
      </c>
      <c r="E457" t="s">
        <v>290</v>
      </c>
    </row>
    <row r="458" spans="1:5" x14ac:dyDescent="0.3">
      <c r="A458" t="s">
        <v>194</v>
      </c>
      <c r="B458" t="s">
        <v>247</v>
      </c>
      <c r="C458">
        <v>734</v>
      </c>
      <c r="D458" t="s">
        <v>333</v>
      </c>
      <c r="E458" t="s">
        <v>248</v>
      </c>
    </row>
    <row r="459" spans="1:5" x14ac:dyDescent="0.3">
      <c r="A459" t="s">
        <v>194</v>
      </c>
      <c r="B459" t="s">
        <v>247</v>
      </c>
      <c r="C459">
        <v>739</v>
      </c>
      <c r="D459" t="s">
        <v>252</v>
      </c>
      <c r="E459" t="s">
        <v>245</v>
      </c>
    </row>
    <row r="460" spans="1:5" x14ac:dyDescent="0.3">
      <c r="A460" t="s">
        <v>194</v>
      </c>
      <c r="B460" t="s">
        <v>247</v>
      </c>
      <c r="C460">
        <v>740</v>
      </c>
      <c r="D460" t="s">
        <v>251</v>
      </c>
      <c r="E460" t="s">
        <v>245</v>
      </c>
    </row>
    <row r="461" spans="1:5" x14ac:dyDescent="0.3">
      <c r="A461" t="s">
        <v>194</v>
      </c>
      <c r="B461" t="s">
        <v>247</v>
      </c>
      <c r="C461">
        <v>742</v>
      </c>
      <c r="D461" t="s">
        <v>250</v>
      </c>
      <c r="E461" t="s">
        <v>248</v>
      </c>
    </row>
    <row r="462" spans="1:5" x14ac:dyDescent="0.3">
      <c r="A462" t="s">
        <v>194</v>
      </c>
      <c r="B462" t="s">
        <v>247</v>
      </c>
      <c r="C462">
        <v>743</v>
      </c>
      <c r="D462" t="s">
        <v>332</v>
      </c>
      <c r="E462" t="s">
        <v>290</v>
      </c>
    </row>
    <row r="463" spans="1:5" x14ac:dyDescent="0.3">
      <c r="A463" t="s">
        <v>194</v>
      </c>
      <c r="B463" t="s">
        <v>247</v>
      </c>
      <c r="C463">
        <v>744</v>
      </c>
      <c r="D463" t="s">
        <v>291</v>
      </c>
      <c r="E463" t="s">
        <v>290</v>
      </c>
    </row>
    <row r="464" spans="1:5" x14ac:dyDescent="0.3">
      <c r="A464" t="s">
        <v>194</v>
      </c>
      <c r="B464" t="s">
        <v>247</v>
      </c>
      <c r="C464">
        <v>745</v>
      </c>
      <c r="D464" t="s">
        <v>249</v>
      </c>
      <c r="E464" t="s">
        <v>248</v>
      </c>
    </row>
    <row r="465" spans="1:5" x14ac:dyDescent="0.3">
      <c r="A465" t="s">
        <v>194</v>
      </c>
      <c r="B465" t="s">
        <v>247</v>
      </c>
      <c r="C465">
        <v>746</v>
      </c>
      <c r="D465" t="s">
        <v>289</v>
      </c>
      <c r="E465" t="s">
        <v>245</v>
      </c>
    </row>
    <row r="466" spans="1:5" x14ac:dyDescent="0.3">
      <c r="A466" t="s">
        <v>194</v>
      </c>
      <c r="B466" t="s">
        <v>247</v>
      </c>
      <c r="C466">
        <v>747</v>
      </c>
      <c r="D466" t="s">
        <v>288</v>
      </c>
      <c r="E466" t="s">
        <v>248</v>
      </c>
    </row>
    <row r="467" spans="1:5" x14ac:dyDescent="0.3">
      <c r="A467" t="s">
        <v>194</v>
      </c>
      <c r="B467" t="s">
        <v>247</v>
      </c>
      <c r="C467">
        <v>749</v>
      </c>
      <c r="D467" t="s">
        <v>246</v>
      </c>
      <c r="E467" t="s">
        <v>245</v>
      </c>
    </row>
    <row r="468" spans="1:5" x14ac:dyDescent="0.3">
      <c r="A468" t="s">
        <v>194</v>
      </c>
      <c r="B468" t="s">
        <v>328</v>
      </c>
      <c r="C468">
        <v>1101</v>
      </c>
      <c r="D468" t="s">
        <v>331</v>
      </c>
      <c r="E468" t="s">
        <v>290</v>
      </c>
    </row>
    <row r="469" spans="1:5" x14ac:dyDescent="0.3">
      <c r="A469" t="s">
        <v>194</v>
      </c>
      <c r="B469" t="s">
        <v>328</v>
      </c>
      <c r="C469">
        <v>1102</v>
      </c>
      <c r="D469" t="s">
        <v>330</v>
      </c>
      <c r="E469" t="s">
        <v>290</v>
      </c>
    </row>
    <row r="470" spans="1:5" x14ac:dyDescent="0.3">
      <c r="A470" t="s">
        <v>194</v>
      </c>
      <c r="B470" t="s">
        <v>328</v>
      </c>
      <c r="C470">
        <v>1103</v>
      </c>
      <c r="D470" t="s">
        <v>329</v>
      </c>
      <c r="E470" t="s">
        <v>264</v>
      </c>
    </row>
    <row r="471" spans="1:5" x14ac:dyDescent="0.3">
      <c r="A471" t="s">
        <v>194</v>
      </c>
      <c r="B471" t="s">
        <v>328</v>
      </c>
      <c r="C471">
        <v>1104</v>
      </c>
      <c r="D471" t="s">
        <v>327</v>
      </c>
      <c r="E471" t="s">
        <v>248</v>
      </c>
    </row>
    <row r="472" spans="1:5" x14ac:dyDescent="0.3">
      <c r="A472" t="s">
        <v>194</v>
      </c>
      <c r="B472" t="s">
        <v>195</v>
      </c>
      <c r="C472">
        <v>302</v>
      </c>
      <c r="D472" t="s">
        <v>287</v>
      </c>
      <c r="E472" t="s">
        <v>248</v>
      </c>
    </row>
    <row r="473" spans="1:5" x14ac:dyDescent="0.3">
      <c r="A473" t="s">
        <v>194</v>
      </c>
      <c r="B473" t="s">
        <v>195</v>
      </c>
      <c r="C473">
        <v>308</v>
      </c>
      <c r="D473" t="s">
        <v>286</v>
      </c>
      <c r="E473" t="s">
        <v>248</v>
      </c>
    </row>
    <row r="474" spans="1:5" x14ac:dyDescent="0.3">
      <c r="A474" t="s">
        <v>194</v>
      </c>
      <c r="B474" t="s">
        <v>195</v>
      </c>
      <c r="C474">
        <v>309</v>
      </c>
      <c r="D474" t="s">
        <v>285</v>
      </c>
      <c r="E474" t="s">
        <v>248</v>
      </c>
    </row>
    <row r="475" spans="1:5" x14ac:dyDescent="0.3">
      <c r="A475" t="s">
        <v>194</v>
      </c>
      <c r="B475" t="s">
        <v>195</v>
      </c>
      <c r="C475">
        <v>310</v>
      </c>
      <c r="D475" t="s">
        <v>284</v>
      </c>
      <c r="E475" t="s">
        <v>248</v>
      </c>
    </row>
    <row r="476" spans="1:5" x14ac:dyDescent="0.3">
      <c r="A476" t="s">
        <v>194</v>
      </c>
      <c r="B476" t="s">
        <v>195</v>
      </c>
      <c r="C476">
        <v>312</v>
      </c>
      <c r="D476" t="s">
        <v>283</v>
      </c>
      <c r="E476" t="s">
        <v>264</v>
      </c>
    </row>
    <row r="477" spans="1:5" x14ac:dyDescent="0.3">
      <c r="A477" t="s">
        <v>194</v>
      </c>
      <c r="B477" t="s">
        <v>195</v>
      </c>
      <c r="C477">
        <v>316</v>
      </c>
      <c r="D477" t="s">
        <v>282</v>
      </c>
      <c r="E477" t="s">
        <v>248</v>
      </c>
    </row>
    <row r="478" spans="1:5" x14ac:dyDescent="0.3">
      <c r="A478" t="s">
        <v>194</v>
      </c>
      <c r="B478" t="s">
        <v>195</v>
      </c>
      <c r="C478">
        <v>317</v>
      </c>
      <c r="D478" t="s">
        <v>281</v>
      </c>
      <c r="E478" t="s">
        <v>248</v>
      </c>
    </row>
    <row r="479" spans="1:5" x14ac:dyDescent="0.3">
      <c r="A479" t="s">
        <v>194</v>
      </c>
      <c r="B479" t="s">
        <v>195</v>
      </c>
      <c r="C479">
        <v>318</v>
      </c>
      <c r="D479" t="s">
        <v>280</v>
      </c>
      <c r="E479" t="s">
        <v>248</v>
      </c>
    </row>
    <row r="480" spans="1:5" x14ac:dyDescent="0.3">
      <c r="A480" t="s">
        <v>194</v>
      </c>
      <c r="B480" t="s">
        <v>195</v>
      </c>
      <c r="C480">
        <v>320</v>
      </c>
      <c r="D480" t="s">
        <v>279</v>
      </c>
      <c r="E480" t="s">
        <v>248</v>
      </c>
    </row>
    <row r="481" spans="1:5" x14ac:dyDescent="0.3">
      <c r="A481" t="s">
        <v>194</v>
      </c>
      <c r="B481" t="s">
        <v>195</v>
      </c>
      <c r="C481">
        <v>325</v>
      </c>
      <c r="D481" t="s">
        <v>278</v>
      </c>
      <c r="E481" t="s">
        <v>248</v>
      </c>
    </row>
    <row r="482" spans="1:5" x14ac:dyDescent="0.3">
      <c r="A482" t="s">
        <v>194</v>
      </c>
      <c r="B482" t="s">
        <v>195</v>
      </c>
      <c r="C482">
        <v>326</v>
      </c>
      <c r="D482" t="s">
        <v>277</v>
      </c>
      <c r="E482" t="s">
        <v>248</v>
      </c>
    </row>
    <row r="483" spans="1:5" x14ac:dyDescent="0.3">
      <c r="A483" t="s">
        <v>194</v>
      </c>
      <c r="B483" t="s">
        <v>195</v>
      </c>
      <c r="C483">
        <v>327</v>
      </c>
      <c r="D483" t="s">
        <v>276</v>
      </c>
      <c r="E483" t="s">
        <v>248</v>
      </c>
    </row>
    <row r="484" spans="1:5" x14ac:dyDescent="0.3">
      <c r="A484" t="s">
        <v>194</v>
      </c>
      <c r="B484" t="s">
        <v>195</v>
      </c>
      <c r="C484">
        <v>329</v>
      </c>
      <c r="D484" t="s">
        <v>275</v>
      </c>
      <c r="E484" t="s">
        <v>248</v>
      </c>
    </row>
    <row r="485" spans="1:5" x14ac:dyDescent="0.3">
      <c r="A485" t="s">
        <v>194</v>
      </c>
      <c r="B485" t="s">
        <v>195</v>
      </c>
      <c r="C485">
        <v>330</v>
      </c>
      <c r="D485" t="s">
        <v>274</v>
      </c>
      <c r="E485" t="s">
        <v>248</v>
      </c>
    </row>
    <row r="486" spans="1:5" x14ac:dyDescent="0.3">
      <c r="A486" t="s">
        <v>194</v>
      </c>
      <c r="B486" t="s">
        <v>195</v>
      </c>
      <c r="C486">
        <v>331</v>
      </c>
      <c r="D486" t="s">
        <v>273</v>
      </c>
      <c r="E486" t="s">
        <v>248</v>
      </c>
    </row>
    <row r="487" spans="1:5" x14ac:dyDescent="0.3">
      <c r="A487" t="s">
        <v>194</v>
      </c>
      <c r="B487" t="s">
        <v>195</v>
      </c>
      <c r="C487">
        <v>332</v>
      </c>
      <c r="D487" t="s">
        <v>272</v>
      </c>
      <c r="E487" t="s">
        <v>248</v>
      </c>
    </row>
    <row r="488" spans="1:5" x14ac:dyDescent="0.3">
      <c r="A488" t="s">
        <v>194</v>
      </c>
      <c r="B488" t="s">
        <v>195</v>
      </c>
      <c r="C488">
        <v>333</v>
      </c>
      <c r="D488" t="s">
        <v>271</v>
      </c>
      <c r="E488" t="s">
        <v>264</v>
      </c>
    </row>
    <row r="489" spans="1:5" x14ac:dyDescent="0.3">
      <c r="A489" t="s">
        <v>194</v>
      </c>
      <c r="B489" t="s">
        <v>195</v>
      </c>
      <c r="C489">
        <v>335</v>
      </c>
      <c r="D489" t="s">
        <v>270</v>
      </c>
      <c r="E489" t="s">
        <v>248</v>
      </c>
    </row>
    <row r="490" spans="1:5" x14ac:dyDescent="0.3">
      <c r="A490" t="s">
        <v>194</v>
      </c>
      <c r="B490" t="s">
        <v>195</v>
      </c>
      <c r="C490">
        <v>337</v>
      </c>
      <c r="D490" t="s">
        <v>269</v>
      </c>
      <c r="E490" t="s">
        <v>264</v>
      </c>
    </row>
    <row r="491" spans="1:5" x14ac:dyDescent="0.3">
      <c r="A491" t="s">
        <v>194</v>
      </c>
      <c r="B491" t="s">
        <v>195</v>
      </c>
      <c r="C491">
        <v>339</v>
      </c>
      <c r="D491" t="s">
        <v>268</v>
      </c>
      <c r="E491" t="s">
        <v>248</v>
      </c>
    </row>
    <row r="492" spans="1:5" x14ac:dyDescent="0.3">
      <c r="A492" t="s">
        <v>194</v>
      </c>
      <c r="B492" t="s">
        <v>195</v>
      </c>
      <c r="C492">
        <v>340</v>
      </c>
      <c r="D492" t="s">
        <v>267</v>
      </c>
      <c r="E492" t="s">
        <v>248</v>
      </c>
    </row>
    <row r="493" spans="1:5" x14ac:dyDescent="0.3">
      <c r="A493" t="s">
        <v>194</v>
      </c>
      <c r="B493" t="s">
        <v>195</v>
      </c>
      <c r="C493">
        <v>342</v>
      </c>
      <c r="D493" t="s">
        <v>266</v>
      </c>
      <c r="E493" t="s">
        <v>248</v>
      </c>
    </row>
    <row r="494" spans="1:5" x14ac:dyDescent="0.3">
      <c r="A494" t="s">
        <v>194</v>
      </c>
      <c r="B494" t="s">
        <v>195</v>
      </c>
      <c r="C494">
        <v>344</v>
      </c>
      <c r="D494" t="s">
        <v>265</v>
      </c>
      <c r="E494" t="s">
        <v>264</v>
      </c>
    </row>
    <row r="495" spans="1:5" x14ac:dyDescent="0.3">
      <c r="A495" t="s">
        <v>194</v>
      </c>
      <c r="B495" t="s">
        <v>195</v>
      </c>
      <c r="C495">
        <v>345</v>
      </c>
      <c r="D495" t="s">
        <v>263</v>
      </c>
      <c r="E495" t="s">
        <v>248</v>
      </c>
    </row>
    <row r="496" spans="1:5" x14ac:dyDescent="0.3">
      <c r="A496" t="s">
        <v>194</v>
      </c>
      <c r="B496" t="s">
        <v>195</v>
      </c>
      <c r="C496">
        <v>348</v>
      </c>
      <c r="D496" t="s">
        <v>262</v>
      </c>
      <c r="E496" t="s">
        <v>248</v>
      </c>
    </row>
    <row r="497" spans="1:5" x14ac:dyDescent="0.3">
      <c r="A497" t="s">
        <v>194</v>
      </c>
      <c r="B497" t="s">
        <v>195</v>
      </c>
      <c r="C497">
        <v>355</v>
      </c>
      <c r="D497" t="s">
        <v>261</v>
      </c>
      <c r="E497" t="s">
        <v>248</v>
      </c>
    </row>
    <row r="498" spans="1:5" x14ac:dyDescent="0.3">
      <c r="A498" t="s">
        <v>194</v>
      </c>
      <c r="B498" t="s">
        <v>195</v>
      </c>
      <c r="C498">
        <v>356</v>
      </c>
      <c r="D498" t="s">
        <v>260</v>
      </c>
      <c r="E498" t="s">
        <v>248</v>
      </c>
    </row>
    <row r="499" spans="1:5" x14ac:dyDescent="0.3">
      <c r="A499" t="s">
        <v>194</v>
      </c>
      <c r="B499" t="s">
        <v>195</v>
      </c>
      <c r="C499">
        <v>363</v>
      </c>
      <c r="D499" t="s">
        <v>259</v>
      </c>
      <c r="E499" t="s">
        <v>248</v>
      </c>
    </row>
    <row r="500" spans="1:5" x14ac:dyDescent="0.3">
      <c r="A500" t="s">
        <v>194</v>
      </c>
      <c r="B500" t="s">
        <v>195</v>
      </c>
      <c r="C500">
        <v>369</v>
      </c>
      <c r="D500" t="s">
        <v>258</v>
      </c>
      <c r="E500" t="s">
        <v>248</v>
      </c>
    </row>
    <row r="501" spans="1:5" x14ac:dyDescent="0.3">
      <c r="A501" t="s">
        <v>194</v>
      </c>
      <c r="B501" t="s">
        <v>195</v>
      </c>
      <c r="C501">
        <v>372</v>
      </c>
      <c r="D501" t="s">
        <v>257</v>
      </c>
      <c r="E501" t="s">
        <v>248</v>
      </c>
    </row>
    <row r="502" spans="1:5" x14ac:dyDescent="0.3">
      <c r="A502" t="s">
        <v>194</v>
      </c>
      <c r="B502" t="s">
        <v>195</v>
      </c>
      <c r="C502">
        <v>387</v>
      </c>
      <c r="D502" t="s">
        <v>256</v>
      </c>
      <c r="E502" t="s">
        <v>248</v>
      </c>
    </row>
    <row r="503" spans="1:5" x14ac:dyDescent="0.3">
      <c r="A503" t="s">
        <v>194</v>
      </c>
      <c r="B503" t="s">
        <v>195</v>
      </c>
      <c r="C503">
        <v>407</v>
      </c>
      <c r="D503" t="s">
        <v>255</v>
      </c>
      <c r="E503" t="s">
        <v>248</v>
      </c>
    </row>
    <row r="504" spans="1:5" x14ac:dyDescent="0.3">
      <c r="A504" t="s">
        <v>194</v>
      </c>
      <c r="B504" t="s">
        <v>247</v>
      </c>
      <c r="C504">
        <v>712</v>
      </c>
      <c r="D504" t="s">
        <v>254</v>
      </c>
      <c r="E504" t="s">
        <v>245</v>
      </c>
    </row>
    <row r="505" spans="1:5" x14ac:dyDescent="0.3">
      <c r="A505" t="s">
        <v>194</v>
      </c>
      <c r="B505" t="s">
        <v>247</v>
      </c>
      <c r="C505">
        <v>728</v>
      </c>
      <c r="D505" t="s">
        <v>253</v>
      </c>
      <c r="E505" t="s">
        <v>245</v>
      </c>
    </row>
    <row r="506" spans="1:5" x14ac:dyDescent="0.3">
      <c r="A506" t="s">
        <v>194</v>
      </c>
      <c r="B506" t="s">
        <v>247</v>
      </c>
      <c r="C506">
        <v>739</v>
      </c>
      <c r="D506" t="s">
        <v>252</v>
      </c>
      <c r="E506" t="s">
        <v>245</v>
      </c>
    </row>
    <row r="507" spans="1:5" x14ac:dyDescent="0.3">
      <c r="A507" t="s">
        <v>194</v>
      </c>
      <c r="B507" t="s">
        <v>247</v>
      </c>
      <c r="C507">
        <v>740</v>
      </c>
      <c r="D507" t="s">
        <v>251</v>
      </c>
      <c r="E507" t="s">
        <v>245</v>
      </c>
    </row>
    <row r="508" spans="1:5" x14ac:dyDescent="0.3">
      <c r="A508" t="s">
        <v>194</v>
      </c>
      <c r="B508" t="s">
        <v>247</v>
      </c>
      <c r="C508">
        <v>742</v>
      </c>
      <c r="D508" t="s">
        <v>250</v>
      </c>
      <c r="E508" t="s">
        <v>248</v>
      </c>
    </row>
    <row r="509" spans="1:5" x14ac:dyDescent="0.3">
      <c r="A509" t="s">
        <v>194</v>
      </c>
      <c r="B509" t="s">
        <v>247</v>
      </c>
      <c r="C509">
        <v>745</v>
      </c>
      <c r="D509" t="s">
        <v>249</v>
      </c>
      <c r="E509" t="s">
        <v>248</v>
      </c>
    </row>
    <row r="510" spans="1:5" x14ac:dyDescent="0.3">
      <c r="A510" t="s">
        <v>194</v>
      </c>
      <c r="B510" t="s">
        <v>247</v>
      </c>
      <c r="C510">
        <v>749</v>
      </c>
      <c r="D510" t="s">
        <v>246</v>
      </c>
      <c r="E510" t="s">
        <v>245</v>
      </c>
    </row>
    <row r="511" spans="1:5" x14ac:dyDescent="0.3">
      <c r="A511" t="s">
        <v>194</v>
      </c>
      <c r="B511" t="s">
        <v>195</v>
      </c>
      <c r="C511">
        <v>301</v>
      </c>
      <c r="D511" t="s">
        <v>304</v>
      </c>
      <c r="E511" t="s">
        <v>248</v>
      </c>
    </row>
    <row r="512" spans="1:5" x14ac:dyDescent="0.3">
      <c r="A512" t="s">
        <v>194</v>
      </c>
      <c r="B512" t="s">
        <v>195</v>
      </c>
      <c r="C512">
        <v>302</v>
      </c>
      <c r="D512" t="s">
        <v>287</v>
      </c>
      <c r="E512" t="s">
        <v>248</v>
      </c>
    </row>
    <row r="513" spans="1:5" x14ac:dyDescent="0.3">
      <c r="A513" t="s">
        <v>194</v>
      </c>
      <c r="B513" t="s">
        <v>195</v>
      </c>
      <c r="C513">
        <v>304</v>
      </c>
      <c r="D513" t="s">
        <v>303</v>
      </c>
      <c r="E513" t="s">
        <v>248</v>
      </c>
    </row>
    <row r="514" spans="1:5" x14ac:dyDescent="0.3">
      <c r="A514" t="s">
        <v>194</v>
      </c>
      <c r="B514" t="s">
        <v>195</v>
      </c>
      <c r="C514">
        <v>308</v>
      </c>
      <c r="D514" t="s">
        <v>286</v>
      </c>
      <c r="E514" t="s">
        <v>248</v>
      </c>
    </row>
    <row r="515" spans="1:5" x14ac:dyDescent="0.3">
      <c r="A515" t="s">
        <v>194</v>
      </c>
      <c r="B515" t="s">
        <v>195</v>
      </c>
      <c r="C515">
        <v>310</v>
      </c>
      <c r="D515" t="s">
        <v>284</v>
      </c>
      <c r="E515" t="s">
        <v>248</v>
      </c>
    </row>
    <row r="516" spans="1:5" x14ac:dyDescent="0.3">
      <c r="A516" t="s">
        <v>194</v>
      </c>
      <c r="B516" t="s">
        <v>195</v>
      </c>
      <c r="C516">
        <v>316</v>
      </c>
      <c r="D516" t="s">
        <v>282</v>
      </c>
      <c r="E516" t="s">
        <v>248</v>
      </c>
    </row>
    <row r="517" spans="1:5" x14ac:dyDescent="0.3">
      <c r="A517" t="s">
        <v>194</v>
      </c>
      <c r="B517" t="s">
        <v>195</v>
      </c>
      <c r="C517">
        <v>320</v>
      </c>
      <c r="D517" t="s">
        <v>279</v>
      </c>
      <c r="E517" t="s">
        <v>248</v>
      </c>
    </row>
    <row r="518" spans="1:5" x14ac:dyDescent="0.3">
      <c r="A518" t="s">
        <v>194</v>
      </c>
      <c r="B518" t="s">
        <v>195</v>
      </c>
      <c r="C518">
        <v>321</v>
      </c>
      <c r="D518" t="s">
        <v>326</v>
      </c>
      <c r="E518" t="s">
        <v>248</v>
      </c>
    </row>
    <row r="519" spans="1:5" x14ac:dyDescent="0.3">
      <c r="A519" t="s">
        <v>194</v>
      </c>
      <c r="B519" t="s">
        <v>195</v>
      </c>
      <c r="C519">
        <v>323</v>
      </c>
      <c r="D519" t="s">
        <v>302</v>
      </c>
      <c r="E519" t="s">
        <v>248</v>
      </c>
    </row>
    <row r="520" spans="1:5" x14ac:dyDescent="0.3">
      <c r="A520" t="s">
        <v>194</v>
      </c>
      <c r="B520" t="s">
        <v>195</v>
      </c>
      <c r="C520">
        <v>327</v>
      </c>
      <c r="D520" t="s">
        <v>276</v>
      </c>
      <c r="E520" t="s">
        <v>248</v>
      </c>
    </row>
    <row r="521" spans="1:5" x14ac:dyDescent="0.3">
      <c r="A521" t="s">
        <v>194</v>
      </c>
      <c r="B521" t="s">
        <v>195</v>
      </c>
      <c r="C521">
        <v>329</v>
      </c>
      <c r="D521" t="s">
        <v>275</v>
      </c>
      <c r="E521" t="s">
        <v>248</v>
      </c>
    </row>
    <row r="522" spans="1:5" x14ac:dyDescent="0.3">
      <c r="A522" t="s">
        <v>194</v>
      </c>
      <c r="B522" t="s">
        <v>195</v>
      </c>
      <c r="C522">
        <v>330</v>
      </c>
      <c r="D522" t="s">
        <v>274</v>
      </c>
      <c r="E522" t="s">
        <v>248</v>
      </c>
    </row>
    <row r="523" spans="1:5" x14ac:dyDescent="0.3">
      <c r="A523" t="s">
        <v>194</v>
      </c>
      <c r="B523" t="s">
        <v>195</v>
      </c>
      <c r="C523">
        <v>331</v>
      </c>
      <c r="D523" t="s">
        <v>273</v>
      </c>
      <c r="E523" t="s">
        <v>248</v>
      </c>
    </row>
    <row r="524" spans="1:5" x14ac:dyDescent="0.3">
      <c r="A524" t="s">
        <v>194</v>
      </c>
      <c r="B524" t="s">
        <v>195</v>
      </c>
      <c r="C524">
        <v>332</v>
      </c>
      <c r="D524" t="s">
        <v>272</v>
      </c>
      <c r="E524" t="s">
        <v>248</v>
      </c>
    </row>
    <row r="525" spans="1:5" x14ac:dyDescent="0.3">
      <c r="A525" t="s">
        <v>194</v>
      </c>
      <c r="B525" t="s">
        <v>195</v>
      </c>
      <c r="C525">
        <v>333</v>
      </c>
      <c r="D525" t="s">
        <v>271</v>
      </c>
      <c r="E525" t="s">
        <v>264</v>
      </c>
    </row>
    <row r="526" spans="1:5" x14ac:dyDescent="0.3">
      <c r="A526" t="s">
        <v>194</v>
      </c>
      <c r="B526" t="s">
        <v>195</v>
      </c>
      <c r="C526">
        <v>336</v>
      </c>
      <c r="D526" t="s">
        <v>301</v>
      </c>
      <c r="E526" t="s">
        <v>248</v>
      </c>
    </row>
    <row r="527" spans="1:5" x14ac:dyDescent="0.3">
      <c r="A527" t="s">
        <v>194</v>
      </c>
      <c r="B527" t="s">
        <v>195</v>
      </c>
      <c r="C527">
        <v>339</v>
      </c>
      <c r="D527" t="s">
        <v>268</v>
      </c>
      <c r="E527" t="s">
        <v>248</v>
      </c>
    </row>
    <row r="528" spans="1:5" x14ac:dyDescent="0.3">
      <c r="A528" t="s">
        <v>194</v>
      </c>
      <c r="B528" t="s">
        <v>195</v>
      </c>
      <c r="C528">
        <v>340</v>
      </c>
      <c r="D528" t="s">
        <v>267</v>
      </c>
      <c r="E528" t="s">
        <v>248</v>
      </c>
    </row>
    <row r="529" spans="1:5" x14ac:dyDescent="0.3">
      <c r="A529" t="s">
        <v>194</v>
      </c>
      <c r="B529" t="s">
        <v>195</v>
      </c>
      <c r="C529">
        <v>342</v>
      </c>
      <c r="D529" t="s">
        <v>266</v>
      </c>
      <c r="E529" t="s">
        <v>248</v>
      </c>
    </row>
    <row r="530" spans="1:5" x14ac:dyDescent="0.3">
      <c r="A530" t="s">
        <v>194</v>
      </c>
      <c r="B530" t="s">
        <v>195</v>
      </c>
      <c r="C530">
        <v>344</v>
      </c>
      <c r="D530" t="s">
        <v>265</v>
      </c>
      <c r="E530" t="s">
        <v>264</v>
      </c>
    </row>
    <row r="531" spans="1:5" x14ac:dyDescent="0.3">
      <c r="A531" t="s">
        <v>194</v>
      </c>
      <c r="B531" t="s">
        <v>195</v>
      </c>
      <c r="C531">
        <v>345</v>
      </c>
      <c r="D531" t="s">
        <v>263</v>
      </c>
      <c r="E531" t="s">
        <v>248</v>
      </c>
    </row>
    <row r="532" spans="1:5" x14ac:dyDescent="0.3">
      <c r="A532" t="s">
        <v>194</v>
      </c>
      <c r="B532" t="s">
        <v>195</v>
      </c>
      <c r="C532">
        <v>348</v>
      </c>
      <c r="D532" t="s">
        <v>262</v>
      </c>
      <c r="E532" t="s">
        <v>248</v>
      </c>
    </row>
    <row r="533" spans="1:5" x14ac:dyDescent="0.3">
      <c r="A533" t="s">
        <v>194</v>
      </c>
      <c r="B533" t="s">
        <v>195</v>
      </c>
      <c r="C533">
        <v>355</v>
      </c>
      <c r="D533" t="s">
        <v>261</v>
      </c>
      <c r="E533" t="s">
        <v>248</v>
      </c>
    </row>
    <row r="534" spans="1:5" x14ac:dyDescent="0.3">
      <c r="A534" t="s">
        <v>194</v>
      </c>
      <c r="B534" t="s">
        <v>195</v>
      </c>
      <c r="C534">
        <v>356</v>
      </c>
      <c r="D534" t="s">
        <v>260</v>
      </c>
      <c r="E534" t="s">
        <v>248</v>
      </c>
    </row>
    <row r="535" spans="1:5" x14ac:dyDescent="0.3">
      <c r="A535" t="s">
        <v>194</v>
      </c>
      <c r="B535" t="s">
        <v>195</v>
      </c>
      <c r="C535">
        <v>366</v>
      </c>
      <c r="D535" t="s">
        <v>308</v>
      </c>
      <c r="E535" t="s">
        <v>248</v>
      </c>
    </row>
    <row r="536" spans="1:5" x14ac:dyDescent="0.3">
      <c r="A536" t="s">
        <v>194</v>
      </c>
      <c r="B536" t="s">
        <v>195</v>
      </c>
      <c r="C536">
        <v>369</v>
      </c>
      <c r="D536" t="s">
        <v>258</v>
      </c>
      <c r="E536" t="s">
        <v>248</v>
      </c>
    </row>
    <row r="537" spans="1:5" x14ac:dyDescent="0.3">
      <c r="A537" t="s">
        <v>194</v>
      </c>
      <c r="B537" t="s">
        <v>195</v>
      </c>
      <c r="C537">
        <v>373</v>
      </c>
      <c r="D537" t="s">
        <v>300</v>
      </c>
      <c r="E537" t="s">
        <v>248</v>
      </c>
    </row>
    <row r="538" spans="1:5" x14ac:dyDescent="0.3">
      <c r="A538" t="s">
        <v>194</v>
      </c>
      <c r="B538" t="s">
        <v>195</v>
      </c>
      <c r="C538">
        <v>377</v>
      </c>
      <c r="D538" t="s">
        <v>298</v>
      </c>
      <c r="E538" t="s">
        <v>248</v>
      </c>
    </row>
    <row r="539" spans="1:5" x14ac:dyDescent="0.3">
      <c r="A539" t="s">
        <v>194</v>
      </c>
      <c r="B539" t="s">
        <v>195</v>
      </c>
      <c r="C539">
        <v>379</v>
      </c>
      <c r="D539" t="s">
        <v>297</v>
      </c>
      <c r="E539" t="s">
        <v>248</v>
      </c>
    </row>
    <row r="540" spans="1:5" x14ac:dyDescent="0.3">
      <c r="A540" t="s">
        <v>194</v>
      </c>
      <c r="B540" t="s">
        <v>195</v>
      </c>
      <c r="C540">
        <v>384</v>
      </c>
      <c r="D540" t="s">
        <v>325</v>
      </c>
      <c r="E540" t="s">
        <v>248</v>
      </c>
    </row>
    <row r="541" spans="1:5" x14ac:dyDescent="0.3">
      <c r="A541" t="s">
        <v>194</v>
      </c>
      <c r="B541" t="s">
        <v>195</v>
      </c>
      <c r="C541">
        <v>386</v>
      </c>
      <c r="D541" t="s">
        <v>324</v>
      </c>
      <c r="E541" t="s">
        <v>248</v>
      </c>
    </row>
    <row r="542" spans="1:5" x14ac:dyDescent="0.3">
      <c r="A542" t="s">
        <v>194</v>
      </c>
      <c r="B542" t="s">
        <v>195</v>
      </c>
      <c r="C542">
        <v>406</v>
      </c>
      <c r="D542" t="s">
        <v>295</v>
      </c>
      <c r="E542" t="s">
        <v>248</v>
      </c>
    </row>
    <row r="543" spans="1:5" x14ac:dyDescent="0.3">
      <c r="A543" t="s">
        <v>194</v>
      </c>
      <c r="B543" t="s">
        <v>247</v>
      </c>
      <c r="C543">
        <v>709</v>
      </c>
      <c r="D543" t="s">
        <v>323</v>
      </c>
      <c r="E543" t="s">
        <v>290</v>
      </c>
    </row>
    <row r="544" spans="1:5" x14ac:dyDescent="0.3">
      <c r="A544" t="s">
        <v>194</v>
      </c>
      <c r="B544" t="s">
        <v>247</v>
      </c>
      <c r="C544">
        <v>712</v>
      </c>
      <c r="D544" t="s">
        <v>254</v>
      </c>
      <c r="E544" t="s">
        <v>245</v>
      </c>
    </row>
    <row r="545" spans="1:5" x14ac:dyDescent="0.3">
      <c r="A545" t="s">
        <v>194</v>
      </c>
      <c r="B545" t="s">
        <v>247</v>
      </c>
      <c r="C545">
        <v>714</v>
      </c>
      <c r="D545" t="s">
        <v>293</v>
      </c>
      <c r="E545" t="s">
        <v>290</v>
      </c>
    </row>
    <row r="546" spans="1:5" x14ac:dyDescent="0.3">
      <c r="A546" t="s">
        <v>194</v>
      </c>
      <c r="B546" t="s">
        <v>247</v>
      </c>
      <c r="C546">
        <v>728</v>
      </c>
      <c r="D546" t="s">
        <v>253</v>
      </c>
      <c r="E546" t="s">
        <v>245</v>
      </c>
    </row>
    <row r="547" spans="1:5" x14ac:dyDescent="0.3">
      <c r="A547" t="s">
        <v>194</v>
      </c>
      <c r="B547" t="s">
        <v>247</v>
      </c>
      <c r="C547">
        <v>739</v>
      </c>
      <c r="D547" t="s">
        <v>252</v>
      </c>
      <c r="E547" t="s">
        <v>245</v>
      </c>
    </row>
    <row r="548" spans="1:5" x14ac:dyDescent="0.3">
      <c r="A548" t="s">
        <v>194</v>
      </c>
      <c r="B548" t="s">
        <v>247</v>
      </c>
      <c r="C548">
        <v>740</v>
      </c>
      <c r="D548" t="s">
        <v>251</v>
      </c>
      <c r="E548" t="s">
        <v>245</v>
      </c>
    </row>
    <row r="549" spans="1:5" x14ac:dyDescent="0.3">
      <c r="A549" t="s">
        <v>194</v>
      </c>
      <c r="B549" t="s">
        <v>247</v>
      </c>
      <c r="C549">
        <v>742</v>
      </c>
      <c r="D549" t="s">
        <v>250</v>
      </c>
      <c r="E549" t="s">
        <v>248</v>
      </c>
    </row>
    <row r="550" spans="1:5" x14ac:dyDescent="0.3">
      <c r="A550" t="s">
        <v>194</v>
      </c>
      <c r="B550" t="s">
        <v>247</v>
      </c>
      <c r="C550">
        <v>744</v>
      </c>
      <c r="D550" t="s">
        <v>291</v>
      </c>
      <c r="E550" t="s">
        <v>248</v>
      </c>
    </row>
    <row r="551" spans="1:5" x14ac:dyDescent="0.3">
      <c r="A551" t="s">
        <v>194</v>
      </c>
      <c r="B551" t="s">
        <v>247</v>
      </c>
      <c r="C551">
        <v>745</v>
      </c>
      <c r="D551" t="s">
        <v>249</v>
      </c>
      <c r="E551" t="s">
        <v>248</v>
      </c>
    </row>
    <row r="552" spans="1:5" x14ac:dyDescent="0.3">
      <c r="A552" t="s">
        <v>194</v>
      </c>
      <c r="B552" t="s">
        <v>247</v>
      </c>
      <c r="C552">
        <v>749</v>
      </c>
      <c r="D552" t="s">
        <v>246</v>
      </c>
      <c r="E552" t="s">
        <v>245</v>
      </c>
    </row>
    <row r="553" spans="1:5" x14ac:dyDescent="0.3">
      <c r="A553" t="s">
        <v>194</v>
      </c>
      <c r="B553" t="s">
        <v>320</v>
      </c>
      <c r="C553">
        <v>107</v>
      </c>
      <c r="D553" t="s">
        <v>322</v>
      </c>
      <c r="E553" t="s">
        <v>248</v>
      </c>
    </row>
    <row r="554" spans="1:5" x14ac:dyDescent="0.3">
      <c r="A554" t="s">
        <v>194</v>
      </c>
      <c r="B554" t="s">
        <v>320</v>
      </c>
      <c r="C554">
        <v>110</v>
      </c>
      <c r="D554" t="s">
        <v>321</v>
      </c>
      <c r="E554" t="s">
        <v>290</v>
      </c>
    </row>
    <row r="555" spans="1:5" x14ac:dyDescent="0.3">
      <c r="A555" t="s">
        <v>194</v>
      </c>
      <c r="B555" t="s">
        <v>320</v>
      </c>
      <c r="C555">
        <v>129</v>
      </c>
      <c r="D555" t="s">
        <v>319</v>
      </c>
      <c r="E555" t="s">
        <v>290</v>
      </c>
    </row>
    <row r="556" spans="1:5" x14ac:dyDescent="0.3">
      <c r="A556" t="s">
        <v>194</v>
      </c>
      <c r="B556" t="s">
        <v>305</v>
      </c>
      <c r="C556">
        <v>201</v>
      </c>
      <c r="D556" t="s">
        <v>318</v>
      </c>
      <c r="E556" t="s">
        <v>290</v>
      </c>
    </row>
    <row r="557" spans="1:5" x14ac:dyDescent="0.3">
      <c r="A557" t="s">
        <v>194</v>
      </c>
      <c r="B557" t="s">
        <v>305</v>
      </c>
      <c r="C557">
        <v>203</v>
      </c>
      <c r="D557" t="s">
        <v>303</v>
      </c>
      <c r="E557" t="s">
        <v>248</v>
      </c>
    </row>
    <row r="558" spans="1:5" x14ac:dyDescent="0.3">
      <c r="A558" t="s">
        <v>194</v>
      </c>
      <c r="B558" t="s">
        <v>305</v>
      </c>
      <c r="C558">
        <v>204</v>
      </c>
      <c r="D558" t="s">
        <v>317</v>
      </c>
      <c r="E558" t="s">
        <v>290</v>
      </c>
    </row>
    <row r="559" spans="1:5" x14ac:dyDescent="0.3">
      <c r="A559" t="s">
        <v>194</v>
      </c>
      <c r="B559" t="s">
        <v>305</v>
      </c>
      <c r="C559">
        <v>205</v>
      </c>
      <c r="D559" t="s">
        <v>316</v>
      </c>
      <c r="E559" t="s">
        <v>248</v>
      </c>
    </row>
    <row r="560" spans="1:5" x14ac:dyDescent="0.3">
      <c r="A560" t="s">
        <v>194</v>
      </c>
      <c r="B560" t="s">
        <v>305</v>
      </c>
      <c r="C560">
        <v>207</v>
      </c>
      <c r="D560" t="s">
        <v>315</v>
      </c>
      <c r="E560" t="s">
        <v>290</v>
      </c>
    </row>
    <row r="561" spans="1:5" x14ac:dyDescent="0.3">
      <c r="A561" t="s">
        <v>194</v>
      </c>
      <c r="B561" t="s">
        <v>305</v>
      </c>
      <c r="C561">
        <v>208</v>
      </c>
      <c r="D561" t="s">
        <v>314</v>
      </c>
      <c r="E561" t="s">
        <v>248</v>
      </c>
    </row>
    <row r="562" spans="1:5" x14ac:dyDescent="0.3">
      <c r="A562" t="s">
        <v>194</v>
      </c>
      <c r="B562" t="s">
        <v>305</v>
      </c>
      <c r="C562">
        <v>209</v>
      </c>
      <c r="D562" t="s">
        <v>313</v>
      </c>
      <c r="E562" t="s">
        <v>290</v>
      </c>
    </row>
    <row r="563" spans="1:5" x14ac:dyDescent="0.3">
      <c r="A563" t="s">
        <v>194</v>
      </c>
      <c r="B563" t="s">
        <v>305</v>
      </c>
      <c r="C563">
        <v>210</v>
      </c>
      <c r="D563" t="s">
        <v>300</v>
      </c>
      <c r="E563" t="s">
        <v>290</v>
      </c>
    </row>
    <row r="564" spans="1:5" x14ac:dyDescent="0.3">
      <c r="A564" t="s">
        <v>194</v>
      </c>
      <c r="B564" t="s">
        <v>305</v>
      </c>
      <c r="C564">
        <v>213</v>
      </c>
      <c r="D564" t="s">
        <v>258</v>
      </c>
      <c r="E564" t="s">
        <v>248</v>
      </c>
    </row>
    <row r="565" spans="1:5" x14ac:dyDescent="0.3">
      <c r="A565" t="s">
        <v>194</v>
      </c>
      <c r="B565" t="s">
        <v>305</v>
      </c>
      <c r="C565">
        <v>214</v>
      </c>
      <c r="D565" t="s">
        <v>312</v>
      </c>
      <c r="E565" t="s">
        <v>290</v>
      </c>
    </row>
    <row r="566" spans="1:5" x14ac:dyDescent="0.3">
      <c r="A566" t="s">
        <v>194</v>
      </c>
      <c r="B566" t="s">
        <v>305</v>
      </c>
      <c r="C566">
        <v>215</v>
      </c>
      <c r="D566" t="s">
        <v>311</v>
      </c>
      <c r="E566" t="s">
        <v>290</v>
      </c>
    </row>
    <row r="567" spans="1:5" x14ac:dyDescent="0.3">
      <c r="A567" t="s">
        <v>194</v>
      </c>
      <c r="B567" t="s">
        <v>305</v>
      </c>
      <c r="C567">
        <v>217</v>
      </c>
      <c r="D567" t="s">
        <v>310</v>
      </c>
      <c r="E567" t="s">
        <v>290</v>
      </c>
    </row>
    <row r="568" spans="1:5" x14ac:dyDescent="0.3">
      <c r="A568" t="s">
        <v>194</v>
      </c>
      <c r="B568" t="s">
        <v>305</v>
      </c>
      <c r="C568">
        <v>231</v>
      </c>
      <c r="D568" t="s">
        <v>309</v>
      </c>
      <c r="E568" t="s">
        <v>290</v>
      </c>
    </row>
    <row r="569" spans="1:5" x14ac:dyDescent="0.3">
      <c r="A569" t="s">
        <v>194</v>
      </c>
      <c r="B569" t="s">
        <v>305</v>
      </c>
      <c r="C569">
        <v>234</v>
      </c>
      <c r="D569" t="s">
        <v>308</v>
      </c>
      <c r="E569" t="s">
        <v>290</v>
      </c>
    </row>
    <row r="570" spans="1:5" x14ac:dyDescent="0.3">
      <c r="A570" t="s">
        <v>194</v>
      </c>
      <c r="B570" t="s">
        <v>305</v>
      </c>
      <c r="C570">
        <v>235</v>
      </c>
      <c r="D570" t="s">
        <v>307</v>
      </c>
      <c r="E570" t="s">
        <v>290</v>
      </c>
    </row>
    <row r="571" spans="1:5" x14ac:dyDescent="0.3">
      <c r="A571" t="s">
        <v>194</v>
      </c>
      <c r="B571" t="s">
        <v>305</v>
      </c>
      <c r="C571">
        <v>237</v>
      </c>
      <c r="D571" t="s">
        <v>306</v>
      </c>
      <c r="E571" t="s">
        <v>290</v>
      </c>
    </row>
    <row r="572" spans="1:5" x14ac:dyDescent="0.3">
      <c r="A572" t="s">
        <v>194</v>
      </c>
      <c r="B572" t="s">
        <v>305</v>
      </c>
      <c r="C572">
        <v>245</v>
      </c>
      <c r="D572" t="s">
        <v>256</v>
      </c>
      <c r="E572" t="s">
        <v>290</v>
      </c>
    </row>
    <row r="573" spans="1:5" x14ac:dyDescent="0.3">
      <c r="A573" t="s">
        <v>194</v>
      </c>
      <c r="B573" t="s">
        <v>195</v>
      </c>
      <c r="C573">
        <v>301</v>
      </c>
      <c r="D573" t="s">
        <v>304</v>
      </c>
      <c r="E573" t="s">
        <v>248</v>
      </c>
    </row>
    <row r="574" spans="1:5" x14ac:dyDescent="0.3">
      <c r="A574" t="s">
        <v>194</v>
      </c>
      <c r="B574" t="s">
        <v>195</v>
      </c>
      <c r="C574">
        <v>302</v>
      </c>
      <c r="D574" t="s">
        <v>287</v>
      </c>
      <c r="E574" t="s">
        <v>248</v>
      </c>
    </row>
    <row r="575" spans="1:5" x14ac:dyDescent="0.3">
      <c r="A575" t="s">
        <v>194</v>
      </c>
      <c r="B575" t="s">
        <v>195</v>
      </c>
      <c r="C575">
        <v>304</v>
      </c>
      <c r="D575" t="s">
        <v>303</v>
      </c>
      <c r="E575" t="s">
        <v>248</v>
      </c>
    </row>
    <row r="576" spans="1:5" x14ac:dyDescent="0.3">
      <c r="A576" t="s">
        <v>194</v>
      </c>
      <c r="B576" t="s">
        <v>195</v>
      </c>
      <c r="C576">
        <v>308</v>
      </c>
      <c r="D576" t="s">
        <v>286</v>
      </c>
      <c r="E576" t="s">
        <v>248</v>
      </c>
    </row>
    <row r="577" spans="1:5" x14ac:dyDescent="0.3">
      <c r="A577" t="s">
        <v>194</v>
      </c>
      <c r="B577" t="s">
        <v>195</v>
      </c>
      <c r="C577">
        <v>309</v>
      </c>
      <c r="D577" t="s">
        <v>285</v>
      </c>
      <c r="E577" t="s">
        <v>248</v>
      </c>
    </row>
    <row r="578" spans="1:5" x14ac:dyDescent="0.3">
      <c r="A578" t="s">
        <v>194</v>
      </c>
      <c r="B578" t="s">
        <v>195</v>
      </c>
      <c r="C578">
        <v>310</v>
      </c>
      <c r="D578" t="s">
        <v>284</v>
      </c>
      <c r="E578" t="s">
        <v>248</v>
      </c>
    </row>
    <row r="579" spans="1:5" x14ac:dyDescent="0.3">
      <c r="A579" t="s">
        <v>194</v>
      </c>
      <c r="B579" t="s">
        <v>195</v>
      </c>
      <c r="C579">
        <v>316</v>
      </c>
      <c r="D579" t="s">
        <v>282</v>
      </c>
      <c r="E579" t="s">
        <v>248</v>
      </c>
    </row>
    <row r="580" spans="1:5" x14ac:dyDescent="0.3">
      <c r="A580" t="s">
        <v>194</v>
      </c>
      <c r="B580" t="s">
        <v>195</v>
      </c>
      <c r="C580">
        <v>323</v>
      </c>
      <c r="D580" t="s">
        <v>302</v>
      </c>
      <c r="E580" t="s">
        <v>248</v>
      </c>
    </row>
    <row r="581" spans="1:5" x14ac:dyDescent="0.3">
      <c r="A581" t="s">
        <v>194</v>
      </c>
      <c r="B581" t="s">
        <v>195</v>
      </c>
      <c r="C581">
        <v>325</v>
      </c>
      <c r="D581" t="s">
        <v>278</v>
      </c>
      <c r="E581" t="s">
        <v>248</v>
      </c>
    </row>
    <row r="582" spans="1:5" x14ac:dyDescent="0.3">
      <c r="A582" t="s">
        <v>194</v>
      </c>
      <c r="B582" t="s">
        <v>195</v>
      </c>
      <c r="C582">
        <v>329</v>
      </c>
      <c r="D582" t="s">
        <v>275</v>
      </c>
      <c r="E582" t="s">
        <v>248</v>
      </c>
    </row>
    <row r="583" spans="1:5" x14ac:dyDescent="0.3">
      <c r="A583" t="s">
        <v>194</v>
      </c>
      <c r="B583" t="s">
        <v>195</v>
      </c>
      <c r="C583">
        <v>331</v>
      </c>
      <c r="D583" t="s">
        <v>273</v>
      </c>
      <c r="E583" t="s">
        <v>248</v>
      </c>
    </row>
    <row r="584" spans="1:5" x14ac:dyDescent="0.3">
      <c r="A584" t="s">
        <v>194</v>
      </c>
      <c r="B584" t="s">
        <v>195</v>
      </c>
      <c r="C584">
        <v>332</v>
      </c>
      <c r="D584" t="s">
        <v>272</v>
      </c>
      <c r="E584" t="s">
        <v>248</v>
      </c>
    </row>
    <row r="585" spans="1:5" x14ac:dyDescent="0.3">
      <c r="A585" t="s">
        <v>194</v>
      </c>
      <c r="B585" t="s">
        <v>195</v>
      </c>
      <c r="C585">
        <v>333</v>
      </c>
      <c r="D585" t="s">
        <v>271</v>
      </c>
      <c r="E585" t="s">
        <v>264</v>
      </c>
    </row>
    <row r="586" spans="1:5" x14ac:dyDescent="0.3">
      <c r="A586" t="s">
        <v>194</v>
      </c>
      <c r="B586" t="s">
        <v>195</v>
      </c>
      <c r="C586">
        <v>336</v>
      </c>
      <c r="D586" t="s">
        <v>301</v>
      </c>
      <c r="E586" t="s">
        <v>248</v>
      </c>
    </row>
    <row r="587" spans="1:5" x14ac:dyDescent="0.3">
      <c r="A587" t="s">
        <v>194</v>
      </c>
      <c r="B587" t="s">
        <v>195</v>
      </c>
      <c r="C587">
        <v>344</v>
      </c>
      <c r="D587" t="s">
        <v>265</v>
      </c>
      <c r="E587" t="s">
        <v>264</v>
      </c>
    </row>
    <row r="588" spans="1:5" x14ac:dyDescent="0.3">
      <c r="A588" t="s">
        <v>194</v>
      </c>
      <c r="B588" t="s">
        <v>195</v>
      </c>
      <c r="C588">
        <v>348</v>
      </c>
      <c r="D588" t="s">
        <v>262</v>
      </c>
      <c r="E588" t="s">
        <v>248</v>
      </c>
    </row>
    <row r="589" spans="1:5" x14ac:dyDescent="0.3">
      <c r="A589" t="s">
        <v>194</v>
      </c>
      <c r="B589" t="s">
        <v>195</v>
      </c>
      <c r="C589">
        <v>356</v>
      </c>
      <c r="D589" t="s">
        <v>260</v>
      </c>
      <c r="E589" t="s">
        <v>248</v>
      </c>
    </row>
    <row r="590" spans="1:5" x14ac:dyDescent="0.3">
      <c r="A590" t="s">
        <v>194</v>
      </c>
      <c r="B590" t="s">
        <v>195</v>
      </c>
      <c r="C590">
        <v>373</v>
      </c>
      <c r="D590" t="s">
        <v>300</v>
      </c>
      <c r="E590" t="s">
        <v>248</v>
      </c>
    </row>
    <row r="591" spans="1:5" x14ac:dyDescent="0.3">
      <c r="A591" t="s">
        <v>194</v>
      </c>
      <c r="B591" t="s">
        <v>195</v>
      </c>
      <c r="C591">
        <v>375</v>
      </c>
      <c r="D591" t="s">
        <v>299</v>
      </c>
      <c r="E591" t="s">
        <v>248</v>
      </c>
    </row>
    <row r="592" spans="1:5" x14ac:dyDescent="0.3">
      <c r="A592" t="s">
        <v>194</v>
      </c>
      <c r="B592" t="s">
        <v>195</v>
      </c>
      <c r="C592">
        <v>377</v>
      </c>
      <c r="D592" t="s">
        <v>298</v>
      </c>
      <c r="E592" t="s">
        <v>248</v>
      </c>
    </row>
    <row r="593" spans="1:5" x14ac:dyDescent="0.3">
      <c r="A593" t="s">
        <v>194</v>
      </c>
      <c r="B593" t="s">
        <v>195</v>
      </c>
      <c r="C593">
        <v>379</v>
      </c>
      <c r="D593" t="s">
        <v>297</v>
      </c>
      <c r="E593" t="s">
        <v>248</v>
      </c>
    </row>
    <row r="594" spans="1:5" x14ac:dyDescent="0.3">
      <c r="A594" t="s">
        <v>194</v>
      </c>
      <c r="B594" t="s">
        <v>195</v>
      </c>
      <c r="C594">
        <v>387</v>
      </c>
      <c r="D594" t="s">
        <v>256</v>
      </c>
      <c r="E594" t="s">
        <v>248</v>
      </c>
    </row>
    <row r="595" spans="1:5" x14ac:dyDescent="0.3">
      <c r="A595" t="s">
        <v>194</v>
      </c>
      <c r="B595" t="s">
        <v>195</v>
      </c>
      <c r="C595">
        <v>393</v>
      </c>
      <c r="D595" t="s">
        <v>296</v>
      </c>
      <c r="E595" t="s">
        <v>248</v>
      </c>
    </row>
    <row r="596" spans="1:5" x14ac:dyDescent="0.3">
      <c r="A596" t="s">
        <v>194</v>
      </c>
      <c r="B596" t="s">
        <v>195</v>
      </c>
      <c r="C596">
        <v>406</v>
      </c>
      <c r="D596" t="s">
        <v>295</v>
      </c>
      <c r="E596" t="s">
        <v>248</v>
      </c>
    </row>
    <row r="597" spans="1:5" x14ac:dyDescent="0.3">
      <c r="A597" t="s">
        <v>194</v>
      </c>
      <c r="B597" t="s">
        <v>247</v>
      </c>
      <c r="C597">
        <v>706</v>
      </c>
      <c r="D597" t="s">
        <v>294</v>
      </c>
      <c r="E597" t="s">
        <v>245</v>
      </c>
    </row>
    <row r="598" spans="1:5" x14ac:dyDescent="0.3">
      <c r="A598" t="s">
        <v>194</v>
      </c>
      <c r="B598" t="s">
        <v>247</v>
      </c>
      <c r="C598">
        <v>712</v>
      </c>
      <c r="D598" t="s">
        <v>254</v>
      </c>
      <c r="E598" t="s">
        <v>245</v>
      </c>
    </row>
    <row r="599" spans="1:5" x14ac:dyDescent="0.3">
      <c r="A599" t="s">
        <v>194</v>
      </c>
      <c r="B599" t="s">
        <v>247</v>
      </c>
      <c r="C599">
        <v>714</v>
      </c>
      <c r="D599" t="s">
        <v>293</v>
      </c>
      <c r="E599" t="s">
        <v>290</v>
      </c>
    </row>
    <row r="600" spans="1:5" x14ac:dyDescent="0.3">
      <c r="A600" t="s">
        <v>194</v>
      </c>
      <c r="B600" t="s">
        <v>247</v>
      </c>
      <c r="C600">
        <v>729</v>
      </c>
      <c r="D600" t="s">
        <v>292</v>
      </c>
      <c r="E600" t="s">
        <v>245</v>
      </c>
    </row>
    <row r="601" spans="1:5" x14ac:dyDescent="0.3">
      <c r="A601" t="s">
        <v>194</v>
      </c>
      <c r="B601" t="s">
        <v>247</v>
      </c>
      <c r="C601">
        <v>740</v>
      </c>
      <c r="D601" t="s">
        <v>251</v>
      </c>
      <c r="E601" t="s">
        <v>245</v>
      </c>
    </row>
    <row r="602" spans="1:5" x14ac:dyDescent="0.3">
      <c r="A602" t="s">
        <v>194</v>
      </c>
      <c r="B602" t="s">
        <v>247</v>
      </c>
      <c r="C602">
        <v>744</v>
      </c>
      <c r="D602" t="s">
        <v>291</v>
      </c>
      <c r="E602" t="s">
        <v>290</v>
      </c>
    </row>
    <row r="603" spans="1:5" x14ac:dyDescent="0.3">
      <c r="A603" t="s">
        <v>194</v>
      </c>
      <c r="B603" t="s">
        <v>247</v>
      </c>
      <c r="C603">
        <v>745</v>
      </c>
      <c r="D603" t="s">
        <v>249</v>
      </c>
      <c r="E603" t="s">
        <v>248</v>
      </c>
    </row>
    <row r="604" spans="1:5" x14ac:dyDescent="0.3">
      <c r="A604" t="s">
        <v>194</v>
      </c>
      <c r="B604" t="s">
        <v>247</v>
      </c>
      <c r="C604">
        <v>746</v>
      </c>
      <c r="D604" t="s">
        <v>289</v>
      </c>
      <c r="E604" t="s">
        <v>245</v>
      </c>
    </row>
    <row r="605" spans="1:5" x14ac:dyDescent="0.3">
      <c r="A605" t="s">
        <v>194</v>
      </c>
      <c r="B605" t="s">
        <v>247</v>
      </c>
      <c r="C605">
        <v>747</v>
      </c>
      <c r="D605" t="s">
        <v>288</v>
      </c>
      <c r="E605" t="s">
        <v>248</v>
      </c>
    </row>
    <row r="606" spans="1:5" x14ac:dyDescent="0.3">
      <c r="A606" t="s">
        <v>236</v>
      </c>
      <c r="B606" t="s">
        <v>195</v>
      </c>
      <c r="C606">
        <v>308</v>
      </c>
      <c r="D606" t="s">
        <v>286</v>
      </c>
      <c r="E606" t="s">
        <v>248</v>
      </c>
    </row>
    <row r="607" spans="1:5" x14ac:dyDescent="0.3">
      <c r="A607" t="s">
        <v>236</v>
      </c>
      <c r="B607" t="s">
        <v>195</v>
      </c>
      <c r="C607">
        <v>312</v>
      </c>
      <c r="D607" t="s">
        <v>283</v>
      </c>
      <c r="E607" t="s">
        <v>264</v>
      </c>
    </row>
    <row r="608" spans="1:5" x14ac:dyDescent="0.3">
      <c r="A608" t="s">
        <v>236</v>
      </c>
      <c r="B608" t="s">
        <v>195</v>
      </c>
      <c r="C608">
        <v>320</v>
      </c>
      <c r="D608" t="s">
        <v>279</v>
      </c>
      <c r="E608" t="s">
        <v>248</v>
      </c>
    </row>
    <row r="609" spans="1:5" x14ac:dyDescent="0.3">
      <c r="A609" t="s">
        <v>236</v>
      </c>
      <c r="B609" t="s">
        <v>195</v>
      </c>
      <c r="C609">
        <v>328</v>
      </c>
      <c r="D609" t="s">
        <v>364</v>
      </c>
      <c r="E609" t="s">
        <v>264</v>
      </c>
    </row>
    <row r="610" spans="1:5" x14ac:dyDescent="0.3">
      <c r="A610" t="s">
        <v>236</v>
      </c>
      <c r="B610" t="s">
        <v>195</v>
      </c>
      <c r="C610">
        <v>329</v>
      </c>
      <c r="D610" t="s">
        <v>275</v>
      </c>
      <c r="E610" t="s">
        <v>248</v>
      </c>
    </row>
    <row r="611" spans="1:5" x14ac:dyDescent="0.3">
      <c r="A611" t="s">
        <v>236</v>
      </c>
      <c r="B611" t="s">
        <v>195</v>
      </c>
      <c r="C611">
        <v>333</v>
      </c>
      <c r="D611" t="s">
        <v>271</v>
      </c>
      <c r="E611" t="s">
        <v>264</v>
      </c>
    </row>
    <row r="612" spans="1:5" x14ac:dyDescent="0.3">
      <c r="A612" t="s">
        <v>236</v>
      </c>
      <c r="B612" t="s">
        <v>195</v>
      </c>
      <c r="C612">
        <v>334</v>
      </c>
      <c r="D612" t="s">
        <v>363</v>
      </c>
      <c r="E612" t="s">
        <v>264</v>
      </c>
    </row>
    <row r="613" spans="1:5" x14ac:dyDescent="0.3">
      <c r="A613" t="s">
        <v>236</v>
      </c>
      <c r="B613" t="s">
        <v>195</v>
      </c>
      <c r="C613">
        <v>342</v>
      </c>
      <c r="D613" t="s">
        <v>266</v>
      </c>
      <c r="E613" t="s">
        <v>248</v>
      </c>
    </row>
    <row r="614" spans="1:5" x14ac:dyDescent="0.3">
      <c r="A614" t="s">
        <v>236</v>
      </c>
      <c r="B614" t="s">
        <v>195</v>
      </c>
      <c r="C614">
        <v>372</v>
      </c>
      <c r="D614" t="s">
        <v>257</v>
      </c>
      <c r="E614" t="s">
        <v>248</v>
      </c>
    </row>
    <row r="615" spans="1:5" x14ac:dyDescent="0.3">
      <c r="A615" t="s">
        <v>236</v>
      </c>
      <c r="B615" t="s">
        <v>247</v>
      </c>
      <c r="C615">
        <v>729</v>
      </c>
      <c r="D615" t="s">
        <v>292</v>
      </c>
      <c r="E615" t="s">
        <v>245</v>
      </c>
    </row>
    <row r="616" spans="1:5" x14ac:dyDescent="0.3">
      <c r="A616" t="s">
        <v>236</v>
      </c>
      <c r="B616" t="s">
        <v>247</v>
      </c>
      <c r="C616">
        <v>749</v>
      </c>
      <c r="D616" t="s">
        <v>246</v>
      </c>
      <c r="E616" t="s">
        <v>245</v>
      </c>
    </row>
    <row r="617" spans="1:5" x14ac:dyDescent="0.3">
      <c r="A617" t="s">
        <v>236</v>
      </c>
      <c r="B617" t="s">
        <v>247</v>
      </c>
      <c r="C617">
        <v>712</v>
      </c>
      <c r="D617" t="s">
        <v>254</v>
      </c>
      <c r="E617" t="s">
        <v>245</v>
      </c>
    </row>
    <row r="618" spans="1:5" x14ac:dyDescent="0.3">
      <c r="A618" t="s">
        <v>237</v>
      </c>
      <c r="B618" t="s">
        <v>195</v>
      </c>
      <c r="C618">
        <v>335</v>
      </c>
      <c r="D618" t="s">
        <v>270</v>
      </c>
      <c r="E618" t="s">
        <v>248</v>
      </c>
    </row>
    <row r="619" spans="1:5" x14ac:dyDescent="0.3">
      <c r="A619" t="s">
        <v>237</v>
      </c>
      <c r="B619" t="s">
        <v>195</v>
      </c>
      <c r="C619">
        <v>337</v>
      </c>
      <c r="D619" t="s">
        <v>269</v>
      </c>
      <c r="E619" t="s">
        <v>264</v>
      </c>
    </row>
    <row r="620" spans="1:5" x14ac:dyDescent="0.3">
      <c r="A620" t="s">
        <v>237</v>
      </c>
      <c r="B620" t="s">
        <v>195</v>
      </c>
      <c r="C620">
        <v>390</v>
      </c>
      <c r="D620" t="s">
        <v>368</v>
      </c>
      <c r="E620" t="s">
        <v>248</v>
      </c>
    </row>
    <row r="621" spans="1:5" x14ac:dyDescent="0.3">
      <c r="A621" t="s">
        <v>237</v>
      </c>
      <c r="B621" t="s">
        <v>195</v>
      </c>
      <c r="C621">
        <v>420</v>
      </c>
      <c r="D621" t="s">
        <v>339</v>
      </c>
      <c r="E621" t="s">
        <v>264</v>
      </c>
    </row>
    <row r="622" spans="1:5" x14ac:dyDescent="0.3">
      <c r="A622" t="s">
        <v>237</v>
      </c>
      <c r="B622" t="s">
        <v>247</v>
      </c>
      <c r="C622">
        <v>706</v>
      </c>
      <c r="D622" t="s">
        <v>294</v>
      </c>
      <c r="E622" t="s">
        <v>245</v>
      </c>
    </row>
    <row r="623" spans="1:5" x14ac:dyDescent="0.3">
      <c r="A623" t="s">
        <v>237</v>
      </c>
      <c r="B623" t="s">
        <v>247</v>
      </c>
      <c r="C623">
        <v>712</v>
      </c>
      <c r="D623" t="s">
        <v>254</v>
      </c>
      <c r="E623" t="s">
        <v>245</v>
      </c>
    </row>
    <row r="624" spans="1:5" x14ac:dyDescent="0.3">
      <c r="A624" t="s">
        <v>237</v>
      </c>
      <c r="B624" t="s">
        <v>247</v>
      </c>
      <c r="C624">
        <v>740</v>
      </c>
      <c r="D624" t="s">
        <v>251</v>
      </c>
      <c r="E624" t="s">
        <v>245</v>
      </c>
    </row>
    <row r="625" spans="1:5" x14ac:dyDescent="0.3">
      <c r="A625" t="s">
        <v>237</v>
      </c>
      <c r="B625" t="s">
        <v>247</v>
      </c>
      <c r="C625">
        <v>745</v>
      </c>
      <c r="D625" t="s">
        <v>249</v>
      </c>
      <c r="E625" t="s">
        <v>248</v>
      </c>
    </row>
    <row r="626" spans="1:5" x14ac:dyDescent="0.3">
      <c r="A626" t="s">
        <v>237</v>
      </c>
      <c r="B626" t="s">
        <v>247</v>
      </c>
      <c r="C626">
        <v>749</v>
      </c>
      <c r="D626" t="s">
        <v>246</v>
      </c>
      <c r="E626" t="s">
        <v>245</v>
      </c>
    </row>
    <row r="627" spans="1:5" x14ac:dyDescent="0.3">
      <c r="A627" t="s">
        <v>237</v>
      </c>
      <c r="B627" t="s">
        <v>195</v>
      </c>
      <c r="C627">
        <v>301</v>
      </c>
      <c r="D627" t="s">
        <v>304</v>
      </c>
      <c r="E627" t="s">
        <v>248</v>
      </c>
    </row>
    <row r="628" spans="1:5" x14ac:dyDescent="0.3">
      <c r="A628" t="s">
        <v>237</v>
      </c>
      <c r="B628" t="s">
        <v>195</v>
      </c>
      <c r="C628">
        <v>420</v>
      </c>
      <c r="D628" t="s">
        <v>339</v>
      </c>
      <c r="E628" t="s">
        <v>264</v>
      </c>
    </row>
    <row r="629" spans="1:5" x14ac:dyDescent="0.3">
      <c r="A629" t="s">
        <v>237</v>
      </c>
      <c r="B629" t="s">
        <v>247</v>
      </c>
      <c r="C629">
        <v>712</v>
      </c>
      <c r="D629" t="s">
        <v>254</v>
      </c>
      <c r="E629" t="s">
        <v>245</v>
      </c>
    </row>
    <row r="630" spans="1:5" x14ac:dyDescent="0.3">
      <c r="A630" t="s">
        <v>237</v>
      </c>
      <c r="B630" t="s">
        <v>247</v>
      </c>
      <c r="C630">
        <v>744</v>
      </c>
      <c r="D630" t="s">
        <v>291</v>
      </c>
      <c r="E630" t="s">
        <v>264</v>
      </c>
    </row>
    <row r="631" spans="1:5" x14ac:dyDescent="0.3">
      <c r="A631" t="s">
        <v>237</v>
      </c>
      <c r="B631" t="s">
        <v>247</v>
      </c>
      <c r="C631">
        <v>745</v>
      </c>
      <c r="D631" t="s">
        <v>249</v>
      </c>
      <c r="E631" t="s">
        <v>248</v>
      </c>
    </row>
    <row r="632" spans="1:5" x14ac:dyDescent="0.3">
      <c r="A632" t="s">
        <v>237</v>
      </c>
      <c r="B632" t="s">
        <v>247</v>
      </c>
      <c r="C632">
        <v>749</v>
      </c>
      <c r="D632" t="s">
        <v>246</v>
      </c>
      <c r="E632" t="s">
        <v>245</v>
      </c>
    </row>
    <row r="633" spans="1:5" x14ac:dyDescent="0.3">
      <c r="A633" t="s">
        <v>237</v>
      </c>
      <c r="B633" t="s">
        <v>247</v>
      </c>
      <c r="C633">
        <v>739</v>
      </c>
      <c r="D633" t="s">
        <v>252</v>
      </c>
      <c r="E633" t="s">
        <v>245</v>
      </c>
    </row>
    <row r="634" spans="1:5" x14ac:dyDescent="0.3">
      <c r="A634" t="s">
        <v>237</v>
      </c>
      <c r="B634" t="s">
        <v>195</v>
      </c>
      <c r="C634">
        <v>304</v>
      </c>
      <c r="D634" t="s">
        <v>303</v>
      </c>
      <c r="E634" t="s">
        <v>248</v>
      </c>
    </row>
    <row r="635" spans="1:5" x14ac:dyDescent="0.3">
      <c r="A635" t="s">
        <v>237</v>
      </c>
      <c r="B635" t="s">
        <v>195</v>
      </c>
      <c r="C635">
        <v>308</v>
      </c>
      <c r="D635" t="s">
        <v>286</v>
      </c>
      <c r="E635" t="s">
        <v>248</v>
      </c>
    </row>
    <row r="636" spans="1:5" x14ac:dyDescent="0.3">
      <c r="A636" t="s">
        <v>237</v>
      </c>
      <c r="B636" t="s">
        <v>195</v>
      </c>
      <c r="C636">
        <v>310</v>
      </c>
      <c r="D636" t="s">
        <v>284</v>
      </c>
      <c r="E636" t="s">
        <v>248</v>
      </c>
    </row>
    <row r="637" spans="1:5" x14ac:dyDescent="0.3">
      <c r="A637" t="s">
        <v>237</v>
      </c>
      <c r="B637" t="s">
        <v>195</v>
      </c>
      <c r="C637">
        <v>317</v>
      </c>
      <c r="D637" t="s">
        <v>281</v>
      </c>
      <c r="E637" t="s">
        <v>248</v>
      </c>
    </row>
    <row r="638" spans="1:5" x14ac:dyDescent="0.3">
      <c r="A638" t="s">
        <v>237</v>
      </c>
      <c r="B638" t="s">
        <v>195</v>
      </c>
      <c r="C638">
        <v>329</v>
      </c>
      <c r="D638" t="s">
        <v>275</v>
      </c>
      <c r="E638" t="s">
        <v>248</v>
      </c>
    </row>
    <row r="639" spans="1:5" x14ac:dyDescent="0.3">
      <c r="A639" t="s">
        <v>237</v>
      </c>
      <c r="B639" t="s">
        <v>195</v>
      </c>
      <c r="C639">
        <v>344</v>
      </c>
      <c r="D639" t="s">
        <v>265</v>
      </c>
      <c r="E639" t="s">
        <v>264</v>
      </c>
    </row>
    <row r="640" spans="1:5" x14ac:dyDescent="0.3">
      <c r="A640" t="s">
        <v>237</v>
      </c>
      <c r="B640" t="s">
        <v>195</v>
      </c>
      <c r="C640">
        <v>388</v>
      </c>
      <c r="D640" t="s">
        <v>345</v>
      </c>
      <c r="E640" t="s">
        <v>248</v>
      </c>
    </row>
    <row r="641" spans="1:5" x14ac:dyDescent="0.3">
      <c r="A641" t="s">
        <v>237</v>
      </c>
      <c r="B641" t="s">
        <v>195</v>
      </c>
      <c r="C641">
        <v>407</v>
      </c>
      <c r="D641" t="s">
        <v>255</v>
      </c>
      <c r="E641" t="s">
        <v>248</v>
      </c>
    </row>
    <row r="642" spans="1:5" x14ac:dyDescent="0.3">
      <c r="A642" t="s">
        <v>237</v>
      </c>
      <c r="B642" t="s">
        <v>247</v>
      </c>
      <c r="C642">
        <v>739</v>
      </c>
      <c r="D642" t="s">
        <v>252</v>
      </c>
      <c r="E642" t="s">
        <v>245</v>
      </c>
    </row>
    <row r="643" spans="1:5" x14ac:dyDescent="0.3">
      <c r="A643" t="s">
        <v>237</v>
      </c>
      <c r="B643" t="s">
        <v>195</v>
      </c>
      <c r="C643">
        <v>420</v>
      </c>
      <c r="D643" t="s">
        <v>339</v>
      </c>
      <c r="E643" t="s">
        <v>264</v>
      </c>
    </row>
    <row r="644" spans="1:5" x14ac:dyDescent="0.3">
      <c r="A644" t="s">
        <v>237</v>
      </c>
      <c r="B644" t="s">
        <v>247</v>
      </c>
      <c r="C644">
        <v>712</v>
      </c>
      <c r="D644" t="s">
        <v>254</v>
      </c>
      <c r="E644" t="s">
        <v>245</v>
      </c>
    </row>
    <row r="645" spans="1:5" x14ac:dyDescent="0.3">
      <c r="A645" t="s">
        <v>237</v>
      </c>
      <c r="B645" t="s">
        <v>247</v>
      </c>
      <c r="C645">
        <v>744</v>
      </c>
      <c r="D645" t="s">
        <v>291</v>
      </c>
      <c r="E645" t="s">
        <v>248</v>
      </c>
    </row>
    <row r="646" spans="1:5" x14ac:dyDescent="0.3">
      <c r="A646" t="s">
        <v>237</v>
      </c>
      <c r="B646" t="s">
        <v>247</v>
      </c>
      <c r="C646">
        <v>745</v>
      </c>
      <c r="D646" t="s">
        <v>249</v>
      </c>
      <c r="E646" t="s">
        <v>248</v>
      </c>
    </row>
    <row r="647" spans="1:5" x14ac:dyDescent="0.3">
      <c r="A647" t="s">
        <v>237</v>
      </c>
      <c r="B647" t="s">
        <v>247</v>
      </c>
      <c r="C647">
        <v>749</v>
      </c>
      <c r="D647" t="s">
        <v>246</v>
      </c>
      <c r="E647" t="s">
        <v>245</v>
      </c>
    </row>
    <row r="648" spans="1:5" x14ac:dyDescent="0.3">
      <c r="A648" t="s">
        <v>229</v>
      </c>
      <c r="B648" t="s">
        <v>247</v>
      </c>
      <c r="C648">
        <v>712</v>
      </c>
      <c r="D648" t="s">
        <v>254</v>
      </c>
      <c r="E648" t="s">
        <v>245</v>
      </c>
    </row>
    <row r="649" spans="1:5" x14ac:dyDescent="0.3">
      <c r="A649" t="s">
        <v>229</v>
      </c>
      <c r="B649" t="s">
        <v>247</v>
      </c>
      <c r="C649">
        <v>749</v>
      </c>
      <c r="D649" t="s">
        <v>246</v>
      </c>
      <c r="E649" t="s">
        <v>245</v>
      </c>
    </row>
  </sheetData>
  <autoFilter ref="B1:E649" xr:uid="{BA5A81A6-8AFB-423B-93D7-9EDA3BA5C866}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926B1C-646D-4284-8A40-31B0B09EC649}">
  <sheetPr filterMode="1"/>
  <dimension ref="A1:E133"/>
  <sheetViews>
    <sheetView topLeftCell="A111" workbookViewId="0">
      <selection activeCell="E93" sqref="E93:E106"/>
    </sheetView>
  </sheetViews>
  <sheetFormatPr baseColWidth="10" defaultRowHeight="14.4" x14ac:dyDescent="0.3"/>
  <cols>
    <col min="1" max="1" width="38.21875" bestFit="1" customWidth="1"/>
    <col min="2" max="2" width="15.44140625" bestFit="1" customWidth="1"/>
    <col min="3" max="3" width="11.33203125" bestFit="1" customWidth="1"/>
    <col min="4" max="4" width="29.33203125" bestFit="1" customWidth="1"/>
    <col min="5" max="5" width="8.21875" bestFit="1" customWidth="1"/>
  </cols>
  <sheetData>
    <row r="1" spans="1:5" ht="15" customHeight="1" x14ac:dyDescent="0.3">
      <c r="A1" t="s">
        <v>244</v>
      </c>
      <c r="B1" t="s">
        <v>243</v>
      </c>
      <c r="C1" t="s">
        <v>242</v>
      </c>
      <c r="D1" t="s">
        <v>241</v>
      </c>
      <c r="E1" t="s">
        <v>240</v>
      </c>
    </row>
    <row r="2" spans="1:5" ht="15" hidden="1" customHeight="1" x14ac:dyDescent="0.3">
      <c r="A2" t="s">
        <v>239</v>
      </c>
      <c r="B2" t="s">
        <v>199</v>
      </c>
      <c r="C2">
        <v>2</v>
      </c>
      <c r="D2" t="s">
        <v>201</v>
      </c>
      <c r="E2">
        <v>22</v>
      </c>
    </row>
    <row r="3" spans="1:5" ht="15" hidden="1" customHeight="1" x14ac:dyDescent="0.3">
      <c r="A3" t="s">
        <v>239</v>
      </c>
      <c r="B3" t="s">
        <v>199</v>
      </c>
      <c r="C3">
        <v>49</v>
      </c>
      <c r="D3" t="s">
        <v>200</v>
      </c>
      <c r="E3">
        <v>18</v>
      </c>
    </row>
    <row r="4" spans="1:5" ht="15" hidden="1" customHeight="1" x14ac:dyDescent="0.3">
      <c r="A4" t="s">
        <v>239</v>
      </c>
      <c r="B4" t="s">
        <v>199</v>
      </c>
      <c r="C4">
        <v>52</v>
      </c>
      <c r="D4" t="s">
        <v>198</v>
      </c>
      <c r="E4">
        <v>12</v>
      </c>
    </row>
    <row r="5" spans="1:5" ht="15" hidden="1" customHeight="1" x14ac:dyDescent="0.3">
      <c r="A5" t="s">
        <v>239</v>
      </c>
      <c r="B5" t="s">
        <v>212</v>
      </c>
      <c r="C5">
        <v>61</v>
      </c>
      <c r="D5" t="s">
        <v>213</v>
      </c>
      <c r="E5">
        <v>3</v>
      </c>
    </row>
    <row r="6" spans="1:5" ht="15" hidden="1" customHeight="1" x14ac:dyDescent="0.3">
      <c r="A6" t="s">
        <v>239</v>
      </c>
      <c r="B6" t="s">
        <v>212</v>
      </c>
      <c r="C6">
        <v>62</v>
      </c>
      <c r="D6" t="s">
        <v>211</v>
      </c>
      <c r="E6">
        <v>3</v>
      </c>
    </row>
    <row r="7" spans="1:5" ht="15" hidden="1" customHeight="1" x14ac:dyDescent="0.3">
      <c r="A7" t="s">
        <v>239</v>
      </c>
      <c r="B7" t="s">
        <v>196</v>
      </c>
      <c r="C7">
        <v>29</v>
      </c>
      <c r="D7" t="s">
        <v>210</v>
      </c>
      <c r="E7">
        <v>1</v>
      </c>
    </row>
    <row r="8" spans="1:5" ht="15" hidden="1" customHeight="1" x14ac:dyDescent="0.3">
      <c r="A8" t="s">
        <v>239</v>
      </c>
      <c r="B8" t="s">
        <v>196</v>
      </c>
      <c r="C8">
        <v>31</v>
      </c>
      <c r="D8" t="s">
        <v>195</v>
      </c>
      <c r="E8">
        <v>10</v>
      </c>
    </row>
    <row r="9" spans="1:5" ht="15" hidden="1" customHeight="1" x14ac:dyDescent="0.3">
      <c r="A9" t="s">
        <v>239</v>
      </c>
      <c r="B9" t="s">
        <v>193</v>
      </c>
      <c r="C9">
        <v>25</v>
      </c>
      <c r="D9" t="s">
        <v>192</v>
      </c>
      <c r="E9">
        <v>1</v>
      </c>
    </row>
    <row r="10" spans="1:5" ht="15" hidden="1" customHeight="1" x14ac:dyDescent="0.3">
      <c r="A10" t="s">
        <v>239</v>
      </c>
      <c r="B10" t="s">
        <v>193</v>
      </c>
      <c r="C10">
        <v>46</v>
      </c>
      <c r="D10" t="s">
        <v>197</v>
      </c>
      <c r="E10">
        <v>2</v>
      </c>
    </row>
    <row r="11" spans="1:5" ht="15" hidden="1" customHeight="1" x14ac:dyDescent="0.3">
      <c r="A11" t="s">
        <v>239</v>
      </c>
      <c r="B11" t="s">
        <v>203</v>
      </c>
      <c r="C11">
        <v>66</v>
      </c>
      <c r="D11" t="s">
        <v>206</v>
      </c>
      <c r="E11">
        <v>3</v>
      </c>
    </row>
    <row r="12" spans="1:5" ht="15" hidden="1" customHeight="1" x14ac:dyDescent="0.3">
      <c r="A12" t="s">
        <v>237</v>
      </c>
      <c r="B12" t="s">
        <v>196</v>
      </c>
      <c r="C12">
        <v>31</v>
      </c>
      <c r="D12" t="s">
        <v>195</v>
      </c>
      <c r="E12">
        <v>33</v>
      </c>
    </row>
    <row r="13" spans="1:5" ht="15" hidden="1" customHeight="1" x14ac:dyDescent="0.3">
      <c r="A13" t="s">
        <v>237</v>
      </c>
      <c r="B13" t="s">
        <v>193</v>
      </c>
      <c r="C13">
        <v>25</v>
      </c>
      <c r="D13" t="s">
        <v>192</v>
      </c>
      <c r="E13">
        <v>7</v>
      </c>
    </row>
    <row r="14" spans="1:5" ht="15" hidden="1" customHeight="1" x14ac:dyDescent="0.3">
      <c r="A14" t="s">
        <v>237</v>
      </c>
      <c r="B14" t="s">
        <v>196</v>
      </c>
      <c r="C14">
        <v>31</v>
      </c>
      <c r="D14" t="s">
        <v>195</v>
      </c>
      <c r="E14">
        <v>3</v>
      </c>
    </row>
    <row r="15" spans="1:5" ht="15" hidden="1" customHeight="1" x14ac:dyDescent="0.3">
      <c r="A15" t="s">
        <v>237</v>
      </c>
      <c r="B15" t="s">
        <v>193</v>
      </c>
      <c r="C15">
        <v>25</v>
      </c>
      <c r="D15" t="s">
        <v>192</v>
      </c>
      <c r="E15">
        <v>1</v>
      </c>
    </row>
    <row r="16" spans="1:5" ht="15" hidden="1" customHeight="1" x14ac:dyDescent="0.3">
      <c r="A16" t="s">
        <v>237</v>
      </c>
      <c r="B16" t="s">
        <v>196</v>
      </c>
      <c r="C16">
        <v>31</v>
      </c>
      <c r="D16" t="s">
        <v>195</v>
      </c>
      <c r="E16">
        <v>2</v>
      </c>
    </row>
    <row r="17" spans="1:5" ht="15" hidden="1" customHeight="1" x14ac:dyDescent="0.3">
      <c r="A17" t="s">
        <v>237</v>
      </c>
      <c r="B17" t="s">
        <v>196</v>
      </c>
      <c r="C17">
        <v>31</v>
      </c>
      <c r="D17" t="s">
        <v>195</v>
      </c>
      <c r="E17">
        <v>1</v>
      </c>
    </row>
    <row r="18" spans="1:5" ht="15" hidden="1" customHeight="1" x14ac:dyDescent="0.3">
      <c r="A18" t="s">
        <v>237</v>
      </c>
      <c r="B18" t="s">
        <v>196</v>
      </c>
      <c r="C18">
        <v>31</v>
      </c>
      <c r="D18" t="s">
        <v>195</v>
      </c>
      <c r="E18">
        <v>1</v>
      </c>
    </row>
    <row r="19" spans="1:5" ht="15" hidden="1" customHeight="1" x14ac:dyDescent="0.3">
      <c r="A19" t="s">
        <v>237</v>
      </c>
      <c r="B19" t="s">
        <v>196</v>
      </c>
      <c r="C19">
        <v>31</v>
      </c>
      <c r="D19" t="s">
        <v>195</v>
      </c>
      <c r="E19">
        <v>3</v>
      </c>
    </row>
    <row r="20" spans="1:5" ht="15" hidden="1" customHeight="1" x14ac:dyDescent="0.3">
      <c r="A20" t="s">
        <v>237</v>
      </c>
      <c r="B20" t="s">
        <v>199</v>
      </c>
      <c r="C20">
        <v>1</v>
      </c>
      <c r="D20" t="s">
        <v>225</v>
      </c>
      <c r="E20">
        <v>53</v>
      </c>
    </row>
    <row r="21" spans="1:5" ht="15" hidden="1" customHeight="1" x14ac:dyDescent="0.3">
      <c r="A21" t="s">
        <v>237</v>
      </c>
      <c r="B21" t="s">
        <v>199</v>
      </c>
      <c r="C21">
        <v>2</v>
      </c>
      <c r="D21" t="s">
        <v>201</v>
      </c>
      <c r="E21">
        <v>208</v>
      </c>
    </row>
    <row r="22" spans="1:5" ht="15" hidden="1" customHeight="1" x14ac:dyDescent="0.3">
      <c r="A22" t="s">
        <v>237</v>
      </c>
      <c r="B22" t="s">
        <v>199</v>
      </c>
      <c r="C22">
        <v>30</v>
      </c>
      <c r="D22" t="s">
        <v>224</v>
      </c>
      <c r="E22">
        <v>2</v>
      </c>
    </row>
    <row r="23" spans="1:5" ht="15" hidden="1" customHeight="1" x14ac:dyDescent="0.3">
      <c r="A23" t="s">
        <v>237</v>
      </c>
      <c r="B23" t="s">
        <v>199</v>
      </c>
      <c r="C23">
        <v>48</v>
      </c>
      <c r="D23" t="s">
        <v>220</v>
      </c>
      <c r="E23">
        <v>3</v>
      </c>
    </row>
    <row r="24" spans="1:5" ht="15" hidden="1" customHeight="1" x14ac:dyDescent="0.3">
      <c r="A24" t="s">
        <v>237</v>
      </c>
      <c r="B24" t="s">
        <v>199</v>
      </c>
      <c r="C24">
        <v>49</v>
      </c>
      <c r="D24" t="s">
        <v>200</v>
      </c>
      <c r="E24">
        <v>10</v>
      </c>
    </row>
    <row r="25" spans="1:5" ht="15" hidden="1" customHeight="1" x14ac:dyDescent="0.3">
      <c r="A25" t="s">
        <v>237</v>
      </c>
      <c r="B25" t="s">
        <v>199</v>
      </c>
      <c r="C25">
        <v>50</v>
      </c>
      <c r="D25" t="s">
        <v>219</v>
      </c>
      <c r="E25">
        <v>9</v>
      </c>
    </row>
    <row r="26" spans="1:5" ht="15" hidden="1" customHeight="1" x14ac:dyDescent="0.3">
      <c r="A26" t="s">
        <v>237</v>
      </c>
      <c r="B26" t="s">
        <v>199</v>
      </c>
      <c r="C26">
        <v>51</v>
      </c>
      <c r="D26" t="s">
        <v>218</v>
      </c>
      <c r="E26">
        <v>9</v>
      </c>
    </row>
    <row r="27" spans="1:5" ht="15" hidden="1" customHeight="1" x14ac:dyDescent="0.3">
      <c r="A27" t="s">
        <v>237</v>
      </c>
      <c r="B27" t="s">
        <v>199</v>
      </c>
      <c r="C27">
        <v>52</v>
      </c>
      <c r="D27" t="s">
        <v>198</v>
      </c>
      <c r="E27">
        <v>47</v>
      </c>
    </row>
    <row r="28" spans="1:5" ht="15" hidden="1" customHeight="1" x14ac:dyDescent="0.3">
      <c r="A28" t="s">
        <v>237</v>
      </c>
      <c r="B28" t="s">
        <v>199</v>
      </c>
      <c r="C28">
        <v>54</v>
      </c>
      <c r="D28" t="s">
        <v>234</v>
      </c>
      <c r="E28">
        <v>6</v>
      </c>
    </row>
    <row r="29" spans="1:5" ht="15" hidden="1" customHeight="1" x14ac:dyDescent="0.3">
      <c r="A29" t="s">
        <v>237</v>
      </c>
      <c r="B29" t="s">
        <v>199</v>
      </c>
      <c r="C29">
        <v>58</v>
      </c>
      <c r="D29" t="s">
        <v>216</v>
      </c>
      <c r="E29">
        <v>1</v>
      </c>
    </row>
    <row r="30" spans="1:5" ht="15" hidden="1" customHeight="1" x14ac:dyDescent="0.3">
      <c r="A30" t="s">
        <v>237</v>
      </c>
      <c r="B30" t="s">
        <v>199</v>
      </c>
      <c r="C30">
        <v>59</v>
      </c>
      <c r="D30" t="s">
        <v>230</v>
      </c>
      <c r="E30">
        <v>2</v>
      </c>
    </row>
    <row r="31" spans="1:5" ht="15" hidden="1" customHeight="1" x14ac:dyDescent="0.3">
      <c r="A31" t="s">
        <v>237</v>
      </c>
      <c r="B31" t="s">
        <v>199</v>
      </c>
      <c r="C31">
        <v>60</v>
      </c>
      <c r="D31" t="s">
        <v>238</v>
      </c>
      <c r="E31">
        <v>1</v>
      </c>
    </row>
    <row r="32" spans="1:5" ht="15" hidden="1" customHeight="1" x14ac:dyDescent="0.3">
      <c r="A32" t="s">
        <v>237</v>
      </c>
      <c r="B32" t="s">
        <v>199</v>
      </c>
      <c r="C32">
        <v>65</v>
      </c>
      <c r="D32" t="s">
        <v>215</v>
      </c>
      <c r="E32">
        <v>3</v>
      </c>
    </row>
    <row r="33" spans="1:5" ht="15" hidden="1" customHeight="1" x14ac:dyDescent="0.3">
      <c r="A33" t="s">
        <v>237</v>
      </c>
      <c r="B33" t="s">
        <v>212</v>
      </c>
      <c r="C33">
        <v>28</v>
      </c>
      <c r="D33" t="s">
        <v>214</v>
      </c>
      <c r="E33">
        <v>11</v>
      </c>
    </row>
    <row r="34" spans="1:5" ht="15" hidden="1" customHeight="1" x14ac:dyDescent="0.3">
      <c r="A34" t="s">
        <v>237</v>
      </c>
      <c r="B34" t="s">
        <v>212</v>
      </c>
      <c r="C34">
        <v>61</v>
      </c>
      <c r="D34" t="s">
        <v>213</v>
      </c>
      <c r="E34">
        <v>21</v>
      </c>
    </row>
    <row r="35" spans="1:5" ht="15" hidden="1" customHeight="1" x14ac:dyDescent="0.3">
      <c r="A35" t="s">
        <v>237</v>
      </c>
      <c r="B35" t="s">
        <v>212</v>
      </c>
      <c r="C35">
        <v>62</v>
      </c>
      <c r="D35" t="s">
        <v>211</v>
      </c>
      <c r="E35">
        <v>21</v>
      </c>
    </row>
    <row r="36" spans="1:5" ht="15" hidden="1" customHeight="1" x14ac:dyDescent="0.3">
      <c r="A36" t="s">
        <v>237</v>
      </c>
      <c r="B36" t="s">
        <v>196</v>
      </c>
      <c r="C36">
        <v>29</v>
      </c>
      <c r="D36" t="s">
        <v>210</v>
      </c>
      <c r="E36">
        <v>12</v>
      </c>
    </row>
    <row r="37" spans="1:5" ht="15" hidden="1" customHeight="1" x14ac:dyDescent="0.3">
      <c r="A37" t="s">
        <v>237</v>
      </c>
      <c r="B37" t="s">
        <v>196</v>
      </c>
      <c r="C37">
        <v>31</v>
      </c>
      <c r="D37" t="s">
        <v>195</v>
      </c>
      <c r="E37">
        <v>14</v>
      </c>
    </row>
    <row r="38" spans="1:5" ht="15" hidden="1" customHeight="1" x14ac:dyDescent="0.3">
      <c r="A38" t="s">
        <v>237</v>
      </c>
      <c r="B38" t="s">
        <v>193</v>
      </c>
      <c r="C38">
        <v>14</v>
      </c>
      <c r="D38" t="s">
        <v>209</v>
      </c>
      <c r="E38">
        <v>1</v>
      </c>
    </row>
    <row r="39" spans="1:5" ht="15" hidden="1" customHeight="1" x14ac:dyDescent="0.3">
      <c r="A39" t="s">
        <v>237</v>
      </c>
      <c r="B39" t="s">
        <v>193</v>
      </c>
      <c r="C39">
        <v>25</v>
      </c>
      <c r="D39" t="s">
        <v>192</v>
      </c>
      <c r="E39">
        <v>15</v>
      </c>
    </row>
    <row r="40" spans="1:5" ht="15" hidden="1" customHeight="1" x14ac:dyDescent="0.3">
      <c r="A40" t="s">
        <v>237</v>
      </c>
      <c r="B40" t="s">
        <v>193</v>
      </c>
      <c r="C40">
        <v>46</v>
      </c>
      <c r="D40" t="s">
        <v>197</v>
      </c>
      <c r="E40">
        <v>14</v>
      </c>
    </row>
    <row r="41" spans="1:5" ht="15" hidden="1" customHeight="1" x14ac:dyDescent="0.3">
      <c r="A41" t="s">
        <v>237</v>
      </c>
      <c r="B41" t="s">
        <v>193</v>
      </c>
      <c r="C41">
        <v>63</v>
      </c>
      <c r="D41" t="s">
        <v>208</v>
      </c>
      <c r="E41">
        <v>2</v>
      </c>
    </row>
    <row r="42" spans="1:5" ht="15" hidden="1" customHeight="1" x14ac:dyDescent="0.3">
      <c r="A42" t="s">
        <v>237</v>
      </c>
      <c r="B42" t="s">
        <v>203</v>
      </c>
      <c r="C42">
        <v>23</v>
      </c>
      <c r="D42" t="s">
        <v>202</v>
      </c>
      <c r="E42">
        <v>30</v>
      </c>
    </row>
    <row r="43" spans="1:5" ht="15" hidden="1" customHeight="1" x14ac:dyDescent="0.3">
      <c r="A43" t="s">
        <v>237</v>
      </c>
      <c r="B43" t="s">
        <v>203</v>
      </c>
      <c r="C43">
        <v>66</v>
      </c>
      <c r="D43" t="s">
        <v>206</v>
      </c>
      <c r="E43">
        <v>10</v>
      </c>
    </row>
    <row r="44" spans="1:5" ht="15" hidden="1" customHeight="1" x14ac:dyDescent="0.3">
      <c r="A44" t="s">
        <v>236</v>
      </c>
      <c r="B44" t="s">
        <v>196</v>
      </c>
      <c r="C44">
        <v>31</v>
      </c>
      <c r="D44" t="s">
        <v>195</v>
      </c>
      <c r="E44">
        <v>1</v>
      </c>
    </row>
    <row r="45" spans="1:5" ht="15" hidden="1" customHeight="1" x14ac:dyDescent="0.3">
      <c r="A45" t="s">
        <v>236</v>
      </c>
      <c r="B45" t="s">
        <v>193</v>
      </c>
      <c r="C45">
        <v>25</v>
      </c>
      <c r="D45" t="s">
        <v>192</v>
      </c>
      <c r="E45">
        <v>3</v>
      </c>
    </row>
    <row r="46" spans="1:5" ht="15" hidden="1" customHeight="1" x14ac:dyDescent="0.3">
      <c r="A46" t="s">
        <v>236</v>
      </c>
      <c r="B46" t="s">
        <v>196</v>
      </c>
      <c r="C46">
        <v>31</v>
      </c>
      <c r="D46" t="s">
        <v>195</v>
      </c>
      <c r="E46">
        <v>35</v>
      </c>
    </row>
    <row r="47" spans="1:5" ht="15" hidden="1" customHeight="1" x14ac:dyDescent="0.3">
      <c r="A47" t="s">
        <v>236</v>
      </c>
      <c r="B47" t="s">
        <v>193</v>
      </c>
      <c r="C47">
        <v>25</v>
      </c>
      <c r="D47" t="s">
        <v>192</v>
      </c>
      <c r="E47">
        <v>1</v>
      </c>
    </row>
    <row r="48" spans="1:5" ht="15" hidden="1" customHeight="1" x14ac:dyDescent="0.3">
      <c r="A48" t="s">
        <v>236</v>
      </c>
      <c r="B48" t="s">
        <v>193</v>
      </c>
      <c r="C48">
        <v>25</v>
      </c>
      <c r="D48" t="s">
        <v>192</v>
      </c>
      <c r="E48">
        <v>1</v>
      </c>
    </row>
    <row r="49" spans="1:5" ht="15" hidden="1" customHeight="1" x14ac:dyDescent="0.3">
      <c r="A49" t="s">
        <v>236</v>
      </c>
      <c r="B49" t="s">
        <v>196</v>
      </c>
      <c r="C49">
        <v>31</v>
      </c>
      <c r="D49" t="s">
        <v>195</v>
      </c>
      <c r="E49">
        <v>23</v>
      </c>
    </row>
    <row r="50" spans="1:5" ht="15" hidden="1" customHeight="1" x14ac:dyDescent="0.3">
      <c r="A50" t="s">
        <v>236</v>
      </c>
      <c r="B50" t="s">
        <v>193</v>
      </c>
      <c r="C50">
        <v>25</v>
      </c>
      <c r="D50" t="s">
        <v>192</v>
      </c>
      <c r="E50">
        <v>1</v>
      </c>
    </row>
    <row r="51" spans="1:5" ht="15" hidden="1" customHeight="1" x14ac:dyDescent="0.3">
      <c r="A51" t="s">
        <v>236</v>
      </c>
      <c r="B51" t="s">
        <v>196</v>
      </c>
      <c r="C51">
        <v>31</v>
      </c>
      <c r="D51" t="s">
        <v>195</v>
      </c>
      <c r="E51">
        <v>11</v>
      </c>
    </row>
    <row r="52" spans="1:5" ht="15" hidden="1" customHeight="1" x14ac:dyDescent="0.3">
      <c r="A52" t="s">
        <v>236</v>
      </c>
      <c r="B52" t="s">
        <v>193</v>
      </c>
      <c r="C52">
        <v>25</v>
      </c>
      <c r="D52" t="s">
        <v>192</v>
      </c>
      <c r="E52">
        <v>1</v>
      </c>
    </row>
    <row r="53" spans="1:5" ht="15" hidden="1" customHeight="1" x14ac:dyDescent="0.3">
      <c r="A53" t="s">
        <v>236</v>
      </c>
      <c r="B53" t="s">
        <v>196</v>
      </c>
      <c r="C53">
        <v>31</v>
      </c>
      <c r="D53" t="s">
        <v>195</v>
      </c>
      <c r="E53">
        <v>24</v>
      </c>
    </row>
    <row r="54" spans="1:5" ht="15" hidden="1" customHeight="1" x14ac:dyDescent="0.3">
      <c r="A54" t="s">
        <v>236</v>
      </c>
      <c r="B54" t="s">
        <v>193</v>
      </c>
      <c r="C54">
        <v>25</v>
      </c>
      <c r="D54" t="s">
        <v>192</v>
      </c>
      <c r="E54">
        <v>1</v>
      </c>
    </row>
    <row r="55" spans="1:5" ht="15" hidden="1" customHeight="1" x14ac:dyDescent="0.3">
      <c r="A55" t="s">
        <v>236</v>
      </c>
      <c r="B55" t="s">
        <v>196</v>
      </c>
      <c r="C55">
        <v>31</v>
      </c>
      <c r="D55" t="s">
        <v>195</v>
      </c>
      <c r="E55">
        <v>11</v>
      </c>
    </row>
    <row r="56" spans="1:5" ht="15" hidden="1" customHeight="1" x14ac:dyDescent="0.3">
      <c r="A56" t="s">
        <v>236</v>
      </c>
      <c r="B56" t="s">
        <v>193</v>
      </c>
      <c r="C56">
        <v>25</v>
      </c>
      <c r="D56" t="s">
        <v>192</v>
      </c>
      <c r="E56">
        <v>1</v>
      </c>
    </row>
    <row r="57" spans="1:5" ht="15" hidden="1" customHeight="1" x14ac:dyDescent="0.3">
      <c r="A57" t="s">
        <v>236</v>
      </c>
      <c r="B57" t="s">
        <v>196</v>
      </c>
      <c r="C57">
        <v>31</v>
      </c>
      <c r="D57" t="s">
        <v>195</v>
      </c>
      <c r="E57">
        <v>16</v>
      </c>
    </row>
    <row r="58" spans="1:5" ht="15" hidden="1" customHeight="1" x14ac:dyDescent="0.3">
      <c r="A58" t="s">
        <v>229</v>
      </c>
      <c r="B58" t="s">
        <v>199</v>
      </c>
      <c r="C58">
        <v>1</v>
      </c>
      <c r="D58" t="s">
        <v>225</v>
      </c>
      <c r="E58">
        <v>5</v>
      </c>
    </row>
    <row r="59" spans="1:5" ht="15" hidden="1" customHeight="1" x14ac:dyDescent="0.3">
      <c r="A59" t="s">
        <v>229</v>
      </c>
      <c r="B59" t="s">
        <v>199</v>
      </c>
      <c r="C59">
        <v>2</v>
      </c>
      <c r="D59" t="s">
        <v>201</v>
      </c>
      <c r="E59">
        <v>261</v>
      </c>
    </row>
    <row r="60" spans="1:5" ht="15" hidden="1" customHeight="1" x14ac:dyDescent="0.3">
      <c r="A60" t="s">
        <v>229</v>
      </c>
      <c r="B60" t="s">
        <v>199</v>
      </c>
      <c r="C60">
        <v>41</v>
      </c>
      <c r="D60" t="s">
        <v>235</v>
      </c>
      <c r="E60">
        <v>1</v>
      </c>
    </row>
    <row r="61" spans="1:5" ht="15" hidden="1" customHeight="1" x14ac:dyDescent="0.3">
      <c r="A61" t="s">
        <v>229</v>
      </c>
      <c r="B61" t="s">
        <v>199</v>
      </c>
      <c r="C61">
        <v>47</v>
      </c>
      <c r="D61" t="s">
        <v>221</v>
      </c>
      <c r="E61">
        <v>2</v>
      </c>
    </row>
    <row r="62" spans="1:5" ht="15" hidden="1" customHeight="1" x14ac:dyDescent="0.3">
      <c r="A62" t="s">
        <v>229</v>
      </c>
      <c r="B62" t="s">
        <v>199</v>
      </c>
      <c r="C62">
        <v>48</v>
      </c>
      <c r="D62" t="s">
        <v>220</v>
      </c>
      <c r="E62">
        <v>1</v>
      </c>
    </row>
    <row r="63" spans="1:5" ht="15" hidden="1" customHeight="1" x14ac:dyDescent="0.3">
      <c r="A63" t="s">
        <v>229</v>
      </c>
      <c r="B63" t="s">
        <v>199</v>
      </c>
      <c r="C63">
        <v>49</v>
      </c>
      <c r="D63" t="s">
        <v>200</v>
      </c>
      <c r="E63">
        <v>6</v>
      </c>
    </row>
    <row r="64" spans="1:5" ht="15" hidden="1" customHeight="1" x14ac:dyDescent="0.3">
      <c r="A64" t="s">
        <v>229</v>
      </c>
      <c r="B64" t="s">
        <v>199</v>
      </c>
      <c r="C64">
        <v>50</v>
      </c>
      <c r="D64" t="s">
        <v>219</v>
      </c>
      <c r="E64">
        <v>3</v>
      </c>
    </row>
    <row r="65" spans="1:5" ht="15" hidden="1" customHeight="1" x14ac:dyDescent="0.3">
      <c r="A65" t="s">
        <v>229</v>
      </c>
      <c r="B65" t="s">
        <v>199</v>
      </c>
      <c r="C65">
        <v>51</v>
      </c>
      <c r="D65" t="s">
        <v>218</v>
      </c>
      <c r="E65">
        <v>1</v>
      </c>
    </row>
    <row r="66" spans="1:5" ht="15" hidden="1" customHeight="1" x14ac:dyDescent="0.3">
      <c r="A66" t="s">
        <v>229</v>
      </c>
      <c r="B66" t="s">
        <v>199</v>
      </c>
      <c r="C66">
        <v>52</v>
      </c>
      <c r="D66" t="s">
        <v>198</v>
      </c>
      <c r="E66">
        <v>70</v>
      </c>
    </row>
    <row r="67" spans="1:5" ht="15" hidden="1" customHeight="1" x14ac:dyDescent="0.3">
      <c r="A67" t="s">
        <v>229</v>
      </c>
      <c r="B67" t="s">
        <v>199</v>
      </c>
      <c r="C67">
        <v>53</v>
      </c>
      <c r="D67" t="s">
        <v>217</v>
      </c>
      <c r="E67">
        <v>2</v>
      </c>
    </row>
    <row r="68" spans="1:5" ht="15" hidden="1" customHeight="1" x14ac:dyDescent="0.3">
      <c r="A68" t="s">
        <v>229</v>
      </c>
      <c r="B68" t="s">
        <v>199</v>
      </c>
      <c r="C68">
        <v>54</v>
      </c>
      <c r="D68" t="s">
        <v>234</v>
      </c>
      <c r="E68">
        <v>2</v>
      </c>
    </row>
    <row r="69" spans="1:5" ht="15" hidden="1" customHeight="1" x14ac:dyDescent="0.3">
      <c r="A69" t="s">
        <v>229</v>
      </c>
      <c r="B69" t="s">
        <v>199</v>
      </c>
      <c r="C69">
        <v>55</v>
      </c>
      <c r="D69" t="s">
        <v>233</v>
      </c>
      <c r="E69">
        <v>1</v>
      </c>
    </row>
    <row r="70" spans="1:5" ht="15" hidden="1" customHeight="1" x14ac:dyDescent="0.3">
      <c r="A70" t="s">
        <v>229</v>
      </c>
      <c r="B70" t="s">
        <v>199</v>
      </c>
      <c r="C70">
        <v>56</v>
      </c>
      <c r="D70" t="s">
        <v>232</v>
      </c>
      <c r="E70">
        <v>3</v>
      </c>
    </row>
    <row r="71" spans="1:5" ht="15" hidden="1" customHeight="1" x14ac:dyDescent="0.3">
      <c r="A71" t="s">
        <v>229</v>
      </c>
      <c r="B71" t="s">
        <v>199</v>
      </c>
      <c r="C71">
        <v>57</v>
      </c>
      <c r="D71" t="s">
        <v>231</v>
      </c>
      <c r="E71">
        <v>1</v>
      </c>
    </row>
    <row r="72" spans="1:5" ht="15" hidden="1" customHeight="1" x14ac:dyDescent="0.3">
      <c r="A72" t="s">
        <v>229</v>
      </c>
      <c r="B72" t="s">
        <v>199</v>
      </c>
      <c r="C72">
        <v>59</v>
      </c>
      <c r="D72" t="s">
        <v>230</v>
      </c>
      <c r="E72">
        <v>2</v>
      </c>
    </row>
    <row r="73" spans="1:5" ht="15" hidden="1" customHeight="1" x14ac:dyDescent="0.3">
      <c r="A73" t="s">
        <v>229</v>
      </c>
      <c r="B73" t="s">
        <v>199</v>
      </c>
      <c r="C73">
        <v>65</v>
      </c>
      <c r="D73" t="s">
        <v>215</v>
      </c>
      <c r="E73">
        <v>2</v>
      </c>
    </row>
    <row r="74" spans="1:5" ht="15" hidden="1" customHeight="1" x14ac:dyDescent="0.3">
      <c r="A74" t="s">
        <v>229</v>
      </c>
      <c r="B74" t="s">
        <v>212</v>
      </c>
      <c r="C74">
        <v>28</v>
      </c>
      <c r="D74" t="s">
        <v>214</v>
      </c>
      <c r="E74">
        <v>4</v>
      </c>
    </row>
    <row r="75" spans="1:5" ht="15" hidden="1" customHeight="1" x14ac:dyDescent="0.3">
      <c r="A75" t="s">
        <v>229</v>
      </c>
      <c r="B75" t="s">
        <v>212</v>
      </c>
      <c r="C75">
        <v>61</v>
      </c>
      <c r="D75" t="s">
        <v>213</v>
      </c>
      <c r="E75">
        <v>17</v>
      </c>
    </row>
    <row r="76" spans="1:5" ht="15" hidden="1" customHeight="1" x14ac:dyDescent="0.3">
      <c r="A76" t="s">
        <v>229</v>
      </c>
      <c r="B76" t="s">
        <v>212</v>
      </c>
      <c r="C76">
        <v>62</v>
      </c>
      <c r="D76" t="s">
        <v>211</v>
      </c>
      <c r="E76">
        <v>17</v>
      </c>
    </row>
    <row r="77" spans="1:5" ht="15" hidden="1" customHeight="1" x14ac:dyDescent="0.3">
      <c r="A77" t="s">
        <v>229</v>
      </c>
      <c r="B77" t="s">
        <v>196</v>
      </c>
      <c r="C77">
        <v>29</v>
      </c>
      <c r="D77" t="s">
        <v>210</v>
      </c>
      <c r="E77">
        <v>9</v>
      </c>
    </row>
    <row r="78" spans="1:5" ht="15" hidden="1" customHeight="1" x14ac:dyDescent="0.3">
      <c r="A78" t="s">
        <v>229</v>
      </c>
      <c r="B78" t="s">
        <v>196</v>
      </c>
      <c r="C78">
        <v>31</v>
      </c>
      <c r="D78" t="s">
        <v>195</v>
      </c>
      <c r="E78">
        <v>22</v>
      </c>
    </row>
    <row r="79" spans="1:5" ht="15" hidden="1" customHeight="1" x14ac:dyDescent="0.3">
      <c r="A79" t="s">
        <v>229</v>
      </c>
      <c r="B79" t="s">
        <v>193</v>
      </c>
      <c r="C79">
        <v>14</v>
      </c>
      <c r="D79" t="s">
        <v>209</v>
      </c>
      <c r="E79">
        <v>1</v>
      </c>
    </row>
    <row r="80" spans="1:5" ht="15" hidden="1" customHeight="1" x14ac:dyDescent="0.3">
      <c r="A80" t="s">
        <v>229</v>
      </c>
      <c r="B80" t="s">
        <v>193</v>
      </c>
      <c r="C80">
        <v>25</v>
      </c>
      <c r="D80" t="s">
        <v>192</v>
      </c>
      <c r="E80">
        <v>9</v>
      </c>
    </row>
    <row r="81" spans="1:5" ht="15" hidden="1" customHeight="1" x14ac:dyDescent="0.3">
      <c r="A81" t="s">
        <v>229</v>
      </c>
      <c r="B81" t="s">
        <v>193</v>
      </c>
      <c r="C81">
        <v>46</v>
      </c>
      <c r="D81" t="s">
        <v>197</v>
      </c>
      <c r="E81">
        <v>12</v>
      </c>
    </row>
    <row r="82" spans="1:5" ht="15" hidden="1" customHeight="1" x14ac:dyDescent="0.3">
      <c r="A82" t="s">
        <v>229</v>
      </c>
      <c r="B82" t="s">
        <v>203</v>
      </c>
      <c r="C82">
        <v>66</v>
      </c>
      <c r="D82" t="s">
        <v>206</v>
      </c>
      <c r="E82">
        <v>26</v>
      </c>
    </row>
    <row r="83" spans="1:5" ht="15" hidden="1" customHeight="1" x14ac:dyDescent="0.3">
      <c r="A83" t="s">
        <v>229</v>
      </c>
      <c r="B83" t="s">
        <v>196</v>
      </c>
      <c r="C83">
        <v>31</v>
      </c>
      <c r="D83" t="s">
        <v>195</v>
      </c>
      <c r="E83">
        <v>16</v>
      </c>
    </row>
    <row r="84" spans="1:5" ht="15" hidden="1" customHeight="1" x14ac:dyDescent="0.3">
      <c r="A84" t="s">
        <v>229</v>
      </c>
      <c r="B84" t="s">
        <v>193</v>
      </c>
      <c r="C84">
        <v>25</v>
      </c>
      <c r="D84" t="s">
        <v>192</v>
      </c>
      <c r="E84">
        <v>1</v>
      </c>
    </row>
    <row r="85" spans="1:5" ht="15" hidden="1" customHeight="1" x14ac:dyDescent="0.3">
      <c r="A85" t="s">
        <v>229</v>
      </c>
      <c r="B85" t="s">
        <v>203</v>
      </c>
      <c r="C85">
        <v>23</v>
      </c>
      <c r="D85" t="s">
        <v>202</v>
      </c>
      <c r="E85">
        <v>14</v>
      </c>
    </row>
    <row r="86" spans="1:5" ht="15" hidden="1" customHeight="1" x14ac:dyDescent="0.3">
      <c r="A86" t="s">
        <v>229</v>
      </c>
      <c r="B86" t="s">
        <v>196</v>
      </c>
      <c r="C86">
        <v>31</v>
      </c>
      <c r="D86" t="s">
        <v>195</v>
      </c>
      <c r="E86">
        <v>6</v>
      </c>
    </row>
    <row r="87" spans="1:5" ht="15" hidden="1" customHeight="1" x14ac:dyDescent="0.3">
      <c r="A87" t="s">
        <v>229</v>
      </c>
      <c r="B87" t="s">
        <v>193</v>
      </c>
      <c r="C87">
        <v>25</v>
      </c>
      <c r="D87" t="s">
        <v>192</v>
      </c>
      <c r="E87">
        <v>2</v>
      </c>
    </row>
    <row r="88" spans="1:5" ht="15" hidden="1" customHeight="1" x14ac:dyDescent="0.3">
      <c r="A88" t="s">
        <v>229</v>
      </c>
      <c r="B88" t="s">
        <v>193</v>
      </c>
      <c r="C88">
        <v>63</v>
      </c>
      <c r="D88" t="s">
        <v>208</v>
      </c>
      <c r="E88">
        <v>2</v>
      </c>
    </row>
    <row r="89" spans="1:5" ht="15" hidden="1" customHeight="1" x14ac:dyDescent="0.3">
      <c r="A89" t="s">
        <v>229</v>
      </c>
      <c r="B89" t="s">
        <v>203</v>
      </c>
      <c r="C89">
        <v>23</v>
      </c>
      <c r="D89" t="s">
        <v>202</v>
      </c>
      <c r="E89">
        <v>21</v>
      </c>
    </row>
    <row r="90" spans="1:5" ht="15" customHeight="1" x14ac:dyDescent="0.3">
      <c r="A90" t="s">
        <v>194</v>
      </c>
      <c r="B90" t="s">
        <v>227</v>
      </c>
      <c r="C90">
        <v>15</v>
      </c>
      <c r="D90" t="s">
        <v>228</v>
      </c>
      <c r="E90">
        <v>1</v>
      </c>
    </row>
    <row r="91" spans="1:5" ht="15" customHeight="1" x14ac:dyDescent="0.3">
      <c r="A91" t="s">
        <v>194</v>
      </c>
      <c r="B91" t="s">
        <v>227</v>
      </c>
      <c r="C91">
        <v>16</v>
      </c>
      <c r="D91" t="s">
        <v>226</v>
      </c>
      <c r="E91">
        <v>1</v>
      </c>
    </row>
    <row r="92" spans="1:5" ht="15" customHeight="1" x14ac:dyDescent="0.3">
      <c r="A92" t="s">
        <v>194</v>
      </c>
      <c r="B92" t="s">
        <v>227</v>
      </c>
      <c r="C92">
        <v>16</v>
      </c>
      <c r="D92" t="s">
        <v>226</v>
      </c>
      <c r="E92">
        <v>1</v>
      </c>
    </row>
    <row r="93" spans="1:5" ht="15" customHeight="1" x14ac:dyDescent="0.3">
      <c r="A93" t="s">
        <v>194</v>
      </c>
      <c r="B93" t="s">
        <v>199</v>
      </c>
      <c r="C93">
        <v>1</v>
      </c>
      <c r="D93" t="s">
        <v>225</v>
      </c>
      <c r="E93">
        <v>102</v>
      </c>
    </row>
    <row r="94" spans="1:5" ht="15" customHeight="1" x14ac:dyDescent="0.3">
      <c r="A94" t="s">
        <v>194</v>
      </c>
      <c r="B94" t="s">
        <v>199</v>
      </c>
      <c r="C94">
        <v>2</v>
      </c>
      <c r="D94" t="s">
        <v>201</v>
      </c>
      <c r="E94">
        <v>300</v>
      </c>
    </row>
    <row r="95" spans="1:5" ht="15" customHeight="1" x14ac:dyDescent="0.3">
      <c r="A95" t="s">
        <v>194</v>
      </c>
      <c r="B95" t="s">
        <v>199</v>
      </c>
      <c r="C95">
        <v>30</v>
      </c>
      <c r="D95" t="s">
        <v>224</v>
      </c>
      <c r="E95">
        <v>2</v>
      </c>
    </row>
    <row r="96" spans="1:5" ht="15" customHeight="1" x14ac:dyDescent="0.3">
      <c r="A96" t="s">
        <v>194</v>
      </c>
      <c r="B96" t="s">
        <v>199</v>
      </c>
      <c r="C96">
        <v>32</v>
      </c>
      <c r="D96" t="s">
        <v>223</v>
      </c>
      <c r="E96">
        <v>5</v>
      </c>
    </row>
    <row r="97" spans="1:5" ht="15" customHeight="1" x14ac:dyDescent="0.3">
      <c r="A97" t="s">
        <v>194</v>
      </c>
      <c r="B97" t="s">
        <v>199</v>
      </c>
      <c r="C97">
        <v>33</v>
      </c>
      <c r="D97" t="s">
        <v>222</v>
      </c>
      <c r="E97">
        <v>2</v>
      </c>
    </row>
    <row r="98" spans="1:5" ht="15" customHeight="1" x14ac:dyDescent="0.3">
      <c r="A98" t="s">
        <v>194</v>
      </c>
      <c r="B98" t="s">
        <v>199</v>
      </c>
      <c r="C98">
        <v>47</v>
      </c>
      <c r="D98" t="s">
        <v>221</v>
      </c>
      <c r="E98">
        <v>9</v>
      </c>
    </row>
    <row r="99" spans="1:5" ht="15" customHeight="1" x14ac:dyDescent="0.3">
      <c r="A99" t="s">
        <v>194</v>
      </c>
      <c r="B99" t="s">
        <v>199</v>
      </c>
      <c r="C99">
        <v>48</v>
      </c>
      <c r="D99" t="s">
        <v>220</v>
      </c>
      <c r="E99">
        <v>1</v>
      </c>
    </row>
    <row r="100" spans="1:5" ht="15" customHeight="1" x14ac:dyDescent="0.3">
      <c r="A100" t="s">
        <v>194</v>
      </c>
      <c r="B100" t="s">
        <v>199</v>
      </c>
      <c r="C100">
        <v>49</v>
      </c>
      <c r="D100" t="s">
        <v>200</v>
      </c>
      <c r="E100">
        <v>47</v>
      </c>
    </row>
    <row r="101" spans="1:5" ht="15" customHeight="1" x14ac:dyDescent="0.3">
      <c r="A101" t="s">
        <v>194</v>
      </c>
      <c r="B101" t="s">
        <v>199</v>
      </c>
      <c r="C101">
        <v>50</v>
      </c>
      <c r="D101" t="s">
        <v>219</v>
      </c>
      <c r="E101">
        <v>30</v>
      </c>
    </row>
    <row r="102" spans="1:5" ht="15" customHeight="1" x14ac:dyDescent="0.3">
      <c r="A102" t="s">
        <v>194</v>
      </c>
      <c r="B102" t="s">
        <v>199</v>
      </c>
      <c r="C102">
        <v>51</v>
      </c>
      <c r="D102" t="s">
        <v>218</v>
      </c>
      <c r="E102">
        <v>39</v>
      </c>
    </row>
    <row r="103" spans="1:5" ht="15" customHeight="1" x14ac:dyDescent="0.3">
      <c r="A103" t="s">
        <v>194</v>
      </c>
      <c r="B103" t="s">
        <v>199</v>
      </c>
      <c r="C103">
        <v>52</v>
      </c>
      <c r="D103" t="s">
        <v>198</v>
      </c>
      <c r="E103">
        <v>78</v>
      </c>
    </row>
    <row r="104" spans="1:5" ht="15" customHeight="1" x14ac:dyDescent="0.3">
      <c r="A104" t="s">
        <v>194</v>
      </c>
      <c r="B104" t="s">
        <v>199</v>
      </c>
      <c r="C104">
        <v>53</v>
      </c>
      <c r="D104" t="s">
        <v>217</v>
      </c>
      <c r="E104">
        <v>2</v>
      </c>
    </row>
    <row r="105" spans="1:5" ht="15" customHeight="1" x14ac:dyDescent="0.3">
      <c r="A105" t="s">
        <v>194</v>
      </c>
      <c r="B105" t="s">
        <v>199</v>
      </c>
      <c r="C105">
        <v>58</v>
      </c>
      <c r="D105" t="s">
        <v>216</v>
      </c>
      <c r="E105">
        <v>5</v>
      </c>
    </row>
    <row r="106" spans="1:5" ht="15" customHeight="1" x14ac:dyDescent="0.3">
      <c r="A106" t="s">
        <v>194</v>
      </c>
      <c r="B106" t="s">
        <v>199</v>
      </c>
      <c r="C106">
        <v>65</v>
      </c>
      <c r="D106" t="s">
        <v>215</v>
      </c>
      <c r="E106">
        <v>2</v>
      </c>
    </row>
    <row r="107" spans="1:5" ht="15" customHeight="1" x14ac:dyDescent="0.3">
      <c r="A107" t="s">
        <v>194</v>
      </c>
      <c r="B107" t="s">
        <v>212</v>
      </c>
      <c r="C107">
        <v>28</v>
      </c>
      <c r="D107" t="s">
        <v>214</v>
      </c>
      <c r="E107">
        <v>31</v>
      </c>
    </row>
    <row r="108" spans="1:5" ht="15" customHeight="1" x14ac:dyDescent="0.3">
      <c r="A108" t="s">
        <v>194</v>
      </c>
      <c r="B108" t="s">
        <v>212</v>
      </c>
      <c r="C108">
        <v>61</v>
      </c>
      <c r="D108" t="s">
        <v>213</v>
      </c>
      <c r="E108">
        <v>20</v>
      </c>
    </row>
    <row r="109" spans="1:5" ht="15" customHeight="1" x14ac:dyDescent="0.3">
      <c r="A109" t="s">
        <v>194</v>
      </c>
      <c r="B109" t="s">
        <v>212</v>
      </c>
      <c r="C109">
        <v>62</v>
      </c>
      <c r="D109" t="s">
        <v>211</v>
      </c>
      <c r="E109">
        <v>20</v>
      </c>
    </row>
    <row r="110" spans="1:5" ht="15" customHeight="1" x14ac:dyDescent="0.3">
      <c r="A110" t="s">
        <v>194</v>
      </c>
      <c r="B110" t="s">
        <v>196</v>
      </c>
      <c r="C110">
        <v>29</v>
      </c>
      <c r="D110" t="s">
        <v>210</v>
      </c>
      <c r="E110">
        <v>8</v>
      </c>
    </row>
    <row r="111" spans="1:5" ht="15" customHeight="1" x14ac:dyDescent="0.3">
      <c r="A111" t="s">
        <v>194</v>
      </c>
      <c r="B111" t="s">
        <v>196</v>
      </c>
      <c r="C111">
        <v>31</v>
      </c>
      <c r="D111" t="s">
        <v>195</v>
      </c>
      <c r="E111">
        <v>247</v>
      </c>
    </row>
    <row r="112" spans="1:5" ht="15" customHeight="1" x14ac:dyDescent="0.3">
      <c r="A112" t="s">
        <v>194</v>
      </c>
      <c r="B112" t="s">
        <v>193</v>
      </c>
      <c r="C112">
        <v>14</v>
      </c>
      <c r="D112" t="s">
        <v>209</v>
      </c>
      <c r="E112">
        <v>1</v>
      </c>
    </row>
    <row r="113" spans="1:5" ht="15" customHeight="1" x14ac:dyDescent="0.3">
      <c r="A113" t="s">
        <v>194</v>
      </c>
      <c r="B113" t="s">
        <v>193</v>
      </c>
      <c r="C113">
        <v>25</v>
      </c>
      <c r="D113" t="s">
        <v>192</v>
      </c>
      <c r="E113">
        <v>45</v>
      </c>
    </row>
    <row r="114" spans="1:5" ht="15" customHeight="1" x14ac:dyDescent="0.3">
      <c r="A114" t="s">
        <v>194</v>
      </c>
      <c r="B114" t="s">
        <v>193</v>
      </c>
      <c r="C114">
        <v>46</v>
      </c>
      <c r="D114" t="s">
        <v>197</v>
      </c>
      <c r="E114">
        <v>12</v>
      </c>
    </row>
    <row r="115" spans="1:5" ht="15" customHeight="1" x14ac:dyDescent="0.3">
      <c r="A115" t="s">
        <v>194</v>
      </c>
      <c r="B115" t="s">
        <v>193</v>
      </c>
      <c r="C115">
        <v>63</v>
      </c>
      <c r="D115" t="s">
        <v>208</v>
      </c>
      <c r="E115">
        <v>5</v>
      </c>
    </row>
    <row r="116" spans="1:5" ht="15" customHeight="1" x14ac:dyDescent="0.3">
      <c r="A116" t="s">
        <v>194</v>
      </c>
      <c r="B116" t="s">
        <v>203</v>
      </c>
      <c r="C116">
        <v>23</v>
      </c>
      <c r="D116" t="s">
        <v>202</v>
      </c>
      <c r="E116">
        <v>31</v>
      </c>
    </row>
    <row r="117" spans="1:5" ht="15" customHeight="1" x14ac:dyDescent="0.3">
      <c r="A117" t="s">
        <v>194</v>
      </c>
      <c r="B117" t="s">
        <v>203</v>
      </c>
      <c r="C117">
        <v>24</v>
      </c>
      <c r="D117" t="s">
        <v>207</v>
      </c>
      <c r="E117">
        <v>1</v>
      </c>
    </row>
    <row r="118" spans="1:5" ht="15" customHeight="1" x14ac:dyDescent="0.3">
      <c r="A118" t="s">
        <v>194</v>
      </c>
      <c r="B118" t="s">
        <v>203</v>
      </c>
      <c r="C118">
        <v>66</v>
      </c>
      <c r="D118" t="s">
        <v>206</v>
      </c>
      <c r="E118">
        <v>15</v>
      </c>
    </row>
    <row r="119" spans="1:5" ht="15" customHeight="1" x14ac:dyDescent="0.3">
      <c r="A119" t="s">
        <v>194</v>
      </c>
      <c r="B119" t="s">
        <v>205</v>
      </c>
      <c r="C119">
        <v>64</v>
      </c>
      <c r="D119" t="s">
        <v>204</v>
      </c>
      <c r="E119">
        <v>1</v>
      </c>
    </row>
    <row r="120" spans="1:5" ht="15" customHeight="1" x14ac:dyDescent="0.3">
      <c r="A120" t="s">
        <v>194</v>
      </c>
      <c r="B120" t="s">
        <v>205</v>
      </c>
      <c r="C120">
        <v>64</v>
      </c>
      <c r="D120" t="s">
        <v>204</v>
      </c>
      <c r="E120">
        <v>1</v>
      </c>
    </row>
    <row r="121" spans="1:5" ht="15" customHeight="1" x14ac:dyDescent="0.3">
      <c r="A121" t="s">
        <v>194</v>
      </c>
      <c r="B121" t="s">
        <v>205</v>
      </c>
      <c r="C121">
        <v>64</v>
      </c>
      <c r="D121" t="s">
        <v>204</v>
      </c>
      <c r="E121">
        <v>1</v>
      </c>
    </row>
    <row r="122" spans="1:5" ht="15" customHeight="1" x14ac:dyDescent="0.3">
      <c r="A122" t="s">
        <v>194</v>
      </c>
      <c r="B122" t="s">
        <v>205</v>
      </c>
      <c r="C122">
        <v>64</v>
      </c>
      <c r="D122" t="s">
        <v>204</v>
      </c>
      <c r="E122">
        <v>1</v>
      </c>
    </row>
    <row r="123" spans="1:5" ht="15" customHeight="1" x14ac:dyDescent="0.3">
      <c r="A123" t="s">
        <v>194</v>
      </c>
      <c r="B123" t="s">
        <v>196</v>
      </c>
      <c r="C123">
        <v>31</v>
      </c>
      <c r="D123" t="s">
        <v>195</v>
      </c>
      <c r="E123">
        <v>19</v>
      </c>
    </row>
    <row r="124" spans="1:5" ht="15" customHeight="1" x14ac:dyDescent="0.3">
      <c r="A124" t="s">
        <v>194</v>
      </c>
      <c r="B124" t="s">
        <v>193</v>
      </c>
      <c r="C124">
        <v>25</v>
      </c>
      <c r="D124" t="s">
        <v>192</v>
      </c>
      <c r="E124">
        <v>6</v>
      </c>
    </row>
    <row r="125" spans="1:5" ht="15" customHeight="1" x14ac:dyDescent="0.3">
      <c r="A125" t="s">
        <v>194</v>
      </c>
      <c r="B125" t="s">
        <v>203</v>
      </c>
      <c r="C125">
        <v>23</v>
      </c>
      <c r="D125" t="s">
        <v>202</v>
      </c>
      <c r="E125">
        <v>11</v>
      </c>
    </row>
    <row r="126" spans="1:5" ht="15" customHeight="1" x14ac:dyDescent="0.3">
      <c r="A126" t="s">
        <v>194</v>
      </c>
      <c r="B126" t="s">
        <v>199</v>
      </c>
      <c r="C126">
        <v>2</v>
      </c>
      <c r="D126" t="s">
        <v>201</v>
      </c>
      <c r="E126">
        <v>69</v>
      </c>
    </row>
    <row r="127" spans="1:5" ht="15" customHeight="1" x14ac:dyDescent="0.3">
      <c r="A127" t="s">
        <v>194</v>
      </c>
      <c r="B127" t="s">
        <v>199</v>
      </c>
      <c r="C127">
        <v>49</v>
      </c>
      <c r="D127" t="s">
        <v>200</v>
      </c>
      <c r="E127">
        <v>2</v>
      </c>
    </row>
    <row r="128" spans="1:5" ht="15" customHeight="1" x14ac:dyDescent="0.3">
      <c r="A128" t="s">
        <v>194</v>
      </c>
      <c r="B128" t="s">
        <v>199</v>
      </c>
      <c r="C128">
        <v>52</v>
      </c>
      <c r="D128" t="s">
        <v>198</v>
      </c>
      <c r="E128">
        <v>22</v>
      </c>
    </row>
    <row r="129" spans="1:5" ht="15" customHeight="1" x14ac:dyDescent="0.3">
      <c r="A129" t="s">
        <v>194</v>
      </c>
      <c r="B129" t="s">
        <v>196</v>
      </c>
      <c r="C129">
        <v>31</v>
      </c>
      <c r="D129" t="s">
        <v>195</v>
      </c>
      <c r="E129">
        <v>15</v>
      </c>
    </row>
    <row r="130" spans="1:5" ht="15" customHeight="1" x14ac:dyDescent="0.3">
      <c r="A130" t="s">
        <v>194</v>
      </c>
      <c r="B130" t="s">
        <v>193</v>
      </c>
      <c r="C130">
        <v>25</v>
      </c>
      <c r="D130" t="s">
        <v>192</v>
      </c>
      <c r="E130">
        <v>4</v>
      </c>
    </row>
    <row r="131" spans="1:5" ht="15" customHeight="1" x14ac:dyDescent="0.3">
      <c r="A131" t="s">
        <v>194</v>
      </c>
      <c r="B131" t="s">
        <v>193</v>
      </c>
      <c r="C131">
        <v>46</v>
      </c>
      <c r="D131" t="s">
        <v>197</v>
      </c>
      <c r="E131">
        <v>9</v>
      </c>
    </row>
    <row r="132" spans="1:5" ht="15" customHeight="1" x14ac:dyDescent="0.3">
      <c r="A132" t="s">
        <v>194</v>
      </c>
      <c r="B132" t="s">
        <v>196</v>
      </c>
      <c r="C132">
        <v>31</v>
      </c>
      <c r="D132" t="s">
        <v>195</v>
      </c>
      <c r="E132">
        <v>40</v>
      </c>
    </row>
    <row r="133" spans="1:5" ht="15" customHeight="1" x14ac:dyDescent="0.3">
      <c r="A133" t="s">
        <v>194</v>
      </c>
      <c r="B133" t="s">
        <v>193</v>
      </c>
      <c r="C133">
        <v>25</v>
      </c>
      <c r="D133" t="s">
        <v>192</v>
      </c>
      <c r="E133">
        <v>4</v>
      </c>
    </row>
  </sheetData>
  <autoFilter ref="A1:E133" xr:uid="{B9926B1C-646D-4284-8A40-31B0B09EC649}">
    <filterColumn colId="0">
      <filters>
        <filter val="FUNDACION VALLE DEL LILI"/>
      </filters>
    </filterColumn>
  </autoFilter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6FC0DB-F53C-4D2B-AC60-92232DA4CB1E}">
  <dimension ref="A1:F55"/>
  <sheetViews>
    <sheetView workbookViewId="0"/>
  </sheetViews>
  <sheetFormatPr baseColWidth="10" defaultRowHeight="14.4" x14ac:dyDescent="0.3"/>
  <cols>
    <col min="4" max="4" width="99.33203125" bestFit="1" customWidth="1"/>
    <col min="5" max="5" width="21.109375" bestFit="1" customWidth="1"/>
  </cols>
  <sheetData>
    <row r="1" spans="1:6" x14ac:dyDescent="0.3">
      <c r="A1" t="s">
        <v>445</v>
      </c>
      <c r="B1" t="s">
        <v>406</v>
      </c>
      <c r="C1" t="s">
        <v>407</v>
      </c>
      <c r="D1" t="s">
        <v>408</v>
      </c>
      <c r="E1" t="s">
        <v>409</v>
      </c>
      <c r="F1" t="s">
        <v>410</v>
      </c>
    </row>
    <row r="2" spans="1:6" x14ac:dyDescent="0.3">
      <c r="A2" t="s">
        <v>444</v>
      </c>
      <c r="B2" t="s">
        <v>411</v>
      </c>
      <c r="C2">
        <v>876122</v>
      </c>
      <c r="D2" t="s">
        <v>412</v>
      </c>
      <c r="E2">
        <v>5238775.46</v>
      </c>
      <c r="F2">
        <v>1238</v>
      </c>
    </row>
    <row r="3" spans="1:6" x14ac:dyDescent="0.3">
      <c r="A3" t="s">
        <v>444</v>
      </c>
      <c r="B3" t="s">
        <v>411</v>
      </c>
      <c r="C3">
        <v>360101</v>
      </c>
      <c r="D3" t="s">
        <v>413</v>
      </c>
      <c r="E3">
        <v>9018025.0199999996</v>
      </c>
      <c r="F3">
        <v>535</v>
      </c>
    </row>
    <row r="4" spans="1:6" x14ac:dyDescent="0.3">
      <c r="A4" t="s">
        <v>444</v>
      </c>
      <c r="B4" t="s">
        <v>411</v>
      </c>
      <c r="C4">
        <v>874133</v>
      </c>
      <c r="D4" t="s">
        <v>414</v>
      </c>
      <c r="E4">
        <v>2732292.63</v>
      </c>
      <c r="F4">
        <v>18</v>
      </c>
    </row>
    <row r="5" spans="1:6" x14ac:dyDescent="0.3">
      <c r="A5" t="s">
        <v>444</v>
      </c>
      <c r="B5" t="s">
        <v>411</v>
      </c>
      <c r="C5">
        <v>876121</v>
      </c>
      <c r="D5" t="s">
        <v>415</v>
      </c>
      <c r="E5">
        <v>4837321.8899999997</v>
      </c>
      <c r="F5">
        <v>46</v>
      </c>
    </row>
    <row r="6" spans="1:6" x14ac:dyDescent="0.3">
      <c r="A6" t="s">
        <v>444</v>
      </c>
      <c r="B6" t="s">
        <v>411</v>
      </c>
      <c r="C6">
        <v>876110</v>
      </c>
      <c r="D6" t="s">
        <v>416</v>
      </c>
      <c r="E6">
        <v>6154950.7800000003</v>
      </c>
      <c r="F6">
        <v>206</v>
      </c>
    </row>
    <row r="7" spans="1:6" x14ac:dyDescent="0.3">
      <c r="A7" t="s">
        <v>444</v>
      </c>
      <c r="B7" t="s">
        <v>411</v>
      </c>
      <c r="C7">
        <v>360102</v>
      </c>
      <c r="D7" t="s">
        <v>417</v>
      </c>
      <c r="E7">
        <v>11618936.619999999</v>
      </c>
      <c r="F7">
        <v>26</v>
      </c>
    </row>
    <row r="8" spans="1:6" x14ac:dyDescent="0.3">
      <c r="A8" t="s">
        <v>444</v>
      </c>
      <c r="B8" t="s">
        <v>418</v>
      </c>
      <c r="C8">
        <v>378301</v>
      </c>
      <c r="D8" t="s">
        <v>419</v>
      </c>
      <c r="E8">
        <v>14482806.460000001</v>
      </c>
      <c r="F8">
        <v>205</v>
      </c>
    </row>
    <row r="9" spans="1:6" x14ac:dyDescent="0.3">
      <c r="A9" t="s">
        <v>444</v>
      </c>
      <c r="B9" t="s">
        <v>418</v>
      </c>
      <c r="C9">
        <v>378604</v>
      </c>
      <c r="D9" t="s">
        <v>420</v>
      </c>
      <c r="E9">
        <v>37145327.649999999</v>
      </c>
      <c r="F9">
        <v>72</v>
      </c>
    </row>
    <row r="10" spans="1:6" x14ac:dyDescent="0.3">
      <c r="A10" t="s">
        <v>444</v>
      </c>
      <c r="B10" t="s">
        <v>418</v>
      </c>
      <c r="C10">
        <v>378201</v>
      </c>
      <c r="D10" t="s">
        <v>421</v>
      </c>
      <c r="E10">
        <v>9205992</v>
      </c>
      <c r="F10">
        <v>56</v>
      </c>
    </row>
    <row r="11" spans="1:6" x14ac:dyDescent="0.3">
      <c r="A11" t="s">
        <v>444</v>
      </c>
      <c r="B11" t="s">
        <v>418</v>
      </c>
      <c r="C11">
        <v>378901</v>
      </c>
      <c r="D11" t="s">
        <v>422</v>
      </c>
      <c r="E11">
        <v>11189644.41</v>
      </c>
      <c r="F11">
        <v>68</v>
      </c>
    </row>
    <row r="12" spans="1:6" x14ac:dyDescent="0.3">
      <c r="A12" t="s">
        <v>444</v>
      </c>
      <c r="B12" t="s">
        <v>418</v>
      </c>
      <c r="C12">
        <v>378606</v>
      </c>
      <c r="D12" t="s">
        <v>423</v>
      </c>
      <c r="E12">
        <v>41479091.950000003</v>
      </c>
      <c r="F12">
        <v>19</v>
      </c>
    </row>
    <row r="13" spans="1:6" x14ac:dyDescent="0.3">
      <c r="A13" t="s">
        <v>444</v>
      </c>
      <c r="B13" t="s">
        <v>418</v>
      </c>
      <c r="C13">
        <v>378001</v>
      </c>
      <c r="D13" t="s">
        <v>424</v>
      </c>
      <c r="E13">
        <v>14862545.859999999</v>
      </c>
      <c r="F13">
        <v>29</v>
      </c>
    </row>
    <row r="14" spans="1:6" x14ac:dyDescent="0.3">
      <c r="A14" t="s">
        <v>444</v>
      </c>
      <c r="B14" t="s">
        <v>418</v>
      </c>
      <c r="C14">
        <v>373406</v>
      </c>
      <c r="D14" t="s">
        <v>425</v>
      </c>
      <c r="E14">
        <v>22405163.98</v>
      </c>
      <c r="F14">
        <v>42</v>
      </c>
    </row>
    <row r="15" spans="1:6" x14ac:dyDescent="0.3">
      <c r="A15" t="s">
        <v>444</v>
      </c>
      <c r="B15" t="s">
        <v>426</v>
      </c>
      <c r="C15">
        <v>363201</v>
      </c>
      <c r="D15" t="s">
        <v>427</v>
      </c>
      <c r="E15">
        <v>0</v>
      </c>
      <c r="F15">
        <v>0</v>
      </c>
    </row>
    <row r="16" spans="1:6" x14ac:dyDescent="0.3">
      <c r="A16" t="s">
        <v>444</v>
      </c>
      <c r="B16" t="s">
        <v>426</v>
      </c>
      <c r="C16">
        <v>361605</v>
      </c>
      <c r="D16" t="s">
        <v>428</v>
      </c>
      <c r="E16">
        <v>17411364.079999998</v>
      </c>
      <c r="F16">
        <v>80</v>
      </c>
    </row>
    <row r="17" spans="1:6" x14ac:dyDescent="0.3">
      <c r="A17" t="s">
        <v>444</v>
      </c>
      <c r="B17" t="s">
        <v>426</v>
      </c>
      <c r="C17">
        <v>352101</v>
      </c>
      <c r="D17" t="s">
        <v>429</v>
      </c>
      <c r="E17">
        <v>14889982.560000001</v>
      </c>
      <c r="F17">
        <v>48</v>
      </c>
    </row>
    <row r="18" spans="1:6" x14ac:dyDescent="0.3">
      <c r="A18" t="s">
        <v>444</v>
      </c>
      <c r="B18" t="s">
        <v>426</v>
      </c>
      <c r="C18">
        <v>378701</v>
      </c>
      <c r="D18" t="s">
        <v>430</v>
      </c>
      <c r="E18">
        <v>0</v>
      </c>
      <c r="F18">
        <v>0</v>
      </c>
    </row>
    <row r="19" spans="1:6" x14ac:dyDescent="0.3">
      <c r="A19" t="s">
        <v>444</v>
      </c>
      <c r="B19" t="s">
        <v>431</v>
      </c>
      <c r="C19">
        <v>881202</v>
      </c>
      <c r="D19" t="s">
        <v>432</v>
      </c>
      <c r="E19">
        <v>230415.93</v>
      </c>
      <c r="F19">
        <v>19041</v>
      </c>
    </row>
    <row r="20" spans="1:6" x14ac:dyDescent="0.3">
      <c r="A20" t="s">
        <v>444</v>
      </c>
      <c r="B20" t="s">
        <v>431</v>
      </c>
      <c r="C20">
        <v>895101</v>
      </c>
      <c r="D20" t="s">
        <v>433</v>
      </c>
      <c r="E20">
        <v>26927.17</v>
      </c>
      <c r="F20">
        <v>13370</v>
      </c>
    </row>
    <row r="21" spans="1:6" x14ac:dyDescent="0.3">
      <c r="A21" t="s">
        <v>444</v>
      </c>
      <c r="B21" t="s">
        <v>431</v>
      </c>
      <c r="C21">
        <v>895001</v>
      </c>
      <c r="D21" t="s">
        <v>434</v>
      </c>
      <c r="E21">
        <v>182208.85</v>
      </c>
      <c r="F21">
        <v>8638</v>
      </c>
    </row>
    <row r="22" spans="1:6" x14ac:dyDescent="0.3">
      <c r="A22" t="s">
        <v>444</v>
      </c>
      <c r="B22" t="s">
        <v>431</v>
      </c>
      <c r="C22">
        <v>895004</v>
      </c>
      <c r="D22" t="s">
        <v>435</v>
      </c>
      <c r="E22">
        <v>187208.82</v>
      </c>
      <c r="F22">
        <v>6111</v>
      </c>
    </row>
    <row r="23" spans="1:6" x14ac:dyDescent="0.3">
      <c r="A23" t="s">
        <v>444</v>
      </c>
      <c r="B23" t="s">
        <v>431</v>
      </c>
      <c r="C23">
        <v>895101</v>
      </c>
      <c r="D23" t="s">
        <v>436</v>
      </c>
      <c r="E23">
        <v>26927.17</v>
      </c>
      <c r="F23">
        <v>13370</v>
      </c>
    </row>
    <row r="24" spans="1:6" x14ac:dyDescent="0.3">
      <c r="A24" t="s">
        <v>444</v>
      </c>
      <c r="B24" t="s">
        <v>431</v>
      </c>
      <c r="C24">
        <v>881210</v>
      </c>
      <c r="D24" t="s">
        <v>437</v>
      </c>
      <c r="E24">
        <v>449114.47</v>
      </c>
      <c r="F24">
        <v>2745</v>
      </c>
    </row>
    <row r="25" spans="1:6" x14ac:dyDescent="0.3">
      <c r="A25" t="s">
        <v>444</v>
      </c>
      <c r="B25" t="s">
        <v>431</v>
      </c>
      <c r="C25">
        <v>894102</v>
      </c>
      <c r="D25" t="s">
        <v>438</v>
      </c>
      <c r="E25">
        <v>124831.24</v>
      </c>
      <c r="F25">
        <v>1829</v>
      </c>
    </row>
    <row r="26" spans="1:6" x14ac:dyDescent="0.3">
      <c r="A26" t="s">
        <v>444</v>
      </c>
      <c r="B26" t="s">
        <v>431</v>
      </c>
      <c r="C26">
        <v>881205</v>
      </c>
      <c r="D26" t="s">
        <v>439</v>
      </c>
      <c r="E26">
        <v>289187.03999999998</v>
      </c>
      <c r="F26">
        <v>552</v>
      </c>
    </row>
    <row r="27" spans="1:6" x14ac:dyDescent="0.3">
      <c r="A27" t="s">
        <v>444</v>
      </c>
      <c r="B27" t="s">
        <v>440</v>
      </c>
      <c r="C27">
        <v>890228</v>
      </c>
      <c r="D27" t="s">
        <v>441</v>
      </c>
      <c r="E27">
        <v>70701.429999999993</v>
      </c>
      <c r="F27">
        <v>4601</v>
      </c>
    </row>
    <row r="28" spans="1:6" x14ac:dyDescent="0.3">
      <c r="A28" t="s">
        <v>444</v>
      </c>
      <c r="B28" t="s">
        <v>442</v>
      </c>
      <c r="C28">
        <v>378501</v>
      </c>
      <c r="D28" t="s">
        <v>443</v>
      </c>
      <c r="E28">
        <v>95652.93</v>
      </c>
      <c r="F28">
        <v>937</v>
      </c>
    </row>
    <row r="29" spans="1:6" x14ac:dyDescent="0.3">
      <c r="A29" t="s">
        <v>446</v>
      </c>
      <c r="B29" t="s">
        <v>411</v>
      </c>
      <c r="C29">
        <v>876122</v>
      </c>
      <c r="D29" t="s">
        <v>412</v>
      </c>
      <c r="E29">
        <v>4272445.91</v>
      </c>
      <c r="F29">
        <v>1086</v>
      </c>
    </row>
    <row r="30" spans="1:6" x14ac:dyDescent="0.3">
      <c r="A30" t="s">
        <v>446</v>
      </c>
      <c r="B30" t="s">
        <v>411</v>
      </c>
      <c r="C30">
        <v>360101</v>
      </c>
      <c r="D30" t="s">
        <v>413</v>
      </c>
      <c r="E30">
        <v>10643322.880000001</v>
      </c>
      <c r="F30">
        <v>209</v>
      </c>
    </row>
    <row r="31" spans="1:6" x14ac:dyDescent="0.3">
      <c r="A31" t="s">
        <v>446</v>
      </c>
      <c r="B31" t="s">
        <v>411</v>
      </c>
      <c r="C31">
        <v>874133</v>
      </c>
      <c r="D31" t="s">
        <v>414</v>
      </c>
      <c r="E31">
        <v>3723442.87</v>
      </c>
      <c r="F31">
        <v>44</v>
      </c>
    </row>
    <row r="32" spans="1:6" x14ac:dyDescent="0.3">
      <c r="A32" t="s">
        <v>446</v>
      </c>
      <c r="B32" t="s">
        <v>411</v>
      </c>
      <c r="C32">
        <v>876121</v>
      </c>
      <c r="D32" t="s">
        <v>415</v>
      </c>
      <c r="E32">
        <v>2495113</v>
      </c>
      <c r="F32">
        <v>16</v>
      </c>
    </row>
    <row r="33" spans="1:6" x14ac:dyDescent="0.3">
      <c r="A33" t="s">
        <v>446</v>
      </c>
      <c r="B33" t="s">
        <v>411</v>
      </c>
      <c r="C33">
        <v>876110</v>
      </c>
      <c r="D33" t="s">
        <v>416</v>
      </c>
      <c r="E33">
        <v>1192754.69</v>
      </c>
      <c r="F33">
        <v>92</v>
      </c>
    </row>
    <row r="34" spans="1:6" x14ac:dyDescent="0.3">
      <c r="A34" t="s">
        <v>446</v>
      </c>
      <c r="B34" t="s">
        <v>411</v>
      </c>
      <c r="C34">
        <v>360102</v>
      </c>
      <c r="D34" t="s">
        <v>417</v>
      </c>
      <c r="E34">
        <v>15403671.92</v>
      </c>
      <c r="F34">
        <v>62</v>
      </c>
    </row>
    <row r="35" spans="1:6" x14ac:dyDescent="0.3">
      <c r="A35" t="s">
        <v>446</v>
      </c>
      <c r="B35" t="s">
        <v>418</v>
      </c>
      <c r="C35">
        <v>378301</v>
      </c>
      <c r="D35" t="s">
        <v>419</v>
      </c>
      <c r="E35">
        <v>18241900.670000002</v>
      </c>
      <c r="F35">
        <v>79</v>
      </c>
    </row>
    <row r="36" spans="1:6" x14ac:dyDescent="0.3">
      <c r="A36" t="s">
        <v>446</v>
      </c>
      <c r="B36" t="s">
        <v>418</v>
      </c>
      <c r="C36">
        <v>378604</v>
      </c>
      <c r="D36" t="s">
        <v>420</v>
      </c>
      <c r="E36">
        <v>47674435</v>
      </c>
      <c r="F36">
        <v>30</v>
      </c>
    </row>
    <row r="37" spans="1:6" x14ac:dyDescent="0.3">
      <c r="A37" t="s">
        <v>446</v>
      </c>
      <c r="B37" t="s">
        <v>418</v>
      </c>
      <c r="C37">
        <v>378201</v>
      </c>
      <c r="D37" t="s">
        <v>421</v>
      </c>
      <c r="E37">
        <v>14769499.4</v>
      </c>
      <c r="F37">
        <v>20</v>
      </c>
    </row>
    <row r="38" spans="1:6" x14ac:dyDescent="0.3">
      <c r="A38" t="s">
        <v>446</v>
      </c>
      <c r="B38" t="s">
        <v>418</v>
      </c>
      <c r="C38">
        <v>378901</v>
      </c>
      <c r="D38" t="s">
        <v>422</v>
      </c>
      <c r="E38">
        <v>17217695.870000001</v>
      </c>
      <c r="F38">
        <v>30</v>
      </c>
    </row>
    <row r="39" spans="1:6" x14ac:dyDescent="0.3">
      <c r="A39" t="s">
        <v>446</v>
      </c>
      <c r="B39" t="s">
        <v>418</v>
      </c>
      <c r="C39">
        <v>378606</v>
      </c>
      <c r="D39" t="s">
        <v>423</v>
      </c>
      <c r="E39">
        <v>56875169.420000002</v>
      </c>
      <c r="F39">
        <v>74</v>
      </c>
    </row>
    <row r="40" spans="1:6" x14ac:dyDescent="0.3">
      <c r="A40" t="s">
        <v>446</v>
      </c>
      <c r="B40" t="s">
        <v>418</v>
      </c>
      <c r="C40">
        <v>378001</v>
      </c>
      <c r="D40" t="s">
        <v>424</v>
      </c>
      <c r="E40">
        <v>23068703.199999999</v>
      </c>
      <c r="F40">
        <v>25</v>
      </c>
    </row>
    <row r="41" spans="1:6" x14ac:dyDescent="0.3">
      <c r="A41" t="s">
        <v>446</v>
      </c>
      <c r="B41" t="s">
        <v>418</v>
      </c>
      <c r="C41">
        <v>373406</v>
      </c>
      <c r="D41" t="s">
        <v>425</v>
      </c>
      <c r="E41">
        <v>21314871.5</v>
      </c>
      <c r="F41">
        <v>2</v>
      </c>
    </row>
    <row r="42" spans="1:6" x14ac:dyDescent="0.3">
      <c r="A42" t="s">
        <v>446</v>
      </c>
      <c r="B42" t="s">
        <v>426</v>
      </c>
      <c r="C42">
        <v>363201</v>
      </c>
      <c r="D42" t="s">
        <v>427</v>
      </c>
      <c r="E42">
        <v>28866798.329999998</v>
      </c>
      <c r="F42">
        <v>126</v>
      </c>
    </row>
    <row r="43" spans="1:6" x14ac:dyDescent="0.3">
      <c r="A43" t="s">
        <v>446</v>
      </c>
      <c r="B43" t="s">
        <v>426</v>
      </c>
      <c r="C43">
        <v>361605</v>
      </c>
      <c r="D43" t="s">
        <v>428</v>
      </c>
      <c r="E43">
        <v>20148842</v>
      </c>
      <c r="F43">
        <v>4</v>
      </c>
    </row>
    <row r="44" spans="1:6" x14ac:dyDescent="0.3">
      <c r="A44" t="s">
        <v>446</v>
      </c>
      <c r="B44" t="s">
        <v>426</v>
      </c>
      <c r="C44">
        <v>352101</v>
      </c>
      <c r="D44" t="s">
        <v>429</v>
      </c>
      <c r="E44">
        <v>36848860.710000001</v>
      </c>
      <c r="F44">
        <v>37</v>
      </c>
    </row>
    <row r="45" spans="1:6" x14ac:dyDescent="0.3">
      <c r="A45" t="s">
        <v>446</v>
      </c>
      <c r="B45" t="s">
        <v>426</v>
      </c>
      <c r="C45">
        <v>378701</v>
      </c>
      <c r="D45" t="s">
        <v>430</v>
      </c>
      <c r="E45">
        <v>23170837.239999998</v>
      </c>
      <c r="F45">
        <v>39</v>
      </c>
    </row>
    <row r="46" spans="1:6" x14ac:dyDescent="0.3">
      <c r="A46" t="s">
        <v>446</v>
      </c>
      <c r="B46" t="s">
        <v>431</v>
      </c>
      <c r="C46">
        <v>881202</v>
      </c>
      <c r="D46" t="s">
        <v>432</v>
      </c>
      <c r="E46">
        <v>291718.46999999997</v>
      </c>
      <c r="F46">
        <v>893</v>
      </c>
    </row>
    <row r="47" spans="1:6" x14ac:dyDescent="0.3">
      <c r="A47" t="s">
        <v>446</v>
      </c>
      <c r="B47" t="s">
        <v>431</v>
      </c>
      <c r="C47">
        <v>895101</v>
      </c>
      <c r="D47" t="s">
        <v>433</v>
      </c>
      <c r="E47">
        <v>27833.96</v>
      </c>
      <c r="F47">
        <v>937</v>
      </c>
    </row>
    <row r="48" spans="1:6" x14ac:dyDescent="0.3">
      <c r="A48" t="s">
        <v>446</v>
      </c>
      <c r="B48" t="s">
        <v>431</v>
      </c>
      <c r="C48">
        <v>895001</v>
      </c>
      <c r="D48" t="s">
        <v>434</v>
      </c>
      <c r="E48">
        <v>199860.3</v>
      </c>
      <c r="F48">
        <v>334</v>
      </c>
    </row>
    <row r="49" spans="1:6" x14ac:dyDescent="0.3">
      <c r="A49" t="s">
        <v>446</v>
      </c>
      <c r="B49" t="s">
        <v>431</v>
      </c>
      <c r="C49">
        <v>895004</v>
      </c>
      <c r="D49" t="s">
        <v>435</v>
      </c>
      <c r="E49">
        <v>225738.41</v>
      </c>
      <c r="F49">
        <v>17</v>
      </c>
    </row>
    <row r="50" spans="1:6" x14ac:dyDescent="0.3">
      <c r="A50" t="s">
        <v>446</v>
      </c>
      <c r="B50" t="s">
        <v>431</v>
      </c>
      <c r="C50">
        <v>895101</v>
      </c>
      <c r="D50" t="s">
        <v>436</v>
      </c>
      <c r="E50">
        <v>27833.96</v>
      </c>
      <c r="F50">
        <v>937</v>
      </c>
    </row>
    <row r="51" spans="1:6" x14ac:dyDescent="0.3">
      <c r="A51" t="s">
        <v>446</v>
      </c>
      <c r="B51" t="s">
        <v>431</v>
      </c>
      <c r="C51">
        <v>881210</v>
      </c>
      <c r="D51" t="s">
        <v>437</v>
      </c>
      <c r="E51">
        <v>483781.46</v>
      </c>
      <c r="F51">
        <v>56</v>
      </c>
    </row>
    <row r="52" spans="1:6" x14ac:dyDescent="0.3">
      <c r="A52" t="s">
        <v>446</v>
      </c>
      <c r="B52" t="s">
        <v>431</v>
      </c>
      <c r="C52">
        <v>894102</v>
      </c>
      <c r="D52" t="s">
        <v>438</v>
      </c>
      <c r="E52">
        <v>141737.98000000001</v>
      </c>
      <c r="F52">
        <v>91</v>
      </c>
    </row>
    <row r="53" spans="1:6" x14ac:dyDescent="0.3">
      <c r="A53" t="s">
        <v>446</v>
      </c>
      <c r="B53" t="s">
        <v>431</v>
      </c>
      <c r="C53">
        <v>881205</v>
      </c>
      <c r="D53" t="s">
        <v>439</v>
      </c>
      <c r="E53">
        <v>347824.31</v>
      </c>
      <c r="F53">
        <v>152</v>
      </c>
    </row>
    <row r="54" spans="1:6" x14ac:dyDescent="0.3">
      <c r="A54" t="s">
        <v>446</v>
      </c>
      <c r="B54" t="s">
        <v>440</v>
      </c>
      <c r="C54">
        <v>890228</v>
      </c>
      <c r="D54" t="s">
        <v>441</v>
      </c>
      <c r="E54">
        <v>104418.82</v>
      </c>
      <c r="F54">
        <v>328</v>
      </c>
    </row>
    <row r="55" spans="1:6" x14ac:dyDescent="0.3">
      <c r="A55" t="s">
        <v>446</v>
      </c>
      <c r="B55" t="s">
        <v>442</v>
      </c>
      <c r="C55">
        <v>378501</v>
      </c>
      <c r="D55" t="s">
        <v>443</v>
      </c>
      <c r="E55">
        <v>136257.51999999999</v>
      </c>
      <c r="F55">
        <v>294</v>
      </c>
    </row>
  </sheetData>
  <autoFilter ref="A1:F55" xr:uid="{326FC0DB-F53C-4D2B-AC60-92232DA4CB1E}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4A6DD1-8A33-445D-B68B-109F0CA3AF75}">
  <dimension ref="A1:K281"/>
  <sheetViews>
    <sheetView topLeftCell="A237" zoomScale="87" workbookViewId="0">
      <selection activeCell="B280" sqref="B280"/>
    </sheetView>
  </sheetViews>
  <sheetFormatPr baseColWidth="10" defaultRowHeight="14.4" x14ac:dyDescent="0.3"/>
  <cols>
    <col min="1" max="3" width="24" bestFit="1" customWidth="1"/>
    <col min="4" max="4" width="23.6640625" customWidth="1"/>
    <col min="5" max="5" width="30.88671875" customWidth="1"/>
    <col min="6" max="6" width="23.5546875" bestFit="1" customWidth="1"/>
    <col min="7" max="7" width="17.6640625" customWidth="1"/>
    <col min="8" max="8" width="25.6640625" bestFit="1" customWidth="1"/>
    <col min="9" max="9" width="15.77734375" bestFit="1" customWidth="1"/>
    <col min="10" max="10" width="24.6640625" bestFit="1" customWidth="1"/>
    <col min="11" max="11" width="25.6640625" bestFit="1" customWidth="1"/>
    <col min="12" max="12" width="15.77734375" bestFit="1" customWidth="1"/>
    <col min="13" max="13" width="14.88671875" bestFit="1" customWidth="1"/>
    <col min="14" max="14" width="24.6640625" bestFit="1" customWidth="1"/>
    <col min="15" max="15" width="25.6640625" bestFit="1" customWidth="1"/>
    <col min="16" max="16" width="15.77734375" bestFit="1" customWidth="1"/>
    <col min="17" max="17" width="14.88671875" bestFit="1" customWidth="1"/>
  </cols>
  <sheetData>
    <row r="1" spans="1:11" x14ac:dyDescent="0.3">
      <c r="A1" t="s">
        <v>45</v>
      </c>
      <c r="B1" t="s">
        <v>46</v>
      </c>
      <c r="C1" t="s">
        <v>1</v>
      </c>
      <c r="D1" t="s">
        <v>47</v>
      </c>
      <c r="E1" t="s">
        <v>48</v>
      </c>
      <c r="F1" t="s">
        <v>49</v>
      </c>
      <c r="G1" t="s">
        <v>6</v>
      </c>
      <c r="H1" s="1" t="s">
        <v>50</v>
      </c>
      <c r="I1" s="1" t="s">
        <v>51</v>
      </c>
      <c r="J1" s="2" t="s">
        <v>52</v>
      </c>
      <c r="K1" t="s">
        <v>94</v>
      </c>
    </row>
    <row r="2" spans="1:11" x14ac:dyDescent="0.3">
      <c r="A2" t="s">
        <v>44</v>
      </c>
      <c r="B2" t="s">
        <v>59</v>
      </c>
      <c r="C2" t="s">
        <v>28</v>
      </c>
      <c r="D2">
        <v>2797</v>
      </c>
      <c r="F2">
        <v>9536</v>
      </c>
      <c r="G2">
        <v>12333</v>
      </c>
      <c r="H2" s="1">
        <v>0.22678991324089839</v>
      </c>
      <c r="I2" s="1">
        <v>0.77321008675910163</v>
      </c>
      <c r="J2" s="2">
        <v>0</v>
      </c>
      <c r="K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" spans="1:11" x14ac:dyDescent="0.3">
      <c r="A3" t="s">
        <v>44</v>
      </c>
      <c r="B3" t="s">
        <v>59</v>
      </c>
      <c r="C3" t="s">
        <v>29</v>
      </c>
      <c r="E3">
        <v>121</v>
      </c>
      <c r="G3">
        <v>121</v>
      </c>
      <c r="H3" s="1">
        <v>0</v>
      </c>
      <c r="I3" s="1">
        <v>0</v>
      </c>
      <c r="J3" s="2">
        <v>1</v>
      </c>
      <c r="K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" spans="1:11" x14ac:dyDescent="0.3">
      <c r="A4" t="s">
        <v>44</v>
      </c>
      <c r="B4" t="s">
        <v>59</v>
      </c>
      <c r="C4" t="s">
        <v>35</v>
      </c>
      <c r="D4">
        <v>7</v>
      </c>
      <c r="F4">
        <v>1</v>
      </c>
      <c r="G4">
        <v>8</v>
      </c>
      <c r="H4" s="1">
        <v>0.875</v>
      </c>
      <c r="I4" s="1">
        <v>0.125</v>
      </c>
      <c r="J4" s="2">
        <v>0</v>
      </c>
      <c r="K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" spans="1:11" x14ac:dyDescent="0.3">
      <c r="A5" t="s">
        <v>44</v>
      </c>
      <c r="B5" t="s">
        <v>59</v>
      </c>
      <c r="C5" t="s">
        <v>7</v>
      </c>
      <c r="D5">
        <v>1</v>
      </c>
      <c r="G5">
        <v>1</v>
      </c>
      <c r="H5" s="1">
        <v>1</v>
      </c>
      <c r="I5" s="1">
        <v>0</v>
      </c>
      <c r="J5" s="2">
        <v>0</v>
      </c>
      <c r="K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6" spans="1:11" x14ac:dyDescent="0.3">
      <c r="A6" t="s">
        <v>44</v>
      </c>
      <c r="B6" t="s">
        <v>60</v>
      </c>
      <c r="C6" t="s">
        <v>42</v>
      </c>
      <c r="D6">
        <v>754</v>
      </c>
      <c r="F6">
        <v>7274</v>
      </c>
      <c r="G6">
        <v>8028</v>
      </c>
      <c r="H6" s="1">
        <v>9.3921275535625307E-2</v>
      </c>
      <c r="I6" s="1">
        <v>0.90607872446437465</v>
      </c>
      <c r="J6" s="2">
        <v>0</v>
      </c>
      <c r="K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7" spans="1:11" x14ac:dyDescent="0.3">
      <c r="A7" t="s">
        <v>44</v>
      </c>
      <c r="B7" t="s">
        <v>60</v>
      </c>
      <c r="C7" t="s">
        <v>28</v>
      </c>
      <c r="D7">
        <v>4476</v>
      </c>
      <c r="F7">
        <v>1113</v>
      </c>
      <c r="G7">
        <v>5589</v>
      </c>
      <c r="H7" s="1">
        <v>0.80085882984433709</v>
      </c>
      <c r="I7" s="1">
        <v>0.19914117015566291</v>
      </c>
      <c r="J7" s="2">
        <v>0</v>
      </c>
      <c r="K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8" spans="1:11" x14ac:dyDescent="0.3">
      <c r="A8" t="s">
        <v>44</v>
      </c>
      <c r="B8" t="s">
        <v>60</v>
      </c>
      <c r="C8" t="s">
        <v>35</v>
      </c>
      <c r="D8">
        <v>2001</v>
      </c>
      <c r="F8">
        <v>523</v>
      </c>
      <c r="G8">
        <v>2524</v>
      </c>
      <c r="H8" s="1">
        <v>0.7927892234548336</v>
      </c>
      <c r="I8" s="1">
        <v>0.2072107765451664</v>
      </c>
      <c r="J8" s="2">
        <v>0</v>
      </c>
      <c r="K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9" spans="1:11" x14ac:dyDescent="0.3">
      <c r="A9" t="s">
        <v>44</v>
      </c>
      <c r="B9" t="s">
        <v>60</v>
      </c>
      <c r="C9" t="s">
        <v>29</v>
      </c>
      <c r="E9">
        <v>116</v>
      </c>
      <c r="G9">
        <v>116</v>
      </c>
      <c r="H9" s="1">
        <v>0</v>
      </c>
      <c r="I9" s="1">
        <v>0</v>
      </c>
      <c r="J9" s="2">
        <v>1</v>
      </c>
      <c r="K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0" spans="1:11" x14ac:dyDescent="0.3">
      <c r="A10" t="s">
        <v>44</v>
      </c>
      <c r="B10" t="s">
        <v>60</v>
      </c>
      <c r="C10" t="s">
        <v>7</v>
      </c>
      <c r="D10">
        <v>2</v>
      </c>
      <c r="G10">
        <v>2</v>
      </c>
      <c r="H10" s="1">
        <v>1</v>
      </c>
      <c r="I10" s="1">
        <v>0</v>
      </c>
      <c r="J10" s="2">
        <v>0</v>
      </c>
      <c r="K1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1" spans="1:11" x14ac:dyDescent="0.3">
      <c r="A11" t="s">
        <v>44</v>
      </c>
      <c r="B11" t="s">
        <v>60</v>
      </c>
      <c r="C11" t="s">
        <v>33</v>
      </c>
      <c r="D11">
        <v>1</v>
      </c>
      <c r="G11">
        <v>1</v>
      </c>
      <c r="H11" s="1">
        <v>1</v>
      </c>
      <c r="I11" s="1">
        <v>0</v>
      </c>
      <c r="J11" s="2">
        <v>0</v>
      </c>
      <c r="K1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2" spans="1:11" x14ac:dyDescent="0.3">
      <c r="A12" t="s">
        <v>44</v>
      </c>
      <c r="B12" t="s">
        <v>61</v>
      </c>
      <c r="C12" t="s">
        <v>28</v>
      </c>
      <c r="D12">
        <v>2648</v>
      </c>
      <c r="F12">
        <v>11680</v>
      </c>
      <c r="G12">
        <v>14328</v>
      </c>
      <c r="H12" s="1">
        <v>0.18481295365717476</v>
      </c>
      <c r="I12" s="1">
        <v>0.81518704634282524</v>
      </c>
      <c r="J12" s="2">
        <v>0</v>
      </c>
      <c r="K1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3" spans="1:11" x14ac:dyDescent="0.3">
      <c r="A13" t="s">
        <v>44</v>
      </c>
      <c r="B13" t="s">
        <v>61</v>
      </c>
      <c r="C13" t="s">
        <v>35</v>
      </c>
      <c r="D13">
        <v>1093</v>
      </c>
      <c r="F13">
        <v>567</v>
      </c>
      <c r="G13">
        <v>1660</v>
      </c>
      <c r="H13" s="1">
        <v>0.65843373493975899</v>
      </c>
      <c r="I13" s="1">
        <v>0.34156626506024096</v>
      </c>
      <c r="J13" s="2">
        <v>0</v>
      </c>
      <c r="K1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4" spans="1:11" x14ac:dyDescent="0.3">
      <c r="A14" t="s">
        <v>44</v>
      </c>
      <c r="B14" t="s">
        <v>61</v>
      </c>
      <c r="C14" t="s">
        <v>29</v>
      </c>
      <c r="E14">
        <v>125</v>
      </c>
      <c r="G14">
        <v>125</v>
      </c>
      <c r="H14" s="1">
        <v>0</v>
      </c>
      <c r="I14" s="1">
        <v>0</v>
      </c>
      <c r="J14" s="2">
        <v>1</v>
      </c>
      <c r="K1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5" spans="1:11" x14ac:dyDescent="0.3">
      <c r="A15" t="s">
        <v>44</v>
      </c>
      <c r="B15" t="s">
        <v>61</v>
      </c>
      <c r="C15" t="s">
        <v>38</v>
      </c>
      <c r="D15">
        <v>11</v>
      </c>
      <c r="F15">
        <v>8</v>
      </c>
      <c r="G15">
        <v>19</v>
      </c>
      <c r="H15" s="1">
        <v>0.57894736842105265</v>
      </c>
      <c r="I15" s="1">
        <v>0.42105263157894735</v>
      </c>
      <c r="J15" s="2">
        <v>0</v>
      </c>
      <c r="K1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6" spans="1:11" x14ac:dyDescent="0.3">
      <c r="A16" t="s">
        <v>44</v>
      </c>
      <c r="B16" t="s">
        <v>61</v>
      </c>
      <c r="C16" t="s">
        <v>43</v>
      </c>
      <c r="F16">
        <v>1</v>
      </c>
      <c r="G16">
        <v>1</v>
      </c>
      <c r="H16" s="1">
        <v>0</v>
      </c>
      <c r="I16" s="1">
        <v>1</v>
      </c>
      <c r="J16" s="2">
        <v>0</v>
      </c>
      <c r="K1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7" spans="1:11" x14ac:dyDescent="0.3">
      <c r="A17" t="s">
        <v>44</v>
      </c>
      <c r="B17" t="s">
        <v>54</v>
      </c>
      <c r="C17" t="s">
        <v>33</v>
      </c>
      <c r="D17">
        <v>159</v>
      </c>
      <c r="F17">
        <v>2718</v>
      </c>
      <c r="G17">
        <v>2877</v>
      </c>
      <c r="H17" s="1">
        <v>5.526590198123045E-2</v>
      </c>
      <c r="I17" s="1">
        <v>0.94473409801876951</v>
      </c>
      <c r="J17" s="2">
        <v>0</v>
      </c>
      <c r="K1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8" spans="1:11" x14ac:dyDescent="0.3">
      <c r="A18" t="s">
        <v>44</v>
      </c>
      <c r="B18" t="s">
        <v>54</v>
      </c>
      <c r="C18" t="s">
        <v>28</v>
      </c>
      <c r="D18">
        <v>453</v>
      </c>
      <c r="F18">
        <v>1516</v>
      </c>
      <c r="G18">
        <v>1969</v>
      </c>
      <c r="H18" s="1">
        <v>0.23006602336211274</v>
      </c>
      <c r="I18" s="1">
        <v>0.76993397663788721</v>
      </c>
      <c r="J18" s="2">
        <v>0</v>
      </c>
      <c r="K1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9" spans="1:11" x14ac:dyDescent="0.3">
      <c r="A19" t="s">
        <v>44</v>
      </c>
      <c r="B19" t="s">
        <v>54</v>
      </c>
      <c r="C19" t="s">
        <v>29</v>
      </c>
      <c r="E19">
        <v>85</v>
      </c>
      <c r="G19">
        <v>85</v>
      </c>
      <c r="H19" s="1">
        <v>0</v>
      </c>
      <c r="I19" s="1">
        <v>0</v>
      </c>
      <c r="J19" s="2">
        <v>1</v>
      </c>
      <c r="K1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0" spans="1:11" x14ac:dyDescent="0.3">
      <c r="A20" t="s">
        <v>44</v>
      </c>
      <c r="B20" t="s">
        <v>54</v>
      </c>
      <c r="C20" t="s">
        <v>35</v>
      </c>
      <c r="D20">
        <v>7</v>
      </c>
      <c r="G20">
        <v>7</v>
      </c>
      <c r="H20" s="1">
        <v>1</v>
      </c>
      <c r="I20" s="1">
        <v>0</v>
      </c>
      <c r="J20" s="2">
        <v>0</v>
      </c>
      <c r="K2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1" spans="1:11" x14ac:dyDescent="0.3">
      <c r="A21" t="s">
        <v>44</v>
      </c>
      <c r="B21" t="s">
        <v>54</v>
      </c>
      <c r="C21" t="s">
        <v>43</v>
      </c>
      <c r="F21">
        <v>1</v>
      </c>
      <c r="G21">
        <v>1</v>
      </c>
      <c r="H21" s="1">
        <v>0</v>
      </c>
      <c r="I21" s="1">
        <v>1</v>
      </c>
      <c r="J21" s="2">
        <v>0</v>
      </c>
      <c r="K2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2" spans="1:11" x14ac:dyDescent="0.3">
      <c r="A22" t="s">
        <v>44</v>
      </c>
      <c r="B22" t="s">
        <v>41</v>
      </c>
      <c r="C22" t="s">
        <v>28</v>
      </c>
      <c r="D22">
        <v>1749</v>
      </c>
      <c r="F22">
        <v>9112</v>
      </c>
      <c r="G22">
        <v>10861</v>
      </c>
      <c r="H22" s="1">
        <v>0.16103489549765215</v>
      </c>
      <c r="I22" s="1">
        <v>0.83896510450234785</v>
      </c>
      <c r="J22" s="2">
        <v>0</v>
      </c>
      <c r="K2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3" spans="1:11" x14ac:dyDescent="0.3">
      <c r="A23" t="s">
        <v>44</v>
      </c>
      <c r="B23" t="s">
        <v>41</v>
      </c>
      <c r="C23" t="s">
        <v>35</v>
      </c>
      <c r="D23">
        <v>442</v>
      </c>
      <c r="F23">
        <v>207</v>
      </c>
      <c r="G23">
        <v>649</v>
      </c>
      <c r="H23" s="1">
        <v>0.68104776579352855</v>
      </c>
      <c r="I23" s="1">
        <v>0.31895223420647151</v>
      </c>
      <c r="J23" s="2">
        <v>0</v>
      </c>
      <c r="K2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4" spans="1:11" x14ac:dyDescent="0.3">
      <c r="A24" t="s">
        <v>44</v>
      </c>
      <c r="B24" t="s">
        <v>41</v>
      </c>
      <c r="C24" t="s">
        <v>29</v>
      </c>
      <c r="E24">
        <v>185</v>
      </c>
      <c r="G24">
        <v>185</v>
      </c>
      <c r="H24" s="1">
        <v>0</v>
      </c>
      <c r="I24" s="1">
        <v>0</v>
      </c>
      <c r="J24" s="2">
        <v>1</v>
      </c>
      <c r="K2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5" spans="1:11" x14ac:dyDescent="0.3">
      <c r="A25" t="s">
        <v>44</v>
      </c>
      <c r="B25" t="s">
        <v>41</v>
      </c>
      <c r="C25" t="s">
        <v>33</v>
      </c>
      <c r="D25">
        <v>1</v>
      </c>
      <c r="G25">
        <v>1</v>
      </c>
      <c r="H25" s="1">
        <v>1</v>
      </c>
      <c r="I25" s="1">
        <v>0</v>
      </c>
      <c r="J25" s="2">
        <v>0</v>
      </c>
      <c r="K2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6" spans="1:11" x14ac:dyDescent="0.3">
      <c r="A26" t="s">
        <v>44</v>
      </c>
      <c r="B26" t="s">
        <v>62</v>
      </c>
      <c r="C26" t="s">
        <v>42</v>
      </c>
      <c r="D26">
        <v>3712</v>
      </c>
      <c r="F26">
        <v>70378</v>
      </c>
      <c r="G26">
        <v>74090</v>
      </c>
      <c r="H26" s="1">
        <v>5.0101228235929274E-2</v>
      </c>
      <c r="I26" s="1">
        <v>0.94989877176407067</v>
      </c>
      <c r="J26" s="2">
        <v>0</v>
      </c>
      <c r="K2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7" spans="1:11" x14ac:dyDescent="0.3">
      <c r="A27" t="s">
        <v>44</v>
      </c>
      <c r="B27" t="s">
        <v>62</v>
      </c>
      <c r="C27" t="s">
        <v>33</v>
      </c>
      <c r="D27">
        <v>7537</v>
      </c>
      <c r="F27">
        <v>54502</v>
      </c>
      <c r="G27">
        <v>62039</v>
      </c>
      <c r="H27" s="1">
        <v>0.12148809619755316</v>
      </c>
      <c r="I27" s="1">
        <v>0.87851190380244681</v>
      </c>
      <c r="J27" s="2">
        <v>0</v>
      </c>
      <c r="K2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8" spans="1:11" x14ac:dyDescent="0.3">
      <c r="A28" t="s">
        <v>44</v>
      </c>
      <c r="B28" t="s">
        <v>62</v>
      </c>
      <c r="C28" t="s">
        <v>40</v>
      </c>
      <c r="D28">
        <v>1959</v>
      </c>
      <c r="F28">
        <v>45296</v>
      </c>
      <c r="G28">
        <v>47255</v>
      </c>
      <c r="H28" s="1">
        <v>4.1455930589355622E-2</v>
      </c>
      <c r="I28" s="1">
        <v>0.95854406941064441</v>
      </c>
      <c r="J28" s="2">
        <v>0</v>
      </c>
      <c r="K2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9" spans="1:11" x14ac:dyDescent="0.3">
      <c r="A29" t="s">
        <v>44</v>
      </c>
      <c r="B29" t="s">
        <v>62</v>
      </c>
      <c r="C29" t="s">
        <v>35</v>
      </c>
      <c r="D29">
        <v>20182</v>
      </c>
      <c r="F29">
        <v>12180</v>
      </c>
      <c r="G29">
        <v>32362</v>
      </c>
      <c r="H29" s="1">
        <v>0.62363265558370928</v>
      </c>
      <c r="I29" s="1">
        <v>0.37636734441629072</v>
      </c>
      <c r="J29" s="2">
        <v>0</v>
      </c>
      <c r="K2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0" spans="1:11" x14ac:dyDescent="0.3">
      <c r="A30" t="s">
        <v>44</v>
      </c>
      <c r="B30" t="s">
        <v>62</v>
      </c>
      <c r="C30" t="s">
        <v>28</v>
      </c>
      <c r="D30">
        <v>18342</v>
      </c>
      <c r="F30">
        <v>12939</v>
      </c>
      <c r="G30">
        <v>31281</v>
      </c>
      <c r="H30" s="1">
        <v>0.58636232857005854</v>
      </c>
      <c r="I30" s="1">
        <v>0.41363767142994151</v>
      </c>
      <c r="J30" s="2">
        <v>0</v>
      </c>
      <c r="K3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1" spans="1:11" x14ac:dyDescent="0.3">
      <c r="A31" t="s">
        <v>44</v>
      </c>
      <c r="B31" t="s">
        <v>62</v>
      </c>
      <c r="C31" t="s">
        <v>43</v>
      </c>
      <c r="D31">
        <v>20041</v>
      </c>
      <c r="F31">
        <v>10320</v>
      </c>
      <c r="G31">
        <v>30361</v>
      </c>
      <c r="H31" s="1">
        <v>0.66009024735680644</v>
      </c>
      <c r="I31" s="1">
        <v>0.33990975264319356</v>
      </c>
      <c r="J31" s="2">
        <v>0</v>
      </c>
      <c r="K3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2" spans="1:11" x14ac:dyDescent="0.3">
      <c r="A32" t="s">
        <v>44</v>
      </c>
      <c r="B32" t="s">
        <v>62</v>
      </c>
      <c r="C32" t="s">
        <v>29</v>
      </c>
      <c r="E32">
        <v>6043</v>
      </c>
      <c r="G32">
        <v>6043</v>
      </c>
      <c r="H32" s="1">
        <v>0</v>
      </c>
      <c r="I32" s="1">
        <v>0</v>
      </c>
      <c r="J32" s="2">
        <v>1</v>
      </c>
      <c r="K3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3" spans="1:11" x14ac:dyDescent="0.3">
      <c r="A33" t="s">
        <v>44</v>
      </c>
      <c r="B33" t="s">
        <v>62</v>
      </c>
      <c r="C33" t="s">
        <v>27</v>
      </c>
      <c r="D33">
        <v>308</v>
      </c>
      <c r="F33">
        <v>2558</v>
      </c>
      <c r="G33">
        <v>2866</v>
      </c>
      <c r="H33" s="1">
        <v>0.10746685275645498</v>
      </c>
      <c r="I33" s="1">
        <v>0.89253314724354504</v>
      </c>
      <c r="J33" s="2">
        <v>0</v>
      </c>
      <c r="K3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4" spans="1:11" x14ac:dyDescent="0.3">
      <c r="A34" t="s">
        <v>44</v>
      </c>
      <c r="B34" t="s">
        <v>62</v>
      </c>
      <c r="C34" t="s">
        <v>37</v>
      </c>
      <c r="D34">
        <v>1979</v>
      </c>
      <c r="G34">
        <v>1979</v>
      </c>
      <c r="H34" s="1">
        <v>1</v>
      </c>
      <c r="I34" s="1">
        <v>0</v>
      </c>
      <c r="J34" s="2">
        <v>0</v>
      </c>
      <c r="K3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5" spans="1:11" x14ac:dyDescent="0.3">
      <c r="A35" t="s">
        <v>44</v>
      </c>
      <c r="B35" t="s">
        <v>62</v>
      </c>
      <c r="C35" t="s">
        <v>38</v>
      </c>
      <c r="D35">
        <v>333</v>
      </c>
      <c r="F35">
        <v>100</v>
      </c>
      <c r="G35">
        <v>433</v>
      </c>
      <c r="H35" s="1">
        <v>0.76905311778290997</v>
      </c>
      <c r="I35" s="1">
        <v>0.23094688221709006</v>
      </c>
      <c r="J35" s="2">
        <v>0</v>
      </c>
      <c r="K3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6" spans="1:11" x14ac:dyDescent="0.3">
      <c r="A36" t="s">
        <v>44</v>
      </c>
      <c r="B36" t="s">
        <v>62</v>
      </c>
      <c r="C36" t="s">
        <v>7</v>
      </c>
      <c r="D36">
        <v>5</v>
      </c>
      <c r="F36">
        <v>8</v>
      </c>
      <c r="G36">
        <v>13</v>
      </c>
      <c r="H36" s="1">
        <v>0.38461538461538464</v>
      </c>
      <c r="I36" s="1">
        <v>0.61538461538461542</v>
      </c>
      <c r="J36" s="2">
        <v>0</v>
      </c>
      <c r="K3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7" spans="1:11" x14ac:dyDescent="0.3">
      <c r="A37" t="s">
        <v>44</v>
      </c>
      <c r="B37" t="s">
        <v>62</v>
      </c>
      <c r="C37" t="s">
        <v>32</v>
      </c>
      <c r="F37">
        <v>1</v>
      </c>
      <c r="G37">
        <v>1</v>
      </c>
      <c r="H37" s="1">
        <v>0</v>
      </c>
      <c r="I37" s="1">
        <v>1</v>
      </c>
      <c r="J37" s="2">
        <v>0</v>
      </c>
      <c r="K3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8" spans="1:11" x14ac:dyDescent="0.3">
      <c r="A38" t="s">
        <v>44</v>
      </c>
      <c r="B38" t="s">
        <v>63</v>
      </c>
      <c r="C38" t="s">
        <v>28</v>
      </c>
      <c r="D38">
        <v>7005</v>
      </c>
      <c r="F38">
        <v>7762</v>
      </c>
      <c r="G38">
        <v>14767</v>
      </c>
      <c r="H38" s="1">
        <v>0.47436852441254146</v>
      </c>
      <c r="I38" s="1">
        <v>0.52563147558745849</v>
      </c>
      <c r="J38" s="2">
        <v>0</v>
      </c>
      <c r="K3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9" spans="1:11" x14ac:dyDescent="0.3">
      <c r="A39" t="s">
        <v>44</v>
      </c>
      <c r="B39" t="s">
        <v>63</v>
      </c>
      <c r="C39" t="s">
        <v>42</v>
      </c>
      <c r="D39">
        <v>326</v>
      </c>
      <c r="F39">
        <v>3372</v>
      </c>
      <c r="G39">
        <v>3698</v>
      </c>
      <c r="H39" s="1">
        <v>8.8155759870200107E-2</v>
      </c>
      <c r="I39" s="1">
        <v>0.91184424012979992</v>
      </c>
      <c r="J39" s="2">
        <v>0</v>
      </c>
      <c r="K3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0" spans="1:11" x14ac:dyDescent="0.3">
      <c r="A40" t="s">
        <v>44</v>
      </c>
      <c r="B40" t="s">
        <v>63</v>
      </c>
      <c r="C40" t="s">
        <v>35</v>
      </c>
      <c r="D40">
        <v>1758</v>
      </c>
      <c r="F40">
        <v>481</v>
      </c>
      <c r="G40">
        <v>2239</v>
      </c>
      <c r="H40" s="1">
        <v>0.78517195176418042</v>
      </c>
      <c r="I40" s="1">
        <v>0.21482804823581955</v>
      </c>
      <c r="J40" s="2">
        <v>0</v>
      </c>
      <c r="K4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1" spans="1:11" x14ac:dyDescent="0.3">
      <c r="A41" t="s">
        <v>44</v>
      </c>
      <c r="B41" t="s">
        <v>63</v>
      </c>
      <c r="C41" t="s">
        <v>29</v>
      </c>
      <c r="E41">
        <v>161</v>
      </c>
      <c r="G41">
        <v>161</v>
      </c>
      <c r="H41" s="1">
        <v>0</v>
      </c>
      <c r="I41" s="1">
        <v>0</v>
      </c>
      <c r="J41" s="2">
        <v>1</v>
      </c>
      <c r="K4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2" spans="1:11" x14ac:dyDescent="0.3">
      <c r="A42" t="s">
        <v>44</v>
      </c>
      <c r="B42" t="s">
        <v>63</v>
      </c>
      <c r="C42" t="s">
        <v>38</v>
      </c>
      <c r="D42">
        <v>20</v>
      </c>
      <c r="F42">
        <v>4</v>
      </c>
      <c r="G42">
        <v>24</v>
      </c>
      <c r="H42" s="1">
        <v>0.83333333333333337</v>
      </c>
      <c r="I42" s="1">
        <v>0.16666666666666666</v>
      </c>
      <c r="J42" s="2">
        <v>0</v>
      </c>
      <c r="K4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3" spans="1:11" x14ac:dyDescent="0.3">
      <c r="A43" t="s">
        <v>44</v>
      </c>
      <c r="B43" t="s">
        <v>63</v>
      </c>
      <c r="C43" t="s">
        <v>7</v>
      </c>
      <c r="D43">
        <v>3</v>
      </c>
      <c r="G43">
        <v>3</v>
      </c>
      <c r="H43" s="1">
        <v>1</v>
      </c>
      <c r="I43" s="1">
        <v>0</v>
      </c>
      <c r="J43" s="2">
        <v>0</v>
      </c>
      <c r="K4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4" spans="1:11" x14ac:dyDescent="0.3">
      <c r="A44" t="s">
        <v>44</v>
      </c>
      <c r="B44" t="s">
        <v>64</v>
      </c>
      <c r="C44" t="s">
        <v>28</v>
      </c>
      <c r="D44">
        <v>4086</v>
      </c>
      <c r="F44">
        <v>11482</v>
      </c>
      <c r="G44">
        <v>15568</v>
      </c>
      <c r="H44" s="1">
        <v>0.26246145940390547</v>
      </c>
      <c r="I44" s="1">
        <v>0.73753854059609458</v>
      </c>
      <c r="J44" s="2">
        <v>0</v>
      </c>
      <c r="K4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5" spans="1:11" x14ac:dyDescent="0.3">
      <c r="A45" t="s">
        <v>44</v>
      </c>
      <c r="B45" t="s">
        <v>64</v>
      </c>
      <c r="C45" t="s">
        <v>42</v>
      </c>
      <c r="D45">
        <v>400</v>
      </c>
      <c r="F45">
        <v>6217</v>
      </c>
      <c r="G45">
        <v>6617</v>
      </c>
      <c r="H45" s="1">
        <v>6.0450355145836479E-2</v>
      </c>
      <c r="I45" s="1">
        <v>0.93954964485416348</v>
      </c>
      <c r="J45" s="2">
        <v>0</v>
      </c>
      <c r="K4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6" spans="1:11" x14ac:dyDescent="0.3">
      <c r="A46" t="s">
        <v>44</v>
      </c>
      <c r="B46" t="s">
        <v>64</v>
      </c>
      <c r="C46" t="s">
        <v>36</v>
      </c>
      <c r="D46">
        <v>785</v>
      </c>
      <c r="F46">
        <v>417</v>
      </c>
      <c r="G46">
        <v>1202</v>
      </c>
      <c r="H46" s="1">
        <v>0.65307820299500829</v>
      </c>
      <c r="I46" s="1">
        <v>0.34692179700499171</v>
      </c>
      <c r="J46" s="2">
        <v>0</v>
      </c>
      <c r="K4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7" spans="1:11" x14ac:dyDescent="0.3">
      <c r="A47" t="s">
        <v>44</v>
      </c>
      <c r="B47" t="s">
        <v>64</v>
      </c>
      <c r="C47" t="s">
        <v>29</v>
      </c>
      <c r="E47">
        <v>544</v>
      </c>
      <c r="G47">
        <v>544</v>
      </c>
      <c r="H47" s="1">
        <v>0</v>
      </c>
      <c r="I47" s="1">
        <v>0</v>
      </c>
      <c r="J47" s="2">
        <v>1</v>
      </c>
      <c r="K4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8" spans="1:11" x14ac:dyDescent="0.3">
      <c r="A48" t="s">
        <v>44</v>
      </c>
      <c r="B48" t="s">
        <v>64</v>
      </c>
      <c r="C48" t="s">
        <v>35</v>
      </c>
      <c r="D48">
        <v>382</v>
      </c>
      <c r="F48">
        <v>155</v>
      </c>
      <c r="G48">
        <v>537</v>
      </c>
      <c r="H48" s="1">
        <v>0.71135940409683429</v>
      </c>
      <c r="I48" s="1">
        <v>0.28864059590316571</v>
      </c>
      <c r="J48" s="2">
        <v>0</v>
      </c>
      <c r="K4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9" spans="1:11" x14ac:dyDescent="0.3">
      <c r="A49" t="s">
        <v>44</v>
      </c>
      <c r="B49" t="s">
        <v>64</v>
      </c>
      <c r="C49" t="s">
        <v>38</v>
      </c>
      <c r="D49">
        <v>25</v>
      </c>
      <c r="F49">
        <v>10</v>
      </c>
      <c r="G49">
        <v>35</v>
      </c>
      <c r="H49" s="1">
        <v>0.7142857142857143</v>
      </c>
      <c r="I49" s="1">
        <v>0.2857142857142857</v>
      </c>
      <c r="J49" s="2">
        <v>0</v>
      </c>
      <c r="K4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0" spans="1:11" x14ac:dyDescent="0.3">
      <c r="A50" t="s">
        <v>44</v>
      </c>
      <c r="B50" t="s">
        <v>64</v>
      </c>
      <c r="C50" t="s">
        <v>7</v>
      </c>
      <c r="D50">
        <v>2</v>
      </c>
      <c r="G50">
        <v>2</v>
      </c>
      <c r="H50" s="1">
        <v>1</v>
      </c>
      <c r="I50" s="1">
        <v>0</v>
      </c>
      <c r="J50" s="2">
        <v>0</v>
      </c>
      <c r="K5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1" spans="1:11" x14ac:dyDescent="0.3">
      <c r="A51" t="s">
        <v>44</v>
      </c>
      <c r="B51" t="s">
        <v>65</v>
      </c>
      <c r="C51" t="s">
        <v>28</v>
      </c>
      <c r="D51">
        <v>2656</v>
      </c>
      <c r="F51">
        <v>7588</v>
      </c>
      <c r="G51">
        <v>10244</v>
      </c>
      <c r="H51" s="1">
        <v>0.25927372120265524</v>
      </c>
      <c r="I51" s="1">
        <v>0.74072627879734476</v>
      </c>
      <c r="J51" s="2">
        <v>0</v>
      </c>
      <c r="K5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2" spans="1:11" x14ac:dyDescent="0.3">
      <c r="A52" t="s">
        <v>44</v>
      </c>
      <c r="B52" t="s">
        <v>65</v>
      </c>
      <c r="C52" t="s">
        <v>40</v>
      </c>
      <c r="D52">
        <v>276</v>
      </c>
      <c r="F52">
        <v>3853</v>
      </c>
      <c r="G52">
        <v>4129</v>
      </c>
      <c r="H52" s="1">
        <v>6.684427222087673E-2</v>
      </c>
      <c r="I52" s="1">
        <v>0.93315572777912326</v>
      </c>
      <c r="J52" s="2">
        <v>0</v>
      </c>
      <c r="K5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3" spans="1:11" x14ac:dyDescent="0.3">
      <c r="A53" t="s">
        <v>44</v>
      </c>
      <c r="B53" t="s">
        <v>65</v>
      </c>
      <c r="C53" t="s">
        <v>35</v>
      </c>
      <c r="D53">
        <v>1766</v>
      </c>
      <c r="F53">
        <v>793</v>
      </c>
      <c r="G53">
        <v>2559</v>
      </c>
      <c r="H53" s="1">
        <v>0.69011332551778037</v>
      </c>
      <c r="I53" s="1">
        <v>0.30988667448221963</v>
      </c>
      <c r="J53" s="2">
        <v>0</v>
      </c>
      <c r="K5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4" spans="1:11" x14ac:dyDescent="0.3">
      <c r="A54" t="s">
        <v>44</v>
      </c>
      <c r="B54" t="s">
        <v>65</v>
      </c>
      <c r="C54" t="s">
        <v>29</v>
      </c>
      <c r="E54">
        <v>256</v>
      </c>
      <c r="G54">
        <v>256</v>
      </c>
      <c r="H54" s="1">
        <v>0</v>
      </c>
      <c r="I54" s="1">
        <v>0</v>
      </c>
      <c r="J54" s="2">
        <v>1</v>
      </c>
      <c r="K5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5" spans="1:11" x14ac:dyDescent="0.3">
      <c r="A55" t="s">
        <v>44</v>
      </c>
      <c r="B55" t="s">
        <v>65</v>
      </c>
      <c r="C55" t="s">
        <v>38</v>
      </c>
      <c r="D55">
        <v>18</v>
      </c>
      <c r="F55">
        <v>4</v>
      </c>
      <c r="G55">
        <v>22</v>
      </c>
      <c r="H55" s="1">
        <v>0.81818181818181823</v>
      </c>
      <c r="I55" s="1">
        <v>0.18181818181818182</v>
      </c>
      <c r="J55" s="2">
        <v>0</v>
      </c>
      <c r="K5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6" spans="1:11" x14ac:dyDescent="0.3">
      <c r="A56" t="s">
        <v>44</v>
      </c>
      <c r="B56" t="s">
        <v>65</v>
      </c>
      <c r="C56" t="s">
        <v>7</v>
      </c>
      <c r="F56">
        <v>1</v>
      </c>
      <c r="G56">
        <v>1</v>
      </c>
      <c r="H56" s="1">
        <v>0</v>
      </c>
      <c r="I56" s="1">
        <v>1</v>
      </c>
      <c r="J56" s="2">
        <v>0</v>
      </c>
      <c r="K5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7" spans="1:11" x14ac:dyDescent="0.3">
      <c r="A57" t="s">
        <v>44</v>
      </c>
      <c r="B57" t="s">
        <v>56</v>
      </c>
      <c r="C57" t="s">
        <v>28</v>
      </c>
      <c r="D57">
        <v>19326</v>
      </c>
      <c r="F57">
        <v>6256</v>
      </c>
      <c r="G57">
        <v>25582</v>
      </c>
      <c r="H57" s="1">
        <v>0.75545305292783993</v>
      </c>
      <c r="I57" s="1">
        <v>0.24454694707216013</v>
      </c>
      <c r="J57" s="2">
        <v>0</v>
      </c>
      <c r="K5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8" spans="1:11" x14ac:dyDescent="0.3">
      <c r="A58" t="s">
        <v>44</v>
      </c>
      <c r="B58" t="s">
        <v>56</v>
      </c>
      <c r="C58" t="s">
        <v>42</v>
      </c>
      <c r="D58">
        <v>2266</v>
      </c>
      <c r="F58">
        <v>20894</v>
      </c>
      <c r="G58">
        <v>23160</v>
      </c>
      <c r="H58" s="1">
        <v>9.7841105354058724E-2</v>
      </c>
      <c r="I58" s="1">
        <v>0.90215889464594123</v>
      </c>
      <c r="J58" s="2">
        <v>0</v>
      </c>
      <c r="K5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9" spans="1:11" x14ac:dyDescent="0.3">
      <c r="A59" t="s">
        <v>44</v>
      </c>
      <c r="B59" t="s">
        <v>56</v>
      </c>
      <c r="C59" t="s">
        <v>35</v>
      </c>
      <c r="D59">
        <v>15972</v>
      </c>
      <c r="F59">
        <v>4421</v>
      </c>
      <c r="G59">
        <v>20393</v>
      </c>
      <c r="H59" s="1">
        <v>0.7832099249742559</v>
      </c>
      <c r="I59" s="1">
        <v>0.21679007502574413</v>
      </c>
      <c r="J59" s="2">
        <v>0</v>
      </c>
      <c r="K5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60" spans="1:11" x14ac:dyDescent="0.3">
      <c r="A60" t="s">
        <v>44</v>
      </c>
      <c r="B60" t="s">
        <v>56</v>
      </c>
      <c r="C60" t="s">
        <v>40</v>
      </c>
      <c r="D60">
        <v>379</v>
      </c>
      <c r="F60">
        <v>4402</v>
      </c>
      <c r="G60">
        <v>4781</v>
      </c>
      <c r="H60" s="1">
        <v>7.927211880359758E-2</v>
      </c>
      <c r="I60" s="1">
        <v>0.92072788119640248</v>
      </c>
      <c r="J60" s="2">
        <v>0</v>
      </c>
      <c r="K6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61" spans="1:11" x14ac:dyDescent="0.3">
      <c r="A61" t="s">
        <v>44</v>
      </c>
      <c r="B61" t="s">
        <v>56</v>
      </c>
      <c r="C61" t="s">
        <v>38</v>
      </c>
      <c r="D61">
        <v>2019</v>
      </c>
      <c r="F61">
        <v>875</v>
      </c>
      <c r="G61">
        <v>2894</v>
      </c>
      <c r="H61" s="1">
        <v>0.69765031098825159</v>
      </c>
      <c r="I61" s="1">
        <v>0.30234968901174847</v>
      </c>
      <c r="J61" s="2">
        <v>0</v>
      </c>
      <c r="K6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62" spans="1:11" x14ac:dyDescent="0.3">
      <c r="A62" t="s">
        <v>44</v>
      </c>
      <c r="B62" t="s">
        <v>56</v>
      </c>
      <c r="C62" t="s">
        <v>29</v>
      </c>
      <c r="E62">
        <v>552</v>
      </c>
      <c r="G62">
        <v>552</v>
      </c>
      <c r="H62" s="1">
        <v>0</v>
      </c>
      <c r="I62" s="1">
        <v>0</v>
      </c>
      <c r="J62" s="1">
        <v>1</v>
      </c>
      <c r="K6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63" spans="1:11" x14ac:dyDescent="0.3">
      <c r="A63" t="s">
        <v>44</v>
      </c>
      <c r="B63" t="s">
        <v>56</v>
      </c>
      <c r="C63" t="s">
        <v>7</v>
      </c>
      <c r="D63">
        <v>7</v>
      </c>
      <c r="F63">
        <v>4</v>
      </c>
      <c r="G63">
        <v>11</v>
      </c>
      <c r="H63" s="1">
        <v>0.63636363636363635</v>
      </c>
      <c r="I63" s="1">
        <v>0.36363636363636365</v>
      </c>
      <c r="J63" s="1">
        <v>0</v>
      </c>
      <c r="K6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64" spans="1:11" x14ac:dyDescent="0.3">
      <c r="A64" t="s">
        <v>44</v>
      </c>
      <c r="B64" t="s">
        <v>56</v>
      </c>
      <c r="C64" t="s">
        <v>43</v>
      </c>
      <c r="F64">
        <v>1</v>
      </c>
      <c r="G64">
        <v>1</v>
      </c>
      <c r="H64">
        <v>0</v>
      </c>
      <c r="I64">
        <v>1</v>
      </c>
      <c r="J64">
        <v>0</v>
      </c>
      <c r="K6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65" spans="1:11" x14ac:dyDescent="0.3">
      <c r="A65" t="s">
        <v>44</v>
      </c>
      <c r="B65" t="s">
        <v>56</v>
      </c>
      <c r="C65" t="s">
        <v>36</v>
      </c>
      <c r="D65">
        <v>1</v>
      </c>
      <c r="G65">
        <v>1</v>
      </c>
      <c r="H65">
        <v>1</v>
      </c>
      <c r="I65">
        <v>0</v>
      </c>
      <c r="J65">
        <v>0</v>
      </c>
      <c r="K6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66" spans="1:11" x14ac:dyDescent="0.3">
      <c r="A66" t="s">
        <v>44</v>
      </c>
      <c r="B66" t="s">
        <v>66</v>
      </c>
      <c r="C66" t="s">
        <v>28</v>
      </c>
      <c r="D66">
        <v>24169</v>
      </c>
      <c r="F66">
        <v>17509</v>
      </c>
      <c r="G66">
        <v>41678</v>
      </c>
      <c r="H66">
        <v>0.57989826767119346</v>
      </c>
      <c r="I66">
        <v>0.42010173232880654</v>
      </c>
      <c r="J66">
        <v>0</v>
      </c>
      <c r="K6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67" spans="1:11" x14ac:dyDescent="0.3">
      <c r="A67" t="s">
        <v>44</v>
      </c>
      <c r="B67" t="s">
        <v>66</v>
      </c>
      <c r="C67" t="s">
        <v>33</v>
      </c>
      <c r="D67">
        <v>4796</v>
      </c>
      <c r="F67">
        <v>35067</v>
      </c>
      <c r="G67">
        <v>39863</v>
      </c>
      <c r="H67">
        <v>0.12031206883576248</v>
      </c>
      <c r="I67">
        <v>0.87968793116423749</v>
      </c>
      <c r="J67">
        <v>0</v>
      </c>
      <c r="K6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68" spans="1:11" x14ac:dyDescent="0.3">
      <c r="A68" t="s">
        <v>44</v>
      </c>
      <c r="B68" t="s">
        <v>66</v>
      </c>
      <c r="C68" t="s">
        <v>35</v>
      </c>
      <c r="D68">
        <v>24846</v>
      </c>
      <c r="F68">
        <v>9279</v>
      </c>
      <c r="G68">
        <v>34125</v>
      </c>
      <c r="H68">
        <v>0.72808791208791213</v>
      </c>
      <c r="I68">
        <v>0.27191208791208793</v>
      </c>
      <c r="J68">
        <v>0</v>
      </c>
      <c r="K6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69" spans="1:11" x14ac:dyDescent="0.3">
      <c r="A69" t="s">
        <v>44</v>
      </c>
      <c r="B69" t="s">
        <v>66</v>
      </c>
      <c r="C69" t="s">
        <v>7</v>
      </c>
      <c r="D69">
        <v>17009</v>
      </c>
      <c r="F69">
        <v>5643</v>
      </c>
      <c r="G69">
        <v>22652</v>
      </c>
      <c r="H69">
        <v>0.75088292424509973</v>
      </c>
      <c r="I69">
        <v>0.24911707575490022</v>
      </c>
      <c r="J69">
        <v>0</v>
      </c>
      <c r="K6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70" spans="1:11" x14ac:dyDescent="0.3">
      <c r="A70" t="s">
        <v>44</v>
      </c>
      <c r="B70" t="s">
        <v>66</v>
      </c>
      <c r="C70" t="s">
        <v>29</v>
      </c>
      <c r="E70">
        <v>2820</v>
      </c>
      <c r="G70">
        <v>2820</v>
      </c>
      <c r="H70">
        <v>0</v>
      </c>
      <c r="I70">
        <v>0</v>
      </c>
      <c r="J70">
        <v>1</v>
      </c>
      <c r="K7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71" spans="1:11" x14ac:dyDescent="0.3">
      <c r="A71" t="s">
        <v>44</v>
      </c>
      <c r="B71" t="s">
        <v>66</v>
      </c>
      <c r="C71" t="s">
        <v>38</v>
      </c>
      <c r="D71">
        <v>1251</v>
      </c>
      <c r="F71">
        <v>282</v>
      </c>
      <c r="G71">
        <v>1533</v>
      </c>
      <c r="H71">
        <v>0.81604696673189825</v>
      </c>
      <c r="I71">
        <v>0.18395303326810175</v>
      </c>
      <c r="J71">
        <v>0</v>
      </c>
      <c r="K7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72" spans="1:11" x14ac:dyDescent="0.3">
      <c r="A72" t="s">
        <v>44</v>
      </c>
      <c r="B72" t="s">
        <v>66</v>
      </c>
      <c r="C72" t="s">
        <v>39</v>
      </c>
      <c r="D72">
        <v>202</v>
      </c>
      <c r="F72">
        <v>834</v>
      </c>
      <c r="G72">
        <v>1036</v>
      </c>
      <c r="H72">
        <v>0.19498069498069498</v>
      </c>
      <c r="I72">
        <v>0.80501930501930496</v>
      </c>
      <c r="J72">
        <v>0</v>
      </c>
      <c r="K7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73" spans="1:11" x14ac:dyDescent="0.3">
      <c r="A73" t="s">
        <v>44</v>
      </c>
      <c r="B73" t="s">
        <v>66</v>
      </c>
      <c r="C73" t="s">
        <v>37</v>
      </c>
      <c r="D73">
        <v>81</v>
      </c>
      <c r="G73">
        <v>81</v>
      </c>
      <c r="H73">
        <v>1</v>
      </c>
      <c r="I73">
        <v>0</v>
      </c>
      <c r="J73">
        <v>0</v>
      </c>
      <c r="K7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74" spans="1:11" x14ac:dyDescent="0.3">
      <c r="A74" t="s">
        <v>44</v>
      </c>
      <c r="B74" t="s">
        <v>66</v>
      </c>
      <c r="C74" t="s">
        <v>43</v>
      </c>
      <c r="F74">
        <v>3</v>
      </c>
      <c r="G74">
        <v>3</v>
      </c>
      <c r="H74">
        <v>0</v>
      </c>
      <c r="I74">
        <v>1</v>
      </c>
      <c r="J74">
        <v>0</v>
      </c>
      <c r="K7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75" spans="1:11" x14ac:dyDescent="0.3">
      <c r="A75" t="s">
        <v>44</v>
      </c>
      <c r="B75" t="s">
        <v>66</v>
      </c>
      <c r="C75" t="s">
        <v>36</v>
      </c>
      <c r="D75">
        <v>2</v>
      </c>
      <c r="G75">
        <v>2</v>
      </c>
      <c r="H75">
        <v>1</v>
      </c>
      <c r="I75">
        <v>0</v>
      </c>
      <c r="J75">
        <v>0</v>
      </c>
      <c r="K7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76" spans="1:11" x14ac:dyDescent="0.3">
      <c r="A76" t="s">
        <v>44</v>
      </c>
      <c r="B76" t="s">
        <v>67</v>
      </c>
      <c r="C76" t="s">
        <v>33</v>
      </c>
      <c r="D76">
        <v>1475</v>
      </c>
      <c r="F76">
        <v>18642</v>
      </c>
      <c r="G76">
        <v>20117</v>
      </c>
      <c r="H76">
        <v>7.3321071730377288E-2</v>
      </c>
      <c r="I76">
        <v>0.92667892826962273</v>
      </c>
      <c r="J76">
        <v>0</v>
      </c>
      <c r="K7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77" spans="1:11" x14ac:dyDescent="0.3">
      <c r="A77" t="s">
        <v>44</v>
      </c>
      <c r="B77" t="s">
        <v>67</v>
      </c>
      <c r="C77" t="s">
        <v>28</v>
      </c>
      <c r="D77">
        <v>5122</v>
      </c>
      <c r="F77">
        <v>8184</v>
      </c>
      <c r="G77">
        <v>13306</v>
      </c>
      <c r="H77">
        <v>0.38493912520667367</v>
      </c>
      <c r="I77">
        <v>0.61506087479332627</v>
      </c>
      <c r="J77">
        <v>0</v>
      </c>
      <c r="K7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78" spans="1:11" x14ac:dyDescent="0.3">
      <c r="A78" t="s">
        <v>44</v>
      </c>
      <c r="B78" t="s">
        <v>67</v>
      </c>
      <c r="C78" t="s">
        <v>35</v>
      </c>
      <c r="D78">
        <v>2801</v>
      </c>
      <c r="F78">
        <v>1310</v>
      </c>
      <c r="G78">
        <v>4111</v>
      </c>
      <c r="H78">
        <v>0.68134273899294573</v>
      </c>
      <c r="I78">
        <v>0.31865726100705427</v>
      </c>
      <c r="J78">
        <v>0</v>
      </c>
      <c r="K7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79" spans="1:11" x14ac:dyDescent="0.3">
      <c r="A79" t="s">
        <v>44</v>
      </c>
      <c r="B79" t="s">
        <v>67</v>
      </c>
      <c r="C79" t="s">
        <v>29</v>
      </c>
      <c r="E79">
        <v>463</v>
      </c>
      <c r="G79">
        <v>463</v>
      </c>
      <c r="H79">
        <v>0</v>
      </c>
      <c r="I79">
        <v>0</v>
      </c>
      <c r="J79">
        <v>1</v>
      </c>
      <c r="K7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80" spans="1:11" x14ac:dyDescent="0.3">
      <c r="A80" t="s">
        <v>44</v>
      </c>
      <c r="B80" t="s">
        <v>67</v>
      </c>
      <c r="C80" t="s">
        <v>37</v>
      </c>
      <c r="D80">
        <v>166</v>
      </c>
      <c r="G80">
        <v>166</v>
      </c>
      <c r="H80">
        <v>1</v>
      </c>
      <c r="I80">
        <v>0</v>
      </c>
      <c r="J80">
        <v>0</v>
      </c>
      <c r="K8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81" spans="1:11" x14ac:dyDescent="0.3">
      <c r="A81" t="s">
        <v>44</v>
      </c>
      <c r="B81" t="s">
        <v>67</v>
      </c>
      <c r="C81" t="s">
        <v>38</v>
      </c>
      <c r="D81">
        <v>20</v>
      </c>
      <c r="F81">
        <v>17</v>
      </c>
      <c r="G81">
        <v>37</v>
      </c>
      <c r="H81">
        <v>0.54054054054054057</v>
      </c>
      <c r="I81">
        <v>0.45945945945945948</v>
      </c>
      <c r="J81">
        <v>0</v>
      </c>
      <c r="K8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82" spans="1:11" x14ac:dyDescent="0.3">
      <c r="A82" t="s">
        <v>44</v>
      </c>
      <c r="B82" t="s">
        <v>67</v>
      </c>
      <c r="C82" t="s">
        <v>7</v>
      </c>
      <c r="D82">
        <v>2</v>
      </c>
      <c r="G82">
        <v>2</v>
      </c>
      <c r="H82">
        <v>1</v>
      </c>
      <c r="I82">
        <v>0</v>
      </c>
      <c r="J82">
        <v>0</v>
      </c>
      <c r="K8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83" spans="1:11" x14ac:dyDescent="0.3">
      <c r="A83" t="s">
        <v>44</v>
      </c>
      <c r="B83" t="s">
        <v>67</v>
      </c>
      <c r="C83" t="s">
        <v>43</v>
      </c>
      <c r="F83">
        <v>1</v>
      </c>
      <c r="G83">
        <v>1</v>
      </c>
      <c r="H83">
        <v>0</v>
      </c>
      <c r="I83">
        <v>1</v>
      </c>
      <c r="J83">
        <v>0</v>
      </c>
      <c r="K8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84" spans="1:11" x14ac:dyDescent="0.3">
      <c r="A84" t="s">
        <v>44</v>
      </c>
      <c r="B84" t="s">
        <v>68</v>
      </c>
      <c r="C84" t="s">
        <v>33</v>
      </c>
      <c r="D84">
        <v>260</v>
      </c>
      <c r="F84">
        <v>4723</v>
      </c>
      <c r="G84">
        <v>4983</v>
      </c>
      <c r="H84">
        <v>5.2177403170780658E-2</v>
      </c>
      <c r="I84">
        <v>0.94782259682921932</v>
      </c>
      <c r="J84">
        <v>0</v>
      </c>
      <c r="K8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85" spans="1:11" x14ac:dyDescent="0.3">
      <c r="A85" t="s">
        <v>44</v>
      </c>
      <c r="B85" t="s">
        <v>68</v>
      </c>
      <c r="C85" t="s">
        <v>28</v>
      </c>
      <c r="D85">
        <v>494</v>
      </c>
      <c r="F85">
        <v>1451</v>
      </c>
      <c r="G85">
        <v>1945</v>
      </c>
      <c r="H85">
        <v>0.25398457583547557</v>
      </c>
      <c r="I85">
        <v>0.74601542416452438</v>
      </c>
      <c r="J85">
        <v>0</v>
      </c>
      <c r="K8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86" spans="1:11" x14ac:dyDescent="0.3">
      <c r="A86" t="s">
        <v>44</v>
      </c>
      <c r="B86" t="s">
        <v>68</v>
      </c>
      <c r="C86" t="s">
        <v>29</v>
      </c>
      <c r="E86">
        <v>129</v>
      </c>
      <c r="G86">
        <v>129</v>
      </c>
      <c r="H86">
        <v>0</v>
      </c>
      <c r="I86">
        <v>0</v>
      </c>
      <c r="J86">
        <v>1</v>
      </c>
      <c r="K8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87" spans="1:11" x14ac:dyDescent="0.3">
      <c r="A87" t="s">
        <v>44</v>
      </c>
      <c r="B87" t="s">
        <v>68</v>
      </c>
      <c r="C87" t="s">
        <v>35</v>
      </c>
      <c r="D87">
        <v>2</v>
      </c>
      <c r="F87">
        <v>1</v>
      </c>
      <c r="G87">
        <v>3</v>
      </c>
      <c r="H87">
        <v>0.66666666666666663</v>
      </c>
      <c r="I87">
        <v>0.33333333333333331</v>
      </c>
      <c r="J87">
        <v>0</v>
      </c>
      <c r="K8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88" spans="1:11" x14ac:dyDescent="0.3">
      <c r="A88" t="s">
        <v>44</v>
      </c>
      <c r="B88" t="s">
        <v>69</v>
      </c>
      <c r="C88" t="s">
        <v>33</v>
      </c>
      <c r="D88">
        <v>178</v>
      </c>
      <c r="F88">
        <v>3587</v>
      </c>
      <c r="G88">
        <v>3765</v>
      </c>
      <c r="H88">
        <v>4.7277556440903055E-2</v>
      </c>
      <c r="I88">
        <v>0.95272244355909697</v>
      </c>
      <c r="J88">
        <v>0</v>
      </c>
      <c r="K8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89" spans="1:11" x14ac:dyDescent="0.3">
      <c r="A89" t="s">
        <v>44</v>
      </c>
      <c r="B89" t="s">
        <v>69</v>
      </c>
      <c r="C89" t="s">
        <v>28</v>
      </c>
      <c r="D89">
        <v>468</v>
      </c>
      <c r="F89">
        <v>1513</v>
      </c>
      <c r="G89">
        <v>1981</v>
      </c>
      <c r="H89">
        <v>0.23624432104997475</v>
      </c>
      <c r="I89">
        <v>0.76375567895002527</v>
      </c>
      <c r="J89">
        <v>0</v>
      </c>
      <c r="K8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90" spans="1:11" x14ac:dyDescent="0.3">
      <c r="A90" t="s">
        <v>44</v>
      </c>
      <c r="B90" t="s">
        <v>69</v>
      </c>
      <c r="C90" t="s">
        <v>29</v>
      </c>
      <c r="E90">
        <v>146</v>
      </c>
      <c r="G90">
        <v>146</v>
      </c>
      <c r="H90">
        <v>0</v>
      </c>
      <c r="I90">
        <v>0</v>
      </c>
      <c r="J90">
        <v>1</v>
      </c>
      <c r="K9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91" spans="1:11" x14ac:dyDescent="0.3">
      <c r="A91" t="s">
        <v>44</v>
      </c>
      <c r="B91" t="s">
        <v>69</v>
      </c>
      <c r="C91" t="s">
        <v>35</v>
      </c>
      <c r="D91">
        <v>4</v>
      </c>
      <c r="G91">
        <v>4</v>
      </c>
      <c r="H91">
        <v>1</v>
      </c>
      <c r="I91">
        <v>0</v>
      </c>
      <c r="J91">
        <v>0</v>
      </c>
      <c r="K9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92" spans="1:11" x14ac:dyDescent="0.3">
      <c r="A92" t="s">
        <v>44</v>
      </c>
      <c r="B92" t="s">
        <v>69</v>
      </c>
      <c r="C92" t="s">
        <v>36</v>
      </c>
      <c r="D92">
        <v>1</v>
      </c>
      <c r="G92">
        <v>1</v>
      </c>
      <c r="H92">
        <v>1</v>
      </c>
      <c r="I92">
        <v>0</v>
      </c>
      <c r="J92">
        <v>0</v>
      </c>
      <c r="K9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93" spans="1:11" x14ac:dyDescent="0.3">
      <c r="A93" t="s">
        <v>44</v>
      </c>
      <c r="B93" t="s">
        <v>70</v>
      </c>
      <c r="C93" t="s">
        <v>28</v>
      </c>
      <c r="D93">
        <v>15324</v>
      </c>
      <c r="F93">
        <v>4096</v>
      </c>
      <c r="G93">
        <v>19420</v>
      </c>
      <c r="H93">
        <v>0.78908341915550984</v>
      </c>
      <c r="I93">
        <v>0.21091658084449022</v>
      </c>
      <c r="J93">
        <v>0</v>
      </c>
      <c r="K9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94" spans="1:11" x14ac:dyDescent="0.3">
      <c r="A94" t="s">
        <v>44</v>
      </c>
      <c r="B94" t="s">
        <v>70</v>
      </c>
      <c r="C94" t="s">
        <v>42</v>
      </c>
      <c r="D94">
        <v>1577</v>
      </c>
      <c r="F94">
        <v>15321</v>
      </c>
      <c r="G94">
        <v>16898</v>
      </c>
      <c r="H94">
        <v>9.3324653805184052E-2</v>
      </c>
      <c r="I94">
        <v>0.90667534619481593</v>
      </c>
      <c r="J94">
        <v>0</v>
      </c>
      <c r="K9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95" spans="1:11" x14ac:dyDescent="0.3">
      <c r="A95" t="s">
        <v>44</v>
      </c>
      <c r="B95" t="s">
        <v>70</v>
      </c>
      <c r="C95" t="s">
        <v>35</v>
      </c>
      <c r="D95">
        <v>5864</v>
      </c>
      <c r="F95">
        <v>1608</v>
      </c>
      <c r="G95">
        <v>7472</v>
      </c>
      <c r="H95">
        <v>0.78479657387580304</v>
      </c>
      <c r="I95">
        <v>0.21520342612419699</v>
      </c>
      <c r="J95">
        <v>0</v>
      </c>
      <c r="K9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96" spans="1:11" x14ac:dyDescent="0.3">
      <c r="A96" t="s">
        <v>44</v>
      </c>
      <c r="B96" t="s">
        <v>70</v>
      </c>
      <c r="C96" t="s">
        <v>40</v>
      </c>
      <c r="D96">
        <v>345</v>
      </c>
      <c r="F96">
        <v>4137</v>
      </c>
      <c r="G96">
        <v>4482</v>
      </c>
      <c r="H96">
        <v>7.6974564926372155E-2</v>
      </c>
      <c r="I96">
        <v>0.92302543507362789</v>
      </c>
      <c r="J96">
        <v>0</v>
      </c>
      <c r="K9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97" spans="1:11" x14ac:dyDescent="0.3">
      <c r="A97" t="s">
        <v>44</v>
      </c>
      <c r="B97" t="s">
        <v>70</v>
      </c>
      <c r="C97" t="s">
        <v>38</v>
      </c>
      <c r="D97">
        <v>915</v>
      </c>
      <c r="F97">
        <v>410</v>
      </c>
      <c r="G97">
        <v>1325</v>
      </c>
      <c r="H97">
        <v>0.69056603773584901</v>
      </c>
      <c r="I97">
        <v>0.30943396226415093</v>
      </c>
      <c r="J97">
        <v>0</v>
      </c>
      <c r="K9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98" spans="1:11" x14ac:dyDescent="0.3">
      <c r="A98" t="s">
        <v>44</v>
      </c>
      <c r="B98" t="s">
        <v>70</v>
      </c>
      <c r="C98" t="s">
        <v>29</v>
      </c>
      <c r="E98">
        <v>471</v>
      </c>
      <c r="G98">
        <v>471</v>
      </c>
      <c r="H98">
        <v>0</v>
      </c>
      <c r="I98">
        <v>0</v>
      </c>
      <c r="J98">
        <v>1</v>
      </c>
      <c r="K9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99" spans="1:11" x14ac:dyDescent="0.3">
      <c r="A99" t="s">
        <v>44</v>
      </c>
      <c r="B99" t="s">
        <v>70</v>
      </c>
      <c r="C99" t="s">
        <v>7</v>
      </c>
      <c r="D99">
        <v>6</v>
      </c>
      <c r="G99">
        <v>6</v>
      </c>
      <c r="H99">
        <v>1</v>
      </c>
      <c r="I99">
        <v>0</v>
      </c>
      <c r="J99">
        <v>0</v>
      </c>
      <c r="K9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00" spans="1:11" x14ac:dyDescent="0.3">
      <c r="A100" t="s">
        <v>44</v>
      </c>
      <c r="B100" t="s">
        <v>71</v>
      </c>
      <c r="C100" t="s">
        <v>42</v>
      </c>
      <c r="D100">
        <v>271</v>
      </c>
      <c r="F100">
        <v>6302</v>
      </c>
      <c r="G100">
        <v>6573</v>
      </c>
      <c r="H100">
        <v>4.1229271261220141E-2</v>
      </c>
      <c r="I100">
        <v>0.95877072873877989</v>
      </c>
      <c r="J100">
        <v>0</v>
      </c>
      <c r="K10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01" spans="1:11" x14ac:dyDescent="0.3">
      <c r="A101" t="s">
        <v>44</v>
      </c>
      <c r="B101" t="s">
        <v>71</v>
      </c>
      <c r="C101" t="s">
        <v>28</v>
      </c>
      <c r="D101">
        <v>2007</v>
      </c>
      <c r="F101">
        <v>3173</v>
      </c>
      <c r="G101">
        <v>5180</v>
      </c>
      <c r="H101">
        <v>0.38745173745173744</v>
      </c>
      <c r="I101">
        <v>0.61254826254826256</v>
      </c>
      <c r="J101">
        <v>0</v>
      </c>
      <c r="K10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02" spans="1:11" x14ac:dyDescent="0.3">
      <c r="A102" t="s">
        <v>44</v>
      </c>
      <c r="B102" t="s">
        <v>71</v>
      </c>
      <c r="C102" t="s">
        <v>29</v>
      </c>
      <c r="E102">
        <v>228</v>
      </c>
      <c r="G102">
        <v>228</v>
      </c>
      <c r="H102">
        <v>0</v>
      </c>
      <c r="I102">
        <v>0</v>
      </c>
      <c r="J102">
        <v>1</v>
      </c>
      <c r="K10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03" spans="1:11" x14ac:dyDescent="0.3">
      <c r="A103" t="s">
        <v>44</v>
      </c>
      <c r="B103" t="s">
        <v>71</v>
      </c>
      <c r="C103" t="s">
        <v>35</v>
      </c>
      <c r="D103">
        <v>5</v>
      </c>
      <c r="F103">
        <v>2</v>
      </c>
      <c r="G103">
        <v>7</v>
      </c>
      <c r="H103">
        <v>0.7142857142857143</v>
      </c>
      <c r="I103">
        <v>0.2857142857142857</v>
      </c>
      <c r="J103">
        <v>0</v>
      </c>
      <c r="K10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04" spans="1:11" x14ac:dyDescent="0.3">
      <c r="A104" t="s">
        <v>44</v>
      </c>
      <c r="B104" t="s">
        <v>71</v>
      </c>
      <c r="C104" t="s">
        <v>33</v>
      </c>
      <c r="D104">
        <v>1</v>
      </c>
      <c r="G104">
        <v>1</v>
      </c>
      <c r="H104">
        <v>1</v>
      </c>
      <c r="I104">
        <v>0</v>
      </c>
      <c r="J104">
        <v>0</v>
      </c>
      <c r="K10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05" spans="1:11" x14ac:dyDescent="0.3">
      <c r="A105" t="s">
        <v>44</v>
      </c>
      <c r="B105" t="s">
        <v>72</v>
      </c>
      <c r="C105" t="s">
        <v>35</v>
      </c>
      <c r="D105">
        <v>14957</v>
      </c>
      <c r="F105">
        <v>3964</v>
      </c>
      <c r="G105">
        <v>18921</v>
      </c>
      <c r="H105">
        <v>0.79049733100787489</v>
      </c>
      <c r="I105">
        <v>0.20950266899212516</v>
      </c>
      <c r="J105">
        <v>0</v>
      </c>
      <c r="K10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06" spans="1:11" x14ac:dyDescent="0.3">
      <c r="A106" t="s">
        <v>44</v>
      </c>
      <c r="B106" t="s">
        <v>72</v>
      </c>
      <c r="C106" t="s">
        <v>28</v>
      </c>
      <c r="D106">
        <v>9838</v>
      </c>
      <c r="F106">
        <v>5333</v>
      </c>
      <c r="G106">
        <v>15171</v>
      </c>
      <c r="H106">
        <v>0.6484740623558104</v>
      </c>
      <c r="I106">
        <v>0.35152593764418955</v>
      </c>
      <c r="J106">
        <v>0</v>
      </c>
      <c r="K10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07" spans="1:11" x14ac:dyDescent="0.3">
      <c r="A107" t="s">
        <v>44</v>
      </c>
      <c r="B107" t="s">
        <v>72</v>
      </c>
      <c r="C107" t="s">
        <v>33</v>
      </c>
      <c r="D107">
        <v>1558</v>
      </c>
      <c r="F107">
        <v>8445</v>
      </c>
      <c r="G107">
        <v>10003</v>
      </c>
      <c r="H107">
        <v>0.15575327401779465</v>
      </c>
      <c r="I107">
        <v>0.84424672598220529</v>
      </c>
      <c r="J107">
        <v>0</v>
      </c>
      <c r="K10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08" spans="1:11" x14ac:dyDescent="0.3">
      <c r="A108" t="s">
        <v>44</v>
      </c>
      <c r="B108" t="s">
        <v>72</v>
      </c>
      <c r="C108" t="s">
        <v>40</v>
      </c>
      <c r="D108">
        <v>575</v>
      </c>
      <c r="F108">
        <v>7881</v>
      </c>
      <c r="G108">
        <v>8456</v>
      </c>
      <c r="H108">
        <v>6.799905392620624E-2</v>
      </c>
      <c r="I108">
        <v>0.9320009460737938</v>
      </c>
      <c r="J108">
        <v>0</v>
      </c>
      <c r="K10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09" spans="1:11" x14ac:dyDescent="0.3">
      <c r="A109" t="s">
        <v>44</v>
      </c>
      <c r="B109" t="s">
        <v>72</v>
      </c>
      <c r="C109" t="s">
        <v>42</v>
      </c>
      <c r="D109">
        <v>518</v>
      </c>
      <c r="F109">
        <v>5986</v>
      </c>
      <c r="G109">
        <v>6504</v>
      </c>
      <c r="H109">
        <v>7.9643296432964333E-2</v>
      </c>
      <c r="I109">
        <v>0.92035670356703569</v>
      </c>
      <c r="J109">
        <v>0</v>
      </c>
      <c r="K10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10" spans="1:11" x14ac:dyDescent="0.3">
      <c r="A110" t="s">
        <v>44</v>
      </c>
      <c r="B110" t="s">
        <v>72</v>
      </c>
      <c r="C110" t="s">
        <v>38</v>
      </c>
      <c r="D110">
        <v>1025</v>
      </c>
      <c r="F110">
        <v>480</v>
      </c>
      <c r="G110">
        <v>1505</v>
      </c>
      <c r="H110">
        <v>0.68106312292358806</v>
      </c>
      <c r="I110">
        <v>0.31893687707641194</v>
      </c>
      <c r="J110">
        <v>0</v>
      </c>
      <c r="K11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11" spans="1:11" x14ac:dyDescent="0.3">
      <c r="A111" t="s">
        <v>44</v>
      </c>
      <c r="B111" t="s">
        <v>72</v>
      </c>
      <c r="C111" t="s">
        <v>29</v>
      </c>
      <c r="E111">
        <v>695</v>
      </c>
      <c r="G111">
        <v>695</v>
      </c>
      <c r="H111">
        <v>0</v>
      </c>
      <c r="I111">
        <v>0</v>
      </c>
      <c r="J111">
        <v>1</v>
      </c>
      <c r="K11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12" spans="1:11" x14ac:dyDescent="0.3">
      <c r="A112" t="s">
        <v>44</v>
      </c>
      <c r="B112" t="s">
        <v>72</v>
      </c>
      <c r="C112" t="s">
        <v>7</v>
      </c>
      <c r="F112">
        <v>2</v>
      </c>
      <c r="G112">
        <v>2</v>
      </c>
      <c r="H112">
        <v>0</v>
      </c>
      <c r="I112">
        <v>1</v>
      </c>
      <c r="J112">
        <v>0</v>
      </c>
      <c r="K11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13" spans="1:11" x14ac:dyDescent="0.3">
      <c r="A113" t="s">
        <v>44</v>
      </c>
      <c r="B113" t="s">
        <v>72</v>
      </c>
      <c r="C113" t="s">
        <v>43</v>
      </c>
      <c r="F113">
        <v>1</v>
      </c>
      <c r="G113">
        <v>1</v>
      </c>
      <c r="H113">
        <v>0</v>
      </c>
      <c r="I113">
        <v>1</v>
      </c>
      <c r="J113">
        <v>0</v>
      </c>
      <c r="K11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14" spans="1:11" x14ac:dyDescent="0.3">
      <c r="A114" t="s">
        <v>44</v>
      </c>
      <c r="B114" t="s">
        <v>73</v>
      </c>
      <c r="C114" t="s">
        <v>28</v>
      </c>
      <c r="D114">
        <v>4373</v>
      </c>
      <c r="F114">
        <v>5067</v>
      </c>
      <c r="G114">
        <v>9440</v>
      </c>
      <c r="H114">
        <v>0.46324152542372882</v>
      </c>
      <c r="I114">
        <v>0.53675847457627124</v>
      </c>
      <c r="J114">
        <v>0</v>
      </c>
      <c r="K11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15" spans="1:11" x14ac:dyDescent="0.3">
      <c r="A115" t="s">
        <v>44</v>
      </c>
      <c r="B115" t="s">
        <v>73</v>
      </c>
      <c r="C115" t="s">
        <v>42</v>
      </c>
      <c r="D115">
        <v>521</v>
      </c>
      <c r="F115">
        <v>5302</v>
      </c>
      <c r="G115">
        <v>5823</v>
      </c>
      <c r="H115">
        <v>8.9472780353769529E-2</v>
      </c>
      <c r="I115">
        <v>0.91052721964623051</v>
      </c>
      <c r="J115">
        <v>0</v>
      </c>
      <c r="K11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16" spans="1:11" x14ac:dyDescent="0.3">
      <c r="A116" t="s">
        <v>44</v>
      </c>
      <c r="B116" t="s">
        <v>73</v>
      </c>
      <c r="C116" t="s">
        <v>35</v>
      </c>
      <c r="D116">
        <v>2535</v>
      </c>
      <c r="F116">
        <v>1035</v>
      </c>
      <c r="G116">
        <v>3570</v>
      </c>
      <c r="H116">
        <v>0.71008403361344541</v>
      </c>
      <c r="I116">
        <v>0.28991596638655465</v>
      </c>
      <c r="J116">
        <v>0</v>
      </c>
      <c r="K11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17" spans="1:11" x14ac:dyDescent="0.3">
      <c r="A117" t="s">
        <v>44</v>
      </c>
      <c r="B117" t="s">
        <v>73</v>
      </c>
      <c r="C117" t="s">
        <v>40</v>
      </c>
      <c r="D117">
        <v>175</v>
      </c>
      <c r="F117">
        <v>1578</v>
      </c>
      <c r="G117">
        <v>1753</v>
      </c>
      <c r="H117">
        <v>9.9828864803194528E-2</v>
      </c>
      <c r="I117">
        <v>0.90017113519680547</v>
      </c>
      <c r="J117">
        <v>0</v>
      </c>
      <c r="K11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18" spans="1:11" x14ac:dyDescent="0.3">
      <c r="A118" t="s">
        <v>44</v>
      </c>
      <c r="B118" t="s">
        <v>73</v>
      </c>
      <c r="C118" t="s">
        <v>38</v>
      </c>
      <c r="D118">
        <v>225</v>
      </c>
      <c r="F118">
        <v>130</v>
      </c>
      <c r="G118">
        <v>355</v>
      </c>
      <c r="H118">
        <v>0.63380281690140849</v>
      </c>
      <c r="I118">
        <v>0.36619718309859156</v>
      </c>
      <c r="J118">
        <v>0</v>
      </c>
      <c r="K11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19" spans="1:11" x14ac:dyDescent="0.3">
      <c r="A119" t="s">
        <v>44</v>
      </c>
      <c r="B119" t="s">
        <v>73</v>
      </c>
      <c r="C119" t="s">
        <v>29</v>
      </c>
      <c r="E119">
        <v>223</v>
      </c>
      <c r="G119">
        <v>223</v>
      </c>
      <c r="H119">
        <v>0</v>
      </c>
      <c r="I119">
        <v>0</v>
      </c>
      <c r="J119">
        <v>1</v>
      </c>
      <c r="K11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20" spans="1:11" x14ac:dyDescent="0.3">
      <c r="A120" t="s">
        <v>44</v>
      </c>
      <c r="B120" t="s">
        <v>73</v>
      </c>
      <c r="C120" t="s">
        <v>7</v>
      </c>
      <c r="D120">
        <v>3</v>
      </c>
      <c r="G120">
        <v>3</v>
      </c>
      <c r="H120">
        <v>1</v>
      </c>
      <c r="I120">
        <v>0</v>
      </c>
      <c r="J120">
        <v>0</v>
      </c>
      <c r="K12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21" spans="1:11" x14ac:dyDescent="0.3">
      <c r="A121" t="s">
        <v>44</v>
      </c>
      <c r="B121" t="s">
        <v>74</v>
      </c>
      <c r="C121" t="s">
        <v>28</v>
      </c>
      <c r="D121">
        <v>9490</v>
      </c>
      <c r="F121">
        <v>3263</v>
      </c>
      <c r="G121">
        <v>12753</v>
      </c>
      <c r="H121">
        <v>0.74413863404689096</v>
      </c>
      <c r="I121">
        <v>0.2558613659531091</v>
      </c>
      <c r="J121">
        <v>0</v>
      </c>
      <c r="K12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22" spans="1:11" x14ac:dyDescent="0.3">
      <c r="A122" t="s">
        <v>44</v>
      </c>
      <c r="B122" t="s">
        <v>74</v>
      </c>
      <c r="C122" t="s">
        <v>42</v>
      </c>
      <c r="D122">
        <v>896</v>
      </c>
      <c r="F122">
        <v>8655</v>
      </c>
      <c r="G122">
        <v>9551</v>
      </c>
      <c r="H122">
        <v>9.3812166265312538E-2</v>
      </c>
      <c r="I122">
        <v>0.90618783373468748</v>
      </c>
      <c r="J122">
        <v>0</v>
      </c>
      <c r="K12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23" spans="1:11" x14ac:dyDescent="0.3">
      <c r="A123" t="s">
        <v>44</v>
      </c>
      <c r="B123" t="s">
        <v>74</v>
      </c>
      <c r="C123" t="s">
        <v>35</v>
      </c>
      <c r="D123">
        <v>4503</v>
      </c>
      <c r="F123">
        <v>1316</v>
      </c>
      <c r="G123">
        <v>5819</v>
      </c>
      <c r="H123">
        <v>0.77384430314487029</v>
      </c>
      <c r="I123">
        <v>0.22615569685512973</v>
      </c>
      <c r="J123">
        <v>0</v>
      </c>
      <c r="K12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24" spans="1:11" x14ac:dyDescent="0.3">
      <c r="A124" t="s">
        <v>44</v>
      </c>
      <c r="B124" t="s">
        <v>74</v>
      </c>
      <c r="C124" t="s">
        <v>40</v>
      </c>
      <c r="D124">
        <v>272</v>
      </c>
      <c r="F124">
        <v>2607</v>
      </c>
      <c r="G124">
        <v>2879</v>
      </c>
      <c r="H124">
        <v>9.4477249044807227E-2</v>
      </c>
      <c r="I124">
        <v>0.90552275095519275</v>
      </c>
      <c r="J124">
        <v>0</v>
      </c>
      <c r="K12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25" spans="1:11" x14ac:dyDescent="0.3">
      <c r="A125" t="s">
        <v>44</v>
      </c>
      <c r="B125" t="s">
        <v>74</v>
      </c>
      <c r="C125" t="s">
        <v>29</v>
      </c>
      <c r="E125">
        <v>622</v>
      </c>
      <c r="G125">
        <v>622</v>
      </c>
      <c r="H125">
        <v>0</v>
      </c>
      <c r="I125">
        <v>0</v>
      </c>
      <c r="J125">
        <v>1</v>
      </c>
      <c r="K12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26" spans="1:11" x14ac:dyDescent="0.3">
      <c r="A126" t="s">
        <v>44</v>
      </c>
      <c r="B126" t="s">
        <v>74</v>
      </c>
      <c r="C126" t="s">
        <v>38</v>
      </c>
      <c r="D126">
        <v>91</v>
      </c>
      <c r="F126">
        <v>21</v>
      </c>
      <c r="G126">
        <v>112</v>
      </c>
      <c r="H126">
        <v>0.8125</v>
      </c>
      <c r="I126">
        <v>0.1875</v>
      </c>
      <c r="J126">
        <v>0</v>
      </c>
      <c r="K12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27" spans="1:11" x14ac:dyDescent="0.3">
      <c r="A127" t="s">
        <v>44</v>
      </c>
      <c r="B127" t="s">
        <v>74</v>
      </c>
      <c r="C127" t="s">
        <v>43</v>
      </c>
      <c r="F127">
        <v>2</v>
      </c>
      <c r="G127">
        <v>2</v>
      </c>
      <c r="H127">
        <v>0</v>
      </c>
      <c r="I127">
        <v>1</v>
      </c>
      <c r="J127">
        <v>0</v>
      </c>
      <c r="K12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28" spans="1:11" x14ac:dyDescent="0.3">
      <c r="A128" t="s">
        <v>44</v>
      </c>
      <c r="B128" t="s">
        <v>75</v>
      </c>
      <c r="C128" t="s">
        <v>28</v>
      </c>
      <c r="D128">
        <v>27701</v>
      </c>
      <c r="F128">
        <v>16141</v>
      </c>
      <c r="G128">
        <v>43842</v>
      </c>
      <c r="H128">
        <v>0.63183705122941469</v>
      </c>
      <c r="I128">
        <v>0.36816294877058531</v>
      </c>
      <c r="J128">
        <v>0</v>
      </c>
      <c r="K12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29" spans="1:11" x14ac:dyDescent="0.3">
      <c r="A129" t="s">
        <v>44</v>
      </c>
      <c r="B129" t="s">
        <v>75</v>
      </c>
      <c r="C129" t="s">
        <v>35</v>
      </c>
      <c r="D129">
        <v>27876</v>
      </c>
      <c r="F129">
        <v>9514</v>
      </c>
      <c r="G129">
        <v>37390</v>
      </c>
      <c r="H129">
        <v>0.7455469376838727</v>
      </c>
      <c r="I129">
        <v>0.2544530623161273</v>
      </c>
      <c r="J129">
        <v>0</v>
      </c>
      <c r="K12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30" spans="1:11" x14ac:dyDescent="0.3">
      <c r="A130" t="s">
        <v>44</v>
      </c>
      <c r="B130" t="s">
        <v>75</v>
      </c>
      <c r="C130" t="s">
        <v>42</v>
      </c>
      <c r="D130">
        <v>2768</v>
      </c>
      <c r="F130">
        <v>29595</v>
      </c>
      <c r="G130">
        <v>32363</v>
      </c>
      <c r="H130">
        <v>8.5529771652813391E-2</v>
      </c>
      <c r="I130">
        <v>0.91447022834718661</v>
      </c>
      <c r="J130">
        <v>0</v>
      </c>
      <c r="K13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31" spans="1:11" x14ac:dyDescent="0.3">
      <c r="A131" t="s">
        <v>44</v>
      </c>
      <c r="B131" t="s">
        <v>75</v>
      </c>
      <c r="C131" t="s">
        <v>36</v>
      </c>
      <c r="D131">
        <v>15337</v>
      </c>
      <c r="F131">
        <v>4345</v>
      </c>
      <c r="G131">
        <v>19682</v>
      </c>
      <c r="H131">
        <v>0.77923991464282083</v>
      </c>
      <c r="I131">
        <v>0.22076008535717914</v>
      </c>
      <c r="J131">
        <v>0</v>
      </c>
      <c r="K13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32" spans="1:11" x14ac:dyDescent="0.3">
      <c r="A132" t="s">
        <v>44</v>
      </c>
      <c r="B132" t="s">
        <v>75</v>
      </c>
      <c r="C132" t="s">
        <v>29</v>
      </c>
      <c r="E132">
        <v>2522</v>
      </c>
      <c r="G132">
        <v>2522</v>
      </c>
      <c r="H132">
        <v>0</v>
      </c>
      <c r="I132">
        <v>0</v>
      </c>
      <c r="J132">
        <v>1</v>
      </c>
      <c r="K13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33" spans="1:11" x14ac:dyDescent="0.3">
      <c r="A133" t="s">
        <v>44</v>
      </c>
      <c r="B133" t="s">
        <v>75</v>
      </c>
      <c r="C133" t="s">
        <v>38</v>
      </c>
      <c r="D133">
        <v>1181</v>
      </c>
      <c r="F133">
        <v>263</v>
      </c>
      <c r="G133">
        <v>1444</v>
      </c>
      <c r="H133">
        <v>0.81786703601108035</v>
      </c>
      <c r="I133">
        <v>0.18213296398891968</v>
      </c>
      <c r="J133">
        <v>0</v>
      </c>
      <c r="K13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34" spans="1:11" x14ac:dyDescent="0.3">
      <c r="A134" t="s">
        <v>44</v>
      </c>
      <c r="B134" t="s">
        <v>75</v>
      </c>
      <c r="C134" t="s">
        <v>37</v>
      </c>
      <c r="D134">
        <v>79</v>
      </c>
      <c r="G134">
        <v>79</v>
      </c>
      <c r="H134">
        <v>1</v>
      </c>
      <c r="I134">
        <v>0</v>
      </c>
      <c r="J134">
        <v>0</v>
      </c>
      <c r="K13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35" spans="1:11" x14ac:dyDescent="0.3">
      <c r="A135" t="s">
        <v>44</v>
      </c>
      <c r="B135" t="s">
        <v>75</v>
      </c>
      <c r="C135" t="s">
        <v>7</v>
      </c>
      <c r="D135">
        <v>37</v>
      </c>
      <c r="G135">
        <v>37</v>
      </c>
      <c r="H135">
        <v>1</v>
      </c>
      <c r="I135">
        <v>0</v>
      </c>
      <c r="J135">
        <v>0</v>
      </c>
      <c r="K13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36" spans="1:11" x14ac:dyDescent="0.3">
      <c r="A136" t="s">
        <v>44</v>
      </c>
      <c r="B136" t="s">
        <v>76</v>
      </c>
      <c r="C136" t="s">
        <v>33</v>
      </c>
      <c r="D136">
        <v>4658</v>
      </c>
      <c r="F136">
        <v>37705</v>
      </c>
      <c r="G136">
        <v>42363</v>
      </c>
      <c r="H136">
        <v>0.10995444137572882</v>
      </c>
      <c r="I136">
        <v>0.89004555862427115</v>
      </c>
      <c r="J136">
        <v>0</v>
      </c>
      <c r="K13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37" spans="1:11" x14ac:dyDescent="0.3">
      <c r="A137" t="s">
        <v>44</v>
      </c>
      <c r="B137" t="s">
        <v>76</v>
      </c>
      <c r="C137" t="s">
        <v>28</v>
      </c>
      <c r="D137">
        <v>17996</v>
      </c>
      <c r="F137">
        <v>13025</v>
      </c>
      <c r="G137">
        <v>31021</v>
      </c>
      <c r="H137">
        <v>0.58012314238741503</v>
      </c>
      <c r="I137">
        <v>0.41987685761258503</v>
      </c>
      <c r="J137">
        <v>0</v>
      </c>
      <c r="K13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38" spans="1:11" x14ac:dyDescent="0.3">
      <c r="A138" t="s">
        <v>44</v>
      </c>
      <c r="B138" t="s">
        <v>76</v>
      </c>
      <c r="C138" t="s">
        <v>35</v>
      </c>
      <c r="D138">
        <v>16819</v>
      </c>
      <c r="F138">
        <v>4935</v>
      </c>
      <c r="G138">
        <v>21754</v>
      </c>
      <c r="H138">
        <v>0.77314516870460603</v>
      </c>
      <c r="I138">
        <v>0.22685483129539394</v>
      </c>
      <c r="J138">
        <v>0</v>
      </c>
      <c r="K13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39" spans="1:11" x14ac:dyDescent="0.3">
      <c r="A139" t="s">
        <v>44</v>
      </c>
      <c r="B139" t="s">
        <v>76</v>
      </c>
      <c r="C139" t="s">
        <v>36</v>
      </c>
      <c r="D139">
        <v>14904</v>
      </c>
      <c r="F139">
        <v>3704</v>
      </c>
      <c r="G139">
        <v>18608</v>
      </c>
      <c r="H139">
        <v>0.80094582975064488</v>
      </c>
      <c r="I139">
        <v>0.19905417024935512</v>
      </c>
      <c r="J139">
        <v>0</v>
      </c>
      <c r="K13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40" spans="1:11" x14ac:dyDescent="0.3">
      <c r="A140" t="s">
        <v>44</v>
      </c>
      <c r="B140" t="s">
        <v>76</v>
      </c>
      <c r="C140" t="s">
        <v>43</v>
      </c>
      <c r="D140">
        <v>12578</v>
      </c>
      <c r="F140">
        <v>4305</v>
      </c>
      <c r="G140">
        <v>16883</v>
      </c>
      <c r="H140">
        <v>0.74500977314458328</v>
      </c>
      <c r="I140">
        <v>0.25499022685541667</v>
      </c>
      <c r="J140">
        <v>0</v>
      </c>
      <c r="K14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41" spans="1:11" x14ac:dyDescent="0.3">
      <c r="A141" t="s">
        <v>44</v>
      </c>
      <c r="B141" t="s">
        <v>76</v>
      </c>
      <c r="C141" t="s">
        <v>7</v>
      </c>
      <c r="D141">
        <v>13222</v>
      </c>
      <c r="F141">
        <v>2598</v>
      </c>
      <c r="G141">
        <v>15820</v>
      </c>
      <c r="H141">
        <v>0.83577749683944369</v>
      </c>
      <c r="I141">
        <v>0.16422250316055625</v>
      </c>
      <c r="J141">
        <v>0</v>
      </c>
      <c r="K14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42" spans="1:11" x14ac:dyDescent="0.3">
      <c r="A142" t="s">
        <v>44</v>
      </c>
      <c r="B142" t="s">
        <v>76</v>
      </c>
      <c r="C142" t="s">
        <v>38</v>
      </c>
      <c r="D142">
        <v>5664</v>
      </c>
      <c r="F142">
        <v>2536</v>
      </c>
      <c r="G142">
        <v>8200</v>
      </c>
      <c r="H142">
        <v>0.69073170731707312</v>
      </c>
      <c r="I142">
        <v>0.30926829268292683</v>
      </c>
      <c r="J142">
        <v>0</v>
      </c>
      <c r="K14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43" spans="1:11" x14ac:dyDescent="0.3">
      <c r="A143" t="s">
        <v>44</v>
      </c>
      <c r="B143" t="s">
        <v>76</v>
      </c>
      <c r="C143" t="s">
        <v>40</v>
      </c>
      <c r="D143">
        <v>235</v>
      </c>
      <c r="F143">
        <v>4785</v>
      </c>
      <c r="G143">
        <v>5020</v>
      </c>
      <c r="H143">
        <v>4.6812749003984064E-2</v>
      </c>
      <c r="I143">
        <v>0.95318725099601598</v>
      </c>
      <c r="J143">
        <v>0</v>
      </c>
      <c r="K14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44" spans="1:11" x14ac:dyDescent="0.3">
      <c r="A144" t="s">
        <v>44</v>
      </c>
      <c r="B144" t="s">
        <v>76</v>
      </c>
      <c r="C144" t="s">
        <v>29</v>
      </c>
      <c r="E144">
        <v>1874</v>
      </c>
      <c r="G144">
        <v>1874</v>
      </c>
      <c r="H144">
        <v>0</v>
      </c>
      <c r="I144">
        <v>0</v>
      </c>
      <c r="J144">
        <v>1</v>
      </c>
      <c r="K14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45" spans="1:11" x14ac:dyDescent="0.3">
      <c r="A145" t="s">
        <v>44</v>
      </c>
      <c r="B145" t="s">
        <v>76</v>
      </c>
      <c r="C145" t="s">
        <v>39</v>
      </c>
      <c r="D145">
        <v>354</v>
      </c>
      <c r="F145">
        <v>550</v>
      </c>
      <c r="G145">
        <v>904</v>
      </c>
      <c r="H145">
        <v>0.3915929203539823</v>
      </c>
      <c r="I145">
        <v>0.6084070796460177</v>
      </c>
      <c r="J145">
        <v>0</v>
      </c>
      <c r="K14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46" spans="1:11" x14ac:dyDescent="0.3">
      <c r="A146" t="s">
        <v>44</v>
      </c>
      <c r="B146" t="s">
        <v>77</v>
      </c>
      <c r="C146" t="s">
        <v>28</v>
      </c>
      <c r="D146">
        <v>1630</v>
      </c>
      <c r="F146">
        <v>5236</v>
      </c>
      <c r="G146">
        <v>6866</v>
      </c>
      <c r="H146">
        <v>0.23740168948441595</v>
      </c>
      <c r="I146">
        <v>0.76259831051558402</v>
      </c>
      <c r="J146">
        <v>0</v>
      </c>
      <c r="K14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47" spans="1:11" x14ac:dyDescent="0.3">
      <c r="A147" t="s">
        <v>44</v>
      </c>
      <c r="B147" t="s">
        <v>77</v>
      </c>
      <c r="C147" t="s">
        <v>33</v>
      </c>
      <c r="D147">
        <v>187</v>
      </c>
      <c r="F147">
        <v>2783</v>
      </c>
      <c r="G147">
        <v>2970</v>
      </c>
      <c r="H147">
        <v>6.2962962962962957E-2</v>
      </c>
      <c r="I147">
        <v>0.937037037037037</v>
      </c>
      <c r="J147">
        <v>0</v>
      </c>
      <c r="K14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48" spans="1:11" x14ac:dyDescent="0.3">
      <c r="A148" t="s">
        <v>44</v>
      </c>
      <c r="B148" t="s">
        <v>77</v>
      </c>
      <c r="C148" t="s">
        <v>35</v>
      </c>
      <c r="D148">
        <v>734</v>
      </c>
      <c r="F148">
        <v>230</v>
      </c>
      <c r="G148">
        <v>964</v>
      </c>
      <c r="H148">
        <v>0.7614107883817427</v>
      </c>
      <c r="I148">
        <v>0.23858921161825727</v>
      </c>
      <c r="J148">
        <v>0</v>
      </c>
      <c r="K14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49" spans="1:11" x14ac:dyDescent="0.3">
      <c r="A149" t="s">
        <v>44</v>
      </c>
      <c r="B149" t="s">
        <v>77</v>
      </c>
      <c r="C149" t="s">
        <v>29</v>
      </c>
      <c r="E149">
        <v>149</v>
      </c>
      <c r="G149">
        <v>149</v>
      </c>
      <c r="H149">
        <v>0</v>
      </c>
      <c r="I149">
        <v>0</v>
      </c>
      <c r="J149">
        <v>1</v>
      </c>
      <c r="K14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50" spans="1:11" x14ac:dyDescent="0.3">
      <c r="A150" t="s">
        <v>44</v>
      </c>
      <c r="B150" t="s">
        <v>77</v>
      </c>
      <c r="C150" t="s">
        <v>38</v>
      </c>
      <c r="D150">
        <v>9</v>
      </c>
      <c r="F150">
        <v>2</v>
      </c>
      <c r="G150">
        <v>11</v>
      </c>
      <c r="H150">
        <v>0.81818181818181823</v>
      </c>
      <c r="I150">
        <v>0.18181818181818182</v>
      </c>
      <c r="J150">
        <v>0</v>
      </c>
      <c r="K15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51" spans="1:11" x14ac:dyDescent="0.3">
      <c r="A151" t="s">
        <v>44</v>
      </c>
      <c r="B151" t="s">
        <v>77</v>
      </c>
      <c r="C151" t="s">
        <v>43</v>
      </c>
      <c r="F151">
        <v>1</v>
      </c>
      <c r="G151">
        <v>1</v>
      </c>
      <c r="H151">
        <v>0</v>
      </c>
      <c r="I151">
        <v>1</v>
      </c>
      <c r="J151">
        <v>0</v>
      </c>
      <c r="K15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52" spans="1:11" x14ac:dyDescent="0.3">
      <c r="A152" t="s">
        <v>44</v>
      </c>
      <c r="B152" t="s">
        <v>55</v>
      </c>
      <c r="C152" t="s">
        <v>28</v>
      </c>
      <c r="D152">
        <v>6138</v>
      </c>
      <c r="F152">
        <v>12444</v>
      </c>
      <c r="G152">
        <v>18582</v>
      </c>
      <c r="H152">
        <v>0.33031966419115272</v>
      </c>
      <c r="I152">
        <v>0.66968033580884723</v>
      </c>
      <c r="J152">
        <v>0</v>
      </c>
      <c r="K15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53" spans="1:11" x14ac:dyDescent="0.3">
      <c r="A153" t="s">
        <v>44</v>
      </c>
      <c r="B153" t="s">
        <v>55</v>
      </c>
      <c r="C153" t="s">
        <v>33</v>
      </c>
      <c r="D153">
        <v>1479</v>
      </c>
      <c r="F153">
        <v>10865</v>
      </c>
      <c r="G153">
        <v>12344</v>
      </c>
      <c r="H153">
        <v>0.1198152948801037</v>
      </c>
      <c r="I153">
        <v>0.88018470511989633</v>
      </c>
      <c r="J153">
        <v>0</v>
      </c>
      <c r="K15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54" spans="1:11" x14ac:dyDescent="0.3">
      <c r="A154" t="s">
        <v>44</v>
      </c>
      <c r="B154" t="s">
        <v>55</v>
      </c>
      <c r="C154" t="s">
        <v>35</v>
      </c>
      <c r="D154">
        <v>830</v>
      </c>
      <c r="F154">
        <v>474</v>
      </c>
      <c r="G154">
        <v>1304</v>
      </c>
      <c r="H154">
        <v>0.63650306748466257</v>
      </c>
      <c r="I154">
        <v>0.36349693251533743</v>
      </c>
      <c r="J154">
        <v>0</v>
      </c>
      <c r="K15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55" spans="1:11" x14ac:dyDescent="0.3">
      <c r="A155" t="s">
        <v>44</v>
      </c>
      <c r="B155" t="s">
        <v>55</v>
      </c>
      <c r="C155" t="s">
        <v>29</v>
      </c>
      <c r="E155">
        <v>582</v>
      </c>
      <c r="G155">
        <v>582</v>
      </c>
      <c r="H155">
        <v>0</v>
      </c>
      <c r="I155">
        <v>0</v>
      </c>
      <c r="J155">
        <v>1</v>
      </c>
      <c r="K15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56" spans="1:11" x14ac:dyDescent="0.3">
      <c r="A156" t="s">
        <v>44</v>
      </c>
      <c r="B156" t="s">
        <v>55</v>
      </c>
      <c r="C156" t="s">
        <v>38</v>
      </c>
      <c r="D156">
        <v>30</v>
      </c>
      <c r="F156">
        <v>9</v>
      </c>
      <c r="G156">
        <v>39</v>
      </c>
      <c r="H156">
        <v>0.76923076923076927</v>
      </c>
      <c r="I156">
        <v>0.23076923076923078</v>
      </c>
      <c r="J156">
        <v>0</v>
      </c>
      <c r="K15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57" spans="1:11" x14ac:dyDescent="0.3">
      <c r="A157" t="s">
        <v>44</v>
      </c>
      <c r="B157" t="s">
        <v>55</v>
      </c>
      <c r="C157" t="s">
        <v>7</v>
      </c>
      <c r="D157">
        <v>1</v>
      </c>
      <c r="G157">
        <v>1</v>
      </c>
      <c r="H157">
        <v>1</v>
      </c>
      <c r="I157">
        <v>0</v>
      </c>
      <c r="J157">
        <v>0</v>
      </c>
      <c r="K15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58" spans="1:11" x14ac:dyDescent="0.3">
      <c r="A158" t="s">
        <v>44</v>
      </c>
      <c r="B158" t="s">
        <v>53</v>
      </c>
      <c r="C158" t="s">
        <v>28</v>
      </c>
      <c r="D158">
        <v>2352</v>
      </c>
      <c r="F158">
        <v>3038</v>
      </c>
      <c r="G158">
        <v>5390</v>
      </c>
      <c r="H158">
        <v>0.43636363636363634</v>
      </c>
      <c r="I158">
        <v>0.5636363636363636</v>
      </c>
      <c r="J158">
        <v>0</v>
      </c>
      <c r="K15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59" spans="1:11" x14ac:dyDescent="0.3">
      <c r="A159" t="s">
        <v>44</v>
      </c>
      <c r="B159" t="s">
        <v>53</v>
      </c>
      <c r="C159" t="s">
        <v>33</v>
      </c>
      <c r="D159">
        <v>409</v>
      </c>
      <c r="F159">
        <v>4347</v>
      </c>
      <c r="G159">
        <v>4756</v>
      </c>
      <c r="H159">
        <v>8.5996635828427245E-2</v>
      </c>
      <c r="I159">
        <v>0.9140033641715728</v>
      </c>
      <c r="J159">
        <v>0</v>
      </c>
      <c r="K15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60" spans="1:11" x14ac:dyDescent="0.3">
      <c r="A160" t="s">
        <v>44</v>
      </c>
      <c r="B160" t="s">
        <v>53</v>
      </c>
      <c r="C160" t="s">
        <v>35</v>
      </c>
      <c r="D160">
        <v>863</v>
      </c>
      <c r="F160">
        <v>353</v>
      </c>
      <c r="G160">
        <v>1216</v>
      </c>
      <c r="H160">
        <v>0.70970394736842102</v>
      </c>
      <c r="I160">
        <v>0.29029605263157893</v>
      </c>
      <c r="J160">
        <v>0</v>
      </c>
      <c r="K16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61" spans="1:11" x14ac:dyDescent="0.3">
      <c r="A161" t="s">
        <v>44</v>
      </c>
      <c r="B161" t="s">
        <v>53</v>
      </c>
      <c r="C161" t="s">
        <v>29</v>
      </c>
      <c r="E161">
        <v>271</v>
      </c>
      <c r="G161">
        <v>271</v>
      </c>
      <c r="H161">
        <v>0</v>
      </c>
      <c r="I161">
        <v>0</v>
      </c>
      <c r="J161">
        <v>1</v>
      </c>
      <c r="K16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62" spans="1:11" x14ac:dyDescent="0.3">
      <c r="A162" t="s">
        <v>44</v>
      </c>
      <c r="B162" t="s">
        <v>78</v>
      </c>
      <c r="C162" t="s">
        <v>28</v>
      </c>
      <c r="D162">
        <v>2105</v>
      </c>
      <c r="F162">
        <v>5937</v>
      </c>
      <c r="G162">
        <v>8042</v>
      </c>
      <c r="H162">
        <v>0.26175080825665259</v>
      </c>
      <c r="I162">
        <v>0.73824919174334747</v>
      </c>
      <c r="J162">
        <v>0</v>
      </c>
      <c r="K16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63" spans="1:11" x14ac:dyDescent="0.3">
      <c r="A163" t="s">
        <v>44</v>
      </c>
      <c r="B163" t="s">
        <v>78</v>
      </c>
      <c r="C163" t="s">
        <v>35</v>
      </c>
      <c r="D163">
        <v>873</v>
      </c>
      <c r="F163">
        <v>401</v>
      </c>
      <c r="G163">
        <v>1274</v>
      </c>
      <c r="H163">
        <v>0.68524332810047095</v>
      </c>
      <c r="I163">
        <v>0.31475667189952905</v>
      </c>
      <c r="J163">
        <v>0</v>
      </c>
      <c r="K16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64" spans="1:11" x14ac:dyDescent="0.3">
      <c r="A164" t="s">
        <v>44</v>
      </c>
      <c r="B164" t="s">
        <v>78</v>
      </c>
      <c r="C164" t="s">
        <v>29</v>
      </c>
      <c r="E164">
        <v>125</v>
      </c>
      <c r="G164">
        <v>125</v>
      </c>
      <c r="H164">
        <v>0</v>
      </c>
      <c r="I164">
        <v>0</v>
      </c>
      <c r="J164">
        <v>1</v>
      </c>
      <c r="K16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65" spans="1:11" x14ac:dyDescent="0.3">
      <c r="A165" t="s">
        <v>44</v>
      </c>
      <c r="B165" t="s">
        <v>79</v>
      </c>
      <c r="C165" t="s">
        <v>42</v>
      </c>
      <c r="D165">
        <v>5289</v>
      </c>
      <c r="F165">
        <v>79090</v>
      </c>
      <c r="G165">
        <v>84379</v>
      </c>
      <c r="H165">
        <v>6.2681472878322805E-2</v>
      </c>
      <c r="I165">
        <v>0.93731852712167718</v>
      </c>
      <c r="J165">
        <v>0</v>
      </c>
      <c r="K16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66" spans="1:11" x14ac:dyDescent="0.3">
      <c r="A166" t="s">
        <v>44</v>
      </c>
      <c r="B166" t="s">
        <v>79</v>
      </c>
      <c r="C166" t="s">
        <v>28</v>
      </c>
      <c r="D166">
        <v>50392</v>
      </c>
      <c r="F166">
        <v>20438</v>
      </c>
      <c r="G166">
        <v>70830</v>
      </c>
      <c r="H166">
        <v>0.71144995058590987</v>
      </c>
      <c r="I166">
        <v>0.28855004941409007</v>
      </c>
      <c r="J166">
        <v>0</v>
      </c>
      <c r="K16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67" spans="1:11" x14ac:dyDescent="0.3">
      <c r="A167" t="s">
        <v>44</v>
      </c>
      <c r="B167" t="s">
        <v>79</v>
      </c>
      <c r="C167" t="s">
        <v>7</v>
      </c>
      <c r="D167">
        <v>41033</v>
      </c>
      <c r="F167">
        <v>8731</v>
      </c>
      <c r="G167">
        <v>49764</v>
      </c>
      <c r="H167">
        <v>0.82455188489671249</v>
      </c>
      <c r="I167">
        <v>0.17544811510328751</v>
      </c>
      <c r="J167">
        <v>0</v>
      </c>
      <c r="K16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68" spans="1:11" x14ac:dyDescent="0.3">
      <c r="A168" t="s">
        <v>44</v>
      </c>
      <c r="B168" t="s">
        <v>79</v>
      </c>
      <c r="C168" t="s">
        <v>35</v>
      </c>
      <c r="D168">
        <v>34659</v>
      </c>
      <c r="F168">
        <v>10706</v>
      </c>
      <c r="G168">
        <v>45365</v>
      </c>
      <c r="H168">
        <v>0.76400308607957679</v>
      </c>
      <c r="I168">
        <v>0.23599691392042324</v>
      </c>
      <c r="J168">
        <v>0</v>
      </c>
      <c r="K16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69" spans="1:11" x14ac:dyDescent="0.3">
      <c r="A169" t="s">
        <v>44</v>
      </c>
      <c r="B169" t="s">
        <v>79</v>
      </c>
      <c r="C169" t="s">
        <v>36</v>
      </c>
      <c r="D169">
        <v>32968</v>
      </c>
      <c r="F169">
        <v>7854</v>
      </c>
      <c r="G169">
        <v>40822</v>
      </c>
      <c r="H169">
        <v>0.80760374307971194</v>
      </c>
      <c r="I169">
        <v>0.19239625692028808</v>
      </c>
      <c r="J169">
        <v>0</v>
      </c>
      <c r="K16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70" spans="1:11" x14ac:dyDescent="0.3">
      <c r="A170" t="s">
        <v>44</v>
      </c>
      <c r="B170" t="s">
        <v>79</v>
      </c>
      <c r="C170" t="s">
        <v>38</v>
      </c>
      <c r="D170">
        <v>22800</v>
      </c>
      <c r="F170">
        <v>7578</v>
      </c>
      <c r="G170">
        <v>30378</v>
      </c>
      <c r="H170">
        <v>0.75054315623148327</v>
      </c>
      <c r="I170">
        <v>0.24945684376851668</v>
      </c>
      <c r="J170">
        <v>0</v>
      </c>
      <c r="K17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71" spans="1:11" x14ac:dyDescent="0.3">
      <c r="A171" t="s">
        <v>44</v>
      </c>
      <c r="B171" t="s">
        <v>79</v>
      </c>
      <c r="C171" t="s">
        <v>43</v>
      </c>
      <c r="D171">
        <v>20403</v>
      </c>
      <c r="F171">
        <v>6820</v>
      </c>
      <c r="G171">
        <v>27223</v>
      </c>
      <c r="H171">
        <v>0.74947654556808585</v>
      </c>
      <c r="I171">
        <v>0.25052345443191421</v>
      </c>
      <c r="J171">
        <v>0</v>
      </c>
      <c r="K17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72" spans="1:11" x14ac:dyDescent="0.3">
      <c r="A172" t="s">
        <v>44</v>
      </c>
      <c r="B172" t="s">
        <v>79</v>
      </c>
      <c r="C172" t="s">
        <v>29</v>
      </c>
      <c r="E172">
        <v>5549</v>
      </c>
      <c r="G172">
        <v>5549</v>
      </c>
      <c r="H172">
        <v>0</v>
      </c>
      <c r="I172">
        <v>0</v>
      </c>
      <c r="J172">
        <v>1</v>
      </c>
      <c r="K17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73" spans="1:11" x14ac:dyDescent="0.3">
      <c r="A173" t="s">
        <v>44</v>
      </c>
      <c r="B173" t="s">
        <v>79</v>
      </c>
      <c r="C173" t="s">
        <v>33</v>
      </c>
      <c r="D173">
        <v>379</v>
      </c>
      <c r="F173">
        <v>2991</v>
      </c>
      <c r="G173">
        <v>3370</v>
      </c>
      <c r="H173">
        <v>0.11246290801186944</v>
      </c>
      <c r="I173">
        <v>0.88753709198813058</v>
      </c>
      <c r="J173">
        <v>0</v>
      </c>
      <c r="K17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74" spans="1:11" x14ac:dyDescent="0.3">
      <c r="A174" t="s">
        <v>44</v>
      </c>
      <c r="B174" t="s">
        <v>79</v>
      </c>
      <c r="C174" t="s">
        <v>39</v>
      </c>
      <c r="D174">
        <v>543</v>
      </c>
      <c r="F174">
        <v>877</v>
      </c>
      <c r="G174">
        <v>1420</v>
      </c>
      <c r="H174">
        <v>0.38239436619718309</v>
      </c>
      <c r="I174">
        <v>0.61760563380281686</v>
      </c>
      <c r="J174">
        <v>0</v>
      </c>
      <c r="K17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75" spans="1:11" x14ac:dyDescent="0.3">
      <c r="A175" t="s">
        <v>44</v>
      </c>
      <c r="B175" t="s">
        <v>79</v>
      </c>
      <c r="C175" t="s">
        <v>37</v>
      </c>
      <c r="D175">
        <v>219</v>
      </c>
      <c r="G175">
        <v>219</v>
      </c>
      <c r="H175">
        <v>1</v>
      </c>
      <c r="I175">
        <v>0</v>
      </c>
      <c r="J175">
        <v>0</v>
      </c>
      <c r="K17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76" spans="1:11" x14ac:dyDescent="0.3">
      <c r="A176" t="s">
        <v>44</v>
      </c>
      <c r="B176" t="s">
        <v>79</v>
      </c>
      <c r="C176" t="s">
        <v>34</v>
      </c>
      <c r="F176">
        <v>1</v>
      </c>
      <c r="G176">
        <v>1</v>
      </c>
      <c r="H176">
        <v>0</v>
      </c>
      <c r="I176">
        <v>1</v>
      </c>
      <c r="J176">
        <v>0</v>
      </c>
      <c r="K17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77" spans="1:11" x14ac:dyDescent="0.3">
      <c r="A177" t="s">
        <v>44</v>
      </c>
      <c r="B177" t="s">
        <v>80</v>
      </c>
      <c r="C177" t="s">
        <v>42</v>
      </c>
      <c r="D177">
        <v>1466</v>
      </c>
      <c r="F177">
        <v>15306</v>
      </c>
      <c r="G177">
        <v>16772</v>
      </c>
      <c r="H177">
        <v>8.7407584068685901E-2</v>
      </c>
      <c r="I177">
        <v>0.91259241593131413</v>
      </c>
      <c r="J177">
        <v>0</v>
      </c>
      <c r="K17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78" spans="1:11" x14ac:dyDescent="0.3">
      <c r="A178" t="s">
        <v>44</v>
      </c>
      <c r="B178" t="s">
        <v>80</v>
      </c>
      <c r="C178" t="s">
        <v>28</v>
      </c>
      <c r="D178">
        <v>12464</v>
      </c>
      <c r="F178">
        <v>3621</v>
      </c>
      <c r="G178">
        <v>16085</v>
      </c>
      <c r="H178">
        <v>0.77488343176872865</v>
      </c>
      <c r="I178">
        <v>0.22511656823127138</v>
      </c>
      <c r="J178">
        <v>0</v>
      </c>
      <c r="K17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79" spans="1:11" x14ac:dyDescent="0.3">
      <c r="A179" t="s">
        <v>44</v>
      </c>
      <c r="B179" t="s">
        <v>80</v>
      </c>
      <c r="C179" t="s">
        <v>35</v>
      </c>
      <c r="D179">
        <v>4729</v>
      </c>
      <c r="F179">
        <v>1442</v>
      </c>
      <c r="G179">
        <v>6171</v>
      </c>
      <c r="H179">
        <v>0.7663263652568465</v>
      </c>
      <c r="I179">
        <v>0.23367363474315345</v>
      </c>
      <c r="J179">
        <v>0</v>
      </c>
      <c r="K17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80" spans="1:11" x14ac:dyDescent="0.3">
      <c r="A180" t="s">
        <v>44</v>
      </c>
      <c r="B180" t="s">
        <v>80</v>
      </c>
      <c r="C180" t="s">
        <v>38</v>
      </c>
      <c r="D180">
        <v>2151</v>
      </c>
      <c r="F180">
        <v>691</v>
      </c>
      <c r="G180">
        <v>2842</v>
      </c>
      <c r="H180">
        <v>0.75686136523574943</v>
      </c>
      <c r="I180">
        <v>0.24313863476425052</v>
      </c>
      <c r="J180">
        <v>0</v>
      </c>
      <c r="K18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81" spans="1:11" x14ac:dyDescent="0.3">
      <c r="A181" t="s">
        <v>44</v>
      </c>
      <c r="B181" t="s">
        <v>80</v>
      </c>
      <c r="C181" t="s">
        <v>40</v>
      </c>
      <c r="D181">
        <v>141</v>
      </c>
      <c r="F181">
        <v>2146</v>
      </c>
      <c r="G181">
        <v>2287</v>
      </c>
      <c r="H181">
        <v>6.1652820288587672E-2</v>
      </c>
      <c r="I181">
        <v>0.93834717971141235</v>
      </c>
      <c r="J181">
        <v>0</v>
      </c>
      <c r="K18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82" spans="1:11" x14ac:dyDescent="0.3">
      <c r="A182" t="s">
        <v>44</v>
      </c>
      <c r="B182" t="s">
        <v>80</v>
      </c>
      <c r="C182" t="s">
        <v>29</v>
      </c>
      <c r="E182">
        <v>513</v>
      </c>
      <c r="G182">
        <v>513</v>
      </c>
      <c r="H182">
        <v>0</v>
      </c>
      <c r="I182">
        <v>0</v>
      </c>
      <c r="J182">
        <v>1</v>
      </c>
      <c r="K18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83" spans="1:11" x14ac:dyDescent="0.3">
      <c r="A183" t="s">
        <v>44</v>
      </c>
      <c r="B183" t="s">
        <v>80</v>
      </c>
      <c r="C183" t="s">
        <v>7</v>
      </c>
      <c r="D183">
        <v>13</v>
      </c>
      <c r="G183">
        <v>13</v>
      </c>
      <c r="H183">
        <v>1</v>
      </c>
      <c r="I183">
        <v>0</v>
      </c>
      <c r="J183">
        <v>0</v>
      </c>
      <c r="K18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84" spans="1:11" x14ac:dyDescent="0.3">
      <c r="A184" t="s">
        <v>44</v>
      </c>
      <c r="B184" t="s">
        <v>80</v>
      </c>
      <c r="C184" t="s">
        <v>43</v>
      </c>
      <c r="F184">
        <v>1</v>
      </c>
      <c r="G184">
        <v>1</v>
      </c>
      <c r="H184">
        <v>0</v>
      </c>
      <c r="I184">
        <v>1</v>
      </c>
      <c r="J184">
        <v>0</v>
      </c>
      <c r="K18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85" spans="1:11" x14ac:dyDescent="0.3">
      <c r="A185" t="s">
        <v>44</v>
      </c>
      <c r="B185" t="s">
        <v>80</v>
      </c>
      <c r="C185" t="s">
        <v>36</v>
      </c>
      <c r="D185">
        <v>1</v>
      </c>
      <c r="G185">
        <v>1</v>
      </c>
      <c r="H185">
        <v>1</v>
      </c>
      <c r="I185">
        <v>0</v>
      </c>
      <c r="J185">
        <v>0</v>
      </c>
      <c r="K18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86" spans="1:11" x14ac:dyDescent="0.3">
      <c r="A186" t="s">
        <v>44</v>
      </c>
      <c r="B186" t="s">
        <v>57</v>
      </c>
      <c r="C186" t="s">
        <v>28</v>
      </c>
      <c r="D186">
        <v>2938</v>
      </c>
      <c r="F186">
        <v>9078</v>
      </c>
      <c r="G186">
        <v>12016</v>
      </c>
      <c r="H186">
        <v>0.24450732356857524</v>
      </c>
      <c r="I186">
        <v>0.75549267643142481</v>
      </c>
      <c r="J186">
        <v>0</v>
      </c>
      <c r="K18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87" spans="1:11" x14ac:dyDescent="0.3">
      <c r="A187" t="s">
        <v>44</v>
      </c>
      <c r="B187" t="s">
        <v>57</v>
      </c>
      <c r="C187" t="s">
        <v>35</v>
      </c>
      <c r="D187">
        <v>2102</v>
      </c>
      <c r="F187">
        <v>662</v>
      </c>
      <c r="G187">
        <v>2764</v>
      </c>
      <c r="H187">
        <v>0.76049204052098407</v>
      </c>
      <c r="I187">
        <v>0.23950795947901593</v>
      </c>
      <c r="J187">
        <v>0</v>
      </c>
      <c r="K18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88" spans="1:11" x14ac:dyDescent="0.3">
      <c r="A188" t="s">
        <v>44</v>
      </c>
      <c r="B188" t="s">
        <v>57</v>
      </c>
      <c r="C188" t="s">
        <v>42</v>
      </c>
      <c r="D188">
        <v>215</v>
      </c>
      <c r="F188">
        <v>2195</v>
      </c>
      <c r="G188">
        <v>2410</v>
      </c>
      <c r="H188">
        <v>8.9211618257261413E-2</v>
      </c>
      <c r="I188">
        <v>0.91078838174273857</v>
      </c>
      <c r="J188">
        <v>0</v>
      </c>
      <c r="K18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89" spans="1:11" x14ac:dyDescent="0.3">
      <c r="A189" t="s">
        <v>44</v>
      </c>
      <c r="B189" t="s">
        <v>57</v>
      </c>
      <c r="C189" t="s">
        <v>29</v>
      </c>
      <c r="E189">
        <v>216</v>
      </c>
      <c r="G189">
        <v>216</v>
      </c>
      <c r="H189">
        <v>0</v>
      </c>
      <c r="I189">
        <v>0</v>
      </c>
      <c r="J189">
        <v>1</v>
      </c>
      <c r="K18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90" spans="1:11" x14ac:dyDescent="0.3">
      <c r="A190" t="s">
        <v>44</v>
      </c>
      <c r="B190" t="s">
        <v>57</v>
      </c>
      <c r="C190" t="s">
        <v>38</v>
      </c>
      <c r="F190">
        <v>1</v>
      </c>
      <c r="G190">
        <v>1</v>
      </c>
      <c r="H190">
        <v>0</v>
      </c>
      <c r="I190">
        <v>1</v>
      </c>
      <c r="J190">
        <v>0</v>
      </c>
      <c r="K19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91" spans="1:11" x14ac:dyDescent="0.3">
      <c r="A191" t="s">
        <v>44</v>
      </c>
      <c r="B191" t="s">
        <v>81</v>
      </c>
      <c r="C191" t="s">
        <v>28</v>
      </c>
      <c r="D191">
        <v>2512</v>
      </c>
      <c r="F191">
        <v>8310</v>
      </c>
      <c r="G191">
        <v>10822</v>
      </c>
      <c r="H191">
        <v>0.23211975605248567</v>
      </c>
      <c r="I191">
        <v>0.76788024394751431</v>
      </c>
      <c r="J191">
        <v>0</v>
      </c>
      <c r="K19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92" spans="1:11" x14ac:dyDescent="0.3">
      <c r="A192" t="s">
        <v>44</v>
      </c>
      <c r="B192" t="s">
        <v>81</v>
      </c>
      <c r="C192" t="s">
        <v>42</v>
      </c>
      <c r="D192">
        <v>247</v>
      </c>
      <c r="F192">
        <v>2676</v>
      </c>
      <c r="G192">
        <v>2923</v>
      </c>
      <c r="H192">
        <v>8.4502223742730073E-2</v>
      </c>
      <c r="I192">
        <v>0.91549777625726991</v>
      </c>
      <c r="J192">
        <v>0</v>
      </c>
      <c r="K19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93" spans="1:11" x14ac:dyDescent="0.3">
      <c r="A193" t="s">
        <v>44</v>
      </c>
      <c r="B193" t="s">
        <v>81</v>
      </c>
      <c r="C193" t="s">
        <v>35</v>
      </c>
      <c r="D193">
        <v>1176</v>
      </c>
      <c r="F193">
        <v>308</v>
      </c>
      <c r="G193">
        <v>1484</v>
      </c>
      <c r="H193">
        <v>0.79245283018867929</v>
      </c>
      <c r="I193">
        <v>0.20754716981132076</v>
      </c>
      <c r="J193">
        <v>0</v>
      </c>
      <c r="K19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94" spans="1:11" x14ac:dyDescent="0.3">
      <c r="A194" t="s">
        <v>44</v>
      </c>
      <c r="B194" t="s">
        <v>81</v>
      </c>
      <c r="C194" t="s">
        <v>29</v>
      </c>
      <c r="E194">
        <v>151</v>
      </c>
      <c r="G194">
        <v>151</v>
      </c>
      <c r="H194">
        <v>0</v>
      </c>
      <c r="I194">
        <v>0</v>
      </c>
      <c r="J194">
        <v>1</v>
      </c>
      <c r="K19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95" spans="1:11" x14ac:dyDescent="0.3">
      <c r="A195" t="s">
        <v>44</v>
      </c>
      <c r="B195" t="s">
        <v>82</v>
      </c>
      <c r="C195" t="s">
        <v>33</v>
      </c>
      <c r="D195">
        <v>3021</v>
      </c>
      <c r="F195">
        <v>17781</v>
      </c>
      <c r="G195">
        <v>20802</v>
      </c>
      <c r="H195">
        <v>0.14522642053648688</v>
      </c>
      <c r="I195">
        <v>0.85477357946351318</v>
      </c>
      <c r="J195">
        <v>0</v>
      </c>
      <c r="K19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96" spans="1:11" x14ac:dyDescent="0.3">
      <c r="A196" t="s">
        <v>44</v>
      </c>
      <c r="B196" t="s">
        <v>82</v>
      </c>
      <c r="C196" t="s">
        <v>28</v>
      </c>
      <c r="D196">
        <v>6592</v>
      </c>
      <c r="F196">
        <v>4571</v>
      </c>
      <c r="G196">
        <v>11163</v>
      </c>
      <c r="H196">
        <v>0.59052226104093886</v>
      </c>
      <c r="I196">
        <v>0.4094777389590612</v>
      </c>
      <c r="J196">
        <v>0</v>
      </c>
      <c r="K19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97" spans="1:11" x14ac:dyDescent="0.3">
      <c r="A197" t="s">
        <v>44</v>
      </c>
      <c r="B197" t="s">
        <v>82</v>
      </c>
      <c r="C197" t="s">
        <v>35</v>
      </c>
      <c r="D197">
        <v>3324</v>
      </c>
      <c r="F197">
        <v>1266</v>
      </c>
      <c r="G197">
        <v>4590</v>
      </c>
      <c r="H197">
        <v>0.72418300653594769</v>
      </c>
      <c r="I197">
        <v>0.27581699346405231</v>
      </c>
      <c r="J197">
        <v>0</v>
      </c>
      <c r="K19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98" spans="1:11" x14ac:dyDescent="0.3">
      <c r="A198" t="s">
        <v>44</v>
      </c>
      <c r="B198" t="s">
        <v>82</v>
      </c>
      <c r="C198" t="s">
        <v>29</v>
      </c>
      <c r="E198">
        <v>1135</v>
      </c>
      <c r="G198">
        <v>1135</v>
      </c>
      <c r="H198">
        <v>0</v>
      </c>
      <c r="I198">
        <v>0</v>
      </c>
      <c r="J198">
        <v>1</v>
      </c>
      <c r="K19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99" spans="1:11" x14ac:dyDescent="0.3">
      <c r="A199" t="s">
        <v>44</v>
      </c>
      <c r="B199" t="s">
        <v>82</v>
      </c>
      <c r="C199" t="s">
        <v>38</v>
      </c>
      <c r="D199">
        <v>25</v>
      </c>
      <c r="F199">
        <v>18</v>
      </c>
      <c r="G199">
        <v>43</v>
      </c>
      <c r="H199">
        <v>0.58139534883720934</v>
      </c>
      <c r="I199">
        <v>0.41860465116279072</v>
      </c>
      <c r="J199">
        <v>0</v>
      </c>
      <c r="K19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00" spans="1:11" x14ac:dyDescent="0.3">
      <c r="A200" t="s">
        <v>44</v>
      </c>
      <c r="B200" t="s">
        <v>82</v>
      </c>
      <c r="C200" t="s">
        <v>7</v>
      </c>
      <c r="D200">
        <v>3</v>
      </c>
      <c r="G200">
        <v>3</v>
      </c>
      <c r="H200">
        <v>1</v>
      </c>
      <c r="I200">
        <v>0</v>
      </c>
      <c r="J200">
        <v>0</v>
      </c>
      <c r="K20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01" spans="1:11" x14ac:dyDescent="0.3">
      <c r="A201" t="s">
        <v>44</v>
      </c>
      <c r="B201" t="s">
        <v>58</v>
      </c>
      <c r="C201" t="s">
        <v>42</v>
      </c>
      <c r="D201">
        <v>572</v>
      </c>
      <c r="F201">
        <v>4549</v>
      </c>
      <c r="G201">
        <v>5121</v>
      </c>
      <c r="H201">
        <v>0.11169693419254052</v>
      </c>
      <c r="I201">
        <v>0.88830306580745944</v>
      </c>
      <c r="J201">
        <v>0</v>
      </c>
      <c r="K20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02" spans="1:11" x14ac:dyDescent="0.3">
      <c r="A202" t="s">
        <v>44</v>
      </c>
      <c r="B202" t="s">
        <v>58</v>
      </c>
      <c r="C202" t="s">
        <v>35</v>
      </c>
      <c r="D202">
        <v>1938</v>
      </c>
      <c r="F202">
        <v>542</v>
      </c>
      <c r="G202">
        <v>2480</v>
      </c>
      <c r="H202">
        <v>0.78145161290322585</v>
      </c>
      <c r="I202">
        <v>0.21854838709677418</v>
      </c>
      <c r="J202">
        <v>0</v>
      </c>
      <c r="K20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03" spans="1:11" x14ac:dyDescent="0.3">
      <c r="A203" t="s">
        <v>44</v>
      </c>
      <c r="B203" t="s">
        <v>58</v>
      </c>
      <c r="C203" t="s">
        <v>28</v>
      </c>
      <c r="D203">
        <v>1722</v>
      </c>
      <c r="F203">
        <v>500</v>
      </c>
      <c r="G203">
        <v>2222</v>
      </c>
      <c r="H203">
        <v>0.77497749774977498</v>
      </c>
      <c r="I203">
        <v>0.22502250225022502</v>
      </c>
      <c r="J203">
        <v>0</v>
      </c>
      <c r="K20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04" spans="1:11" x14ac:dyDescent="0.3">
      <c r="A204" t="s">
        <v>44</v>
      </c>
      <c r="B204" t="s">
        <v>58</v>
      </c>
      <c r="C204" t="s">
        <v>33</v>
      </c>
      <c r="D204">
        <v>157</v>
      </c>
      <c r="F204">
        <v>1390</v>
      </c>
      <c r="G204">
        <v>1547</v>
      </c>
      <c r="H204">
        <v>0.10148674854557208</v>
      </c>
      <c r="I204">
        <v>0.89851325145442795</v>
      </c>
      <c r="J204">
        <v>0</v>
      </c>
      <c r="K20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05" spans="1:11" x14ac:dyDescent="0.3">
      <c r="A205" t="s">
        <v>44</v>
      </c>
      <c r="B205" t="s">
        <v>58</v>
      </c>
      <c r="C205" t="s">
        <v>29</v>
      </c>
      <c r="E205">
        <v>92</v>
      </c>
      <c r="G205">
        <v>92</v>
      </c>
      <c r="H205">
        <v>0</v>
      </c>
      <c r="I205">
        <v>0</v>
      </c>
      <c r="J205">
        <v>1</v>
      </c>
      <c r="K20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06" spans="1:11" x14ac:dyDescent="0.3">
      <c r="A206" t="s">
        <v>44</v>
      </c>
      <c r="B206" t="s">
        <v>83</v>
      </c>
      <c r="C206" t="s">
        <v>36</v>
      </c>
      <c r="D206">
        <v>418440</v>
      </c>
      <c r="F206">
        <v>69477</v>
      </c>
      <c r="G206">
        <v>487917</v>
      </c>
      <c r="H206">
        <v>0.85760487951844266</v>
      </c>
      <c r="I206">
        <v>0.14239512048155731</v>
      </c>
      <c r="J206">
        <v>0</v>
      </c>
      <c r="K20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07" spans="1:11" x14ac:dyDescent="0.3">
      <c r="A207" t="s">
        <v>44</v>
      </c>
      <c r="B207" t="s">
        <v>83</v>
      </c>
      <c r="C207" t="s">
        <v>42</v>
      </c>
      <c r="D207">
        <v>30767</v>
      </c>
      <c r="F207">
        <v>362891</v>
      </c>
      <c r="G207">
        <v>393658</v>
      </c>
      <c r="H207">
        <v>7.8156674067337645E-2</v>
      </c>
      <c r="I207">
        <v>0.92184332593266238</v>
      </c>
      <c r="J207">
        <v>0</v>
      </c>
      <c r="K20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08" spans="1:11" x14ac:dyDescent="0.3">
      <c r="A208" t="s">
        <v>44</v>
      </c>
      <c r="B208" t="s">
        <v>83</v>
      </c>
      <c r="C208" t="s">
        <v>7</v>
      </c>
      <c r="D208">
        <v>305137</v>
      </c>
      <c r="F208">
        <v>36485</v>
      </c>
      <c r="G208">
        <v>341622</v>
      </c>
      <c r="H208">
        <v>0.89320067208786325</v>
      </c>
      <c r="I208">
        <v>0.10679932791213681</v>
      </c>
      <c r="J208">
        <v>0</v>
      </c>
      <c r="K20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09" spans="1:11" x14ac:dyDescent="0.3">
      <c r="A209" t="s">
        <v>44</v>
      </c>
      <c r="B209" t="s">
        <v>83</v>
      </c>
      <c r="C209" t="s">
        <v>28</v>
      </c>
      <c r="D209">
        <v>222586</v>
      </c>
      <c r="F209">
        <v>73357</v>
      </c>
      <c r="G209">
        <v>295943</v>
      </c>
      <c r="H209">
        <v>0.75212456452762866</v>
      </c>
      <c r="I209">
        <v>0.24787543547237137</v>
      </c>
      <c r="J209">
        <v>0</v>
      </c>
      <c r="K20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10" spans="1:11" x14ac:dyDescent="0.3">
      <c r="A210" t="s">
        <v>44</v>
      </c>
      <c r="B210" t="s">
        <v>83</v>
      </c>
      <c r="C210" t="s">
        <v>35</v>
      </c>
      <c r="D210">
        <v>193281</v>
      </c>
      <c r="F210">
        <v>66010</v>
      </c>
      <c r="G210">
        <v>259291</v>
      </c>
      <c r="H210">
        <v>0.74542116772275169</v>
      </c>
      <c r="I210">
        <v>0.25457883227724837</v>
      </c>
      <c r="J210">
        <v>0</v>
      </c>
      <c r="K21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11" spans="1:11" x14ac:dyDescent="0.3">
      <c r="A211" t="s">
        <v>44</v>
      </c>
      <c r="B211" t="s">
        <v>83</v>
      </c>
      <c r="C211" t="s">
        <v>33</v>
      </c>
      <c r="D211">
        <v>26279</v>
      </c>
      <c r="F211">
        <v>216787</v>
      </c>
      <c r="G211">
        <v>243066</v>
      </c>
      <c r="H211">
        <v>0.10811466844396173</v>
      </c>
      <c r="I211">
        <v>0.89188533155603833</v>
      </c>
      <c r="J211">
        <v>0</v>
      </c>
      <c r="K21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12" spans="1:11" x14ac:dyDescent="0.3">
      <c r="A212" t="s">
        <v>44</v>
      </c>
      <c r="B212" t="s">
        <v>83</v>
      </c>
      <c r="C212" t="s">
        <v>43</v>
      </c>
      <c r="D212">
        <v>157115</v>
      </c>
      <c r="F212">
        <v>40092</v>
      </c>
      <c r="G212">
        <v>197207</v>
      </c>
      <c r="H212">
        <v>0.79670092846602814</v>
      </c>
      <c r="I212">
        <v>0.20329907153397192</v>
      </c>
      <c r="J212">
        <v>0</v>
      </c>
      <c r="K21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13" spans="1:11" x14ac:dyDescent="0.3">
      <c r="A213" t="s">
        <v>44</v>
      </c>
      <c r="B213" t="s">
        <v>83</v>
      </c>
      <c r="C213" t="s">
        <v>38</v>
      </c>
      <c r="D213">
        <v>150490</v>
      </c>
      <c r="F213">
        <v>44747</v>
      </c>
      <c r="G213">
        <v>195237</v>
      </c>
      <c r="H213">
        <v>0.77080676306232943</v>
      </c>
      <c r="I213">
        <v>0.22919323693767063</v>
      </c>
      <c r="J213">
        <v>0</v>
      </c>
      <c r="K21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14" spans="1:11" x14ac:dyDescent="0.3">
      <c r="A214" t="s">
        <v>44</v>
      </c>
      <c r="B214" t="s">
        <v>83</v>
      </c>
      <c r="C214" t="s">
        <v>40</v>
      </c>
      <c r="D214">
        <v>3612</v>
      </c>
      <c r="F214">
        <v>36466</v>
      </c>
      <c r="G214">
        <v>40078</v>
      </c>
      <c r="H214">
        <v>9.0124257697489898E-2</v>
      </c>
      <c r="I214">
        <v>0.90987574230251012</v>
      </c>
      <c r="J214">
        <v>0</v>
      </c>
      <c r="K21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15" spans="1:11" x14ac:dyDescent="0.3">
      <c r="A215" t="s">
        <v>44</v>
      </c>
      <c r="B215" t="s">
        <v>83</v>
      </c>
      <c r="C215" t="s">
        <v>29</v>
      </c>
      <c r="E215">
        <v>35997</v>
      </c>
      <c r="G215">
        <v>35997</v>
      </c>
      <c r="H215">
        <v>0</v>
      </c>
      <c r="I215">
        <v>0</v>
      </c>
      <c r="J215">
        <v>1</v>
      </c>
      <c r="K21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16" spans="1:11" x14ac:dyDescent="0.3">
      <c r="A216" t="s">
        <v>44</v>
      </c>
      <c r="B216" t="s">
        <v>83</v>
      </c>
      <c r="C216" t="s">
        <v>39</v>
      </c>
      <c r="D216">
        <v>4868</v>
      </c>
      <c r="F216">
        <v>4147</v>
      </c>
      <c r="G216">
        <v>9015</v>
      </c>
      <c r="H216">
        <v>0.53998890737659455</v>
      </c>
      <c r="I216">
        <v>0.46001109262340545</v>
      </c>
      <c r="J216">
        <v>0</v>
      </c>
      <c r="K21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17" spans="1:11" x14ac:dyDescent="0.3">
      <c r="A217" t="s">
        <v>44</v>
      </c>
      <c r="B217" t="s">
        <v>83</v>
      </c>
      <c r="C217" t="s">
        <v>37</v>
      </c>
      <c r="D217">
        <v>4142</v>
      </c>
      <c r="G217">
        <v>4142</v>
      </c>
      <c r="H217">
        <v>1</v>
      </c>
      <c r="I217">
        <v>0</v>
      </c>
      <c r="J217">
        <v>0</v>
      </c>
      <c r="K21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18" spans="1:11" x14ac:dyDescent="0.3">
      <c r="A218" t="s">
        <v>44</v>
      </c>
      <c r="B218" t="s">
        <v>83</v>
      </c>
      <c r="C218" t="s">
        <v>27</v>
      </c>
      <c r="D218">
        <v>529</v>
      </c>
      <c r="F218">
        <v>2809</v>
      </c>
      <c r="G218">
        <v>3338</v>
      </c>
      <c r="H218">
        <v>0.158478130617136</v>
      </c>
      <c r="I218">
        <v>0.841521869382864</v>
      </c>
      <c r="J218">
        <v>0</v>
      </c>
      <c r="K21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19" spans="1:11" x14ac:dyDescent="0.3">
      <c r="A219" t="s">
        <v>44</v>
      </c>
      <c r="B219" t="s">
        <v>83</v>
      </c>
      <c r="C219" t="s">
        <v>34</v>
      </c>
      <c r="D219">
        <v>5</v>
      </c>
      <c r="G219">
        <v>5</v>
      </c>
      <c r="H219">
        <v>1</v>
      </c>
      <c r="I219">
        <v>0</v>
      </c>
      <c r="J219">
        <v>0</v>
      </c>
      <c r="K21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20" spans="1:11" x14ac:dyDescent="0.3">
      <c r="A220" t="s">
        <v>44</v>
      </c>
      <c r="B220" t="s">
        <v>84</v>
      </c>
      <c r="C220" t="s">
        <v>42</v>
      </c>
      <c r="D220">
        <v>1188</v>
      </c>
      <c r="F220">
        <v>20877</v>
      </c>
      <c r="G220">
        <v>22065</v>
      </c>
      <c r="H220">
        <v>5.3840924541128481E-2</v>
      </c>
      <c r="I220">
        <v>0.94615907545887157</v>
      </c>
      <c r="J220">
        <v>0</v>
      </c>
      <c r="K22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21" spans="1:11" x14ac:dyDescent="0.3">
      <c r="A221" t="s">
        <v>44</v>
      </c>
      <c r="B221" t="s">
        <v>84</v>
      </c>
      <c r="C221" t="s">
        <v>28</v>
      </c>
      <c r="D221">
        <v>3914</v>
      </c>
      <c r="F221">
        <v>8434</v>
      </c>
      <c r="G221">
        <v>12348</v>
      </c>
      <c r="H221">
        <v>0.31697440881114353</v>
      </c>
      <c r="I221">
        <v>0.68302559118885653</v>
      </c>
      <c r="J221">
        <v>0</v>
      </c>
      <c r="K22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22" spans="1:11" x14ac:dyDescent="0.3">
      <c r="A222" t="s">
        <v>44</v>
      </c>
      <c r="B222" t="s">
        <v>84</v>
      </c>
      <c r="C222" t="s">
        <v>35</v>
      </c>
      <c r="D222">
        <v>3352</v>
      </c>
      <c r="F222">
        <v>622</v>
      </c>
      <c r="G222">
        <v>3974</v>
      </c>
      <c r="H222">
        <v>0.84348263714141924</v>
      </c>
      <c r="I222">
        <v>0.15651736285858078</v>
      </c>
      <c r="J222">
        <v>0</v>
      </c>
      <c r="K22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23" spans="1:11" x14ac:dyDescent="0.3">
      <c r="A223" t="s">
        <v>44</v>
      </c>
      <c r="B223" t="s">
        <v>84</v>
      </c>
      <c r="C223" t="s">
        <v>29</v>
      </c>
      <c r="E223">
        <v>790</v>
      </c>
      <c r="G223">
        <v>790</v>
      </c>
      <c r="H223">
        <v>0</v>
      </c>
      <c r="I223">
        <v>0</v>
      </c>
      <c r="J223">
        <v>1</v>
      </c>
      <c r="K22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24" spans="1:11" x14ac:dyDescent="0.3">
      <c r="A224" t="s">
        <v>44</v>
      </c>
      <c r="B224" t="s">
        <v>84</v>
      </c>
      <c r="C224" t="s">
        <v>38</v>
      </c>
      <c r="D224">
        <v>42</v>
      </c>
      <c r="F224">
        <v>48</v>
      </c>
      <c r="G224">
        <v>90</v>
      </c>
      <c r="H224">
        <v>0.46666666666666667</v>
      </c>
      <c r="I224">
        <v>0.53333333333333333</v>
      </c>
      <c r="J224">
        <v>0</v>
      </c>
      <c r="K22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25" spans="1:11" x14ac:dyDescent="0.3">
      <c r="A225" t="s">
        <v>44</v>
      </c>
      <c r="B225" t="s">
        <v>84</v>
      </c>
      <c r="C225" t="s">
        <v>33</v>
      </c>
      <c r="D225">
        <v>1</v>
      </c>
      <c r="G225">
        <v>1</v>
      </c>
      <c r="H225">
        <v>1</v>
      </c>
      <c r="I225">
        <v>0</v>
      </c>
      <c r="J225">
        <v>0</v>
      </c>
      <c r="K22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26" spans="1:11" x14ac:dyDescent="0.3">
      <c r="A226" t="s">
        <v>44</v>
      </c>
      <c r="B226" t="s">
        <v>84</v>
      </c>
      <c r="C226" t="s">
        <v>7</v>
      </c>
      <c r="F226">
        <v>1</v>
      </c>
      <c r="G226">
        <v>1</v>
      </c>
      <c r="H226">
        <v>0</v>
      </c>
      <c r="I226">
        <v>1</v>
      </c>
      <c r="J226">
        <v>0</v>
      </c>
      <c r="K22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27" spans="1:11" x14ac:dyDescent="0.3">
      <c r="A227" t="s">
        <v>44</v>
      </c>
      <c r="B227" t="s">
        <v>85</v>
      </c>
      <c r="C227" t="s">
        <v>28</v>
      </c>
      <c r="D227">
        <v>2431</v>
      </c>
      <c r="F227">
        <v>9829</v>
      </c>
      <c r="G227">
        <v>12260</v>
      </c>
      <c r="H227">
        <v>0.19828711256117454</v>
      </c>
      <c r="I227">
        <v>0.80171288743882541</v>
      </c>
      <c r="J227">
        <v>0</v>
      </c>
      <c r="K22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28" spans="1:11" x14ac:dyDescent="0.3">
      <c r="A228" t="s">
        <v>44</v>
      </c>
      <c r="B228" t="s">
        <v>85</v>
      </c>
      <c r="C228" t="s">
        <v>29</v>
      </c>
      <c r="E228">
        <v>197</v>
      </c>
      <c r="G228">
        <v>197</v>
      </c>
      <c r="H228">
        <v>0</v>
      </c>
      <c r="I228">
        <v>0</v>
      </c>
      <c r="J228">
        <v>1</v>
      </c>
      <c r="K22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29" spans="1:11" x14ac:dyDescent="0.3">
      <c r="A229" t="s">
        <v>44</v>
      </c>
      <c r="B229" t="s">
        <v>85</v>
      </c>
      <c r="C229" t="s">
        <v>35</v>
      </c>
      <c r="D229">
        <v>11</v>
      </c>
      <c r="F229">
        <v>4</v>
      </c>
      <c r="G229">
        <v>15</v>
      </c>
      <c r="H229">
        <v>0.73333333333333328</v>
      </c>
      <c r="I229">
        <v>0.26666666666666666</v>
      </c>
      <c r="J229">
        <v>0</v>
      </c>
      <c r="K22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30" spans="1:11" x14ac:dyDescent="0.3">
      <c r="A230" t="s">
        <v>44</v>
      </c>
      <c r="B230" t="s">
        <v>85</v>
      </c>
      <c r="C230" t="s">
        <v>38</v>
      </c>
      <c r="D230">
        <v>9</v>
      </c>
      <c r="F230">
        <v>3</v>
      </c>
      <c r="G230">
        <v>12</v>
      </c>
      <c r="H230">
        <v>0.75</v>
      </c>
      <c r="I230">
        <v>0.25</v>
      </c>
      <c r="J230">
        <v>0</v>
      </c>
      <c r="K23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31" spans="1:11" x14ac:dyDescent="0.3">
      <c r="A231" t="s">
        <v>44</v>
      </c>
      <c r="B231" t="s">
        <v>86</v>
      </c>
      <c r="C231" t="s">
        <v>28</v>
      </c>
      <c r="D231">
        <v>2471</v>
      </c>
      <c r="F231">
        <v>11246</v>
      </c>
      <c r="G231">
        <v>13717</v>
      </c>
      <c r="H231">
        <v>0.18014143034191149</v>
      </c>
      <c r="I231">
        <v>0.81985856965808845</v>
      </c>
      <c r="J231">
        <v>0</v>
      </c>
      <c r="K23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32" spans="1:11" x14ac:dyDescent="0.3">
      <c r="A232" t="s">
        <v>44</v>
      </c>
      <c r="B232" t="s">
        <v>86</v>
      </c>
      <c r="C232" t="s">
        <v>42</v>
      </c>
      <c r="D232">
        <v>231</v>
      </c>
      <c r="F232">
        <v>3161</v>
      </c>
      <c r="G232">
        <v>3392</v>
      </c>
      <c r="H232">
        <v>6.8101415094339618E-2</v>
      </c>
      <c r="I232">
        <v>0.93189858490566035</v>
      </c>
      <c r="J232">
        <v>0</v>
      </c>
      <c r="K23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33" spans="1:11" x14ac:dyDescent="0.3">
      <c r="A233" t="s">
        <v>44</v>
      </c>
      <c r="B233" t="s">
        <v>86</v>
      </c>
      <c r="C233" t="s">
        <v>29</v>
      </c>
      <c r="E233">
        <v>195</v>
      </c>
      <c r="G233">
        <v>195</v>
      </c>
      <c r="H233">
        <v>0</v>
      </c>
      <c r="I233">
        <v>0</v>
      </c>
      <c r="J233">
        <v>1</v>
      </c>
      <c r="K23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34" spans="1:11" x14ac:dyDescent="0.3">
      <c r="A234" t="s">
        <v>44</v>
      </c>
      <c r="B234" t="s">
        <v>86</v>
      </c>
      <c r="C234" t="s">
        <v>35</v>
      </c>
      <c r="D234">
        <v>4</v>
      </c>
      <c r="F234">
        <v>1</v>
      </c>
      <c r="G234">
        <v>5</v>
      </c>
      <c r="H234">
        <v>0.8</v>
      </c>
      <c r="I234">
        <v>0.2</v>
      </c>
      <c r="J234">
        <v>0</v>
      </c>
      <c r="K23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35" spans="1:11" x14ac:dyDescent="0.3">
      <c r="A235" t="s">
        <v>44</v>
      </c>
      <c r="B235" t="s">
        <v>86</v>
      </c>
      <c r="C235" t="s">
        <v>7</v>
      </c>
      <c r="D235">
        <v>2</v>
      </c>
      <c r="G235">
        <v>2</v>
      </c>
      <c r="H235">
        <v>1</v>
      </c>
      <c r="I235">
        <v>0</v>
      </c>
      <c r="J235">
        <v>0</v>
      </c>
      <c r="K23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36" spans="1:11" x14ac:dyDescent="0.3">
      <c r="A236" t="s">
        <v>44</v>
      </c>
      <c r="B236" t="s">
        <v>87</v>
      </c>
      <c r="C236" t="s">
        <v>28</v>
      </c>
      <c r="D236">
        <v>40103</v>
      </c>
      <c r="F236">
        <v>29747</v>
      </c>
      <c r="G236">
        <v>69850</v>
      </c>
      <c r="H236">
        <v>0.5741302791696492</v>
      </c>
      <c r="I236">
        <v>0.42586972083035074</v>
      </c>
      <c r="J236">
        <v>0</v>
      </c>
      <c r="K23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37" spans="1:11" x14ac:dyDescent="0.3">
      <c r="A237" t="s">
        <v>44</v>
      </c>
      <c r="B237" t="s">
        <v>87</v>
      </c>
      <c r="C237" t="s">
        <v>42</v>
      </c>
      <c r="D237">
        <v>4636</v>
      </c>
      <c r="F237">
        <v>54216</v>
      </c>
      <c r="G237">
        <v>58852</v>
      </c>
      <c r="H237">
        <v>7.8773873445252496E-2</v>
      </c>
      <c r="I237">
        <v>0.92122612655474745</v>
      </c>
      <c r="J237">
        <v>0</v>
      </c>
      <c r="K23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38" spans="1:11" x14ac:dyDescent="0.3">
      <c r="A238" t="s">
        <v>44</v>
      </c>
      <c r="B238" t="s">
        <v>87</v>
      </c>
      <c r="C238" t="s">
        <v>7</v>
      </c>
      <c r="D238">
        <v>30483</v>
      </c>
      <c r="F238">
        <v>11383</v>
      </c>
      <c r="G238">
        <v>41866</v>
      </c>
      <c r="H238">
        <v>0.72810872784598479</v>
      </c>
      <c r="I238">
        <v>0.27189127215401521</v>
      </c>
      <c r="J238">
        <v>0</v>
      </c>
      <c r="K23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39" spans="1:11" x14ac:dyDescent="0.3">
      <c r="A239" t="s">
        <v>44</v>
      </c>
      <c r="B239" t="s">
        <v>87</v>
      </c>
      <c r="C239" t="s">
        <v>35</v>
      </c>
      <c r="D239">
        <v>21319</v>
      </c>
      <c r="F239">
        <v>8026</v>
      </c>
      <c r="G239">
        <v>29345</v>
      </c>
      <c r="H239">
        <v>0.72649514397682735</v>
      </c>
      <c r="I239">
        <v>0.27350485602317259</v>
      </c>
      <c r="J239">
        <v>0</v>
      </c>
      <c r="K23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40" spans="1:11" x14ac:dyDescent="0.3">
      <c r="A240" t="s">
        <v>44</v>
      </c>
      <c r="B240" t="s">
        <v>87</v>
      </c>
      <c r="C240" t="s">
        <v>36</v>
      </c>
      <c r="D240">
        <v>3967</v>
      </c>
      <c r="F240">
        <v>2533</v>
      </c>
      <c r="G240">
        <v>6500</v>
      </c>
      <c r="H240">
        <v>0.61030769230769233</v>
      </c>
      <c r="I240">
        <v>0.38969230769230767</v>
      </c>
      <c r="J240">
        <v>0</v>
      </c>
      <c r="K24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41" spans="1:11" x14ac:dyDescent="0.3">
      <c r="A241" t="s">
        <v>44</v>
      </c>
      <c r="B241" t="s">
        <v>87</v>
      </c>
      <c r="C241" t="s">
        <v>40</v>
      </c>
      <c r="D241">
        <v>379</v>
      </c>
      <c r="F241">
        <v>5424</v>
      </c>
      <c r="G241">
        <v>5803</v>
      </c>
      <c r="H241">
        <v>6.5311046010684132E-2</v>
      </c>
      <c r="I241">
        <v>0.93468895398931584</v>
      </c>
      <c r="J241">
        <v>0</v>
      </c>
      <c r="K24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42" spans="1:11" x14ac:dyDescent="0.3">
      <c r="A242" t="s">
        <v>44</v>
      </c>
      <c r="B242" t="s">
        <v>87</v>
      </c>
      <c r="C242" t="s">
        <v>29</v>
      </c>
      <c r="E242">
        <v>4216</v>
      </c>
      <c r="G242">
        <v>4216</v>
      </c>
      <c r="H242">
        <v>0</v>
      </c>
      <c r="I242">
        <v>0</v>
      </c>
      <c r="J242">
        <v>1</v>
      </c>
      <c r="K24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43" spans="1:11" x14ac:dyDescent="0.3">
      <c r="A243" t="s">
        <v>44</v>
      </c>
      <c r="B243" t="s">
        <v>87</v>
      </c>
      <c r="C243" t="s">
        <v>38</v>
      </c>
      <c r="D243">
        <v>2030</v>
      </c>
      <c r="F243">
        <v>773</v>
      </c>
      <c r="G243">
        <v>2803</v>
      </c>
      <c r="H243">
        <v>0.72422404566535858</v>
      </c>
      <c r="I243">
        <v>0.27577595433464147</v>
      </c>
      <c r="J243">
        <v>0</v>
      </c>
      <c r="K24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44" spans="1:11" x14ac:dyDescent="0.3">
      <c r="A244" t="s">
        <v>44</v>
      </c>
      <c r="B244" t="s">
        <v>87</v>
      </c>
      <c r="C244" t="s">
        <v>39</v>
      </c>
      <c r="D244">
        <v>478</v>
      </c>
      <c r="F244">
        <v>1752</v>
      </c>
      <c r="G244">
        <v>2230</v>
      </c>
      <c r="H244">
        <v>0.21434977578475337</v>
      </c>
      <c r="I244">
        <v>0.78565022421524666</v>
      </c>
      <c r="J244">
        <v>0</v>
      </c>
      <c r="K24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45" spans="1:11" x14ac:dyDescent="0.3">
      <c r="A245" t="s">
        <v>44</v>
      </c>
      <c r="B245" t="s">
        <v>87</v>
      </c>
      <c r="C245" t="s">
        <v>37</v>
      </c>
      <c r="D245">
        <v>180</v>
      </c>
      <c r="G245">
        <v>180</v>
      </c>
      <c r="H245">
        <v>1</v>
      </c>
      <c r="I245">
        <v>0</v>
      </c>
      <c r="J245">
        <v>0</v>
      </c>
      <c r="K24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46" spans="1:11" x14ac:dyDescent="0.3">
      <c r="A246" t="s">
        <v>44</v>
      </c>
      <c r="B246" t="s">
        <v>87</v>
      </c>
      <c r="C246" t="s">
        <v>43</v>
      </c>
      <c r="F246">
        <v>1</v>
      </c>
      <c r="G246">
        <v>1</v>
      </c>
      <c r="H246">
        <v>0</v>
      </c>
      <c r="I246">
        <v>1</v>
      </c>
      <c r="J246">
        <v>0</v>
      </c>
      <c r="K24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47" spans="1:11" x14ac:dyDescent="0.3">
      <c r="A247" t="s">
        <v>44</v>
      </c>
      <c r="B247" t="s">
        <v>88</v>
      </c>
      <c r="C247" t="s">
        <v>28</v>
      </c>
      <c r="D247">
        <v>787</v>
      </c>
      <c r="F247">
        <v>1277</v>
      </c>
      <c r="G247">
        <v>2064</v>
      </c>
      <c r="H247">
        <v>0.38129844961240311</v>
      </c>
      <c r="I247">
        <v>0.61870155038759689</v>
      </c>
      <c r="J247">
        <v>0</v>
      </c>
      <c r="K24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48" spans="1:11" x14ac:dyDescent="0.3">
      <c r="A248" t="s">
        <v>44</v>
      </c>
      <c r="B248" t="s">
        <v>88</v>
      </c>
      <c r="C248" t="s">
        <v>33</v>
      </c>
      <c r="D248">
        <v>139</v>
      </c>
      <c r="F248">
        <v>1454</v>
      </c>
      <c r="G248">
        <v>1593</v>
      </c>
      <c r="H248">
        <v>8.7256748273697421E-2</v>
      </c>
      <c r="I248">
        <v>0.91274325172630255</v>
      </c>
      <c r="J248">
        <v>0</v>
      </c>
      <c r="K24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49" spans="1:11" x14ac:dyDescent="0.3">
      <c r="A249" t="s">
        <v>44</v>
      </c>
      <c r="B249" t="s">
        <v>88</v>
      </c>
      <c r="C249" t="s">
        <v>29</v>
      </c>
      <c r="E249">
        <v>47</v>
      </c>
      <c r="G249">
        <v>47</v>
      </c>
      <c r="H249">
        <v>0</v>
      </c>
      <c r="I249">
        <v>0</v>
      </c>
      <c r="J249">
        <v>1</v>
      </c>
      <c r="K24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50" spans="1:11" x14ac:dyDescent="0.3">
      <c r="A250" t="s">
        <v>44</v>
      </c>
      <c r="B250" t="s">
        <v>88</v>
      </c>
      <c r="C250" t="s">
        <v>35</v>
      </c>
      <c r="D250">
        <v>3</v>
      </c>
      <c r="G250">
        <v>3</v>
      </c>
      <c r="H250">
        <v>1</v>
      </c>
      <c r="I250">
        <v>0</v>
      </c>
      <c r="J250">
        <v>0</v>
      </c>
      <c r="K25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51" spans="1:11" x14ac:dyDescent="0.3">
      <c r="A251" t="s">
        <v>44</v>
      </c>
      <c r="B251" t="s">
        <v>89</v>
      </c>
      <c r="C251" t="s">
        <v>42</v>
      </c>
      <c r="D251">
        <v>336</v>
      </c>
      <c r="F251">
        <v>5004</v>
      </c>
      <c r="G251">
        <v>5340</v>
      </c>
      <c r="H251">
        <v>6.2921348314606745E-2</v>
      </c>
      <c r="I251">
        <v>0.93707865168539328</v>
      </c>
      <c r="J251">
        <v>0</v>
      </c>
      <c r="K25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52" spans="1:11" x14ac:dyDescent="0.3">
      <c r="A252" t="s">
        <v>44</v>
      </c>
      <c r="B252" t="s">
        <v>89</v>
      </c>
      <c r="C252" t="s">
        <v>28</v>
      </c>
      <c r="D252">
        <v>593</v>
      </c>
      <c r="F252">
        <v>277</v>
      </c>
      <c r="G252">
        <v>870</v>
      </c>
      <c r="H252">
        <v>0.68160919540229881</v>
      </c>
      <c r="I252">
        <v>0.31839080459770114</v>
      </c>
      <c r="J252">
        <v>0</v>
      </c>
      <c r="K25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53" spans="1:11" x14ac:dyDescent="0.3">
      <c r="A253" t="s">
        <v>44</v>
      </c>
      <c r="B253" t="s">
        <v>89</v>
      </c>
      <c r="C253" t="s">
        <v>35</v>
      </c>
      <c r="D253">
        <v>347</v>
      </c>
      <c r="F253">
        <v>103</v>
      </c>
      <c r="G253">
        <v>450</v>
      </c>
      <c r="H253">
        <v>0.77111111111111108</v>
      </c>
      <c r="I253">
        <v>0.22888888888888889</v>
      </c>
      <c r="J253">
        <v>0</v>
      </c>
      <c r="K25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54" spans="1:11" x14ac:dyDescent="0.3">
      <c r="A254" t="s">
        <v>44</v>
      </c>
      <c r="B254" t="s">
        <v>89</v>
      </c>
      <c r="C254" t="s">
        <v>29</v>
      </c>
      <c r="E254">
        <v>137</v>
      </c>
      <c r="G254">
        <v>137</v>
      </c>
      <c r="H254">
        <v>0</v>
      </c>
      <c r="I254">
        <v>0</v>
      </c>
      <c r="J254">
        <v>1</v>
      </c>
      <c r="K25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55" spans="1:11" x14ac:dyDescent="0.3">
      <c r="A255" t="s">
        <v>44</v>
      </c>
      <c r="B255" t="s">
        <v>90</v>
      </c>
      <c r="C255" t="s">
        <v>33</v>
      </c>
      <c r="D255">
        <v>613</v>
      </c>
      <c r="F255">
        <v>5421</v>
      </c>
      <c r="G255">
        <v>6034</v>
      </c>
      <c r="H255">
        <v>0.10159098442161087</v>
      </c>
      <c r="I255">
        <v>0.89840901557838915</v>
      </c>
      <c r="J255">
        <v>0</v>
      </c>
      <c r="K25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56" spans="1:11" x14ac:dyDescent="0.3">
      <c r="A256" t="s">
        <v>44</v>
      </c>
      <c r="B256" t="s">
        <v>90</v>
      </c>
      <c r="C256" t="s">
        <v>35</v>
      </c>
      <c r="D256">
        <v>1672</v>
      </c>
      <c r="F256">
        <v>635</v>
      </c>
      <c r="G256">
        <v>2307</v>
      </c>
      <c r="H256">
        <v>0.72475075856090165</v>
      </c>
      <c r="I256">
        <v>0.2752492414390984</v>
      </c>
      <c r="J256">
        <v>0</v>
      </c>
      <c r="K25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57" spans="1:11" x14ac:dyDescent="0.3">
      <c r="A257" t="s">
        <v>44</v>
      </c>
      <c r="B257" t="s">
        <v>90</v>
      </c>
      <c r="C257" t="s">
        <v>28</v>
      </c>
      <c r="D257">
        <v>774</v>
      </c>
      <c r="F257">
        <v>269</v>
      </c>
      <c r="G257">
        <v>1043</v>
      </c>
      <c r="H257">
        <v>0.7420901246404602</v>
      </c>
      <c r="I257">
        <v>0.2579098753595398</v>
      </c>
      <c r="J257">
        <v>0</v>
      </c>
      <c r="K25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58" spans="1:11" x14ac:dyDescent="0.3">
      <c r="A258" t="s">
        <v>44</v>
      </c>
      <c r="B258" t="s">
        <v>90</v>
      </c>
      <c r="C258" t="s">
        <v>29</v>
      </c>
      <c r="E258">
        <v>120</v>
      </c>
      <c r="G258">
        <v>120</v>
      </c>
      <c r="H258">
        <v>0</v>
      </c>
      <c r="I258">
        <v>0</v>
      </c>
      <c r="J258">
        <v>1</v>
      </c>
      <c r="K25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59" spans="1:11" x14ac:dyDescent="0.3">
      <c r="A259" t="s">
        <v>44</v>
      </c>
      <c r="B259" t="s">
        <v>91</v>
      </c>
      <c r="C259" t="s">
        <v>42</v>
      </c>
      <c r="D259">
        <v>801</v>
      </c>
      <c r="F259">
        <v>6815</v>
      </c>
      <c r="G259">
        <v>7616</v>
      </c>
      <c r="H259">
        <v>0.10517331932773109</v>
      </c>
      <c r="I259">
        <v>0.89482668067226889</v>
      </c>
      <c r="J259">
        <v>0</v>
      </c>
      <c r="K25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60" spans="1:11" x14ac:dyDescent="0.3">
      <c r="A260" t="s">
        <v>44</v>
      </c>
      <c r="B260" t="s">
        <v>91</v>
      </c>
      <c r="C260" t="s">
        <v>28</v>
      </c>
      <c r="D260">
        <v>2184</v>
      </c>
      <c r="F260">
        <v>1059</v>
      </c>
      <c r="G260">
        <v>3243</v>
      </c>
      <c r="H260">
        <v>0.67345050878815915</v>
      </c>
      <c r="I260">
        <v>0.3265494912118409</v>
      </c>
      <c r="J260">
        <v>0</v>
      </c>
      <c r="K26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61" spans="1:11" x14ac:dyDescent="0.3">
      <c r="A261" t="s">
        <v>44</v>
      </c>
      <c r="B261" t="s">
        <v>91</v>
      </c>
      <c r="C261" t="s">
        <v>35</v>
      </c>
      <c r="D261">
        <v>1983</v>
      </c>
      <c r="F261">
        <v>666</v>
      </c>
      <c r="G261">
        <v>2649</v>
      </c>
      <c r="H261">
        <v>0.7485843714609286</v>
      </c>
      <c r="I261">
        <v>0.25141562853907135</v>
      </c>
      <c r="J261">
        <v>0</v>
      </c>
      <c r="K26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62" spans="1:11" x14ac:dyDescent="0.3">
      <c r="A262" t="s">
        <v>44</v>
      </c>
      <c r="B262" t="s">
        <v>91</v>
      </c>
      <c r="C262" t="s">
        <v>29</v>
      </c>
      <c r="E262">
        <v>111</v>
      </c>
      <c r="G262">
        <v>111</v>
      </c>
      <c r="H262">
        <v>0</v>
      </c>
      <c r="I262">
        <v>0</v>
      </c>
      <c r="J262">
        <v>1</v>
      </c>
      <c r="K26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63" spans="1:11" x14ac:dyDescent="0.3">
      <c r="A263" t="s">
        <v>44</v>
      </c>
      <c r="B263" t="s">
        <v>91</v>
      </c>
      <c r="C263" t="s">
        <v>7</v>
      </c>
      <c r="D263">
        <v>2</v>
      </c>
      <c r="G263">
        <v>2</v>
      </c>
      <c r="H263">
        <v>1</v>
      </c>
      <c r="I263">
        <v>0</v>
      </c>
      <c r="J263">
        <v>0</v>
      </c>
      <c r="K26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64" spans="1:11" x14ac:dyDescent="0.3">
      <c r="A264" t="s">
        <v>44</v>
      </c>
      <c r="B264" t="s">
        <v>92</v>
      </c>
      <c r="C264" t="s">
        <v>28</v>
      </c>
      <c r="D264">
        <v>15964</v>
      </c>
      <c r="F264">
        <v>10057</v>
      </c>
      <c r="G264">
        <v>26021</v>
      </c>
      <c r="H264">
        <v>0.61350447715306866</v>
      </c>
      <c r="I264">
        <v>0.38649552284693134</v>
      </c>
      <c r="J264">
        <v>0</v>
      </c>
      <c r="K26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65" spans="1:11" x14ac:dyDescent="0.3">
      <c r="A265" t="s">
        <v>44</v>
      </c>
      <c r="B265" t="s">
        <v>92</v>
      </c>
      <c r="C265" t="s">
        <v>40</v>
      </c>
      <c r="D265">
        <v>1870</v>
      </c>
      <c r="F265">
        <v>23246</v>
      </c>
      <c r="G265">
        <v>25116</v>
      </c>
      <c r="H265">
        <v>7.4454530976270111E-2</v>
      </c>
      <c r="I265">
        <v>0.92554546902372992</v>
      </c>
      <c r="J265">
        <v>0</v>
      </c>
      <c r="K26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66" spans="1:11" x14ac:dyDescent="0.3">
      <c r="A266" t="s">
        <v>44</v>
      </c>
      <c r="B266" t="s">
        <v>92</v>
      </c>
      <c r="C266" t="s">
        <v>35</v>
      </c>
      <c r="D266">
        <v>18183</v>
      </c>
      <c r="F266">
        <v>6540</v>
      </c>
      <c r="G266">
        <v>24723</v>
      </c>
      <c r="H266">
        <v>0.73546899648100961</v>
      </c>
      <c r="I266">
        <v>0.26453100351899039</v>
      </c>
      <c r="J266">
        <v>0</v>
      </c>
      <c r="K26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67" spans="1:11" x14ac:dyDescent="0.3">
      <c r="A267" t="s">
        <v>44</v>
      </c>
      <c r="B267" t="s">
        <v>92</v>
      </c>
      <c r="C267" t="s">
        <v>43</v>
      </c>
      <c r="D267">
        <v>10013</v>
      </c>
      <c r="F267">
        <v>2631</v>
      </c>
      <c r="G267">
        <v>12644</v>
      </c>
      <c r="H267">
        <v>0.79191711483707683</v>
      </c>
      <c r="I267">
        <v>0.20808288516292311</v>
      </c>
      <c r="J267">
        <v>0</v>
      </c>
      <c r="K26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68" spans="1:11" x14ac:dyDescent="0.3">
      <c r="A268" t="s">
        <v>44</v>
      </c>
      <c r="B268" t="s">
        <v>92</v>
      </c>
      <c r="C268" t="s">
        <v>38</v>
      </c>
      <c r="D268">
        <v>6503</v>
      </c>
      <c r="F268">
        <v>2326</v>
      </c>
      <c r="G268">
        <v>8829</v>
      </c>
      <c r="H268">
        <v>0.73655000566315554</v>
      </c>
      <c r="I268">
        <v>0.26344999433684452</v>
      </c>
      <c r="J268">
        <v>0</v>
      </c>
      <c r="K26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69" spans="1:11" x14ac:dyDescent="0.3">
      <c r="A269" t="s">
        <v>44</v>
      </c>
      <c r="B269" t="s">
        <v>92</v>
      </c>
      <c r="C269" t="s">
        <v>7</v>
      </c>
      <c r="D269">
        <v>7227</v>
      </c>
      <c r="F269">
        <v>1177</v>
      </c>
      <c r="G269">
        <v>8404</v>
      </c>
      <c r="H269">
        <v>0.85994764397905754</v>
      </c>
      <c r="I269">
        <v>0.1400523560209424</v>
      </c>
      <c r="J269">
        <v>0</v>
      </c>
      <c r="K26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70" spans="1:11" x14ac:dyDescent="0.3">
      <c r="A270" t="s">
        <v>44</v>
      </c>
      <c r="B270" t="s">
        <v>92</v>
      </c>
      <c r="C270" t="s">
        <v>33</v>
      </c>
      <c r="D270">
        <v>417</v>
      </c>
      <c r="F270">
        <v>3264</v>
      </c>
      <c r="G270">
        <v>3681</v>
      </c>
      <c r="H270">
        <v>0.11328443357783211</v>
      </c>
      <c r="I270">
        <v>0.88671556642216787</v>
      </c>
      <c r="J270">
        <v>0</v>
      </c>
      <c r="K27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71" spans="1:11" x14ac:dyDescent="0.3">
      <c r="A271" t="s">
        <v>44</v>
      </c>
      <c r="B271" t="s">
        <v>92</v>
      </c>
      <c r="C271" t="s">
        <v>36</v>
      </c>
      <c r="D271">
        <v>2951</v>
      </c>
      <c r="F271">
        <v>491</v>
      </c>
      <c r="G271">
        <v>3442</v>
      </c>
      <c r="H271">
        <v>0.85735037768739109</v>
      </c>
      <c r="I271">
        <v>0.14264962231260894</v>
      </c>
      <c r="J271">
        <v>0</v>
      </c>
      <c r="K27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72" spans="1:11" x14ac:dyDescent="0.3">
      <c r="A272" t="s">
        <v>44</v>
      </c>
      <c r="B272" t="s">
        <v>92</v>
      </c>
      <c r="C272" t="s">
        <v>29</v>
      </c>
      <c r="E272">
        <v>1094</v>
      </c>
      <c r="G272">
        <v>1094</v>
      </c>
      <c r="H272">
        <v>0</v>
      </c>
      <c r="I272">
        <v>0</v>
      </c>
      <c r="J272">
        <v>1</v>
      </c>
      <c r="K27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73" spans="1:11" x14ac:dyDescent="0.3">
      <c r="A273" t="s">
        <v>44</v>
      </c>
      <c r="B273" t="s">
        <v>92</v>
      </c>
      <c r="C273" t="s">
        <v>37</v>
      </c>
      <c r="D273">
        <v>96</v>
      </c>
      <c r="G273">
        <v>96</v>
      </c>
      <c r="H273">
        <v>1</v>
      </c>
      <c r="I273">
        <v>0</v>
      </c>
      <c r="J273">
        <v>0</v>
      </c>
      <c r="K27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74" spans="1:11" x14ac:dyDescent="0.3">
      <c r="A274" t="s">
        <v>44</v>
      </c>
      <c r="B274" t="s">
        <v>93</v>
      </c>
      <c r="C274" t="s">
        <v>28</v>
      </c>
      <c r="D274">
        <v>13820</v>
      </c>
      <c r="F274">
        <v>4493</v>
      </c>
      <c r="G274">
        <v>18313</v>
      </c>
      <c r="H274">
        <v>0.75465516299896251</v>
      </c>
      <c r="I274">
        <v>0.24534483700103751</v>
      </c>
      <c r="J274">
        <v>0</v>
      </c>
      <c r="K27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75" spans="1:11" x14ac:dyDescent="0.3">
      <c r="A275" t="s">
        <v>44</v>
      </c>
      <c r="B275" t="s">
        <v>93</v>
      </c>
      <c r="C275" t="s">
        <v>42</v>
      </c>
      <c r="D275">
        <v>1590</v>
      </c>
      <c r="F275">
        <v>13817</v>
      </c>
      <c r="G275">
        <v>15407</v>
      </c>
      <c r="H275">
        <v>0.10319984422665023</v>
      </c>
      <c r="I275">
        <v>0.89680015577334982</v>
      </c>
      <c r="J275">
        <v>0</v>
      </c>
      <c r="K27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76" spans="1:11" x14ac:dyDescent="0.3">
      <c r="A276" t="s">
        <v>44</v>
      </c>
      <c r="B276" t="s">
        <v>93</v>
      </c>
      <c r="C276" t="s">
        <v>33</v>
      </c>
      <c r="D276">
        <v>1210</v>
      </c>
      <c r="F276">
        <v>4336</v>
      </c>
      <c r="G276">
        <v>5546</v>
      </c>
      <c r="H276">
        <v>0.21817526144969349</v>
      </c>
      <c r="I276">
        <v>0.78182473855030654</v>
      </c>
      <c r="J276">
        <v>0</v>
      </c>
      <c r="K27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77" spans="1:11" x14ac:dyDescent="0.3">
      <c r="A277" t="s">
        <v>44</v>
      </c>
      <c r="B277" t="s">
        <v>93</v>
      </c>
      <c r="C277" t="s">
        <v>35</v>
      </c>
      <c r="D277">
        <v>2316</v>
      </c>
      <c r="F277">
        <v>902</v>
      </c>
      <c r="G277">
        <v>3218</v>
      </c>
      <c r="H277">
        <v>0.71970167806090735</v>
      </c>
      <c r="I277">
        <v>0.2802983219390926</v>
      </c>
      <c r="J277">
        <v>0</v>
      </c>
      <c r="K27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78" spans="1:11" x14ac:dyDescent="0.3">
      <c r="A278" t="s">
        <v>44</v>
      </c>
      <c r="B278" t="s">
        <v>93</v>
      </c>
      <c r="C278" t="s">
        <v>29</v>
      </c>
      <c r="E278">
        <v>774</v>
      </c>
      <c r="G278">
        <v>774</v>
      </c>
      <c r="H278">
        <v>0</v>
      </c>
      <c r="I278">
        <v>0</v>
      </c>
      <c r="J278">
        <v>1</v>
      </c>
      <c r="K27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79" spans="1:11" x14ac:dyDescent="0.3">
      <c r="A279" t="s">
        <v>44</v>
      </c>
      <c r="B279" t="s">
        <v>93</v>
      </c>
      <c r="C279" t="s">
        <v>38</v>
      </c>
      <c r="D279">
        <v>37</v>
      </c>
      <c r="F279">
        <v>14</v>
      </c>
      <c r="G279">
        <v>51</v>
      </c>
      <c r="H279">
        <v>0.72549019607843135</v>
      </c>
      <c r="I279">
        <v>0.27450980392156865</v>
      </c>
      <c r="J279">
        <v>0</v>
      </c>
      <c r="K27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80" spans="1:11" x14ac:dyDescent="0.3">
      <c r="A280" t="s">
        <v>44</v>
      </c>
      <c r="B280" t="s">
        <v>93</v>
      </c>
      <c r="C280" t="s">
        <v>37</v>
      </c>
      <c r="D280">
        <v>47</v>
      </c>
      <c r="G280">
        <v>47</v>
      </c>
      <c r="H280">
        <v>1</v>
      </c>
      <c r="I280">
        <v>0</v>
      </c>
      <c r="J280">
        <v>0</v>
      </c>
      <c r="K28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81" spans="1:11" x14ac:dyDescent="0.3">
      <c r="A281" t="s">
        <v>44</v>
      </c>
      <c r="B281" t="s">
        <v>93</v>
      </c>
      <c r="C281" t="s">
        <v>7</v>
      </c>
      <c r="D281">
        <v>1</v>
      </c>
      <c r="F281">
        <v>1</v>
      </c>
      <c r="G281">
        <v>2</v>
      </c>
      <c r="H281">
        <v>0.5</v>
      </c>
      <c r="I281">
        <v>0.5</v>
      </c>
      <c r="J281">
        <v>0</v>
      </c>
      <c r="K28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C1C2D9-25FC-4A55-A72A-DCF544F33D0E}">
  <dimension ref="A1:BI29"/>
  <sheetViews>
    <sheetView zoomScale="86" workbookViewId="0">
      <selection activeCell="B1" sqref="B1:BI29"/>
    </sheetView>
  </sheetViews>
  <sheetFormatPr baseColWidth="10" defaultRowHeight="14.4" x14ac:dyDescent="0.3"/>
  <cols>
    <col min="1" max="1" width="28.6640625" bestFit="1" customWidth="1"/>
  </cols>
  <sheetData>
    <row r="1" spans="1:61" ht="46.8" x14ac:dyDescent="0.3">
      <c r="A1" s="18" t="s">
        <v>447</v>
      </c>
      <c r="B1" s="19">
        <v>44197</v>
      </c>
      <c r="C1" s="19">
        <v>44228</v>
      </c>
      <c r="D1" s="19">
        <v>44256</v>
      </c>
      <c r="E1" s="19">
        <v>44287</v>
      </c>
      <c r="F1" s="19">
        <v>44317</v>
      </c>
      <c r="G1" s="19">
        <v>44348</v>
      </c>
      <c r="H1" s="19">
        <v>44378</v>
      </c>
      <c r="I1" s="19">
        <v>44409</v>
      </c>
      <c r="J1" s="19">
        <v>44440</v>
      </c>
      <c r="K1" s="19">
        <v>44470</v>
      </c>
      <c r="L1" s="19">
        <v>44501</v>
      </c>
      <c r="M1" s="19">
        <v>44531</v>
      </c>
      <c r="N1" s="20">
        <v>44562</v>
      </c>
      <c r="O1" s="20">
        <v>44593</v>
      </c>
      <c r="P1" s="20">
        <v>44621</v>
      </c>
      <c r="Q1" s="20">
        <v>44652</v>
      </c>
      <c r="R1" s="20">
        <v>44682</v>
      </c>
      <c r="S1" s="20">
        <v>44713</v>
      </c>
      <c r="T1" s="20">
        <v>44743</v>
      </c>
      <c r="U1" s="20">
        <v>44774</v>
      </c>
      <c r="V1" s="20">
        <v>44805</v>
      </c>
      <c r="W1" s="20">
        <v>44835</v>
      </c>
      <c r="X1" s="20">
        <v>44866</v>
      </c>
      <c r="Y1" s="20">
        <v>44896</v>
      </c>
      <c r="Z1" s="21">
        <v>44927</v>
      </c>
      <c r="AA1" s="21">
        <v>44958</v>
      </c>
      <c r="AB1" s="21">
        <v>44986</v>
      </c>
      <c r="AC1" s="21">
        <v>45017</v>
      </c>
      <c r="AD1" s="21">
        <v>45047</v>
      </c>
      <c r="AE1" s="21">
        <v>45078</v>
      </c>
      <c r="AF1" s="21">
        <v>45108</v>
      </c>
      <c r="AG1" s="21">
        <v>45139</v>
      </c>
      <c r="AH1" s="21">
        <v>45170</v>
      </c>
      <c r="AI1" s="21">
        <v>45200</v>
      </c>
      <c r="AJ1" s="21">
        <v>45231</v>
      </c>
      <c r="AK1" s="22">
        <v>45261</v>
      </c>
      <c r="AL1" s="23">
        <v>45292</v>
      </c>
      <c r="AM1" s="23">
        <v>45323</v>
      </c>
      <c r="AN1" s="23">
        <v>45352</v>
      </c>
      <c r="AO1" s="23">
        <v>45383</v>
      </c>
      <c r="AP1" s="23">
        <v>45413</v>
      </c>
      <c r="AQ1" s="23">
        <v>45444</v>
      </c>
      <c r="AR1" s="23">
        <v>45474</v>
      </c>
      <c r="AS1" s="23">
        <v>45505</v>
      </c>
      <c r="AT1" s="23">
        <v>45536</v>
      </c>
      <c r="AU1" s="23">
        <v>45566</v>
      </c>
      <c r="AV1" s="23">
        <v>45597</v>
      </c>
      <c r="AW1" s="23">
        <v>45627</v>
      </c>
      <c r="AX1" s="24">
        <v>45658</v>
      </c>
      <c r="AY1" s="24">
        <v>45689</v>
      </c>
      <c r="AZ1" s="24">
        <v>45717</v>
      </c>
      <c r="BA1" s="24">
        <v>45748</v>
      </c>
      <c r="BB1" s="24">
        <v>45778</v>
      </c>
      <c r="BC1" s="24">
        <v>45809</v>
      </c>
      <c r="BD1" s="24">
        <v>45839</v>
      </c>
      <c r="BE1" s="24">
        <v>45870</v>
      </c>
      <c r="BF1" s="24">
        <v>45901</v>
      </c>
      <c r="BG1" s="24">
        <v>45931</v>
      </c>
      <c r="BH1" s="24">
        <v>45962</v>
      </c>
      <c r="BI1" s="24">
        <v>45992</v>
      </c>
    </row>
    <row r="2" spans="1:61" x14ac:dyDescent="0.3">
      <c r="A2" s="25" t="s">
        <v>448</v>
      </c>
      <c r="B2" s="26">
        <v>2541.6201809999998</v>
      </c>
      <c r="C2" s="26">
        <v>2853.2238930000003</v>
      </c>
      <c r="D2" s="26">
        <v>3582.1970970000002</v>
      </c>
      <c r="E2" s="26">
        <v>3380.4897059999998</v>
      </c>
      <c r="F2" s="26">
        <v>2073.4054809999998</v>
      </c>
      <c r="G2" s="26">
        <v>2673.7740739999999</v>
      </c>
      <c r="H2" s="26">
        <v>3230.1782369999996</v>
      </c>
      <c r="I2" s="26">
        <v>3334.3394780000003</v>
      </c>
      <c r="J2" s="26">
        <v>3750.2018689999995</v>
      </c>
      <c r="K2" s="26">
        <v>3388.686290000001</v>
      </c>
      <c r="L2" s="26">
        <v>3829.0298199999993</v>
      </c>
      <c r="M2" s="26">
        <v>3394.5646030000003</v>
      </c>
      <c r="N2" s="26">
        <v>2721.6361799999995</v>
      </c>
      <c r="O2" s="26">
        <v>3157.7965250000002</v>
      </c>
      <c r="P2" s="26">
        <v>3728.1185850000002</v>
      </c>
      <c r="Q2" s="26">
        <v>2977.9388009999998</v>
      </c>
      <c r="R2" s="26">
        <v>3739.7985099999996</v>
      </c>
      <c r="S2" s="26">
        <v>3055.7266179999988</v>
      </c>
      <c r="T2" s="26">
        <v>2942.9303300000001</v>
      </c>
      <c r="U2" s="26">
        <v>3174.2189301799999</v>
      </c>
      <c r="V2" s="26">
        <v>2764.1117787500002</v>
      </c>
      <c r="W2" s="26">
        <v>2316.3618140000008</v>
      </c>
      <c r="X2" s="26">
        <v>2083.14927485</v>
      </c>
      <c r="Y2" s="26">
        <v>2635.3398274000001</v>
      </c>
      <c r="Z2" s="26">
        <v>2401.6324190999999</v>
      </c>
      <c r="AA2" s="26">
        <v>2075.6987782499996</v>
      </c>
      <c r="AB2" s="26">
        <v>2628.8482355800002</v>
      </c>
      <c r="AC2" s="26">
        <v>1813.2789488000001</v>
      </c>
      <c r="AD2" s="26">
        <v>2200.22784</v>
      </c>
      <c r="AE2" s="26">
        <v>2306.58021405</v>
      </c>
      <c r="AF2" s="26">
        <v>2221.8606552500005</v>
      </c>
      <c r="AG2" s="26">
        <v>2366.3302810399996</v>
      </c>
      <c r="AH2" s="26">
        <v>1923.0617642999998</v>
      </c>
      <c r="AI2" s="26">
        <v>2105.6643414</v>
      </c>
      <c r="AJ2" s="26">
        <v>2580.1679199400005</v>
      </c>
      <c r="AK2" s="27">
        <v>2676.3580369000001</v>
      </c>
      <c r="AL2" s="26">
        <v>2661.54331615</v>
      </c>
      <c r="AM2" s="26">
        <v>2887.4064081900015</v>
      </c>
      <c r="AN2" s="26">
        <v>2050.0720000000001</v>
      </c>
      <c r="AO2" s="26">
        <v>3098.2129912599999</v>
      </c>
      <c r="AP2" s="26">
        <v>2742.9007563499995</v>
      </c>
      <c r="AQ2" s="26">
        <v>2526.1247214799996</v>
      </c>
      <c r="AR2" s="26">
        <v>3465.5067249999997</v>
      </c>
      <c r="AS2" s="26">
        <v>3465.1917065100001</v>
      </c>
      <c r="AT2" s="26">
        <v>3362.9942510000001</v>
      </c>
      <c r="AU2" s="26">
        <v>3510.4625121200006</v>
      </c>
      <c r="AV2" s="26">
        <v>2715.07239037</v>
      </c>
      <c r="AW2" s="26">
        <v>2495.8949345399992</v>
      </c>
      <c r="AX2" s="26">
        <v>2953.9540000000002</v>
      </c>
      <c r="AY2" s="26">
        <v>2862.3549499999999</v>
      </c>
      <c r="AZ2" s="26">
        <v>3155.1969589999994</v>
      </c>
      <c r="BA2" s="26">
        <v>3386.1473600000008</v>
      </c>
      <c r="BB2" s="26">
        <v>3919.2771230000003</v>
      </c>
      <c r="BC2" s="26">
        <v>3114.8409999999999</v>
      </c>
      <c r="BD2" s="26">
        <v>3764.4850000000001</v>
      </c>
      <c r="BE2" s="26">
        <v>3650.2860000000001</v>
      </c>
      <c r="BF2" s="26">
        <v>3786.6489999999999</v>
      </c>
      <c r="BG2" s="26">
        <v>3686.5320000000002</v>
      </c>
      <c r="BH2" s="26">
        <v>3475.9250000000002</v>
      </c>
      <c r="BI2" s="26">
        <v>3652.7420000000002</v>
      </c>
    </row>
    <row r="3" spans="1:61" x14ac:dyDescent="0.3">
      <c r="A3" s="25" t="s">
        <v>449</v>
      </c>
      <c r="B3" s="28">
        <v>1885.201965</v>
      </c>
      <c r="C3" s="28">
        <v>2222.2981680000003</v>
      </c>
      <c r="D3" s="28">
        <v>2371.0415800000001</v>
      </c>
      <c r="E3" s="28">
        <v>2431.3118769999996</v>
      </c>
      <c r="F3" s="28">
        <v>1767.7415930000002</v>
      </c>
      <c r="G3" s="28">
        <v>1999.2929790000001</v>
      </c>
      <c r="H3" s="28">
        <v>2139.0306770000002</v>
      </c>
      <c r="I3" s="28">
        <v>2275.4613439999998</v>
      </c>
      <c r="J3" s="28">
        <v>2359.807229</v>
      </c>
      <c r="K3" s="28">
        <v>2420.272457</v>
      </c>
      <c r="L3" s="28">
        <v>2428.6231290000001</v>
      </c>
      <c r="M3" s="28">
        <v>2023.9477124399998</v>
      </c>
      <c r="N3" s="28">
        <v>2147.7489519999999</v>
      </c>
      <c r="O3" s="28">
        <v>2302.651069</v>
      </c>
      <c r="P3" s="28">
        <v>2357.1951009999998</v>
      </c>
      <c r="Q3" s="28">
        <v>2392.7545690000002</v>
      </c>
      <c r="R3" s="28">
        <v>2644.6807080000003</v>
      </c>
      <c r="S3" s="28">
        <v>2392.8305399999999</v>
      </c>
      <c r="T3" s="28">
        <v>2193.2497360000002</v>
      </c>
      <c r="U3" s="28">
        <v>2477.1180406100002</v>
      </c>
      <c r="V3" s="28">
        <v>2237.3710576800004</v>
      </c>
      <c r="W3" s="28">
        <v>2096.9630115099985</v>
      </c>
      <c r="X3" s="28">
        <v>2042.3783616400019</v>
      </c>
      <c r="Y3" s="28">
        <v>2221.1752633800056</v>
      </c>
      <c r="Z3" s="28">
        <v>1991.1257261899991</v>
      </c>
      <c r="AA3" s="28">
        <v>1946.2380211800009</v>
      </c>
      <c r="AB3" s="28">
        <v>2143.8547448900026</v>
      </c>
      <c r="AC3" s="28">
        <v>1788.1877273300008</v>
      </c>
      <c r="AD3" s="28">
        <v>1966.530894209995</v>
      </c>
      <c r="AE3" s="28">
        <v>2035.1762800000033</v>
      </c>
      <c r="AF3" s="28">
        <v>2026.1411855799979</v>
      </c>
      <c r="AG3" s="28">
        <v>2111.1711588499966</v>
      </c>
      <c r="AH3" s="28">
        <v>1916.8687212499999</v>
      </c>
      <c r="AI3" s="28">
        <v>1789.62312726</v>
      </c>
      <c r="AJ3" s="28">
        <v>1973.84239379</v>
      </c>
      <c r="AK3" s="29">
        <v>2010.8517058499999</v>
      </c>
      <c r="AL3" s="28">
        <v>1957.1239547600001</v>
      </c>
      <c r="AM3" s="28">
        <v>2066.1104901099998</v>
      </c>
      <c r="AN3" s="28">
        <v>2006.75</v>
      </c>
      <c r="AO3" s="28">
        <v>2393.4985609300002</v>
      </c>
      <c r="AP3" s="28">
        <v>2220.68278710001</v>
      </c>
      <c r="AQ3" s="28">
        <v>1965.7291761500001</v>
      </c>
      <c r="AR3" s="28">
        <v>2435.0378020500057</v>
      </c>
      <c r="AS3" s="28">
        <v>2329.1443456799998</v>
      </c>
      <c r="AT3" s="28">
        <v>2379.9495484700201</v>
      </c>
      <c r="AU3" s="28">
        <v>2408.9850119500002</v>
      </c>
      <c r="AV3" s="28">
        <v>2121.2541961799998</v>
      </c>
      <c r="AW3" s="28">
        <v>2159.2654271599999</v>
      </c>
      <c r="AX3" s="28">
        <v>2150.3975830899999</v>
      </c>
      <c r="AY3" s="28">
        <v>2245.9400610799898</v>
      </c>
      <c r="AZ3" s="28">
        <v>2141.5058228100002</v>
      </c>
      <c r="BA3" s="28">
        <v>2315.6285275099999</v>
      </c>
      <c r="BB3" s="28">
        <v>2467.97992105</v>
      </c>
      <c r="BC3" s="26">
        <v>2367.2080000000001</v>
      </c>
      <c r="BD3" s="28">
        <v>2853.3040000000001</v>
      </c>
      <c r="BE3" s="28">
        <v>2513.15</v>
      </c>
      <c r="BF3" s="28">
        <v>2591.9989999999998</v>
      </c>
      <c r="BG3" s="28">
        <v>2470.9580000000001</v>
      </c>
      <c r="BH3" s="28">
        <v>2561.3510000000001</v>
      </c>
      <c r="BI3" s="28">
        <v>2729.1480000000001</v>
      </c>
    </row>
    <row r="4" spans="1:61" x14ac:dyDescent="0.3">
      <c r="A4" s="30" t="s">
        <v>450</v>
      </c>
      <c r="B4" s="31">
        <v>656.4182159999998</v>
      </c>
      <c r="C4" s="31">
        <v>630.92572500000006</v>
      </c>
      <c r="D4" s="31">
        <v>1211.1555170000001</v>
      </c>
      <c r="E4" s="31">
        <v>949.1778290000002</v>
      </c>
      <c r="F4" s="31">
        <v>305.66388799999959</v>
      </c>
      <c r="G4" s="31">
        <v>674.48109499999987</v>
      </c>
      <c r="H4" s="31">
        <v>1091.1475599999994</v>
      </c>
      <c r="I4" s="31">
        <v>1058.8781340000005</v>
      </c>
      <c r="J4" s="31">
        <v>1390.3946399999995</v>
      </c>
      <c r="K4" s="31">
        <v>968.41383300000098</v>
      </c>
      <c r="L4" s="31">
        <v>1400.4066909999992</v>
      </c>
      <c r="M4" s="31">
        <v>1370.6168905600005</v>
      </c>
      <c r="N4" s="31">
        <v>573.8872279999996</v>
      </c>
      <c r="O4" s="31">
        <v>855.14545600000019</v>
      </c>
      <c r="P4" s="31">
        <v>1370.9234840000004</v>
      </c>
      <c r="Q4" s="31">
        <v>585.18423199999961</v>
      </c>
      <c r="R4" s="31">
        <v>1095.1178019999993</v>
      </c>
      <c r="S4" s="31">
        <v>662.89607799999885</v>
      </c>
      <c r="T4" s="31">
        <v>749.68059399999993</v>
      </c>
      <c r="U4" s="31">
        <v>697.10088956999971</v>
      </c>
      <c r="V4" s="31">
        <v>526.74072106999984</v>
      </c>
      <c r="W4" s="31">
        <v>219.39880249000225</v>
      </c>
      <c r="X4" s="31">
        <v>40.770913209998071</v>
      </c>
      <c r="Y4" s="31">
        <v>414.16456401999449</v>
      </c>
      <c r="Z4" s="31">
        <v>410.50669291000077</v>
      </c>
      <c r="AA4" s="31">
        <v>129.46075706999864</v>
      </c>
      <c r="AB4" s="31">
        <v>484.99349068999754</v>
      </c>
      <c r="AC4" s="31">
        <v>25.091221469999255</v>
      </c>
      <c r="AD4" s="31">
        <v>233.69694579000497</v>
      </c>
      <c r="AE4" s="31">
        <v>271.40393404999668</v>
      </c>
      <c r="AF4" s="31">
        <v>195.71946967000258</v>
      </c>
      <c r="AG4" s="31">
        <v>255.15912219000302</v>
      </c>
      <c r="AH4" s="31">
        <v>6.1930430499999147</v>
      </c>
      <c r="AI4" s="31">
        <v>316.04121413999997</v>
      </c>
      <c r="AJ4" s="31">
        <v>606.32552615000054</v>
      </c>
      <c r="AK4" s="32">
        <v>665.5063310500002</v>
      </c>
      <c r="AL4" s="31">
        <v>704.41936138999995</v>
      </c>
      <c r="AM4" s="31">
        <v>821.29591808000168</v>
      </c>
      <c r="AN4" s="31">
        <v>43.322000000000116</v>
      </c>
      <c r="AO4" s="31">
        <v>704.71443032999969</v>
      </c>
      <c r="AP4" s="31">
        <v>522.21796924998944</v>
      </c>
      <c r="AQ4" s="31">
        <v>560.39554532999955</v>
      </c>
      <c r="AR4" s="31">
        <v>1030.4689229499941</v>
      </c>
      <c r="AS4" s="31">
        <v>1136.0473608300003</v>
      </c>
      <c r="AT4" s="31">
        <v>983.04470252997999</v>
      </c>
      <c r="AU4" s="31">
        <v>1101.4775001700004</v>
      </c>
      <c r="AV4" s="31">
        <v>593.81819419000021</v>
      </c>
      <c r="AW4" s="31">
        <v>336.62950737999927</v>
      </c>
      <c r="AX4" s="33">
        <v>803.55641691000028</v>
      </c>
      <c r="AY4" s="33">
        <v>616.41488892001007</v>
      </c>
      <c r="AZ4" s="33">
        <v>1013.6911361899993</v>
      </c>
      <c r="BA4" s="33">
        <v>1070.5188324900009</v>
      </c>
      <c r="BB4" s="33">
        <v>1451.2972019500003</v>
      </c>
      <c r="BC4" s="33">
        <v>747.63299999999981</v>
      </c>
      <c r="BD4" s="33">
        <v>911.18100000000004</v>
      </c>
      <c r="BE4" s="33">
        <v>1137.136</v>
      </c>
      <c r="BF4" s="33">
        <v>1194.6500000000001</v>
      </c>
      <c r="BG4" s="33">
        <v>1215.5740000000001</v>
      </c>
      <c r="BH4" s="33">
        <v>914.57400000000007</v>
      </c>
      <c r="BI4" s="33">
        <v>923.59400000000005</v>
      </c>
    </row>
    <row r="5" spans="1:61" x14ac:dyDescent="0.3">
      <c r="A5" s="25" t="s">
        <v>451</v>
      </c>
      <c r="B5" s="26">
        <v>219.41839610170013</v>
      </c>
      <c r="C5" s="26">
        <v>445.63757299999997</v>
      </c>
      <c r="D5" s="26">
        <v>241.155473</v>
      </c>
      <c r="E5" s="26">
        <v>269.87877399999996</v>
      </c>
      <c r="F5" s="26">
        <v>260.42957000000001</v>
      </c>
      <c r="G5" s="26">
        <v>-90.191337000000004</v>
      </c>
      <c r="H5" s="26">
        <v>331.21014183</v>
      </c>
      <c r="I5" s="26">
        <v>255.91438429000002</v>
      </c>
      <c r="J5" s="26">
        <v>-94.800501110000013</v>
      </c>
      <c r="K5" s="26">
        <v>86.136185999999995</v>
      </c>
      <c r="L5" s="26">
        <v>271.00341499999996</v>
      </c>
      <c r="M5" s="26">
        <v>252.88938258000005</v>
      </c>
      <c r="N5" s="28">
        <v>91.064111000000011</v>
      </c>
      <c r="O5" s="28">
        <v>57.787386000000005</v>
      </c>
      <c r="P5" s="28">
        <v>843.46615605</v>
      </c>
      <c r="Q5" s="28">
        <v>133.85701197</v>
      </c>
      <c r="R5" s="28">
        <v>-6.342214700000004</v>
      </c>
      <c r="S5" s="28">
        <v>-1.2339733799999999</v>
      </c>
      <c r="T5" s="28">
        <v>493.85245877999995</v>
      </c>
      <c r="U5" s="28">
        <v>66.185598049999996</v>
      </c>
      <c r="V5" s="28">
        <v>134.41535911999998</v>
      </c>
      <c r="W5" s="28">
        <v>33.787341870000006</v>
      </c>
      <c r="X5" s="28">
        <v>-46.04426514</v>
      </c>
      <c r="Y5" s="28">
        <v>3669.2170142</v>
      </c>
      <c r="Z5" s="28">
        <v>2490.0258758800001</v>
      </c>
      <c r="AA5" s="28">
        <v>42.146618060000002</v>
      </c>
      <c r="AB5" s="28">
        <v>-51.582598570000002</v>
      </c>
      <c r="AC5" s="28">
        <v>143.82397340000003</v>
      </c>
      <c r="AD5" s="28">
        <v>59.460185059999993</v>
      </c>
      <c r="AE5" s="28">
        <v>-5.9233523699999999</v>
      </c>
      <c r="AF5" s="28">
        <v>-16.607679260000001</v>
      </c>
      <c r="AG5" s="28">
        <v>73.684259209999993</v>
      </c>
      <c r="AH5" s="28">
        <v>15.82156691</v>
      </c>
      <c r="AI5" s="28">
        <v>-11.302039360000002</v>
      </c>
      <c r="AJ5" s="28">
        <v>103.42927998</v>
      </c>
      <c r="AK5" s="29">
        <v>234.29212636999998</v>
      </c>
      <c r="AL5" s="28">
        <v>125.44912803999999</v>
      </c>
      <c r="AM5" s="28">
        <v>209.47025467999975</v>
      </c>
      <c r="AN5" s="28">
        <v>1142.09744546</v>
      </c>
      <c r="AO5" s="28">
        <v>131.89321951000002</v>
      </c>
      <c r="AP5" s="28">
        <v>41.457441210000006</v>
      </c>
      <c r="AQ5" s="28">
        <v>372.94676199000003</v>
      </c>
      <c r="AR5" s="28">
        <v>-95.659568109999995</v>
      </c>
      <c r="AS5" s="28">
        <v>32.304733040000002</v>
      </c>
      <c r="AT5" s="28">
        <v>-107.67212257999999</v>
      </c>
      <c r="AU5" s="28">
        <v>322.07638304000005</v>
      </c>
      <c r="AV5" s="28">
        <v>580.986402</v>
      </c>
      <c r="AW5" s="28">
        <v>202.5999697</v>
      </c>
      <c r="AX5" s="28">
        <v>375.87134900000001</v>
      </c>
      <c r="AY5" s="28">
        <v>139.14873300000002</v>
      </c>
      <c r="AZ5" s="28">
        <v>59.756731000000002</v>
      </c>
      <c r="BA5" s="28">
        <v>-57.491921000000005</v>
      </c>
      <c r="BB5" s="28">
        <v>-79.408439000000001</v>
      </c>
      <c r="BC5" s="28">
        <v>-11.080112999999999</v>
      </c>
      <c r="BD5" s="28">
        <v>54.760775000000002</v>
      </c>
      <c r="BE5" s="28">
        <v>208.867164</v>
      </c>
      <c r="BF5" s="28">
        <v>854.11157300000002</v>
      </c>
      <c r="BG5" s="28">
        <v>130.03041099999999</v>
      </c>
      <c r="BH5" s="28">
        <v>602.85075699999993</v>
      </c>
      <c r="BI5" s="28">
        <v>1107.9910460000001</v>
      </c>
    </row>
    <row r="6" spans="1:61" x14ac:dyDescent="0.3">
      <c r="A6" s="25" t="s">
        <v>452</v>
      </c>
      <c r="B6" s="28">
        <v>729.78719615610021</v>
      </c>
      <c r="C6" s="28">
        <v>580.4925137378001</v>
      </c>
      <c r="D6" s="28">
        <v>267.82917999999995</v>
      </c>
      <c r="E6" s="28">
        <v>391.97066699999999</v>
      </c>
      <c r="F6" s="28">
        <v>421.90136000000001</v>
      </c>
      <c r="G6" s="28">
        <v>534.90492900000004</v>
      </c>
      <c r="H6" s="28">
        <v>410.501015</v>
      </c>
      <c r="I6" s="28">
        <v>463.39072099999998</v>
      </c>
      <c r="J6" s="28">
        <v>419.29546799999997</v>
      </c>
      <c r="K6" s="28">
        <v>594.72489699999994</v>
      </c>
      <c r="L6" s="28">
        <v>689.64258499999994</v>
      </c>
      <c r="M6" s="28">
        <v>4986.4468429999997</v>
      </c>
      <c r="N6" s="28">
        <v>754.99348399999997</v>
      </c>
      <c r="O6" s="28">
        <v>457.54356199999995</v>
      </c>
      <c r="P6" s="28">
        <v>787.90828799999997</v>
      </c>
      <c r="Q6" s="28">
        <v>702.44753900000001</v>
      </c>
      <c r="R6" s="28">
        <v>-78.882277000000059</v>
      </c>
      <c r="S6" s="28">
        <v>559.18445599999995</v>
      </c>
      <c r="T6" s="28">
        <v>740.24023199999999</v>
      </c>
      <c r="U6" s="28">
        <v>435.85507402000007</v>
      </c>
      <c r="V6" s="28">
        <v>181.17732601</v>
      </c>
      <c r="W6" s="28">
        <v>821.49130610999998</v>
      </c>
      <c r="X6" s="28">
        <v>361.15106672000007</v>
      </c>
      <c r="Y6" s="28">
        <v>1025.69026057</v>
      </c>
      <c r="Z6" s="26">
        <v>1464.8190178100001</v>
      </c>
      <c r="AA6" s="26">
        <v>794.04419111999994</v>
      </c>
      <c r="AB6" s="26">
        <v>604.14323879999995</v>
      </c>
      <c r="AC6" s="26">
        <v>891.12699978000001</v>
      </c>
      <c r="AD6" s="26">
        <v>499.76995989000005</v>
      </c>
      <c r="AE6" s="26">
        <v>789.54865507</v>
      </c>
      <c r="AF6" s="26">
        <v>494.25364577999994</v>
      </c>
      <c r="AG6" s="26">
        <v>-246.80859668999997</v>
      </c>
      <c r="AH6" s="26">
        <v>425.06926546</v>
      </c>
      <c r="AI6" s="26">
        <v>474.16782056</v>
      </c>
      <c r="AJ6" s="26">
        <v>759.28836352999997</v>
      </c>
      <c r="AK6" s="27">
        <v>267.61442285999999</v>
      </c>
      <c r="AL6" s="26">
        <v>596.73208735000003</v>
      </c>
      <c r="AM6" s="26">
        <v>231.92661928000001</v>
      </c>
      <c r="AN6" s="26">
        <v>559.60239821000005</v>
      </c>
      <c r="AO6" s="26">
        <v>385.62269029999999</v>
      </c>
      <c r="AP6" s="26">
        <v>827.54783927000005</v>
      </c>
      <c r="AQ6" s="26">
        <v>558.99385986000004</v>
      </c>
      <c r="AR6" s="26">
        <v>309.50501130999999</v>
      </c>
      <c r="AS6" s="26">
        <v>649.68928223</v>
      </c>
      <c r="AT6" s="26">
        <v>672.20328333999998</v>
      </c>
      <c r="AU6" s="26">
        <v>87.727614799999998</v>
      </c>
      <c r="AV6" s="26">
        <v>417.37544016999999</v>
      </c>
      <c r="AW6" s="26">
        <v>459.13796774000002</v>
      </c>
      <c r="AX6" s="26">
        <v>593.08699999999999</v>
      </c>
      <c r="AY6" s="26">
        <v>323.488</v>
      </c>
      <c r="AZ6" s="26">
        <v>494.74299999999999</v>
      </c>
      <c r="BA6" s="26">
        <v>385.00700000000001</v>
      </c>
      <c r="BB6" s="26">
        <v>336.62</v>
      </c>
      <c r="BC6" s="26">
        <v>427.44400000000002</v>
      </c>
      <c r="BD6" s="26">
        <v>365.60899999999998</v>
      </c>
      <c r="BE6" s="26">
        <v>845.11099999999999</v>
      </c>
      <c r="BF6" s="26">
        <v>568.57399999999996</v>
      </c>
      <c r="BG6" s="26">
        <v>834.75199999999995</v>
      </c>
      <c r="BH6" s="26">
        <v>742.423</v>
      </c>
      <c r="BI6" s="26">
        <v>399.26600000000002</v>
      </c>
    </row>
    <row r="7" spans="1:61" x14ac:dyDescent="0.3">
      <c r="A7" s="25" t="s">
        <v>453</v>
      </c>
      <c r="B7" s="28">
        <v>3.0212150000000002</v>
      </c>
      <c r="C7" s="28">
        <v>0.35</v>
      </c>
      <c r="D7" s="28">
        <v>0.36049999999999999</v>
      </c>
      <c r="E7" s="28">
        <v>0.36049999999999999</v>
      </c>
      <c r="F7" s="28">
        <v>0.36049999999999999</v>
      </c>
      <c r="G7" s="28">
        <v>0.47860900000000001</v>
      </c>
      <c r="H7" s="28">
        <v>2.3972570000000002</v>
      </c>
      <c r="I7" s="28">
        <v>0.6855</v>
      </c>
      <c r="J7" s="28">
        <v>1.8605</v>
      </c>
      <c r="K7" s="28">
        <v>4.4809920000000005</v>
      </c>
      <c r="L7" s="28">
        <v>5.3005000000000004</v>
      </c>
      <c r="M7" s="28">
        <v>3.6204999999999998</v>
      </c>
      <c r="N7" s="28">
        <v>3.3605</v>
      </c>
      <c r="O7" s="28">
        <v>1.931789</v>
      </c>
      <c r="P7" s="28">
        <v>1.7404359999999999</v>
      </c>
      <c r="Q7" s="28">
        <v>4.1681409999999994</v>
      </c>
      <c r="R7" s="28">
        <v>4.5444319999999996</v>
      </c>
      <c r="S7" s="28">
        <v>4.0849169999999999</v>
      </c>
      <c r="T7" s="28">
        <v>2.444585</v>
      </c>
      <c r="U7" s="28">
        <v>0.378525</v>
      </c>
      <c r="V7" s="28">
        <v>1.68</v>
      </c>
      <c r="W7" s="28">
        <v>0</v>
      </c>
      <c r="X7" s="28">
        <v>2.2974000000000001</v>
      </c>
      <c r="Y7" s="28">
        <v>0</v>
      </c>
      <c r="Z7" s="26">
        <v>0.378525</v>
      </c>
      <c r="AA7" s="26">
        <v>0.378525</v>
      </c>
      <c r="AB7" s="26">
        <v>0.40880700000000003</v>
      </c>
      <c r="AC7" s="26">
        <v>0.78733200000000003</v>
      </c>
      <c r="AD7" s="26">
        <v>0.40880700000000003</v>
      </c>
      <c r="AE7" s="26">
        <v>1.508807</v>
      </c>
      <c r="AF7" s="26">
        <v>0.40880700000000003</v>
      </c>
      <c r="AG7" s="26">
        <v>0.40880700000000003</v>
      </c>
      <c r="AH7" s="26">
        <v>0.40880699999999998</v>
      </c>
      <c r="AI7" s="26">
        <v>0.40880699999999998</v>
      </c>
      <c r="AJ7" s="26">
        <v>0.40880700000000003</v>
      </c>
      <c r="AK7" s="27">
        <v>0.40880699999999998</v>
      </c>
      <c r="AL7" s="26">
        <v>0.40880699999999998</v>
      </c>
      <c r="AM7" s="26">
        <v>0.40880699999999998</v>
      </c>
      <c r="AN7" s="26">
        <v>0.44151200000000002</v>
      </c>
      <c r="AO7" s="26">
        <v>0.40880699999999998</v>
      </c>
      <c r="AP7" s="26">
        <v>0.40880699999999998</v>
      </c>
      <c r="AQ7" s="26">
        <v>7.4088070000000004</v>
      </c>
      <c r="AR7" s="26">
        <v>0.40880699999999998</v>
      </c>
      <c r="AS7" s="26">
        <v>0.40880699999999998</v>
      </c>
      <c r="AT7" s="26">
        <v>0.40880699999999998</v>
      </c>
      <c r="AU7" s="26">
        <v>0.54450699999999996</v>
      </c>
      <c r="AV7" s="26">
        <v>0.40880699999999998</v>
      </c>
      <c r="AW7" s="26">
        <v>0.44151200000000002</v>
      </c>
      <c r="AX7" s="26">
        <v>0.44151200000000002</v>
      </c>
      <c r="AY7" s="26">
        <v>0.44151200000000002</v>
      </c>
      <c r="AZ7" s="26">
        <v>0.46447100000000002</v>
      </c>
      <c r="BA7" s="26">
        <v>0.46447100000000002</v>
      </c>
      <c r="BB7" s="26">
        <v>0.97960199999999997</v>
      </c>
      <c r="BC7" s="26">
        <v>0.46447100000000002</v>
      </c>
      <c r="BD7" s="26">
        <v>0.46447100000000002</v>
      </c>
      <c r="BE7" s="26">
        <v>0.46447100000000002</v>
      </c>
      <c r="BF7" s="26">
        <v>0.46447100000000002</v>
      </c>
      <c r="BG7" s="26">
        <v>0.46447100000000002</v>
      </c>
      <c r="BH7" s="26">
        <v>0.46447100000000002</v>
      </c>
      <c r="BI7" s="26">
        <v>0.46447100000000002</v>
      </c>
    </row>
    <row r="8" spans="1:61" x14ac:dyDescent="0.3">
      <c r="A8" s="25" t="s">
        <v>454</v>
      </c>
      <c r="B8" s="28">
        <v>1.191675</v>
      </c>
      <c r="C8" s="28">
        <v>2.5188860000000002</v>
      </c>
      <c r="D8" s="28">
        <v>1.2621260000000001</v>
      </c>
      <c r="E8" s="28">
        <v>2.3223220000000002</v>
      </c>
      <c r="F8" s="28">
        <v>-0.51042100000000001</v>
      </c>
      <c r="G8" s="28">
        <v>-1.3768030000000002</v>
      </c>
      <c r="H8" s="28">
        <v>7.0180024599999999</v>
      </c>
      <c r="I8" s="28">
        <v>8.8276130000000008E-2</v>
      </c>
      <c r="J8" s="28">
        <v>92.154494</v>
      </c>
      <c r="K8" s="28">
        <v>4.4891399999999999</v>
      </c>
      <c r="L8" s="28">
        <v>15.063527000000001</v>
      </c>
      <c r="M8" s="28">
        <v>184.81960671999997</v>
      </c>
      <c r="N8" s="28">
        <v>0.70689674999999996</v>
      </c>
      <c r="O8" s="28">
        <v>3.0185882499999996</v>
      </c>
      <c r="P8" s="28">
        <v>0.21587590000000001</v>
      </c>
      <c r="Q8" s="28">
        <v>11.99359727</v>
      </c>
      <c r="R8" s="28">
        <v>0.17144526999999998</v>
      </c>
      <c r="S8" s="28">
        <v>1.733175E-2</v>
      </c>
      <c r="T8" s="28">
        <v>20.41076413</v>
      </c>
      <c r="U8" s="28">
        <v>1.2362E-2</v>
      </c>
      <c r="V8" s="28">
        <v>11.069075659999999</v>
      </c>
      <c r="W8" s="28">
        <v>99.264065489999993</v>
      </c>
      <c r="X8" s="28">
        <v>6.2478569199999994</v>
      </c>
      <c r="Y8" s="28">
        <v>275.92796344000004</v>
      </c>
      <c r="Z8" s="26">
        <v>-12.207483069999972</v>
      </c>
      <c r="AA8" s="26">
        <v>-6.3890373399999971</v>
      </c>
      <c r="AB8" s="26">
        <v>3.2515193499999806</v>
      </c>
      <c r="AC8" s="26">
        <v>-8.3010120899999702</v>
      </c>
      <c r="AD8" s="26">
        <v>-24.17025323</v>
      </c>
      <c r="AE8" s="26">
        <v>22.633743360000004</v>
      </c>
      <c r="AF8" s="26">
        <v>-96.38074395999999</v>
      </c>
      <c r="AG8" s="26">
        <v>17.26536261</v>
      </c>
      <c r="AH8" s="26">
        <v>6.1645855399999903</v>
      </c>
      <c r="AI8" s="26">
        <v>20.74343949</v>
      </c>
      <c r="AJ8" s="26">
        <v>118.59441820000001</v>
      </c>
      <c r="AK8" s="27">
        <v>705.84764341000005</v>
      </c>
      <c r="AL8" s="26">
        <v>-41.837031580000001</v>
      </c>
      <c r="AM8" s="26">
        <v>384.70551062999999</v>
      </c>
      <c r="AN8" s="26">
        <v>-365.12284966999999</v>
      </c>
      <c r="AO8" s="26">
        <v>26.316700489999999</v>
      </c>
      <c r="AP8" s="26">
        <v>40.902154520000003</v>
      </c>
      <c r="AQ8" s="26">
        <v>49.119266330000002</v>
      </c>
      <c r="AR8" s="26">
        <v>22.14821744</v>
      </c>
      <c r="AS8" s="26">
        <v>31.93702961</v>
      </c>
      <c r="AT8" s="26">
        <v>13.6090666</v>
      </c>
      <c r="AU8" s="26">
        <v>31.754375960000001</v>
      </c>
      <c r="AV8" s="26">
        <v>24.41999405</v>
      </c>
      <c r="AW8" s="26">
        <v>195.66681657999999</v>
      </c>
      <c r="AX8" s="26">
        <v>17.4381726999999</v>
      </c>
      <c r="AY8" s="26">
        <v>6.5714310300000598</v>
      </c>
      <c r="AZ8" s="26">
        <v>18.7279278</v>
      </c>
      <c r="BA8" s="26">
        <v>3.6449253499999701</v>
      </c>
      <c r="BB8" s="26">
        <v>17.86477889</v>
      </c>
      <c r="BC8" s="26">
        <v>17.3059958199999</v>
      </c>
      <c r="BD8" s="26">
        <v>29.17521309</v>
      </c>
      <c r="BE8" s="26">
        <v>13.609780369999999</v>
      </c>
      <c r="BF8" s="26">
        <v>19.65778911</v>
      </c>
      <c r="BG8" s="26">
        <v>18.893143970000001</v>
      </c>
      <c r="BH8" s="26">
        <v>-58.036477759999997</v>
      </c>
      <c r="BI8" s="26">
        <v>168.24667466</v>
      </c>
    </row>
    <row r="9" spans="1:61" x14ac:dyDescent="0.3">
      <c r="A9" s="25" t="s">
        <v>455</v>
      </c>
      <c r="B9" s="28">
        <v>20.328084999999998</v>
      </c>
      <c r="C9" s="28">
        <v>24.045545999999998</v>
      </c>
      <c r="D9" s="28">
        <v>23.840204</v>
      </c>
      <c r="E9" s="28">
        <v>23.766466000000001</v>
      </c>
      <c r="F9" s="28">
        <v>24.275945</v>
      </c>
      <c r="G9" s="28">
        <v>25.405836000000001</v>
      </c>
      <c r="H9" s="28">
        <v>24.2551378</v>
      </c>
      <c r="I9" s="28">
        <v>24.798222000000003</v>
      </c>
      <c r="J9" s="28">
        <v>24.660278999999999</v>
      </c>
      <c r="K9" s="28">
        <v>28.395797999999999</v>
      </c>
      <c r="L9" s="28">
        <v>30.858238</v>
      </c>
      <c r="M9" s="28">
        <v>53.790624000000001</v>
      </c>
      <c r="N9" s="28">
        <v>19.367249000000001</v>
      </c>
      <c r="O9" s="28">
        <v>21.985153999999998</v>
      </c>
      <c r="P9" s="28">
        <v>20.691043000000001</v>
      </c>
      <c r="Q9" s="28">
        <v>19.516345000000001</v>
      </c>
      <c r="R9" s="28">
        <v>9.7522780000000004</v>
      </c>
      <c r="S9" s="28">
        <v>22.855912</v>
      </c>
      <c r="T9" s="28">
        <v>19.746300999999999</v>
      </c>
      <c r="U9" s="28">
        <v>11.853374000000001</v>
      </c>
      <c r="V9" s="28">
        <v>23.877852999999998</v>
      </c>
      <c r="W9" s="28">
        <v>24.892014</v>
      </c>
      <c r="X9" s="28">
        <v>28.183327000000002</v>
      </c>
      <c r="Y9" s="28">
        <v>31.975626999999999</v>
      </c>
      <c r="Z9" s="26">
        <v>21.386465000000001</v>
      </c>
      <c r="AA9" s="26">
        <v>23.548668499999998</v>
      </c>
      <c r="AB9" s="26">
        <v>21.953133000000001</v>
      </c>
      <c r="AC9" s="26">
        <v>22.315555</v>
      </c>
      <c r="AD9" s="26">
        <v>22.366152</v>
      </c>
      <c r="AE9" s="26">
        <v>22.587361000000001</v>
      </c>
      <c r="AF9" s="26">
        <v>22.918526999999997</v>
      </c>
      <c r="AG9" s="26">
        <v>23.430178000000002</v>
      </c>
      <c r="AH9" s="26">
        <v>23.478247</v>
      </c>
      <c r="AI9" s="26">
        <v>23.475594000000001</v>
      </c>
      <c r="AJ9" s="26">
        <v>23.376635910000001</v>
      </c>
      <c r="AK9" s="27">
        <v>29.999375010000001</v>
      </c>
      <c r="AL9" s="26">
        <v>21.222814830000001</v>
      </c>
      <c r="AM9" s="26">
        <v>21.222812999999999</v>
      </c>
      <c r="AN9" s="26">
        <v>21.200237999999999</v>
      </c>
      <c r="AO9" s="26">
        <v>21.092349840000001</v>
      </c>
      <c r="AP9" s="26">
        <v>21.917687000000001</v>
      </c>
      <c r="AQ9" s="26">
        <v>22.248598999999999</v>
      </c>
      <c r="AR9" s="26">
        <v>22.182496220000001</v>
      </c>
      <c r="AS9" s="26">
        <v>22.065007000000001</v>
      </c>
      <c r="AT9" s="26">
        <v>22.995337500000002</v>
      </c>
      <c r="AU9" s="26">
        <v>23.89583</v>
      </c>
      <c r="AV9" s="26">
        <v>23.871506</v>
      </c>
      <c r="AW9" s="26">
        <v>29.460730999999999</v>
      </c>
      <c r="AX9" s="26">
        <v>15.256171999999999</v>
      </c>
      <c r="AY9" s="26">
        <v>20.316075999999999</v>
      </c>
      <c r="AZ9" s="26">
        <v>20.423041000000001</v>
      </c>
      <c r="BA9" s="26">
        <v>22.541128</v>
      </c>
      <c r="BB9" s="26">
        <v>22.163525</v>
      </c>
      <c r="BC9" s="26">
        <v>30.369102999999999</v>
      </c>
      <c r="BD9" s="26">
        <v>20.884627999999999</v>
      </c>
      <c r="BE9" s="26">
        <v>20.067920999999998</v>
      </c>
      <c r="BF9" s="26">
        <v>20.384536000000001</v>
      </c>
      <c r="BG9" s="26">
        <v>18.289919000000001</v>
      </c>
      <c r="BH9" s="26">
        <v>20.324677000000001</v>
      </c>
      <c r="BI9" s="26">
        <v>27.044799999999999</v>
      </c>
    </row>
    <row r="10" spans="1:61" x14ac:dyDescent="0.3">
      <c r="A10" s="25" t="s">
        <v>456</v>
      </c>
      <c r="B10" s="28">
        <v>4.1387539999999996</v>
      </c>
      <c r="C10" s="28">
        <v>4.6084319999999996</v>
      </c>
      <c r="D10" s="28">
        <v>1.9701359999999999</v>
      </c>
      <c r="E10" s="28">
        <v>3.3532689999999996</v>
      </c>
      <c r="F10" s="28">
        <v>3.4195090000000001</v>
      </c>
      <c r="G10" s="28">
        <v>3.4195090000000001</v>
      </c>
      <c r="H10" s="28">
        <v>3.4195090000000001</v>
      </c>
      <c r="I10" s="28">
        <v>3.4195090000000001</v>
      </c>
      <c r="J10" s="28">
        <v>3.4336899999999999</v>
      </c>
      <c r="K10" s="28">
        <v>3.3526570000000002</v>
      </c>
      <c r="L10" s="28">
        <v>4.3370699999999998</v>
      </c>
      <c r="M10" s="28">
        <v>5.9840780000000002</v>
      </c>
      <c r="N10" s="28">
        <v>1.43615</v>
      </c>
      <c r="O10" s="28">
        <v>1.4641520000000001</v>
      </c>
      <c r="P10" s="28">
        <v>12.68971</v>
      </c>
      <c r="Q10" s="28">
        <v>11.148871999999999</v>
      </c>
      <c r="R10" s="28">
        <v>-18.280026000000003</v>
      </c>
      <c r="S10" s="28">
        <v>2.267954</v>
      </c>
      <c r="T10" s="28">
        <v>3.9728859999999999</v>
      </c>
      <c r="U10" s="28">
        <v>2.714855</v>
      </c>
      <c r="V10" s="28">
        <v>1.6927380000000001</v>
      </c>
      <c r="W10" s="28">
        <v>7.3290190000000006</v>
      </c>
      <c r="X10" s="28">
        <v>7.7378270000000002</v>
      </c>
      <c r="Y10" s="28">
        <v>7.9013500000000008</v>
      </c>
      <c r="Z10" s="26">
        <v>7.112876</v>
      </c>
      <c r="AA10" s="26">
        <v>7.1128779999999994</v>
      </c>
      <c r="AB10" s="26">
        <v>7.9119640000000002</v>
      </c>
      <c r="AC10" s="26">
        <v>7.9119640000000002</v>
      </c>
      <c r="AD10" s="26">
        <v>7.9119640000000002</v>
      </c>
      <c r="AE10" s="26">
        <v>7.9119640000000002</v>
      </c>
      <c r="AF10" s="26">
        <v>8.7522279999999988</v>
      </c>
      <c r="AG10" s="26">
        <v>7.9119640000000002</v>
      </c>
      <c r="AH10" s="26">
        <v>7.9119640000000002</v>
      </c>
      <c r="AI10" s="26">
        <v>8.7319639999999996</v>
      </c>
      <c r="AJ10" s="26">
        <v>9.4075249999999997</v>
      </c>
      <c r="AK10" s="27">
        <v>12.26407</v>
      </c>
      <c r="AL10" s="26">
        <v>8.2788972199999993</v>
      </c>
      <c r="AM10" s="26">
        <v>8.4578959999999999</v>
      </c>
      <c r="AN10" s="26">
        <v>17.626715999999998</v>
      </c>
      <c r="AO10" s="26">
        <v>17.626715999999998</v>
      </c>
      <c r="AP10" s="26">
        <v>17.821553000000002</v>
      </c>
      <c r="AQ10" s="26">
        <v>17.821553000000002</v>
      </c>
      <c r="AR10" s="26">
        <v>17.821553000000002</v>
      </c>
      <c r="AS10" s="26">
        <v>17.912113000000002</v>
      </c>
      <c r="AT10" s="26">
        <v>18.198260000000001</v>
      </c>
      <c r="AU10" s="26">
        <v>17.236291999999999</v>
      </c>
      <c r="AV10" s="26">
        <v>17.717275999999998</v>
      </c>
      <c r="AW10" s="26">
        <v>-168.01310871999999</v>
      </c>
      <c r="AX10" s="26">
        <v>7.399343</v>
      </c>
      <c r="AY10" s="26">
        <v>7.7493429999999996</v>
      </c>
      <c r="AZ10" s="26">
        <v>15.694399000000001</v>
      </c>
      <c r="BA10" s="26">
        <v>-0.100259</v>
      </c>
      <c r="BB10" s="26">
        <v>10.327420999999999</v>
      </c>
      <c r="BC10" s="26">
        <v>10.327420999999999</v>
      </c>
      <c r="BD10" s="26">
        <v>12.023073</v>
      </c>
      <c r="BE10" s="26">
        <v>11.909020999999999</v>
      </c>
      <c r="BF10" s="26">
        <v>10.327420500000001</v>
      </c>
      <c r="BG10" s="26">
        <v>11.2864805</v>
      </c>
      <c r="BH10" s="26">
        <v>-15.913130000000001</v>
      </c>
      <c r="BI10" s="26">
        <v>7.308783</v>
      </c>
    </row>
    <row r="11" spans="1:61" x14ac:dyDescent="0.3">
      <c r="A11" s="30" t="s">
        <v>457</v>
      </c>
      <c r="B11" s="31">
        <v>117.36968694559975</v>
      </c>
      <c r="C11" s="31">
        <v>464.54792026219991</v>
      </c>
      <c r="D11" s="31">
        <v>1157.0488440000001</v>
      </c>
      <c r="E11" s="31">
        <v>797.2833790000002</v>
      </c>
      <c r="F11" s="31">
        <v>116.64656499999958</v>
      </c>
      <c r="G11" s="31">
        <v>21.457677999999856</v>
      </c>
      <c r="H11" s="31">
        <v>974.76678056999924</v>
      </c>
      <c r="I11" s="31">
        <v>822.4102901600005</v>
      </c>
      <c r="J11" s="31">
        <v>754.18970788999968</v>
      </c>
      <c r="K11" s="31">
        <v>419.10653500000092</v>
      </c>
      <c r="L11" s="31">
        <v>926.20818599999905</v>
      </c>
      <c r="M11" s="31">
        <v>-3611.1553785799997</v>
      </c>
      <c r="N11" s="31">
        <v>-114.91294075000035</v>
      </c>
      <c r="O11" s="31">
        <v>426.9895967500002</v>
      </c>
      <c r="P11" s="31">
        <v>1391.1442871500001</v>
      </c>
      <c r="Q11" s="31">
        <v>-30.233250300000364</v>
      </c>
      <c r="R11" s="31">
        <v>1171.4697350299994</v>
      </c>
      <c r="S11" s="31">
        <v>73.251533869998937</v>
      </c>
      <c r="T11" s="31">
        <v>456.71828464999987</v>
      </c>
      <c r="U11" s="31">
        <v>312.47229759999959</v>
      </c>
      <c r="V11" s="31">
        <v>441.65908751999973</v>
      </c>
      <c r="W11" s="31">
        <v>-699.79026023999779</v>
      </c>
      <c r="X11" s="31">
        <v>-410.89082957000198</v>
      </c>
      <c r="Y11" s="31">
        <v>2741.8863772099949</v>
      </c>
      <c r="Z11" s="31">
        <v>1419.0431680500008</v>
      </c>
      <c r="AA11" s="31">
        <v>-647.08785015000126</v>
      </c>
      <c r="AB11" s="31">
        <v>-204.2577700300024</v>
      </c>
      <c r="AC11" s="31">
        <v>-744.9256438200008</v>
      </c>
      <c r="AD11" s="31">
        <v>-213.12949880999508</v>
      </c>
      <c r="AE11" s="31">
        <v>-578.70994875000338</v>
      </c>
      <c r="AF11" s="31">
        <v>-250.84067340999741</v>
      </c>
      <c r="AG11" s="31">
        <v>526.63566648000301</v>
      </c>
      <c r="AH11" s="31">
        <v>-441.01825904000009</v>
      </c>
      <c r="AI11" s="31">
        <v>-222.78845027</v>
      </c>
      <c r="AJ11" s="31">
        <v>-201.32094350999938</v>
      </c>
      <c r="AK11" s="32">
        <v>-116.33586085999985</v>
      </c>
      <c r="AL11" s="31">
        <v>245.06291460999992</v>
      </c>
      <c r="AM11" s="31">
        <v>384.04452685000132</v>
      </c>
      <c r="AN11" s="31">
        <v>951.67143092000003</v>
      </c>
      <c r="AO11" s="31">
        <v>385.54038620999967</v>
      </c>
      <c r="AP11" s="31">
        <v>-344.92263033001069</v>
      </c>
      <c r="AQ11" s="31">
        <v>277.75022212999949</v>
      </c>
      <c r="AR11" s="31">
        <v>562.74326986999404</v>
      </c>
      <c r="AS11" s="31">
        <v>446.33985503000031</v>
      </c>
      <c r="AT11" s="31">
        <v>147.95782550998004</v>
      </c>
      <c r="AU11" s="31">
        <v>1262.3952634500004</v>
      </c>
      <c r="AV11" s="31">
        <v>691.0115729700002</v>
      </c>
      <c r="AW11" s="31">
        <v>22.535558479999224</v>
      </c>
      <c r="AX11" s="33">
        <v>545.80556621000039</v>
      </c>
      <c r="AY11" s="33">
        <v>396.99725989001001</v>
      </c>
      <c r="AZ11" s="33">
        <v>523.39502838999931</v>
      </c>
      <c r="BA11" s="33">
        <v>601.46964614000092</v>
      </c>
      <c r="BB11" s="33">
        <v>983.93343605999996</v>
      </c>
      <c r="BC11" s="33">
        <v>250.64189617999992</v>
      </c>
      <c r="BD11" s="33">
        <v>537.78538991000016</v>
      </c>
      <c r="BE11" s="33">
        <v>454.84097062999996</v>
      </c>
      <c r="BF11" s="33">
        <v>1429.35335639</v>
      </c>
      <c r="BG11" s="33">
        <v>461.91839653000011</v>
      </c>
      <c r="BH11" s="33">
        <v>828.16221676000009</v>
      </c>
      <c r="BI11" s="33">
        <v>1429.2543173400002</v>
      </c>
    </row>
    <row r="12" spans="1:61" x14ac:dyDescent="0.3">
      <c r="A12" s="30" t="s">
        <v>458</v>
      </c>
      <c r="B12" s="34">
        <v>238.59102194559992</v>
      </c>
      <c r="C12" s="34">
        <v>590.18468526219988</v>
      </c>
      <c r="D12" s="34">
        <v>1280.7450040000001</v>
      </c>
      <c r="E12" s="34">
        <v>922.34822999999938</v>
      </c>
      <c r="F12" s="34">
        <v>243.25978699999985</v>
      </c>
      <c r="G12" s="34">
        <v>151.61923200000012</v>
      </c>
      <c r="H12" s="34">
        <v>1103.7776113700002</v>
      </c>
      <c r="I12" s="34">
        <v>951.94442016000062</v>
      </c>
      <c r="J12" s="34">
        <v>883.23536588999912</v>
      </c>
      <c r="K12" s="34">
        <v>551.79385200000104</v>
      </c>
      <c r="L12" s="34">
        <v>1063.4305159999994</v>
      </c>
      <c r="M12" s="34">
        <v>-3390.84158514</v>
      </c>
      <c r="N12" s="34">
        <v>11.729769250000041</v>
      </c>
      <c r="O12" s="34">
        <v>554.38698975000091</v>
      </c>
      <c r="P12" s="34">
        <v>1529.7884931499993</v>
      </c>
      <c r="Q12" s="34">
        <v>107.70694269999937</v>
      </c>
      <c r="R12" s="34">
        <v>1284.67462703</v>
      </c>
      <c r="S12" s="34">
        <v>214.42065086999884</v>
      </c>
      <c r="T12" s="34">
        <v>601.46934465000004</v>
      </c>
      <c r="U12" s="34">
        <v>458.7687406</v>
      </c>
      <c r="V12" s="34">
        <v>585.20585851999954</v>
      </c>
      <c r="W12" s="34">
        <v>-546.08283223999797</v>
      </c>
      <c r="X12" s="34">
        <v>-163.74159757000203</v>
      </c>
      <c r="Y12" s="34">
        <v>2919.4625732099948</v>
      </c>
      <c r="Z12" s="34">
        <v>1575.3891628900001</v>
      </c>
      <c r="AA12" s="34">
        <v>-493.369704810001</v>
      </c>
      <c r="AB12" s="34">
        <v>-51.467401190002398</v>
      </c>
      <c r="AC12" s="34">
        <v>-594.14366298000095</v>
      </c>
      <c r="AD12" s="34">
        <v>-62.600154969995202</v>
      </c>
      <c r="AE12" s="34">
        <v>-424.25867691000201</v>
      </c>
      <c r="AF12" s="34">
        <v>-98.223224569997399</v>
      </c>
      <c r="AG12" s="34">
        <v>678.70021132000306</v>
      </c>
      <c r="AH12" s="34">
        <v>-289.75650319999528</v>
      </c>
      <c r="AI12" s="34">
        <v>-71.059946430002967</v>
      </c>
      <c r="AJ12" s="34">
        <v>835.40015863999793</v>
      </c>
      <c r="AK12" s="35">
        <v>15.26448999000095</v>
      </c>
      <c r="AL12" s="34">
        <v>363.67058170000104</v>
      </c>
      <c r="AM12" s="34">
        <v>502.49460168999832</v>
      </c>
      <c r="AN12" s="34">
        <v>1079.19367876</v>
      </c>
      <c r="AO12" s="34">
        <v>512.84928489000038</v>
      </c>
      <c r="AP12" s="34">
        <v>-216.62871449000596</v>
      </c>
      <c r="AQ12" s="34">
        <v>403.5350959699951</v>
      </c>
      <c r="AR12" s="34">
        <v>688.39851314999407</v>
      </c>
      <c r="AS12" s="34">
        <v>576.93057786999623</v>
      </c>
      <c r="AT12" s="34">
        <v>279.10950795998508</v>
      </c>
      <c r="AU12" s="34">
        <v>1404.794779290002</v>
      </c>
      <c r="AV12" s="34">
        <v>835.40015863999793</v>
      </c>
      <c r="AW12" s="34">
        <v>-59.115848160000823</v>
      </c>
      <c r="AX12" s="33">
        <v>651.74204102999829</v>
      </c>
      <c r="AY12" s="33">
        <v>503.00430971000628</v>
      </c>
      <c r="AZ12" s="33">
        <v>636.74163120999845</v>
      </c>
      <c r="BA12" s="33">
        <v>703.16150295999819</v>
      </c>
      <c r="BB12" s="33">
        <v>1094.101623060001</v>
      </c>
      <c r="BC12" s="33">
        <v>369.13530517999993</v>
      </c>
      <c r="BD12" s="33">
        <v>652.62242990999994</v>
      </c>
      <c r="BE12" s="33">
        <v>567.52021062999984</v>
      </c>
      <c r="BF12" s="33">
        <v>1540.8886168899999</v>
      </c>
      <c r="BG12" s="33">
        <v>572.98500703000013</v>
      </c>
      <c r="BH12" s="33">
        <v>891.35019376000002</v>
      </c>
      <c r="BI12" s="33">
        <v>1542.5793126400001</v>
      </c>
    </row>
    <row r="13" spans="1:61" x14ac:dyDescent="0.3">
      <c r="A13" s="25" t="s">
        <v>459</v>
      </c>
      <c r="B13" s="28">
        <v>26.053342430000001</v>
      </c>
      <c r="C13" s="28">
        <v>91.818747000000002</v>
      </c>
      <c r="D13" s="28">
        <v>79.227554999999995</v>
      </c>
      <c r="E13" s="28">
        <v>53.483283</v>
      </c>
      <c r="F13" s="28">
        <v>40.270262000000002</v>
      </c>
      <c r="G13" s="28">
        <v>38.751313789999998</v>
      </c>
      <c r="H13" s="28">
        <v>44.834351120000008</v>
      </c>
      <c r="I13" s="28">
        <v>24.308392980000001</v>
      </c>
      <c r="J13" s="28">
        <v>50.125165710000005</v>
      </c>
      <c r="K13" s="28">
        <v>39.458866999999998</v>
      </c>
      <c r="L13" s="28">
        <v>37.83192176</v>
      </c>
      <c r="M13" s="28">
        <v>39.483918079999995</v>
      </c>
      <c r="N13" s="28">
        <v>6.90374453</v>
      </c>
      <c r="O13" s="28">
        <v>57.153634420000003</v>
      </c>
      <c r="P13" s="28">
        <v>58.198371189999996</v>
      </c>
      <c r="Q13" s="28">
        <v>35.491363210000003</v>
      </c>
      <c r="R13" s="28">
        <v>35.294330789999997</v>
      </c>
      <c r="S13" s="28">
        <v>33.406539109999997</v>
      </c>
      <c r="T13" s="28">
        <v>23.101141920000003</v>
      </c>
      <c r="U13" s="28">
        <v>23.722817129999999</v>
      </c>
      <c r="V13" s="28">
        <v>65.067109099999996</v>
      </c>
      <c r="W13" s="28">
        <v>76.929912079999994</v>
      </c>
      <c r="X13" s="28">
        <v>42.421889149999998</v>
      </c>
      <c r="Y13" s="28">
        <v>74.206528199999994</v>
      </c>
      <c r="Z13" s="28">
        <v>38.008199999999995</v>
      </c>
      <c r="AA13" s="28">
        <v>24.940682000000002</v>
      </c>
      <c r="AB13" s="28">
        <v>27.811325</v>
      </c>
      <c r="AC13" s="28">
        <v>9.6279369999999993</v>
      </c>
      <c r="AD13" s="28">
        <v>12.211602999999998</v>
      </c>
      <c r="AE13" s="28">
        <v>4.5770870000000006</v>
      </c>
      <c r="AF13" s="28">
        <v>2.8819029999999999</v>
      </c>
      <c r="AG13" s="28">
        <v>14.652147999999999</v>
      </c>
      <c r="AH13" s="28">
        <v>6.2992987916892442</v>
      </c>
      <c r="AI13" s="28">
        <v>3.1379422719889707</v>
      </c>
      <c r="AJ13" s="28">
        <v>7.4846123598431165</v>
      </c>
      <c r="AK13" s="29">
        <v>15.273529248949998</v>
      </c>
      <c r="AL13" s="28">
        <v>11.3431719961371</v>
      </c>
      <c r="AM13" s="28">
        <v>34.421694250000002</v>
      </c>
      <c r="AN13" s="28">
        <v>15.929738653453171</v>
      </c>
      <c r="AO13" s="28">
        <v>34.359681977999998</v>
      </c>
      <c r="AP13" s="28">
        <v>23.67861010775</v>
      </c>
      <c r="AQ13" s="28">
        <v>20.8840546777672</v>
      </c>
      <c r="AR13" s="28">
        <v>29.746510798192574</v>
      </c>
      <c r="AS13" s="28">
        <v>71.735882536629589</v>
      </c>
      <c r="AT13" s="28">
        <v>50.292936449999999</v>
      </c>
      <c r="AU13" s="28">
        <v>54.043654183103705</v>
      </c>
      <c r="AV13" s="28">
        <v>61.799519020493896</v>
      </c>
      <c r="AW13" s="28">
        <v>45.752808189843201</v>
      </c>
      <c r="AX13" s="28">
        <v>24.159933010958699</v>
      </c>
      <c r="AY13" s="28">
        <v>31.79812888</v>
      </c>
      <c r="AZ13" s="28">
        <v>30.731000000000002</v>
      </c>
      <c r="BA13" s="28">
        <v>19.914000000000001</v>
      </c>
      <c r="BB13" s="28">
        <v>70.707999999999998</v>
      </c>
      <c r="BC13" s="28">
        <v>34.546999999999997</v>
      </c>
      <c r="BD13" s="28">
        <v>33.707999999999998</v>
      </c>
      <c r="BE13" s="28">
        <v>32.550501019999999</v>
      </c>
      <c r="BF13" s="28">
        <v>60.809890010000004</v>
      </c>
      <c r="BG13" s="28">
        <v>42.882599070000005</v>
      </c>
      <c r="BH13" s="28">
        <v>38.398641439999999</v>
      </c>
      <c r="BI13" s="28">
        <v>38.38924978</v>
      </c>
    </row>
    <row r="14" spans="1:61" x14ac:dyDescent="0.3">
      <c r="A14" s="25" t="s">
        <v>460</v>
      </c>
      <c r="B14" s="28">
        <v>75.939520930000015</v>
      </c>
      <c r="C14" s="28">
        <v>53.771678999999999</v>
      </c>
      <c r="D14" s="28">
        <v>65.384765000000002</v>
      </c>
      <c r="E14" s="28">
        <v>54.946589999999993</v>
      </c>
      <c r="F14" s="28">
        <v>123.86180325999999</v>
      </c>
      <c r="G14" s="28">
        <v>52.113489179999995</v>
      </c>
      <c r="H14" s="28">
        <v>49.321993090000007</v>
      </c>
      <c r="I14" s="28">
        <v>49.127062799999997</v>
      </c>
      <c r="J14" s="28">
        <v>50.081107379999999</v>
      </c>
      <c r="K14" s="28">
        <v>55.738135</v>
      </c>
      <c r="L14" s="28">
        <v>166.81867441</v>
      </c>
      <c r="M14" s="28">
        <v>51.355545619999994</v>
      </c>
      <c r="N14" s="28">
        <v>51.415526010000008</v>
      </c>
      <c r="O14" s="28">
        <v>62.465621130000002</v>
      </c>
      <c r="P14" s="28">
        <v>84.453791719999998</v>
      </c>
      <c r="Q14" s="28">
        <v>89.32411347999998</v>
      </c>
      <c r="R14" s="28">
        <v>100.77497629000001</v>
      </c>
      <c r="S14" s="28">
        <v>107.18361005000001</v>
      </c>
      <c r="T14" s="28">
        <v>112.86040917</v>
      </c>
      <c r="U14" s="28">
        <v>47.060686009999998</v>
      </c>
      <c r="V14" s="28">
        <v>141.83189345000002</v>
      </c>
      <c r="W14" s="28">
        <v>153.36585013000001</v>
      </c>
      <c r="X14" s="28">
        <v>170.85467644000002</v>
      </c>
      <c r="Y14" s="28">
        <v>790.96662806999996</v>
      </c>
      <c r="Z14" s="28">
        <v>195.86635699999999</v>
      </c>
      <c r="AA14" s="28">
        <v>105.426001</v>
      </c>
      <c r="AB14" s="28">
        <v>164.45448500000001</v>
      </c>
      <c r="AC14" s="28">
        <v>154.73284170930799</v>
      </c>
      <c r="AD14" s="28">
        <v>203.261672</v>
      </c>
      <c r="AE14" s="28">
        <v>126.259016</v>
      </c>
      <c r="AF14" s="28">
        <v>121.945352</v>
      </c>
      <c r="AG14" s="28">
        <v>125.958984</v>
      </c>
      <c r="AH14" s="28">
        <v>166.75800078750001</v>
      </c>
      <c r="AI14" s="28">
        <v>132.06368769703801</v>
      </c>
      <c r="AJ14" s="28">
        <v>138.29426048900001</v>
      </c>
      <c r="AK14" s="29">
        <v>84.936284247999993</v>
      </c>
      <c r="AL14" s="28">
        <v>131.85030638000001</v>
      </c>
      <c r="AM14" s="28">
        <v>125.9011412</v>
      </c>
      <c r="AN14" s="28">
        <v>103.91697176</v>
      </c>
      <c r="AO14" s="28">
        <v>120.46663417000001</v>
      </c>
      <c r="AP14" s="28">
        <v>102.47917621000001</v>
      </c>
      <c r="AQ14" s="28">
        <v>94.546974849999998</v>
      </c>
      <c r="AR14" s="28">
        <v>102.61115692</v>
      </c>
      <c r="AS14" s="28">
        <v>103.23142223000001</v>
      </c>
      <c r="AT14" s="28">
        <v>95.518903690000002</v>
      </c>
      <c r="AU14" s="28">
        <v>85.293629879999997</v>
      </c>
      <c r="AV14" s="28">
        <v>78.475531770000003</v>
      </c>
      <c r="AW14" s="28">
        <v>109.52775539</v>
      </c>
      <c r="AX14" s="28">
        <v>71.162900320000006</v>
      </c>
      <c r="AY14" s="28">
        <v>70.992000000000004</v>
      </c>
      <c r="AZ14" s="28">
        <v>71.771000000000001</v>
      </c>
      <c r="BA14" s="28">
        <v>69.415361790000006</v>
      </c>
      <c r="BB14" s="28">
        <v>68.672081009999999</v>
      </c>
      <c r="BC14" s="28">
        <v>65.416313639999998</v>
      </c>
      <c r="BD14" s="28">
        <v>77.516337129999997</v>
      </c>
      <c r="BE14" s="28">
        <v>65.3</v>
      </c>
      <c r="BF14" s="28">
        <v>68.531298680000006</v>
      </c>
      <c r="BG14" s="28">
        <v>66.585464200000004</v>
      </c>
      <c r="BH14" s="28">
        <v>61.729206869999999</v>
      </c>
      <c r="BI14" s="28">
        <v>81.161206100000001</v>
      </c>
    </row>
    <row r="15" spans="1:61" x14ac:dyDescent="0.3">
      <c r="A15" s="30" t="s">
        <v>461</v>
      </c>
      <c r="B15" s="31">
        <v>67.483508445599739</v>
      </c>
      <c r="C15" s="31">
        <v>502.59498826219993</v>
      </c>
      <c r="D15" s="31">
        <v>1170.8916340000001</v>
      </c>
      <c r="E15" s="31">
        <v>795.82007200000021</v>
      </c>
      <c r="F15" s="31">
        <v>33.055023739999598</v>
      </c>
      <c r="G15" s="31">
        <v>8.0955026099998619</v>
      </c>
      <c r="H15" s="31">
        <v>970.27913859999921</v>
      </c>
      <c r="I15" s="31">
        <v>797.59162034000053</v>
      </c>
      <c r="J15" s="31">
        <v>754.23376621999967</v>
      </c>
      <c r="K15" s="31">
        <v>402.82726700000092</v>
      </c>
      <c r="L15" s="31">
        <v>797.22143334999907</v>
      </c>
      <c r="M15" s="31">
        <v>-3623.0270061199999</v>
      </c>
      <c r="N15" s="31">
        <v>-159.42472223000036</v>
      </c>
      <c r="O15" s="31">
        <v>421.67761004000022</v>
      </c>
      <c r="P15" s="31">
        <v>1364.88886662</v>
      </c>
      <c r="Q15" s="31">
        <v>-84.066000570000341</v>
      </c>
      <c r="R15" s="31">
        <v>1105.9890895299993</v>
      </c>
      <c r="S15" s="31">
        <v>-0.52553707000107863</v>
      </c>
      <c r="T15" s="31">
        <v>366.95901739999988</v>
      </c>
      <c r="U15" s="31">
        <v>289.13442871999962</v>
      </c>
      <c r="V15" s="31">
        <v>364.89430316999972</v>
      </c>
      <c r="W15" s="31">
        <v>-776.2261982899978</v>
      </c>
      <c r="X15" s="31">
        <v>-539.32361686000206</v>
      </c>
      <c r="Y15" s="31">
        <v>2025.1262773399949</v>
      </c>
      <c r="Z15" s="31">
        <v>1261.1850110500009</v>
      </c>
      <c r="AA15" s="31">
        <v>-727.57316915000126</v>
      </c>
      <c r="AB15" s="31">
        <v>-340.90093003000243</v>
      </c>
      <c r="AC15" s="31">
        <v>-890.03054852930882</v>
      </c>
      <c r="AD15" s="31">
        <v>-404.17956780999509</v>
      </c>
      <c r="AE15" s="31">
        <v>-700.39187775000335</v>
      </c>
      <c r="AF15" s="31">
        <v>-369.9041224099974</v>
      </c>
      <c r="AG15" s="31">
        <v>415.32883048000303</v>
      </c>
      <c r="AH15" s="31">
        <v>-601.47696103581086</v>
      </c>
      <c r="AI15" s="31">
        <v>-351.71419569504906</v>
      </c>
      <c r="AJ15" s="31">
        <v>-332.13059163915625</v>
      </c>
      <c r="AK15" s="32">
        <v>-185.99861585904983</v>
      </c>
      <c r="AL15" s="31">
        <v>124.55578022613702</v>
      </c>
      <c r="AM15" s="31">
        <v>292.56507990000136</v>
      </c>
      <c r="AN15" s="31">
        <v>863.68419781345324</v>
      </c>
      <c r="AO15" s="31">
        <v>299.43343401799962</v>
      </c>
      <c r="AP15" s="31">
        <v>-423.72319643226069</v>
      </c>
      <c r="AQ15" s="31">
        <v>204.0873019577667</v>
      </c>
      <c r="AR15" s="31">
        <v>489.87862374818667</v>
      </c>
      <c r="AS15" s="31">
        <v>414.84431533662985</v>
      </c>
      <c r="AT15" s="31">
        <v>102.73185826998002</v>
      </c>
      <c r="AU15" s="31">
        <v>1231.145287753104</v>
      </c>
      <c r="AV15" s="31">
        <v>674.33556022049413</v>
      </c>
      <c r="AW15" s="31">
        <v>-41.239388720157578</v>
      </c>
      <c r="AX15" s="33">
        <v>498.80259890095914</v>
      </c>
      <c r="AY15" s="33">
        <v>357.80338877000997</v>
      </c>
      <c r="AZ15" s="33">
        <v>482.35502838999929</v>
      </c>
      <c r="BA15" s="33">
        <v>551.96828435000089</v>
      </c>
      <c r="BB15" s="33">
        <v>985.96935504999988</v>
      </c>
      <c r="BC15" s="33">
        <v>219.77258253999992</v>
      </c>
      <c r="BD15" s="33">
        <v>493.97705278000012</v>
      </c>
      <c r="BE15" s="33">
        <v>422.09147164999996</v>
      </c>
      <c r="BF15" s="33">
        <v>1421.63194772</v>
      </c>
      <c r="BG15" s="33">
        <v>438.21553140000015</v>
      </c>
      <c r="BH15" s="33">
        <v>804.83165133000011</v>
      </c>
      <c r="BI15" s="33">
        <v>1386.4823610200001</v>
      </c>
    </row>
    <row r="16" spans="1:61" x14ac:dyDescent="0.3">
      <c r="A16" s="25" t="s">
        <v>462</v>
      </c>
      <c r="B16" s="28">
        <v>20.919890383753799</v>
      </c>
      <c r="C16" s="28">
        <v>131.85441555254621</v>
      </c>
      <c r="D16" s="28">
        <v>362.97609599765298</v>
      </c>
      <c r="E16" s="28">
        <v>246.70422200999997</v>
      </c>
      <c r="F16" s="28">
        <v>10.246437049399965</v>
      </c>
      <c r="G16" s="28">
        <v>2.5093045954530599</v>
      </c>
      <c r="H16" s="28">
        <v>300.78637352041204</v>
      </c>
      <c r="I16" s="28">
        <v>247.25340207487699</v>
      </c>
      <c r="J16" s="28">
        <v>233.81247594235001</v>
      </c>
      <c r="K16" s="28">
        <v>124.876612559658</v>
      </c>
      <c r="L16" s="28">
        <v>247.13954606850001</v>
      </c>
      <c r="M16" s="28">
        <v>-5.4684534683177599</v>
      </c>
      <c r="N16" s="28">
        <v>0</v>
      </c>
      <c r="O16" s="28">
        <v>13.71</v>
      </c>
      <c r="P16" s="28">
        <v>417.79399999999998</v>
      </c>
      <c r="Q16" s="28">
        <v>21.056000000000001</v>
      </c>
      <c r="R16" s="28">
        <v>165.881</v>
      </c>
      <c r="S16" s="28">
        <v>-33.656999999999996</v>
      </c>
      <c r="T16" s="28">
        <v>13.715999999999999</v>
      </c>
      <c r="U16" s="28">
        <v>69.942999999999998</v>
      </c>
      <c r="V16" s="28">
        <v>0</v>
      </c>
      <c r="W16" s="28">
        <v>-376.25351699999999</v>
      </c>
      <c r="X16" s="28">
        <v>-282.34146600000003</v>
      </c>
      <c r="Y16" s="28">
        <v>505.31400000000002</v>
      </c>
      <c r="Z16" s="28">
        <v>-412.93599999999998</v>
      </c>
      <c r="AA16" s="28">
        <v>288.577</v>
      </c>
      <c r="AB16" s="28">
        <v>124.361</v>
      </c>
      <c r="AC16" s="28">
        <v>0</v>
      </c>
      <c r="AD16" s="28">
        <v>0</v>
      </c>
      <c r="AE16" s="28">
        <v>0</v>
      </c>
      <c r="AF16" s="28">
        <v>0</v>
      </c>
      <c r="AG16" s="28">
        <v>0</v>
      </c>
      <c r="AH16" s="28">
        <v>0</v>
      </c>
      <c r="AI16" s="28">
        <v>0</v>
      </c>
      <c r="AJ16" s="28">
        <v>0</v>
      </c>
      <c r="AK16" s="29">
        <v>47.187623536208797</v>
      </c>
      <c r="AL16" s="28">
        <v>43.594586773975095</v>
      </c>
      <c r="AM16" s="28">
        <v>102.39802278899199</v>
      </c>
      <c r="AN16" s="28">
        <v>302.28856392450399</v>
      </c>
      <c r="AO16" s="28">
        <v>104.80166224148</v>
      </c>
      <c r="AP16" s="28">
        <v>-148.30332718972599</v>
      </c>
      <c r="AQ16" s="28">
        <v>71.430225100154601</v>
      </c>
      <c r="AR16" s="28">
        <v>238.09404693105299</v>
      </c>
      <c r="AS16" s="28">
        <v>-264.90628703868799</v>
      </c>
      <c r="AT16" s="28">
        <v>37.996392067627497</v>
      </c>
      <c r="AU16" s="28">
        <v>378.30115060945099</v>
      </c>
      <c r="AV16" s="28">
        <v>260.72634443438</v>
      </c>
      <c r="AW16" s="28">
        <v>2.35573271447437</v>
      </c>
      <c r="AX16" s="28">
        <v>174.20500000000001</v>
      </c>
      <c r="AY16" s="28">
        <v>118.397113073073</v>
      </c>
      <c r="AZ16" s="28">
        <v>141.719948627153</v>
      </c>
      <c r="BA16" s="28">
        <v>203.03</v>
      </c>
      <c r="BB16" s="28">
        <v>356.11500000000001</v>
      </c>
      <c r="BC16" s="28">
        <v>89.075730927217407</v>
      </c>
      <c r="BD16" s="28">
        <v>171.80600000000001</v>
      </c>
      <c r="BE16" s="28">
        <v>183.11631116298199</v>
      </c>
      <c r="BF16" s="28">
        <v>418.13</v>
      </c>
      <c r="BG16" s="28">
        <v>169.75</v>
      </c>
      <c r="BH16" s="28">
        <v>223.22300000000001</v>
      </c>
      <c r="BI16" s="28">
        <v>222.77099999999999</v>
      </c>
    </row>
    <row r="17" spans="1:61" x14ac:dyDescent="0.3">
      <c r="A17" s="25" t="s">
        <v>463</v>
      </c>
      <c r="B17" s="28">
        <v>0</v>
      </c>
      <c r="C17" s="28">
        <v>0</v>
      </c>
      <c r="D17" s="28">
        <v>0</v>
      </c>
      <c r="E17" s="28">
        <v>0</v>
      </c>
      <c r="F17" s="28">
        <v>0</v>
      </c>
      <c r="G17" s="28">
        <v>0</v>
      </c>
      <c r="H17" s="28">
        <v>0</v>
      </c>
      <c r="I17" s="28">
        <v>0</v>
      </c>
      <c r="J17" s="28">
        <v>0</v>
      </c>
      <c r="K17" s="28">
        <v>0</v>
      </c>
      <c r="L17" s="28">
        <v>0</v>
      </c>
      <c r="M17" s="28">
        <v>-880.14360157784597</v>
      </c>
      <c r="N17" s="28">
        <v>0</v>
      </c>
      <c r="O17" s="28">
        <v>0</v>
      </c>
      <c r="P17" s="28">
        <v>0</v>
      </c>
      <c r="Q17" s="28">
        <v>0</v>
      </c>
      <c r="R17" s="28">
        <v>0</v>
      </c>
      <c r="S17" s="28">
        <v>0</v>
      </c>
      <c r="T17" s="28">
        <v>0</v>
      </c>
      <c r="U17" s="28">
        <v>0</v>
      </c>
      <c r="V17" s="28">
        <v>0</v>
      </c>
      <c r="W17" s="28">
        <v>0</v>
      </c>
      <c r="X17" s="28">
        <v>0</v>
      </c>
      <c r="Y17" s="28">
        <v>-216.21</v>
      </c>
      <c r="Z17" s="28">
        <v>0</v>
      </c>
      <c r="AA17" s="28">
        <v>0</v>
      </c>
      <c r="AB17" s="28">
        <v>0</v>
      </c>
      <c r="AC17" s="28">
        <v>0</v>
      </c>
      <c r="AD17" s="28">
        <v>0</v>
      </c>
      <c r="AE17" s="28">
        <v>0</v>
      </c>
      <c r="AF17" s="28">
        <v>0</v>
      </c>
      <c r="AG17" s="28">
        <v>0</v>
      </c>
      <c r="AH17" s="28">
        <v>0</v>
      </c>
      <c r="AI17" s="28">
        <v>0</v>
      </c>
      <c r="AJ17" s="28">
        <v>0</v>
      </c>
      <c r="AK17" s="29">
        <v>160.784486592181</v>
      </c>
      <c r="AL17" s="28">
        <v>0</v>
      </c>
      <c r="AM17" s="28">
        <v>0</v>
      </c>
      <c r="AN17" s="28">
        <v>0</v>
      </c>
      <c r="AO17" s="28">
        <v>0</v>
      </c>
      <c r="AP17" s="28">
        <v>0</v>
      </c>
      <c r="AQ17" s="28">
        <v>0</v>
      </c>
      <c r="AR17" s="28">
        <v>0</v>
      </c>
      <c r="AS17" s="28">
        <v>469.10880971385097</v>
      </c>
      <c r="AT17" s="28">
        <v>0.85901927545721002</v>
      </c>
      <c r="AU17" s="28">
        <v>86.851260349316107</v>
      </c>
      <c r="AV17" s="28">
        <v>24.297887043965702</v>
      </c>
      <c r="AW17" s="28">
        <v>-14.0852993216408</v>
      </c>
      <c r="AX17" s="28">
        <v>0</v>
      </c>
      <c r="AY17" s="28">
        <v>18.170999999999999</v>
      </c>
      <c r="AZ17" s="28">
        <v>28.58</v>
      </c>
      <c r="BA17" s="28">
        <v>-8.2889999999999997</v>
      </c>
      <c r="BB17" s="28">
        <v>-7.2</v>
      </c>
      <c r="BC17" s="28">
        <v>-11.142054682052899</v>
      </c>
      <c r="BD17" s="28">
        <v>10.468999999999999</v>
      </c>
      <c r="BE17" s="28">
        <v>-39.307000000000002</v>
      </c>
      <c r="BF17" s="28">
        <v>82.474545612166395</v>
      </c>
      <c r="BG17" s="28">
        <v>-25.6522695010731</v>
      </c>
      <c r="BH17" s="28">
        <v>18.673999999999999</v>
      </c>
      <c r="BI17" s="28">
        <v>74.31</v>
      </c>
    </row>
    <row r="18" spans="1:61" x14ac:dyDescent="0.3">
      <c r="A18" s="30" t="s">
        <v>464</v>
      </c>
      <c r="B18" s="31">
        <v>46.563618061845943</v>
      </c>
      <c r="C18" s="31">
        <v>370.74057270965375</v>
      </c>
      <c r="D18" s="31">
        <v>807.91553800234715</v>
      </c>
      <c r="E18" s="31">
        <v>549.11584999000024</v>
      </c>
      <c r="F18" s="31">
        <v>22.808586690599633</v>
      </c>
      <c r="G18" s="31">
        <v>5.5861980145468024</v>
      </c>
      <c r="H18" s="31">
        <v>669.49276507958712</v>
      </c>
      <c r="I18" s="31">
        <v>550.33821826512349</v>
      </c>
      <c r="J18" s="31">
        <v>520.42129027764963</v>
      </c>
      <c r="K18" s="31">
        <v>277.95065444034293</v>
      </c>
      <c r="L18" s="31">
        <v>550.08188728149912</v>
      </c>
      <c r="M18" s="31">
        <v>-2737.4149510738362</v>
      </c>
      <c r="N18" s="31">
        <v>-159.42472223000036</v>
      </c>
      <c r="O18" s="31">
        <v>407.96761004000024</v>
      </c>
      <c r="P18" s="31">
        <v>947.09486662000006</v>
      </c>
      <c r="Q18" s="31">
        <v>-105.12200057000034</v>
      </c>
      <c r="R18" s="31">
        <v>940.10808952999935</v>
      </c>
      <c r="S18" s="31">
        <v>33.131462929998918</v>
      </c>
      <c r="T18" s="31">
        <v>353.24301739999987</v>
      </c>
      <c r="U18" s="31">
        <v>219.19142871999964</v>
      </c>
      <c r="V18" s="31">
        <v>364.89430316999972</v>
      </c>
      <c r="W18" s="31">
        <v>-399.97268128999781</v>
      </c>
      <c r="X18" s="31">
        <v>-256.98215086000204</v>
      </c>
      <c r="Y18" s="31">
        <v>1736.0222773399948</v>
      </c>
      <c r="Z18" s="31">
        <v>848.24901105000095</v>
      </c>
      <c r="AA18" s="31">
        <v>-438.99616915000126</v>
      </c>
      <c r="AB18" s="31">
        <v>-216.53993003000244</v>
      </c>
      <c r="AC18" s="31">
        <v>-890.03054852930882</v>
      </c>
      <c r="AD18" s="31">
        <v>-404.17956780999509</v>
      </c>
      <c r="AE18" s="31">
        <v>-700.39187775000335</v>
      </c>
      <c r="AF18" s="31">
        <v>-369.9041224099974</v>
      </c>
      <c r="AG18" s="31">
        <v>415.32883048000303</v>
      </c>
      <c r="AH18" s="31">
        <v>-601.47696103581086</v>
      </c>
      <c r="AI18" s="31">
        <v>-351.71419569504906</v>
      </c>
      <c r="AJ18" s="31">
        <v>-332.13059163915625</v>
      </c>
      <c r="AK18" s="32">
        <v>-393.97072598743966</v>
      </c>
      <c r="AL18" s="36">
        <v>80.961193452161922</v>
      </c>
      <c r="AM18" s="36">
        <v>190.16705711100937</v>
      </c>
      <c r="AN18" s="36">
        <v>561.39563388894931</v>
      </c>
      <c r="AO18" s="36">
        <v>194.6317717765196</v>
      </c>
      <c r="AP18" s="36">
        <v>-275.41986924253467</v>
      </c>
      <c r="AQ18" s="36">
        <v>132.65707685761208</v>
      </c>
      <c r="AR18" s="36">
        <v>251.78457681713368</v>
      </c>
      <c r="AS18" s="36">
        <v>210.64179266146687</v>
      </c>
      <c r="AT18" s="36">
        <v>63.876446926895319</v>
      </c>
      <c r="AU18" s="31">
        <v>765.99287679433678</v>
      </c>
      <c r="AV18" s="31">
        <v>389.31132874214842</v>
      </c>
      <c r="AW18" s="31">
        <v>-29.509822112991149</v>
      </c>
      <c r="AX18" s="33">
        <v>324.59759890095916</v>
      </c>
      <c r="AY18" s="33">
        <v>221.23527569693698</v>
      </c>
      <c r="AZ18" s="33">
        <v>312.05507976284633</v>
      </c>
      <c r="BA18" s="33">
        <v>357.2272843500009</v>
      </c>
      <c r="BB18" s="33">
        <v>637.05435504999991</v>
      </c>
      <c r="BC18" s="33">
        <v>141.8389062948354</v>
      </c>
      <c r="BD18" s="33">
        <v>311.70205278000009</v>
      </c>
      <c r="BE18" s="33">
        <v>278.28216048701796</v>
      </c>
      <c r="BF18" s="33">
        <v>921.02740210783361</v>
      </c>
      <c r="BG18" s="33">
        <v>294.11780090107322</v>
      </c>
      <c r="BH18" s="33">
        <v>562.93465133000018</v>
      </c>
      <c r="BI18" s="33">
        <v>1089.4013610200002</v>
      </c>
    </row>
    <row r="19" spans="1:61" x14ac:dyDescent="0.3">
      <c r="A19" s="25"/>
      <c r="B19" s="37"/>
      <c r="C19" s="37"/>
      <c r="D19" s="37"/>
      <c r="E19" s="37"/>
      <c r="F19" s="37"/>
      <c r="G19" s="37"/>
      <c r="H19" s="37"/>
      <c r="I19" s="37"/>
      <c r="J19" s="37"/>
      <c r="K19" s="37"/>
      <c r="L19" s="37"/>
      <c r="M19" s="37"/>
      <c r="N19" s="37"/>
      <c r="O19" s="37"/>
      <c r="P19" s="37"/>
      <c r="Q19" s="37"/>
      <c r="R19" s="37"/>
      <c r="S19" s="37"/>
      <c r="T19" s="37"/>
      <c r="U19" s="37"/>
      <c r="V19" s="37"/>
      <c r="W19" s="37"/>
      <c r="X19" s="37"/>
      <c r="Y19" s="37"/>
      <c r="Z19" s="38"/>
      <c r="AA19" s="38"/>
      <c r="AB19" s="38"/>
      <c r="AC19" s="38"/>
      <c r="AD19" s="38"/>
      <c r="AE19" s="38"/>
      <c r="AF19" s="38"/>
      <c r="AG19" s="38"/>
      <c r="AH19" s="38"/>
      <c r="AI19" s="38"/>
      <c r="AJ19" s="38"/>
      <c r="AK19" s="39"/>
      <c r="AL19" s="38"/>
      <c r="AM19" s="38"/>
      <c r="AN19" s="38"/>
      <c r="AO19" s="38"/>
      <c r="AP19" s="38"/>
      <c r="AQ19" s="38"/>
      <c r="AR19" s="40"/>
      <c r="AS19" s="40"/>
      <c r="AT19" s="40"/>
      <c r="AU19" s="40"/>
      <c r="AV19" s="40"/>
      <c r="AW19" s="40"/>
      <c r="AX19" s="40"/>
      <c r="AY19" s="40"/>
      <c r="AZ19" s="40"/>
      <c r="BA19" s="40"/>
      <c r="BB19" s="40"/>
      <c r="BC19" s="40"/>
      <c r="BD19" s="40"/>
      <c r="BE19" s="40"/>
      <c r="BF19" s="40"/>
      <c r="BG19" s="40"/>
      <c r="BH19" s="40"/>
      <c r="BI19" s="40"/>
    </row>
    <row r="20" spans="1:61" x14ac:dyDescent="0.3">
      <c r="A20" s="30" t="s">
        <v>465</v>
      </c>
      <c r="B20" s="41">
        <v>0.74173237177329454</v>
      </c>
      <c r="C20" s="41">
        <v>0.77887268975004342</v>
      </c>
      <c r="D20" s="41">
        <v>0.66189590237390561</v>
      </c>
      <c r="E20" s="41">
        <v>0.71921883763902217</v>
      </c>
      <c r="F20" s="41">
        <v>0.85257881740884645</v>
      </c>
      <c r="G20" s="41">
        <v>0.74774192720368193</v>
      </c>
      <c r="H20" s="41">
        <v>0.66220205823273903</v>
      </c>
      <c r="I20" s="41">
        <v>0.68243241547944133</v>
      </c>
      <c r="J20" s="41">
        <v>0.62924805421987817</v>
      </c>
      <c r="K20" s="41">
        <v>0.71422145630364597</v>
      </c>
      <c r="L20" s="41">
        <v>0.63426592196140186</v>
      </c>
      <c r="M20" s="41">
        <v>0.59623190280464955</v>
      </c>
      <c r="N20" s="41">
        <v>0.78913888923978082</v>
      </c>
      <c r="O20" s="41">
        <v>0.72919551680107064</v>
      </c>
      <c r="P20" s="41">
        <v>0.63227471102558819</v>
      </c>
      <c r="Q20" s="41">
        <v>0.80349353324403672</v>
      </c>
      <c r="R20" s="41">
        <v>0.70717197756196781</v>
      </c>
      <c r="S20" s="41">
        <v>0.78306433759644689</v>
      </c>
      <c r="T20" s="41">
        <v>0.74526050231029428</v>
      </c>
      <c r="U20" s="41">
        <v>0.78038663844447886</v>
      </c>
      <c r="V20" s="41">
        <v>0.80943581040409118</v>
      </c>
      <c r="W20" s="41">
        <v>0.90528301702956571</v>
      </c>
      <c r="X20" s="41">
        <v>0.98042823253127942</v>
      </c>
      <c r="Y20" s="41">
        <v>0.84284206548473672</v>
      </c>
      <c r="Z20" s="41">
        <v>0.82907180564133287</v>
      </c>
      <c r="AA20" s="41">
        <v>0.93763027736657167</v>
      </c>
      <c r="AB20" s="41">
        <v>0.81551103478478515</v>
      </c>
      <c r="AC20" s="41">
        <v>0.98616251432985302</v>
      </c>
      <c r="AD20" s="41">
        <v>0.89378511554966733</v>
      </c>
      <c r="AE20" s="41">
        <v>0.88233492492617327</v>
      </c>
      <c r="AF20" s="41">
        <v>0.91191190626309526</v>
      </c>
      <c r="AG20" s="41">
        <v>0.89217096014261332</v>
      </c>
      <c r="AH20" s="41">
        <v>0.99677959222892965</v>
      </c>
      <c r="AI20" s="41">
        <v>0.84990902494465348</v>
      </c>
      <c r="AJ20" s="41">
        <v>0.7650054008251912</v>
      </c>
      <c r="AK20" s="42">
        <v>0.75133882616809755</v>
      </c>
      <c r="AL20" s="41">
        <v>0.73533424869862229</v>
      </c>
      <c r="AM20" s="41">
        <v>0.71555929371409865</v>
      </c>
      <c r="AN20" s="41">
        <v>0.97886805926816223</v>
      </c>
      <c r="AO20" s="41">
        <v>0.77254164503280254</v>
      </c>
      <c r="AP20" s="41">
        <v>0.80961105937171818</v>
      </c>
      <c r="AQ20" s="41">
        <v>0.77815998530679187</v>
      </c>
      <c r="AR20" s="41">
        <v>0.70264985621980169</v>
      </c>
      <c r="AS20" s="41">
        <v>0.67215454236031835</v>
      </c>
      <c r="AT20" s="41">
        <v>0.70768766487255585</v>
      </c>
      <c r="AU20" s="41">
        <v>0.68623009179926886</v>
      </c>
      <c r="AV20" s="41">
        <v>0.78128826461637113</v>
      </c>
      <c r="AW20" s="41">
        <v>0.86512673160978182</v>
      </c>
      <c r="AX20" s="43">
        <v>0.72797260319219592</v>
      </c>
      <c r="AY20" s="43">
        <v>0.78464764164905187</v>
      </c>
      <c r="AZ20" s="43">
        <v>0.6787233414071</v>
      </c>
      <c r="BA20" s="43">
        <v>0.68385344207524368</v>
      </c>
      <c r="BB20" s="43">
        <v>0.62970283641512226</v>
      </c>
      <c r="BC20" s="43">
        <v>0.75997715453212544</v>
      </c>
      <c r="BD20" s="43">
        <v>0.75795334554394556</v>
      </c>
      <c r="BE20" s="43">
        <v>0.68848029989978865</v>
      </c>
      <c r="BF20" s="43">
        <v>0.68450997174546668</v>
      </c>
      <c r="BG20" s="43">
        <v>0.6702662556570782</v>
      </c>
      <c r="BH20" s="43">
        <v>0.73688327567482037</v>
      </c>
      <c r="BI20" s="43">
        <v>0.747150496804866</v>
      </c>
    </row>
    <row r="21" spans="1:61" x14ac:dyDescent="0.3">
      <c r="A21" s="30" t="s">
        <v>466</v>
      </c>
      <c r="B21" s="41">
        <v>0.25826762822670546</v>
      </c>
      <c r="C21" s="41">
        <v>0.2211273102499566</v>
      </c>
      <c r="D21" s="41">
        <v>0.33810409762609445</v>
      </c>
      <c r="E21" s="41">
        <v>0.28078116236097783</v>
      </c>
      <c r="F21" s="41">
        <v>0.14742118259115358</v>
      </c>
      <c r="G21" s="41">
        <v>0.25225807279631807</v>
      </c>
      <c r="H21" s="41">
        <v>0.33779794176726091</v>
      </c>
      <c r="I21" s="41">
        <v>0.31756758452055867</v>
      </c>
      <c r="J21" s="41">
        <v>0.37075194578012188</v>
      </c>
      <c r="K21" s="41">
        <v>0.28577854369635397</v>
      </c>
      <c r="L21" s="41">
        <v>0.36573407803859814</v>
      </c>
      <c r="M21" s="41">
        <v>0.40376809719535051</v>
      </c>
      <c r="N21" s="41">
        <v>0.21086111076021913</v>
      </c>
      <c r="O21" s="41">
        <v>0.27080448319892941</v>
      </c>
      <c r="P21" s="41">
        <v>0.36772528897441181</v>
      </c>
      <c r="Q21" s="41">
        <v>0.19650646675596328</v>
      </c>
      <c r="R21" s="41">
        <v>0.29282802243803219</v>
      </c>
      <c r="S21" s="41">
        <v>0.21693566240355311</v>
      </c>
      <c r="T21" s="41">
        <v>0.25473949768970572</v>
      </c>
      <c r="U21" s="41">
        <v>0.21961336155552111</v>
      </c>
      <c r="V21" s="41">
        <v>0.19056418959590882</v>
      </c>
      <c r="W21" s="41">
        <v>9.4716982970434252E-2</v>
      </c>
      <c r="X21" s="41">
        <v>1.9571767468720566E-2</v>
      </c>
      <c r="Y21" s="41">
        <v>0.1571579345152633</v>
      </c>
      <c r="Z21" s="41">
        <v>0.17092819435866716</v>
      </c>
      <c r="AA21" s="41">
        <v>6.2369722633428382E-2</v>
      </c>
      <c r="AB21" s="41">
        <v>0.18448896521521482</v>
      </c>
      <c r="AC21" s="41">
        <v>1.3837485670147021E-2</v>
      </c>
      <c r="AD21" s="41">
        <v>0.10621488445033264</v>
      </c>
      <c r="AE21" s="41">
        <v>0.11766507507382677</v>
      </c>
      <c r="AF21" s="41">
        <v>8.8088093736904724E-2</v>
      </c>
      <c r="AG21" s="41">
        <v>0.10782903985738662</v>
      </c>
      <c r="AH21" s="41">
        <v>3.2204077710703176E-3</v>
      </c>
      <c r="AI21" s="41">
        <v>0.15009097505534646</v>
      </c>
      <c r="AJ21" s="41">
        <v>0.23499459917480878</v>
      </c>
      <c r="AK21" s="42">
        <v>0.24866117383190248</v>
      </c>
      <c r="AL21" s="41">
        <v>0.26466575130137771</v>
      </c>
      <c r="AM21" s="41">
        <v>0.2844407062859014</v>
      </c>
      <c r="AN21" s="41">
        <v>2.1131940731837766E-2</v>
      </c>
      <c r="AO21" s="41">
        <v>0.22745835496719746</v>
      </c>
      <c r="AP21" s="41">
        <v>0.19038894062828185</v>
      </c>
      <c r="AQ21" s="41">
        <v>0.22184001469320819</v>
      </c>
      <c r="AR21" s="41">
        <v>0.29735014378019831</v>
      </c>
      <c r="AS21" s="41">
        <v>0.32784545763968165</v>
      </c>
      <c r="AT21" s="41">
        <v>0.29231233512744415</v>
      </c>
      <c r="AU21" s="41">
        <v>0.31376990820073108</v>
      </c>
      <c r="AV21" s="41">
        <v>0.2187117353836289</v>
      </c>
      <c r="AW21" s="41">
        <v>0.13487326839021815</v>
      </c>
      <c r="AX21" s="43">
        <v>0.27202739680780413</v>
      </c>
      <c r="AY21" s="43">
        <v>0.2153523583509481</v>
      </c>
      <c r="AZ21" s="43">
        <v>0.32127665859290006</v>
      </c>
      <c r="BA21" s="43">
        <v>0.31614655792475632</v>
      </c>
      <c r="BB21" s="43">
        <v>0.3702971635848778</v>
      </c>
      <c r="BC21" s="43">
        <v>0.24002284546787456</v>
      </c>
      <c r="BD21" s="43">
        <v>0.24204665445605442</v>
      </c>
      <c r="BE21" s="43">
        <v>0.31151970010021129</v>
      </c>
      <c r="BF21" s="43">
        <v>0.31549002825453326</v>
      </c>
      <c r="BG21" s="43">
        <v>0.32973374434292174</v>
      </c>
      <c r="BH21" s="43">
        <v>0.26311672432517963</v>
      </c>
      <c r="BI21" s="43">
        <v>0.25284950319513394</v>
      </c>
    </row>
    <row r="22" spans="1:61" x14ac:dyDescent="0.3">
      <c r="A22" s="30" t="s">
        <v>467</v>
      </c>
      <c r="B22" s="41">
        <v>1.8320447095098804E-2</v>
      </c>
      <c r="C22" s="41">
        <v>0.12993742749008086</v>
      </c>
      <c r="D22" s="41">
        <v>0.22553631643522798</v>
      </c>
      <c r="E22" s="41">
        <v>0.16243677625031061</v>
      </c>
      <c r="F22" s="41">
        <v>1.1000543260645328E-2</v>
      </c>
      <c r="G22" s="41">
        <v>2.0892558084347713E-3</v>
      </c>
      <c r="H22" s="41">
        <v>0.20726186481318529</v>
      </c>
      <c r="I22" s="41">
        <v>0.16505164572961442</v>
      </c>
      <c r="J22" s="41">
        <v>0.13877154042814799</v>
      </c>
      <c r="K22" s="41">
        <v>8.2023129512039564E-2</v>
      </c>
      <c r="L22" s="41">
        <v>0.14366090449551505</v>
      </c>
      <c r="M22" s="41">
        <v>-0.80641121063202104</v>
      </c>
      <c r="N22" s="41">
        <v>-5.8576794136386147E-2</v>
      </c>
      <c r="O22" s="41">
        <v>0.12919376115913619</v>
      </c>
      <c r="P22" s="41">
        <v>0.25404097134426318</v>
      </c>
      <c r="Q22" s="41">
        <v>-3.5300255510522946E-2</v>
      </c>
      <c r="R22" s="41">
        <v>0.25137934223360053</v>
      </c>
      <c r="S22" s="41">
        <v>1.0842417228961327E-2</v>
      </c>
      <c r="T22" s="41">
        <v>0.12003104993654398</v>
      </c>
      <c r="U22" s="41">
        <v>6.9053658093951947E-2</v>
      </c>
      <c r="V22" s="41">
        <v>0.1320114135670063</v>
      </c>
      <c r="W22" s="41">
        <v>-0.17267280045482467</v>
      </c>
      <c r="X22" s="41">
        <v>-0.12336233123692318</v>
      </c>
      <c r="Y22" s="41">
        <v>0.65874702734361856</v>
      </c>
      <c r="Z22" s="41">
        <v>0.35319685240086746</v>
      </c>
      <c r="AA22" s="41">
        <v>-0.21149319629128194</v>
      </c>
      <c r="AB22" s="41">
        <v>-8.2370647000178557E-2</v>
      </c>
      <c r="AC22" s="41">
        <v>-0.49084039116999467</v>
      </c>
      <c r="AD22" s="41">
        <v>-0.1836989608357992</v>
      </c>
      <c r="AE22" s="41">
        <v>-0.30364947790834595</v>
      </c>
      <c r="AF22" s="41">
        <v>-0.16648394287731619</v>
      </c>
      <c r="AG22" s="41">
        <v>0.17551600205930107</v>
      </c>
      <c r="AH22" s="41">
        <v>-0.31277048517198835</v>
      </c>
      <c r="AI22" s="41">
        <v>-0.1670324128969215</v>
      </c>
      <c r="AJ22" s="41">
        <v>-0.12872440939692004</v>
      </c>
      <c r="AK22" s="42">
        <v>-0.14720404391176756</v>
      </c>
      <c r="AL22" s="41">
        <v>3.0418890033048436E-2</v>
      </c>
      <c r="AM22" s="41">
        <v>6.5860855808731619E-2</v>
      </c>
      <c r="AN22" s="41">
        <v>0.27384191086408149</v>
      </c>
      <c r="AO22" s="41">
        <v>6.2820655754001462E-2</v>
      </c>
      <c r="AP22" s="41">
        <v>-0.10041189736993553</v>
      </c>
      <c r="AQ22" s="41">
        <v>5.2514064618270823E-2</v>
      </c>
      <c r="AR22" s="41">
        <v>7.2654476472595417E-2</v>
      </c>
      <c r="AS22" s="41">
        <v>6.0787918967293353E-2</v>
      </c>
      <c r="AT22" s="41">
        <v>1.899392094051347E-2</v>
      </c>
      <c r="AU22" s="41">
        <v>0.21820283627861523</v>
      </c>
      <c r="AV22" s="41">
        <v>0.14338893140491718</v>
      </c>
      <c r="AW22" s="41">
        <v>-1.1823343084123009E-2</v>
      </c>
      <c r="AX22" s="43">
        <v>0.10988580015157959</v>
      </c>
      <c r="AY22" s="43">
        <v>7.7291349102925538E-2</v>
      </c>
      <c r="AZ22" s="43">
        <v>9.8901933482386573E-2</v>
      </c>
      <c r="BA22" s="43">
        <v>0.10549667405791838</v>
      </c>
      <c r="BB22" s="43">
        <v>0.16254384037084071</v>
      </c>
      <c r="BC22" s="43">
        <v>4.5536483658342564E-2</v>
      </c>
      <c r="BD22" s="43">
        <v>8.280071584293737E-2</v>
      </c>
      <c r="BE22" s="43">
        <v>7.6235714266503496E-2</v>
      </c>
      <c r="BF22" s="43">
        <v>0.24323020224685035</v>
      </c>
      <c r="BG22" s="43">
        <v>7.9781702939530491E-2</v>
      </c>
      <c r="BH22" s="43">
        <v>0.16195247346533662</v>
      </c>
      <c r="BI22" s="43">
        <v>0.29824207705334793</v>
      </c>
    </row>
    <row r="23" spans="1:61" x14ac:dyDescent="0.3">
      <c r="A23" s="30" t="s">
        <v>468</v>
      </c>
      <c r="B23" s="41">
        <v>9.3873594382511694E-2</v>
      </c>
      <c r="C23" s="41">
        <v>0.2068483607999142</v>
      </c>
      <c r="D23" s="41">
        <v>0.35753057950736206</v>
      </c>
      <c r="E23" s="41">
        <v>0.27284456105958022</v>
      </c>
      <c r="F23" s="41">
        <v>0.11732378892076435</v>
      </c>
      <c r="G23" s="41">
        <v>5.670607456118229E-2</v>
      </c>
      <c r="H23" s="41">
        <v>0.34170795862804282</v>
      </c>
      <c r="I23" s="41">
        <v>0.28549715061736752</v>
      </c>
      <c r="J23" s="41">
        <v>0.23551675262897673</v>
      </c>
      <c r="K23" s="41">
        <v>0.16283415010363822</v>
      </c>
      <c r="L23" s="41">
        <v>0.27772844976172051</v>
      </c>
      <c r="M23" s="41">
        <v>-0.99890324141814535</v>
      </c>
      <c r="N23" s="41">
        <v>4.3098226486686557E-3</v>
      </c>
      <c r="O23" s="41">
        <v>0.17556134011832852</v>
      </c>
      <c r="P23" s="41">
        <v>0.41033793809699842</v>
      </c>
      <c r="Q23" s="41">
        <v>3.6168286152768181E-2</v>
      </c>
      <c r="R23" s="41">
        <v>0.34351439618868668</v>
      </c>
      <c r="S23" s="41">
        <v>7.01701027856802E-2</v>
      </c>
      <c r="T23" s="41">
        <v>0.20437770426254026</v>
      </c>
      <c r="U23" s="41">
        <v>0.14452964672288204</v>
      </c>
      <c r="V23" s="41">
        <v>0.21171569942249011</v>
      </c>
      <c r="W23" s="41">
        <v>-0.2357502307884263</v>
      </c>
      <c r="X23" s="41">
        <v>-7.8602911249263427E-2</v>
      </c>
      <c r="Y23" s="41">
        <v>1.1078125647614514</v>
      </c>
      <c r="Z23" s="41">
        <v>0.65596597978985038</v>
      </c>
      <c r="AA23" s="41">
        <v>-0.23768848832004225</v>
      </c>
      <c r="AB23" s="41">
        <v>-1.9577927890024126E-2</v>
      </c>
      <c r="AC23" s="41">
        <v>-0.32766258240255647</v>
      </c>
      <c r="AD23" s="41">
        <v>-2.8451669337115196E-2</v>
      </c>
      <c r="AE23" s="41">
        <v>-0.1839340658199218</v>
      </c>
      <c r="AF23" s="41">
        <v>-4.4207643867272793E-2</v>
      </c>
      <c r="AG23" s="41">
        <v>0.28681550363363267</v>
      </c>
      <c r="AH23" s="41">
        <v>-0.15067456936593376</v>
      </c>
      <c r="AI23" s="41">
        <v>-3.3747043644552152E-2</v>
      </c>
      <c r="AJ23" s="41">
        <v>0.32377743796590741</v>
      </c>
      <c r="AK23" s="42">
        <v>5.7034558827867669E-3</v>
      </c>
      <c r="AL23" s="41">
        <v>0.13663898667110974</v>
      </c>
      <c r="AM23" s="41">
        <v>0.17402974526367138</v>
      </c>
      <c r="AN23" s="41">
        <v>0.52641745205046453</v>
      </c>
      <c r="AO23" s="41">
        <v>0.16553067408107142</v>
      </c>
      <c r="AP23" s="41">
        <v>-7.8977963015430266E-2</v>
      </c>
      <c r="AQ23" s="41">
        <v>0.15974472382090976</v>
      </c>
      <c r="AR23" s="41">
        <v>0.19864295982573635</v>
      </c>
      <c r="AS23" s="41">
        <v>0.16649311978501102</v>
      </c>
      <c r="AT23" s="41">
        <v>8.2994345850276346E-2</v>
      </c>
      <c r="AU23" s="41">
        <v>0.40017370202356428</v>
      </c>
      <c r="AV23" s="41">
        <v>0.30768982867751554</v>
      </c>
      <c r="AW23" s="41">
        <v>-2.3685231033531484E-2</v>
      </c>
      <c r="AX23" s="43">
        <v>0.22063378137574188</v>
      </c>
      <c r="AY23" s="43">
        <v>0.17573093431686601</v>
      </c>
      <c r="AZ23" s="43">
        <v>0.20180725307614578</v>
      </c>
      <c r="BA23" s="43">
        <v>0.20765827006418233</v>
      </c>
      <c r="BB23" s="43">
        <v>0.27915903589448754</v>
      </c>
      <c r="BC23" s="43">
        <v>0.11850855474805935</v>
      </c>
      <c r="BD23" s="43">
        <v>0.17336300447737205</v>
      </c>
      <c r="BE23" s="43">
        <v>0.15547280696087917</v>
      </c>
      <c r="BF23" s="43">
        <v>0.40692670931211211</v>
      </c>
      <c r="BG23" s="43">
        <v>0.15542656540889924</v>
      </c>
      <c r="BH23" s="43">
        <v>0.2564353930996785</v>
      </c>
      <c r="BI23" s="43">
        <v>0.42230721815009109</v>
      </c>
    </row>
    <row r="24" spans="1:61" x14ac:dyDescent="0.3">
      <c r="A24" s="37"/>
      <c r="B24" s="37"/>
      <c r="C24" s="37"/>
      <c r="D24" s="37"/>
      <c r="E24" s="37"/>
      <c r="F24" s="37"/>
      <c r="G24" s="37"/>
      <c r="H24" s="37"/>
      <c r="I24" s="37"/>
      <c r="J24" s="37"/>
      <c r="K24" s="37"/>
      <c r="L24" s="37"/>
      <c r="M24" s="37"/>
      <c r="N24" s="37"/>
      <c r="O24" s="37"/>
      <c r="P24" s="37"/>
      <c r="Q24" s="37"/>
      <c r="R24" s="40"/>
      <c r="S24" s="40"/>
      <c r="T24" s="44"/>
      <c r="U24" s="45"/>
      <c r="V24" s="40"/>
      <c r="W24" s="44"/>
      <c r="X24" s="37"/>
      <c r="Y24" s="37"/>
      <c r="Z24" s="37"/>
      <c r="AA24" s="37"/>
      <c r="AB24" s="37"/>
      <c r="AC24" s="37"/>
      <c r="AD24" s="37"/>
      <c r="AE24" s="37"/>
      <c r="AF24" s="37"/>
      <c r="AG24" s="37"/>
      <c r="AH24" s="37"/>
      <c r="AI24" s="37"/>
      <c r="AJ24" s="37"/>
      <c r="AK24" s="39"/>
      <c r="AL24" s="37"/>
      <c r="AM24" s="37"/>
      <c r="AN24" s="37"/>
      <c r="AO24" s="37"/>
      <c r="AP24" s="37"/>
      <c r="AQ24" s="37"/>
      <c r="AR24" s="37"/>
      <c r="AS24" s="37"/>
      <c r="AT24" s="37"/>
      <c r="AU24" s="37"/>
      <c r="AV24" s="37"/>
      <c r="AW24" s="37"/>
      <c r="AX24" s="41"/>
      <c r="AY24" s="41"/>
      <c r="AZ24" s="41"/>
      <c r="BA24" s="41"/>
      <c r="BB24" s="41"/>
      <c r="BC24" s="41"/>
      <c r="BD24" s="41"/>
      <c r="BE24" s="41"/>
      <c r="BF24" s="41"/>
      <c r="BG24" s="41"/>
      <c r="BH24" s="41"/>
      <c r="BI24" s="41"/>
    </row>
    <row r="25" spans="1:61" x14ac:dyDescent="0.3">
      <c r="A25" s="30" t="s">
        <v>469</v>
      </c>
      <c r="B25" s="28">
        <v>350.1258391561002</v>
      </c>
      <c r="C25" s="28">
        <v>164.06639200000001</v>
      </c>
      <c r="D25" s="28">
        <v>-150.20970800000001</v>
      </c>
      <c r="E25" s="28">
        <v>-7.6354990000000003</v>
      </c>
      <c r="F25" s="28">
        <v>11.183728</v>
      </c>
      <c r="G25" s="28">
        <v>111.093536</v>
      </c>
      <c r="H25" s="28">
        <v>9.4194820000000004</v>
      </c>
      <c r="I25" s="28">
        <v>2.1289199999999999</v>
      </c>
      <c r="J25" s="28">
        <v>54.996907999999998</v>
      </c>
      <c r="K25" s="28">
        <v>120.255369</v>
      </c>
      <c r="L25" s="28">
        <v>195.73487499999999</v>
      </c>
      <c r="M25" s="28">
        <v>4307.5576279999996</v>
      </c>
      <c r="N25" s="28">
        <v>383.97163899999998</v>
      </c>
      <c r="O25" s="28">
        <v>94.995692000000005</v>
      </c>
      <c r="P25" s="28">
        <v>382.15191299999998</v>
      </c>
      <c r="Q25" s="28">
        <v>303.62035800000001</v>
      </c>
      <c r="R25" s="28">
        <v>-542.88030500000002</v>
      </c>
      <c r="S25" s="28">
        <v>164.55909299999999</v>
      </c>
      <c r="T25" s="28">
        <v>220.270062</v>
      </c>
      <c r="U25" s="28">
        <v>104.75847899999999</v>
      </c>
      <c r="V25" s="28">
        <v>-153.084057</v>
      </c>
      <c r="W25" s="28">
        <v>461.717758</v>
      </c>
      <c r="X25" s="28">
        <v>-35.451399000000002</v>
      </c>
      <c r="Y25" s="28">
        <v>709.69921699999998</v>
      </c>
      <c r="Z25" s="28">
        <v>892.98560599999996</v>
      </c>
      <c r="AA25" s="28">
        <v>472.93437699999998</v>
      </c>
      <c r="AB25" s="28">
        <v>268.090056</v>
      </c>
      <c r="AC25" s="28">
        <v>537.92203600000005</v>
      </c>
      <c r="AD25" s="28">
        <v>147.320311</v>
      </c>
      <c r="AE25" s="28">
        <v>385.37171999999998</v>
      </c>
      <c r="AF25" s="28">
        <v>224.76177200000001</v>
      </c>
      <c r="AG25" s="28">
        <v>-618.40036099999998</v>
      </c>
      <c r="AH25" s="28">
        <v>115.213897</v>
      </c>
      <c r="AI25" s="28">
        <v>159.77251000000001</v>
      </c>
      <c r="AJ25" s="28">
        <v>369.07803100000001</v>
      </c>
      <c r="AK25" s="27">
        <v>-301.13506000000001</v>
      </c>
      <c r="AL25" s="26">
        <v>293.88264199999998</v>
      </c>
      <c r="AM25" s="26">
        <v>-53.408191759999873</v>
      </c>
      <c r="AN25" s="26">
        <v>111.48500199999999</v>
      </c>
      <c r="AO25" s="26">
        <v>56.020368920000003</v>
      </c>
      <c r="AP25" s="26">
        <v>529.50782362999996</v>
      </c>
      <c r="AQ25" s="26">
        <v>261.44709699999999</v>
      </c>
      <c r="AR25" s="26">
        <v>-30.807306199999989</v>
      </c>
      <c r="AS25" s="26">
        <v>294.08680361</v>
      </c>
      <c r="AT25" s="26">
        <v>346.92376300000001</v>
      </c>
      <c r="AU25" s="26">
        <v>-255.32326499999999</v>
      </c>
      <c r="AV25" s="26">
        <v>78.627804780000005</v>
      </c>
      <c r="AW25" s="26">
        <v>-220.87517903</v>
      </c>
      <c r="AX25" s="46">
        <v>301.81830095000004</v>
      </c>
      <c r="AY25" s="46">
        <v>-32.181548999999997</v>
      </c>
      <c r="AZ25" s="46">
        <v>152.03018671999999</v>
      </c>
      <c r="BA25" s="46">
        <v>42.792895999999999</v>
      </c>
      <c r="BB25" s="46">
        <v>-12.336166029999999</v>
      </c>
      <c r="BC25" s="46">
        <v>98.488567000000003</v>
      </c>
      <c r="BD25" s="46">
        <v>-5.9357458799999998</v>
      </c>
      <c r="BE25" s="46">
        <v>472.18903950999993</v>
      </c>
      <c r="BF25" s="46">
        <v>221.30982563999999</v>
      </c>
      <c r="BG25" s="46">
        <v>456.00259399999999</v>
      </c>
      <c r="BH25" s="46">
        <v>293.40300030000003</v>
      </c>
      <c r="BI25" s="46">
        <v>-248.88937671000002</v>
      </c>
    </row>
    <row r="26" spans="1:61" x14ac:dyDescent="0.3">
      <c r="A26" s="30" t="s">
        <v>470</v>
      </c>
      <c r="B26" s="28">
        <v>145.9166720517</v>
      </c>
      <c r="C26" s="28">
        <v>143.615073</v>
      </c>
      <c r="D26" s="28">
        <v>173.90971999999999</v>
      </c>
      <c r="E26" s="28">
        <v>162.38142199999999</v>
      </c>
      <c r="F26" s="28">
        <v>239.30216300000001</v>
      </c>
      <c r="G26" s="28">
        <v>-119.22912100000001</v>
      </c>
      <c r="H26" s="28">
        <v>228.65879699999999</v>
      </c>
      <c r="I26" s="28">
        <v>251.42571699999999</v>
      </c>
      <c r="J26" s="28">
        <v>-142.63272699999999</v>
      </c>
      <c r="K26" s="28">
        <v>82.892335000000003</v>
      </c>
      <c r="L26" s="28">
        <v>246.15649300000001</v>
      </c>
      <c r="M26" s="28">
        <v>82.024113</v>
      </c>
      <c r="N26" s="28">
        <v>61.287531999999999</v>
      </c>
      <c r="O26" s="28">
        <v>57.516834000000003</v>
      </c>
      <c r="P26" s="28">
        <v>853.07891900000004</v>
      </c>
      <c r="Q26" s="28">
        <v>79.933789000000004</v>
      </c>
      <c r="R26" s="28">
        <v>-51.347031000000001</v>
      </c>
      <c r="S26" s="28">
        <v>-1.237889</v>
      </c>
      <c r="T26" s="28">
        <v>-7.6480999999999993E-2</v>
      </c>
      <c r="U26" s="28">
        <v>65.958543000000006</v>
      </c>
      <c r="V26" s="28">
        <v>81.064865999999995</v>
      </c>
      <c r="W26" s="28">
        <v>0.80825199999999997</v>
      </c>
      <c r="X26" s="28">
        <v>-52.674475000000001</v>
      </c>
      <c r="Y26" s="28">
        <v>4212.2476260000003</v>
      </c>
      <c r="Z26" s="28">
        <v>2480.2600523800002</v>
      </c>
      <c r="AA26" s="28">
        <v>36.259216000000002</v>
      </c>
      <c r="AB26" s="28">
        <v>-52.520153000000001</v>
      </c>
      <c r="AC26" s="28">
        <v>61.279561999999999</v>
      </c>
      <c r="AD26" s="28">
        <v>59.434170000000002</v>
      </c>
      <c r="AE26" s="28">
        <v>-7.6785277699999996</v>
      </c>
      <c r="AF26" s="28">
        <v>-48.480165999999997</v>
      </c>
      <c r="AG26" s="28">
        <v>70.829593000000003</v>
      </c>
      <c r="AH26" s="28">
        <v>-2.3859050000000002</v>
      </c>
      <c r="AI26" s="28">
        <v>-17.710452</v>
      </c>
      <c r="AJ26" s="28">
        <v>18.983242000000001</v>
      </c>
      <c r="AK26" s="27">
        <v>-16.028047000000001</v>
      </c>
      <c r="AL26" s="26">
        <v>124.48371886</v>
      </c>
      <c r="AM26" s="26">
        <v>209.19695539999975</v>
      </c>
      <c r="AN26" s="26">
        <v>1140.69535</v>
      </c>
      <c r="AO26" s="26">
        <v>130.54416184000002</v>
      </c>
      <c r="AP26" s="26">
        <v>40.420439000000002</v>
      </c>
      <c r="AQ26" s="26">
        <v>356.20275538999999</v>
      </c>
      <c r="AR26" s="26">
        <v>-98.266308200000012</v>
      </c>
      <c r="AS26" s="26">
        <v>22.607460579999998</v>
      </c>
      <c r="AT26" s="26">
        <v>-107.957823</v>
      </c>
      <c r="AU26" s="26">
        <v>320.93981413</v>
      </c>
      <c r="AV26" s="26">
        <v>484.30374950999999</v>
      </c>
      <c r="AW26" s="26">
        <v>129.50382665999999</v>
      </c>
      <c r="AX26" s="46">
        <v>374.09854407000017</v>
      </c>
      <c r="AY26" s="46">
        <v>137.73478700000001</v>
      </c>
      <c r="AZ26" s="46">
        <v>59.0965706</v>
      </c>
      <c r="BA26" s="46">
        <v>-57.610337570000006</v>
      </c>
      <c r="BB26" s="46">
        <v>-81.769488980000006</v>
      </c>
      <c r="BC26" s="46">
        <v>-22.973867819999999</v>
      </c>
      <c r="BD26" s="46">
        <v>45.974958669999999</v>
      </c>
      <c r="BE26" s="46">
        <v>208.83533995000002</v>
      </c>
      <c r="BF26" s="46">
        <v>843.86706499999991</v>
      </c>
      <c r="BG26" s="46">
        <v>-182.84361699999999</v>
      </c>
      <c r="BH26" s="46">
        <v>208.0364323</v>
      </c>
      <c r="BI26" s="46">
        <v>54.911748450000005</v>
      </c>
    </row>
    <row r="27" spans="1:61" x14ac:dyDescent="0.3">
      <c r="A27" s="37"/>
      <c r="B27" s="37"/>
      <c r="C27" s="37"/>
      <c r="D27" s="37"/>
      <c r="E27" s="37"/>
      <c r="F27" s="37"/>
      <c r="G27" s="37"/>
      <c r="H27" s="37"/>
      <c r="I27" s="37"/>
      <c r="J27" s="37"/>
      <c r="K27" s="37"/>
      <c r="L27" s="37"/>
      <c r="M27" s="37"/>
      <c r="N27" s="37"/>
      <c r="O27" s="37"/>
      <c r="P27" s="37"/>
      <c r="Q27" s="37"/>
      <c r="R27" s="40"/>
      <c r="S27" s="40"/>
      <c r="T27" s="44"/>
      <c r="U27" s="45"/>
      <c r="V27" s="40"/>
      <c r="W27" s="44"/>
      <c r="X27" s="37"/>
      <c r="Y27" s="37"/>
      <c r="Z27" s="37"/>
      <c r="AA27" s="37"/>
      <c r="AB27" s="37"/>
      <c r="AC27" s="37"/>
      <c r="AD27" s="37"/>
      <c r="AE27" s="37"/>
      <c r="AF27" s="37"/>
      <c r="AG27" s="37"/>
      <c r="AH27" s="37"/>
      <c r="AI27" s="37"/>
      <c r="AJ27" s="37"/>
      <c r="AK27" s="39"/>
      <c r="AL27" s="37"/>
      <c r="AM27" s="37"/>
      <c r="AN27" s="37"/>
      <c r="AO27" s="37"/>
      <c r="AP27" s="37"/>
      <c r="AQ27" s="37"/>
      <c r="AR27" s="37"/>
      <c r="AS27" s="37"/>
      <c r="AT27" s="37"/>
      <c r="AU27" s="37"/>
      <c r="AV27" s="37"/>
      <c r="AW27" s="37"/>
      <c r="AX27" s="41"/>
      <c r="AY27" s="41"/>
      <c r="AZ27" s="41"/>
      <c r="BA27" s="41"/>
      <c r="BB27" s="41"/>
      <c r="BC27" s="41"/>
      <c r="BD27" s="41"/>
      <c r="BE27" s="41"/>
      <c r="BF27" s="41"/>
      <c r="BG27" s="41"/>
      <c r="BH27" s="41"/>
      <c r="BI27" s="41"/>
    </row>
    <row r="28" spans="1:61" x14ac:dyDescent="0.3">
      <c r="A28" s="30" t="s">
        <v>471</v>
      </c>
      <c r="B28" s="28">
        <v>250.77278516624614</v>
      </c>
      <c r="C28" s="28">
        <v>391.19189170965382</v>
      </c>
      <c r="D28" s="28">
        <v>483.79611000234718</v>
      </c>
      <c r="E28" s="28">
        <v>379.09892899000027</v>
      </c>
      <c r="F28" s="28">
        <v>-205.30984830940037</v>
      </c>
      <c r="G28" s="28">
        <v>235.90885501454682</v>
      </c>
      <c r="H28" s="28">
        <v>450.25345007958714</v>
      </c>
      <c r="I28" s="28">
        <v>301.04142126512352</v>
      </c>
      <c r="J28" s="28">
        <v>718.05092527764964</v>
      </c>
      <c r="K28" s="28">
        <v>315.31368844034296</v>
      </c>
      <c r="L28" s="28">
        <v>499.6602692814991</v>
      </c>
      <c r="M28" s="28">
        <v>1488.1185639261635</v>
      </c>
      <c r="N28" s="28">
        <v>163.25938476999963</v>
      </c>
      <c r="O28" s="28">
        <v>445.44646804000024</v>
      </c>
      <c r="P28" s="28">
        <v>476.16786062000006</v>
      </c>
      <c r="Q28" s="28">
        <v>118.56456842999965</v>
      </c>
      <c r="R28" s="28">
        <v>448.57481552999934</v>
      </c>
      <c r="S28" s="28">
        <v>198.9284449299989</v>
      </c>
      <c r="T28" s="28">
        <v>573.58956039999987</v>
      </c>
      <c r="U28" s="28">
        <v>257.99136471999958</v>
      </c>
      <c r="V28" s="28">
        <v>130.74538016999972</v>
      </c>
      <c r="W28" s="28">
        <v>60.936824710002192</v>
      </c>
      <c r="X28" s="28">
        <v>-239.75907486000202</v>
      </c>
      <c r="Y28" s="28">
        <v>-1766.5261316600054</v>
      </c>
      <c r="Z28" s="28">
        <v>-739.02543532999925</v>
      </c>
      <c r="AA28" s="28">
        <v>-2.3210081500012834</v>
      </c>
      <c r="AB28" s="28">
        <v>104.07027896999756</v>
      </c>
      <c r="AC28" s="28">
        <v>-413.38807452930877</v>
      </c>
      <c r="AD28" s="28">
        <v>-316.29342680999508</v>
      </c>
      <c r="AE28" s="28">
        <v>-307.34162998000335</v>
      </c>
      <c r="AF28" s="28">
        <v>-96.662184409997394</v>
      </c>
      <c r="AG28" s="28">
        <v>-273.90112351999693</v>
      </c>
      <c r="AH28" s="28">
        <v>-483.87715903581091</v>
      </c>
      <c r="AI28" s="28">
        <v>-174.23123369504904</v>
      </c>
      <c r="AJ28" s="28">
        <v>17.964197360843759</v>
      </c>
      <c r="AK28" s="29">
        <v>-679.07773898743972</v>
      </c>
      <c r="AL28" s="28">
        <v>250.36011659216189</v>
      </c>
      <c r="AM28" s="28">
        <v>-72.438090048990261</v>
      </c>
      <c r="AN28" s="28">
        <v>-467.81471411105065</v>
      </c>
      <c r="AO28" s="28">
        <v>120.10797885651959</v>
      </c>
      <c r="AP28" s="28">
        <v>213.6675153874653</v>
      </c>
      <c r="AQ28" s="28">
        <v>37.901418467612075</v>
      </c>
      <c r="AR28" s="28">
        <v>319.24357881713371</v>
      </c>
      <c r="AS28" s="28">
        <v>482.12113569146686</v>
      </c>
      <c r="AT28" s="28">
        <v>518.75803292689534</v>
      </c>
      <c r="AU28" s="28">
        <v>189.72979766433679</v>
      </c>
      <c r="AV28" s="28">
        <v>-16.36461598785155</v>
      </c>
      <c r="AW28" s="28">
        <v>-379.88882780299116</v>
      </c>
      <c r="AX28" s="28">
        <v>252.31735578095908</v>
      </c>
      <c r="AY28" s="28">
        <v>51.31893969693698</v>
      </c>
      <c r="AZ28" s="28">
        <v>404.98869588284634</v>
      </c>
      <c r="BA28" s="28">
        <v>457.6305179200009</v>
      </c>
      <c r="BB28" s="28">
        <v>706.48767799999996</v>
      </c>
      <c r="BC28" s="28">
        <v>263.3013411148354</v>
      </c>
      <c r="BD28" s="28">
        <v>259.7913482300001</v>
      </c>
      <c r="BE28" s="28">
        <v>541.6358600470179</v>
      </c>
      <c r="BF28" s="28">
        <v>298.47016274783368</v>
      </c>
      <c r="BG28" s="28">
        <v>932.96401190107326</v>
      </c>
      <c r="BH28" s="28">
        <v>648.30121933000021</v>
      </c>
      <c r="BI28" s="28">
        <v>785.60023586000011</v>
      </c>
    </row>
    <row r="29" spans="1:61" x14ac:dyDescent="0.3">
      <c r="A29" s="30" t="s">
        <v>472</v>
      </c>
      <c r="B29" s="43">
        <v>9.8666506915907337E-2</v>
      </c>
      <c r="C29" s="43">
        <v>0.1371052207537552</v>
      </c>
      <c r="D29" s="43">
        <v>0.13505569261041336</v>
      </c>
      <c r="E29" s="43">
        <v>0.11214319875523984</v>
      </c>
      <c r="F29" s="43">
        <v>-9.9020596883143089E-2</v>
      </c>
      <c r="G29" s="43">
        <v>8.8230661411726599E-2</v>
      </c>
      <c r="H29" s="43">
        <v>0.13938966120264501</v>
      </c>
      <c r="I29" s="43">
        <v>9.0285174395527912E-2</v>
      </c>
      <c r="J29" s="43">
        <v>0.19146993958197767</v>
      </c>
      <c r="K29" s="43">
        <v>9.3048946245284592E-2</v>
      </c>
      <c r="L29" s="43">
        <v>0.13049265552115735</v>
      </c>
      <c r="M29" s="43">
        <v>0.43838274947279399</v>
      </c>
      <c r="N29" s="43">
        <v>5.9985749002645777E-2</v>
      </c>
      <c r="O29" s="43">
        <v>0.14106243531318099</v>
      </c>
      <c r="P29" s="43">
        <v>0.12772336763531358</v>
      </c>
      <c r="Q29" s="43">
        <v>3.9814306590244687E-2</v>
      </c>
      <c r="R29" s="43">
        <v>0.11994625227282615</v>
      </c>
      <c r="S29" s="43">
        <v>6.5100210129464861E-2</v>
      </c>
      <c r="T29" s="43">
        <v>0.19490422676774677</v>
      </c>
      <c r="U29" s="43">
        <v>8.1277117424717049E-2</v>
      </c>
      <c r="V29" s="43">
        <v>4.730104664187134E-2</v>
      </c>
      <c r="W29" s="43">
        <v>2.6307127125694437E-2</v>
      </c>
      <c r="X29" s="43">
        <v>-0.11509452431212171</v>
      </c>
      <c r="Y29" s="43">
        <v>-0.67032194986513083</v>
      </c>
      <c r="Z29" s="43">
        <v>-0.30771796277089958</v>
      </c>
      <c r="AA29" s="43">
        <v>-1.1181815850747389E-3</v>
      </c>
      <c r="AB29" s="43">
        <v>3.958778508453404E-2</v>
      </c>
      <c r="AC29" s="43">
        <v>-0.22797820203167449</v>
      </c>
      <c r="AD29" s="43">
        <v>-0.14375485168390337</v>
      </c>
      <c r="AE29" s="43">
        <v>-0.13324558500411252</v>
      </c>
      <c r="AF29" s="43">
        <v>-4.3505061481509115E-2</v>
      </c>
      <c r="AG29" s="43">
        <v>-0.11574932109630008</v>
      </c>
      <c r="AH29" s="43">
        <v>-0.25161810609444657</v>
      </c>
      <c r="AI29" s="43">
        <v>-8.2744068116387126E-2</v>
      </c>
      <c r="AJ29" s="43">
        <v>6.9624140436803433E-3</v>
      </c>
      <c r="AK29" s="47">
        <v>-0.25373202300466829</v>
      </c>
      <c r="AL29" s="43">
        <v>9.4065768185323057E-2</v>
      </c>
      <c r="AM29" s="43">
        <v>-2.5087597590530659E-2</v>
      </c>
      <c r="AN29" s="43">
        <v>-0.22819428493782201</v>
      </c>
      <c r="AO29" s="43">
        <v>3.8766856634886604E-2</v>
      </c>
      <c r="AP29" s="43">
        <v>7.7898376342202924E-2</v>
      </c>
      <c r="AQ29" s="43">
        <v>1.5003779562161319E-2</v>
      </c>
      <c r="AR29" s="43">
        <v>9.2120317214832048E-2</v>
      </c>
      <c r="AS29" s="43">
        <v>0.1391326011734686</v>
      </c>
      <c r="AT29" s="43">
        <v>0.15425480812898817</v>
      </c>
      <c r="AU29" s="43">
        <v>5.4046951650754765E-2</v>
      </c>
      <c r="AV29" s="43">
        <v>-6.0273221612413223E-3</v>
      </c>
      <c r="AW29" s="43">
        <v>-0.15220545646606146</v>
      </c>
      <c r="AX29" s="43">
        <v>8.541681955134002E-2</v>
      </c>
      <c r="AY29" s="43">
        <v>1.7928922371048699E-2</v>
      </c>
      <c r="AZ29" s="43">
        <v>0.12835607448455533</v>
      </c>
      <c r="BA29" s="43">
        <v>0.13514784481204645</v>
      </c>
      <c r="BB29" s="43">
        <v>0.18025968968972034</v>
      </c>
      <c r="BC29" s="43">
        <v>8.4531230041865829E-2</v>
      </c>
      <c r="BD29" s="43">
        <v>6.9011125885745345E-2</v>
      </c>
      <c r="BE29" s="43">
        <v>0.1483817596886978</v>
      </c>
      <c r="BF29" s="43">
        <v>7.8821713538232266E-2</v>
      </c>
      <c r="BG29" s="43">
        <v>0.25307362363898461</v>
      </c>
      <c r="BH29" s="43">
        <v>0.1865118549249481</v>
      </c>
      <c r="BI29" s="43">
        <v>0.21507137264553589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5E0956-606F-4640-B191-85DCF79B3C00}">
  <dimension ref="A1:J44"/>
  <sheetViews>
    <sheetView topLeftCell="A4" workbookViewId="0">
      <selection activeCell="B6" sqref="B6"/>
    </sheetView>
  </sheetViews>
  <sheetFormatPr baseColWidth="10" defaultRowHeight="14.4" x14ac:dyDescent="0.3"/>
  <cols>
    <col min="2" max="2" width="14.33203125" bestFit="1" customWidth="1"/>
    <col min="4" max="4" width="15.33203125" bestFit="1" customWidth="1"/>
    <col min="5" max="5" width="17.77734375" bestFit="1" customWidth="1"/>
    <col min="6" max="6" width="33.21875" bestFit="1" customWidth="1"/>
    <col min="7" max="7" width="13.109375" bestFit="1" customWidth="1"/>
  </cols>
  <sheetData>
    <row r="1" spans="1:10" x14ac:dyDescent="0.3">
      <c r="A1" s="15" t="s">
        <v>473</v>
      </c>
      <c r="B1" s="48" t="s">
        <v>474</v>
      </c>
      <c r="C1" s="49" t="s">
        <v>475</v>
      </c>
      <c r="D1" s="49" t="s">
        <v>476</v>
      </c>
      <c r="E1" s="49" t="s">
        <v>477</v>
      </c>
      <c r="F1" s="49" t="s">
        <v>478</v>
      </c>
      <c r="G1" s="48" t="s">
        <v>479</v>
      </c>
      <c r="H1" s="48" t="s">
        <v>480</v>
      </c>
      <c r="I1" s="48" t="s">
        <v>481</v>
      </c>
      <c r="J1" s="49" t="s">
        <v>482</v>
      </c>
    </row>
    <row r="2" spans="1:10" x14ac:dyDescent="0.3">
      <c r="A2" t="s">
        <v>483</v>
      </c>
      <c r="B2" s="50">
        <f t="shared" ref="B2:B25" si="0">IFERROR(AVERAGE(C2:H2),"")</f>
        <v>2201125</v>
      </c>
      <c r="C2" s="50"/>
      <c r="D2" s="51">
        <v>2724800</v>
      </c>
      <c r="E2" s="50"/>
      <c r="F2" s="51">
        <v>1677450</v>
      </c>
      <c r="G2" s="50"/>
      <c r="H2" s="50"/>
    </row>
    <row r="3" spans="1:10" x14ac:dyDescent="0.3">
      <c r="A3" t="s">
        <v>484</v>
      </c>
      <c r="B3" s="50" t="str">
        <f t="shared" si="0"/>
        <v/>
      </c>
      <c r="C3" s="50"/>
      <c r="D3" s="50"/>
      <c r="E3" s="50"/>
      <c r="F3" s="50"/>
      <c r="G3" s="50"/>
      <c r="H3" s="50"/>
    </row>
    <row r="4" spans="1:10" x14ac:dyDescent="0.3">
      <c r="A4" t="s">
        <v>485</v>
      </c>
      <c r="B4" s="50">
        <f t="shared" si="0"/>
        <v>400041.25</v>
      </c>
      <c r="C4" s="52">
        <v>782700</v>
      </c>
      <c r="D4" s="50"/>
      <c r="E4" s="52">
        <v>303665</v>
      </c>
      <c r="F4" s="51">
        <v>183800</v>
      </c>
      <c r="G4" s="51">
        <v>330000</v>
      </c>
      <c r="H4" s="50"/>
    </row>
    <row r="5" spans="1:10" x14ac:dyDescent="0.3">
      <c r="A5" t="s">
        <v>486</v>
      </c>
      <c r="B5" s="50">
        <f t="shared" si="0"/>
        <v>387600</v>
      </c>
      <c r="C5" s="50"/>
      <c r="D5" s="50"/>
      <c r="E5" s="50"/>
      <c r="F5" s="51">
        <v>387600</v>
      </c>
      <c r="G5" s="51" t="s">
        <v>487</v>
      </c>
      <c r="H5" s="50"/>
    </row>
    <row r="6" spans="1:10" x14ac:dyDescent="0.3">
      <c r="A6" t="s">
        <v>488</v>
      </c>
      <c r="B6" s="50">
        <f t="shared" si="0"/>
        <v>404500</v>
      </c>
      <c r="C6" s="52">
        <v>602100</v>
      </c>
      <c r="D6" s="51">
        <v>628000</v>
      </c>
      <c r="E6" s="50"/>
      <c r="F6" s="51">
        <v>207900</v>
      </c>
      <c r="G6" s="51">
        <v>180000</v>
      </c>
      <c r="H6" s="50"/>
    </row>
    <row r="7" spans="1:10" x14ac:dyDescent="0.3">
      <c r="A7" t="s">
        <v>489</v>
      </c>
      <c r="B7" s="50">
        <f t="shared" si="0"/>
        <v>62200</v>
      </c>
      <c r="C7" s="52">
        <v>62200</v>
      </c>
      <c r="D7" s="50"/>
      <c r="E7" s="50"/>
      <c r="F7" s="50"/>
      <c r="G7" s="50"/>
      <c r="H7" s="50"/>
    </row>
    <row r="8" spans="1:10" x14ac:dyDescent="0.3">
      <c r="A8" t="s">
        <v>490</v>
      </c>
      <c r="B8" s="50" t="str">
        <f t="shared" si="0"/>
        <v/>
      </c>
      <c r="C8" s="50"/>
      <c r="D8" s="50"/>
      <c r="E8" s="50"/>
      <c r="F8" s="50"/>
      <c r="G8" s="50"/>
      <c r="H8" s="50"/>
    </row>
    <row r="9" spans="1:10" x14ac:dyDescent="0.3">
      <c r="A9" t="s">
        <v>491</v>
      </c>
      <c r="B9" s="50" t="str">
        <f t="shared" si="0"/>
        <v/>
      </c>
      <c r="C9" s="50"/>
      <c r="D9" s="50"/>
      <c r="E9" s="50"/>
      <c r="F9" s="50"/>
      <c r="G9" s="50"/>
      <c r="H9" s="50"/>
    </row>
    <row r="10" spans="1:10" x14ac:dyDescent="0.3">
      <c r="A10" t="s">
        <v>492</v>
      </c>
      <c r="B10" s="50">
        <f t="shared" si="0"/>
        <v>210000</v>
      </c>
      <c r="C10" s="50"/>
      <c r="D10" s="51">
        <v>200000</v>
      </c>
      <c r="E10" s="50"/>
      <c r="F10" s="50"/>
      <c r="G10" s="51">
        <v>220000</v>
      </c>
      <c r="H10" s="50"/>
    </row>
    <row r="11" spans="1:10" x14ac:dyDescent="0.3">
      <c r="A11" t="s">
        <v>493</v>
      </c>
      <c r="B11" s="50" t="str">
        <f t="shared" si="0"/>
        <v/>
      </c>
      <c r="C11" s="50"/>
      <c r="D11" s="50"/>
      <c r="E11" s="50"/>
      <c r="F11" s="50"/>
      <c r="G11" s="50"/>
      <c r="H11" s="50"/>
    </row>
    <row r="12" spans="1:10" x14ac:dyDescent="0.3">
      <c r="A12" t="s">
        <v>494</v>
      </c>
      <c r="B12" s="50">
        <f t="shared" si="0"/>
        <v>4513615.5</v>
      </c>
      <c r="C12" s="52">
        <v>4557423</v>
      </c>
      <c r="D12" s="50"/>
      <c r="E12" s="52">
        <v>4469808</v>
      </c>
      <c r="F12" s="50"/>
      <c r="G12" s="50"/>
      <c r="H12" s="50"/>
    </row>
    <row r="13" spans="1:10" x14ac:dyDescent="0.3">
      <c r="A13" t="s">
        <v>413</v>
      </c>
      <c r="B13" s="50">
        <f t="shared" si="0"/>
        <v>3664752</v>
      </c>
      <c r="C13" s="50"/>
      <c r="D13" s="50"/>
      <c r="E13" s="52">
        <v>3664752</v>
      </c>
      <c r="F13" s="50"/>
      <c r="G13" s="50"/>
      <c r="H13" s="50"/>
    </row>
    <row r="14" spans="1:10" x14ac:dyDescent="0.3">
      <c r="A14" t="s">
        <v>416</v>
      </c>
      <c r="B14" s="50" t="str">
        <f t="shared" si="0"/>
        <v/>
      </c>
      <c r="C14" s="50"/>
      <c r="D14" s="50"/>
      <c r="E14" s="50"/>
      <c r="F14" s="50"/>
      <c r="G14" s="50"/>
      <c r="H14" s="50"/>
    </row>
    <row r="15" spans="1:10" x14ac:dyDescent="0.3">
      <c r="A15" t="s">
        <v>419</v>
      </c>
      <c r="B15" s="50" t="str">
        <f t="shared" si="0"/>
        <v/>
      </c>
      <c r="C15" s="50"/>
      <c r="D15" s="50"/>
      <c r="E15" s="50"/>
      <c r="F15" s="50"/>
      <c r="G15" s="50"/>
      <c r="H15" s="50"/>
    </row>
    <row r="16" spans="1:10" x14ac:dyDescent="0.3">
      <c r="A16" t="s">
        <v>421</v>
      </c>
      <c r="B16" s="50" t="str">
        <f t="shared" si="0"/>
        <v/>
      </c>
      <c r="C16" s="50"/>
      <c r="D16" s="50"/>
      <c r="E16" s="50"/>
      <c r="F16" s="50"/>
      <c r="G16" s="50"/>
      <c r="H16" s="50"/>
    </row>
    <row r="17" spans="1:8" x14ac:dyDescent="0.3">
      <c r="A17" t="s">
        <v>420</v>
      </c>
      <c r="B17" s="50" t="str">
        <f t="shared" si="0"/>
        <v/>
      </c>
      <c r="C17" s="50"/>
      <c r="D17" s="50"/>
      <c r="E17" s="50"/>
      <c r="F17" s="50"/>
      <c r="G17" s="50"/>
      <c r="H17" s="50"/>
    </row>
    <row r="18" spans="1:8" x14ac:dyDescent="0.3">
      <c r="A18" t="s">
        <v>423</v>
      </c>
      <c r="B18" s="50" t="str">
        <f t="shared" si="0"/>
        <v/>
      </c>
      <c r="C18" s="50"/>
      <c r="D18" s="50"/>
      <c r="E18" s="50"/>
      <c r="F18" s="50"/>
      <c r="G18" s="50"/>
      <c r="H18" s="50"/>
    </row>
    <row r="19" spans="1:8" x14ac:dyDescent="0.3">
      <c r="A19" t="s">
        <v>422</v>
      </c>
      <c r="B19" s="50" t="str">
        <f t="shared" si="0"/>
        <v/>
      </c>
      <c r="C19" s="50"/>
      <c r="D19" s="50"/>
      <c r="E19" s="50"/>
      <c r="F19" s="50"/>
      <c r="G19" s="50"/>
      <c r="H19" s="50"/>
    </row>
    <row r="20" spans="1:8" x14ac:dyDescent="0.3">
      <c r="A20" t="s">
        <v>495</v>
      </c>
      <c r="B20" s="50" t="str">
        <f t="shared" si="0"/>
        <v/>
      </c>
      <c r="C20" s="50"/>
      <c r="D20" s="50"/>
      <c r="E20" s="50"/>
      <c r="F20" s="50"/>
      <c r="G20" s="50"/>
      <c r="H20" s="50"/>
    </row>
    <row r="21" spans="1:8" x14ac:dyDescent="0.3">
      <c r="A21" t="s">
        <v>496</v>
      </c>
      <c r="B21" s="50" t="str">
        <f t="shared" si="0"/>
        <v/>
      </c>
      <c r="C21" s="50"/>
      <c r="D21" s="50"/>
      <c r="E21" s="50"/>
      <c r="F21" s="50"/>
      <c r="G21" s="50"/>
      <c r="H21" s="50"/>
    </row>
    <row r="22" spans="1:8" x14ac:dyDescent="0.3">
      <c r="A22" t="s">
        <v>497</v>
      </c>
      <c r="B22" s="50" t="str">
        <f t="shared" si="0"/>
        <v/>
      </c>
      <c r="C22" s="50"/>
      <c r="D22" s="50"/>
      <c r="E22" s="50"/>
      <c r="F22" s="50"/>
      <c r="G22" s="50"/>
      <c r="H22" s="50"/>
    </row>
    <row r="23" spans="1:8" x14ac:dyDescent="0.3">
      <c r="A23" t="s">
        <v>498</v>
      </c>
      <c r="B23" s="50">
        <f t="shared" si="0"/>
        <v>29200</v>
      </c>
      <c r="C23" s="52">
        <v>29200</v>
      </c>
      <c r="D23" s="50"/>
      <c r="E23" s="50"/>
      <c r="F23" s="50"/>
      <c r="G23" s="50"/>
      <c r="H23" s="50"/>
    </row>
    <row r="24" spans="1:8" x14ac:dyDescent="0.3">
      <c r="A24" t="s">
        <v>499</v>
      </c>
      <c r="B24" s="50">
        <f t="shared" si="0"/>
        <v>77000</v>
      </c>
      <c r="C24" s="52">
        <v>77000</v>
      </c>
      <c r="D24" s="50"/>
      <c r="E24" s="50"/>
      <c r="F24" s="50"/>
      <c r="G24" s="50"/>
      <c r="H24" s="50"/>
    </row>
    <row r="25" spans="1:8" x14ac:dyDescent="0.3">
      <c r="A25" t="s">
        <v>500</v>
      </c>
      <c r="B25" s="50">
        <f t="shared" si="0"/>
        <v>81200</v>
      </c>
      <c r="C25" s="52">
        <v>81200</v>
      </c>
      <c r="D25" s="50"/>
      <c r="E25" s="50"/>
      <c r="F25" s="50"/>
      <c r="G25" s="50"/>
      <c r="H25" s="50"/>
    </row>
    <row r="26" spans="1:8" x14ac:dyDescent="0.3">
      <c r="A26" t="s">
        <v>501</v>
      </c>
      <c r="B26" s="50"/>
      <c r="C26" s="52">
        <v>81200</v>
      </c>
      <c r="D26" s="50"/>
      <c r="E26" s="52">
        <v>64527</v>
      </c>
      <c r="F26" s="50"/>
      <c r="G26" s="50"/>
      <c r="H26" s="50"/>
    </row>
    <row r="27" spans="1:8" x14ac:dyDescent="0.3">
      <c r="A27" t="s">
        <v>502</v>
      </c>
      <c r="B27" s="50"/>
      <c r="C27" s="52">
        <v>45500</v>
      </c>
      <c r="D27" s="50"/>
      <c r="E27" s="50"/>
      <c r="F27" s="50"/>
      <c r="G27" s="50"/>
      <c r="H27" s="50"/>
    </row>
    <row r="28" spans="1:8" x14ac:dyDescent="0.3">
      <c r="A28" t="s">
        <v>503</v>
      </c>
      <c r="B28" s="50">
        <f t="shared" ref="B28:B42" si="1">IFERROR(AVERAGE(C28:H28),"")</f>
        <v>45500</v>
      </c>
      <c r="C28" s="52">
        <v>45500</v>
      </c>
      <c r="D28" s="50"/>
      <c r="E28" s="50"/>
      <c r="F28" s="50"/>
      <c r="G28" s="50"/>
      <c r="H28" s="50"/>
    </row>
    <row r="29" spans="1:8" x14ac:dyDescent="0.3">
      <c r="A29" t="s">
        <v>504</v>
      </c>
      <c r="B29" s="50">
        <f t="shared" si="1"/>
        <v>32200</v>
      </c>
      <c r="C29" s="52">
        <v>32200</v>
      </c>
      <c r="D29" s="50"/>
      <c r="E29" s="50"/>
      <c r="F29" s="50"/>
      <c r="G29" s="50"/>
      <c r="H29" s="50"/>
    </row>
    <row r="30" spans="1:8" x14ac:dyDescent="0.3">
      <c r="A30" t="s">
        <v>505</v>
      </c>
      <c r="B30" s="50">
        <f t="shared" si="1"/>
        <v>104500</v>
      </c>
      <c r="C30" s="52">
        <v>104500</v>
      </c>
      <c r="D30" s="50"/>
      <c r="E30" s="50"/>
      <c r="F30" s="50"/>
      <c r="G30" s="50"/>
      <c r="H30" s="50"/>
    </row>
    <row r="31" spans="1:8" x14ac:dyDescent="0.3">
      <c r="A31" t="s">
        <v>506</v>
      </c>
      <c r="B31" s="50">
        <f t="shared" si="1"/>
        <v>71100</v>
      </c>
      <c r="C31" s="52">
        <v>71100</v>
      </c>
      <c r="D31" s="50"/>
      <c r="E31" s="50"/>
      <c r="F31" s="50"/>
      <c r="G31" s="50"/>
      <c r="H31" s="50"/>
    </row>
    <row r="32" spans="1:8" x14ac:dyDescent="0.3">
      <c r="A32" t="s">
        <v>507</v>
      </c>
      <c r="B32" s="50">
        <f t="shared" si="1"/>
        <v>168100</v>
      </c>
      <c r="C32" s="52">
        <v>168100</v>
      </c>
      <c r="D32" s="50"/>
      <c r="E32" s="50"/>
      <c r="F32" s="50"/>
      <c r="G32" s="50"/>
      <c r="H32" s="50"/>
    </row>
    <row r="33" spans="1:8" x14ac:dyDescent="0.3">
      <c r="A33" t="s">
        <v>508</v>
      </c>
      <c r="B33" s="50">
        <f t="shared" si="1"/>
        <v>216000</v>
      </c>
      <c r="C33" s="52">
        <v>216000</v>
      </c>
      <c r="D33" s="50"/>
      <c r="E33" s="50"/>
      <c r="F33" s="50"/>
      <c r="G33" s="50"/>
      <c r="H33" s="50"/>
    </row>
    <row r="34" spans="1:8" x14ac:dyDescent="0.3">
      <c r="A34" t="s">
        <v>509</v>
      </c>
      <c r="B34" s="50">
        <f t="shared" si="1"/>
        <v>556700</v>
      </c>
      <c r="C34" s="52">
        <v>556700</v>
      </c>
      <c r="D34" s="50"/>
      <c r="E34" s="50"/>
      <c r="F34" s="50"/>
      <c r="G34" s="50"/>
      <c r="H34" s="50"/>
    </row>
    <row r="35" spans="1:8" x14ac:dyDescent="0.3">
      <c r="A35" t="s">
        <v>510</v>
      </c>
      <c r="B35" s="50">
        <f t="shared" si="1"/>
        <v>295000</v>
      </c>
      <c r="C35" s="52">
        <v>295000</v>
      </c>
      <c r="D35" s="50"/>
      <c r="E35" s="50"/>
      <c r="F35" s="50"/>
      <c r="G35" s="50"/>
      <c r="H35" s="50"/>
    </row>
    <row r="36" spans="1:8" x14ac:dyDescent="0.3">
      <c r="A36" t="s">
        <v>511</v>
      </c>
      <c r="B36" s="50">
        <f t="shared" si="1"/>
        <v>91100</v>
      </c>
      <c r="C36" s="52">
        <v>91100</v>
      </c>
      <c r="D36" s="50"/>
      <c r="E36" s="50"/>
      <c r="F36" s="50"/>
      <c r="G36" s="50"/>
      <c r="H36" s="50"/>
    </row>
    <row r="37" spans="1:8" x14ac:dyDescent="0.3">
      <c r="A37" t="s">
        <v>512</v>
      </c>
      <c r="B37" s="50">
        <f t="shared" si="1"/>
        <v>394200</v>
      </c>
      <c r="C37" s="52">
        <v>428900</v>
      </c>
      <c r="D37" s="50"/>
      <c r="E37" s="52">
        <v>359500</v>
      </c>
      <c r="F37" s="50"/>
      <c r="G37" s="50"/>
      <c r="H37" s="50"/>
    </row>
    <row r="38" spans="1:8" x14ac:dyDescent="0.3">
      <c r="A38" t="s">
        <v>513</v>
      </c>
      <c r="B38" s="50">
        <f t="shared" si="1"/>
        <v>1668900</v>
      </c>
      <c r="C38" s="52">
        <v>1668900</v>
      </c>
      <c r="D38" s="50"/>
      <c r="E38" s="50"/>
      <c r="F38" s="50"/>
      <c r="G38" s="50"/>
      <c r="H38" s="50"/>
    </row>
    <row r="39" spans="1:8" x14ac:dyDescent="0.3">
      <c r="A39" t="s">
        <v>514</v>
      </c>
      <c r="B39" s="50">
        <f t="shared" si="1"/>
        <v>1728900</v>
      </c>
      <c r="C39" s="52">
        <v>1728900</v>
      </c>
      <c r="D39" s="50"/>
      <c r="E39" s="50"/>
      <c r="F39" s="50"/>
      <c r="G39" s="50"/>
      <c r="H39" s="50"/>
    </row>
    <row r="40" spans="1:8" x14ac:dyDescent="0.3">
      <c r="A40" t="s">
        <v>515</v>
      </c>
      <c r="B40" s="50">
        <f t="shared" si="1"/>
        <v>1580300</v>
      </c>
      <c r="C40" s="52">
        <v>1580300</v>
      </c>
      <c r="D40" s="50"/>
      <c r="E40" s="50"/>
      <c r="F40" s="50"/>
      <c r="G40" s="50"/>
      <c r="H40" s="50"/>
    </row>
    <row r="41" spans="1:8" x14ac:dyDescent="0.3">
      <c r="A41" t="s">
        <v>516</v>
      </c>
      <c r="B41" s="50">
        <f t="shared" si="1"/>
        <v>932700</v>
      </c>
      <c r="C41" s="52">
        <v>932700</v>
      </c>
      <c r="D41" s="50"/>
      <c r="E41" s="50"/>
      <c r="F41" s="50"/>
      <c r="G41" s="50"/>
      <c r="H41" s="50"/>
    </row>
    <row r="42" spans="1:8" x14ac:dyDescent="0.3">
      <c r="A42" t="s">
        <v>517</v>
      </c>
      <c r="B42" s="50">
        <f t="shared" si="1"/>
        <v>710300</v>
      </c>
      <c r="C42" s="52">
        <v>710300</v>
      </c>
      <c r="D42" s="50"/>
      <c r="E42" s="50"/>
      <c r="F42" s="50"/>
      <c r="G42" s="50"/>
      <c r="H42" s="50"/>
    </row>
    <row r="43" spans="1:8" x14ac:dyDescent="0.3">
      <c r="A43" t="s">
        <v>518</v>
      </c>
      <c r="C43" s="52">
        <v>1575100</v>
      </c>
    </row>
    <row r="44" spans="1:8" x14ac:dyDescent="0.3">
      <c r="A44" t="s">
        <v>519</v>
      </c>
      <c r="C44" s="52">
        <v>4512191</v>
      </c>
    </row>
  </sheetData>
  <pageMargins left="0.7" right="0.7" top="0.75" bottom="0.75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E1588A-FF57-4C15-B43F-E5FE49E14447}">
  <dimension ref="A1:D42"/>
  <sheetViews>
    <sheetView topLeftCell="A37" workbookViewId="0">
      <selection activeCell="A45" sqref="A45"/>
    </sheetView>
  </sheetViews>
  <sheetFormatPr baseColWidth="10" defaultRowHeight="14.4" x14ac:dyDescent="0.3"/>
  <cols>
    <col min="1" max="1" width="24.88671875" bestFit="1" customWidth="1"/>
  </cols>
  <sheetData>
    <row r="1" spans="1:4" x14ac:dyDescent="0.3">
      <c r="A1" s="53" t="s">
        <v>385</v>
      </c>
      <c r="B1" s="5"/>
      <c r="C1" s="55" t="s">
        <v>386</v>
      </c>
      <c r="D1" s="55"/>
    </row>
    <row r="2" spans="1:4" x14ac:dyDescent="0.3">
      <c r="A2" s="54"/>
      <c r="B2" s="7" t="s">
        <v>44</v>
      </c>
      <c r="C2" s="6" t="s">
        <v>387</v>
      </c>
      <c r="D2" s="8" t="s">
        <v>388</v>
      </c>
    </row>
    <row r="3" spans="1:4" x14ac:dyDescent="0.3">
      <c r="A3" s="9" t="s">
        <v>28</v>
      </c>
      <c r="B3" s="11">
        <v>955949</v>
      </c>
      <c r="C3" s="10">
        <v>7534</v>
      </c>
      <c r="D3" s="10">
        <v>12693</v>
      </c>
    </row>
    <row r="4" spans="1:4" x14ac:dyDescent="0.3">
      <c r="A4" s="9" t="s">
        <v>42</v>
      </c>
      <c r="B4" s="11">
        <v>811240</v>
      </c>
      <c r="C4" s="10">
        <v>0</v>
      </c>
      <c r="D4" s="10">
        <v>0</v>
      </c>
    </row>
    <row r="5" spans="1:4" x14ac:dyDescent="0.3">
      <c r="A5" s="9" t="s">
        <v>35</v>
      </c>
      <c r="B5" s="11">
        <v>589706</v>
      </c>
      <c r="C5" s="10">
        <v>0</v>
      </c>
      <c r="D5" s="10">
        <v>0</v>
      </c>
    </row>
    <row r="6" spans="1:4" x14ac:dyDescent="0.3">
      <c r="A6" s="9" t="s">
        <v>36</v>
      </c>
      <c r="B6" s="11">
        <v>578178</v>
      </c>
      <c r="C6" s="10">
        <v>4552</v>
      </c>
      <c r="D6" s="10">
        <v>71</v>
      </c>
    </row>
    <row r="7" spans="1:4" x14ac:dyDescent="0.3">
      <c r="A7" s="9" t="s">
        <v>389</v>
      </c>
      <c r="B7" s="11">
        <v>491723</v>
      </c>
      <c r="C7" s="10">
        <v>1</v>
      </c>
      <c r="D7" s="10">
        <v>846</v>
      </c>
    </row>
    <row r="8" spans="1:4" x14ac:dyDescent="0.3">
      <c r="A8" s="9" t="s">
        <v>7</v>
      </c>
      <c r="B8" s="11">
        <v>480235</v>
      </c>
      <c r="C8" s="10">
        <v>1518</v>
      </c>
      <c r="D8" s="10">
        <v>86</v>
      </c>
    </row>
    <row r="9" spans="1:4" x14ac:dyDescent="0.3">
      <c r="A9" s="9" t="s">
        <v>43</v>
      </c>
      <c r="B9" s="11">
        <v>284331</v>
      </c>
      <c r="C9" s="10">
        <v>0</v>
      </c>
      <c r="D9" s="10">
        <v>0</v>
      </c>
    </row>
    <row r="10" spans="1:4" x14ac:dyDescent="0.3">
      <c r="A10" s="9" t="s">
        <v>38</v>
      </c>
      <c r="B10" s="11">
        <v>258274</v>
      </c>
      <c r="C10" s="10">
        <v>4041</v>
      </c>
      <c r="D10" s="10">
        <v>26</v>
      </c>
    </row>
    <row r="11" spans="1:4" x14ac:dyDescent="0.3">
      <c r="A11" s="9" t="s">
        <v>390</v>
      </c>
      <c r="B11" s="11">
        <v>152039</v>
      </c>
      <c r="C11" s="10">
        <v>0</v>
      </c>
      <c r="D11" s="10">
        <v>0</v>
      </c>
    </row>
    <row r="12" spans="1:4" x14ac:dyDescent="0.3">
      <c r="A12" s="9" t="s">
        <v>39</v>
      </c>
      <c r="B12" s="11">
        <v>14605</v>
      </c>
      <c r="C12" s="10">
        <v>0</v>
      </c>
      <c r="D12" s="10">
        <v>2</v>
      </c>
    </row>
    <row r="13" spans="1:4" x14ac:dyDescent="0.3">
      <c r="A13" s="9" t="s">
        <v>391</v>
      </c>
      <c r="B13" s="11">
        <v>0</v>
      </c>
      <c r="C13" s="10">
        <v>0</v>
      </c>
      <c r="D13" s="10">
        <v>0</v>
      </c>
    </row>
    <row r="14" spans="1:4" x14ac:dyDescent="0.3">
      <c r="A14" s="9" t="s">
        <v>392</v>
      </c>
      <c r="B14" s="11">
        <v>70842</v>
      </c>
      <c r="C14" s="10">
        <v>3442</v>
      </c>
      <c r="D14" s="10">
        <f>234+6279+2176+2</f>
        <v>8691</v>
      </c>
    </row>
    <row r="15" spans="1:4" x14ac:dyDescent="0.3">
      <c r="A15" s="9" t="s">
        <v>37</v>
      </c>
      <c r="B15" s="11">
        <v>6989</v>
      </c>
      <c r="C15" s="10">
        <v>0</v>
      </c>
      <c r="D15" s="10">
        <v>0</v>
      </c>
    </row>
    <row r="16" spans="1:4" x14ac:dyDescent="0.3">
      <c r="A16" s="9" t="s">
        <v>27</v>
      </c>
      <c r="B16" s="11">
        <v>6204</v>
      </c>
      <c r="C16" s="10">
        <v>0</v>
      </c>
      <c r="D16" s="10">
        <v>0</v>
      </c>
    </row>
    <row r="17" spans="1:4" x14ac:dyDescent="0.3">
      <c r="A17" s="12" t="s">
        <v>393</v>
      </c>
      <c r="B17" s="14">
        <f>6+1</f>
        <v>7</v>
      </c>
      <c r="C17" s="13">
        <v>2751</v>
      </c>
      <c r="D17" s="13">
        <v>534</v>
      </c>
    </row>
    <row r="18" spans="1:4" x14ac:dyDescent="0.3">
      <c r="A18" s="15" t="s">
        <v>394</v>
      </c>
      <c r="B18" s="16">
        <f t="shared" ref="B18" si="0">SUM(B3:B17)</f>
        <v>4700322</v>
      </c>
      <c r="C18" s="16">
        <f>SUM(C3:C17)</f>
        <v>23839</v>
      </c>
      <c r="D18" s="16">
        <f>SUM(D3:D17)</f>
        <v>22949</v>
      </c>
    </row>
    <row r="37" spans="1:2" x14ac:dyDescent="0.3">
      <c r="A37" t="s">
        <v>395</v>
      </c>
      <c r="B37" t="s">
        <v>396</v>
      </c>
    </row>
    <row r="38" spans="1:2" x14ac:dyDescent="0.3">
      <c r="A38" t="s">
        <v>400</v>
      </c>
      <c r="B38" s="17">
        <v>1.38E-2</v>
      </c>
    </row>
    <row r="39" spans="1:2" x14ac:dyDescent="0.3">
      <c r="A39" t="s">
        <v>399</v>
      </c>
      <c r="B39" s="17">
        <v>0.1</v>
      </c>
    </row>
    <row r="40" spans="1:2" x14ac:dyDescent="0.3">
      <c r="A40" t="s">
        <v>398</v>
      </c>
      <c r="B40" s="17">
        <v>0.4</v>
      </c>
    </row>
    <row r="41" spans="1:2" x14ac:dyDescent="0.3">
      <c r="A41" t="s">
        <v>397</v>
      </c>
      <c r="B41" s="17">
        <v>0.78500000000000003</v>
      </c>
    </row>
    <row r="42" spans="1:2" x14ac:dyDescent="0.3">
      <c r="A42" t="s">
        <v>401</v>
      </c>
      <c r="B42" s="17">
        <v>0.85</v>
      </c>
    </row>
  </sheetData>
  <mergeCells count="2">
    <mergeCell ref="A1:A2"/>
    <mergeCell ref="C1:D1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C4AEC7-096F-4A0D-80EA-B470122B4175}">
  <dimension ref="A1:E17"/>
  <sheetViews>
    <sheetView tabSelected="1" workbookViewId="0">
      <selection activeCell="E82" sqref="E24:E82"/>
    </sheetView>
  </sheetViews>
  <sheetFormatPr baseColWidth="10" defaultRowHeight="14.4" x14ac:dyDescent="0.3"/>
  <cols>
    <col min="1" max="1" width="24.88671875" bestFit="1" customWidth="1"/>
    <col min="2" max="2" width="20.88671875" bestFit="1" customWidth="1"/>
    <col min="3" max="3" width="25.77734375" bestFit="1" customWidth="1"/>
    <col min="4" max="4" width="14.109375" bestFit="1" customWidth="1"/>
    <col min="5" max="5" width="24.5546875" bestFit="1" customWidth="1"/>
  </cols>
  <sheetData>
    <row r="1" spans="1:5" x14ac:dyDescent="0.3">
      <c r="A1" s="5" t="s">
        <v>385</v>
      </c>
      <c r="B1" s="6" t="s">
        <v>402</v>
      </c>
      <c r="C1" s="7" t="s">
        <v>403</v>
      </c>
      <c r="D1" s="6" t="s">
        <v>404</v>
      </c>
      <c r="E1" s="8" t="s">
        <v>405</v>
      </c>
    </row>
    <row r="2" spans="1:5" x14ac:dyDescent="0.3">
      <c r="A2" s="9" t="s">
        <v>28</v>
      </c>
      <c r="B2" s="10">
        <v>920566</v>
      </c>
      <c r="C2" s="11">
        <v>955949</v>
      </c>
      <c r="D2" s="10">
        <v>7534</v>
      </c>
      <c r="E2" s="10">
        <v>12693</v>
      </c>
    </row>
    <row r="3" spans="1:5" x14ac:dyDescent="0.3">
      <c r="A3" s="9" t="s">
        <v>42</v>
      </c>
      <c r="B3" s="10">
        <v>0</v>
      </c>
      <c r="C3" s="11">
        <v>811240</v>
      </c>
      <c r="D3" s="10">
        <v>0</v>
      </c>
      <c r="E3" s="10">
        <v>0</v>
      </c>
    </row>
    <row r="4" spans="1:5" x14ac:dyDescent="0.3">
      <c r="A4" s="9" t="s">
        <v>35</v>
      </c>
      <c r="B4" s="10">
        <v>1</v>
      </c>
      <c r="C4" s="11">
        <v>589706</v>
      </c>
      <c r="D4" s="10">
        <v>0</v>
      </c>
      <c r="E4" s="10">
        <v>0</v>
      </c>
    </row>
    <row r="5" spans="1:5" x14ac:dyDescent="0.3">
      <c r="A5" s="9" t="s">
        <v>36</v>
      </c>
      <c r="B5" s="10">
        <v>154139</v>
      </c>
      <c r="C5" s="11">
        <v>578178</v>
      </c>
      <c r="D5" s="10">
        <v>4552</v>
      </c>
      <c r="E5" s="10">
        <v>71</v>
      </c>
    </row>
    <row r="6" spans="1:5" x14ac:dyDescent="0.3">
      <c r="A6" s="9" t="s">
        <v>389</v>
      </c>
      <c r="B6" s="10">
        <v>342553</v>
      </c>
      <c r="C6" s="11">
        <v>491723</v>
      </c>
      <c r="D6" s="10">
        <v>1</v>
      </c>
      <c r="E6" s="10">
        <v>846</v>
      </c>
    </row>
    <row r="7" spans="1:5" x14ac:dyDescent="0.3">
      <c r="A7" s="9" t="s">
        <v>7</v>
      </c>
      <c r="B7" s="10">
        <v>383821</v>
      </c>
      <c r="C7" s="11">
        <v>480235</v>
      </c>
      <c r="D7" s="10">
        <v>1518</v>
      </c>
      <c r="E7" s="10">
        <v>86</v>
      </c>
    </row>
    <row r="8" spans="1:5" x14ac:dyDescent="0.3">
      <c r="A8" s="9" t="s">
        <v>43</v>
      </c>
      <c r="B8" s="10">
        <v>0</v>
      </c>
      <c r="C8" s="11">
        <v>284331</v>
      </c>
      <c r="D8" s="10">
        <v>0</v>
      </c>
      <c r="E8" s="10">
        <v>0</v>
      </c>
    </row>
    <row r="9" spans="1:5" x14ac:dyDescent="0.3">
      <c r="A9" s="9" t="s">
        <v>38</v>
      </c>
      <c r="B9" s="10">
        <v>283927</v>
      </c>
      <c r="C9" s="11">
        <v>258274</v>
      </c>
      <c r="D9" s="10">
        <v>4041</v>
      </c>
      <c r="E9" s="10">
        <v>26</v>
      </c>
    </row>
    <row r="10" spans="1:5" x14ac:dyDescent="0.3">
      <c r="A10" s="9" t="s">
        <v>390</v>
      </c>
      <c r="B10" s="10">
        <v>0</v>
      </c>
      <c r="C10" s="11">
        <v>152039</v>
      </c>
      <c r="D10" s="10">
        <v>0</v>
      </c>
      <c r="E10" s="10">
        <v>0</v>
      </c>
    </row>
    <row r="11" spans="1:5" x14ac:dyDescent="0.3">
      <c r="A11" s="9" t="s">
        <v>39</v>
      </c>
      <c r="B11" s="10">
        <v>103890</v>
      </c>
      <c r="C11" s="11">
        <v>14605</v>
      </c>
      <c r="D11" s="10">
        <v>0</v>
      </c>
      <c r="E11" s="10">
        <v>2</v>
      </c>
    </row>
    <row r="12" spans="1:5" x14ac:dyDescent="0.3">
      <c r="A12" s="9" t="s">
        <v>391</v>
      </c>
      <c r="B12" s="10">
        <v>76664</v>
      </c>
      <c r="C12" s="11">
        <v>0</v>
      </c>
      <c r="D12" s="10">
        <v>0</v>
      </c>
      <c r="E12" s="10">
        <v>0</v>
      </c>
    </row>
    <row r="13" spans="1:5" x14ac:dyDescent="0.3">
      <c r="A13" s="9" t="s">
        <v>392</v>
      </c>
      <c r="B13" s="10">
        <v>72866</v>
      </c>
      <c r="C13" s="11">
        <v>70842</v>
      </c>
      <c r="D13" s="10">
        <v>3442</v>
      </c>
      <c r="E13" s="10">
        <f>234+6279+2176+2</f>
        <v>8691</v>
      </c>
    </row>
    <row r="14" spans="1:5" x14ac:dyDescent="0.3">
      <c r="A14" s="9" t="s">
        <v>37</v>
      </c>
      <c r="B14" s="10">
        <v>1378</v>
      </c>
      <c r="C14" s="11">
        <v>6989</v>
      </c>
      <c r="D14" s="10">
        <v>0</v>
      </c>
      <c r="E14" s="10">
        <v>0</v>
      </c>
    </row>
    <row r="15" spans="1:5" x14ac:dyDescent="0.3">
      <c r="A15" s="9" t="s">
        <v>27</v>
      </c>
      <c r="B15" s="10">
        <v>0</v>
      </c>
      <c r="C15" s="11">
        <v>6204</v>
      </c>
      <c r="D15" s="10">
        <v>0</v>
      </c>
      <c r="E15" s="10">
        <v>0</v>
      </c>
    </row>
    <row r="16" spans="1:5" x14ac:dyDescent="0.3">
      <c r="A16" s="12" t="s">
        <v>393</v>
      </c>
      <c r="B16" s="13">
        <f>5+3+1+1</f>
        <v>10</v>
      </c>
      <c r="C16" s="14">
        <f>6+1</f>
        <v>7</v>
      </c>
      <c r="D16" s="13">
        <v>2751</v>
      </c>
      <c r="E16" s="13">
        <v>534</v>
      </c>
    </row>
    <row r="17" spans="1:5" x14ac:dyDescent="0.3">
      <c r="A17" s="15" t="s">
        <v>394</v>
      </c>
      <c r="B17" s="16">
        <f t="shared" ref="B17:C17" si="0">SUM(B2:B16)</f>
        <v>2339815</v>
      </c>
      <c r="C17" s="16">
        <f t="shared" si="0"/>
        <v>4700322</v>
      </c>
      <c r="D17" s="16">
        <f>SUM(D2:D16)</f>
        <v>23839</v>
      </c>
      <c r="E17" s="16">
        <f>SUM(E2:E16)</f>
        <v>22949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49BE13-A17D-4A03-BDA3-9EA29B8A47BA}">
  <dimension ref="A1:H428"/>
  <sheetViews>
    <sheetView topLeftCell="D1" workbookViewId="0">
      <selection activeCell="G18" sqref="G18"/>
    </sheetView>
  </sheetViews>
  <sheetFormatPr baseColWidth="10" defaultRowHeight="14.4" x14ac:dyDescent="0.3"/>
  <sheetData>
    <row r="1" spans="1:8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94</v>
      </c>
    </row>
    <row r="2" spans="1:8" x14ac:dyDescent="0.3">
      <c r="A2" t="s">
        <v>44</v>
      </c>
      <c r="B2" t="s">
        <v>40</v>
      </c>
      <c r="C2" t="s">
        <v>8</v>
      </c>
      <c r="D2" t="s">
        <v>9</v>
      </c>
      <c r="E2">
        <v>83</v>
      </c>
      <c r="F2">
        <v>101</v>
      </c>
      <c r="G2">
        <v>184</v>
      </c>
      <c r="H2" t="s">
        <v>95</v>
      </c>
    </row>
    <row r="3" spans="1:8" x14ac:dyDescent="0.3">
      <c r="A3" t="s">
        <v>44</v>
      </c>
      <c r="B3" t="s">
        <v>40</v>
      </c>
      <c r="C3" t="s">
        <v>8</v>
      </c>
      <c r="D3" t="s">
        <v>10</v>
      </c>
      <c r="E3">
        <v>87</v>
      </c>
      <c r="F3">
        <v>96</v>
      </c>
      <c r="G3">
        <v>183</v>
      </c>
      <c r="H3" t="s">
        <v>95</v>
      </c>
    </row>
    <row r="4" spans="1:8" x14ac:dyDescent="0.3">
      <c r="A4" t="s">
        <v>44</v>
      </c>
      <c r="B4" t="s">
        <v>40</v>
      </c>
      <c r="C4" t="s">
        <v>8</v>
      </c>
      <c r="D4" t="s">
        <v>11</v>
      </c>
      <c r="E4">
        <v>85</v>
      </c>
      <c r="F4">
        <v>93</v>
      </c>
      <c r="G4">
        <v>178</v>
      </c>
      <c r="H4" t="s">
        <v>95</v>
      </c>
    </row>
    <row r="5" spans="1:8" x14ac:dyDescent="0.3">
      <c r="A5" t="s">
        <v>44</v>
      </c>
      <c r="B5" t="s">
        <v>40</v>
      </c>
      <c r="C5" t="s">
        <v>8</v>
      </c>
      <c r="D5" t="s">
        <v>12</v>
      </c>
      <c r="E5">
        <v>266</v>
      </c>
      <c r="F5">
        <v>327</v>
      </c>
      <c r="G5">
        <v>593</v>
      </c>
      <c r="H5" t="s">
        <v>95</v>
      </c>
    </row>
    <row r="6" spans="1:8" x14ac:dyDescent="0.3">
      <c r="A6" t="s">
        <v>44</v>
      </c>
      <c r="B6" t="s">
        <v>40</v>
      </c>
      <c r="C6" t="s">
        <v>8</v>
      </c>
      <c r="D6" t="s">
        <v>13</v>
      </c>
      <c r="E6">
        <v>921</v>
      </c>
      <c r="F6">
        <v>1303</v>
      </c>
      <c r="G6">
        <v>2224</v>
      </c>
      <c r="H6" t="s">
        <v>95</v>
      </c>
    </row>
    <row r="7" spans="1:8" x14ac:dyDescent="0.3">
      <c r="A7" t="s">
        <v>44</v>
      </c>
      <c r="B7" t="s">
        <v>40</v>
      </c>
      <c r="C7" t="s">
        <v>8</v>
      </c>
      <c r="D7" t="s">
        <v>14</v>
      </c>
      <c r="E7">
        <v>891</v>
      </c>
      <c r="F7">
        <v>973</v>
      </c>
      <c r="G7">
        <v>1864</v>
      </c>
      <c r="H7" t="s">
        <v>95</v>
      </c>
    </row>
    <row r="8" spans="1:8" x14ac:dyDescent="0.3">
      <c r="A8" t="s">
        <v>44</v>
      </c>
      <c r="B8" t="s">
        <v>40</v>
      </c>
      <c r="C8" t="s">
        <v>8</v>
      </c>
      <c r="D8" t="s">
        <v>15</v>
      </c>
      <c r="E8">
        <v>734</v>
      </c>
      <c r="F8">
        <v>619</v>
      </c>
      <c r="G8">
        <v>1353</v>
      </c>
      <c r="H8" t="s">
        <v>95</v>
      </c>
    </row>
    <row r="9" spans="1:8" x14ac:dyDescent="0.3">
      <c r="A9" t="s">
        <v>44</v>
      </c>
      <c r="B9" t="s">
        <v>40</v>
      </c>
      <c r="C9" t="s">
        <v>8</v>
      </c>
      <c r="D9" t="s">
        <v>16</v>
      </c>
      <c r="E9">
        <v>474</v>
      </c>
      <c r="F9">
        <v>422</v>
      </c>
      <c r="G9">
        <v>896</v>
      </c>
      <c r="H9" t="s">
        <v>95</v>
      </c>
    </row>
    <row r="10" spans="1:8" x14ac:dyDescent="0.3">
      <c r="A10" t="s">
        <v>44</v>
      </c>
      <c r="B10" t="s">
        <v>40</v>
      </c>
      <c r="C10" t="s">
        <v>8</v>
      </c>
      <c r="D10" t="s">
        <v>17</v>
      </c>
      <c r="E10">
        <v>356</v>
      </c>
      <c r="F10">
        <v>327</v>
      </c>
      <c r="G10">
        <v>683</v>
      </c>
      <c r="H10" t="s">
        <v>95</v>
      </c>
    </row>
    <row r="11" spans="1:8" x14ac:dyDescent="0.3">
      <c r="A11" t="s">
        <v>44</v>
      </c>
      <c r="B11" t="s">
        <v>40</v>
      </c>
      <c r="C11" t="s">
        <v>8</v>
      </c>
      <c r="D11" t="s">
        <v>18</v>
      </c>
      <c r="E11">
        <v>271</v>
      </c>
      <c r="F11">
        <v>255</v>
      </c>
      <c r="G11">
        <v>526</v>
      </c>
      <c r="H11" t="s">
        <v>95</v>
      </c>
    </row>
    <row r="12" spans="1:8" x14ac:dyDescent="0.3">
      <c r="A12" t="s">
        <v>44</v>
      </c>
      <c r="B12" t="s">
        <v>40</v>
      </c>
      <c r="C12" t="s">
        <v>8</v>
      </c>
      <c r="D12" t="s">
        <v>19</v>
      </c>
      <c r="E12">
        <v>182</v>
      </c>
      <c r="F12">
        <v>263</v>
      </c>
      <c r="G12">
        <v>445</v>
      </c>
      <c r="H12" t="s">
        <v>95</v>
      </c>
    </row>
    <row r="13" spans="1:8" x14ac:dyDescent="0.3">
      <c r="A13" t="s">
        <v>44</v>
      </c>
      <c r="B13" t="s">
        <v>40</v>
      </c>
      <c r="C13" t="s">
        <v>8</v>
      </c>
      <c r="D13" t="s">
        <v>20</v>
      </c>
      <c r="E13">
        <v>122</v>
      </c>
      <c r="F13">
        <v>202</v>
      </c>
      <c r="G13">
        <v>324</v>
      </c>
      <c r="H13" t="s">
        <v>95</v>
      </c>
    </row>
    <row r="14" spans="1:8" x14ac:dyDescent="0.3">
      <c r="A14" t="s">
        <v>44</v>
      </c>
      <c r="B14" t="s">
        <v>40</v>
      </c>
      <c r="C14" t="s">
        <v>8</v>
      </c>
      <c r="D14" t="s">
        <v>21</v>
      </c>
      <c r="E14">
        <v>91</v>
      </c>
      <c r="F14">
        <v>177</v>
      </c>
      <c r="G14">
        <v>268</v>
      </c>
      <c r="H14" t="s">
        <v>95</v>
      </c>
    </row>
    <row r="15" spans="1:8" x14ac:dyDescent="0.3">
      <c r="A15" t="s">
        <v>44</v>
      </c>
      <c r="B15" t="s">
        <v>40</v>
      </c>
      <c r="C15" t="s">
        <v>8</v>
      </c>
      <c r="D15" t="s">
        <v>22</v>
      </c>
      <c r="E15">
        <v>70</v>
      </c>
      <c r="F15">
        <v>179</v>
      </c>
      <c r="G15">
        <v>249</v>
      </c>
      <c r="H15" t="s">
        <v>95</v>
      </c>
    </row>
    <row r="16" spans="1:8" x14ac:dyDescent="0.3">
      <c r="A16" t="s">
        <v>44</v>
      </c>
      <c r="B16" t="s">
        <v>40</v>
      </c>
      <c r="C16" t="s">
        <v>8</v>
      </c>
      <c r="D16" t="s">
        <v>23</v>
      </c>
      <c r="E16">
        <v>51</v>
      </c>
      <c r="F16">
        <v>84</v>
      </c>
      <c r="G16">
        <v>135</v>
      </c>
      <c r="H16" t="s">
        <v>95</v>
      </c>
    </row>
    <row r="17" spans="1:8" x14ac:dyDescent="0.3">
      <c r="A17" t="s">
        <v>44</v>
      </c>
      <c r="B17" t="s">
        <v>40</v>
      </c>
      <c r="C17" t="s">
        <v>8</v>
      </c>
      <c r="D17" t="s">
        <v>24</v>
      </c>
      <c r="E17">
        <v>32</v>
      </c>
      <c r="F17">
        <v>36</v>
      </c>
      <c r="G17">
        <v>68</v>
      </c>
      <c r="H17" t="s">
        <v>95</v>
      </c>
    </row>
    <row r="18" spans="1:8" x14ac:dyDescent="0.3">
      <c r="A18" t="s">
        <v>44</v>
      </c>
      <c r="B18" t="s">
        <v>40</v>
      </c>
      <c r="C18" t="s">
        <v>8</v>
      </c>
      <c r="D18" t="s">
        <v>25</v>
      </c>
      <c r="E18">
        <v>32</v>
      </c>
      <c r="F18">
        <v>13</v>
      </c>
      <c r="G18">
        <v>45</v>
      </c>
      <c r="H18" t="s">
        <v>95</v>
      </c>
    </row>
    <row r="19" spans="1:8" x14ac:dyDescent="0.3">
      <c r="A19" t="s">
        <v>44</v>
      </c>
      <c r="B19" t="s">
        <v>40</v>
      </c>
      <c r="C19" t="s">
        <v>26</v>
      </c>
      <c r="D19" t="s">
        <v>9</v>
      </c>
      <c r="E19">
        <v>3957</v>
      </c>
      <c r="F19">
        <v>3999</v>
      </c>
      <c r="G19">
        <v>7956</v>
      </c>
      <c r="H19" t="s">
        <v>95</v>
      </c>
    </row>
    <row r="20" spans="1:8" x14ac:dyDescent="0.3">
      <c r="A20" t="s">
        <v>44</v>
      </c>
      <c r="B20" t="s">
        <v>40</v>
      </c>
      <c r="C20" t="s">
        <v>26</v>
      </c>
      <c r="D20" t="s">
        <v>10</v>
      </c>
      <c r="E20">
        <v>5508</v>
      </c>
      <c r="F20">
        <v>5831</v>
      </c>
      <c r="G20">
        <v>11339</v>
      </c>
      <c r="H20" t="s">
        <v>95</v>
      </c>
    </row>
    <row r="21" spans="1:8" x14ac:dyDescent="0.3">
      <c r="A21" t="s">
        <v>44</v>
      </c>
      <c r="B21" t="s">
        <v>40</v>
      </c>
      <c r="C21" t="s">
        <v>26</v>
      </c>
      <c r="D21" t="s">
        <v>11</v>
      </c>
      <c r="E21">
        <v>6675</v>
      </c>
      <c r="F21">
        <v>6828</v>
      </c>
      <c r="G21">
        <v>13503</v>
      </c>
      <c r="H21" t="s">
        <v>95</v>
      </c>
    </row>
    <row r="22" spans="1:8" x14ac:dyDescent="0.3">
      <c r="A22" t="s">
        <v>44</v>
      </c>
      <c r="B22" t="s">
        <v>40</v>
      </c>
      <c r="C22" t="s">
        <v>26</v>
      </c>
      <c r="D22" t="s">
        <v>12</v>
      </c>
      <c r="E22">
        <v>7403</v>
      </c>
      <c r="F22">
        <v>7112</v>
      </c>
      <c r="G22">
        <v>14515</v>
      </c>
      <c r="H22" t="s">
        <v>95</v>
      </c>
    </row>
    <row r="23" spans="1:8" x14ac:dyDescent="0.3">
      <c r="A23" t="s">
        <v>44</v>
      </c>
      <c r="B23" t="s">
        <v>40</v>
      </c>
      <c r="C23" t="s">
        <v>26</v>
      </c>
      <c r="D23" t="s">
        <v>13</v>
      </c>
      <c r="E23">
        <v>6623</v>
      </c>
      <c r="F23">
        <v>5831</v>
      </c>
      <c r="G23">
        <v>12454</v>
      </c>
      <c r="H23" t="s">
        <v>95</v>
      </c>
    </row>
    <row r="24" spans="1:8" x14ac:dyDescent="0.3">
      <c r="A24" t="s">
        <v>44</v>
      </c>
      <c r="B24" t="s">
        <v>40</v>
      </c>
      <c r="C24" t="s">
        <v>26</v>
      </c>
      <c r="D24" t="s">
        <v>14</v>
      </c>
      <c r="E24">
        <v>6290</v>
      </c>
      <c r="F24">
        <v>5205</v>
      </c>
      <c r="G24">
        <v>11495</v>
      </c>
      <c r="H24" t="s">
        <v>95</v>
      </c>
    </row>
    <row r="25" spans="1:8" x14ac:dyDescent="0.3">
      <c r="A25" t="s">
        <v>44</v>
      </c>
      <c r="B25" t="s">
        <v>40</v>
      </c>
      <c r="C25" t="s">
        <v>26</v>
      </c>
      <c r="D25" t="s">
        <v>15</v>
      </c>
      <c r="E25">
        <v>6118</v>
      </c>
      <c r="F25">
        <v>4829</v>
      </c>
      <c r="G25">
        <v>10947</v>
      </c>
      <c r="H25" t="s">
        <v>95</v>
      </c>
    </row>
    <row r="26" spans="1:8" x14ac:dyDescent="0.3">
      <c r="A26" t="s">
        <v>44</v>
      </c>
      <c r="B26" t="s">
        <v>40</v>
      </c>
      <c r="C26" t="s">
        <v>26</v>
      </c>
      <c r="D26" t="s">
        <v>16</v>
      </c>
      <c r="E26">
        <v>5075</v>
      </c>
      <c r="F26">
        <v>4368</v>
      </c>
      <c r="G26">
        <v>9443</v>
      </c>
      <c r="H26" t="s">
        <v>95</v>
      </c>
    </row>
    <row r="27" spans="1:8" x14ac:dyDescent="0.3">
      <c r="A27" t="s">
        <v>44</v>
      </c>
      <c r="B27" t="s">
        <v>40</v>
      </c>
      <c r="C27" t="s">
        <v>26</v>
      </c>
      <c r="D27" t="s">
        <v>17</v>
      </c>
      <c r="E27">
        <v>4442</v>
      </c>
      <c r="F27">
        <v>3684</v>
      </c>
      <c r="G27">
        <v>8126</v>
      </c>
      <c r="H27" t="s">
        <v>95</v>
      </c>
    </row>
    <row r="28" spans="1:8" x14ac:dyDescent="0.3">
      <c r="A28" t="s">
        <v>44</v>
      </c>
      <c r="B28" t="s">
        <v>40</v>
      </c>
      <c r="C28" t="s">
        <v>26</v>
      </c>
      <c r="D28" t="s">
        <v>18</v>
      </c>
      <c r="E28">
        <v>4411</v>
      </c>
      <c r="F28">
        <v>3480</v>
      </c>
      <c r="G28">
        <v>7891</v>
      </c>
      <c r="H28" t="s">
        <v>95</v>
      </c>
    </row>
    <row r="29" spans="1:8" x14ac:dyDescent="0.3">
      <c r="A29" t="s">
        <v>44</v>
      </c>
      <c r="B29" t="s">
        <v>40</v>
      </c>
      <c r="C29" t="s">
        <v>26</v>
      </c>
      <c r="D29" t="s">
        <v>19</v>
      </c>
      <c r="E29">
        <v>4051</v>
      </c>
      <c r="F29">
        <v>3346</v>
      </c>
      <c r="G29">
        <v>7397</v>
      </c>
      <c r="H29" t="s">
        <v>95</v>
      </c>
    </row>
    <row r="30" spans="1:8" x14ac:dyDescent="0.3">
      <c r="A30" t="s">
        <v>44</v>
      </c>
      <c r="B30" t="s">
        <v>40</v>
      </c>
      <c r="C30" t="s">
        <v>26</v>
      </c>
      <c r="D30" t="s">
        <v>20</v>
      </c>
      <c r="E30">
        <v>3432</v>
      </c>
      <c r="F30">
        <v>2906</v>
      </c>
      <c r="G30">
        <v>6338</v>
      </c>
      <c r="H30" t="s">
        <v>95</v>
      </c>
    </row>
    <row r="31" spans="1:8" x14ac:dyDescent="0.3">
      <c r="A31" t="s">
        <v>44</v>
      </c>
      <c r="B31" t="s">
        <v>40</v>
      </c>
      <c r="C31" t="s">
        <v>26</v>
      </c>
      <c r="D31" t="s">
        <v>21</v>
      </c>
      <c r="E31">
        <v>3113</v>
      </c>
      <c r="F31">
        <v>2808</v>
      </c>
      <c r="G31">
        <v>5921</v>
      </c>
      <c r="H31" t="s">
        <v>95</v>
      </c>
    </row>
    <row r="32" spans="1:8" x14ac:dyDescent="0.3">
      <c r="A32" t="s">
        <v>44</v>
      </c>
      <c r="B32" t="s">
        <v>40</v>
      </c>
      <c r="C32" t="s">
        <v>26</v>
      </c>
      <c r="D32" t="s">
        <v>22</v>
      </c>
      <c r="E32">
        <v>2556</v>
      </c>
      <c r="F32">
        <v>2222</v>
      </c>
      <c r="G32">
        <v>4778</v>
      </c>
      <c r="H32" t="s">
        <v>95</v>
      </c>
    </row>
    <row r="33" spans="1:8" x14ac:dyDescent="0.3">
      <c r="A33" t="s">
        <v>44</v>
      </c>
      <c r="B33" t="s">
        <v>40</v>
      </c>
      <c r="C33" t="s">
        <v>26</v>
      </c>
      <c r="D33" t="s">
        <v>23</v>
      </c>
      <c r="E33">
        <v>1919</v>
      </c>
      <c r="F33">
        <v>1743</v>
      </c>
      <c r="G33">
        <v>3662</v>
      </c>
      <c r="H33" t="s">
        <v>95</v>
      </c>
    </row>
    <row r="34" spans="1:8" x14ac:dyDescent="0.3">
      <c r="A34" t="s">
        <v>44</v>
      </c>
      <c r="B34" t="s">
        <v>40</v>
      </c>
      <c r="C34" t="s">
        <v>26</v>
      </c>
      <c r="D34" t="s">
        <v>24</v>
      </c>
      <c r="E34">
        <v>1381</v>
      </c>
      <c r="F34">
        <v>1167</v>
      </c>
      <c r="G34">
        <v>2548</v>
      </c>
      <c r="H34" t="s">
        <v>95</v>
      </c>
    </row>
    <row r="35" spans="1:8" x14ac:dyDescent="0.3">
      <c r="A35" t="s">
        <v>44</v>
      </c>
      <c r="B35" t="s">
        <v>40</v>
      </c>
      <c r="C35" t="s">
        <v>26</v>
      </c>
      <c r="D35" t="s">
        <v>25</v>
      </c>
      <c r="E35">
        <v>2018</v>
      </c>
      <c r="F35">
        <v>1490</v>
      </c>
      <c r="G35">
        <v>3508</v>
      </c>
      <c r="H35" t="s">
        <v>95</v>
      </c>
    </row>
    <row r="36" spans="1:8" x14ac:dyDescent="0.3">
      <c r="A36" t="s">
        <v>44</v>
      </c>
      <c r="B36" t="s">
        <v>32</v>
      </c>
      <c r="C36" t="s">
        <v>26</v>
      </c>
      <c r="D36" t="s">
        <v>12</v>
      </c>
      <c r="F36">
        <v>1</v>
      </c>
      <c r="G36">
        <v>1</v>
      </c>
      <c r="H36" t="s">
        <v>96</v>
      </c>
    </row>
    <row r="37" spans="1:8" x14ac:dyDescent="0.3">
      <c r="A37" t="s">
        <v>44</v>
      </c>
      <c r="B37" t="s">
        <v>43</v>
      </c>
      <c r="C37" t="s">
        <v>8</v>
      </c>
      <c r="D37" t="s">
        <v>9</v>
      </c>
      <c r="E37">
        <v>3157</v>
      </c>
      <c r="F37">
        <v>3258</v>
      </c>
      <c r="G37">
        <v>6415</v>
      </c>
      <c r="H37" t="s">
        <v>96</v>
      </c>
    </row>
    <row r="38" spans="1:8" x14ac:dyDescent="0.3">
      <c r="A38" t="s">
        <v>44</v>
      </c>
      <c r="B38" t="s">
        <v>43</v>
      </c>
      <c r="C38" t="s">
        <v>8</v>
      </c>
      <c r="D38" t="s">
        <v>10</v>
      </c>
      <c r="E38">
        <v>4886</v>
      </c>
      <c r="F38">
        <v>5007</v>
      </c>
      <c r="G38">
        <v>9893</v>
      </c>
      <c r="H38" t="s">
        <v>96</v>
      </c>
    </row>
    <row r="39" spans="1:8" x14ac:dyDescent="0.3">
      <c r="A39" t="s">
        <v>44</v>
      </c>
      <c r="B39" t="s">
        <v>43</v>
      </c>
      <c r="C39" t="s">
        <v>8</v>
      </c>
      <c r="D39" t="s">
        <v>11</v>
      </c>
      <c r="E39">
        <v>6050</v>
      </c>
      <c r="F39">
        <v>6433</v>
      </c>
      <c r="G39">
        <v>12483</v>
      </c>
      <c r="H39" t="s">
        <v>96</v>
      </c>
    </row>
    <row r="40" spans="1:8" x14ac:dyDescent="0.3">
      <c r="A40" t="s">
        <v>44</v>
      </c>
      <c r="B40" t="s">
        <v>43</v>
      </c>
      <c r="C40" t="s">
        <v>8</v>
      </c>
      <c r="D40" t="s">
        <v>12</v>
      </c>
      <c r="E40">
        <v>6989</v>
      </c>
      <c r="F40">
        <v>7328</v>
      </c>
      <c r="G40">
        <v>14317</v>
      </c>
      <c r="H40" t="s">
        <v>96</v>
      </c>
    </row>
    <row r="41" spans="1:8" x14ac:dyDescent="0.3">
      <c r="A41" t="s">
        <v>44</v>
      </c>
      <c r="B41" t="s">
        <v>43</v>
      </c>
      <c r="C41" t="s">
        <v>8</v>
      </c>
      <c r="D41" t="s">
        <v>13</v>
      </c>
      <c r="E41">
        <v>7489</v>
      </c>
      <c r="F41">
        <v>7563</v>
      </c>
      <c r="G41">
        <v>15052</v>
      </c>
      <c r="H41" t="s">
        <v>96</v>
      </c>
    </row>
    <row r="42" spans="1:8" x14ac:dyDescent="0.3">
      <c r="A42" t="s">
        <v>44</v>
      </c>
      <c r="B42" t="s">
        <v>43</v>
      </c>
      <c r="C42" t="s">
        <v>8</v>
      </c>
      <c r="D42" t="s">
        <v>14</v>
      </c>
      <c r="E42">
        <v>7055</v>
      </c>
      <c r="F42">
        <v>6817</v>
      </c>
      <c r="G42">
        <v>13872</v>
      </c>
      <c r="H42" t="s">
        <v>96</v>
      </c>
    </row>
    <row r="43" spans="1:8" x14ac:dyDescent="0.3">
      <c r="A43" t="s">
        <v>44</v>
      </c>
      <c r="B43" t="s">
        <v>43</v>
      </c>
      <c r="C43" t="s">
        <v>8</v>
      </c>
      <c r="D43" t="s">
        <v>15</v>
      </c>
      <c r="E43">
        <v>7805</v>
      </c>
      <c r="F43">
        <v>7019</v>
      </c>
      <c r="G43">
        <v>14824</v>
      </c>
      <c r="H43" t="s">
        <v>96</v>
      </c>
    </row>
    <row r="44" spans="1:8" x14ac:dyDescent="0.3">
      <c r="A44" t="s">
        <v>44</v>
      </c>
      <c r="B44" t="s">
        <v>43</v>
      </c>
      <c r="C44" t="s">
        <v>8</v>
      </c>
      <c r="D44" t="s">
        <v>16</v>
      </c>
      <c r="E44">
        <v>8232</v>
      </c>
      <c r="F44">
        <v>7255</v>
      </c>
      <c r="G44">
        <v>15487</v>
      </c>
      <c r="H44" t="s">
        <v>96</v>
      </c>
    </row>
    <row r="45" spans="1:8" x14ac:dyDescent="0.3">
      <c r="A45" t="s">
        <v>44</v>
      </c>
      <c r="B45" t="s">
        <v>43</v>
      </c>
      <c r="C45" t="s">
        <v>8</v>
      </c>
      <c r="D45" t="s">
        <v>17</v>
      </c>
      <c r="E45">
        <v>9266</v>
      </c>
      <c r="F45">
        <v>8107</v>
      </c>
      <c r="G45">
        <v>17373</v>
      </c>
      <c r="H45" t="s">
        <v>96</v>
      </c>
    </row>
    <row r="46" spans="1:8" x14ac:dyDescent="0.3">
      <c r="A46" t="s">
        <v>44</v>
      </c>
      <c r="B46" t="s">
        <v>43</v>
      </c>
      <c r="C46" t="s">
        <v>8</v>
      </c>
      <c r="D46" t="s">
        <v>18</v>
      </c>
      <c r="E46">
        <v>9418</v>
      </c>
      <c r="F46">
        <v>8381</v>
      </c>
      <c r="G46">
        <v>17799</v>
      </c>
      <c r="H46" t="s">
        <v>96</v>
      </c>
    </row>
    <row r="47" spans="1:8" x14ac:dyDescent="0.3">
      <c r="A47" t="s">
        <v>44</v>
      </c>
      <c r="B47" t="s">
        <v>43</v>
      </c>
      <c r="C47" t="s">
        <v>8</v>
      </c>
      <c r="D47" t="s">
        <v>19</v>
      </c>
      <c r="E47">
        <v>8585</v>
      </c>
      <c r="F47">
        <v>7789</v>
      </c>
      <c r="G47">
        <v>16374</v>
      </c>
      <c r="H47" t="s">
        <v>96</v>
      </c>
    </row>
    <row r="48" spans="1:8" x14ac:dyDescent="0.3">
      <c r="A48" t="s">
        <v>44</v>
      </c>
      <c r="B48" t="s">
        <v>43</v>
      </c>
      <c r="C48" t="s">
        <v>8</v>
      </c>
      <c r="D48" t="s">
        <v>20</v>
      </c>
      <c r="E48">
        <v>8429</v>
      </c>
      <c r="F48">
        <v>7657</v>
      </c>
      <c r="G48">
        <v>16086</v>
      </c>
      <c r="H48" t="s">
        <v>96</v>
      </c>
    </row>
    <row r="49" spans="1:8" x14ac:dyDescent="0.3">
      <c r="A49" t="s">
        <v>44</v>
      </c>
      <c r="B49" t="s">
        <v>43</v>
      </c>
      <c r="C49" t="s">
        <v>8</v>
      </c>
      <c r="D49" t="s">
        <v>21</v>
      </c>
      <c r="E49">
        <v>8217</v>
      </c>
      <c r="F49">
        <v>6951</v>
      </c>
      <c r="G49">
        <v>15168</v>
      </c>
      <c r="H49" t="s">
        <v>96</v>
      </c>
    </row>
    <row r="50" spans="1:8" x14ac:dyDescent="0.3">
      <c r="A50" t="s">
        <v>44</v>
      </c>
      <c r="B50" t="s">
        <v>43</v>
      </c>
      <c r="C50" t="s">
        <v>8</v>
      </c>
      <c r="D50" t="s">
        <v>22</v>
      </c>
      <c r="E50">
        <v>6924</v>
      </c>
      <c r="F50">
        <v>5495</v>
      </c>
      <c r="G50">
        <v>12419</v>
      </c>
      <c r="H50" t="s">
        <v>96</v>
      </c>
    </row>
    <row r="51" spans="1:8" x14ac:dyDescent="0.3">
      <c r="A51" t="s">
        <v>44</v>
      </c>
      <c r="B51" t="s">
        <v>43</v>
      </c>
      <c r="C51" t="s">
        <v>8</v>
      </c>
      <c r="D51" t="s">
        <v>23</v>
      </c>
      <c r="E51">
        <v>5327</v>
      </c>
      <c r="F51">
        <v>4195</v>
      </c>
      <c r="G51">
        <v>9522</v>
      </c>
      <c r="H51" t="s">
        <v>96</v>
      </c>
    </row>
    <row r="52" spans="1:8" x14ac:dyDescent="0.3">
      <c r="A52" t="s">
        <v>44</v>
      </c>
      <c r="B52" t="s">
        <v>43</v>
      </c>
      <c r="C52" t="s">
        <v>8</v>
      </c>
      <c r="D52" t="s">
        <v>24</v>
      </c>
      <c r="E52">
        <v>3473</v>
      </c>
      <c r="F52">
        <v>2983</v>
      </c>
      <c r="G52">
        <v>6456</v>
      </c>
      <c r="H52" t="s">
        <v>96</v>
      </c>
    </row>
    <row r="53" spans="1:8" x14ac:dyDescent="0.3">
      <c r="A53" t="s">
        <v>44</v>
      </c>
      <c r="B53" t="s">
        <v>43</v>
      </c>
      <c r="C53" t="s">
        <v>8</v>
      </c>
      <c r="D53" t="s">
        <v>25</v>
      </c>
      <c r="E53">
        <v>3965</v>
      </c>
      <c r="F53">
        <v>2645</v>
      </c>
      <c r="G53">
        <v>6610</v>
      </c>
      <c r="H53" t="s">
        <v>96</v>
      </c>
    </row>
    <row r="54" spans="1:8" x14ac:dyDescent="0.3">
      <c r="A54" t="s">
        <v>44</v>
      </c>
      <c r="B54" t="s">
        <v>43</v>
      </c>
      <c r="C54" t="s">
        <v>26</v>
      </c>
      <c r="D54" t="s">
        <v>9</v>
      </c>
      <c r="E54">
        <v>1243</v>
      </c>
      <c r="F54">
        <v>1262</v>
      </c>
      <c r="G54">
        <v>2505</v>
      </c>
      <c r="H54" t="s">
        <v>96</v>
      </c>
    </row>
    <row r="55" spans="1:8" x14ac:dyDescent="0.3">
      <c r="A55" t="s">
        <v>44</v>
      </c>
      <c r="B55" t="s">
        <v>43</v>
      </c>
      <c r="C55" t="s">
        <v>26</v>
      </c>
      <c r="D55" t="s">
        <v>10</v>
      </c>
      <c r="E55">
        <v>2028</v>
      </c>
      <c r="F55">
        <v>2160</v>
      </c>
      <c r="G55">
        <v>4188</v>
      </c>
      <c r="H55" t="s">
        <v>96</v>
      </c>
    </row>
    <row r="56" spans="1:8" x14ac:dyDescent="0.3">
      <c r="A56" t="s">
        <v>44</v>
      </c>
      <c r="B56" t="s">
        <v>43</v>
      </c>
      <c r="C56" t="s">
        <v>26</v>
      </c>
      <c r="D56" t="s">
        <v>11</v>
      </c>
      <c r="E56">
        <v>2254</v>
      </c>
      <c r="F56">
        <v>2325</v>
      </c>
      <c r="G56">
        <v>4579</v>
      </c>
      <c r="H56" t="s">
        <v>96</v>
      </c>
    </row>
    <row r="57" spans="1:8" x14ac:dyDescent="0.3">
      <c r="A57" t="s">
        <v>44</v>
      </c>
      <c r="B57" t="s">
        <v>43</v>
      </c>
      <c r="C57" t="s">
        <v>26</v>
      </c>
      <c r="D57" t="s">
        <v>12</v>
      </c>
      <c r="E57">
        <v>2491</v>
      </c>
      <c r="F57">
        <v>2464</v>
      </c>
      <c r="G57">
        <v>4955</v>
      </c>
      <c r="H57" t="s">
        <v>96</v>
      </c>
    </row>
    <row r="58" spans="1:8" x14ac:dyDescent="0.3">
      <c r="A58" t="s">
        <v>44</v>
      </c>
      <c r="B58" t="s">
        <v>43</v>
      </c>
      <c r="C58" t="s">
        <v>26</v>
      </c>
      <c r="D58" t="s">
        <v>13</v>
      </c>
      <c r="E58">
        <v>2807</v>
      </c>
      <c r="F58">
        <v>2745</v>
      </c>
      <c r="G58">
        <v>5552</v>
      </c>
      <c r="H58" t="s">
        <v>96</v>
      </c>
    </row>
    <row r="59" spans="1:8" x14ac:dyDescent="0.3">
      <c r="A59" t="s">
        <v>44</v>
      </c>
      <c r="B59" t="s">
        <v>43</v>
      </c>
      <c r="C59" t="s">
        <v>26</v>
      </c>
      <c r="D59" t="s">
        <v>14</v>
      </c>
      <c r="E59">
        <v>3254</v>
      </c>
      <c r="F59">
        <v>3173</v>
      </c>
      <c r="G59">
        <v>6427</v>
      </c>
      <c r="H59" t="s">
        <v>96</v>
      </c>
    </row>
    <row r="60" spans="1:8" x14ac:dyDescent="0.3">
      <c r="A60" t="s">
        <v>44</v>
      </c>
      <c r="B60" t="s">
        <v>43</v>
      </c>
      <c r="C60" t="s">
        <v>26</v>
      </c>
      <c r="D60" t="s">
        <v>15</v>
      </c>
      <c r="E60">
        <v>2999</v>
      </c>
      <c r="F60">
        <v>2959</v>
      </c>
      <c r="G60">
        <v>5958</v>
      </c>
      <c r="H60" t="s">
        <v>96</v>
      </c>
    </row>
    <row r="61" spans="1:8" x14ac:dyDescent="0.3">
      <c r="A61" t="s">
        <v>44</v>
      </c>
      <c r="B61" t="s">
        <v>43</v>
      </c>
      <c r="C61" t="s">
        <v>26</v>
      </c>
      <c r="D61" t="s">
        <v>16</v>
      </c>
      <c r="E61">
        <v>2843</v>
      </c>
      <c r="F61">
        <v>2505</v>
      </c>
      <c r="G61">
        <v>5348</v>
      </c>
      <c r="H61" t="s">
        <v>96</v>
      </c>
    </row>
    <row r="62" spans="1:8" x14ac:dyDescent="0.3">
      <c r="A62" t="s">
        <v>44</v>
      </c>
      <c r="B62" t="s">
        <v>43</v>
      </c>
      <c r="C62" t="s">
        <v>26</v>
      </c>
      <c r="D62" t="s">
        <v>17</v>
      </c>
      <c r="E62">
        <v>2928</v>
      </c>
      <c r="F62">
        <v>2436</v>
      </c>
      <c r="G62">
        <v>5364</v>
      </c>
      <c r="H62" t="s">
        <v>96</v>
      </c>
    </row>
    <row r="63" spans="1:8" x14ac:dyDescent="0.3">
      <c r="A63" t="s">
        <v>44</v>
      </c>
      <c r="B63" t="s">
        <v>43</v>
      </c>
      <c r="C63" t="s">
        <v>26</v>
      </c>
      <c r="D63" t="s">
        <v>18</v>
      </c>
      <c r="E63">
        <v>2608</v>
      </c>
      <c r="F63">
        <v>2108</v>
      </c>
      <c r="G63">
        <v>4716</v>
      </c>
      <c r="H63" t="s">
        <v>96</v>
      </c>
    </row>
    <row r="64" spans="1:8" x14ac:dyDescent="0.3">
      <c r="A64" t="s">
        <v>44</v>
      </c>
      <c r="B64" t="s">
        <v>43</v>
      </c>
      <c r="C64" t="s">
        <v>26</v>
      </c>
      <c r="D64" t="s">
        <v>19</v>
      </c>
      <c r="E64">
        <v>2202</v>
      </c>
      <c r="F64">
        <v>1851</v>
      </c>
      <c r="G64">
        <v>4053</v>
      </c>
      <c r="H64" t="s">
        <v>96</v>
      </c>
    </row>
    <row r="65" spans="1:8" x14ac:dyDescent="0.3">
      <c r="A65" t="s">
        <v>44</v>
      </c>
      <c r="B65" t="s">
        <v>43</v>
      </c>
      <c r="C65" t="s">
        <v>26</v>
      </c>
      <c r="D65" t="s">
        <v>20</v>
      </c>
      <c r="E65">
        <v>1790</v>
      </c>
      <c r="F65">
        <v>1636</v>
      </c>
      <c r="G65">
        <v>3426</v>
      </c>
      <c r="H65" t="s">
        <v>96</v>
      </c>
    </row>
    <row r="66" spans="1:8" x14ac:dyDescent="0.3">
      <c r="A66" t="s">
        <v>44</v>
      </c>
      <c r="B66" t="s">
        <v>43</v>
      </c>
      <c r="C66" t="s">
        <v>26</v>
      </c>
      <c r="D66" t="s">
        <v>21</v>
      </c>
      <c r="E66">
        <v>1457</v>
      </c>
      <c r="F66">
        <v>1175</v>
      </c>
      <c r="G66">
        <v>2632</v>
      </c>
      <c r="H66" t="s">
        <v>96</v>
      </c>
    </row>
    <row r="67" spans="1:8" x14ac:dyDescent="0.3">
      <c r="A67" t="s">
        <v>44</v>
      </c>
      <c r="B67" t="s">
        <v>43</v>
      </c>
      <c r="C67" t="s">
        <v>26</v>
      </c>
      <c r="D67" t="s">
        <v>22</v>
      </c>
      <c r="E67">
        <v>1068</v>
      </c>
      <c r="F67">
        <v>846</v>
      </c>
      <c r="G67">
        <v>1914</v>
      </c>
      <c r="H67" t="s">
        <v>96</v>
      </c>
    </row>
    <row r="68" spans="1:8" x14ac:dyDescent="0.3">
      <c r="A68" t="s">
        <v>44</v>
      </c>
      <c r="B68" t="s">
        <v>43</v>
      </c>
      <c r="C68" t="s">
        <v>26</v>
      </c>
      <c r="D68" t="s">
        <v>23</v>
      </c>
      <c r="E68">
        <v>655</v>
      </c>
      <c r="F68">
        <v>519</v>
      </c>
      <c r="G68">
        <v>1174</v>
      </c>
      <c r="H68" t="s">
        <v>96</v>
      </c>
    </row>
    <row r="69" spans="1:8" x14ac:dyDescent="0.3">
      <c r="A69" t="s">
        <v>44</v>
      </c>
      <c r="B69" t="s">
        <v>43</v>
      </c>
      <c r="C69" t="s">
        <v>26</v>
      </c>
      <c r="D69" t="s">
        <v>24</v>
      </c>
      <c r="E69">
        <v>373</v>
      </c>
      <c r="F69">
        <v>269</v>
      </c>
      <c r="G69">
        <v>642</v>
      </c>
      <c r="H69" t="s">
        <v>96</v>
      </c>
    </row>
    <row r="70" spans="1:8" x14ac:dyDescent="0.3">
      <c r="A70" t="s">
        <v>44</v>
      </c>
      <c r="B70" t="s">
        <v>43</v>
      </c>
      <c r="C70" t="s">
        <v>26</v>
      </c>
      <c r="D70" t="s">
        <v>25</v>
      </c>
      <c r="E70">
        <v>480</v>
      </c>
      <c r="F70">
        <v>268</v>
      </c>
      <c r="G70">
        <v>748</v>
      </c>
      <c r="H70" t="s">
        <v>96</v>
      </c>
    </row>
    <row r="71" spans="1:8" x14ac:dyDescent="0.3">
      <c r="A71" t="s">
        <v>44</v>
      </c>
      <c r="B71" t="s">
        <v>33</v>
      </c>
      <c r="C71" t="s">
        <v>8</v>
      </c>
      <c r="D71" t="s">
        <v>9</v>
      </c>
      <c r="E71">
        <v>852</v>
      </c>
      <c r="F71">
        <v>910</v>
      </c>
      <c r="G71">
        <v>1762</v>
      </c>
      <c r="H71" t="s">
        <v>95</v>
      </c>
    </row>
    <row r="72" spans="1:8" x14ac:dyDescent="0.3">
      <c r="A72" t="s">
        <v>44</v>
      </c>
      <c r="B72" t="s">
        <v>33</v>
      </c>
      <c r="C72" t="s">
        <v>8</v>
      </c>
      <c r="D72" t="s">
        <v>10</v>
      </c>
      <c r="E72">
        <v>953</v>
      </c>
      <c r="F72">
        <v>952</v>
      </c>
      <c r="G72">
        <v>1905</v>
      </c>
      <c r="H72" t="s">
        <v>95</v>
      </c>
    </row>
    <row r="73" spans="1:8" x14ac:dyDescent="0.3">
      <c r="A73" t="s">
        <v>44</v>
      </c>
      <c r="B73" t="s">
        <v>33</v>
      </c>
      <c r="C73" t="s">
        <v>8</v>
      </c>
      <c r="D73" t="s">
        <v>11</v>
      </c>
      <c r="E73">
        <v>848</v>
      </c>
      <c r="F73">
        <v>873</v>
      </c>
      <c r="G73">
        <v>1721</v>
      </c>
      <c r="H73" t="s">
        <v>95</v>
      </c>
    </row>
    <row r="74" spans="1:8" x14ac:dyDescent="0.3">
      <c r="A74" t="s">
        <v>44</v>
      </c>
      <c r="B74" t="s">
        <v>33</v>
      </c>
      <c r="C74" t="s">
        <v>8</v>
      </c>
      <c r="D74" t="s">
        <v>12</v>
      </c>
      <c r="E74">
        <v>1335</v>
      </c>
      <c r="F74">
        <v>1454</v>
      </c>
      <c r="G74">
        <v>2789</v>
      </c>
      <c r="H74" t="s">
        <v>95</v>
      </c>
    </row>
    <row r="75" spans="1:8" x14ac:dyDescent="0.3">
      <c r="A75" t="s">
        <v>44</v>
      </c>
      <c r="B75" t="s">
        <v>33</v>
      </c>
      <c r="C75" t="s">
        <v>8</v>
      </c>
      <c r="D75" t="s">
        <v>13</v>
      </c>
      <c r="E75">
        <v>2955</v>
      </c>
      <c r="F75">
        <v>3585</v>
      </c>
      <c r="G75">
        <v>6540</v>
      </c>
      <c r="H75" t="s">
        <v>95</v>
      </c>
    </row>
    <row r="76" spans="1:8" x14ac:dyDescent="0.3">
      <c r="A76" t="s">
        <v>44</v>
      </c>
      <c r="B76" t="s">
        <v>33</v>
      </c>
      <c r="C76" t="s">
        <v>8</v>
      </c>
      <c r="D76" t="s">
        <v>14</v>
      </c>
      <c r="E76">
        <v>2984</v>
      </c>
      <c r="F76">
        <v>3352</v>
      </c>
      <c r="G76">
        <v>6336</v>
      </c>
      <c r="H76" t="s">
        <v>95</v>
      </c>
    </row>
    <row r="77" spans="1:8" x14ac:dyDescent="0.3">
      <c r="A77" t="s">
        <v>44</v>
      </c>
      <c r="B77" t="s">
        <v>33</v>
      </c>
      <c r="C77" t="s">
        <v>8</v>
      </c>
      <c r="D77" t="s">
        <v>15</v>
      </c>
      <c r="E77">
        <v>2578</v>
      </c>
      <c r="F77">
        <v>2816</v>
      </c>
      <c r="G77">
        <v>5394</v>
      </c>
      <c r="H77" t="s">
        <v>95</v>
      </c>
    </row>
    <row r="78" spans="1:8" x14ac:dyDescent="0.3">
      <c r="A78" t="s">
        <v>44</v>
      </c>
      <c r="B78" t="s">
        <v>33</v>
      </c>
      <c r="C78" t="s">
        <v>8</v>
      </c>
      <c r="D78" t="s">
        <v>16</v>
      </c>
      <c r="E78">
        <v>2339</v>
      </c>
      <c r="F78">
        <v>2278</v>
      </c>
      <c r="G78">
        <v>4617</v>
      </c>
      <c r="H78" t="s">
        <v>95</v>
      </c>
    </row>
    <row r="79" spans="1:8" x14ac:dyDescent="0.3">
      <c r="A79" t="s">
        <v>44</v>
      </c>
      <c r="B79" t="s">
        <v>33</v>
      </c>
      <c r="C79" t="s">
        <v>8</v>
      </c>
      <c r="D79" t="s">
        <v>17</v>
      </c>
      <c r="E79">
        <v>1852</v>
      </c>
      <c r="F79">
        <v>2020</v>
      </c>
      <c r="G79">
        <v>3872</v>
      </c>
      <c r="H79" t="s">
        <v>95</v>
      </c>
    </row>
    <row r="80" spans="1:8" x14ac:dyDescent="0.3">
      <c r="A80" t="s">
        <v>44</v>
      </c>
      <c r="B80" t="s">
        <v>33</v>
      </c>
      <c r="C80" t="s">
        <v>8</v>
      </c>
      <c r="D80" t="s">
        <v>18</v>
      </c>
      <c r="E80">
        <v>1743</v>
      </c>
      <c r="F80">
        <v>1753</v>
      </c>
      <c r="G80">
        <v>3496</v>
      </c>
      <c r="H80" t="s">
        <v>95</v>
      </c>
    </row>
    <row r="81" spans="1:8" x14ac:dyDescent="0.3">
      <c r="A81" t="s">
        <v>44</v>
      </c>
      <c r="B81" t="s">
        <v>33</v>
      </c>
      <c r="C81" t="s">
        <v>8</v>
      </c>
      <c r="D81" t="s">
        <v>19</v>
      </c>
      <c r="E81">
        <v>1534</v>
      </c>
      <c r="F81">
        <v>1721</v>
      </c>
      <c r="G81">
        <v>3255</v>
      </c>
      <c r="H81" t="s">
        <v>95</v>
      </c>
    </row>
    <row r="82" spans="1:8" x14ac:dyDescent="0.3">
      <c r="A82" t="s">
        <v>44</v>
      </c>
      <c r="B82" t="s">
        <v>33</v>
      </c>
      <c r="C82" t="s">
        <v>8</v>
      </c>
      <c r="D82" t="s">
        <v>20</v>
      </c>
      <c r="E82">
        <v>1565</v>
      </c>
      <c r="F82">
        <v>1626</v>
      </c>
      <c r="G82">
        <v>3191</v>
      </c>
      <c r="H82" t="s">
        <v>95</v>
      </c>
    </row>
    <row r="83" spans="1:8" x14ac:dyDescent="0.3">
      <c r="A83" t="s">
        <v>44</v>
      </c>
      <c r="B83" t="s">
        <v>33</v>
      </c>
      <c r="C83" t="s">
        <v>8</v>
      </c>
      <c r="D83" t="s">
        <v>21</v>
      </c>
      <c r="E83">
        <v>1500</v>
      </c>
      <c r="F83">
        <v>1534</v>
      </c>
      <c r="G83">
        <v>3034</v>
      </c>
      <c r="H83" t="s">
        <v>95</v>
      </c>
    </row>
    <row r="84" spans="1:8" x14ac:dyDescent="0.3">
      <c r="A84" t="s">
        <v>44</v>
      </c>
      <c r="B84" t="s">
        <v>33</v>
      </c>
      <c r="C84" t="s">
        <v>8</v>
      </c>
      <c r="D84" t="s">
        <v>22</v>
      </c>
      <c r="E84">
        <v>1257</v>
      </c>
      <c r="F84">
        <v>1341</v>
      </c>
      <c r="G84">
        <v>2598</v>
      </c>
      <c r="H84" t="s">
        <v>95</v>
      </c>
    </row>
    <row r="85" spans="1:8" x14ac:dyDescent="0.3">
      <c r="A85" t="s">
        <v>44</v>
      </c>
      <c r="B85" t="s">
        <v>33</v>
      </c>
      <c r="C85" t="s">
        <v>8</v>
      </c>
      <c r="D85" t="s">
        <v>23</v>
      </c>
      <c r="E85">
        <v>1000</v>
      </c>
      <c r="F85">
        <v>812</v>
      </c>
      <c r="G85">
        <v>1812</v>
      </c>
      <c r="H85" t="s">
        <v>95</v>
      </c>
    </row>
    <row r="86" spans="1:8" x14ac:dyDescent="0.3">
      <c r="A86" t="s">
        <v>44</v>
      </c>
      <c r="B86" t="s">
        <v>33</v>
      </c>
      <c r="C86" t="s">
        <v>8</v>
      </c>
      <c r="D86" t="s">
        <v>24</v>
      </c>
      <c r="E86">
        <v>610</v>
      </c>
      <c r="F86">
        <v>557</v>
      </c>
      <c r="G86">
        <v>1167</v>
      </c>
      <c r="H86" t="s">
        <v>95</v>
      </c>
    </row>
    <row r="87" spans="1:8" x14ac:dyDescent="0.3">
      <c r="A87" t="s">
        <v>44</v>
      </c>
      <c r="B87" t="s">
        <v>33</v>
      </c>
      <c r="C87" t="s">
        <v>8</v>
      </c>
      <c r="D87" t="s">
        <v>25</v>
      </c>
      <c r="E87">
        <v>909</v>
      </c>
      <c r="F87">
        <v>517</v>
      </c>
      <c r="G87">
        <v>1426</v>
      </c>
      <c r="H87" t="s">
        <v>95</v>
      </c>
    </row>
    <row r="88" spans="1:8" x14ac:dyDescent="0.3">
      <c r="A88" t="s">
        <v>44</v>
      </c>
      <c r="B88" t="s">
        <v>33</v>
      </c>
      <c r="C88" t="s">
        <v>26</v>
      </c>
      <c r="D88" t="s">
        <v>9</v>
      </c>
      <c r="E88">
        <v>9566</v>
      </c>
      <c r="F88">
        <v>10116</v>
      </c>
      <c r="G88">
        <v>19682</v>
      </c>
      <c r="H88" t="s">
        <v>95</v>
      </c>
    </row>
    <row r="89" spans="1:8" x14ac:dyDescent="0.3">
      <c r="A89" t="s">
        <v>44</v>
      </c>
      <c r="B89" t="s">
        <v>33</v>
      </c>
      <c r="C89" t="s">
        <v>26</v>
      </c>
      <c r="D89" t="s">
        <v>10</v>
      </c>
      <c r="E89">
        <v>15255</v>
      </c>
      <c r="F89">
        <v>15970</v>
      </c>
      <c r="G89">
        <v>31225</v>
      </c>
      <c r="H89" t="s">
        <v>95</v>
      </c>
    </row>
    <row r="90" spans="1:8" x14ac:dyDescent="0.3">
      <c r="A90" t="s">
        <v>44</v>
      </c>
      <c r="B90" t="s">
        <v>33</v>
      </c>
      <c r="C90" t="s">
        <v>26</v>
      </c>
      <c r="D90" t="s">
        <v>11</v>
      </c>
      <c r="E90">
        <v>15299</v>
      </c>
      <c r="F90">
        <v>15899</v>
      </c>
      <c r="G90">
        <v>31198</v>
      </c>
      <c r="H90" t="s">
        <v>95</v>
      </c>
    </row>
    <row r="91" spans="1:8" x14ac:dyDescent="0.3">
      <c r="A91" t="s">
        <v>44</v>
      </c>
      <c r="B91" t="s">
        <v>33</v>
      </c>
      <c r="C91" t="s">
        <v>26</v>
      </c>
      <c r="D91" t="s">
        <v>12</v>
      </c>
      <c r="E91">
        <v>16417</v>
      </c>
      <c r="F91">
        <v>16554</v>
      </c>
      <c r="G91">
        <v>32971</v>
      </c>
      <c r="H91" t="s">
        <v>95</v>
      </c>
    </row>
    <row r="92" spans="1:8" x14ac:dyDescent="0.3">
      <c r="A92" t="s">
        <v>44</v>
      </c>
      <c r="B92" t="s">
        <v>33</v>
      </c>
      <c r="C92" t="s">
        <v>26</v>
      </c>
      <c r="D92" t="s">
        <v>13</v>
      </c>
      <c r="E92">
        <v>16573</v>
      </c>
      <c r="F92">
        <v>14098</v>
      </c>
      <c r="G92">
        <v>30671</v>
      </c>
      <c r="H92" t="s">
        <v>95</v>
      </c>
    </row>
    <row r="93" spans="1:8" x14ac:dyDescent="0.3">
      <c r="A93" t="s">
        <v>44</v>
      </c>
      <c r="B93" t="s">
        <v>33</v>
      </c>
      <c r="C93" t="s">
        <v>26</v>
      </c>
      <c r="D93" t="s">
        <v>14</v>
      </c>
      <c r="E93">
        <v>18049</v>
      </c>
      <c r="F93">
        <v>14593</v>
      </c>
      <c r="G93">
        <v>32642</v>
      </c>
      <c r="H93" t="s">
        <v>95</v>
      </c>
    </row>
    <row r="94" spans="1:8" x14ac:dyDescent="0.3">
      <c r="A94" t="s">
        <v>44</v>
      </c>
      <c r="B94" t="s">
        <v>33</v>
      </c>
      <c r="C94" t="s">
        <v>26</v>
      </c>
      <c r="D94" t="s">
        <v>15</v>
      </c>
      <c r="E94">
        <v>17208</v>
      </c>
      <c r="F94">
        <v>14646</v>
      </c>
      <c r="G94">
        <v>31854</v>
      </c>
      <c r="H94" t="s">
        <v>95</v>
      </c>
    </row>
    <row r="95" spans="1:8" x14ac:dyDescent="0.3">
      <c r="A95" t="s">
        <v>44</v>
      </c>
      <c r="B95" t="s">
        <v>33</v>
      </c>
      <c r="C95" t="s">
        <v>26</v>
      </c>
      <c r="D95" t="s">
        <v>16</v>
      </c>
      <c r="E95">
        <v>17575</v>
      </c>
      <c r="F95">
        <v>14369</v>
      </c>
      <c r="G95">
        <v>31944</v>
      </c>
      <c r="H95" t="s">
        <v>95</v>
      </c>
    </row>
    <row r="96" spans="1:8" x14ac:dyDescent="0.3">
      <c r="A96" t="s">
        <v>44</v>
      </c>
      <c r="B96" t="s">
        <v>33</v>
      </c>
      <c r="C96" t="s">
        <v>26</v>
      </c>
      <c r="D96" t="s">
        <v>17</v>
      </c>
      <c r="E96">
        <v>15201</v>
      </c>
      <c r="F96">
        <v>12425</v>
      </c>
      <c r="G96">
        <v>27626</v>
      </c>
      <c r="H96" t="s">
        <v>95</v>
      </c>
    </row>
    <row r="97" spans="1:8" x14ac:dyDescent="0.3">
      <c r="A97" t="s">
        <v>44</v>
      </c>
      <c r="B97" t="s">
        <v>33</v>
      </c>
      <c r="C97" t="s">
        <v>26</v>
      </c>
      <c r="D97" t="s">
        <v>18</v>
      </c>
      <c r="E97">
        <v>15096</v>
      </c>
      <c r="F97">
        <v>11817</v>
      </c>
      <c r="G97">
        <v>26913</v>
      </c>
      <c r="H97" t="s">
        <v>95</v>
      </c>
    </row>
    <row r="98" spans="1:8" x14ac:dyDescent="0.3">
      <c r="A98" t="s">
        <v>44</v>
      </c>
      <c r="B98" t="s">
        <v>33</v>
      </c>
      <c r="C98" t="s">
        <v>26</v>
      </c>
      <c r="D98" t="s">
        <v>19</v>
      </c>
      <c r="E98">
        <v>15439</v>
      </c>
      <c r="F98">
        <v>11937</v>
      </c>
      <c r="G98">
        <v>27376</v>
      </c>
      <c r="H98" t="s">
        <v>95</v>
      </c>
    </row>
    <row r="99" spans="1:8" x14ac:dyDescent="0.3">
      <c r="A99" t="s">
        <v>44</v>
      </c>
      <c r="B99" t="s">
        <v>33</v>
      </c>
      <c r="C99" t="s">
        <v>26</v>
      </c>
      <c r="D99" t="s">
        <v>20</v>
      </c>
      <c r="E99">
        <v>15821</v>
      </c>
      <c r="F99">
        <v>12833</v>
      </c>
      <c r="G99">
        <v>28654</v>
      </c>
      <c r="H99" t="s">
        <v>95</v>
      </c>
    </row>
    <row r="100" spans="1:8" x14ac:dyDescent="0.3">
      <c r="A100" t="s">
        <v>44</v>
      </c>
      <c r="B100" t="s">
        <v>33</v>
      </c>
      <c r="C100" t="s">
        <v>26</v>
      </c>
      <c r="D100" t="s">
        <v>21</v>
      </c>
      <c r="E100">
        <v>12867</v>
      </c>
      <c r="F100">
        <v>11136</v>
      </c>
      <c r="G100">
        <v>24003</v>
      </c>
      <c r="H100" t="s">
        <v>95</v>
      </c>
    </row>
    <row r="101" spans="1:8" x14ac:dyDescent="0.3">
      <c r="A101" t="s">
        <v>44</v>
      </c>
      <c r="B101" t="s">
        <v>33</v>
      </c>
      <c r="C101" t="s">
        <v>26</v>
      </c>
      <c r="D101" t="s">
        <v>22</v>
      </c>
      <c r="E101">
        <v>10613</v>
      </c>
      <c r="F101">
        <v>9246</v>
      </c>
      <c r="G101">
        <v>19859</v>
      </c>
      <c r="H101" t="s">
        <v>95</v>
      </c>
    </row>
    <row r="102" spans="1:8" x14ac:dyDescent="0.3">
      <c r="A102" t="s">
        <v>44</v>
      </c>
      <c r="B102" t="s">
        <v>33</v>
      </c>
      <c r="C102" t="s">
        <v>26</v>
      </c>
      <c r="D102" t="s">
        <v>23</v>
      </c>
      <c r="E102">
        <v>7861</v>
      </c>
      <c r="F102">
        <v>6730</v>
      </c>
      <c r="G102">
        <v>14591</v>
      </c>
      <c r="H102" t="s">
        <v>95</v>
      </c>
    </row>
    <row r="103" spans="1:8" x14ac:dyDescent="0.3">
      <c r="A103" t="s">
        <v>44</v>
      </c>
      <c r="B103" t="s">
        <v>33</v>
      </c>
      <c r="C103" t="s">
        <v>26</v>
      </c>
      <c r="D103" t="s">
        <v>24</v>
      </c>
      <c r="E103">
        <v>5523</v>
      </c>
      <c r="F103">
        <v>4374</v>
      </c>
      <c r="G103">
        <v>9897</v>
      </c>
      <c r="H103" t="s">
        <v>95</v>
      </c>
    </row>
    <row r="104" spans="1:8" x14ac:dyDescent="0.3">
      <c r="A104" t="s">
        <v>44</v>
      </c>
      <c r="B104" t="s">
        <v>33</v>
      </c>
      <c r="C104" t="s">
        <v>26</v>
      </c>
      <c r="D104" t="s">
        <v>25</v>
      </c>
      <c r="E104">
        <v>9251</v>
      </c>
      <c r="F104">
        <v>6451</v>
      </c>
      <c r="G104">
        <v>15702</v>
      </c>
      <c r="H104" t="s">
        <v>95</v>
      </c>
    </row>
    <row r="105" spans="1:8" x14ac:dyDescent="0.3">
      <c r="A105" t="s">
        <v>44</v>
      </c>
      <c r="B105" t="s">
        <v>42</v>
      </c>
      <c r="C105" t="s">
        <v>8</v>
      </c>
      <c r="D105" t="s">
        <v>9</v>
      </c>
      <c r="E105">
        <v>644</v>
      </c>
      <c r="F105">
        <v>643</v>
      </c>
      <c r="G105">
        <v>1287</v>
      </c>
      <c r="H105" t="s">
        <v>95</v>
      </c>
    </row>
    <row r="106" spans="1:8" x14ac:dyDescent="0.3">
      <c r="A106" t="s">
        <v>44</v>
      </c>
      <c r="B106" t="s">
        <v>42</v>
      </c>
      <c r="C106" t="s">
        <v>8</v>
      </c>
      <c r="D106" t="s">
        <v>10</v>
      </c>
      <c r="E106">
        <v>671</v>
      </c>
      <c r="F106">
        <v>720</v>
      </c>
      <c r="G106">
        <v>1391</v>
      </c>
      <c r="H106" t="s">
        <v>95</v>
      </c>
    </row>
    <row r="107" spans="1:8" x14ac:dyDescent="0.3">
      <c r="A107" t="s">
        <v>44</v>
      </c>
      <c r="B107" t="s">
        <v>42</v>
      </c>
      <c r="C107" t="s">
        <v>8</v>
      </c>
      <c r="D107" t="s">
        <v>11</v>
      </c>
      <c r="E107">
        <v>644</v>
      </c>
      <c r="F107">
        <v>670</v>
      </c>
      <c r="G107">
        <v>1314</v>
      </c>
      <c r="H107" t="s">
        <v>95</v>
      </c>
    </row>
    <row r="108" spans="1:8" x14ac:dyDescent="0.3">
      <c r="A108" t="s">
        <v>44</v>
      </c>
      <c r="B108" t="s">
        <v>42</v>
      </c>
      <c r="C108" t="s">
        <v>8</v>
      </c>
      <c r="D108" t="s">
        <v>12</v>
      </c>
      <c r="E108">
        <v>1513</v>
      </c>
      <c r="F108">
        <v>1827</v>
      </c>
      <c r="G108">
        <v>3340</v>
      </c>
      <c r="H108" t="s">
        <v>95</v>
      </c>
    </row>
    <row r="109" spans="1:8" x14ac:dyDescent="0.3">
      <c r="A109" t="s">
        <v>44</v>
      </c>
      <c r="B109" t="s">
        <v>42</v>
      </c>
      <c r="C109" t="s">
        <v>8</v>
      </c>
      <c r="D109" t="s">
        <v>13</v>
      </c>
      <c r="E109">
        <v>4273</v>
      </c>
      <c r="F109">
        <v>5610</v>
      </c>
      <c r="G109">
        <v>9883</v>
      </c>
      <c r="H109" t="s">
        <v>95</v>
      </c>
    </row>
    <row r="110" spans="1:8" x14ac:dyDescent="0.3">
      <c r="A110" t="s">
        <v>44</v>
      </c>
      <c r="B110" t="s">
        <v>42</v>
      </c>
      <c r="C110" t="s">
        <v>8</v>
      </c>
      <c r="D110" t="s">
        <v>14</v>
      </c>
      <c r="E110">
        <v>4388</v>
      </c>
      <c r="F110">
        <v>5075</v>
      </c>
      <c r="G110">
        <v>9463</v>
      </c>
      <c r="H110" t="s">
        <v>95</v>
      </c>
    </row>
    <row r="111" spans="1:8" x14ac:dyDescent="0.3">
      <c r="A111" t="s">
        <v>44</v>
      </c>
      <c r="B111" t="s">
        <v>42</v>
      </c>
      <c r="C111" t="s">
        <v>8</v>
      </c>
      <c r="D111" t="s">
        <v>15</v>
      </c>
      <c r="E111">
        <v>4032</v>
      </c>
      <c r="F111">
        <v>4228</v>
      </c>
      <c r="G111">
        <v>8260</v>
      </c>
      <c r="H111" t="s">
        <v>95</v>
      </c>
    </row>
    <row r="112" spans="1:8" x14ac:dyDescent="0.3">
      <c r="A112" t="s">
        <v>44</v>
      </c>
      <c r="B112" t="s">
        <v>42</v>
      </c>
      <c r="C112" t="s">
        <v>8</v>
      </c>
      <c r="D112" t="s">
        <v>16</v>
      </c>
      <c r="E112">
        <v>2913</v>
      </c>
      <c r="F112">
        <v>2822</v>
      </c>
      <c r="G112">
        <v>5735</v>
      </c>
      <c r="H112" t="s">
        <v>95</v>
      </c>
    </row>
    <row r="113" spans="1:8" x14ac:dyDescent="0.3">
      <c r="A113" t="s">
        <v>44</v>
      </c>
      <c r="B113" t="s">
        <v>42</v>
      </c>
      <c r="C113" t="s">
        <v>8</v>
      </c>
      <c r="D113" t="s">
        <v>17</v>
      </c>
      <c r="E113">
        <v>2422</v>
      </c>
      <c r="F113">
        <v>2297</v>
      </c>
      <c r="G113">
        <v>4719</v>
      </c>
      <c r="H113" t="s">
        <v>95</v>
      </c>
    </row>
    <row r="114" spans="1:8" x14ac:dyDescent="0.3">
      <c r="A114" t="s">
        <v>44</v>
      </c>
      <c r="B114" t="s">
        <v>42</v>
      </c>
      <c r="C114" t="s">
        <v>8</v>
      </c>
      <c r="D114" t="s">
        <v>18</v>
      </c>
      <c r="E114">
        <v>1792</v>
      </c>
      <c r="F114">
        <v>1958</v>
      </c>
      <c r="G114">
        <v>3750</v>
      </c>
      <c r="H114" t="s">
        <v>95</v>
      </c>
    </row>
    <row r="115" spans="1:8" x14ac:dyDescent="0.3">
      <c r="A115" t="s">
        <v>44</v>
      </c>
      <c r="B115" t="s">
        <v>42</v>
      </c>
      <c r="C115" t="s">
        <v>8</v>
      </c>
      <c r="D115" t="s">
        <v>19</v>
      </c>
      <c r="E115">
        <v>1350</v>
      </c>
      <c r="F115">
        <v>1661</v>
      </c>
      <c r="G115">
        <v>3011</v>
      </c>
      <c r="H115" t="s">
        <v>95</v>
      </c>
    </row>
    <row r="116" spans="1:8" x14ac:dyDescent="0.3">
      <c r="A116" t="s">
        <v>44</v>
      </c>
      <c r="B116" t="s">
        <v>42</v>
      </c>
      <c r="C116" t="s">
        <v>8</v>
      </c>
      <c r="D116" t="s">
        <v>20</v>
      </c>
      <c r="E116">
        <v>1157</v>
      </c>
      <c r="F116">
        <v>1477</v>
      </c>
      <c r="G116">
        <v>2634</v>
      </c>
      <c r="H116" t="s">
        <v>95</v>
      </c>
    </row>
    <row r="117" spans="1:8" x14ac:dyDescent="0.3">
      <c r="A117" t="s">
        <v>44</v>
      </c>
      <c r="B117" t="s">
        <v>42</v>
      </c>
      <c r="C117" t="s">
        <v>8</v>
      </c>
      <c r="D117" t="s">
        <v>21</v>
      </c>
      <c r="E117">
        <v>1091</v>
      </c>
      <c r="F117">
        <v>1477</v>
      </c>
      <c r="G117">
        <v>2568</v>
      </c>
      <c r="H117" t="s">
        <v>95</v>
      </c>
    </row>
    <row r="118" spans="1:8" x14ac:dyDescent="0.3">
      <c r="A118" t="s">
        <v>44</v>
      </c>
      <c r="B118" t="s">
        <v>42</v>
      </c>
      <c r="C118" t="s">
        <v>8</v>
      </c>
      <c r="D118" t="s">
        <v>22</v>
      </c>
      <c r="E118">
        <v>816</v>
      </c>
      <c r="F118">
        <v>1316</v>
      </c>
      <c r="G118">
        <v>2132</v>
      </c>
      <c r="H118" t="s">
        <v>95</v>
      </c>
    </row>
    <row r="119" spans="1:8" x14ac:dyDescent="0.3">
      <c r="A119" t="s">
        <v>44</v>
      </c>
      <c r="B119" t="s">
        <v>42</v>
      </c>
      <c r="C119" t="s">
        <v>8</v>
      </c>
      <c r="D119" t="s">
        <v>23</v>
      </c>
      <c r="E119">
        <v>472</v>
      </c>
      <c r="F119">
        <v>630</v>
      </c>
      <c r="G119">
        <v>1102</v>
      </c>
      <c r="H119" t="s">
        <v>95</v>
      </c>
    </row>
    <row r="120" spans="1:8" x14ac:dyDescent="0.3">
      <c r="A120" t="s">
        <v>44</v>
      </c>
      <c r="B120" t="s">
        <v>42</v>
      </c>
      <c r="C120" t="s">
        <v>8</v>
      </c>
      <c r="D120" t="s">
        <v>24</v>
      </c>
      <c r="E120">
        <v>218</v>
      </c>
      <c r="F120">
        <v>180</v>
      </c>
      <c r="G120">
        <v>398</v>
      </c>
      <c r="H120" t="s">
        <v>95</v>
      </c>
    </row>
    <row r="121" spans="1:8" x14ac:dyDescent="0.3">
      <c r="A121" t="s">
        <v>44</v>
      </c>
      <c r="B121" t="s">
        <v>42</v>
      </c>
      <c r="C121" t="s">
        <v>8</v>
      </c>
      <c r="D121" t="s">
        <v>25</v>
      </c>
      <c r="E121">
        <v>260</v>
      </c>
      <c r="F121">
        <v>100</v>
      </c>
      <c r="G121">
        <v>360</v>
      </c>
      <c r="H121" t="s">
        <v>95</v>
      </c>
    </row>
    <row r="122" spans="1:8" x14ac:dyDescent="0.3">
      <c r="A122" t="s">
        <v>44</v>
      </c>
      <c r="B122" t="s">
        <v>42</v>
      </c>
      <c r="C122" t="s">
        <v>26</v>
      </c>
      <c r="D122" t="s">
        <v>9</v>
      </c>
      <c r="E122">
        <v>13750</v>
      </c>
      <c r="F122">
        <v>14570</v>
      </c>
      <c r="G122">
        <v>28320</v>
      </c>
      <c r="H122" t="s">
        <v>95</v>
      </c>
    </row>
    <row r="123" spans="1:8" x14ac:dyDescent="0.3">
      <c r="A123" t="s">
        <v>44</v>
      </c>
      <c r="B123" t="s">
        <v>42</v>
      </c>
      <c r="C123" t="s">
        <v>26</v>
      </c>
      <c r="D123" t="s">
        <v>10</v>
      </c>
      <c r="E123">
        <v>22171</v>
      </c>
      <c r="F123">
        <v>23374</v>
      </c>
      <c r="G123">
        <v>45545</v>
      </c>
      <c r="H123" t="s">
        <v>95</v>
      </c>
    </row>
    <row r="124" spans="1:8" x14ac:dyDescent="0.3">
      <c r="A124" t="s">
        <v>44</v>
      </c>
      <c r="B124" t="s">
        <v>42</v>
      </c>
      <c r="C124" t="s">
        <v>26</v>
      </c>
      <c r="D124" t="s">
        <v>11</v>
      </c>
      <c r="E124">
        <v>27155</v>
      </c>
      <c r="F124">
        <v>28640</v>
      </c>
      <c r="G124">
        <v>55795</v>
      </c>
      <c r="H124" t="s">
        <v>95</v>
      </c>
    </row>
    <row r="125" spans="1:8" x14ac:dyDescent="0.3">
      <c r="A125" t="s">
        <v>44</v>
      </c>
      <c r="B125" t="s">
        <v>42</v>
      </c>
      <c r="C125" t="s">
        <v>26</v>
      </c>
      <c r="D125" t="s">
        <v>12</v>
      </c>
      <c r="E125">
        <v>30217</v>
      </c>
      <c r="F125">
        <v>30197</v>
      </c>
      <c r="G125">
        <v>60414</v>
      </c>
      <c r="H125" t="s">
        <v>95</v>
      </c>
    </row>
    <row r="126" spans="1:8" x14ac:dyDescent="0.3">
      <c r="A126" t="s">
        <v>44</v>
      </c>
      <c r="B126" t="s">
        <v>42</v>
      </c>
      <c r="C126" t="s">
        <v>26</v>
      </c>
      <c r="D126" t="s">
        <v>13</v>
      </c>
      <c r="E126">
        <v>25726</v>
      </c>
      <c r="F126">
        <v>22242</v>
      </c>
      <c r="G126">
        <v>47968</v>
      </c>
      <c r="H126" t="s">
        <v>95</v>
      </c>
    </row>
    <row r="127" spans="1:8" x14ac:dyDescent="0.3">
      <c r="A127" t="s">
        <v>44</v>
      </c>
      <c r="B127" t="s">
        <v>42</v>
      </c>
      <c r="C127" t="s">
        <v>26</v>
      </c>
      <c r="D127" t="s">
        <v>14</v>
      </c>
      <c r="E127">
        <v>28132</v>
      </c>
      <c r="F127">
        <v>22792</v>
      </c>
      <c r="G127">
        <v>50924</v>
      </c>
      <c r="H127" t="s">
        <v>95</v>
      </c>
    </row>
    <row r="128" spans="1:8" x14ac:dyDescent="0.3">
      <c r="A128" t="s">
        <v>44</v>
      </c>
      <c r="B128" t="s">
        <v>42</v>
      </c>
      <c r="C128" t="s">
        <v>26</v>
      </c>
      <c r="D128" t="s">
        <v>15</v>
      </c>
      <c r="E128">
        <v>30664</v>
      </c>
      <c r="F128">
        <v>24940</v>
      </c>
      <c r="G128">
        <v>55604</v>
      </c>
      <c r="H128" t="s">
        <v>95</v>
      </c>
    </row>
    <row r="129" spans="1:8" x14ac:dyDescent="0.3">
      <c r="A129" t="s">
        <v>44</v>
      </c>
      <c r="B129" t="s">
        <v>42</v>
      </c>
      <c r="C129" t="s">
        <v>26</v>
      </c>
      <c r="D129" t="s">
        <v>16</v>
      </c>
      <c r="E129">
        <v>26938</v>
      </c>
      <c r="F129">
        <v>21457</v>
      </c>
      <c r="G129">
        <v>48395</v>
      </c>
      <c r="H129" t="s">
        <v>95</v>
      </c>
    </row>
    <row r="130" spans="1:8" x14ac:dyDescent="0.3">
      <c r="A130" t="s">
        <v>44</v>
      </c>
      <c r="B130" t="s">
        <v>42</v>
      </c>
      <c r="C130" t="s">
        <v>26</v>
      </c>
      <c r="D130" t="s">
        <v>17</v>
      </c>
      <c r="E130">
        <v>29232</v>
      </c>
      <c r="F130">
        <v>22788</v>
      </c>
      <c r="G130">
        <v>52020</v>
      </c>
      <c r="H130" t="s">
        <v>95</v>
      </c>
    </row>
    <row r="131" spans="1:8" x14ac:dyDescent="0.3">
      <c r="A131" t="s">
        <v>44</v>
      </c>
      <c r="B131" t="s">
        <v>42</v>
      </c>
      <c r="C131" t="s">
        <v>26</v>
      </c>
      <c r="D131" t="s">
        <v>18</v>
      </c>
      <c r="E131">
        <v>28434</v>
      </c>
      <c r="F131">
        <v>21180</v>
      </c>
      <c r="G131">
        <v>49614</v>
      </c>
      <c r="H131" t="s">
        <v>95</v>
      </c>
    </row>
    <row r="132" spans="1:8" x14ac:dyDescent="0.3">
      <c r="A132" t="s">
        <v>44</v>
      </c>
      <c r="B132" t="s">
        <v>42</v>
      </c>
      <c r="C132" t="s">
        <v>26</v>
      </c>
      <c r="D132" t="s">
        <v>19</v>
      </c>
      <c r="E132">
        <v>26855</v>
      </c>
      <c r="F132">
        <v>20428</v>
      </c>
      <c r="G132">
        <v>47283</v>
      </c>
      <c r="H132" t="s">
        <v>95</v>
      </c>
    </row>
    <row r="133" spans="1:8" x14ac:dyDescent="0.3">
      <c r="A133" t="s">
        <v>44</v>
      </c>
      <c r="B133" t="s">
        <v>42</v>
      </c>
      <c r="C133" t="s">
        <v>26</v>
      </c>
      <c r="D133" t="s">
        <v>20</v>
      </c>
      <c r="E133">
        <v>26434</v>
      </c>
      <c r="F133">
        <v>20954</v>
      </c>
      <c r="G133">
        <v>47388</v>
      </c>
      <c r="H133" t="s">
        <v>95</v>
      </c>
    </row>
    <row r="134" spans="1:8" x14ac:dyDescent="0.3">
      <c r="A134" t="s">
        <v>44</v>
      </c>
      <c r="B134" t="s">
        <v>42</v>
      </c>
      <c r="C134" t="s">
        <v>26</v>
      </c>
      <c r="D134" t="s">
        <v>21</v>
      </c>
      <c r="E134">
        <v>26557</v>
      </c>
      <c r="F134">
        <v>21437</v>
      </c>
      <c r="G134">
        <v>47994</v>
      </c>
      <c r="H134" t="s">
        <v>95</v>
      </c>
    </row>
    <row r="135" spans="1:8" x14ac:dyDescent="0.3">
      <c r="A135" t="s">
        <v>44</v>
      </c>
      <c r="B135" t="s">
        <v>42</v>
      </c>
      <c r="C135" t="s">
        <v>26</v>
      </c>
      <c r="D135" t="s">
        <v>22</v>
      </c>
      <c r="E135">
        <v>21265</v>
      </c>
      <c r="F135">
        <v>17313</v>
      </c>
      <c r="G135">
        <v>38578</v>
      </c>
      <c r="H135" t="s">
        <v>95</v>
      </c>
    </row>
    <row r="136" spans="1:8" x14ac:dyDescent="0.3">
      <c r="A136" t="s">
        <v>44</v>
      </c>
      <c r="B136" t="s">
        <v>42</v>
      </c>
      <c r="C136" t="s">
        <v>26</v>
      </c>
      <c r="D136" t="s">
        <v>23</v>
      </c>
      <c r="E136">
        <v>16240</v>
      </c>
      <c r="F136">
        <v>12998</v>
      </c>
      <c r="G136">
        <v>29238</v>
      </c>
      <c r="H136" t="s">
        <v>95</v>
      </c>
    </row>
    <row r="137" spans="1:8" x14ac:dyDescent="0.3">
      <c r="A137" t="s">
        <v>44</v>
      </c>
      <c r="B137" t="s">
        <v>42</v>
      </c>
      <c r="C137" t="s">
        <v>26</v>
      </c>
      <c r="D137" t="s">
        <v>24</v>
      </c>
      <c r="E137">
        <v>11000</v>
      </c>
      <c r="F137">
        <v>8093</v>
      </c>
      <c r="G137">
        <v>19093</v>
      </c>
      <c r="H137" t="s">
        <v>95</v>
      </c>
    </row>
    <row r="138" spans="1:8" x14ac:dyDescent="0.3">
      <c r="A138" t="s">
        <v>44</v>
      </c>
      <c r="B138" t="s">
        <v>42</v>
      </c>
      <c r="C138" t="s">
        <v>26</v>
      </c>
      <c r="D138" t="s">
        <v>25</v>
      </c>
      <c r="E138">
        <v>15993</v>
      </c>
      <c r="F138">
        <v>9727</v>
      </c>
      <c r="G138">
        <v>25720</v>
      </c>
      <c r="H138" t="s">
        <v>95</v>
      </c>
    </row>
    <row r="139" spans="1:8" x14ac:dyDescent="0.3">
      <c r="A139" t="s">
        <v>44</v>
      </c>
      <c r="B139" t="s">
        <v>34</v>
      </c>
      <c r="C139" t="s">
        <v>8</v>
      </c>
      <c r="D139" t="s">
        <v>13</v>
      </c>
      <c r="E139">
        <v>1</v>
      </c>
      <c r="F139">
        <v>2</v>
      </c>
      <c r="G139">
        <v>3</v>
      </c>
      <c r="H139" t="s">
        <v>95</v>
      </c>
    </row>
    <row r="140" spans="1:8" x14ac:dyDescent="0.3">
      <c r="A140" t="s">
        <v>44</v>
      </c>
      <c r="B140" t="s">
        <v>34</v>
      </c>
      <c r="C140" t="s">
        <v>8</v>
      </c>
      <c r="D140" t="s">
        <v>18</v>
      </c>
      <c r="F140">
        <v>1</v>
      </c>
      <c r="G140">
        <v>1</v>
      </c>
      <c r="H140" t="s">
        <v>95</v>
      </c>
    </row>
    <row r="141" spans="1:8" x14ac:dyDescent="0.3">
      <c r="A141" t="s">
        <v>44</v>
      </c>
      <c r="B141" t="s">
        <v>34</v>
      </c>
      <c r="C141" t="s">
        <v>8</v>
      </c>
      <c r="D141" t="s">
        <v>19</v>
      </c>
      <c r="F141">
        <v>1</v>
      </c>
      <c r="G141">
        <v>1</v>
      </c>
      <c r="H141" t="s">
        <v>95</v>
      </c>
    </row>
    <row r="142" spans="1:8" x14ac:dyDescent="0.3">
      <c r="A142" t="s">
        <v>44</v>
      </c>
      <c r="B142" t="s">
        <v>34</v>
      </c>
      <c r="C142" t="s">
        <v>26</v>
      </c>
      <c r="D142" t="s">
        <v>13</v>
      </c>
      <c r="E142">
        <v>1</v>
      </c>
      <c r="G142">
        <v>1</v>
      </c>
      <c r="H142" t="s">
        <v>95</v>
      </c>
    </row>
    <row r="143" spans="1:8" x14ac:dyDescent="0.3">
      <c r="A143" t="s">
        <v>44</v>
      </c>
      <c r="B143" t="s">
        <v>7</v>
      </c>
      <c r="C143" t="s">
        <v>8</v>
      </c>
      <c r="D143" t="s">
        <v>9</v>
      </c>
      <c r="E143">
        <v>7606</v>
      </c>
      <c r="F143">
        <v>7868</v>
      </c>
      <c r="G143">
        <v>15474</v>
      </c>
      <c r="H143" t="s">
        <v>95</v>
      </c>
    </row>
    <row r="144" spans="1:8" x14ac:dyDescent="0.3">
      <c r="A144" t="s">
        <v>44</v>
      </c>
      <c r="B144" t="s">
        <v>7</v>
      </c>
      <c r="C144" t="s">
        <v>8</v>
      </c>
      <c r="D144" t="s">
        <v>10</v>
      </c>
      <c r="E144">
        <v>9849</v>
      </c>
      <c r="F144">
        <v>10270</v>
      </c>
      <c r="G144">
        <v>20119</v>
      </c>
      <c r="H144" t="s">
        <v>95</v>
      </c>
    </row>
    <row r="145" spans="1:8" x14ac:dyDescent="0.3">
      <c r="A145" t="s">
        <v>44</v>
      </c>
      <c r="B145" t="s">
        <v>7</v>
      </c>
      <c r="C145" t="s">
        <v>8</v>
      </c>
      <c r="D145" t="s">
        <v>11</v>
      </c>
      <c r="E145">
        <v>11338</v>
      </c>
      <c r="F145">
        <v>12054</v>
      </c>
      <c r="G145">
        <v>23392</v>
      </c>
      <c r="H145" t="s">
        <v>95</v>
      </c>
    </row>
    <row r="146" spans="1:8" x14ac:dyDescent="0.3">
      <c r="A146" t="s">
        <v>44</v>
      </c>
      <c r="B146" t="s">
        <v>7</v>
      </c>
      <c r="C146" t="s">
        <v>8</v>
      </c>
      <c r="D146" t="s">
        <v>12</v>
      </c>
      <c r="E146">
        <v>11650</v>
      </c>
      <c r="F146">
        <v>12107</v>
      </c>
      <c r="G146">
        <v>23757</v>
      </c>
      <c r="H146" t="s">
        <v>95</v>
      </c>
    </row>
    <row r="147" spans="1:8" x14ac:dyDescent="0.3">
      <c r="A147" t="s">
        <v>44</v>
      </c>
      <c r="B147" t="s">
        <v>7</v>
      </c>
      <c r="C147" t="s">
        <v>8</v>
      </c>
      <c r="D147" t="s">
        <v>13</v>
      </c>
      <c r="E147">
        <v>13643</v>
      </c>
      <c r="F147">
        <v>12276</v>
      </c>
      <c r="G147">
        <v>25919</v>
      </c>
      <c r="H147" t="s">
        <v>95</v>
      </c>
    </row>
    <row r="148" spans="1:8" x14ac:dyDescent="0.3">
      <c r="A148" t="s">
        <v>44</v>
      </c>
      <c r="B148" t="s">
        <v>7</v>
      </c>
      <c r="C148" t="s">
        <v>8</v>
      </c>
      <c r="D148" t="s">
        <v>14</v>
      </c>
      <c r="E148">
        <v>17975</v>
      </c>
      <c r="F148">
        <v>14166</v>
      </c>
      <c r="G148">
        <v>32141</v>
      </c>
      <c r="H148" t="s">
        <v>95</v>
      </c>
    </row>
    <row r="149" spans="1:8" x14ac:dyDescent="0.3">
      <c r="A149" t="s">
        <v>44</v>
      </c>
      <c r="B149" t="s">
        <v>7</v>
      </c>
      <c r="C149" t="s">
        <v>8</v>
      </c>
      <c r="D149" t="s">
        <v>15</v>
      </c>
      <c r="E149">
        <v>21907</v>
      </c>
      <c r="F149">
        <v>17027</v>
      </c>
      <c r="G149">
        <v>38934</v>
      </c>
      <c r="H149" t="s">
        <v>95</v>
      </c>
    </row>
    <row r="150" spans="1:8" x14ac:dyDescent="0.3">
      <c r="A150" t="s">
        <v>44</v>
      </c>
      <c r="B150" t="s">
        <v>7</v>
      </c>
      <c r="C150" t="s">
        <v>8</v>
      </c>
      <c r="D150" t="s">
        <v>16</v>
      </c>
      <c r="E150">
        <v>20106</v>
      </c>
      <c r="F150">
        <v>16368</v>
      </c>
      <c r="G150">
        <v>36474</v>
      </c>
      <c r="H150" t="s">
        <v>95</v>
      </c>
    </row>
    <row r="151" spans="1:8" x14ac:dyDescent="0.3">
      <c r="A151" t="s">
        <v>44</v>
      </c>
      <c r="B151" t="s">
        <v>7</v>
      </c>
      <c r="C151" t="s">
        <v>8</v>
      </c>
      <c r="D151" t="s">
        <v>17</v>
      </c>
      <c r="E151">
        <v>18874</v>
      </c>
      <c r="F151">
        <v>15577</v>
      </c>
      <c r="G151">
        <v>34451</v>
      </c>
      <c r="H151" t="s">
        <v>95</v>
      </c>
    </row>
    <row r="152" spans="1:8" x14ac:dyDescent="0.3">
      <c r="A152" t="s">
        <v>44</v>
      </c>
      <c r="B152" t="s">
        <v>7</v>
      </c>
      <c r="C152" t="s">
        <v>8</v>
      </c>
      <c r="D152" t="s">
        <v>18</v>
      </c>
      <c r="E152">
        <v>16950</v>
      </c>
      <c r="F152">
        <v>13997</v>
      </c>
      <c r="G152">
        <v>30947</v>
      </c>
      <c r="H152" t="s">
        <v>95</v>
      </c>
    </row>
    <row r="153" spans="1:8" x14ac:dyDescent="0.3">
      <c r="A153" t="s">
        <v>44</v>
      </c>
      <c r="B153" t="s">
        <v>7</v>
      </c>
      <c r="C153" t="s">
        <v>8</v>
      </c>
      <c r="D153" t="s">
        <v>19</v>
      </c>
      <c r="E153">
        <v>14247</v>
      </c>
      <c r="F153">
        <v>11872</v>
      </c>
      <c r="G153">
        <v>26119</v>
      </c>
      <c r="H153" t="s">
        <v>95</v>
      </c>
    </row>
    <row r="154" spans="1:8" x14ac:dyDescent="0.3">
      <c r="A154" t="s">
        <v>44</v>
      </c>
      <c r="B154" t="s">
        <v>7</v>
      </c>
      <c r="C154" t="s">
        <v>8</v>
      </c>
      <c r="D154" t="s">
        <v>20</v>
      </c>
      <c r="E154">
        <v>14294</v>
      </c>
      <c r="F154">
        <v>11356</v>
      </c>
      <c r="G154">
        <v>25650</v>
      </c>
      <c r="H154" t="s">
        <v>95</v>
      </c>
    </row>
    <row r="155" spans="1:8" x14ac:dyDescent="0.3">
      <c r="A155" t="s">
        <v>44</v>
      </c>
      <c r="B155" t="s">
        <v>7</v>
      </c>
      <c r="C155" t="s">
        <v>8</v>
      </c>
      <c r="D155" t="s">
        <v>21</v>
      </c>
      <c r="E155">
        <v>13836</v>
      </c>
      <c r="F155">
        <v>10579</v>
      </c>
      <c r="G155">
        <v>24415</v>
      </c>
      <c r="H155" t="s">
        <v>95</v>
      </c>
    </row>
    <row r="156" spans="1:8" x14ac:dyDescent="0.3">
      <c r="A156" t="s">
        <v>44</v>
      </c>
      <c r="B156" t="s">
        <v>7</v>
      </c>
      <c r="C156" t="s">
        <v>8</v>
      </c>
      <c r="D156" t="s">
        <v>22</v>
      </c>
      <c r="E156">
        <v>11216</v>
      </c>
      <c r="F156">
        <v>8400</v>
      </c>
      <c r="G156">
        <v>19616</v>
      </c>
      <c r="H156" t="s">
        <v>95</v>
      </c>
    </row>
    <row r="157" spans="1:8" x14ac:dyDescent="0.3">
      <c r="A157" t="s">
        <v>44</v>
      </c>
      <c r="B157" t="s">
        <v>7</v>
      </c>
      <c r="C157" t="s">
        <v>8</v>
      </c>
      <c r="D157" t="s">
        <v>23</v>
      </c>
      <c r="E157">
        <v>8431</v>
      </c>
      <c r="F157">
        <v>5819</v>
      </c>
      <c r="G157">
        <v>14250</v>
      </c>
      <c r="H157" t="s">
        <v>95</v>
      </c>
    </row>
    <row r="158" spans="1:8" x14ac:dyDescent="0.3">
      <c r="A158" t="s">
        <v>44</v>
      </c>
      <c r="B158" t="s">
        <v>7</v>
      </c>
      <c r="C158" t="s">
        <v>8</v>
      </c>
      <c r="D158" t="s">
        <v>24</v>
      </c>
      <c r="E158">
        <v>5925</v>
      </c>
      <c r="F158">
        <v>3884</v>
      </c>
      <c r="G158">
        <v>9809</v>
      </c>
      <c r="H158" t="s">
        <v>95</v>
      </c>
    </row>
    <row r="159" spans="1:8" x14ac:dyDescent="0.3">
      <c r="A159" t="s">
        <v>44</v>
      </c>
      <c r="B159" t="s">
        <v>7</v>
      </c>
      <c r="C159" t="s">
        <v>8</v>
      </c>
      <c r="D159" t="s">
        <v>25</v>
      </c>
      <c r="E159">
        <v>8242</v>
      </c>
      <c r="F159">
        <v>4492</v>
      </c>
      <c r="G159">
        <v>12734</v>
      </c>
      <c r="H159" t="s">
        <v>95</v>
      </c>
    </row>
    <row r="160" spans="1:8" x14ac:dyDescent="0.3">
      <c r="A160" t="s">
        <v>44</v>
      </c>
      <c r="B160" t="s">
        <v>7</v>
      </c>
      <c r="C160" t="s">
        <v>26</v>
      </c>
      <c r="D160" t="s">
        <v>9</v>
      </c>
      <c r="E160">
        <v>1252</v>
      </c>
      <c r="F160">
        <v>1270</v>
      </c>
      <c r="G160">
        <v>2522</v>
      </c>
      <c r="H160" t="s">
        <v>95</v>
      </c>
    </row>
    <row r="161" spans="1:8" x14ac:dyDescent="0.3">
      <c r="A161" t="s">
        <v>44</v>
      </c>
      <c r="B161" t="s">
        <v>7</v>
      </c>
      <c r="C161" t="s">
        <v>26</v>
      </c>
      <c r="D161" t="s">
        <v>10</v>
      </c>
      <c r="E161">
        <v>2243</v>
      </c>
      <c r="F161">
        <v>2254</v>
      </c>
      <c r="G161">
        <v>4497</v>
      </c>
      <c r="H161" t="s">
        <v>95</v>
      </c>
    </row>
    <row r="162" spans="1:8" x14ac:dyDescent="0.3">
      <c r="A162" t="s">
        <v>44</v>
      </c>
      <c r="B162" t="s">
        <v>7</v>
      </c>
      <c r="C162" t="s">
        <v>26</v>
      </c>
      <c r="D162" t="s">
        <v>11</v>
      </c>
      <c r="E162">
        <v>2862</v>
      </c>
      <c r="F162">
        <v>3092</v>
      </c>
      <c r="G162">
        <v>5954</v>
      </c>
      <c r="H162" t="s">
        <v>95</v>
      </c>
    </row>
    <row r="163" spans="1:8" x14ac:dyDescent="0.3">
      <c r="A163" t="s">
        <v>44</v>
      </c>
      <c r="B163" t="s">
        <v>7</v>
      </c>
      <c r="C163" t="s">
        <v>26</v>
      </c>
      <c r="D163" t="s">
        <v>12</v>
      </c>
      <c r="E163">
        <v>2737</v>
      </c>
      <c r="F163">
        <v>2663</v>
      </c>
      <c r="G163">
        <v>5400</v>
      </c>
      <c r="H163" t="s">
        <v>95</v>
      </c>
    </row>
    <row r="164" spans="1:8" x14ac:dyDescent="0.3">
      <c r="A164" t="s">
        <v>44</v>
      </c>
      <c r="B164" t="s">
        <v>7</v>
      </c>
      <c r="C164" t="s">
        <v>26</v>
      </c>
      <c r="D164" t="s">
        <v>13</v>
      </c>
      <c r="E164">
        <v>3052</v>
      </c>
      <c r="F164">
        <v>2762</v>
      </c>
      <c r="G164">
        <v>5814</v>
      </c>
      <c r="H164" t="s">
        <v>95</v>
      </c>
    </row>
    <row r="165" spans="1:8" x14ac:dyDescent="0.3">
      <c r="A165" t="s">
        <v>44</v>
      </c>
      <c r="B165" t="s">
        <v>7</v>
      </c>
      <c r="C165" t="s">
        <v>26</v>
      </c>
      <c r="D165" t="s">
        <v>14</v>
      </c>
      <c r="E165">
        <v>4047</v>
      </c>
      <c r="F165">
        <v>3586</v>
      </c>
      <c r="G165">
        <v>7633</v>
      </c>
      <c r="H165" t="s">
        <v>95</v>
      </c>
    </row>
    <row r="166" spans="1:8" x14ac:dyDescent="0.3">
      <c r="A166" t="s">
        <v>44</v>
      </c>
      <c r="B166" t="s">
        <v>7</v>
      </c>
      <c r="C166" t="s">
        <v>26</v>
      </c>
      <c r="D166" t="s">
        <v>15</v>
      </c>
      <c r="E166">
        <v>3765</v>
      </c>
      <c r="F166">
        <v>3215</v>
      </c>
      <c r="G166">
        <v>6980</v>
      </c>
      <c r="H166" t="s">
        <v>95</v>
      </c>
    </row>
    <row r="167" spans="1:8" x14ac:dyDescent="0.3">
      <c r="A167" t="s">
        <v>44</v>
      </c>
      <c r="B167" t="s">
        <v>7</v>
      </c>
      <c r="C167" t="s">
        <v>26</v>
      </c>
      <c r="D167" t="s">
        <v>16</v>
      </c>
      <c r="E167">
        <v>3146</v>
      </c>
      <c r="F167">
        <v>2478</v>
      </c>
      <c r="G167">
        <v>5624</v>
      </c>
      <c r="H167" t="s">
        <v>95</v>
      </c>
    </row>
    <row r="168" spans="1:8" x14ac:dyDescent="0.3">
      <c r="A168" t="s">
        <v>44</v>
      </c>
      <c r="B168" t="s">
        <v>7</v>
      </c>
      <c r="C168" t="s">
        <v>26</v>
      </c>
      <c r="D168" t="s">
        <v>17</v>
      </c>
      <c r="E168">
        <v>2703</v>
      </c>
      <c r="F168">
        <v>1947</v>
      </c>
      <c r="G168">
        <v>4650</v>
      </c>
      <c r="H168" t="s">
        <v>95</v>
      </c>
    </row>
    <row r="169" spans="1:8" x14ac:dyDescent="0.3">
      <c r="A169" t="s">
        <v>44</v>
      </c>
      <c r="B169" t="s">
        <v>7</v>
      </c>
      <c r="C169" t="s">
        <v>26</v>
      </c>
      <c r="D169" t="s">
        <v>18</v>
      </c>
      <c r="E169">
        <v>2225</v>
      </c>
      <c r="F169">
        <v>1631</v>
      </c>
      <c r="G169">
        <v>3856</v>
      </c>
      <c r="H169" t="s">
        <v>95</v>
      </c>
    </row>
    <row r="170" spans="1:8" x14ac:dyDescent="0.3">
      <c r="A170" t="s">
        <v>44</v>
      </c>
      <c r="B170" t="s">
        <v>7</v>
      </c>
      <c r="C170" t="s">
        <v>26</v>
      </c>
      <c r="D170" t="s">
        <v>19</v>
      </c>
      <c r="E170">
        <v>1854</v>
      </c>
      <c r="F170">
        <v>1438</v>
      </c>
      <c r="G170">
        <v>3292</v>
      </c>
      <c r="H170" t="s">
        <v>95</v>
      </c>
    </row>
    <row r="171" spans="1:8" x14ac:dyDescent="0.3">
      <c r="A171" t="s">
        <v>44</v>
      </c>
      <c r="B171" t="s">
        <v>7</v>
      </c>
      <c r="C171" t="s">
        <v>26</v>
      </c>
      <c r="D171" t="s">
        <v>20</v>
      </c>
      <c r="E171">
        <v>1625</v>
      </c>
      <c r="F171">
        <v>1285</v>
      </c>
      <c r="G171">
        <v>2910</v>
      </c>
      <c r="H171" t="s">
        <v>95</v>
      </c>
    </row>
    <row r="172" spans="1:8" x14ac:dyDescent="0.3">
      <c r="A172" t="s">
        <v>44</v>
      </c>
      <c r="B172" t="s">
        <v>7</v>
      </c>
      <c r="C172" t="s">
        <v>26</v>
      </c>
      <c r="D172" t="s">
        <v>21</v>
      </c>
      <c r="E172">
        <v>1284</v>
      </c>
      <c r="F172">
        <v>1073</v>
      </c>
      <c r="G172">
        <v>2357</v>
      </c>
      <c r="H172" t="s">
        <v>95</v>
      </c>
    </row>
    <row r="173" spans="1:8" x14ac:dyDescent="0.3">
      <c r="A173" t="s">
        <v>44</v>
      </c>
      <c r="B173" t="s">
        <v>7</v>
      </c>
      <c r="C173" t="s">
        <v>26</v>
      </c>
      <c r="D173" t="s">
        <v>22</v>
      </c>
      <c r="E173">
        <v>894</v>
      </c>
      <c r="F173">
        <v>770</v>
      </c>
      <c r="G173">
        <v>1664</v>
      </c>
      <c r="H173" t="s">
        <v>95</v>
      </c>
    </row>
    <row r="174" spans="1:8" x14ac:dyDescent="0.3">
      <c r="A174" t="s">
        <v>44</v>
      </c>
      <c r="B174" t="s">
        <v>7</v>
      </c>
      <c r="C174" t="s">
        <v>26</v>
      </c>
      <c r="D174" t="s">
        <v>23</v>
      </c>
      <c r="E174">
        <v>658</v>
      </c>
      <c r="F174">
        <v>527</v>
      </c>
      <c r="G174">
        <v>1185</v>
      </c>
      <c r="H174" t="s">
        <v>95</v>
      </c>
    </row>
    <row r="175" spans="1:8" x14ac:dyDescent="0.3">
      <c r="A175" t="s">
        <v>44</v>
      </c>
      <c r="B175" t="s">
        <v>7</v>
      </c>
      <c r="C175" t="s">
        <v>26</v>
      </c>
      <c r="D175" t="s">
        <v>24</v>
      </c>
      <c r="E175">
        <v>453</v>
      </c>
      <c r="F175">
        <v>302</v>
      </c>
      <c r="G175">
        <v>755</v>
      </c>
      <c r="H175" t="s">
        <v>95</v>
      </c>
    </row>
    <row r="176" spans="1:8" x14ac:dyDescent="0.3">
      <c r="A176" t="s">
        <v>44</v>
      </c>
      <c r="B176" t="s">
        <v>7</v>
      </c>
      <c r="C176" t="s">
        <v>26</v>
      </c>
      <c r="D176" t="s">
        <v>25</v>
      </c>
      <c r="E176">
        <v>611</v>
      </c>
      <c r="F176">
        <v>330</v>
      </c>
      <c r="G176">
        <v>941</v>
      </c>
      <c r="H176" t="s">
        <v>95</v>
      </c>
    </row>
    <row r="177" spans="1:8" x14ac:dyDescent="0.3">
      <c r="A177" t="s">
        <v>44</v>
      </c>
      <c r="B177" t="s">
        <v>35</v>
      </c>
      <c r="C177" t="s">
        <v>8</v>
      </c>
      <c r="D177" t="s">
        <v>9</v>
      </c>
      <c r="E177">
        <v>6728</v>
      </c>
      <c r="F177">
        <v>7106</v>
      </c>
      <c r="G177">
        <v>13834</v>
      </c>
      <c r="H177" t="s">
        <v>95</v>
      </c>
    </row>
    <row r="178" spans="1:8" x14ac:dyDescent="0.3">
      <c r="A178" t="s">
        <v>44</v>
      </c>
      <c r="B178" t="s">
        <v>35</v>
      </c>
      <c r="C178" t="s">
        <v>8</v>
      </c>
      <c r="D178" t="s">
        <v>10</v>
      </c>
      <c r="E178">
        <v>10609</v>
      </c>
      <c r="F178">
        <v>11108</v>
      </c>
      <c r="G178">
        <v>21717</v>
      </c>
      <c r="H178" t="s">
        <v>95</v>
      </c>
    </row>
    <row r="179" spans="1:8" x14ac:dyDescent="0.3">
      <c r="A179" t="s">
        <v>44</v>
      </c>
      <c r="B179" t="s">
        <v>35</v>
      </c>
      <c r="C179" t="s">
        <v>8</v>
      </c>
      <c r="D179" t="s">
        <v>11</v>
      </c>
      <c r="E179">
        <v>13212</v>
      </c>
      <c r="F179">
        <v>13628</v>
      </c>
      <c r="G179">
        <v>26840</v>
      </c>
      <c r="H179" t="s">
        <v>95</v>
      </c>
    </row>
    <row r="180" spans="1:8" x14ac:dyDescent="0.3">
      <c r="A180" t="s">
        <v>44</v>
      </c>
      <c r="B180" t="s">
        <v>35</v>
      </c>
      <c r="C180" t="s">
        <v>8</v>
      </c>
      <c r="D180" t="s">
        <v>12</v>
      </c>
      <c r="E180">
        <v>15290</v>
      </c>
      <c r="F180">
        <v>15785</v>
      </c>
      <c r="G180">
        <v>31075</v>
      </c>
      <c r="H180" t="s">
        <v>95</v>
      </c>
    </row>
    <row r="181" spans="1:8" x14ac:dyDescent="0.3">
      <c r="A181" t="s">
        <v>44</v>
      </c>
      <c r="B181" t="s">
        <v>35</v>
      </c>
      <c r="C181" t="s">
        <v>8</v>
      </c>
      <c r="D181" t="s">
        <v>13</v>
      </c>
      <c r="E181">
        <v>16774</v>
      </c>
      <c r="F181">
        <v>17005</v>
      </c>
      <c r="G181">
        <v>33779</v>
      </c>
      <c r="H181" t="s">
        <v>95</v>
      </c>
    </row>
    <row r="182" spans="1:8" x14ac:dyDescent="0.3">
      <c r="A182" t="s">
        <v>44</v>
      </c>
      <c r="B182" t="s">
        <v>35</v>
      </c>
      <c r="C182" t="s">
        <v>8</v>
      </c>
      <c r="D182" t="s">
        <v>14</v>
      </c>
      <c r="E182">
        <v>13139</v>
      </c>
      <c r="F182">
        <v>13146</v>
      </c>
      <c r="G182">
        <v>26285</v>
      </c>
      <c r="H182" t="s">
        <v>95</v>
      </c>
    </row>
    <row r="183" spans="1:8" x14ac:dyDescent="0.3">
      <c r="A183" t="s">
        <v>44</v>
      </c>
      <c r="B183" t="s">
        <v>35</v>
      </c>
      <c r="C183" t="s">
        <v>8</v>
      </c>
      <c r="D183" t="s">
        <v>15</v>
      </c>
      <c r="E183">
        <v>16445</v>
      </c>
      <c r="F183">
        <v>15459</v>
      </c>
      <c r="G183">
        <v>31904</v>
      </c>
      <c r="H183" t="s">
        <v>95</v>
      </c>
    </row>
    <row r="184" spans="1:8" x14ac:dyDescent="0.3">
      <c r="A184" t="s">
        <v>44</v>
      </c>
      <c r="B184" t="s">
        <v>35</v>
      </c>
      <c r="C184" t="s">
        <v>8</v>
      </c>
      <c r="D184" t="s">
        <v>16</v>
      </c>
      <c r="E184">
        <v>17874</v>
      </c>
      <c r="F184">
        <v>17241</v>
      </c>
      <c r="G184">
        <v>35115</v>
      </c>
      <c r="H184" t="s">
        <v>95</v>
      </c>
    </row>
    <row r="185" spans="1:8" x14ac:dyDescent="0.3">
      <c r="A185" t="s">
        <v>44</v>
      </c>
      <c r="B185" t="s">
        <v>35</v>
      </c>
      <c r="C185" t="s">
        <v>8</v>
      </c>
      <c r="D185" t="s">
        <v>17</v>
      </c>
      <c r="E185">
        <v>18894</v>
      </c>
      <c r="F185">
        <v>18541</v>
      </c>
      <c r="G185">
        <v>37435</v>
      </c>
      <c r="H185" t="s">
        <v>95</v>
      </c>
    </row>
    <row r="186" spans="1:8" x14ac:dyDescent="0.3">
      <c r="A186" t="s">
        <v>44</v>
      </c>
      <c r="B186" t="s">
        <v>35</v>
      </c>
      <c r="C186" t="s">
        <v>8</v>
      </c>
      <c r="D186" t="s">
        <v>18</v>
      </c>
      <c r="E186">
        <v>17412</v>
      </c>
      <c r="F186">
        <v>17416</v>
      </c>
      <c r="G186">
        <v>34828</v>
      </c>
      <c r="H186" t="s">
        <v>95</v>
      </c>
    </row>
    <row r="187" spans="1:8" x14ac:dyDescent="0.3">
      <c r="A187" t="s">
        <v>44</v>
      </c>
      <c r="B187" t="s">
        <v>35</v>
      </c>
      <c r="C187" t="s">
        <v>8</v>
      </c>
      <c r="D187" t="s">
        <v>19</v>
      </c>
      <c r="E187">
        <v>15591</v>
      </c>
      <c r="F187">
        <v>15060</v>
      </c>
      <c r="G187">
        <v>30651</v>
      </c>
      <c r="H187" t="s">
        <v>95</v>
      </c>
    </row>
    <row r="188" spans="1:8" x14ac:dyDescent="0.3">
      <c r="A188" t="s">
        <v>44</v>
      </c>
      <c r="B188" t="s">
        <v>35</v>
      </c>
      <c r="C188" t="s">
        <v>8</v>
      </c>
      <c r="D188" t="s">
        <v>20</v>
      </c>
      <c r="E188">
        <v>15169</v>
      </c>
      <c r="F188">
        <v>14678</v>
      </c>
      <c r="G188">
        <v>29847</v>
      </c>
      <c r="H188" t="s">
        <v>95</v>
      </c>
    </row>
    <row r="189" spans="1:8" x14ac:dyDescent="0.3">
      <c r="A189" t="s">
        <v>44</v>
      </c>
      <c r="B189" t="s">
        <v>35</v>
      </c>
      <c r="C189" t="s">
        <v>8</v>
      </c>
      <c r="D189" t="s">
        <v>21</v>
      </c>
      <c r="E189">
        <v>14419</v>
      </c>
      <c r="F189">
        <v>13116</v>
      </c>
      <c r="G189">
        <v>27535</v>
      </c>
      <c r="H189" t="s">
        <v>95</v>
      </c>
    </row>
    <row r="190" spans="1:8" x14ac:dyDescent="0.3">
      <c r="A190" t="s">
        <v>44</v>
      </c>
      <c r="B190" t="s">
        <v>35</v>
      </c>
      <c r="C190" t="s">
        <v>8</v>
      </c>
      <c r="D190" t="s">
        <v>22</v>
      </c>
      <c r="E190">
        <v>11442</v>
      </c>
      <c r="F190">
        <v>10211</v>
      </c>
      <c r="G190">
        <v>21653</v>
      </c>
      <c r="H190" t="s">
        <v>95</v>
      </c>
    </row>
    <row r="191" spans="1:8" x14ac:dyDescent="0.3">
      <c r="A191" t="s">
        <v>44</v>
      </c>
      <c r="B191" t="s">
        <v>35</v>
      </c>
      <c r="C191" t="s">
        <v>8</v>
      </c>
      <c r="D191" t="s">
        <v>23</v>
      </c>
      <c r="E191">
        <v>8244</v>
      </c>
      <c r="F191">
        <v>7367</v>
      </c>
      <c r="G191">
        <v>15611</v>
      </c>
      <c r="H191" t="s">
        <v>95</v>
      </c>
    </row>
    <row r="192" spans="1:8" x14ac:dyDescent="0.3">
      <c r="A192" t="s">
        <v>44</v>
      </c>
      <c r="B192" t="s">
        <v>35</v>
      </c>
      <c r="C192" t="s">
        <v>8</v>
      </c>
      <c r="D192" t="s">
        <v>24</v>
      </c>
      <c r="E192">
        <v>4920</v>
      </c>
      <c r="F192">
        <v>4877</v>
      </c>
      <c r="G192">
        <v>9797</v>
      </c>
      <c r="H192" t="s">
        <v>95</v>
      </c>
    </row>
    <row r="193" spans="1:8" x14ac:dyDescent="0.3">
      <c r="A193" t="s">
        <v>44</v>
      </c>
      <c r="B193" t="s">
        <v>35</v>
      </c>
      <c r="C193" t="s">
        <v>8</v>
      </c>
      <c r="D193" t="s">
        <v>25</v>
      </c>
      <c r="E193">
        <v>5713</v>
      </c>
      <c r="F193">
        <v>3902</v>
      </c>
      <c r="G193">
        <v>9615</v>
      </c>
      <c r="H193" t="s">
        <v>95</v>
      </c>
    </row>
    <row r="194" spans="1:8" x14ac:dyDescent="0.3">
      <c r="A194" t="s">
        <v>44</v>
      </c>
      <c r="B194" t="s">
        <v>35</v>
      </c>
      <c r="C194" t="s">
        <v>26</v>
      </c>
      <c r="D194" t="s">
        <v>9</v>
      </c>
      <c r="E194">
        <v>2751</v>
      </c>
      <c r="F194">
        <v>2991</v>
      </c>
      <c r="G194">
        <v>5742</v>
      </c>
      <c r="H194" t="s">
        <v>95</v>
      </c>
    </row>
    <row r="195" spans="1:8" x14ac:dyDescent="0.3">
      <c r="A195" t="s">
        <v>44</v>
      </c>
      <c r="B195" t="s">
        <v>35</v>
      </c>
      <c r="C195" t="s">
        <v>26</v>
      </c>
      <c r="D195" t="s">
        <v>10</v>
      </c>
      <c r="E195">
        <v>4652</v>
      </c>
      <c r="F195">
        <v>4946</v>
      </c>
      <c r="G195">
        <v>9598</v>
      </c>
      <c r="H195" t="s">
        <v>95</v>
      </c>
    </row>
    <row r="196" spans="1:8" x14ac:dyDescent="0.3">
      <c r="A196" t="s">
        <v>44</v>
      </c>
      <c r="B196" t="s">
        <v>35</v>
      </c>
      <c r="C196" t="s">
        <v>26</v>
      </c>
      <c r="D196" t="s">
        <v>11</v>
      </c>
      <c r="E196">
        <v>5752</v>
      </c>
      <c r="F196">
        <v>5997</v>
      </c>
      <c r="G196">
        <v>11749</v>
      </c>
      <c r="H196" t="s">
        <v>95</v>
      </c>
    </row>
    <row r="197" spans="1:8" x14ac:dyDescent="0.3">
      <c r="A197" t="s">
        <v>44</v>
      </c>
      <c r="B197" t="s">
        <v>35</v>
      </c>
      <c r="C197" t="s">
        <v>26</v>
      </c>
      <c r="D197" t="s">
        <v>12</v>
      </c>
      <c r="E197">
        <v>6427</v>
      </c>
      <c r="F197">
        <v>6531</v>
      </c>
      <c r="G197">
        <v>12958</v>
      </c>
      <c r="H197" t="s">
        <v>95</v>
      </c>
    </row>
    <row r="198" spans="1:8" x14ac:dyDescent="0.3">
      <c r="A198" t="s">
        <v>44</v>
      </c>
      <c r="B198" t="s">
        <v>35</v>
      </c>
      <c r="C198" t="s">
        <v>26</v>
      </c>
      <c r="D198" t="s">
        <v>13</v>
      </c>
      <c r="E198">
        <v>5425</v>
      </c>
      <c r="F198">
        <v>5332</v>
      </c>
      <c r="G198">
        <v>10757</v>
      </c>
      <c r="H198" t="s">
        <v>95</v>
      </c>
    </row>
    <row r="199" spans="1:8" x14ac:dyDescent="0.3">
      <c r="A199" t="s">
        <v>44</v>
      </c>
      <c r="B199" t="s">
        <v>35</v>
      </c>
      <c r="C199" t="s">
        <v>26</v>
      </c>
      <c r="D199" t="s">
        <v>14</v>
      </c>
      <c r="E199">
        <v>7823</v>
      </c>
      <c r="F199">
        <v>7411</v>
      </c>
      <c r="G199">
        <v>15234</v>
      </c>
      <c r="H199" t="s">
        <v>95</v>
      </c>
    </row>
    <row r="200" spans="1:8" x14ac:dyDescent="0.3">
      <c r="A200" t="s">
        <v>44</v>
      </c>
      <c r="B200" t="s">
        <v>35</v>
      </c>
      <c r="C200" t="s">
        <v>26</v>
      </c>
      <c r="D200" t="s">
        <v>15</v>
      </c>
      <c r="E200">
        <v>7721</v>
      </c>
      <c r="F200">
        <v>7851</v>
      </c>
      <c r="G200">
        <v>15572</v>
      </c>
      <c r="H200" t="s">
        <v>95</v>
      </c>
    </row>
    <row r="201" spans="1:8" x14ac:dyDescent="0.3">
      <c r="A201" t="s">
        <v>44</v>
      </c>
      <c r="B201" t="s">
        <v>35</v>
      </c>
      <c r="C201" t="s">
        <v>26</v>
      </c>
      <c r="D201" t="s">
        <v>16</v>
      </c>
      <c r="E201">
        <v>7415</v>
      </c>
      <c r="F201">
        <v>7174</v>
      </c>
      <c r="G201">
        <v>14589</v>
      </c>
      <c r="H201" t="s">
        <v>95</v>
      </c>
    </row>
    <row r="202" spans="1:8" x14ac:dyDescent="0.3">
      <c r="A202" t="s">
        <v>44</v>
      </c>
      <c r="B202" t="s">
        <v>35</v>
      </c>
      <c r="C202" t="s">
        <v>26</v>
      </c>
      <c r="D202" t="s">
        <v>17</v>
      </c>
      <c r="E202">
        <v>6974</v>
      </c>
      <c r="F202">
        <v>6537</v>
      </c>
      <c r="G202">
        <v>13511</v>
      </c>
      <c r="H202" t="s">
        <v>95</v>
      </c>
    </row>
    <row r="203" spans="1:8" x14ac:dyDescent="0.3">
      <c r="A203" t="s">
        <v>44</v>
      </c>
      <c r="B203" t="s">
        <v>35</v>
      </c>
      <c r="C203" t="s">
        <v>26</v>
      </c>
      <c r="D203" t="s">
        <v>18</v>
      </c>
      <c r="E203">
        <v>5896</v>
      </c>
      <c r="F203">
        <v>5478</v>
      </c>
      <c r="G203">
        <v>11374</v>
      </c>
      <c r="H203" t="s">
        <v>95</v>
      </c>
    </row>
    <row r="204" spans="1:8" x14ac:dyDescent="0.3">
      <c r="A204" t="s">
        <v>44</v>
      </c>
      <c r="B204" t="s">
        <v>35</v>
      </c>
      <c r="C204" t="s">
        <v>26</v>
      </c>
      <c r="D204" t="s">
        <v>19</v>
      </c>
      <c r="E204">
        <v>4937</v>
      </c>
      <c r="F204">
        <v>4453</v>
      </c>
      <c r="G204">
        <v>9390</v>
      </c>
      <c r="H204" t="s">
        <v>95</v>
      </c>
    </row>
    <row r="205" spans="1:8" x14ac:dyDescent="0.3">
      <c r="A205" t="s">
        <v>44</v>
      </c>
      <c r="B205" t="s">
        <v>35</v>
      </c>
      <c r="C205" t="s">
        <v>26</v>
      </c>
      <c r="D205" t="s">
        <v>20</v>
      </c>
      <c r="E205">
        <v>4008</v>
      </c>
      <c r="F205">
        <v>3890</v>
      </c>
      <c r="G205">
        <v>7898</v>
      </c>
      <c r="H205" t="s">
        <v>95</v>
      </c>
    </row>
    <row r="206" spans="1:8" x14ac:dyDescent="0.3">
      <c r="A206" t="s">
        <v>44</v>
      </c>
      <c r="B206" t="s">
        <v>35</v>
      </c>
      <c r="C206" t="s">
        <v>26</v>
      </c>
      <c r="D206" t="s">
        <v>21</v>
      </c>
      <c r="E206">
        <v>3032</v>
      </c>
      <c r="F206">
        <v>2901</v>
      </c>
      <c r="G206">
        <v>5933</v>
      </c>
      <c r="H206" t="s">
        <v>95</v>
      </c>
    </row>
    <row r="207" spans="1:8" x14ac:dyDescent="0.3">
      <c r="A207" t="s">
        <v>44</v>
      </c>
      <c r="B207" t="s">
        <v>35</v>
      </c>
      <c r="C207" t="s">
        <v>26</v>
      </c>
      <c r="D207" t="s">
        <v>22</v>
      </c>
      <c r="E207">
        <v>1844</v>
      </c>
      <c r="F207">
        <v>1836</v>
      </c>
      <c r="G207">
        <v>3680</v>
      </c>
      <c r="H207" t="s">
        <v>95</v>
      </c>
    </row>
    <row r="208" spans="1:8" x14ac:dyDescent="0.3">
      <c r="A208" t="s">
        <v>44</v>
      </c>
      <c r="B208" t="s">
        <v>35</v>
      </c>
      <c r="C208" t="s">
        <v>26</v>
      </c>
      <c r="D208" t="s">
        <v>23</v>
      </c>
      <c r="E208">
        <v>1093</v>
      </c>
      <c r="F208">
        <v>1049</v>
      </c>
      <c r="G208">
        <v>2142</v>
      </c>
      <c r="H208" t="s">
        <v>95</v>
      </c>
    </row>
    <row r="209" spans="1:8" x14ac:dyDescent="0.3">
      <c r="A209" t="s">
        <v>44</v>
      </c>
      <c r="B209" t="s">
        <v>35</v>
      </c>
      <c r="C209" t="s">
        <v>26</v>
      </c>
      <c r="D209" t="s">
        <v>24</v>
      </c>
      <c r="E209">
        <v>602</v>
      </c>
      <c r="F209">
        <v>518</v>
      </c>
      <c r="G209">
        <v>1120</v>
      </c>
      <c r="H209" t="s">
        <v>95</v>
      </c>
    </row>
    <row r="210" spans="1:8" x14ac:dyDescent="0.3">
      <c r="A210" t="s">
        <v>44</v>
      </c>
      <c r="B210" t="s">
        <v>35</v>
      </c>
      <c r="C210" t="s">
        <v>26</v>
      </c>
      <c r="D210" t="s">
        <v>25</v>
      </c>
      <c r="E210">
        <v>541</v>
      </c>
      <c r="F210">
        <v>397</v>
      </c>
      <c r="G210">
        <v>938</v>
      </c>
      <c r="H210" t="s">
        <v>95</v>
      </c>
    </row>
    <row r="211" spans="1:8" x14ac:dyDescent="0.3">
      <c r="A211" t="s">
        <v>44</v>
      </c>
      <c r="B211" t="s">
        <v>36</v>
      </c>
      <c r="C211" t="s">
        <v>8</v>
      </c>
      <c r="D211" t="s">
        <v>9</v>
      </c>
      <c r="E211">
        <v>9385</v>
      </c>
      <c r="F211">
        <v>9810</v>
      </c>
      <c r="G211">
        <v>19195</v>
      </c>
      <c r="H211" t="s">
        <v>96</v>
      </c>
    </row>
    <row r="212" spans="1:8" x14ac:dyDescent="0.3">
      <c r="A212" t="s">
        <v>44</v>
      </c>
      <c r="B212" t="s">
        <v>36</v>
      </c>
      <c r="C212" t="s">
        <v>8</v>
      </c>
      <c r="D212" t="s">
        <v>10</v>
      </c>
      <c r="E212">
        <v>11782</v>
      </c>
      <c r="F212">
        <v>12532</v>
      </c>
      <c r="G212">
        <v>24314</v>
      </c>
      <c r="H212" t="s">
        <v>96</v>
      </c>
    </row>
    <row r="213" spans="1:8" x14ac:dyDescent="0.3">
      <c r="A213" t="s">
        <v>44</v>
      </c>
      <c r="B213" t="s">
        <v>36</v>
      </c>
      <c r="C213" t="s">
        <v>8</v>
      </c>
      <c r="D213" t="s">
        <v>11</v>
      </c>
      <c r="E213">
        <v>13097</v>
      </c>
      <c r="F213">
        <v>13479</v>
      </c>
      <c r="G213">
        <v>26576</v>
      </c>
      <c r="H213" t="s">
        <v>96</v>
      </c>
    </row>
    <row r="214" spans="1:8" x14ac:dyDescent="0.3">
      <c r="A214" t="s">
        <v>44</v>
      </c>
      <c r="B214" t="s">
        <v>36</v>
      </c>
      <c r="C214" t="s">
        <v>8</v>
      </c>
      <c r="D214" t="s">
        <v>12</v>
      </c>
      <c r="E214">
        <v>13256</v>
      </c>
      <c r="F214">
        <v>13641</v>
      </c>
      <c r="G214">
        <v>26897</v>
      </c>
      <c r="H214" t="s">
        <v>96</v>
      </c>
    </row>
    <row r="215" spans="1:8" x14ac:dyDescent="0.3">
      <c r="A215" t="s">
        <v>44</v>
      </c>
      <c r="B215" t="s">
        <v>36</v>
      </c>
      <c r="C215" t="s">
        <v>8</v>
      </c>
      <c r="D215" t="s">
        <v>13</v>
      </c>
      <c r="E215">
        <v>16353</v>
      </c>
      <c r="F215">
        <v>14908</v>
      </c>
      <c r="G215">
        <v>31261</v>
      </c>
      <c r="H215" t="s">
        <v>96</v>
      </c>
    </row>
    <row r="216" spans="1:8" x14ac:dyDescent="0.3">
      <c r="A216" t="s">
        <v>44</v>
      </c>
      <c r="B216" t="s">
        <v>36</v>
      </c>
      <c r="C216" t="s">
        <v>8</v>
      </c>
      <c r="D216" t="s">
        <v>14</v>
      </c>
      <c r="E216">
        <v>21148</v>
      </c>
      <c r="F216">
        <v>17249</v>
      </c>
      <c r="G216">
        <v>38397</v>
      </c>
      <c r="H216" t="s">
        <v>96</v>
      </c>
    </row>
    <row r="217" spans="1:8" x14ac:dyDescent="0.3">
      <c r="A217" t="s">
        <v>44</v>
      </c>
      <c r="B217" t="s">
        <v>36</v>
      </c>
      <c r="C217" t="s">
        <v>8</v>
      </c>
      <c r="D217" t="s">
        <v>15</v>
      </c>
      <c r="E217">
        <v>25718</v>
      </c>
      <c r="F217">
        <v>21364</v>
      </c>
      <c r="G217">
        <v>47082</v>
      </c>
      <c r="H217" t="s">
        <v>96</v>
      </c>
    </row>
    <row r="218" spans="1:8" x14ac:dyDescent="0.3">
      <c r="A218" t="s">
        <v>44</v>
      </c>
      <c r="B218" t="s">
        <v>36</v>
      </c>
      <c r="C218" t="s">
        <v>8</v>
      </c>
      <c r="D218" t="s">
        <v>16</v>
      </c>
      <c r="E218">
        <v>23949</v>
      </c>
      <c r="F218">
        <v>20447</v>
      </c>
      <c r="G218">
        <v>44396</v>
      </c>
      <c r="H218" t="s">
        <v>96</v>
      </c>
    </row>
    <row r="219" spans="1:8" x14ac:dyDescent="0.3">
      <c r="A219" t="s">
        <v>44</v>
      </c>
      <c r="B219" t="s">
        <v>36</v>
      </c>
      <c r="C219" t="s">
        <v>8</v>
      </c>
      <c r="D219" t="s">
        <v>17</v>
      </c>
      <c r="E219">
        <v>22316</v>
      </c>
      <c r="F219">
        <v>19223</v>
      </c>
      <c r="G219">
        <v>41539</v>
      </c>
      <c r="H219" t="s">
        <v>96</v>
      </c>
    </row>
    <row r="220" spans="1:8" x14ac:dyDescent="0.3">
      <c r="A220" t="s">
        <v>44</v>
      </c>
      <c r="B220" t="s">
        <v>36</v>
      </c>
      <c r="C220" t="s">
        <v>8</v>
      </c>
      <c r="D220" t="s">
        <v>18</v>
      </c>
      <c r="E220">
        <v>19531</v>
      </c>
      <c r="F220">
        <v>17105</v>
      </c>
      <c r="G220">
        <v>36636</v>
      </c>
      <c r="H220" t="s">
        <v>96</v>
      </c>
    </row>
    <row r="221" spans="1:8" x14ac:dyDescent="0.3">
      <c r="A221" t="s">
        <v>44</v>
      </c>
      <c r="B221" t="s">
        <v>36</v>
      </c>
      <c r="C221" t="s">
        <v>8</v>
      </c>
      <c r="D221" t="s">
        <v>19</v>
      </c>
      <c r="E221">
        <v>16953</v>
      </c>
      <c r="F221">
        <v>14296</v>
      </c>
      <c r="G221">
        <v>31249</v>
      </c>
      <c r="H221" t="s">
        <v>96</v>
      </c>
    </row>
    <row r="222" spans="1:8" x14ac:dyDescent="0.3">
      <c r="A222" t="s">
        <v>44</v>
      </c>
      <c r="B222" t="s">
        <v>36</v>
      </c>
      <c r="C222" t="s">
        <v>8</v>
      </c>
      <c r="D222" t="s">
        <v>20</v>
      </c>
      <c r="E222">
        <v>16699</v>
      </c>
      <c r="F222">
        <v>13537</v>
      </c>
      <c r="G222">
        <v>30236</v>
      </c>
      <c r="H222" t="s">
        <v>96</v>
      </c>
    </row>
    <row r="223" spans="1:8" x14ac:dyDescent="0.3">
      <c r="A223" t="s">
        <v>44</v>
      </c>
      <c r="B223" t="s">
        <v>36</v>
      </c>
      <c r="C223" t="s">
        <v>8</v>
      </c>
      <c r="D223" t="s">
        <v>21</v>
      </c>
      <c r="E223">
        <v>16771</v>
      </c>
      <c r="F223">
        <v>13129</v>
      </c>
      <c r="G223">
        <v>29900</v>
      </c>
      <c r="H223" t="s">
        <v>96</v>
      </c>
    </row>
    <row r="224" spans="1:8" x14ac:dyDescent="0.3">
      <c r="A224" t="s">
        <v>44</v>
      </c>
      <c r="B224" t="s">
        <v>36</v>
      </c>
      <c r="C224" t="s">
        <v>8</v>
      </c>
      <c r="D224" t="s">
        <v>22</v>
      </c>
      <c r="E224">
        <v>13209</v>
      </c>
      <c r="F224">
        <v>9877</v>
      </c>
      <c r="G224">
        <v>23086</v>
      </c>
      <c r="H224" t="s">
        <v>96</v>
      </c>
    </row>
    <row r="225" spans="1:8" x14ac:dyDescent="0.3">
      <c r="A225" t="s">
        <v>44</v>
      </c>
      <c r="B225" t="s">
        <v>36</v>
      </c>
      <c r="C225" t="s">
        <v>8</v>
      </c>
      <c r="D225" t="s">
        <v>23</v>
      </c>
      <c r="E225">
        <v>9491</v>
      </c>
      <c r="F225">
        <v>6861</v>
      </c>
      <c r="G225">
        <v>16352</v>
      </c>
      <c r="H225" t="s">
        <v>96</v>
      </c>
    </row>
    <row r="226" spans="1:8" x14ac:dyDescent="0.3">
      <c r="A226" t="s">
        <v>44</v>
      </c>
      <c r="B226" t="s">
        <v>36</v>
      </c>
      <c r="C226" t="s">
        <v>8</v>
      </c>
      <c r="D226" t="s">
        <v>24</v>
      </c>
      <c r="E226">
        <v>6240</v>
      </c>
      <c r="F226">
        <v>4387</v>
      </c>
      <c r="G226">
        <v>10627</v>
      </c>
      <c r="H226" t="s">
        <v>96</v>
      </c>
    </row>
    <row r="227" spans="1:8" x14ac:dyDescent="0.3">
      <c r="A227" t="s">
        <v>44</v>
      </c>
      <c r="B227" t="s">
        <v>36</v>
      </c>
      <c r="C227" t="s">
        <v>8</v>
      </c>
      <c r="D227" t="s">
        <v>25</v>
      </c>
      <c r="E227">
        <v>7423</v>
      </c>
      <c r="F227">
        <v>4191</v>
      </c>
      <c r="G227">
        <v>11614</v>
      </c>
      <c r="H227" t="s">
        <v>96</v>
      </c>
    </row>
    <row r="228" spans="1:8" x14ac:dyDescent="0.3">
      <c r="A228" t="s">
        <v>44</v>
      </c>
      <c r="B228" t="s">
        <v>36</v>
      </c>
      <c r="C228" t="s">
        <v>26</v>
      </c>
      <c r="D228" t="s">
        <v>9</v>
      </c>
      <c r="E228">
        <v>2250</v>
      </c>
      <c r="F228">
        <v>2254</v>
      </c>
      <c r="G228">
        <v>4504</v>
      </c>
      <c r="H228" t="s">
        <v>96</v>
      </c>
    </row>
    <row r="229" spans="1:8" x14ac:dyDescent="0.3">
      <c r="A229" t="s">
        <v>44</v>
      </c>
      <c r="B229" t="s">
        <v>36</v>
      </c>
      <c r="C229" t="s">
        <v>26</v>
      </c>
      <c r="D229" t="s">
        <v>10</v>
      </c>
      <c r="E229">
        <v>3552</v>
      </c>
      <c r="F229">
        <v>3670</v>
      </c>
      <c r="G229">
        <v>7222</v>
      </c>
      <c r="H229" t="s">
        <v>96</v>
      </c>
    </row>
    <row r="230" spans="1:8" x14ac:dyDescent="0.3">
      <c r="A230" t="s">
        <v>44</v>
      </c>
      <c r="B230" t="s">
        <v>36</v>
      </c>
      <c r="C230" t="s">
        <v>26</v>
      </c>
      <c r="D230" t="s">
        <v>11</v>
      </c>
      <c r="E230">
        <v>3861</v>
      </c>
      <c r="F230">
        <v>4024</v>
      </c>
      <c r="G230">
        <v>7885</v>
      </c>
      <c r="H230" t="s">
        <v>96</v>
      </c>
    </row>
    <row r="231" spans="1:8" x14ac:dyDescent="0.3">
      <c r="A231" t="s">
        <v>44</v>
      </c>
      <c r="B231" t="s">
        <v>36</v>
      </c>
      <c r="C231" t="s">
        <v>26</v>
      </c>
      <c r="D231" t="s">
        <v>12</v>
      </c>
      <c r="E231">
        <v>3603</v>
      </c>
      <c r="F231">
        <v>3755</v>
      </c>
      <c r="G231">
        <v>7358</v>
      </c>
      <c r="H231" t="s">
        <v>96</v>
      </c>
    </row>
    <row r="232" spans="1:8" x14ac:dyDescent="0.3">
      <c r="A232" t="s">
        <v>44</v>
      </c>
      <c r="B232" t="s">
        <v>36</v>
      </c>
      <c r="C232" t="s">
        <v>26</v>
      </c>
      <c r="D232" t="s">
        <v>13</v>
      </c>
      <c r="E232">
        <v>3064</v>
      </c>
      <c r="F232">
        <v>2692</v>
      </c>
      <c r="G232">
        <v>5756</v>
      </c>
      <c r="H232" t="s">
        <v>96</v>
      </c>
    </row>
    <row r="233" spans="1:8" x14ac:dyDescent="0.3">
      <c r="A233" t="s">
        <v>44</v>
      </c>
      <c r="B233" t="s">
        <v>36</v>
      </c>
      <c r="C233" t="s">
        <v>26</v>
      </c>
      <c r="D233" t="s">
        <v>14</v>
      </c>
      <c r="E233">
        <v>5164</v>
      </c>
      <c r="F233">
        <v>4365</v>
      </c>
      <c r="G233">
        <v>9529</v>
      </c>
      <c r="H233" t="s">
        <v>96</v>
      </c>
    </row>
    <row r="234" spans="1:8" x14ac:dyDescent="0.3">
      <c r="A234" t="s">
        <v>44</v>
      </c>
      <c r="B234" t="s">
        <v>36</v>
      </c>
      <c r="C234" t="s">
        <v>26</v>
      </c>
      <c r="D234" t="s">
        <v>15</v>
      </c>
      <c r="E234">
        <v>5298</v>
      </c>
      <c r="F234">
        <v>4499</v>
      </c>
      <c r="G234">
        <v>9797</v>
      </c>
      <c r="H234" t="s">
        <v>96</v>
      </c>
    </row>
    <row r="235" spans="1:8" x14ac:dyDescent="0.3">
      <c r="A235" t="s">
        <v>44</v>
      </c>
      <c r="B235" t="s">
        <v>36</v>
      </c>
      <c r="C235" t="s">
        <v>26</v>
      </c>
      <c r="D235" t="s">
        <v>16</v>
      </c>
      <c r="E235">
        <v>4264</v>
      </c>
      <c r="F235">
        <v>3674</v>
      </c>
      <c r="G235">
        <v>7938</v>
      </c>
      <c r="H235" t="s">
        <v>96</v>
      </c>
    </row>
    <row r="236" spans="1:8" x14ac:dyDescent="0.3">
      <c r="A236" t="s">
        <v>44</v>
      </c>
      <c r="B236" t="s">
        <v>36</v>
      </c>
      <c r="C236" t="s">
        <v>26</v>
      </c>
      <c r="D236" t="s">
        <v>17</v>
      </c>
      <c r="E236">
        <v>3468</v>
      </c>
      <c r="F236">
        <v>2938</v>
      </c>
      <c r="G236">
        <v>6406</v>
      </c>
      <c r="H236" t="s">
        <v>96</v>
      </c>
    </row>
    <row r="237" spans="1:8" x14ac:dyDescent="0.3">
      <c r="A237" t="s">
        <v>44</v>
      </c>
      <c r="B237" t="s">
        <v>36</v>
      </c>
      <c r="C237" t="s">
        <v>26</v>
      </c>
      <c r="D237" t="s">
        <v>18</v>
      </c>
      <c r="E237">
        <v>3019</v>
      </c>
      <c r="F237">
        <v>2327</v>
      </c>
      <c r="G237">
        <v>5346</v>
      </c>
      <c r="H237" t="s">
        <v>96</v>
      </c>
    </row>
    <row r="238" spans="1:8" x14ac:dyDescent="0.3">
      <c r="A238" t="s">
        <v>44</v>
      </c>
      <c r="B238" t="s">
        <v>36</v>
      </c>
      <c r="C238" t="s">
        <v>26</v>
      </c>
      <c r="D238" t="s">
        <v>19</v>
      </c>
      <c r="E238">
        <v>2609</v>
      </c>
      <c r="F238">
        <v>1913</v>
      </c>
      <c r="G238">
        <v>4522</v>
      </c>
      <c r="H238" t="s">
        <v>96</v>
      </c>
    </row>
    <row r="239" spans="1:8" x14ac:dyDescent="0.3">
      <c r="A239" t="s">
        <v>44</v>
      </c>
      <c r="B239" t="s">
        <v>36</v>
      </c>
      <c r="C239" t="s">
        <v>26</v>
      </c>
      <c r="D239" t="s">
        <v>20</v>
      </c>
      <c r="E239">
        <v>2428</v>
      </c>
      <c r="F239">
        <v>1758</v>
      </c>
      <c r="G239">
        <v>4186</v>
      </c>
      <c r="H239" t="s">
        <v>96</v>
      </c>
    </row>
    <row r="240" spans="1:8" x14ac:dyDescent="0.3">
      <c r="A240" t="s">
        <v>44</v>
      </c>
      <c r="B240" t="s">
        <v>36</v>
      </c>
      <c r="C240" t="s">
        <v>26</v>
      </c>
      <c r="D240" t="s">
        <v>21</v>
      </c>
      <c r="E240">
        <v>1852</v>
      </c>
      <c r="F240">
        <v>1406</v>
      </c>
      <c r="G240">
        <v>3258</v>
      </c>
      <c r="H240" t="s">
        <v>96</v>
      </c>
    </row>
    <row r="241" spans="1:8" x14ac:dyDescent="0.3">
      <c r="A241" t="s">
        <v>44</v>
      </c>
      <c r="B241" t="s">
        <v>36</v>
      </c>
      <c r="C241" t="s">
        <v>26</v>
      </c>
      <c r="D241" t="s">
        <v>22</v>
      </c>
      <c r="E241">
        <v>1323</v>
      </c>
      <c r="F241">
        <v>964</v>
      </c>
      <c r="G241">
        <v>2287</v>
      </c>
      <c r="H241" t="s">
        <v>96</v>
      </c>
    </row>
    <row r="242" spans="1:8" x14ac:dyDescent="0.3">
      <c r="A242" t="s">
        <v>44</v>
      </c>
      <c r="B242" t="s">
        <v>36</v>
      </c>
      <c r="C242" t="s">
        <v>26</v>
      </c>
      <c r="D242" t="s">
        <v>23</v>
      </c>
      <c r="E242">
        <v>719</v>
      </c>
      <c r="F242">
        <v>556</v>
      </c>
      <c r="G242">
        <v>1275</v>
      </c>
      <c r="H242" t="s">
        <v>96</v>
      </c>
    </row>
    <row r="243" spans="1:8" x14ac:dyDescent="0.3">
      <c r="A243" t="s">
        <v>44</v>
      </c>
      <c r="B243" t="s">
        <v>36</v>
      </c>
      <c r="C243" t="s">
        <v>26</v>
      </c>
      <c r="D243" t="s">
        <v>24</v>
      </c>
      <c r="E243">
        <v>417</v>
      </c>
      <c r="F243">
        <v>302</v>
      </c>
      <c r="G243">
        <v>719</v>
      </c>
      <c r="H243" t="s">
        <v>96</v>
      </c>
    </row>
    <row r="244" spans="1:8" x14ac:dyDescent="0.3">
      <c r="A244" t="s">
        <v>44</v>
      </c>
      <c r="B244" t="s">
        <v>36</v>
      </c>
      <c r="C244" t="s">
        <v>26</v>
      </c>
      <c r="D244" t="s">
        <v>25</v>
      </c>
      <c r="E244">
        <v>520</v>
      </c>
      <c r="F244">
        <v>313</v>
      </c>
      <c r="G244">
        <v>833</v>
      </c>
      <c r="H244" t="s">
        <v>96</v>
      </c>
    </row>
    <row r="245" spans="1:8" x14ac:dyDescent="0.3">
      <c r="A245" t="s">
        <v>44</v>
      </c>
      <c r="B245" t="s">
        <v>39</v>
      </c>
      <c r="C245" t="s">
        <v>8</v>
      </c>
      <c r="D245" t="s">
        <v>9</v>
      </c>
      <c r="E245">
        <v>92</v>
      </c>
      <c r="F245">
        <v>93</v>
      </c>
      <c r="G245">
        <v>185</v>
      </c>
      <c r="H245" t="s">
        <v>95</v>
      </c>
    </row>
    <row r="246" spans="1:8" x14ac:dyDescent="0.3">
      <c r="A246" t="s">
        <v>44</v>
      </c>
      <c r="B246" t="s">
        <v>39</v>
      </c>
      <c r="C246" t="s">
        <v>8</v>
      </c>
      <c r="D246" t="s">
        <v>10</v>
      </c>
      <c r="E246">
        <v>150</v>
      </c>
      <c r="F246">
        <v>176</v>
      </c>
      <c r="G246">
        <v>326</v>
      </c>
      <c r="H246" t="s">
        <v>95</v>
      </c>
    </row>
    <row r="247" spans="1:8" x14ac:dyDescent="0.3">
      <c r="A247" t="s">
        <v>44</v>
      </c>
      <c r="B247" t="s">
        <v>39</v>
      </c>
      <c r="C247" t="s">
        <v>8</v>
      </c>
      <c r="D247" t="s">
        <v>11</v>
      </c>
      <c r="E247">
        <v>164</v>
      </c>
      <c r="F247">
        <v>203</v>
      </c>
      <c r="G247">
        <v>367</v>
      </c>
      <c r="H247" t="s">
        <v>95</v>
      </c>
    </row>
    <row r="248" spans="1:8" x14ac:dyDescent="0.3">
      <c r="A248" t="s">
        <v>44</v>
      </c>
      <c r="B248" t="s">
        <v>39</v>
      </c>
      <c r="C248" t="s">
        <v>8</v>
      </c>
      <c r="D248" t="s">
        <v>12</v>
      </c>
      <c r="E248">
        <v>253</v>
      </c>
      <c r="F248">
        <v>258</v>
      </c>
      <c r="G248">
        <v>511</v>
      </c>
      <c r="H248" t="s">
        <v>95</v>
      </c>
    </row>
    <row r="249" spans="1:8" x14ac:dyDescent="0.3">
      <c r="A249" t="s">
        <v>44</v>
      </c>
      <c r="B249" t="s">
        <v>39</v>
      </c>
      <c r="C249" t="s">
        <v>8</v>
      </c>
      <c r="D249" t="s">
        <v>13</v>
      </c>
      <c r="E249">
        <v>287</v>
      </c>
      <c r="F249">
        <v>277</v>
      </c>
      <c r="G249">
        <v>564</v>
      </c>
      <c r="H249" t="s">
        <v>95</v>
      </c>
    </row>
    <row r="250" spans="1:8" x14ac:dyDescent="0.3">
      <c r="A250" t="s">
        <v>44</v>
      </c>
      <c r="B250" t="s">
        <v>39</v>
      </c>
      <c r="C250" t="s">
        <v>8</v>
      </c>
      <c r="D250" t="s">
        <v>14</v>
      </c>
      <c r="E250">
        <v>211</v>
      </c>
      <c r="F250">
        <v>208</v>
      </c>
      <c r="G250">
        <v>419</v>
      </c>
      <c r="H250" t="s">
        <v>95</v>
      </c>
    </row>
    <row r="251" spans="1:8" x14ac:dyDescent="0.3">
      <c r="A251" t="s">
        <v>44</v>
      </c>
      <c r="B251" t="s">
        <v>39</v>
      </c>
      <c r="C251" t="s">
        <v>8</v>
      </c>
      <c r="D251" t="s">
        <v>15</v>
      </c>
      <c r="E251">
        <v>237</v>
      </c>
      <c r="F251">
        <v>222</v>
      </c>
      <c r="G251">
        <v>459</v>
      </c>
      <c r="H251" t="s">
        <v>95</v>
      </c>
    </row>
    <row r="252" spans="1:8" x14ac:dyDescent="0.3">
      <c r="A252" t="s">
        <v>44</v>
      </c>
      <c r="B252" t="s">
        <v>39</v>
      </c>
      <c r="C252" t="s">
        <v>8</v>
      </c>
      <c r="D252" t="s">
        <v>16</v>
      </c>
      <c r="E252">
        <v>256</v>
      </c>
      <c r="F252">
        <v>263</v>
      </c>
      <c r="G252">
        <v>519</v>
      </c>
      <c r="H252" t="s">
        <v>95</v>
      </c>
    </row>
    <row r="253" spans="1:8" x14ac:dyDescent="0.3">
      <c r="A253" t="s">
        <v>44</v>
      </c>
      <c r="B253" t="s">
        <v>39</v>
      </c>
      <c r="C253" t="s">
        <v>8</v>
      </c>
      <c r="D253" t="s">
        <v>17</v>
      </c>
      <c r="E253">
        <v>261</v>
      </c>
      <c r="F253">
        <v>258</v>
      </c>
      <c r="G253">
        <v>519</v>
      </c>
      <c r="H253" t="s">
        <v>95</v>
      </c>
    </row>
    <row r="254" spans="1:8" x14ac:dyDescent="0.3">
      <c r="A254" t="s">
        <v>44</v>
      </c>
      <c r="B254" t="s">
        <v>39</v>
      </c>
      <c r="C254" t="s">
        <v>8</v>
      </c>
      <c r="D254" t="s">
        <v>18</v>
      </c>
      <c r="E254">
        <v>272</v>
      </c>
      <c r="F254">
        <v>247</v>
      </c>
      <c r="G254">
        <v>519</v>
      </c>
      <c r="H254" t="s">
        <v>95</v>
      </c>
    </row>
    <row r="255" spans="1:8" x14ac:dyDescent="0.3">
      <c r="A255" t="s">
        <v>44</v>
      </c>
      <c r="B255" t="s">
        <v>39</v>
      </c>
      <c r="C255" t="s">
        <v>8</v>
      </c>
      <c r="D255" t="s">
        <v>19</v>
      </c>
      <c r="E255">
        <v>247</v>
      </c>
      <c r="F255">
        <v>224</v>
      </c>
      <c r="G255">
        <v>471</v>
      </c>
      <c r="H255" t="s">
        <v>95</v>
      </c>
    </row>
    <row r="256" spans="1:8" x14ac:dyDescent="0.3">
      <c r="A256" t="s">
        <v>44</v>
      </c>
      <c r="B256" t="s">
        <v>39</v>
      </c>
      <c r="C256" t="s">
        <v>8</v>
      </c>
      <c r="D256" t="s">
        <v>20</v>
      </c>
      <c r="E256">
        <v>196</v>
      </c>
      <c r="F256">
        <v>208</v>
      </c>
      <c r="G256">
        <v>404</v>
      </c>
      <c r="H256" t="s">
        <v>95</v>
      </c>
    </row>
    <row r="257" spans="1:8" x14ac:dyDescent="0.3">
      <c r="A257" t="s">
        <v>44</v>
      </c>
      <c r="B257" t="s">
        <v>39</v>
      </c>
      <c r="C257" t="s">
        <v>8</v>
      </c>
      <c r="D257" t="s">
        <v>21</v>
      </c>
      <c r="E257">
        <v>184</v>
      </c>
      <c r="F257">
        <v>184</v>
      </c>
      <c r="G257">
        <v>368</v>
      </c>
      <c r="H257" t="s">
        <v>95</v>
      </c>
    </row>
    <row r="258" spans="1:8" x14ac:dyDescent="0.3">
      <c r="A258" t="s">
        <v>44</v>
      </c>
      <c r="B258" t="s">
        <v>39</v>
      </c>
      <c r="C258" t="s">
        <v>8</v>
      </c>
      <c r="D258" t="s">
        <v>22</v>
      </c>
      <c r="E258">
        <v>139</v>
      </c>
      <c r="F258">
        <v>156</v>
      </c>
      <c r="G258">
        <v>295</v>
      </c>
      <c r="H258" t="s">
        <v>95</v>
      </c>
    </row>
    <row r="259" spans="1:8" x14ac:dyDescent="0.3">
      <c r="A259" t="s">
        <v>44</v>
      </c>
      <c r="B259" t="s">
        <v>39</v>
      </c>
      <c r="C259" t="s">
        <v>8</v>
      </c>
      <c r="D259" t="s">
        <v>23</v>
      </c>
      <c r="E259">
        <v>110</v>
      </c>
      <c r="F259">
        <v>95</v>
      </c>
      <c r="G259">
        <v>205</v>
      </c>
      <c r="H259" t="s">
        <v>95</v>
      </c>
    </row>
    <row r="260" spans="1:8" x14ac:dyDescent="0.3">
      <c r="A260" t="s">
        <v>44</v>
      </c>
      <c r="B260" t="s">
        <v>39</v>
      </c>
      <c r="C260" t="s">
        <v>8</v>
      </c>
      <c r="D260" t="s">
        <v>24</v>
      </c>
      <c r="E260">
        <v>66</v>
      </c>
      <c r="F260">
        <v>84</v>
      </c>
      <c r="G260">
        <v>150</v>
      </c>
      <c r="H260" t="s">
        <v>95</v>
      </c>
    </row>
    <row r="261" spans="1:8" x14ac:dyDescent="0.3">
      <c r="A261" t="s">
        <v>44</v>
      </c>
      <c r="B261" t="s">
        <v>39</v>
      </c>
      <c r="C261" t="s">
        <v>8</v>
      </c>
      <c r="D261" t="s">
        <v>25</v>
      </c>
      <c r="E261">
        <v>88</v>
      </c>
      <c r="F261">
        <v>76</v>
      </c>
      <c r="G261">
        <v>164</v>
      </c>
      <c r="H261" t="s">
        <v>95</v>
      </c>
    </row>
    <row r="262" spans="1:8" x14ac:dyDescent="0.3">
      <c r="A262" t="s">
        <v>44</v>
      </c>
      <c r="B262" t="s">
        <v>39</v>
      </c>
      <c r="C262" t="s">
        <v>26</v>
      </c>
      <c r="D262" t="s">
        <v>9</v>
      </c>
      <c r="E262">
        <v>172</v>
      </c>
      <c r="F262">
        <v>185</v>
      </c>
      <c r="G262">
        <v>357</v>
      </c>
      <c r="H262" t="s">
        <v>95</v>
      </c>
    </row>
    <row r="263" spans="1:8" x14ac:dyDescent="0.3">
      <c r="A263" t="s">
        <v>44</v>
      </c>
      <c r="B263" t="s">
        <v>39</v>
      </c>
      <c r="C263" t="s">
        <v>26</v>
      </c>
      <c r="D263" t="s">
        <v>10</v>
      </c>
      <c r="E263">
        <v>274</v>
      </c>
      <c r="F263">
        <v>297</v>
      </c>
      <c r="G263">
        <v>571</v>
      </c>
      <c r="H263" t="s">
        <v>95</v>
      </c>
    </row>
    <row r="264" spans="1:8" x14ac:dyDescent="0.3">
      <c r="A264" t="s">
        <v>44</v>
      </c>
      <c r="B264" t="s">
        <v>39</v>
      </c>
      <c r="C264" t="s">
        <v>26</v>
      </c>
      <c r="D264" t="s">
        <v>11</v>
      </c>
      <c r="E264">
        <v>330</v>
      </c>
      <c r="F264">
        <v>354</v>
      </c>
      <c r="G264">
        <v>684</v>
      </c>
      <c r="H264" t="s">
        <v>95</v>
      </c>
    </row>
    <row r="265" spans="1:8" x14ac:dyDescent="0.3">
      <c r="A265" t="s">
        <v>44</v>
      </c>
      <c r="B265" t="s">
        <v>39</v>
      </c>
      <c r="C265" t="s">
        <v>26</v>
      </c>
      <c r="D265" t="s">
        <v>12</v>
      </c>
      <c r="E265">
        <v>412</v>
      </c>
      <c r="F265">
        <v>413</v>
      </c>
      <c r="G265">
        <v>825</v>
      </c>
      <c r="H265" t="s">
        <v>95</v>
      </c>
    </row>
    <row r="266" spans="1:8" x14ac:dyDescent="0.3">
      <c r="A266" t="s">
        <v>44</v>
      </c>
      <c r="B266" t="s">
        <v>39</v>
      </c>
      <c r="C266" t="s">
        <v>26</v>
      </c>
      <c r="D266" t="s">
        <v>13</v>
      </c>
      <c r="E266">
        <v>372</v>
      </c>
      <c r="F266">
        <v>340</v>
      </c>
      <c r="G266">
        <v>712</v>
      </c>
      <c r="H266" t="s">
        <v>95</v>
      </c>
    </row>
    <row r="267" spans="1:8" x14ac:dyDescent="0.3">
      <c r="A267" t="s">
        <v>44</v>
      </c>
      <c r="B267" t="s">
        <v>39</v>
      </c>
      <c r="C267" t="s">
        <v>26</v>
      </c>
      <c r="D267" t="s">
        <v>14</v>
      </c>
      <c r="E267">
        <v>361</v>
      </c>
      <c r="F267">
        <v>280</v>
      </c>
      <c r="G267">
        <v>641</v>
      </c>
      <c r="H267" t="s">
        <v>95</v>
      </c>
    </row>
    <row r="268" spans="1:8" x14ac:dyDescent="0.3">
      <c r="A268" t="s">
        <v>44</v>
      </c>
      <c r="B268" t="s">
        <v>39</v>
      </c>
      <c r="C268" t="s">
        <v>26</v>
      </c>
      <c r="D268" t="s">
        <v>15</v>
      </c>
      <c r="E268">
        <v>440</v>
      </c>
      <c r="F268">
        <v>337</v>
      </c>
      <c r="G268">
        <v>777</v>
      </c>
      <c r="H268" t="s">
        <v>95</v>
      </c>
    </row>
    <row r="269" spans="1:8" x14ac:dyDescent="0.3">
      <c r="A269" t="s">
        <v>44</v>
      </c>
      <c r="B269" t="s">
        <v>39</v>
      </c>
      <c r="C269" t="s">
        <v>26</v>
      </c>
      <c r="D269" t="s">
        <v>16</v>
      </c>
      <c r="E269">
        <v>381</v>
      </c>
      <c r="F269">
        <v>247</v>
      </c>
      <c r="G269">
        <v>628</v>
      </c>
      <c r="H269" t="s">
        <v>95</v>
      </c>
    </row>
    <row r="270" spans="1:8" x14ac:dyDescent="0.3">
      <c r="A270" t="s">
        <v>44</v>
      </c>
      <c r="B270" t="s">
        <v>39</v>
      </c>
      <c r="C270" t="s">
        <v>26</v>
      </c>
      <c r="D270" t="s">
        <v>17</v>
      </c>
      <c r="E270">
        <v>421</v>
      </c>
      <c r="F270">
        <v>254</v>
      </c>
      <c r="G270">
        <v>675</v>
      </c>
      <c r="H270" t="s">
        <v>95</v>
      </c>
    </row>
    <row r="271" spans="1:8" x14ac:dyDescent="0.3">
      <c r="A271" t="s">
        <v>44</v>
      </c>
      <c r="B271" t="s">
        <v>39</v>
      </c>
      <c r="C271" t="s">
        <v>26</v>
      </c>
      <c r="D271" t="s">
        <v>18</v>
      </c>
      <c r="E271">
        <v>332</v>
      </c>
      <c r="F271">
        <v>245</v>
      </c>
      <c r="G271">
        <v>577</v>
      </c>
      <c r="H271" t="s">
        <v>95</v>
      </c>
    </row>
    <row r="272" spans="1:8" x14ac:dyDescent="0.3">
      <c r="A272" t="s">
        <v>44</v>
      </c>
      <c r="B272" t="s">
        <v>39</v>
      </c>
      <c r="C272" t="s">
        <v>26</v>
      </c>
      <c r="D272" t="s">
        <v>19</v>
      </c>
      <c r="E272">
        <v>236</v>
      </c>
      <c r="F272">
        <v>201</v>
      </c>
      <c r="G272">
        <v>437</v>
      </c>
      <c r="H272" t="s">
        <v>95</v>
      </c>
    </row>
    <row r="273" spans="1:8" x14ac:dyDescent="0.3">
      <c r="A273" t="s">
        <v>44</v>
      </c>
      <c r="B273" t="s">
        <v>39</v>
      </c>
      <c r="C273" t="s">
        <v>26</v>
      </c>
      <c r="D273" t="s">
        <v>20</v>
      </c>
      <c r="E273">
        <v>202</v>
      </c>
      <c r="F273">
        <v>187</v>
      </c>
      <c r="G273">
        <v>389</v>
      </c>
      <c r="H273" t="s">
        <v>95</v>
      </c>
    </row>
    <row r="274" spans="1:8" x14ac:dyDescent="0.3">
      <c r="A274" t="s">
        <v>44</v>
      </c>
      <c r="B274" t="s">
        <v>39</v>
      </c>
      <c r="C274" t="s">
        <v>26</v>
      </c>
      <c r="D274" t="s">
        <v>21</v>
      </c>
      <c r="E274">
        <v>169</v>
      </c>
      <c r="F274">
        <v>152</v>
      </c>
      <c r="G274">
        <v>321</v>
      </c>
      <c r="H274" t="s">
        <v>95</v>
      </c>
    </row>
    <row r="275" spans="1:8" x14ac:dyDescent="0.3">
      <c r="A275" t="s">
        <v>44</v>
      </c>
      <c r="B275" t="s">
        <v>39</v>
      </c>
      <c r="C275" t="s">
        <v>26</v>
      </c>
      <c r="D275" t="s">
        <v>22</v>
      </c>
      <c r="E275">
        <v>93</v>
      </c>
      <c r="F275">
        <v>111</v>
      </c>
      <c r="G275">
        <v>204</v>
      </c>
      <c r="H275" t="s">
        <v>95</v>
      </c>
    </row>
    <row r="276" spans="1:8" x14ac:dyDescent="0.3">
      <c r="A276" t="s">
        <v>44</v>
      </c>
      <c r="B276" t="s">
        <v>39</v>
      </c>
      <c r="C276" t="s">
        <v>26</v>
      </c>
      <c r="D276" t="s">
        <v>23</v>
      </c>
      <c r="E276">
        <v>86</v>
      </c>
      <c r="F276">
        <v>83</v>
      </c>
      <c r="G276">
        <v>169</v>
      </c>
      <c r="H276" t="s">
        <v>95</v>
      </c>
    </row>
    <row r="277" spans="1:8" x14ac:dyDescent="0.3">
      <c r="A277" t="s">
        <v>44</v>
      </c>
      <c r="B277" t="s">
        <v>39</v>
      </c>
      <c r="C277" t="s">
        <v>26</v>
      </c>
      <c r="D277" t="s">
        <v>24</v>
      </c>
      <c r="E277">
        <v>48</v>
      </c>
      <c r="F277">
        <v>44</v>
      </c>
      <c r="G277">
        <v>92</v>
      </c>
      <c r="H277" t="s">
        <v>95</v>
      </c>
    </row>
    <row r="278" spans="1:8" x14ac:dyDescent="0.3">
      <c r="A278" t="s">
        <v>44</v>
      </c>
      <c r="B278" t="s">
        <v>39</v>
      </c>
      <c r="C278" t="s">
        <v>26</v>
      </c>
      <c r="D278" t="s">
        <v>25</v>
      </c>
      <c r="E278">
        <v>54</v>
      </c>
      <c r="F278">
        <v>47</v>
      </c>
      <c r="G278">
        <v>101</v>
      </c>
      <c r="H278" t="s">
        <v>95</v>
      </c>
    </row>
    <row r="279" spans="1:8" x14ac:dyDescent="0.3">
      <c r="A279" t="s">
        <v>44</v>
      </c>
      <c r="B279" t="s">
        <v>37</v>
      </c>
      <c r="C279" t="s">
        <v>8</v>
      </c>
      <c r="D279" t="s">
        <v>9</v>
      </c>
      <c r="E279">
        <v>2</v>
      </c>
      <c r="F279">
        <v>5</v>
      </c>
      <c r="G279">
        <v>7</v>
      </c>
      <c r="H279" t="s">
        <v>96</v>
      </c>
    </row>
    <row r="280" spans="1:8" x14ac:dyDescent="0.3">
      <c r="A280" t="s">
        <v>44</v>
      </c>
      <c r="B280" t="s">
        <v>37</v>
      </c>
      <c r="C280" t="s">
        <v>8</v>
      </c>
      <c r="D280" t="s">
        <v>10</v>
      </c>
      <c r="E280">
        <v>5</v>
      </c>
      <c r="F280">
        <v>11</v>
      </c>
      <c r="G280">
        <v>16</v>
      </c>
      <c r="H280" t="s">
        <v>96</v>
      </c>
    </row>
    <row r="281" spans="1:8" x14ac:dyDescent="0.3">
      <c r="A281" t="s">
        <v>44</v>
      </c>
      <c r="B281" t="s">
        <v>37</v>
      </c>
      <c r="C281" t="s">
        <v>8</v>
      </c>
      <c r="D281" t="s">
        <v>11</v>
      </c>
      <c r="E281">
        <v>28</v>
      </c>
      <c r="F281">
        <v>23</v>
      </c>
      <c r="G281">
        <v>51</v>
      </c>
      <c r="H281" t="s">
        <v>96</v>
      </c>
    </row>
    <row r="282" spans="1:8" x14ac:dyDescent="0.3">
      <c r="A282" t="s">
        <v>44</v>
      </c>
      <c r="B282" t="s">
        <v>37</v>
      </c>
      <c r="C282" t="s">
        <v>8</v>
      </c>
      <c r="D282" t="s">
        <v>12</v>
      </c>
      <c r="E282">
        <v>52</v>
      </c>
      <c r="F282">
        <v>59</v>
      </c>
      <c r="G282">
        <v>111</v>
      </c>
      <c r="H282" t="s">
        <v>96</v>
      </c>
    </row>
    <row r="283" spans="1:8" x14ac:dyDescent="0.3">
      <c r="A283" t="s">
        <v>44</v>
      </c>
      <c r="B283" t="s">
        <v>37</v>
      </c>
      <c r="C283" t="s">
        <v>8</v>
      </c>
      <c r="D283" t="s">
        <v>13</v>
      </c>
      <c r="E283">
        <v>64</v>
      </c>
      <c r="F283">
        <v>59</v>
      </c>
      <c r="G283">
        <v>123</v>
      </c>
      <c r="H283" t="s">
        <v>96</v>
      </c>
    </row>
    <row r="284" spans="1:8" x14ac:dyDescent="0.3">
      <c r="A284" t="s">
        <v>44</v>
      </c>
      <c r="B284" t="s">
        <v>37</v>
      </c>
      <c r="C284" t="s">
        <v>8</v>
      </c>
      <c r="D284" t="s">
        <v>14</v>
      </c>
      <c r="E284">
        <v>4</v>
      </c>
      <c r="F284">
        <v>9</v>
      </c>
      <c r="G284">
        <v>13</v>
      </c>
      <c r="H284" t="s">
        <v>96</v>
      </c>
    </row>
    <row r="285" spans="1:8" x14ac:dyDescent="0.3">
      <c r="A285" t="s">
        <v>44</v>
      </c>
      <c r="B285" t="s">
        <v>37</v>
      </c>
      <c r="C285" t="s">
        <v>8</v>
      </c>
      <c r="D285" t="s">
        <v>15</v>
      </c>
      <c r="E285">
        <v>15</v>
      </c>
      <c r="F285">
        <v>10</v>
      </c>
      <c r="G285">
        <v>25</v>
      </c>
      <c r="H285" t="s">
        <v>96</v>
      </c>
    </row>
    <row r="286" spans="1:8" x14ac:dyDescent="0.3">
      <c r="A286" t="s">
        <v>44</v>
      </c>
      <c r="B286" t="s">
        <v>37</v>
      </c>
      <c r="C286" t="s">
        <v>8</v>
      </c>
      <c r="D286" t="s">
        <v>16</v>
      </c>
      <c r="E286">
        <v>12</v>
      </c>
      <c r="F286">
        <v>18</v>
      </c>
      <c r="G286">
        <v>30</v>
      </c>
      <c r="H286" t="s">
        <v>96</v>
      </c>
    </row>
    <row r="287" spans="1:8" x14ac:dyDescent="0.3">
      <c r="A287" t="s">
        <v>44</v>
      </c>
      <c r="B287" t="s">
        <v>37</v>
      </c>
      <c r="C287" t="s">
        <v>8</v>
      </c>
      <c r="D287" t="s">
        <v>17</v>
      </c>
      <c r="E287">
        <v>36</v>
      </c>
      <c r="F287">
        <v>26</v>
      </c>
      <c r="G287">
        <v>62</v>
      </c>
      <c r="H287" t="s">
        <v>96</v>
      </c>
    </row>
    <row r="288" spans="1:8" x14ac:dyDescent="0.3">
      <c r="A288" t="s">
        <v>44</v>
      </c>
      <c r="B288" t="s">
        <v>37</v>
      </c>
      <c r="C288" t="s">
        <v>8</v>
      </c>
      <c r="D288" t="s">
        <v>18</v>
      </c>
      <c r="E288">
        <v>64</v>
      </c>
      <c r="F288">
        <v>37</v>
      </c>
      <c r="G288">
        <v>101</v>
      </c>
      <c r="H288" t="s">
        <v>96</v>
      </c>
    </row>
    <row r="289" spans="1:8" x14ac:dyDescent="0.3">
      <c r="A289" t="s">
        <v>44</v>
      </c>
      <c r="B289" t="s">
        <v>37</v>
      </c>
      <c r="C289" t="s">
        <v>8</v>
      </c>
      <c r="D289" t="s">
        <v>19</v>
      </c>
      <c r="E289">
        <v>150</v>
      </c>
      <c r="F289">
        <v>35</v>
      </c>
      <c r="G289">
        <v>185</v>
      </c>
      <c r="H289" t="s">
        <v>96</v>
      </c>
    </row>
    <row r="290" spans="1:8" x14ac:dyDescent="0.3">
      <c r="A290" t="s">
        <v>44</v>
      </c>
      <c r="B290" t="s">
        <v>37</v>
      </c>
      <c r="C290" t="s">
        <v>8</v>
      </c>
      <c r="D290" t="s">
        <v>20</v>
      </c>
      <c r="E290">
        <v>192</v>
      </c>
      <c r="F290">
        <v>43</v>
      </c>
      <c r="G290">
        <v>235</v>
      </c>
      <c r="H290" t="s">
        <v>96</v>
      </c>
    </row>
    <row r="291" spans="1:8" x14ac:dyDescent="0.3">
      <c r="A291" t="s">
        <v>44</v>
      </c>
      <c r="B291" t="s">
        <v>37</v>
      </c>
      <c r="C291" t="s">
        <v>8</v>
      </c>
      <c r="D291" t="s">
        <v>21</v>
      </c>
      <c r="E291">
        <v>335</v>
      </c>
      <c r="F291">
        <v>43</v>
      </c>
      <c r="G291">
        <v>378</v>
      </c>
      <c r="H291" t="s">
        <v>96</v>
      </c>
    </row>
    <row r="292" spans="1:8" x14ac:dyDescent="0.3">
      <c r="A292" t="s">
        <v>44</v>
      </c>
      <c r="B292" t="s">
        <v>37</v>
      </c>
      <c r="C292" t="s">
        <v>8</v>
      </c>
      <c r="D292" t="s">
        <v>22</v>
      </c>
      <c r="E292">
        <v>666</v>
      </c>
      <c r="F292">
        <v>162</v>
      </c>
      <c r="G292">
        <v>828</v>
      </c>
      <c r="H292" t="s">
        <v>96</v>
      </c>
    </row>
    <row r="293" spans="1:8" x14ac:dyDescent="0.3">
      <c r="A293" t="s">
        <v>44</v>
      </c>
      <c r="B293" t="s">
        <v>37</v>
      </c>
      <c r="C293" t="s">
        <v>8</v>
      </c>
      <c r="D293" t="s">
        <v>23</v>
      </c>
      <c r="E293">
        <v>918</v>
      </c>
      <c r="F293">
        <v>456</v>
      </c>
      <c r="G293">
        <v>1374</v>
      </c>
      <c r="H293" t="s">
        <v>96</v>
      </c>
    </row>
    <row r="294" spans="1:8" x14ac:dyDescent="0.3">
      <c r="A294" t="s">
        <v>44</v>
      </c>
      <c r="B294" t="s">
        <v>37</v>
      </c>
      <c r="C294" t="s">
        <v>8</v>
      </c>
      <c r="D294" t="s">
        <v>24</v>
      </c>
      <c r="E294">
        <v>737</v>
      </c>
      <c r="F294">
        <v>562</v>
      </c>
      <c r="G294">
        <v>1299</v>
      </c>
      <c r="H294" t="s">
        <v>96</v>
      </c>
    </row>
    <row r="295" spans="1:8" x14ac:dyDescent="0.3">
      <c r="A295" t="s">
        <v>44</v>
      </c>
      <c r="B295" t="s">
        <v>37</v>
      </c>
      <c r="C295" t="s">
        <v>8</v>
      </c>
      <c r="D295" t="s">
        <v>25</v>
      </c>
      <c r="E295">
        <v>1341</v>
      </c>
      <c r="F295">
        <v>810</v>
      </c>
      <c r="G295">
        <v>2151</v>
      </c>
      <c r="H295" t="s">
        <v>96</v>
      </c>
    </row>
    <row r="296" spans="1:8" x14ac:dyDescent="0.3">
      <c r="A296" t="s">
        <v>44</v>
      </c>
      <c r="B296" t="s">
        <v>27</v>
      </c>
      <c r="C296" t="s">
        <v>8</v>
      </c>
      <c r="D296" t="s">
        <v>9</v>
      </c>
      <c r="E296">
        <v>35</v>
      </c>
      <c r="F296">
        <v>32</v>
      </c>
      <c r="G296">
        <v>67</v>
      </c>
      <c r="H296" t="s">
        <v>96</v>
      </c>
    </row>
    <row r="297" spans="1:8" x14ac:dyDescent="0.3">
      <c r="A297" t="s">
        <v>44</v>
      </c>
      <c r="B297" t="s">
        <v>27</v>
      </c>
      <c r="C297" t="s">
        <v>8</v>
      </c>
      <c r="D297" t="s">
        <v>10</v>
      </c>
      <c r="E297">
        <v>45</v>
      </c>
      <c r="F297">
        <v>48</v>
      </c>
      <c r="G297">
        <v>93</v>
      </c>
      <c r="H297" t="s">
        <v>96</v>
      </c>
    </row>
    <row r="298" spans="1:8" x14ac:dyDescent="0.3">
      <c r="A298" t="s">
        <v>44</v>
      </c>
      <c r="B298" t="s">
        <v>27</v>
      </c>
      <c r="C298" t="s">
        <v>8</v>
      </c>
      <c r="D298" t="s">
        <v>11</v>
      </c>
      <c r="E298">
        <v>50</v>
      </c>
      <c r="F298">
        <v>39</v>
      </c>
      <c r="G298">
        <v>89</v>
      </c>
      <c r="H298" t="s">
        <v>96</v>
      </c>
    </row>
    <row r="299" spans="1:8" x14ac:dyDescent="0.3">
      <c r="A299" t="s">
        <v>44</v>
      </c>
      <c r="B299" t="s">
        <v>27</v>
      </c>
      <c r="C299" t="s">
        <v>8</v>
      </c>
      <c r="D299" t="s">
        <v>12</v>
      </c>
      <c r="E299">
        <v>20</v>
      </c>
      <c r="F299">
        <v>28</v>
      </c>
      <c r="G299">
        <v>48</v>
      </c>
      <c r="H299" t="s">
        <v>96</v>
      </c>
    </row>
    <row r="300" spans="1:8" x14ac:dyDescent="0.3">
      <c r="A300" t="s">
        <v>44</v>
      </c>
      <c r="B300" t="s">
        <v>27</v>
      </c>
      <c r="C300" t="s">
        <v>8</v>
      </c>
      <c r="D300" t="s">
        <v>13</v>
      </c>
      <c r="E300">
        <v>50</v>
      </c>
      <c r="F300">
        <v>39</v>
      </c>
      <c r="G300">
        <v>89</v>
      </c>
      <c r="H300" t="s">
        <v>96</v>
      </c>
    </row>
    <row r="301" spans="1:8" x14ac:dyDescent="0.3">
      <c r="A301" t="s">
        <v>44</v>
      </c>
      <c r="B301" t="s">
        <v>27</v>
      </c>
      <c r="C301" t="s">
        <v>8</v>
      </c>
      <c r="D301" t="s">
        <v>14</v>
      </c>
      <c r="E301">
        <v>85</v>
      </c>
      <c r="F301">
        <v>46</v>
      </c>
      <c r="G301">
        <v>131</v>
      </c>
      <c r="H301" t="s">
        <v>96</v>
      </c>
    </row>
    <row r="302" spans="1:8" x14ac:dyDescent="0.3">
      <c r="A302" t="s">
        <v>44</v>
      </c>
      <c r="B302" t="s">
        <v>27</v>
      </c>
      <c r="C302" t="s">
        <v>8</v>
      </c>
      <c r="D302" t="s">
        <v>15</v>
      </c>
      <c r="E302">
        <v>66</v>
      </c>
      <c r="F302">
        <v>49</v>
      </c>
      <c r="G302">
        <v>115</v>
      </c>
      <c r="H302" t="s">
        <v>96</v>
      </c>
    </row>
    <row r="303" spans="1:8" x14ac:dyDescent="0.3">
      <c r="A303" t="s">
        <v>44</v>
      </c>
      <c r="B303" t="s">
        <v>27</v>
      </c>
      <c r="C303" t="s">
        <v>8</v>
      </c>
      <c r="D303" t="s">
        <v>16</v>
      </c>
      <c r="E303">
        <v>29</v>
      </c>
      <c r="F303">
        <v>32</v>
      </c>
      <c r="G303">
        <v>61</v>
      </c>
      <c r="H303" t="s">
        <v>96</v>
      </c>
    </row>
    <row r="304" spans="1:8" x14ac:dyDescent="0.3">
      <c r="A304" t="s">
        <v>44</v>
      </c>
      <c r="B304" t="s">
        <v>27</v>
      </c>
      <c r="C304" t="s">
        <v>8</v>
      </c>
      <c r="D304" t="s">
        <v>17</v>
      </c>
      <c r="E304">
        <v>27</v>
      </c>
      <c r="F304">
        <v>26</v>
      </c>
      <c r="G304">
        <v>53</v>
      </c>
      <c r="H304" t="s">
        <v>96</v>
      </c>
    </row>
    <row r="305" spans="1:8" x14ac:dyDescent="0.3">
      <c r="A305" t="s">
        <v>44</v>
      </c>
      <c r="B305" t="s">
        <v>27</v>
      </c>
      <c r="C305" t="s">
        <v>8</v>
      </c>
      <c r="D305" t="s">
        <v>18</v>
      </c>
      <c r="E305">
        <v>16</v>
      </c>
      <c r="F305">
        <v>12</v>
      </c>
      <c r="G305">
        <v>28</v>
      </c>
      <c r="H305" t="s">
        <v>96</v>
      </c>
    </row>
    <row r="306" spans="1:8" x14ac:dyDescent="0.3">
      <c r="A306" t="s">
        <v>44</v>
      </c>
      <c r="B306" t="s">
        <v>27</v>
      </c>
      <c r="C306" t="s">
        <v>8</v>
      </c>
      <c r="D306" t="s">
        <v>19</v>
      </c>
      <c r="E306">
        <v>11</v>
      </c>
      <c r="F306">
        <v>13</v>
      </c>
      <c r="G306">
        <v>24</v>
      </c>
      <c r="H306" t="s">
        <v>96</v>
      </c>
    </row>
    <row r="307" spans="1:8" x14ac:dyDescent="0.3">
      <c r="A307" t="s">
        <v>44</v>
      </c>
      <c r="B307" t="s">
        <v>27</v>
      </c>
      <c r="C307" t="s">
        <v>8</v>
      </c>
      <c r="D307" t="s">
        <v>20</v>
      </c>
      <c r="E307">
        <v>4</v>
      </c>
      <c r="F307">
        <v>9</v>
      </c>
      <c r="G307">
        <v>13</v>
      </c>
      <c r="H307" t="s">
        <v>96</v>
      </c>
    </row>
    <row r="308" spans="1:8" x14ac:dyDescent="0.3">
      <c r="A308" t="s">
        <v>44</v>
      </c>
      <c r="B308" t="s">
        <v>27</v>
      </c>
      <c r="C308" t="s">
        <v>8</v>
      </c>
      <c r="D308" t="s">
        <v>21</v>
      </c>
      <c r="E308">
        <v>2</v>
      </c>
      <c r="F308">
        <v>4</v>
      </c>
      <c r="G308">
        <v>6</v>
      </c>
      <c r="H308" t="s">
        <v>96</v>
      </c>
    </row>
    <row r="309" spans="1:8" x14ac:dyDescent="0.3">
      <c r="A309" t="s">
        <v>44</v>
      </c>
      <c r="B309" t="s">
        <v>27</v>
      </c>
      <c r="C309" t="s">
        <v>8</v>
      </c>
      <c r="D309" t="s">
        <v>22</v>
      </c>
      <c r="E309">
        <v>4</v>
      </c>
      <c r="F309">
        <v>12</v>
      </c>
      <c r="G309">
        <v>16</v>
      </c>
      <c r="H309" t="s">
        <v>96</v>
      </c>
    </row>
    <row r="310" spans="1:8" x14ac:dyDescent="0.3">
      <c r="A310" t="s">
        <v>44</v>
      </c>
      <c r="B310" t="s">
        <v>27</v>
      </c>
      <c r="C310" t="s">
        <v>8</v>
      </c>
      <c r="D310" t="s">
        <v>23</v>
      </c>
      <c r="E310">
        <v>1</v>
      </c>
      <c r="F310">
        <v>1</v>
      </c>
      <c r="G310">
        <v>2</v>
      </c>
      <c r="H310" t="s">
        <v>96</v>
      </c>
    </row>
    <row r="311" spans="1:8" x14ac:dyDescent="0.3">
      <c r="A311" t="s">
        <v>44</v>
      </c>
      <c r="B311" t="s">
        <v>27</v>
      </c>
      <c r="C311" t="s">
        <v>8</v>
      </c>
      <c r="D311" t="s">
        <v>25</v>
      </c>
      <c r="E311">
        <v>1</v>
      </c>
      <c r="F311">
        <v>1</v>
      </c>
      <c r="G311">
        <v>2</v>
      </c>
      <c r="H311" t="s">
        <v>96</v>
      </c>
    </row>
    <row r="312" spans="1:8" x14ac:dyDescent="0.3">
      <c r="A312" t="s">
        <v>44</v>
      </c>
      <c r="B312" t="s">
        <v>27</v>
      </c>
      <c r="C312" t="s">
        <v>26</v>
      </c>
      <c r="D312" t="s">
        <v>9</v>
      </c>
      <c r="E312">
        <v>233</v>
      </c>
      <c r="F312">
        <v>242</v>
      </c>
      <c r="G312">
        <v>475</v>
      </c>
      <c r="H312" t="s">
        <v>96</v>
      </c>
    </row>
    <row r="313" spans="1:8" x14ac:dyDescent="0.3">
      <c r="A313" t="s">
        <v>44</v>
      </c>
      <c r="B313" t="s">
        <v>27</v>
      </c>
      <c r="C313" t="s">
        <v>26</v>
      </c>
      <c r="D313" t="s">
        <v>10</v>
      </c>
      <c r="E313">
        <v>320</v>
      </c>
      <c r="F313">
        <v>306</v>
      </c>
      <c r="G313">
        <v>626</v>
      </c>
      <c r="H313" t="s">
        <v>96</v>
      </c>
    </row>
    <row r="314" spans="1:8" x14ac:dyDescent="0.3">
      <c r="A314" t="s">
        <v>44</v>
      </c>
      <c r="B314" t="s">
        <v>27</v>
      </c>
      <c r="C314" t="s">
        <v>26</v>
      </c>
      <c r="D314" t="s">
        <v>11</v>
      </c>
      <c r="E314">
        <v>321</v>
      </c>
      <c r="F314">
        <v>375</v>
      </c>
      <c r="G314">
        <v>696</v>
      </c>
      <c r="H314" t="s">
        <v>96</v>
      </c>
    </row>
    <row r="315" spans="1:8" x14ac:dyDescent="0.3">
      <c r="A315" t="s">
        <v>44</v>
      </c>
      <c r="B315" t="s">
        <v>27</v>
      </c>
      <c r="C315" t="s">
        <v>26</v>
      </c>
      <c r="D315" t="s">
        <v>12</v>
      </c>
      <c r="E315">
        <v>271</v>
      </c>
      <c r="F315">
        <v>260</v>
      </c>
      <c r="G315">
        <v>531</v>
      </c>
      <c r="H315" t="s">
        <v>96</v>
      </c>
    </row>
    <row r="316" spans="1:8" x14ac:dyDescent="0.3">
      <c r="A316" t="s">
        <v>44</v>
      </c>
      <c r="B316" t="s">
        <v>27</v>
      </c>
      <c r="C316" t="s">
        <v>26</v>
      </c>
      <c r="D316" t="s">
        <v>13</v>
      </c>
      <c r="E316">
        <v>277</v>
      </c>
      <c r="F316">
        <v>191</v>
      </c>
      <c r="G316">
        <v>468</v>
      </c>
      <c r="H316" t="s">
        <v>96</v>
      </c>
    </row>
    <row r="317" spans="1:8" x14ac:dyDescent="0.3">
      <c r="A317" t="s">
        <v>44</v>
      </c>
      <c r="B317" t="s">
        <v>27</v>
      </c>
      <c r="C317" t="s">
        <v>26</v>
      </c>
      <c r="D317" t="s">
        <v>14</v>
      </c>
      <c r="E317">
        <v>225</v>
      </c>
      <c r="F317">
        <v>149</v>
      </c>
      <c r="G317">
        <v>374</v>
      </c>
      <c r="H317" t="s">
        <v>96</v>
      </c>
    </row>
    <row r="318" spans="1:8" x14ac:dyDescent="0.3">
      <c r="A318" t="s">
        <v>44</v>
      </c>
      <c r="B318" t="s">
        <v>27</v>
      </c>
      <c r="C318" t="s">
        <v>26</v>
      </c>
      <c r="D318" t="s">
        <v>15</v>
      </c>
      <c r="E318">
        <v>241</v>
      </c>
      <c r="F318">
        <v>123</v>
      </c>
      <c r="G318">
        <v>364</v>
      </c>
      <c r="H318" t="s">
        <v>96</v>
      </c>
    </row>
    <row r="319" spans="1:8" x14ac:dyDescent="0.3">
      <c r="A319" t="s">
        <v>44</v>
      </c>
      <c r="B319" t="s">
        <v>27</v>
      </c>
      <c r="C319" t="s">
        <v>26</v>
      </c>
      <c r="D319" t="s">
        <v>16</v>
      </c>
      <c r="E319">
        <v>212</v>
      </c>
      <c r="F319">
        <v>108</v>
      </c>
      <c r="G319">
        <v>320</v>
      </c>
      <c r="H319" t="s">
        <v>96</v>
      </c>
    </row>
    <row r="320" spans="1:8" x14ac:dyDescent="0.3">
      <c r="A320" t="s">
        <v>44</v>
      </c>
      <c r="B320" t="s">
        <v>27</v>
      </c>
      <c r="C320" t="s">
        <v>26</v>
      </c>
      <c r="D320" t="s">
        <v>17</v>
      </c>
      <c r="E320">
        <v>177</v>
      </c>
      <c r="F320">
        <v>98</v>
      </c>
      <c r="G320">
        <v>275</v>
      </c>
      <c r="H320" t="s">
        <v>96</v>
      </c>
    </row>
    <row r="321" spans="1:8" x14ac:dyDescent="0.3">
      <c r="A321" t="s">
        <v>44</v>
      </c>
      <c r="B321" t="s">
        <v>27</v>
      </c>
      <c r="C321" t="s">
        <v>26</v>
      </c>
      <c r="D321" t="s">
        <v>18</v>
      </c>
      <c r="E321">
        <v>179</v>
      </c>
      <c r="F321">
        <v>101</v>
      </c>
      <c r="G321">
        <v>280</v>
      </c>
      <c r="H321" t="s">
        <v>96</v>
      </c>
    </row>
    <row r="322" spans="1:8" x14ac:dyDescent="0.3">
      <c r="A322" t="s">
        <v>44</v>
      </c>
      <c r="B322" t="s">
        <v>27</v>
      </c>
      <c r="C322" t="s">
        <v>26</v>
      </c>
      <c r="D322" t="s">
        <v>19</v>
      </c>
      <c r="E322">
        <v>159</v>
      </c>
      <c r="F322">
        <v>114</v>
      </c>
      <c r="G322">
        <v>273</v>
      </c>
      <c r="H322" t="s">
        <v>96</v>
      </c>
    </row>
    <row r="323" spans="1:8" x14ac:dyDescent="0.3">
      <c r="A323" t="s">
        <v>44</v>
      </c>
      <c r="B323" t="s">
        <v>27</v>
      </c>
      <c r="C323" t="s">
        <v>26</v>
      </c>
      <c r="D323" t="s">
        <v>20</v>
      </c>
      <c r="E323">
        <v>106</v>
      </c>
      <c r="F323">
        <v>85</v>
      </c>
      <c r="G323">
        <v>191</v>
      </c>
      <c r="H323" t="s">
        <v>96</v>
      </c>
    </row>
    <row r="324" spans="1:8" x14ac:dyDescent="0.3">
      <c r="A324" t="s">
        <v>44</v>
      </c>
      <c r="B324" t="s">
        <v>27</v>
      </c>
      <c r="C324" t="s">
        <v>26</v>
      </c>
      <c r="D324" t="s">
        <v>21</v>
      </c>
      <c r="E324">
        <v>76</v>
      </c>
      <c r="F324">
        <v>61</v>
      </c>
      <c r="G324">
        <v>137</v>
      </c>
      <c r="H324" t="s">
        <v>96</v>
      </c>
    </row>
    <row r="325" spans="1:8" x14ac:dyDescent="0.3">
      <c r="A325" t="s">
        <v>44</v>
      </c>
      <c r="B325" t="s">
        <v>27</v>
      </c>
      <c r="C325" t="s">
        <v>26</v>
      </c>
      <c r="D325" t="s">
        <v>22</v>
      </c>
      <c r="E325">
        <v>61</v>
      </c>
      <c r="F325">
        <v>51</v>
      </c>
      <c r="G325">
        <v>112</v>
      </c>
      <c r="H325" t="s">
        <v>96</v>
      </c>
    </row>
    <row r="326" spans="1:8" x14ac:dyDescent="0.3">
      <c r="A326" t="s">
        <v>44</v>
      </c>
      <c r="B326" t="s">
        <v>27</v>
      </c>
      <c r="C326" t="s">
        <v>26</v>
      </c>
      <c r="D326" t="s">
        <v>23</v>
      </c>
      <c r="E326">
        <v>48</v>
      </c>
      <c r="F326">
        <v>41</v>
      </c>
      <c r="G326">
        <v>89</v>
      </c>
      <c r="H326" t="s">
        <v>96</v>
      </c>
    </row>
    <row r="327" spans="1:8" x14ac:dyDescent="0.3">
      <c r="A327" t="s">
        <v>44</v>
      </c>
      <c r="B327" t="s">
        <v>27</v>
      </c>
      <c r="C327" t="s">
        <v>26</v>
      </c>
      <c r="D327" t="s">
        <v>24</v>
      </c>
      <c r="E327">
        <v>32</v>
      </c>
      <c r="F327">
        <v>23</v>
      </c>
      <c r="G327">
        <v>55</v>
      </c>
      <c r="H327" t="s">
        <v>96</v>
      </c>
    </row>
    <row r="328" spans="1:8" x14ac:dyDescent="0.3">
      <c r="A328" t="s">
        <v>44</v>
      </c>
      <c r="B328" t="s">
        <v>27</v>
      </c>
      <c r="C328" t="s">
        <v>26</v>
      </c>
      <c r="D328" t="s">
        <v>25</v>
      </c>
      <c r="E328">
        <v>61</v>
      </c>
      <c r="F328">
        <v>40</v>
      </c>
      <c r="G328">
        <v>101</v>
      </c>
      <c r="H328" t="s">
        <v>96</v>
      </c>
    </row>
    <row r="329" spans="1:8" x14ac:dyDescent="0.3">
      <c r="A329" t="s">
        <v>44</v>
      </c>
      <c r="B329" t="s">
        <v>28</v>
      </c>
      <c r="C329" t="s">
        <v>8</v>
      </c>
      <c r="D329" t="s">
        <v>9</v>
      </c>
      <c r="E329">
        <v>8425</v>
      </c>
      <c r="F329">
        <v>8914</v>
      </c>
      <c r="G329">
        <v>17339</v>
      </c>
      <c r="H329" t="s">
        <v>95</v>
      </c>
    </row>
    <row r="330" spans="1:8" x14ac:dyDescent="0.3">
      <c r="A330" t="s">
        <v>44</v>
      </c>
      <c r="B330" t="s">
        <v>28</v>
      </c>
      <c r="C330" t="s">
        <v>8</v>
      </c>
      <c r="D330" t="s">
        <v>10</v>
      </c>
      <c r="E330">
        <v>11077</v>
      </c>
      <c r="F330">
        <v>11540</v>
      </c>
      <c r="G330">
        <v>22617</v>
      </c>
      <c r="H330" t="s">
        <v>95</v>
      </c>
    </row>
    <row r="331" spans="1:8" x14ac:dyDescent="0.3">
      <c r="A331" t="s">
        <v>44</v>
      </c>
      <c r="B331" t="s">
        <v>28</v>
      </c>
      <c r="C331" t="s">
        <v>8</v>
      </c>
      <c r="D331" t="s">
        <v>11</v>
      </c>
      <c r="E331">
        <v>12248</v>
      </c>
      <c r="F331">
        <v>12657</v>
      </c>
      <c r="G331">
        <v>24905</v>
      </c>
      <c r="H331" t="s">
        <v>95</v>
      </c>
    </row>
    <row r="332" spans="1:8" x14ac:dyDescent="0.3">
      <c r="A332" t="s">
        <v>44</v>
      </c>
      <c r="B332" t="s">
        <v>28</v>
      </c>
      <c r="C332" t="s">
        <v>8</v>
      </c>
      <c r="D332" t="s">
        <v>12</v>
      </c>
      <c r="E332">
        <v>13698</v>
      </c>
      <c r="F332">
        <v>14086</v>
      </c>
      <c r="G332">
        <v>27784</v>
      </c>
      <c r="H332" t="s">
        <v>95</v>
      </c>
    </row>
    <row r="333" spans="1:8" x14ac:dyDescent="0.3">
      <c r="A333" t="s">
        <v>44</v>
      </c>
      <c r="B333" t="s">
        <v>28</v>
      </c>
      <c r="C333" t="s">
        <v>8</v>
      </c>
      <c r="D333" t="s">
        <v>13</v>
      </c>
      <c r="E333">
        <v>18784</v>
      </c>
      <c r="F333">
        <v>21404</v>
      </c>
      <c r="G333">
        <v>40188</v>
      </c>
      <c r="H333" t="s">
        <v>95</v>
      </c>
    </row>
    <row r="334" spans="1:8" x14ac:dyDescent="0.3">
      <c r="A334" t="s">
        <v>44</v>
      </c>
      <c r="B334" t="s">
        <v>28</v>
      </c>
      <c r="C334" t="s">
        <v>8</v>
      </c>
      <c r="D334" t="s">
        <v>14</v>
      </c>
      <c r="E334">
        <v>19868</v>
      </c>
      <c r="F334">
        <v>22997</v>
      </c>
      <c r="G334">
        <v>42865</v>
      </c>
      <c r="H334" t="s">
        <v>95</v>
      </c>
    </row>
    <row r="335" spans="1:8" x14ac:dyDescent="0.3">
      <c r="A335" t="s">
        <v>44</v>
      </c>
      <c r="B335" t="s">
        <v>28</v>
      </c>
      <c r="C335" t="s">
        <v>8</v>
      </c>
      <c r="D335" t="s">
        <v>15</v>
      </c>
      <c r="E335">
        <v>20612</v>
      </c>
      <c r="F335">
        <v>23226</v>
      </c>
      <c r="G335">
        <v>43838</v>
      </c>
      <c r="H335" t="s">
        <v>95</v>
      </c>
    </row>
    <row r="336" spans="1:8" x14ac:dyDescent="0.3">
      <c r="A336" t="s">
        <v>44</v>
      </c>
      <c r="B336" t="s">
        <v>28</v>
      </c>
      <c r="C336" t="s">
        <v>8</v>
      </c>
      <c r="D336" t="s">
        <v>16</v>
      </c>
      <c r="E336">
        <v>17242</v>
      </c>
      <c r="F336">
        <v>18374</v>
      </c>
      <c r="G336">
        <v>35616</v>
      </c>
      <c r="H336" t="s">
        <v>95</v>
      </c>
    </row>
    <row r="337" spans="1:8" x14ac:dyDescent="0.3">
      <c r="A337" t="s">
        <v>44</v>
      </c>
      <c r="B337" t="s">
        <v>28</v>
      </c>
      <c r="C337" t="s">
        <v>8</v>
      </c>
      <c r="D337" t="s">
        <v>17</v>
      </c>
      <c r="E337">
        <v>15675</v>
      </c>
      <c r="F337">
        <v>16058</v>
      </c>
      <c r="G337">
        <v>31733</v>
      </c>
      <c r="H337" t="s">
        <v>95</v>
      </c>
    </row>
    <row r="338" spans="1:8" x14ac:dyDescent="0.3">
      <c r="A338" t="s">
        <v>44</v>
      </c>
      <c r="B338" t="s">
        <v>28</v>
      </c>
      <c r="C338" t="s">
        <v>8</v>
      </c>
      <c r="D338" t="s">
        <v>18</v>
      </c>
      <c r="E338">
        <v>15934</v>
      </c>
      <c r="F338">
        <v>14932</v>
      </c>
      <c r="G338">
        <v>30866</v>
      </c>
      <c r="H338" t="s">
        <v>95</v>
      </c>
    </row>
    <row r="339" spans="1:8" x14ac:dyDescent="0.3">
      <c r="A339" t="s">
        <v>44</v>
      </c>
      <c r="B339" t="s">
        <v>28</v>
      </c>
      <c r="C339" t="s">
        <v>8</v>
      </c>
      <c r="D339" t="s">
        <v>19</v>
      </c>
      <c r="E339">
        <v>17368</v>
      </c>
      <c r="F339">
        <v>15334</v>
      </c>
      <c r="G339">
        <v>32702</v>
      </c>
      <c r="H339" t="s">
        <v>95</v>
      </c>
    </row>
    <row r="340" spans="1:8" x14ac:dyDescent="0.3">
      <c r="A340" t="s">
        <v>44</v>
      </c>
      <c r="B340" t="s">
        <v>28</v>
      </c>
      <c r="C340" t="s">
        <v>8</v>
      </c>
      <c r="D340" t="s">
        <v>20</v>
      </c>
      <c r="E340">
        <v>20461</v>
      </c>
      <c r="F340">
        <v>17271</v>
      </c>
      <c r="G340">
        <v>37732</v>
      </c>
      <c r="H340" t="s">
        <v>95</v>
      </c>
    </row>
    <row r="341" spans="1:8" x14ac:dyDescent="0.3">
      <c r="A341" t="s">
        <v>44</v>
      </c>
      <c r="B341" t="s">
        <v>28</v>
      </c>
      <c r="C341" t="s">
        <v>8</v>
      </c>
      <c r="D341" t="s">
        <v>21</v>
      </c>
      <c r="E341">
        <v>23148</v>
      </c>
      <c r="F341">
        <v>17790</v>
      </c>
      <c r="G341">
        <v>40938</v>
      </c>
      <c r="H341" t="s">
        <v>95</v>
      </c>
    </row>
    <row r="342" spans="1:8" x14ac:dyDescent="0.3">
      <c r="A342" t="s">
        <v>44</v>
      </c>
      <c r="B342" t="s">
        <v>28</v>
      </c>
      <c r="C342" t="s">
        <v>8</v>
      </c>
      <c r="D342" t="s">
        <v>22</v>
      </c>
      <c r="E342">
        <v>22414</v>
      </c>
      <c r="F342">
        <v>15858</v>
      </c>
      <c r="G342">
        <v>38272</v>
      </c>
      <c r="H342" t="s">
        <v>95</v>
      </c>
    </row>
    <row r="343" spans="1:8" x14ac:dyDescent="0.3">
      <c r="A343" t="s">
        <v>44</v>
      </c>
      <c r="B343" t="s">
        <v>28</v>
      </c>
      <c r="C343" t="s">
        <v>8</v>
      </c>
      <c r="D343" t="s">
        <v>23</v>
      </c>
      <c r="E343">
        <v>20890</v>
      </c>
      <c r="F343">
        <v>14003</v>
      </c>
      <c r="G343">
        <v>34893</v>
      </c>
      <c r="H343" t="s">
        <v>95</v>
      </c>
    </row>
    <row r="344" spans="1:8" x14ac:dyDescent="0.3">
      <c r="A344" t="s">
        <v>44</v>
      </c>
      <c r="B344" t="s">
        <v>28</v>
      </c>
      <c r="C344" t="s">
        <v>8</v>
      </c>
      <c r="D344" t="s">
        <v>24</v>
      </c>
      <c r="E344">
        <v>17223</v>
      </c>
      <c r="F344">
        <v>11342</v>
      </c>
      <c r="G344">
        <v>28565</v>
      </c>
      <c r="H344" t="s">
        <v>95</v>
      </c>
    </row>
    <row r="345" spans="1:8" x14ac:dyDescent="0.3">
      <c r="A345" t="s">
        <v>44</v>
      </c>
      <c r="B345" t="s">
        <v>28</v>
      </c>
      <c r="C345" t="s">
        <v>8</v>
      </c>
      <c r="D345" t="s">
        <v>25</v>
      </c>
      <c r="E345">
        <v>27442</v>
      </c>
      <c r="F345">
        <v>16697</v>
      </c>
      <c r="G345">
        <v>44139</v>
      </c>
      <c r="H345" t="s">
        <v>95</v>
      </c>
    </row>
    <row r="346" spans="1:8" x14ac:dyDescent="0.3">
      <c r="A346" t="s">
        <v>44</v>
      </c>
      <c r="B346" t="s">
        <v>28</v>
      </c>
      <c r="C346" t="s">
        <v>26</v>
      </c>
      <c r="D346" t="s">
        <v>9</v>
      </c>
      <c r="E346">
        <v>9678</v>
      </c>
      <c r="F346">
        <v>9911</v>
      </c>
      <c r="G346">
        <v>19589</v>
      </c>
      <c r="H346" t="s">
        <v>95</v>
      </c>
    </row>
    <row r="347" spans="1:8" x14ac:dyDescent="0.3">
      <c r="A347" t="s">
        <v>44</v>
      </c>
      <c r="B347" t="s">
        <v>28</v>
      </c>
      <c r="C347" t="s">
        <v>26</v>
      </c>
      <c r="D347" t="s">
        <v>10</v>
      </c>
      <c r="E347">
        <v>11875</v>
      </c>
      <c r="F347">
        <v>12275</v>
      </c>
      <c r="G347">
        <v>24150</v>
      </c>
      <c r="H347" t="s">
        <v>95</v>
      </c>
    </row>
    <row r="348" spans="1:8" x14ac:dyDescent="0.3">
      <c r="A348" t="s">
        <v>44</v>
      </c>
      <c r="B348" t="s">
        <v>28</v>
      </c>
      <c r="C348" t="s">
        <v>26</v>
      </c>
      <c r="D348" t="s">
        <v>11</v>
      </c>
      <c r="E348">
        <v>12232</v>
      </c>
      <c r="F348">
        <v>12827</v>
      </c>
      <c r="G348">
        <v>25059</v>
      </c>
      <c r="H348" t="s">
        <v>95</v>
      </c>
    </row>
    <row r="349" spans="1:8" x14ac:dyDescent="0.3">
      <c r="A349" t="s">
        <v>44</v>
      </c>
      <c r="B349" t="s">
        <v>28</v>
      </c>
      <c r="C349" t="s">
        <v>26</v>
      </c>
      <c r="D349" t="s">
        <v>12</v>
      </c>
      <c r="E349">
        <v>13837</v>
      </c>
      <c r="F349">
        <v>13174</v>
      </c>
      <c r="G349">
        <v>27011</v>
      </c>
      <c r="H349" t="s">
        <v>95</v>
      </c>
    </row>
    <row r="350" spans="1:8" x14ac:dyDescent="0.3">
      <c r="A350" t="s">
        <v>44</v>
      </c>
      <c r="B350" t="s">
        <v>28</v>
      </c>
      <c r="C350" t="s">
        <v>26</v>
      </c>
      <c r="D350" t="s">
        <v>13</v>
      </c>
      <c r="E350">
        <v>16585</v>
      </c>
      <c r="F350">
        <v>14474</v>
      </c>
      <c r="G350">
        <v>31059</v>
      </c>
      <c r="H350" t="s">
        <v>95</v>
      </c>
    </row>
    <row r="351" spans="1:8" x14ac:dyDescent="0.3">
      <c r="A351" t="s">
        <v>44</v>
      </c>
      <c r="B351" t="s">
        <v>28</v>
      </c>
      <c r="C351" t="s">
        <v>26</v>
      </c>
      <c r="D351" t="s">
        <v>14</v>
      </c>
      <c r="E351">
        <v>19334</v>
      </c>
      <c r="F351">
        <v>17483</v>
      </c>
      <c r="G351">
        <v>36817</v>
      </c>
      <c r="H351" t="s">
        <v>95</v>
      </c>
    </row>
    <row r="352" spans="1:8" x14ac:dyDescent="0.3">
      <c r="A352" t="s">
        <v>44</v>
      </c>
      <c r="B352" t="s">
        <v>28</v>
      </c>
      <c r="C352" t="s">
        <v>26</v>
      </c>
      <c r="D352" t="s">
        <v>15</v>
      </c>
      <c r="E352">
        <v>17230</v>
      </c>
      <c r="F352">
        <v>16515</v>
      </c>
      <c r="G352">
        <v>33745</v>
      </c>
      <c r="H352" t="s">
        <v>95</v>
      </c>
    </row>
    <row r="353" spans="1:8" x14ac:dyDescent="0.3">
      <c r="A353" t="s">
        <v>44</v>
      </c>
      <c r="B353" t="s">
        <v>28</v>
      </c>
      <c r="C353" t="s">
        <v>26</v>
      </c>
      <c r="D353" t="s">
        <v>16</v>
      </c>
      <c r="E353">
        <v>14084</v>
      </c>
      <c r="F353">
        <v>12930</v>
      </c>
      <c r="G353">
        <v>27014</v>
      </c>
      <c r="H353" t="s">
        <v>95</v>
      </c>
    </row>
    <row r="354" spans="1:8" x14ac:dyDescent="0.3">
      <c r="A354" t="s">
        <v>44</v>
      </c>
      <c r="B354" t="s">
        <v>28</v>
      </c>
      <c r="C354" t="s">
        <v>26</v>
      </c>
      <c r="D354" t="s">
        <v>17</v>
      </c>
      <c r="E354">
        <v>13104</v>
      </c>
      <c r="F354">
        <v>11231</v>
      </c>
      <c r="G354">
        <v>24335</v>
      </c>
      <c r="H354" t="s">
        <v>95</v>
      </c>
    </row>
    <row r="355" spans="1:8" x14ac:dyDescent="0.3">
      <c r="A355" t="s">
        <v>44</v>
      </c>
      <c r="B355" t="s">
        <v>28</v>
      </c>
      <c r="C355" t="s">
        <v>26</v>
      </c>
      <c r="D355" t="s">
        <v>18</v>
      </c>
      <c r="E355">
        <v>12285</v>
      </c>
      <c r="F355">
        <v>10557</v>
      </c>
      <c r="G355">
        <v>22842</v>
      </c>
      <c r="H355" t="s">
        <v>95</v>
      </c>
    </row>
    <row r="356" spans="1:8" x14ac:dyDescent="0.3">
      <c r="A356" t="s">
        <v>44</v>
      </c>
      <c r="B356" t="s">
        <v>28</v>
      </c>
      <c r="C356" t="s">
        <v>26</v>
      </c>
      <c r="D356" t="s">
        <v>19</v>
      </c>
      <c r="E356">
        <v>11875</v>
      </c>
      <c r="F356">
        <v>10133</v>
      </c>
      <c r="G356">
        <v>22008</v>
      </c>
      <c r="H356" t="s">
        <v>95</v>
      </c>
    </row>
    <row r="357" spans="1:8" x14ac:dyDescent="0.3">
      <c r="A357" t="s">
        <v>44</v>
      </c>
      <c r="B357" t="s">
        <v>28</v>
      </c>
      <c r="C357" t="s">
        <v>26</v>
      </c>
      <c r="D357" t="s">
        <v>20</v>
      </c>
      <c r="E357">
        <v>11606</v>
      </c>
      <c r="F357">
        <v>10356</v>
      </c>
      <c r="G357">
        <v>21962</v>
      </c>
      <c r="H357" t="s">
        <v>95</v>
      </c>
    </row>
    <row r="358" spans="1:8" x14ac:dyDescent="0.3">
      <c r="A358" t="s">
        <v>44</v>
      </c>
      <c r="B358" t="s">
        <v>28</v>
      </c>
      <c r="C358" t="s">
        <v>26</v>
      </c>
      <c r="D358" t="s">
        <v>21</v>
      </c>
      <c r="E358">
        <v>10440</v>
      </c>
      <c r="F358">
        <v>9791</v>
      </c>
      <c r="G358">
        <v>20231</v>
      </c>
      <c r="H358" t="s">
        <v>95</v>
      </c>
    </row>
    <row r="359" spans="1:8" x14ac:dyDescent="0.3">
      <c r="A359" t="s">
        <v>44</v>
      </c>
      <c r="B359" t="s">
        <v>28</v>
      </c>
      <c r="C359" t="s">
        <v>26</v>
      </c>
      <c r="D359" t="s">
        <v>22</v>
      </c>
      <c r="E359">
        <v>8069</v>
      </c>
      <c r="F359">
        <v>7763</v>
      </c>
      <c r="G359">
        <v>15832</v>
      </c>
      <c r="H359" t="s">
        <v>95</v>
      </c>
    </row>
    <row r="360" spans="1:8" x14ac:dyDescent="0.3">
      <c r="A360" t="s">
        <v>44</v>
      </c>
      <c r="B360" t="s">
        <v>28</v>
      </c>
      <c r="C360" t="s">
        <v>26</v>
      </c>
      <c r="D360" t="s">
        <v>23</v>
      </c>
      <c r="E360">
        <v>6023</v>
      </c>
      <c r="F360">
        <v>5966</v>
      </c>
      <c r="G360">
        <v>11989</v>
      </c>
      <c r="H360" t="s">
        <v>95</v>
      </c>
    </row>
    <row r="361" spans="1:8" x14ac:dyDescent="0.3">
      <c r="A361" t="s">
        <v>44</v>
      </c>
      <c r="B361" t="s">
        <v>28</v>
      </c>
      <c r="C361" t="s">
        <v>26</v>
      </c>
      <c r="D361" t="s">
        <v>24</v>
      </c>
      <c r="E361">
        <v>3979</v>
      </c>
      <c r="F361">
        <v>3666</v>
      </c>
      <c r="G361">
        <v>7645</v>
      </c>
      <c r="H361" t="s">
        <v>95</v>
      </c>
    </row>
    <row r="362" spans="1:8" x14ac:dyDescent="0.3">
      <c r="A362" t="s">
        <v>44</v>
      </c>
      <c r="B362" t="s">
        <v>28</v>
      </c>
      <c r="C362" t="s">
        <v>26</v>
      </c>
      <c r="D362" t="s">
        <v>25</v>
      </c>
      <c r="E362">
        <v>5337</v>
      </c>
      <c r="F362">
        <v>4332</v>
      </c>
      <c r="G362">
        <v>9669</v>
      </c>
      <c r="H362" t="s">
        <v>95</v>
      </c>
    </row>
    <row r="363" spans="1:8" x14ac:dyDescent="0.3">
      <c r="A363" t="s">
        <v>44</v>
      </c>
      <c r="B363" t="s">
        <v>29</v>
      </c>
      <c r="C363" t="s">
        <v>30</v>
      </c>
      <c r="D363" t="s">
        <v>9</v>
      </c>
      <c r="E363">
        <v>478</v>
      </c>
      <c r="F363">
        <v>476</v>
      </c>
      <c r="G363">
        <v>954</v>
      </c>
      <c r="H363" t="s">
        <v>96</v>
      </c>
    </row>
    <row r="364" spans="1:8" x14ac:dyDescent="0.3">
      <c r="A364" t="s">
        <v>44</v>
      </c>
      <c r="B364" t="s">
        <v>29</v>
      </c>
      <c r="C364" t="s">
        <v>30</v>
      </c>
      <c r="D364" t="s">
        <v>10</v>
      </c>
      <c r="E364">
        <v>918</v>
      </c>
      <c r="F364">
        <v>942</v>
      </c>
      <c r="G364">
        <v>1860</v>
      </c>
      <c r="H364" t="s">
        <v>96</v>
      </c>
    </row>
    <row r="365" spans="1:8" x14ac:dyDescent="0.3">
      <c r="A365" t="s">
        <v>44</v>
      </c>
      <c r="B365" t="s">
        <v>29</v>
      </c>
      <c r="C365" t="s">
        <v>30</v>
      </c>
      <c r="D365" t="s">
        <v>11</v>
      </c>
      <c r="E365">
        <v>1251</v>
      </c>
      <c r="F365">
        <v>1362</v>
      </c>
      <c r="G365">
        <v>2613</v>
      </c>
      <c r="H365" t="s">
        <v>96</v>
      </c>
    </row>
    <row r="366" spans="1:8" x14ac:dyDescent="0.3">
      <c r="A366" t="s">
        <v>44</v>
      </c>
      <c r="B366" t="s">
        <v>29</v>
      </c>
      <c r="C366" t="s">
        <v>30</v>
      </c>
      <c r="D366" t="s">
        <v>12</v>
      </c>
      <c r="E366">
        <v>1613</v>
      </c>
      <c r="F366">
        <v>1702</v>
      </c>
      <c r="G366">
        <v>3315</v>
      </c>
      <c r="H366" t="s">
        <v>96</v>
      </c>
    </row>
    <row r="367" spans="1:8" x14ac:dyDescent="0.3">
      <c r="A367" t="s">
        <v>44</v>
      </c>
      <c r="B367" t="s">
        <v>29</v>
      </c>
      <c r="C367" t="s">
        <v>30</v>
      </c>
      <c r="D367" t="s">
        <v>13</v>
      </c>
      <c r="E367">
        <v>1613</v>
      </c>
      <c r="F367">
        <v>1442</v>
      </c>
      <c r="G367">
        <v>3055</v>
      </c>
      <c r="H367" t="s">
        <v>96</v>
      </c>
    </row>
    <row r="368" spans="1:8" x14ac:dyDescent="0.3">
      <c r="A368" t="s">
        <v>44</v>
      </c>
      <c r="B368" t="s">
        <v>29</v>
      </c>
      <c r="C368" t="s">
        <v>30</v>
      </c>
      <c r="D368" t="s">
        <v>14</v>
      </c>
      <c r="E368">
        <v>615</v>
      </c>
      <c r="F368">
        <v>433</v>
      </c>
      <c r="G368">
        <v>1048</v>
      </c>
      <c r="H368" t="s">
        <v>96</v>
      </c>
    </row>
    <row r="369" spans="1:8" x14ac:dyDescent="0.3">
      <c r="A369" t="s">
        <v>44</v>
      </c>
      <c r="B369" t="s">
        <v>29</v>
      </c>
      <c r="C369" t="s">
        <v>30</v>
      </c>
      <c r="D369" t="s">
        <v>15</v>
      </c>
      <c r="E369">
        <v>1128</v>
      </c>
      <c r="F369">
        <v>641</v>
      </c>
      <c r="G369">
        <v>1769</v>
      </c>
      <c r="H369" t="s">
        <v>96</v>
      </c>
    </row>
    <row r="370" spans="1:8" x14ac:dyDescent="0.3">
      <c r="A370" t="s">
        <v>44</v>
      </c>
      <c r="B370" t="s">
        <v>29</v>
      </c>
      <c r="C370" t="s">
        <v>30</v>
      </c>
      <c r="D370" t="s">
        <v>16</v>
      </c>
      <c r="E370">
        <v>1565</v>
      </c>
      <c r="F370">
        <v>1011</v>
      </c>
      <c r="G370">
        <v>2576</v>
      </c>
      <c r="H370" t="s">
        <v>96</v>
      </c>
    </row>
    <row r="371" spans="1:8" x14ac:dyDescent="0.3">
      <c r="A371" t="s">
        <v>44</v>
      </c>
      <c r="B371" t="s">
        <v>29</v>
      </c>
      <c r="C371" t="s">
        <v>30</v>
      </c>
      <c r="D371" t="s">
        <v>17</v>
      </c>
      <c r="E371">
        <v>2124</v>
      </c>
      <c r="F371">
        <v>1234</v>
      </c>
      <c r="G371">
        <v>3358</v>
      </c>
      <c r="H371" t="s">
        <v>96</v>
      </c>
    </row>
    <row r="372" spans="1:8" x14ac:dyDescent="0.3">
      <c r="A372" t="s">
        <v>44</v>
      </c>
      <c r="B372" t="s">
        <v>29</v>
      </c>
      <c r="C372" t="s">
        <v>30</v>
      </c>
      <c r="D372" t="s">
        <v>18</v>
      </c>
      <c r="E372">
        <v>2610</v>
      </c>
      <c r="F372">
        <v>1568</v>
      </c>
      <c r="G372">
        <v>4178</v>
      </c>
      <c r="H372" t="s">
        <v>96</v>
      </c>
    </row>
    <row r="373" spans="1:8" x14ac:dyDescent="0.3">
      <c r="A373" t="s">
        <v>44</v>
      </c>
      <c r="B373" t="s">
        <v>29</v>
      </c>
      <c r="C373" t="s">
        <v>30</v>
      </c>
      <c r="D373" t="s">
        <v>19</v>
      </c>
      <c r="E373">
        <v>2992</v>
      </c>
      <c r="F373">
        <v>1650</v>
      </c>
      <c r="G373">
        <v>4642</v>
      </c>
      <c r="H373" t="s">
        <v>96</v>
      </c>
    </row>
    <row r="374" spans="1:8" x14ac:dyDescent="0.3">
      <c r="A374" t="s">
        <v>44</v>
      </c>
      <c r="B374" t="s">
        <v>29</v>
      </c>
      <c r="C374" t="s">
        <v>30</v>
      </c>
      <c r="D374" t="s">
        <v>20</v>
      </c>
      <c r="E374">
        <v>3730</v>
      </c>
      <c r="F374">
        <v>1907</v>
      </c>
      <c r="G374">
        <v>5637</v>
      </c>
      <c r="H374" t="s">
        <v>96</v>
      </c>
    </row>
    <row r="375" spans="1:8" x14ac:dyDescent="0.3">
      <c r="A375" t="s">
        <v>44</v>
      </c>
      <c r="B375" t="s">
        <v>29</v>
      </c>
      <c r="C375" t="s">
        <v>30</v>
      </c>
      <c r="D375" t="s">
        <v>21</v>
      </c>
      <c r="E375">
        <v>3979</v>
      </c>
      <c r="F375">
        <v>2222</v>
      </c>
      <c r="G375">
        <v>6201</v>
      </c>
      <c r="H375" t="s">
        <v>96</v>
      </c>
    </row>
    <row r="376" spans="1:8" x14ac:dyDescent="0.3">
      <c r="A376" t="s">
        <v>44</v>
      </c>
      <c r="B376" t="s">
        <v>29</v>
      </c>
      <c r="C376" t="s">
        <v>30</v>
      </c>
      <c r="D376" t="s">
        <v>22</v>
      </c>
      <c r="E376">
        <v>3651</v>
      </c>
      <c r="F376">
        <v>2092</v>
      </c>
      <c r="G376">
        <v>5743</v>
      </c>
      <c r="H376" t="s">
        <v>96</v>
      </c>
    </row>
    <row r="377" spans="1:8" x14ac:dyDescent="0.3">
      <c r="A377" t="s">
        <v>44</v>
      </c>
      <c r="B377" t="s">
        <v>29</v>
      </c>
      <c r="C377" t="s">
        <v>30</v>
      </c>
      <c r="D377" t="s">
        <v>23</v>
      </c>
      <c r="E377">
        <v>3419</v>
      </c>
      <c r="F377">
        <v>1871</v>
      </c>
      <c r="G377">
        <v>5290</v>
      </c>
      <c r="H377" t="s">
        <v>96</v>
      </c>
    </row>
    <row r="378" spans="1:8" x14ac:dyDescent="0.3">
      <c r="A378" t="s">
        <v>44</v>
      </c>
      <c r="B378" t="s">
        <v>29</v>
      </c>
      <c r="C378" t="s">
        <v>30</v>
      </c>
      <c r="D378" t="s">
        <v>24</v>
      </c>
      <c r="E378">
        <v>2720</v>
      </c>
      <c r="F378">
        <v>1538</v>
      </c>
      <c r="G378">
        <v>4258</v>
      </c>
      <c r="H378" t="s">
        <v>96</v>
      </c>
    </row>
    <row r="379" spans="1:8" x14ac:dyDescent="0.3">
      <c r="A379" t="s">
        <v>44</v>
      </c>
      <c r="B379" t="s">
        <v>29</v>
      </c>
      <c r="C379" t="s">
        <v>30</v>
      </c>
      <c r="D379" t="s">
        <v>25</v>
      </c>
      <c r="E379">
        <v>2321</v>
      </c>
      <c r="F379">
        <v>1414</v>
      </c>
      <c r="G379">
        <v>3735</v>
      </c>
      <c r="H379" t="s">
        <v>96</v>
      </c>
    </row>
    <row r="380" spans="1:8" x14ac:dyDescent="0.3">
      <c r="A380" t="s">
        <v>44</v>
      </c>
      <c r="B380" t="s">
        <v>29</v>
      </c>
      <c r="C380" t="s">
        <v>31</v>
      </c>
      <c r="D380" t="s">
        <v>9</v>
      </c>
      <c r="E380">
        <v>2</v>
      </c>
      <c r="F380">
        <v>1</v>
      </c>
      <c r="G380">
        <v>3</v>
      </c>
      <c r="H380" t="s">
        <v>96</v>
      </c>
    </row>
    <row r="381" spans="1:8" x14ac:dyDescent="0.3">
      <c r="A381" t="s">
        <v>44</v>
      </c>
      <c r="B381" t="s">
        <v>29</v>
      </c>
      <c r="C381" t="s">
        <v>31</v>
      </c>
      <c r="D381" t="s">
        <v>12</v>
      </c>
      <c r="E381">
        <v>5</v>
      </c>
      <c r="F381">
        <v>55</v>
      </c>
      <c r="G381">
        <v>60</v>
      </c>
      <c r="H381" t="s">
        <v>96</v>
      </c>
    </row>
    <row r="382" spans="1:8" x14ac:dyDescent="0.3">
      <c r="A382" t="s">
        <v>44</v>
      </c>
      <c r="B382" t="s">
        <v>29</v>
      </c>
      <c r="C382" t="s">
        <v>31</v>
      </c>
      <c r="D382" t="s">
        <v>13</v>
      </c>
      <c r="E382">
        <v>77</v>
      </c>
      <c r="F382">
        <v>1233</v>
      </c>
      <c r="G382">
        <v>1310</v>
      </c>
      <c r="H382" t="s">
        <v>96</v>
      </c>
    </row>
    <row r="383" spans="1:8" x14ac:dyDescent="0.3">
      <c r="A383" t="s">
        <v>44</v>
      </c>
      <c r="B383" t="s">
        <v>29</v>
      </c>
      <c r="C383" t="s">
        <v>31</v>
      </c>
      <c r="D383" t="s">
        <v>14</v>
      </c>
      <c r="E383">
        <v>133</v>
      </c>
      <c r="F383">
        <v>2392</v>
      </c>
      <c r="G383">
        <v>2525</v>
      </c>
      <c r="H383" t="s">
        <v>96</v>
      </c>
    </row>
    <row r="384" spans="1:8" x14ac:dyDescent="0.3">
      <c r="A384" t="s">
        <v>44</v>
      </c>
      <c r="B384" t="s">
        <v>29</v>
      </c>
      <c r="C384" t="s">
        <v>31</v>
      </c>
      <c r="D384" t="s">
        <v>15</v>
      </c>
      <c r="E384">
        <v>114</v>
      </c>
      <c r="F384">
        <v>2110</v>
      </c>
      <c r="G384">
        <v>2224</v>
      </c>
      <c r="H384" t="s">
        <v>96</v>
      </c>
    </row>
    <row r="385" spans="1:8" x14ac:dyDescent="0.3">
      <c r="A385" t="s">
        <v>44</v>
      </c>
      <c r="B385" t="s">
        <v>29</v>
      </c>
      <c r="C385" t="s">
        <v>31</v>
      </c>
      <c r="D385" t="s">
        <v>16</v>
      </c>
      <c r="E385">
        <v>90</v>
      </c>
      <c r="F385">
        <v>1401</v>
      </c>
      <c r="G385">
        <v>1491</v>
      </c>
      <c r="H385" t="s">
        <v>96</v>
      </c>
    </row>
    <row r="386" spans="1:8" x14ac:dyDescent="0.3">
      <c r="A386" t="s">
        <v>44</v>
      </c>
      <c r="B386" t="s">
        <v>29</v>
      </c>
      <c r="C386" t="s">
        <v>31</v>
      </c>
      <c r="D386" t="s">
        <v>17</v>
      </c>
      <c r="E386">
        <v>71</v>
      </c>
      <c r="F386">
        <v>952</v>
      </c>
      <c r="G386">
        <v>1023</v>
      </c>
      <c r="H386" t="s">
        <v>96</v>
      </c>
    </row>
    <row r="387" spans="1:8" x14ac:dyDescent="0.3">
      <c r="A387" t="s">
        <v>44</v>
      </c>
      <c r="B387" t="s">
        <v>29</v>
      </c>
      <c r="C387" t="s">
        <v>31</v>
      </c>
      <c r="D387" t="s">
        <v>18</v>
      </c>
      <c r="E387">
        <v>42</v>
      </c>
      <c r="F387">
        <v>669</v>
      </c>
      <c r="G387">
        <v>711</v>
      </c>
      <c r="H387" t="s">
        <v>96</v>
      </c>
    </row>
    <row r="388" spans="1:8" x14ac:dyDescent="0.3">
      <c r="A388" t="s">
        <v>44</v>
      </c>
      <c r="B388" t="s">
        <v>29</v>
      </c>
      <c r="C388" t="s">
        <v>31</v>
      </c>
      <c r="D388" t="s">
        <v>19</v>
      </c>
      <c r="E388">
        <v>42</v>
      </c>
      <c r="F388">
        <v>445</v>
      </c>
      <c r="G388">
        <v>487</v>
      </c>
      <c r="H388" t="s">
        <v>96</v>
      </c>
    </row>
    <row r="389" spans="1:8" x14ac:dyDescent="0.3">
      <c r="A389" t="s">
        <v>44</v>
      </c>
      <c r="B389" t="s">
        <v>29</v>
      </c>
      <c r="C389" t="s">
        <v>31</v>
      </c>
      <c r="D389" t="s">
        <v>20</v>
      </c>
      <c r="E389">
        <v>8</v>
      </c>
      <c r="F389">
        <v>310</v>
      </c>
      <c r="G389">
        <v>318</v>
      </c>
      <c r="H389" t="s">
        <v>96</v>
      </c>
    </row>
    <row r="390" spans="1:8" x14ac:dyDescent="0.3">
      <c r="A390" t="s">
        <v>44</v>
      </c>
      <c r="B390" t="s">
        <v>29</v>
      </c>
      <c r="C390" t="s">
        <v>31</v>
      </c>
      <c r="D390" t="s">
        <v>21</v>
      </c>
      <c r="E390">
        <v>11</v>
      </c>
      <c r="F390">
        <v>228</v>
      </c>
      <c r="G390">
        <v>239</v>
      </c>
      <c r="H390" t="s">
        <v>96</v>
      </c>
    </row>
    <row r="391" spans="1:8" x14ac:dyDescent="0.3">
      <c r="A391" t="s">
        <v>44</v>
      </c>
      <c r="B391" t="s">
        <v>29</v>
      </c>
      <c r="C391" t="s">
        <v>31</v>
      </c>
      <c r="D391" t="s">
        <v>22</v>
      </c>
      <c r="E391">
        <v>5</v>
      </c>
      <c r="F391">
        <v>112</v>
      </c>
      <c r="G391">
        <v>117</v>
      </c>
      <c r="H391" t="s">
        <v>96</v>
      </c>
    </row>
    <row r="392" spans="1:8" x14ac:dyDescent="0.3">
      <c r="A392" t="s">
        <v>44</v>
      </c>
      <c r="B392" t="s">
        <v>29</v>
      </c>
      <c r="C392" t="s">
        <v>31</v>
      </c>
      <c r="D392" t="s">
        <v>23</v>
      </c>
      <c r="E392">
        <v>1</v>
      </c>
      <c r="F392">
        <v>58</v>
      </c>
      <c r="G392">
        <v>59</v>
      </c>
      <c r="H392" t="s">
        <v>96</v>
      </c>
    </row>
    <row r="393" spans="1:8" x14ac:dyDescent="0.3">
      <c r="A393" t="s">
        <v>44</v>
      </c>
      <c r="B393" t="s">
        <v>29</v>
      </c>
      <c r="C393" t="s">
        <v>31</v>
      </c>
      <c r="D393" t="s">
        <v>24</v>
      </c>
      <c r="E393">
        <v>3</v>
      </c>
      <c r="F393">
        <v>27</v>
      </c>
      <c r="G393">
        <v>30</v>
      </c>
      <c r="H393" t="s">
        <v>96</v>
      </c>
    </row>
    <row r="394" spans="1:8" x14ac:dyDescent="0.3">
      <c r="A394" t="s">
        <v>44</v>
      </c>
      <c r="B394" t="s">
        <v>29</v>
      </c>
      <c r="C394" t="s">
        <v>31</v>
      </c>
      <c r="D394" t="s">
        <v>25</v>
      </c>
      <c r="F394">
        <v>13</v>
      </c>
      <c r="G394">
        <v>13</v>
      </c>
      <c r="H394" t="s">
        <v>96</v>
      </c>
    </row>
    <row r="395" spans="1:8" x14ac:dyDescent="0.3">
      <c r="A395" t="s">
        <v>44</v>
      </c>
      <c r="B395" t="s">
        <v>38</v>
      </c>
      <c r="C395" t="s">
        <v>8</v>
      </c>
      <c r="D395" t="s">
        <v>9</v>
      </c>
      <c r="E395">
        <v>3577</v>
      </c>
      <c r="F395">
        <v>3742</v>
      </c>
      <c r="G395">
        <v>7319</v>
      </c>
      <c r="H395" t="s">
        <v>96</v>
      </c>
    </row>
    <row r="396" spans="1:8" x14ac:dyDescent="0.3">
      <c r="A396" t="s">
        <v>44</v>
      </c>
      <c r="B396" t="s">
        <v>38</v>
      </c>
      <c r="C396" t="s">
        <v>8</v>
      </c>
      <c r="D396" t="s">
        <v>10</v>
      </c>
      <c r="E396">
        <v>5440</v>
      </c>
      <c r="F396">
        <v>5619</v>
      </c>
      <c r="G396">
        <v>11059</v>
      </c>
      <c r="H396" t="s">
        <v>96</v>
      </c>
    </row>
    <row r="397" spans="1:8" x14ac:dyDescent="0.3">
      <c r="A397" t="s">
        <v>44</v>
      </c>
      <c r="B397" t="s">
        <v>38</v>
      </c>
      <c r="C397" t="s">
        <v>8</v>
      </c>
      <c r="D397" t="s">
        <v>11</v>
      </c>
      <c r="E397">
        <v>6142</v>
      </c>
      <c r="F397">
        <v>6510</v>
      </c>
      <c r="G397">
        <v>12652</v>
      </c>
      <c r="H397" t="s">
        <v>96</v>
      </c>
    </row>
    <row r="398" spans="1:8" x14ac:dyDescent="0.3">
      <c r="A398" t="s">
        <v>44</v>
      </c>
      <c r="B398" t="s">
        <v>38</v>
      </c>
      <c r="C398" t="s">
        <v>8</v>
      </c>
      <c r="D398" t="s">
        <v>12</v>
      </c>
      <c r="E398">
        <v>6643</v>
      </c>
      <c r="F398">
        <v>6782</v>
      </c>
      <c r="G398">
        <v>13425</v>
      </c>
      <c r="H398" t="s">
        <v>96</v>
      </c>
    </row>
    <row r="399" spans="1:8" x14ac:dyDescent="0.3">
      <c r="A399" t="s">
        <v>44</v>
      </c>
      <c r="B399" t="s">
        <v>38</v>
      </c>
      <c r="C399" t="s">
        <v>8</v>
      </c>
      <c r="D399" t="s">
        <v>13</v>
      </c>
      <c r="E399">
        <v>8002</v>
      </c>
      <c r="F399">
        <v>8659</v>
      </c>
      <c r="G399">
        <v>16661</v>
      </c>
      <c r="H399" t="s">
        <v>96</v>
      </c>
    </row>
    <row r="400" spans="1:8" x14ac:dyDescent="0.3">
      <c r="A400" t="s">
        <v>44</v>
      </c>
      <c r="B400" t="s">
        <v>38</v>
      </c>
      <c r="C400" t="s">
        <v>8</v>
      </c>
      <c r="D400" t="s">
        <v>14</v>
      </c>
      <c r="E400">
        <v>8423</v>
      </c>
      <c r="F400">
        <v>9200</v>
      </c>
      <c r="G400">
        <v>17623</v>
      </c>
      <c r="H400" t="s">
        <v>96</v>
      </c>
    </row>
    <row r="401" spans="1:8" x14ac:dyDescent="0.3">
      <c r="A401" t="s">
        <v>44</v>
      </c>
      <c r="B401" t="s">
        <v>38</v>
      </c>
      <c r="C401" t="s">
        <v>8</v>
      </c>
      <c r="D401" t="s">
        <v>15</v>
      </c>
      <c r="E401">
        <v>8923</v>
      </c>
      <c r="F401">
        <v>9563</v>
      </c>
      <c r="G401">
        <v>18486</v>
      </c>
      <c r="H401" t="s">
        <v>96</v>
      </c>
    </row>
    <row r="402" spans="1:8" x14ac:dyDescent="0.3">
      <c r="A402" t="s">
        <v>44</v>
      </c>
      <c r="B402" t="s">
        <v>38</v>
      </c>
      <c r="C402" t="s">
        <v>8</v>
      </c>
      <c r="D402" t="s">
        <v>16</v>
      </c>
      <c r="E402">
        <v>7972</v>
      </c>
      <c r="F402">
        <v>8193</v>
      </c>
      <c r="G402">
        <v>16165</v>
      </c>
      <c r="H402" t="s">
        <v>96</v>
      </c>
    </row>
    <row r="403" spans="1:8" x14ac:dyDescent="0.3">
      <c r="A403" t="s">
        <v>44</v>
      </c>
      <c r="B403" t="s">
        <v>38</v>
      </c>
      <c r="C403" t="s">
        <v>8</v>
      </c>
      <c r="D403" t="s">
        <v>17</v>
      </c>
      <c r="E403">
        <v>7789</v>
      </c>
      <c r="F403">
        <v>7618</v>
      </c>
      <c r="G403">
        <v>15407</v>
      </c>
      <c r="H403" t="s">
        <v>96</v>
      </c>
    </row>
    <row r="404" spans="1:8" x14ac:dyDescent="0.3">
      <c r="A404" t="s">
        <v>44</v>
      </c>
      <c r="B404" t="s">
        <v>38</v>
      </c>
      <c r="C404" t="s">
        <v>8</v>
      </c>
      <c r="D404" t="s">
        <v>18</v>
      </c>
      <c r="E404">
        <v>6801</v>
      </c>
      <c r="F404">
        <v>6642</v>
      </c>
      <c r="G404">
        <v>13443</v>
      </c>
      <c r="H404" t="s">
        <v>96</v>
      </c>
    </row>
    <row r="405" spans="1:8" x14ac:dyDescent="0.3">
      <c r="A405" t="s">
        <v>44</v>
      </c>
      <c r="B405" t="s">
        <v>38</v>
      </c>
      <c r="C405" t="s">
        <v>8</v>
      </c>
      <c r="D405" t="s">
        <v>19</v>
      </c>
      <c r="E405">
        <v>5655</v>
      </c>
      <c r="F405">
        <v>5705</v>
      </c>
      <c r="G405">
        <v>11360</v>
      </c>
      <c r="H405" t="s">
        <v>96</v>
      </c>
    </row>
    <row r="406" spans="1:8" x14ac:dyDescent="0.3">
      <c r="A406" t="s">
        <v>44</v>
      </c>
      <c r="B406" t="s">
        <v>38</v>
      </c>
      <c r="C406" t="s">
        <v>8</v>
      </c>
      <c r="D406" t="s">
        <v>20</v>
      </c>
      <c r="E406">
        <v>5642</v>
      </c>
      <c r="F406">
        <v>5408</v>
      </c>
      <c r="G406">
        <v>11050</v>
      </c>
      <c r="H406" t="s">
        <v>96</v>
      </c>
    </row>
    <row r="407" spans="1:8" x14ac:dyDescent="0.3">
      <c r="A407" t="s">
        <v>44</v>
      </c>
      <c r="B407" t="s">
        <v>38</v>
      </c>
      <c r="C407" t="s">
        <v>8</v>
      </c>
      <c r="D407" t="s">
        <v>21</v>
      </c>
      <c r="E407">
        <v>5241</v>
      </c>
      <c r="F407">
        <v>4890</v>
      </c>
      <c r="G407">
        <v>10131</v>
      </c>
      <c r="H407" t="s">
        <v>96</v>
      </c>
    </row>
    <row r="408" spans="1:8" x14ac:dyDescent="0.3">
      <c r="A408" t="s">
        <v>44</v>
      </c>
      <c r="B408" t="s">
        <v>38</v>
      </c>
      <c r="C408" t="s">
        <v>8</v>
      </c>
      <c r="D408" t="s">
        <v>22</v>
      </c>
      <c r="E408">
        <v>4155</v>
      </c>
      <c r="F408">
        <v>3805</v>
      </c>
      <c r="G408">
        <v>7960</v>
      </c>
      <c r="H408" t="s">
        <v>96</v>
      </c>
    </row>
    <row r="409" spans="1:8" x14ac:dyDescent="0.3">
      <c r="A409" t="s">
        <v>44</v>
      </c>
      <c r="B409" t="s">
        <v>38</v>
      </c>
      <c r="C409" t="s">
        <v>8</v>
      </c>
      <c r="D409" t="s">
        <v>23</v>
      </c>
      <c r="E409">
        <v>3068</v>
      </c>
      <c r="F409">
        <v>2775</v>
      </c>
      <c r="G409">
        <v>5843</v>
      </c>
      <c r="H409" t="s">
        <v>96</v>
      </c>
    </row>
    <row r="410" spans="1:8" x14ac:dyDescent="0.3">
      <c r="A410" t="s">
        <v>44</v>
      </c>
      <c r="B410" t="s">
        <v>38</v>
      </c>
      <c r="C410" t="s">
        <v>8</v>
      </c>
      <c r="D410" t="s">
        <v>24</v>
      </c>
      <c r="E410">
        <v>2120</v>
      </c>
      <c r="F410">
        <v>1837</v>
      </c>
      <c r="G410">
        <v>3957</v>
      </c>
      <c r="H410" t="s">
        <v>96</v>
      </c>
    </row>
    <row r="411" spans="1:8" x14ac:dyDescent="0.3">
      <c r="A411" t="s">
        <v>44</v>
      </c>
      <c r="B411" t="s">
        <v>38</v>
      </c>
      <c r="C411" t="s">
        <v>8</v>
      </c>
      <c r="D411" t="s">
        <v>25</v>
      </c>
      <c r="E411">
        <v>2554</v>
      </c>
      <c r="F411">
        <v>1829</v>
      </c>
      <c r="G411">
        <v>4383</v>
      </c>
      <c r="H411" t="s">
        <v>96</v>
      </c>
    </row>
    <row r="412" spans="1:8" x14ac:dyDescent="0.3">
      <c r="A412" t="s">
        <v>44</v>
      </c>
      <c r="B412" t="s">
        <v>38</v>
      </c>
      <c r="C412" t="s">
        <v>26</v>
      </c>
      <c r="D412" t="s">
        <v>9</v>
      </c>
      <c r="E412">
        <v>1365</v>
      </c>
      <c r="F412">
        <v>1444</v>
      </c>
      <c r="G412">
        <v>2809</v>
      </c>
      <c r="H412" t="s">
        <v>96</v>
      </c>
    </row>
    <row r="413" spans="1:8" x14ac:dyDescent="0.3">
      <c r="A413" t="s">
        <v>44</v>
      </c>
      <c r="B413" t="s">
        <v>38</v>
      </c>
      <c r="C413" t="s">
        <v>26</v>
      </c>
      <c r="D413" t="s">
        <v>10</v>
      </c>
      <c r="E413">
        <v>2439</v>
      </c>
      <c r="F413">
        <v>2599</v>
      </c>
      <c r="G413">
        <v>5038</v>
      </c>
      <c r="H413" t="s">
        <v>96</v>
      </c>
    </row>
    <row r="414" spans="1:8" x14ac:dyDescent="0.3">
      <c r="A414" t="s">
        <v>44</v>
      </c>
      <c r="B414" t="s">
        <v>38</v>
      </c>
      <c r="C414" t="s">
        <v>26</v>
      </c>
      <c r="D414" t="s">
        <v>11</v>
      </c>
      <c r="E414">
        <v>2190</v>
      </c>
      <c r="F414">
        <v>2355</v>
      </c>
      <c r="G414">
        <v>4545</v>
      </c>
      <c r="H414" t="s">
        <v>96</v>
      </c>
    </row>
    <row r="415" spans="1:8" x14ac:dyDescent="0.3">
      <c r="A415" t="s">
        <v>44</v>
      </c>
      <c r="B415" t="s">
        <v>38</v>
      </c>
      <c r="C415" t="s">
        <v>26</v>
      </c>
      <c r="D415" t="s">
        <v>12</v>
      </c>
      <c r="E415">
        <v>2105</v>
      </c>
      <c r="F415">
        <v>2069</v>
      </c>
      <c r="G415">
        <v>4174</v>
      </c>
      <c r="H415" t="s">
        <v>96</v>
      </c>
    </row>
    <row r="416" spans="1:8" x14ac:dyDescent="0.3">
      <c r="A416" t="s">
        <v>44</v>
      </c>
      <c r="B416" t="s">
        <v>38</v>
      </c>
      <c r="C416" t="s">
        <v>26</v>
      </c>
      <c r="D416" t="s">
        <v>13</v>
      </c>
      <c r="E416">
        <v>2757</v>
      </c>
      <c r="F416">
        <v>2952</v>
      </c>
      <c r="G416">
        <v>5709</v>
      </c>
      <c r="H416" t="s">
        <v>96</v>
      </c>
    </row>
    <row r="417" spans="1:8" x14ac:dyDescent="0.3">
      <c r="A417" t="s">
        <v>44</v>
      </c>
      <c r="B417" t="s">
        <v>38</v>
      </c>
      <c r="C417" t="s">
        <v>26</v>
      </c>
      <c r="D417" t="s">
        <v>14</v>
      </c>
      <c r="E417">
        <v>3329</v>
      </c>
      <c r="F417">
        <v>4134</v>
      </c>
      <c r="G417">
        <v>7463</v>
      </c>
      <c r="H417" t="s">
        <v>96</v>
      </c>
    </row>
    <row r="418" spans="1:8" x14ac:dyDescent="0.3">
      <c r="A418" t="s">
        <v>44</v>
      </c>
      <c r="B418" t="s">
        <v>38</v>
      </c>
      <c r="C418" t="s">
        <v>26</v>
      </c>
      <c r="D418" t="s">
        <v>15</v>
      </c>
      <c r="E418">
        <v>3034</v>
      </c>
      <c r="F418">
        <v>3757</v>
      </c>
      <c r="G418">
        <v>6791</v>
      </c>
      <c r="H418" t="s">
        <v>96</v>
      </c>
    </row>
    <row r="419" spans="1:8" x14ac:dyDescent="0.3">
      <c r="A419" t="s">
        <v>44</v>
      </c>
      <c r="B419" t="s">
        <v>38</v>
      </c>
      <c r="C419" t="s">
        <v>26</v>
      </c>
      <c r="D419" t="s">
        <v>16</v>
      </c>
      <c r="E419">
        <v>2608</v>
      </c>
      <c r="F419">
        <v>3015</v>
      </c>
      <c r="G419">
        <v>5623</v>
      </c>
      <c r="H419" t="s">
        <v>96</v>
      </c>
    </row>
    <row r="420" spans="1:8" x14ac:dyDescent="0.3">
      <c r="A420" t="s">
        <v>44</v>
      </c>
      <c r="B420" t="s">
        <v>38</v>
      </c>
      <c r="C420" t="s">
        <v>26</v>
      </c>
      <c r="D420" t="s">
        <v>17</v>
      </c>
      <c r="E420">
        <v>2117</v>
      </c>
      <c r="F420">
        <v>2408</v>
      </c>
      <c r="G420">
        <v>4525</v>
      </c>
      <c r="H420" t="s">
        <v>96</v>
      </c>
    </row>
    <row r="421" spans="1:8" x14ac:dyDescent="0.3">
      <c r="A421" t="s">
        <v>44</v>
      </c>
      <c r="B421" t="s">
        <v>38</v>
      </c>
      <c r="C421" t="s">
        <v>26</v>
      </c>
      <c r="D421" t="s">
        <v>18</v>
      </c>
      <c r="E421">
        <v>1795</v>
      </c>
      <c r="F421">
        <v>1905</v>
      </c>
      <c r="G421">
        <v>3700</v>
      </c>
      <c r="H421" t="s">
        <v>96</v>
      </c>
    </row>
    <row r="422" spans="1:8" x14ac:dyDescent="0.3">
      <c r="A422" t="s">
        <v>44</v>
      </c>
      <c r="B422" t="s">
        <v>38</v>
      </c>
      <c r="C422" t="s">
        <v>26</v>
      </c>
      <c r="D422" t="s">
        <v>19</v>
      </c>
      <c r="E422">
        <v>1453</v>
      </c>
      <c r="F422">
        <v>1545</v>
      </c>
      <c r="G422">
        <v>2998</v>
      </c>
      <c r="H422" t="s">
        <v>96</v>
      </c>
    </row>
    <row r="423" spans="1:8" x14ac:dyDescent="0.3">
      <c r="A423" t="s">
        <v>44</v>
      </c>
      <c r="B423" t="s">
        <v>38</v>
      </c>
      <c r="C423" t="s">
        <v>26</v>
      </c>
      <c r="D423" t="s">
        <v>20</v>
      </c>
      <c r="E423">
        <v>1272</v>
      </c>
      <c r="F423">
        <v>1404</v>
      </c>
      <c r="G423">
        <v>2676</v>
      </c>
      <c r="H423" t="s">
        <v>96</v>
      </c>
    </row>
    <row r="424" spans="1:8" x14ac:dyDescent="0.3">
      <c r="A424" t="s">
        <v>44</v>
      </c>
      <c r="B424" t="s">
        <v>38</v>
      </c>
      <c r="C424" t="s">
        <v>26</v>
      </c>
      <c r="D424" t="s">
        <v>21</v>
      </c>
      <c r="E424">
        <v>1006</v>
      </c>
      <c r="F424">
        <v>1149</v>
      </c>
      <c r="G424">
        <v>2155</v>
      </c>
      <c r="H424" t="s">
        <v>96</v>
      </c>
    </row>
    <row r="425" spans="1:8" x14ac:dyDescent="0.3">
      <c r="A425" t="s">
        <v>44</v>
      </c>
      <c r="B425" t="s">
        <v>38</v>
      </c>
      <c r="C425" t="s">
        <v>26</v>
      </c>
      <c r="D425" t="s">
        <v>22</v>
      </c>
      <c r="E425">
        <v>612</v>
      </c>
      <c r="F425">
        <v>723</v>
      </c>
      <c r="G425">
        <v>1335</v>
      </c>
      <c r="H425" t="s">
        <v>96</v>
      </c>
    </row>
    <row r="426" spans="1:8" x14ac:dyDescent="0.3">
      <c r="A426" t="s">
        <v>44</v>
      </c>
      <c r="B426" t="s">
        <v>38</v>
      </c>
      <c r="C426" t="s">
        <v>26</v>
      </c>
      <c r="D426" t="s">
        <v>23</v>
      </c>
      <c r="E426">
        <v>412</v>
      </c>
      <c r="F426">
        <v>457</v>
      </c>
      <c r="G426">
        <v>869</v>
      </c>
      <c r="H426" t="s">
        <v>96</v>
      </c>
    </row>
    <row r="427" spans="1:8" x14ac:dyDescent="0.3">
      <c r="A427" t="s">
        <v>44</v>
      </c>
      <c r="B427" t="s">
        <v>38</v>
      </c>
      <c r="C427" t="s">
        <v>26</v>
      </c>
      <c r="D427" t="s">
        <v>24</v>
      </c>
      <c r="E427">
        <v>244</v>
      </c>
      <c r="F427">
        <v>196</v>
      </c>
      <c r="G427">
        <v>440</v>
      </c>
      <c r="H427" t="s">
        <v>96</v>
      </c>
    </row>
    <row r="428" spans="1:8" x14ac:dyDescent="0.3">
      <c r="A428" t="s">
        <v>44</v>
      </c>
      <c r="B428" t="s">
        <v>38</v>
      </c>
      <c r="C428" t="s">
        <v>26</v>
      </c>
      <c r="D428" t="s">
        <v>25</v>
      </c>
      <c r="E428">
        <v>292</v>
      </c>
      <c r="F428">
        <v>208</v>
      </c>
      <c r="G428">
        <v>500</v>
      </c>
      <c r="H428" t="s">
        <v>96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0A2C6D0-1A7A-43BC-A26D-0617A82B642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12</vt:i4>
      </vt:variant>
    </vt:vector>
  </HeadingPairs>
  <TitlesOfParts>
    <vt:vector size="12" baseType="lpstr">
      <vt:lpstr>EPS EEFF</vt:lpstr>
      <vt:lpstr>IPS EEFF</vt:lpstr>
      <vt:lpstr>Inflacion</vt:lpstr>
      <vt:lpstr>Serv_IPS</vt:lpstr>
      <vt:lpstr>CI_IPS</vt:lpstr>
      <vt:lpstr>Tarifas</vt:lpstr>
      <vt:lpstr>EPS_Afiliados</vt:lpstr>
      <vt:lpstr>SANTANDER</vt:lpstr>
      <vt:lpstr>TarifasCompetencia</vt:lpstr>
      <vt:lpstr>Prevalencia</vt:lpstr>
      <vt:lpstr>Comparacion</vt:lpstr>
      <vt:lpstr>EPS_Edad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Juan David Ochoa Alvarez - Analista de Gerencia</dc:creator>
  <cp:lastModifiedBy>Juan David Ochoa Alvarez - Analista de Gerencia</cp:lastModifiedBy>
  <dcterms:created xsi:type="dcterms:W3CDTF">2026-02-07T23:30:35Z</dcterms:created>
  <dcterms:modified xsi:type="dcterms:W3CDTF">2026-02-10T16:58:15Z</dcterms:modified>
</cp:coreProperties>
</file>