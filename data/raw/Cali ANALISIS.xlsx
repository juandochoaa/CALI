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nstitutodelcorazonsa-my.sharepoint.com/personal/analista_gerencia_institutodelcorazon_com/Documents/Documentos/CALI/data/raw/"/>
    </mc:Choice>
  </mc:AlternateContent>
  <xr:revisionPtr revIDLastSave="82" documentId="8_{C560EC1D-1739-4EFB-B124-FFAB852D6598}" xr6:coauthVersionLast="47" xr6:coauthVersionMax="47" xr10:uidLastSave="{BB6046B3-BFD6-4BD4-9AF3-1480DE0042F1}"/>
  <bookViews>
    <workbookView xWindow="-37970" yWindow="-9240" windowWidth="19180" windowHeight="11260" tabRatio="942" firstSheet="2" activeTab="10" xr2:uid="{9576D0A5-0734-4438-B67B-41F18A475A3D}"/>
  </bookViews>
  <sheets>
    <sheet name="SANTANDER_DESGLOSE" sheetId="25" r:id="rId1"/>
    <sheet name="BOGOTA_DESGLOSE" sheetId="26" r:id="rId2"/>
    <sheet name="EPS_EEFF" sheetId="7" r:id="rId3"/>
    <sheet name="RECLAMOS" sheetId="29" r:id="rId4"/>
    <sheet name="IPS_EEFF" sheetId="8" r:id="rId5"/>
    <sheet name="UPC" sheetId="24" r:id="rId6"/>
    <sheet name="Inflacion" sheetId="9" r:id="rId7"/>
    <sheet name="Serv_IPS" sheetId="6" r:id="rId8"/>
    <sheet name="Servicios" sheetId="23" r:id="rId9"/>
    <sheet name="CI_IPS" sheetId="5" r:id="rId10"/>
    <sheet name="Tarifas_Escenarios" sheetId="19" r:id="rId11"/>
    <sheet name="Pacientes_EDAD" sheetId="27" r:id="rId12"/>
    <sheet name="Capacidad" sheetId="28" r:id="rId13"/>
    <sheet name="EPS_Afiliados" sheetId="3" r:id="rId14"/>
    <sheet name="EPS_Edad" sheetId="10" r:id="rId15"/>
    <sheet name="EPS_Años" sheetId="22" r:id="rId16"/>
    <sheet name="EEFF_Santander" sheetId="15" r:id="rId17"/>
    <sheet name="TarifasCompetencia" sheetId="16" r:id="rId18"/>
    <sheet name="Prevalencia" sheetId="12" r:id="rId19"/>
    <sheet name="Comparacion" sheetId="13" r:id="rId20"/>
    <sheet name="Tarifas_Desglose" sheetId="17" r:id="rId21"/>
    <sheet name="TH" sheetId="18" r:id="rId22"/>
    <sheet name="Hoja1" sheetId="20" r:id="rId23"/>
  </sheets>
  <definedNames>
    <definedName name="_xlnm._FilterDatabase" localSheetId="9" hidden="1">CI_IPS!$A$1:$E$133</definedName>
    <definedName name="_xlnm._FilterDatabase" localSheetId="2" hidden="1">EPS_EEFF!$A$1:$I$614</definedName>
    <definedName name="_xlnm._FilterDatabase" localSheetId="4" hidden="1">IPS_EEFF!$A$1:$I$517</definedName>
    <definedName name="_xlnm._FilterDatabase" localSheetId="7" hidden="1">Serv_IPS!$B$1:$E$649</definedName>
    <definedName name="_xlnm.Criteria" localSheetId="7">Serv_IPS!$G$1:$G$119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28" l="1"/>
  <c r="G6" i="28"/>
  <c r="G5" i="28"/>
  <c r="G4" i="28"/>
  <c r="F2" i="28"/>
  <c r="G2" i="28" s="1"/>
  <c r="B10" i="26"/>
  <c r="C10" i="26"/>
  <c r="B11" i="26"/>
  <c r="B20" i="26" s="1"/>
  <c r="C11" i="26"/>
  <c r="C20" i="26" s="1"/>
  <c r="B18" i="26"/>
  <c r="C18" i="26"/>
  <c r="C10" i="25"/>
  <c r="D10" i="25"/>
  <c r="C11" i="25"/>
  <c r="C20" i="25" s="1"/>
  <c r="D11" i="25"/>
  <c r="D20" i="25" s="1"/>
  <c r="C18" i="25"/>
  <c r="D18" i="25"/>
  <c r="H1" i="6" a="1"/>
  <c r="H1" i="6" s="1"/>
  <c r="H2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H1001" i="3"/>
  <c r="H1002" i="3"/>
  <c r="H1003" i="3"/>
  <c r="H1004" i="3"/>
  <c r="H1005" i="3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1848" i="3"/>
  <c r="H1849" i="3"/>
  <c r="H1850" i="3"/>
  <c r="H1851" i="3"/>
  <c r="H1852" i="3"/>
  <c r="H1853" i="3"/>
  <c r="H1854" i="3"/>
  <c r="H1855" i="3"/>
  <c r="H1856" i="3"/>
  <c r="H1857" i="3"/>
  <c r="H1858" i="3"/>
  <c r="H1859" i="3"/>
  <c r="H1860" i="3"/>
  <c r="H1861" i="3"/>
  <c r="H1862" i="3"/>
  <c r="H1863" i="3"/>
  <c r="H1864" i="3"/>
  <c r="H1865" i="3"/>
  <c r="H1866" i="3"/>
  <c r="H1867" i="3"/>
  <c r="H1868" i="3"/>
  <c r="H1869" i="3"/>
  <c r="H1870" i="3"/>
  <c r="H1871" i="3"/>
  <c r="H1872" i="3"/>
  <c r="H1873" i="3"/>
  <c r="H1874" i="3"/>
  <c r="H1875" i="3"/>
  <c r="H1876" i="3"/>
  <c r="H1877" i="3"/>
  <c r="H1878" i="3"/>
  <c r="H1879" i="3"/>
  <c r="H1880" i="3"/>
  <c r="H1881" i="3"/>
  <c r="H1882" i="3"/>
  <c r="H1883" i="3"/>
  <c r="H1884" i="3"/>
  <c r="H1885" i="3"/>
  <c r="H1886" i="3"/>
  <c r="H1887" i="3"/>
  <c r="H1888" i="3"/>
  <c r="H1889" i="3"/>
  <c r="H1890" i="3"/>
  <c r="H1891" i="3"/>
  <c r="H1892" i="3"/>
  <c r="H1893" i="3"/>
  <c r="H1894" i="3"/>
  <c r="H1895" i="3"/>
  <c r="H1896" i="3"/>
  <c r="H1897" i="3"/>
  <c r="H1898" i="3"/>
  <c r="H1899" i="3"/>
  <c r="H1900" i="3"/>
  <c r="H1901" i="3"/>
  <c r="H1902" i="3"/>
  <c r="H1903" i="3"/>
  <c r="H1904" i="3"/>
  <c r="H1905" i="3"/>
  <c r="H1906" i="3"/>
  <c r="H1907" i="3"/>
  <c r="H1908" i="3"/>
  <c r="H1909" i="3"/>
  <c r="H1910" i="3"/>
  <c r="H1911" i="3"/>
  <c r="H1912" i="3"/>
  <c r="H1913" i="3"/>
  <c r="H1914" i="3"/>
  <c r="H1915" i="3"/>
  <c r="H1916" i="3"/>
  <c r="H1917" i="3"/>
  <c r="H1918" i="3"/>
  <c r="H1919" i="3"/>
  <c r="H1920" i="3"/>
  <c r="H1921" i="3"/>
  <c r="H1922" i="3"/>
  <c r="H1923" i="3"/>
  <c r="H1924" i="3"/>
  <c r="H1925" i="3"/>
  <c r="H1926" i="3"/>
  <c r="H1927" i="3"/>
  <c r="H1928" i="3"/>
  <c r="H1929" i="3"/>
  <c r="H1930" i="3"/>
  <c r="H1931" i="3"/>
  <c r="H1932" i="3"/>
  <c r="H1933" i="3"/>
  <c r="H1934" i="3"/>
  <c r="H1935" i="3"/>
  <c r="H1936" i="3"/>
  <c r="H1937" i="3"/>
  <c r="H1938" i="3"/>
  <c r="H1939" i="3"/>
  <c r="H1940" i="3"/>
  <c r="H1941" i="3"/>
  <c r="H1942" i="3"/>
  <c r="H1943" i="3"/>
  <c r="H1944" i="3"/>
  <c r="H1945" i="3"/>
  <c r="H1946" i="3"/>
  <c r="H1947" i="3"/>
  <c r="H1948" i="3"/>
  <c r="H1949" i="3"/>
  <c r="H1950" i="3"/>
  <c r="H1951" i="3"/>
  <c r="H1952" i="3"/>
  <c r="H1953" i="3"/>
  <c r="H1954" i="3"/>
  <c r="H1955" i="3"/>
  <c r="H1956" i="3"/>
  <c r="H1957" i="3"/>
  <c r="H1958" i="3"/>
  <c r="H1959" i="3"/>
  <c r="H1960" i="3"/>
  <c r="H1961" i="3"/>
  <c r="H1962" i="3"/>
  <c r="H1963" i="3"/>
  <c r="H1964" i="3"/>
  <c r="H1965" i="3"/>
  <c r="H1966" i="3"/>
  <c r="H1967" i="3"/>
  <c r="H1968" i="3"/>
  <c r="H1969" i="3"/>
  <c r="H1970" i="3"/>
  <c r="H1971" i="3"/>
  <c r="H1972" i="3"/>
  <c r="H1973" i="3"/>
  <c r="H1974" i="3"/>
  <c r="H1975" i="3"/>
  <c r="H1976" i="3"/>
  <c r="H1977" i="3"/>
  <c r="H1978" i="3"/>
  <c r="H1979" i="3"/>
  <c r="H1980" i="3"/>
  <c r="H1981" i="3"/>
  <c r="H1982" i="3"/>
  <c r="H1983" i="3"/>
  <c r="H1984" i="3"/>
  <c r="H1985" i="3"/>
  <c r="H1986" i="3"/>
  <c r="H1987" i="3"/>
  <c r="H1988" i="3"/>
  <c r="H1989" i="3"/>
  <c r="H1990" i="3"/>
  <c r="H1991" i="3"/>
  <c r="H1992" i="3"/>
  <c r="H1993" i="3"/>
  <c r="H1994" i="3"/>
  <c r="H1995" i="3"/>
  <c r="H1996" i="3"/>
  <c r="H1997" i="3"/>
  <c r="H1998" i="3"/>
  <c r="H1999" i="3"/>
  <c r="H2000" i="3"/>
  <c r="H2001" i="3"/>
  <c r="H2002" i="3"/>
  <c r="H2003" i="3"/>
  <c r="H2004" i="3"/>
  <c r="H2005" i="3"/>
  <c r="H2006" i="3"/>
  <c r="H2007" i="3"/>
  <c r="H2008" i="3"/>
  <c r="H2009" i="3"/>
  <c r="H2010" i="3"/>
  <c r="H2011" i="3"/>
  <c r="H2012" i="3"/>
  <c r="H2013" i="3"/>
  <c r="H2014" i="3"/>
  <c r="H2015" i="3"/>
  <c r="H2016" i="3"/>
  <c r="H2017" i="3"/>
  <c r="H2018" i="3"/>
  <c r="H2019" i="3"/>
  <c r="H2020" i="3"/>
  <c r="H2021" i="3"/>
  <c r="H2022" i="3"/>
  <c r="H2023" i="3"/>
  <c r="H2024" i="3"/>
  <c r="H2025" i="3"/>
  <c r="H2026" i="3"/>
  <c r="H2027" i="3"/>
  <c r="H2028" i="3"/>
  <c r="H2029" i="3"/>
  <c r="H2030" i="3"/>
  <c r="H2031" i="3"/>
  <c r="H2032" i="3"/>
  <c r="H2033" i="3"/>
  <c r="H2034" i="3"/>
  <c r="H2035" i="3"/>
  <c r="H2036" i="3"/>
  <c r="H2037" i="3"/>
  <c r="H2038" i="3"/>
  <c r="H2039" i="3"/>
  <c r="H2040" i="3"/>
  <c r="H2041" i="3"/>
  <c r="H2042" i="3"/>
  <c r="H2043" i="3"/>
  <c r="H2044" i="3"/>
  <c r="H2045" i="3"/>
  <c r="H2046" i="3"/>
  <c r="H2047" i="3"/>
  <c r="H2048" i="3"/>
  <c r="H2049" i="3"/>
  <c r="H2050" i="3"/>
  <c r="H2051" i="3"/>
  <c r="H2052" i="3"/>
  <c r="H2053" i="3"/>
  <c r="H2054" i="3"/>
  <c r="H2055" i="3"/>
  <c r="H2056" i="3"/>
  <c r="H2057" i="3"/>
  <c r="H2058" i="3"/>
  <c r="H2059" i="3"/>
  <c r="H2060" i="3"/>
  <c r="H2061" i="3"/>
  <c r="H2062" i="3"/>
  <c r="H2063" i="3"/>
  <c r="H2064" i="3"/>
  <c r="H2065" i="3"/>
  <c r="H2066" i="3"/>
  <c r="H2067" i="3"/>
  <c r="H2068" i="3"/>
  <c r="H2069" i="3"/>
  <c r="H2070" i="3"/>
  <c r="H2071" i="3"/>
  <c r="H2072" i="3"/>
  <c r="H2073" i="3"/>
  <c r="H2074" i="3"/>
  <c r="H2075" i="3"/>
  <c r="H2076" i="3"/>
  <c r="H2077" i="3"/>
  <c r="H2078" i="3"/>
  <c r="H2079" i="3"/>
  <c r="H2080" i="3"/>
  <c r="H2081" i="3"/>
  <c r="H2082" i="3"/>
  <c r="H2083" i="3"/>
  <c r="H2084" i="3"/>
  <c r="H2085" i="3"/>
  <c r="H2086" i="3"/>
  <c r="H2087" i="3"/>
  <c r="H2088" i="3"/>
  <c r="H2089" i="3"/>
  <c r="H2090" i="3"/>
  <c r="H2091" i="3"/>
  <c r="H2092" i="3"/>
  <c r="H2093" i="3"/>
  <c r="H2094" i="3"/>
  <c r="H2095" i="3"/>
  <c r="H2096" i="3"/>
  <c r="H2097" i="3"/>
  <c r="H2098" i="3"/>
  <c r="H2099" i="3"/>
  <c r="H2100" i="3"/>
  <c r="H2101" i="3"/>
  <c r="H2102" i="3"/>
  <c r="H2103" i="3"/>
  <c r="H2104" i="3"/>
  <c r="H2105" i="3"/>
  <c r="H2106" i="3"/>
  <c r="H2107" i="3"/>
  <c r="H2108" i="3"/>
  <c r="H2109" i="3"/>
  <c r="H2110" i="3"/>
  <c r="H2111" i="3"/>
  <c r="H2112" i="3"/>
  <c r="H2113" i="3"/>
  <c r="H2114" i="3"/>
  <c r="H2115" i="3"/>
  <c r="H2116" i="3"/>
  <c r="H2117" i="3"/>
  <c r="H2118" i="3"/>
  <c r="H2119" i="3"/>
  <c r="H2120" i="3"/>
  <c r="H2121" i="3"/>
  <c r="H2122" i="3"/>
  <c r="H2123" i="3"/>
  <c r="H2124" i="3"/>
  <c r="H2125" i="3"/>
  <c r="H2126" i="3"/>
  <c r="H2127" i="3"/>
  <c r="H2128" i="3"/>
  <c r="H2129" i="3"/>
  <c r="H2130" i="3"/>
  <c r="H2131" i="3"/>
  <c r="H2132" i="3"/>
  <c r="H2133" i="3"/>
  <c r="H2134" i="3"/>
  <c r="H2135" i="3"/>
  <c r="H2136" i="3"/>
  <c r="H2137" i="3"/>
  <c r="H2138" i="3"/>
  <c r="H2139" i="3"/>
  <c r="H2140" i="3"/>
  <c r="H2141" i="3"/>
  <c r="H2142" i="3"/>
  <c r="H2143" i="3"/>
  <c r="H2144" i="3"/>
  <c r="H2145" i="3"/>
  <c r="H2146" i="3"/>
  <c r="H2147" i="3"/>
  <c r="H2148" i="3"/>
  <c r="H2149" i="3"/>
  <c r="H2150" i="3"/>
  <c r="H2151" i="3"/>
  <c r="H2152" i="3"/>
  <c r="H2153" i="3"/>
  <c r="H2154" i="3"/>
  <c r="H2155" i="3"/>
  <c r="H2156" i="3"/>
  <c r="H2157" i="3"/>
  <c r="H2158" i="3"/>
  <c r="H2159" i="3"/>
  <c r="H2160" i="3"/>
  <c r="H2161" i="3"/>
  <c r="H2162" i="3"/>
  <c r="H2163" i="3"/>
  <c r="H2164" i="3"/>
  <c r="H2165" i="3"/>
  <c r="H2166" i="3"/>
  <c r="H2167" i="3"/>
  <c r="H2168" i="3"/>
  <c r="H2169" i="3"/>
  <c r="H2170" i="3"/>
  <c r="H2171" i="3"/>
  <c r="H2172" i="3"/>
  <c r="H2173" i="3"/>
  <c r="H2174" i="3"/>
  <c r="H2175" i="3"/>
  <c r="H2176" i="3"/>
  <c r="H2177" i="3"/>
  <c r="H2178" i="3"/>
  <c r="H2179" i="3"/>
  <c r="H2180" i="3"/>
  <c r="H2181" i="3"/>
  <c r="H2182" i="3"/>
  <c r="H2183" i="3"/>
  <c r="H2184" i="3"/>
  <c r="H2185" i="3"/>
  <c r="H2186" i="3"/>
  <c r="H2187" i="3"/>
  <c r="H2188" i="3"/>
  <c r="H2189" i="3"/>
  <c r="H2190" i="3"/>
  <c r="H2191" i="3"/>
  <c r="H2192" i="3"/>
  <c r="H2193" i="3"/>
  <c r="H2194" i="3"/>
  <c r="H2195" i="3"/>
  <c r="H2196" i="3"/>
  <c r="H2197" i="3"/>
  <c r="H2198" i="3"/>
  <c r="H2199" i="3"/>
  <c r="H2200" i="3"/>
  <c r="H2201" i="3"/>
  <c r="H2202" i="3"/>
  <c r="H2203" i="3"/>
  <c r="H2204" i="3"/>
  <c r="H2205" i="3"/>
  <c r="H2206" i="3"/>
  <c r="H2207" i="3"/>
  <c r="H2208" i="3"/>
  <c r="H2209" i="3"/>
  <c r="H2210" i="3"/>
  <c r="H2211" i="3"/>
  <c r="H2212" i="3"/>
  <c r="H2213" i="3"/>
  <c r="H2214" i="3"/>
  <c r="H2215" i="3"/>
  <c r="H2216" i="3"/>
  <c r="H2217" i="3"/>
  <c r="H2218" i="3"/>
  <c r="H2219" i="3"/>
  <c r="H2220" i="3"/>
  <c r="H2221" i="3"/>
  <c r="H2222" i="3"/>
  <c r="H2223" i="3"/>
  <c r="H2224" i="3"/>
  <c r="H2225" i="3"/>
  <c r="H2226" i="3"/>
  <c r="H2227" i="3"/>
  <c r="H2228" i="3"/>
  <c r="H2229" i="3"/>
  <c r="H2230" i="3"/>
  <c r="H2231" i="3"/>
  <c r="H2232" i="3"/>
  <c r="H2233" i="3"/>
  <c r="H2234" i="3"/>
  <c r="H2235" i="3"/>
  <c r="H2236" i="3"/>
  <c r="H2237" i="3"/>
  <c r="H2238" i="3"/>
  <c r="H2239" i="3"/>
  <c r="H2240" i="3"/>
  <c r="H2241" i="3"/>
  <c r="H2242" i="3"/>
  <c r="H2243" i="3"/>
  <c r="H2244" i="3"/>
  <c r="H2245" i="3"/>
  <c r="H2246" i="3"/>
  <c r="H2247" i="3"/>
  <c r="H2248" i="3"/>
  <c r="H2249" i="3"/>
  <c r="H2250" i="3"/>
  <c r="H2251" i="3"/>
  <c r="H2252" i="3"/>
  <c r="H2253" i="3"/>
  <c r="H2254" i="3"/>
  <c r="H2255" i="3"/>
  <c r="H2256" i="3"/>
  <c r="H2257" i="3"/>
  <c r="H2258" i="3"/>
  <c r="H2259" i="3"/>
  <c r="H2260" i="3"/>
  <c r="H2261" i="3"/>
  <c r="H2262" i="3"/>
  <c r="H2263" i="3"/>
  <c r="H2264" i="3"/>
  <c r="H2265" i="3"/>
  <c r="H2266" i="3"/>
  <c r="H2267" i="3"/>
  <c r="H2268" i="3"/>
  <c r="H2269" i="3"/>
  <c r="H2270" i="3"/>
  <c r="H2271" i="3"/>
  <c r="H2272" i="3"/>
  <c r="H2273" i="3"/>
  <c r="H2274" i="3"/>
  <c r="H2275" i="3"/>
  <c r="H2276" i="3"/>
  <c r="H2277" i="3"/>
  <c r="H2278" i="3"/>
  <c r="H2279" i="3"/>
  <c r="H2280" i="3"/>
  <c r="H2281" i="3"/>
  <c r="H2282" i="3"/>
  <c r="H2283" i="3"/>
  <c r="H2284" i="3"/>
  <c r="H2285" i="3"/>
  <c r="H2286" i="3"/>
  <c r="H2287" i="3"/>
  <c r="H2288" i="3"/>
  <c r="H2289" i="3"/>
  <c r="H2290" i="3"/>
  <c r="H2291" i="3"/>
  <c r="H2292" i="3"/>
  <c r="H2293" i="3"/>
  <c r="H2294" i="3"/>
  <c r="H2295" i="3"/>
  <c r="H2296" i="3"/>
  <c r="H2297" i="3"/>
  <c r="H2298" i="3"/>
  <c r="H2299" i="3"/>
  <c r="H2300" i="3"/>
  <c r="H2301" i="3"/>
  <c r="H2302" i="3"/>
  <c r="H2303" i="3"/>
  <c r="H2304" i="3"/>
  <c r="H2305" i="3"/>
  <c r="H2306" i="3"/>
  <c r="H2307" i="3"/>
  <c r="H2308" i="3"/>
  <c r="H2309" i="3"/>
  <c r="H2310" i="3"/>
  <c r="H2311" i="3"/>
  <c r="H2312" i="3"/>
  <c r="H2313" i="3"/>
  <c r="H2314" i="3"/>
  <c r="H2315" i="3"/>
  <c r="H2316" i="3"/>
  <c r="H2317" i="3"/>
  <c r="H2318" i="3"/>
  <c r="H2319" i="3"/>
  <c r="H2320" i="3"/>
  <c r="H2321" i="3"/>
  <c r="H2322" i="3"/>
  <c r="H2323" i="3"/>
  <c r="H2324" i="3"/>
  <c r="H2325" i="3"/>
  <c r="H2326" i="3"/>
  <c r="H2327" i="3"/>
  <c r="H2328" i="3"/>
  <c r="H2329" i="3"/>
  <c r="H2330" i="3"/>
  <c r="H2331" i="3"/>
  <c r="H2332" i="3"/>
  <c r="H2333" i="3"/>
  <c r="H2334" i="3"/>
  <c r="H2335" i="3"/>
  <c r="H2336" i="3"/>
  <c r="H2337" i="3"/>
  <c r="H2338" i="3"/>
  <c r="H2339" i="3"/>
  <c r="H2340" i="3"/>
  <c r="H2341" i="3"/>
  <c r="H2342" i="3"/>
  <c r="H2343" i="3"/>
  <c r="H2344" i="3"/>
  <c r="H2345" i="3"/>
  <c r="H2346" i="3"/>
  <c r="H2347" i="3"/>
  <c r="H2348" i="3"/>
  <c r="H2349" i="3"/>
  <c r="H2350" i="3"/>
  <c r="H2351" i="3"/>
  <c r="H2352" i="3"/>
  <c r="H2353" i="3"/>
  <c r="H2354" i="3"/>
  <c r="H2355" i="3"/>
  <c r="H2356" i="3"/>
  <c r="H2357" i="3"/>
  <c r="H2358" i="3"/>
  <c r="H2359" i="3"/>
  <c r="H2360" i="3"/>
  <c r="H2361" i="3"/>
  <c r="H2362" i="3"/>
  <c r="H2363" i="3"/>
  <c r="H2364" i="3"/>
  <c r="H2365" i="3"/>
  <c r="H2366" i="3"/>
  <c r="H2367" i="3"/>
  <c r="H2368" i="3"/>
  <c r="H2369" i="3"/>
  <c r="H2370" i="3"/>
  <c r="H2371" i="3"/>
  <c r="H2372" i="3"/>
  <c r="H2373" i="3"/>
  <c r="H2374" i="3"/>
  <c r="H2375" i="3"/>
  <c r="H2376" i="3"/>
  <c r="H2377" i="3"/>
  <c r="H2378" i="3"/>
  <c r="H2379" i="3"/>
  <c r="H2380" i="3"/>
  <c r="H2381" i="3"/>
  <c r="H2382" i="3"/>
  <c r="H2383" i="3"/>
  <c r="H2384" i="3"/>
  <c r="H2385" i="3"/>
  <c r="H2386" i="3"/>
  <c r="H2387" i="3"/>
  <c r="H2388" i="3"/>
  <c r="H2389" i="3"/>
  <c r="H2390" i="3"/>
  <c r="H2391" i="3"/>
  <c r="H2392" i="3"/>
  <c r="H2393" i="3"/>
  <c r="H2394" i="3"/>
  <c r="H2395" i="3"/>
  <c r="H2396" i="3"/>
  <c r="H2397" i="3"/>
  <c r="H2398" i="3"/>
  <c r="H2399" i="3"/>
  <c r="H2400" i="3"/>
  <c r="H2401" i="3"/>
  <c r="H2402" i="3"/>
  <c r="H2403" i="3"/>
  <c r="H2404" i="3"/>
  <c r="H2405" i="3"/>
  <c r="H2406" i="3"/>
  <c r="H2407" i="3"/>
  <c r="H2408" i="3"/>
  <c r="H2409" i="3"/>
  <c r="H2410" i="3"/>
  <c r="H2411" i="3"/>
  <c r="H2412" i="3"/>
  <c r="H2413" i="3"/>
  <c r="H2414" i="3"/>
  <c r="H2415" i="3"/>
  <c r="H2416" i="3"/>
  <c r="H2417" i="3"/>
  <c r="H2418" i="3"/>
  <c r="H2419" i="3"/>
  <c r="H2420" i="3"/>
  <c r="H2421" i="3"/>
  <c r="H2422" i="3"/>
  <c r="H2423" i="3"/>
  <c r="H2424" i="3"/>
  <c r="H2425" i="3"/>
  <c r="H2426" i="3"/>
  <c r="H2427" i="3"/>
  <c r="H2428" i="3"/>
  <c r="H2429" i="3"/>
  <c r="H2430" i="3"/>
  <c r="H2431" i="3"/>
  <c r="H2432" i="3"/>
  <c r="H2433" i="3"/>
  <c r="H2434" i="3"/>
  <c r="H2435" i="3"/>
  <c r="H2436" i="3"/>
  <c r="H2437" i="3"/>
  <c r="H2438" i="3"/>
  <c r="H2439" i="3"/>
  <c r="H2440" i="3"/>
  <c r="H2441" i="3"/>
  <c r="H2442" i="3"/>
  <c r="H2443" i="3"/>
  <c r="H2444" i="3"/>
  <c r="H2445" i="3"/>
  <c r="H2446" i="3"/>
  <c r="H2447" i="3"/>
  <c r="H2448" i="3"/>
  <c r="H2449" i="3"/>
  <c r="H2450" i="3"/>
  <c r="H2451" i="3"/>
  <c r="H2452" i="3"/>
  <c r="H2453" i="3"/>
  <c r="H2454" i="3"/>
  <c r="H2455" i="3"/>
  <c r="H2456" i="3"/>
  <c r="H2457" i="3"/>
  <c r="H2458" i="3"/>
  <c r="H2459" i="3"/>
  <c r="H2460" i="3"/>
  <c r="H2461" i="3"/>
  <c r="H2462" i="3"/>
  <c r="H2463" i="3"/>
  <c r="H2464" i="3"/>
  <c r="H2465" i="3"/>
  <c r="H2466" i="3"/>
  <c r="H2467" i="3"/>
  <c r="H2468" i="3"/>
  <c r="H2469" i="3"/>
  <c r="H2470" i="3"/>
  <c r="H2471" i="3"/>
  <c r="H2472" i="3"/>
  <c r="H2473" i="3"/>
  <c r="H2474" i="3"/>
  <c r="H2475" i="3"/>
  <c r="H2476" i="3"/>
  <c r="H2477" i="3"/>
  <c r="H2478" i="3"/>
  <c r="H2479" i="3"/>
  <c r="H2480" i="3"/>
  <c r="H2481" i="3"/>
  <c r="H2482" i="3"/>
  <c r="H2483" i="3"/>
  <c r="H2484" i="3"/>
  <c r="H2485" i="3"/>
  <c r="H2486" i="3"/>
  <c r="H2487" i="3"/>
  <c r="H2488" i="3"/>
  <c r="H2489" i="3"/>
  <c r="H2490" i="3"/>
  <c r="H2491" i="3"/>
  <c r="H2492" i="3"/>
  <c r="H2493" i="3"/>
  <c r="H2494" i="3"/>
  <c r="H2495" i="3"/>
  <c r="H2496" i="3"/>
  <c r="H2497" i="3"/>
  <c r="H2498" i="3"/>
  <c r="H2499" i="3"/>
  <c r="H2500" i="3"/>
  <c r="H2501" i="3"/>
  <c r="H2502" i="3"/>
  <c r="H2503" i="3"/>
  <c r="H2504" i="3"/>
  <c r="H2505" i="3"/>
  <c r="H2506" i="3"/>
  <c r="H2507" i="3"/>
  <c r="H2508" i="3"/>
  <c r="H2509" i="3"/>
  <c r="H2510" i="3"/>
  <c r="H2511" i="3"/>
  <c r="H2512" i="3"/>
  <c r="H2513" i="3"/>
  <c r="H2514" i="3"/>
  <c r="H2515" i="3"/>
  <c r="H2516" i="3"/>
  <c r="H2517" i="3"/>
  <c r="H2518" i="3"/>
  <c r="H2519" i="3"/>
  <c r="H2520" i="3"/>
  <c r="H2521" i="3"/>
  <c r="H2522" i="3"/>
  <c r="H2523" i="3"/>
  <c r="H2524" i="3"/>
  <c r="H2525" i="3"/>
  <c r="H2526" i="3"/>
  <c r="H2527" i="3"/>
  <c r="H2528" i="3"/>
  <c r="H2529" i="3"/>
  <c r="H2530" i="3"/>
  <c r="H2531" i="3"/>
  <c r="H2532" i="3"/>
  <c r="H2533" i="3"/>
  <c r="H2534" i="3"/>
  <c r="H2535" i="3"/>
  <c r="H2536" i="3"/>
  <c r="H2537" i="3"/>
  <c r="H2538" i="3"/>
  <c r="H2539" i="3"/>
  <c r="H2540" i="3"/>
  <c r="H2541" i="3"/>
  <c r="H2542" i="3"/>
  <c r="H2543" i="3"/>
  <c r="H2544" i="3"/>
  <c r="H2545" i="3"/>
  <c r="H2546" i="3"/>
  <c r="H2547" i="3"/>
  <c r="H2548" i="3"/>
  <c r="H2549" i="3"/>
  <c r="H2550" i="3"/>
  <c r="H2551" i="3"/>
  <c r="H2552" i="3"/>
  <c r="H2553" i="3"/>
  <c r="H2554" i="3"/>
  <c r="H2555" i="3"/>
  <c r="H2556" i="3"/>
  <c r="H2557" i="3"/>
  <c r="H2558" i="3"/>
  <c r="H2559" i="3"/>
  <c r="H2560" i="3"/>
  <c r="H2561" i="3"/>
  <c r="H2562" i="3"/>
  <c r="H2563" i="3"/>
  <c r="H2564" i="3"/>
  <c r="H2565" i="3"/>
  <c r="H2566" i="3"/>
  <c r="H2567" i="3"/>
  <c r="H2568" i="3"/>
  <c r="H2569" i="3"/>
  <c r="H2570" i="3"/>
  <c r="H2571" i="3"/>
  <c r="H2572" i="3"/>
  <c r="H2573" i="3"/>
  <c r="H2574" i="3"/>
  <c r="H2575" i="3"/>
  <c r="H2576" i="3"/>
  <c r="H2577" i="3"/>
  <c r="H2578" i="3"/>
  <c r="H2579" i="3"/>
  <c r="H2580" i="3"/>
  <c r="H2581" i="3"/>
  <c r="H2582" i="3"/>
  <c r="H2583" i="3"/>
  <c r="H2584" i="3"/>
  <c r="H2585" i="3"/>
  <c r="H2586" i="3"/>
  <c r="H2587" i="3"/>
  <c r="H2588" i="3"/>
  <c r="H2589" i="3"/>
  <c r="H2590" i="3"/>
  <c r="H2591" i="3"/>
  <c r="H2592" i="3"/>
  <c r="H2593" i="3"/>
  <c r="H2594" i="3"/>
  <c r="H2595" i="3"/>
  <c r="H2596" i="3"/>
  <c r="H2597" i="3"/>
  <c r="H2598" i="3"/>
  <c r="H2599" i="3"/>
  <c r="H2600" i="3"/>
  <c r="H2601" i="3"/>
  <c r="H2602" i="3"/>
  <c r="H2603" i="3"/>
  <c r="H2604" i="3"/>
  <c r="H2605" i="3"/>
  <c r="H2606" i="3"/>
  <c r="H2607" i="3"/>
  <c r="H2608" i="3"/>
  <c r="H2609" i="3"/>
  <c r="H2610" i="3"/>
  <c r="H2611" i="3"/>
  <c r="H2612" i="3"/>
  <c r="H2613" i="3"/>
  <c r="H2614" i="3"/>
  <c r="H2615" i="3"/>
  <c r="H2616" i="3"/>
  <c r="H2617" i="3"/>
  <c r="H2618" i="3"/>
  <c r="H2619" i="3"/>
  <c r="H2620" i="3"/>
  <c r="H2621" i="3"/>
  <c r="H2622" i="3"/>
  <c r="H2623" i="3"/>
  <c r="H2624" i="3"/>
  <c r="H2625" i="3"/>
  <c r="H2626" i="3"/>
  <c r="H2627" i="3"/>
  <c r="H2628" i="3"/>
  <c r="H2629" i="3"/>
  <c r="H2630" i="3"/>
  <c r="H2631" i="3"/>
  <c r="H2632" i="3"/>
  <c r="H2633" i="3"/>
  <c r="H2634" i="3"/>
  <c r="H2635" i="3"/>
  <c r="H2636" i="3"/>
  <c r="H2637" i="3"/>
  <c r="H2638" i="3"/>
  <c r="H2639" i="3"/>
  <c r="H2640" i="3"/>
  <c r="H2641" i="3"/>
  <c r="H2642" i="3"/>
  <c r="H2643" i="3"/>
  <c r="H2644" i="3"/>
  <c r="H2645" i="3"/>
  <c r="H2646" i="3"/>
  <c r="H2647" i="3"/>
  <c r="H2648" i="3"/>
  <c r="H2649" i="3"/>
  <c r="H2650" i="3"/>
  <c r="H2651" i="3"/>
  <c r="H2652" i="3"/>
  <c r="H2653" i="3"/>
  <c r="H2654" i="3"/>
  <c r="H2655" i="3"/>
  <c r="H2656" i="3"/>
  <c r="H2657" i="3"/>
  <c r="H2658" i="3"/>
  <c r="H2659" i="3"/>
  <c r="H2660" i="3"/>
  <c r="H2661" i="3"/>
  <c r="H2662" i="3"/>
  <c r="H2663" i="3"/>
  <c r="H2664" i="3"/>
  <c r="H2665" i="3"/>
  <c r="H2666" i="3"/>
  <c r="H2667" i="3"/>
  <c r="H2668" i="3"/>
  <c r="H2669" i="3"/>
  <c r="H2670" i="3"/>
  <c r="H2671" i="3"/>
  <c r="H2672" i="3"/>
  <c r="H2673" i="3"/>
  <c r="H2674" i="3"/>
  <c r="H2675" i="3"/>
  <c r="H2676" i="3"/>
  <c r="H2677" i="3"/>
  <c r="H2678" i="3"/>
  <c r="H2679" i="3"/>
  <c r="H2680" i="3"/>
  <c r="H2681" i="3"/>
  <c r="H2682" i="3"/>
  <c r="H2683" i="3"/>
  <c r="H2684" i="3"/>
  <c r="H2685" i="3"/>
  <c r="H2686" i="3"/>
  <c r="H2687" i="3"/>
  <c r="H2688" i="3"/>
  <c r="H2689" i="3"/>
  <c r="H2690" i="3"/>
  <c r="H2691" i="3"/>
  <c r="H2692" i="3"/>
  <c r="H2693" i="3"/>
  <c r="H2694" i="3"/>
  <c r="H2695" i="3"/>
  <c r="H2696" i="3"/>
  <c r="H2697" i="3"/>
  <c r="H2698" i="3"/>
  <c r="H2699" i="3"/>
  <c r="H2700" i="3"/>
  <c r="H2701" i="3"/>
  <c r="H2702" i="3"/>
  <c r="H2703" i="3"/>
  <c r="H2704" i="3"/>
  <c r="H2705" i="3"/>
  <c r="H2706" i="3"/>
  <c r="H2707" i="3"/>
  <c r="H2708" i="3"/>
  <c r="H2709" i="3"/>
  <c r="H2710" i="3"/>
  <c r="H2711" i="3"/>
  <c r="H2712" i="3"/>
  <c r="H2713" i="3"/>
  <c r="H2714" i="3"/>
  <c r="H2715" i="3"/>
  <c r="H2716" i="3"/>
  <c r="H2717" i="3"/>
  <c r="H2718" i="3"/>
  <c r="H2719" i="3"/>
  <c r="H2720" i="3"/>
  <c r="H2721" i="3"/>
  <c r="H2722" i="3"/>
  <c r="H2723" i="3"/>
  <c r="H2724" i="3"/>
  <c r="H2725" i="3"/>
  <c r="H2726" i="3"/>
  <c r="H2727" i="3"/>
  <c r="H2728" i="3"/>
  <c r="H2729" i="3"/>
  <c r="H2730" i="3"/>
  <c r="H2731" i="3"/>
  <c r="H2732" i="3"/>
  <c r="H2733" i="3"/>
  <c r="H2734" i="3"/>
  <c r="H2735" i="3"/>
  <c r="H2736" i="3"/>
  <c r="H2737" i="3"/>
  <c r="H2738" i="3"/>
  <c r="H2739" i="3"/>
  <c r="H2740" i="3"/>
  <c r="H2741" i="3"/>
  <c r="H2742" i="3"/>
  <c r="H2743" i="3"/>
  <c r="H2744" i="3"/>
  <c r="H2745" i="3"/>
  <c r="H2746" i="3"/>
  <c r="H2747" i="3"/>
  <c r="H2748" i="3"/>
  <c r="H2749" i="3"/>
  <c r="H2750" i="3"/>
  <c r="H2751" i="3"/>
  <c r="H2752" i="3"/>
  <c r="H2753" i="3"/>
  <c r="H2754" i="3"/>
  <c r="H2755" i="3"/>
  <c r="H2756" i="3"/>
  <c r="H2757" i="3"/>
  <c r="H2758" i="3"/>
  <c r="H2759" i="3"/>
  <c r="H2760" i="3"/>
  <c r="H2761" i="3"/>
  <c r="H2762" i="3"/>
  <c r="H2763" i="3"/>
  <c r="H2764" i="3"/>
  <c r="H2765" i="3"/>
  <c r="H2766" i="3"/>
  <c r="H2767" i="3"/>
  <c r="H2768" i="3"/>
  <c r="H2769" i="3"/>
  <c r="H2770" i="3"/>
  <c r="H2771" i="3"/>
  <c r="H2772" i="3"/>
  <c r="H2773" i="3"/>
  <c r="H2774" i="3"/>
  <c r="H2775" i="3"/>
  <c r="H2776" i="3"/>
  <c r="H2777" i="3"/>
  <c r="H2778" i="3"/>
  <c r="H2779" i="3"/>
  <c r="H2780" i="3"/>
  <c r="H2781" i="3"/>
  <c r="H2782" i="3"/>
  <c r="H2783" i="3"/>
  <c r="H2784" i="3"/>
  <c r="H2785" i="3"/>
  <c r="H2786" i="3"/>
  <c r="H2787" i="3"/>
  <c r="H2788" i="3"/>
  <c r="H2789" i="3"/>
  <c r="H2790" i="3"/>
  <c r="H2791" i="3"/>
  <c r="H2792" i="3"/>
  <c r="H2793" i="3"/>
  <c r="H2794" i="3"/>
  <c r="H2795" i="3"/>
  <c r="H2796" i="3"/>
  <c r="H2797" i="3"/>
  <c r="H2798" i="3"/>
  <c r="H2799" i="3"/>
  <c r="H2800" i="3"/>
  <c r="H2801" i="3"/>
  <c r="H2802" i="3"/>
  <c r="H2803" i="3"/>
  <c r="H2804" i="3"/>
  <c r="H2805" i="3"/>
  <c r="H2806" i="3"/>
  <c r="H2807" i="3"/>
  <c r="H2808" i="3"/>
  <c r="H2809" i="3"/>
  <c r="H2810" i="3"/>
  <c r="H2811" i="3"/>
  <c r="H2812" i="3"/>
  <c r="H2813" i="3"/>
  <c r="H2814" i="3"/>
  <c r="H2815" i="3"/>
  <c r="H2816" i="3"/>
  <c r="H2817" i="3"/>
  <c r="H2818" i="3"/>
  <c r="H2819" i="3"/>
  <c r="H2820" i="3"/>
  <c r="H2821" i="3"/>
  <c r="H2822" i="3"/>
  <c r="H2823" i="3"/>
  <c r="H2824" i="3"/>
  <c r="H2825" i="3"/>
  <c r="H2826" i="3"/>
  <c r="H2827" i="3"/>
  <c r="H2828" i="3"/>
  <c r="H2829" i="3"/>
  <c r="H2830" i="3"/>
  <c r="H2831" i="3"/>
  <c r="H2832" i="3"/>
  <c r="H2833" i="3"/>
  <c r="H2834" i="3"/>
  <c r="H2835" i="3"/>
  <c r="H2836" i="3"/>
  <c r="H2837" i="3"/>
  <c r="H2838" i="3"/>
  <c r="H2839" i="3"/>
  <c r="H2840" i="3"/>
  <c r="H2841" i="3"/>
  <c r="H2842" i="3"/>
  <c r="H2843" i="3"/>
  <c r="H2844" i="3"/>
  <c r="H2845" i="3"/>
  <c r="H2846" i="3"/>
  <c r="H2847" i="3"/>
  <c r="H2848" i="3"/>
  <c r="H2849" i="3"/>
  <c r="H2850" i="3"/>
  <c r="H2851" i="3"/>
  <c r="H2852" i="3"/>
  <c r="H2853" i="3"/>
  <c r="H2854" i="3"/>
  <c r="H2855" i="3"/>
  <c r="H2856" i="3"/>
  <c r="H2857" i="3"/>
  <c r="H2858" i="3"/>
  <c r="H2859" i="3"/>
  <c r="H2860" i="3"/>
  <c r="H2861" i="3"/>
  <c r="H2862" i="3"/>
  <c r="H2863" i="3"/>
  <c r="H2864" i="3"/>
  <c r="H2865" i="3"/>
  <c r="H2866" i="3"/>
  <c r="H2867" i="3"/>
  <c r="H2868" i="3"/>
  <c r="H2869" i="3"/>
  <c r="H2870" i="3"/>
  <c r="H2871" i="3"/>
  <c r="H2872" i="3"/>
  <c r="H2873" i="3"/>
  <c r="H2874" i="3"/>
  <c r="H2875" i="3"/>
  <c r="H2876" i="3"/>
  <c r="H2877" i="3"/>
  <c r="H2878" i="3"/>
  <c r="H2879" i="3"/>
  <c r="H2880" i="3"/>
  <c r="H2881" i="3"/>
  <c r="H2882" i="3"/>
  <c r="H2883" i="3"/>
  <c r="H2884" i="3"/>
  <c r="H2885" i="3"/>
  <c r="H2886" i="3"/>
  <c r="H2887" i="3"/>
  <c r="H2888" i="3"/>
  <c r="H2889" i="3"/>
  <c r="H2890" i="3"/>
  <c r="H2891" i="3"/>
  <c r="H2892" i="3"/>
  <c r="H2893" i="3"/>
  <c r="H2894" i="3"/>
  <c r="H2895" i="3"/>
  <c r="H2896" i="3"/>
  <c r="H2897" i="3"/>
  <c r="H2898" i="3"/>
  <c r="H2899" i="3"/>
  <c r="H2900" i="3"/>
  <c r="H2901" i="3"/>
  <c r="H2902" i="3"/>
  <c r="H2903" i="3"/>
  <c r="H2904" i="3"/>
  <c r="H2905" i="3"/>
  <c r="H2906" i="3"/>
  <c r="H2907" i="3"/>
  <c r="H2908" i="3"/>
  <c r="H2909" i="3"/>
  <c r="H2910" i="3"/>
  <c r="H2911" i="3"/>
  <c r="H2912" i="3"/>
  <c r="H2913" i="3"/>
  <c r="H2914" i="3"/>
  <c r="H2915" i="3"/>
  <c r="H2916" i="3"/>
  <c r="H2917" i="3"/>
  <c r="H2918" i="3"/>
  <c r="H2919" i="3"/>
  <c r="H2920" i="3"/>
  <c r="H2921" i="3"/>
  <c r="H2922" i="3"/>
  <c r="H2923" i="3"/>
  <c r="H2924" i="3"/>
  <c r="H2925" i="3"/>
  <c r="H2926" i="3"/>
  <c r="H2927" i="3"/>
  <c r="H2928" i="3"/>
  <c r="H2929" i="3"/>
  <c r="H2930" i="3"/>
  <c r="H2931" i="3"/>
  <c r="H2932" i="3"/>
  <c r="H2933" i="3"/>
  <c r="H2934" i="3"/>
  <c r="H2935" i="3"/>
  <c r="H2936" i="3"/>
  <c r="H2937" i="3"/>
  <c r="H2938" i="3"/>
  <c r="H2939" i="3"/>
  <c r="H2940" i="3"/>
  <c r="H2941" i="3"/>
  <c r="H2942" i="3"/>
  <c r="H2943" i="3"/>
  <c r="H2944" i="3"/>
  <c r="H2945" i="3"/>
  <c r="H2946" i="3"/>
  <c r="H2947" i="3"/>
  <c r="H2948" i="3"/>
  <c r="H2949" i="3"/>
  <c r="H2950" i="3"/>
  <c r="H2951" i="3"/>
  <c r="H2952" i="3"/>
  <c r="H2953" i="3"/>
  <c r="H2954" i="3"/>
  <c r="H2955" i="3"/>
  <c r="H2956" i="3"/>
  <c r="H2957" i="3"/>
  <c r="H2958" i="3"/>
  <c r="H2959" i="3"/>
  <c r="H2960" i="3"/>
  <c r="H2961" i="3"/>
  <c r="H2962" i="3"/>
  <c r="H2963" i="3"/>
  <c r="H2964" i="3"/>
  <c r="H2965" i="3"/>
  <c r="H2966" i="3"/>
  <c r="H2967" i="3"/>
  <c r="H2968" i="3"/>
  <c r="H2969" i="3"/>
  <c r="H2970" i="3"/>
  <c r="H2971" i="3"/>
  <c r="H2972" i="3"/>
  <c r="H2973" i="3"/>
  <c r="H2974" i="3"/>
  <c r="H2975" i="3"/>
  <c r="H2976" i="3"/>
  <c r="H2977" i="3"/>
  <c r="H2978" i="3"/>
  <c r="H2979" i="3"/>
  <c r="H2980" i="3"/>
  <c r="H2981" i="3"/>
  <c r="H2982" i="3"/>
  <c r="H2983" i="3"/>
  <c r="H2984" i="3"/>
  <c r="H2985" i="3"/>
  <c r="H2986" i="3"/>
  <c r="H2987" i="3"/>
  <c r="H2988" i="3"/>
  <c r="H2989" i="3"/>
  <c r="H2990" i="3"/>
  <c r="H2991" i="3"/>
  <c r="H2992" i="3"/>
  <c r="H2993" i="3"/>
  <c r="H2994" i="3"/>
  <c r="H2995" i="3"/>
  <c r="H2996" i="3"/>
  <c r="H2997" i="3"/>
  <c r="H2998" i="3"/>
  <c r="H2999" i="3"/>
  <c r="H3000" i="3"/>
  <c r="H3001" i="3"/>
  <c r="H3002" i="3"/>
  <c r="H3003" i="3"/>
  <c r="H3004" i="3"/>
  <c r="H3005" i="3"/>
  <c r="H3006" i="3"/>
  <c r="H3007" i="3"/>
  <c r="H3008" i="3"/>
  <c r="H3009" i="3"/>
  <c r="H3010" i="3"/>
  <c r="H3011" i="3"/>
  <c r="H3012" i="3"/>
  <c r="H3013" i="3"/>
  <c r="H3014" i="3"/>
  <c r="H3015" i="3"/>
  <c r="H3016" i="3"/>
  <c r="H3017" i="3"/>
  <c r="H3018" i="3"/>
  <c r="H3019" i="3"/>
  <c r="H3020" i="3"/>
  <c r="H3021" i="3"/>
  <c r="H3022" i="3"/>
  <c r="H3023" i="3"/>
  <c r="H3024" i="3"/>
  <c r="H3025" i="3"/>
  <c r="H3026" i="3"/>
  <c r="H3027" i="3"/>
  <c r="H3028" i="3"/>
  <c r="H3029" i="3"/>
  <c r="H3030" i="3"/>
  <c r="H3031" i="3"/>
  <c r="H3032" i="3"/>
  <c r="H3033" i="3"/>
  <c r="H3034" i="3"/>
  <c r="H3035" i="3"/>
  <c r="H3036" i="3"/>
  <c r="H3037" i="3"/>
  <c r="H3038" i="3"/>
  <c r="H3039" i="3"/>
  <c r="H3040" i="3"/>
  <c r="H3041" i="3"/>
  <c r="H3042" i="3"/>
  <c r="H3043" i="3"/>
  <c r="H3044" i="3"/>
  <c r="H3045" i="3"/>
  <c r="H3046" i="3"/>
  <c r="H3047" i="3"/>
  <c r="H3048" i="3"/>
  <c r="H3049" i="3"/>
  <c r="H3050" i="3"/>
  <c r="H3051" i="3"/>
  <c r="H3052" i="3"/>
  <c r="H3053" i="3"/>
  <c r="H3054" i="3"/>
  <c r="H3055" i="3"/>
  <c r="H3056" i="3"/>
  <c r="H3057" i="3"/>
  <c r="H3058" i="3"/>
  <c r="H3059" i="3"/>
  <c r="H3060" i="3"/>
  <c r="H3061" i="3"/>
  <c r="H3062" i="3"/>
  <c r="H3063" i="3"/>
  <c r="H3064" i="3"/>
  <c r="H3065" i="3"/>
  <c r="H3066" i="3"/>
  <c r="H3067" i="3"/>
  <c r="H3068" i="3"/>
  <c r="H3069" i="3"/>
  <c r="H3070" i="3"/>
  <c r="H3071" i="3"/>
  <c r="H3072" i="3"/>
  <c r="H3073" i="3"/>
  <c r="H3074" i="3"/>
  <c r="H3075" i="3"/>
  <c r="H3076" i="3"/>
  <c r="H3077" i="3"/>
  <c r="H3078" i="3"/>
  <c r="H3079" i="3"/>
  <c r="H3080" i="3"/>
  <c r="H3081" i="3"/>
  <c r="H3082" i="3"/>
  <c r="H3083" i="3"/>
  <c r="H3084" i="3"/>
  <c r="H3085" i="3"/>
  <c r="H3086" i="3"/>
  <c r="H3087" i="3"/>
  <c r="H3088" i="3"/>
  <c r="H3089" i="3"/>
  <c r="H3090" i="3"/>
  <c r="H3091" i="3"/>
  <c r="H3092" i="3"/>
  <c r="H3093" i="3"/>
  <c r="H3094" i="3"/>
  <c r="H3095" i="3"/>
  <c r="H3096" i="3"/>
  <c r="H3097" i="3"/>
  <c r="H3098" i="3"/>
  <c r="H3099" i="3"/>
  <c r="H3100" i="3"/>
  <c r="H3101" i="3"/>
  <c r="H3102" i="3"/>
  <c r="H3103" i="3"/>
  <c r="H3104" i="3"/>
  <c r="H3105" i="3"/>
  <c r="H3106" i="3"/>
  <c r="H3107" i="3"/>
  <c r="H3108" i="3"/>
  <c r="H3109" i="3"/>
  <c r="H3110" i="3"/>
  <c r="H3111" i="3"/>
  <c r="H3112" i="3"/>
  <c r="H3113" i="3"/>
  <c r="H3114" i="3"/>
  <c r="H3115" i="3"/>
  <c r="H3116" i="3"/>
  <c r="H3117" i="3"/>
  <c r="H3118" i="3"/>
  <c r="H3119" i="3"/>
  <c r="H3120" i="3"/>
  <c r="H3121" i="3"/>
  <c r="H3122" i="3"/>
  <c r="H3123" i="3"/>
  <c r="H3124" i="3"/>
  <c r="H3125" i="3"/>
  <c r="H3126" i="3"/>
  <c r="H3127" i="3"/>
  <c r="H3128" i="3"/>
  <c r="H3129" i="3"/>
  <c r="H3130" i="3"/>
  <c r="H3131" i="3"/>
  <c r="H3132" i="3"/>
  <c r="H3133" i="3"/>
  <c r="H3134" i="3"/>
  <c r="H3135" i="3"/>
  <c r="H3136" i="3"/>
  <c r="H3137" i="3"/>
  <c r="H3138" i="3"/>
  <c r="H3139" i="3"/>
  <c r="H3140" i="3"/>
  <c r="H3141" i="3"/>
  <c r="H3142" i="3"/>
  <c r="H3143" i="3"/>
  <c r="H3144" i="3"/>
  <c r="H3145" i="3"/>
  <c r="H3146" i="3"/>
  <c r="H3147" i="3"/>
  <c r="H3148" i="3"/>
  <c r="H3149" i="3"/>
  <c r="H3150" i="3"/>
  <c r="H3151" i="3"/>
  <c r="H3152" i="3"/>
  <c r="H3153" i="3"/>
  <c r="H3154" i="3"/>
  <c r="H3155" i="3"/>
  <c r="H3156" i="3"/>
  <c r="H3157" i="3"/>
  <c r="H3158" i="3"/>
  <c r="H3159" i="3"/>
  <c r="H3160" i="3"/>
  <c r="H3161" i="3"/>
  <c r="H3162" i="3"/>
  <c r="H3163" i="3"/>
  <c r="H3164" i="3"/>
  <c r="H3165" i="3"/>
  <c r="H3166" i="3"/>
  <c r="H3167" i="3"/>
  <c r="H3168" i="3"/>
  <c r="H3169" i="3"/>
  <c r="H3170" i="3"/>
  <c r="H3171" i="3"/>
  <c r="H3172" i="3"/>
  <c r="H3173" i="3"/>
  <c r="H3174" i="3"/>
  <c r="H3175" i="3"/>
  <c r="H3176" i="3"/>
  <c r="H3177" i="3"/>
  <c r="H3178" i="3"/>
  <c r="H3179" i="3"/>
  <c r="H3180" i="3"/>
  <c r="H3181" i="3"/>
  <c r="H3182" i="3"/>
  <c r="H3183" i="3"/>
  <c r="H3184" i="3"/>
  <c r="H3185" i="3"/>
  <c r="H3186" i="3"/>
  <c r="H3187" i="3"/>
  <c r="H3188" i="3"/>
  <c r="H3189" i="3"/>
  <c r="H3190" i="3"/>
  <c r="H3191" i="3"/>
  <c r="H3192" i="3"/>
  <c r="H3193" i="3"/>
  <c r="H3194" i="3"/>
  <c r="H3195" i="3"/>
  <c r="H3196" i="3"/>
  <c r="H3197" i="3"/>
  <c r="H3198" i="3"/>
  <c r="H3199" i="3"/>
  <c r="H3200" i="3"/>
  <c r="H3201" i="3"/>
  <c r="H3202" i="3"/>
  <c r="H3203" i="3"/>
  <c r="H3204" i="3"/>
  <c r="H3205" i="3"/>
  <c r="H3206" i="3"/>
  <c r="H3207" i="3"/>
  <c r="H3208" i="3"/>
  <c r="H3209" i="3"/>
  <c r="H3210" i="3"/>
  <c r="H3211" i="3"/>
  <c r="H3212" i="3"/>
  <c r="H3213" i="3"/>
  <c r="H3214" i="3"/>
  <c r="H3215" i="3"/>
  <c r="H3216" i="3"/>
  <c r="H3217" i="3"/>
  <c r="H3218" i="3"/>
  <c r="H3219" i="3"/>
  <c r="H3220" i="3"/>
  <c r="H3221" i="3"/>
  <c r="H3222" i="3"/>
  <c r="H3223" i="3"/>
  <c r="H3224" i="3"/>
  <c r="H3225" i="3"/>
  <c r="H3226" i="3"/>
  <c r="H3227" i="3"/>
  <c r="H3228" i="3"/>
  <c r="H3229" i="3"/>
  <c r="H3230" i="3"/>
  <c r="H3231" i="3"/>
  <c r="H3232" i="3"/>
  <c r="H3233" i="3"/>
  <c r="H3234" i="3"/>
  <c r="H3235" i="3"/>
  <c r="H3236" i="3"/>
  <c r="H3237" i="3"/>
  <c r="H3238" i="3"/>
  <c r="H3239" i="3"/>
  <c r="H3240" i="3"/>
  <c r="H3241" i="3"/>
  <c r="H3242" i="3"/>
  <c r="H3243" i="3"/>
  <c r="H3244" i="3"/>
  <c r="H3245" i="3"/>
  <c r="H3246" i="3"/>
  <c r="H3247" i="3"/>
  <c r="H3248" i="3"/>
  <c r="H3249" i="3"/>
  <c r="H3250" i="3"/>
  <c r="H3251" i="3"/>
  <c r="H3252" i="3"/>
  <c r="H3253" i="3"/>
  <c r="H3254" i="3"/>
  <c r="H3255" i="3"/>
  <c r="H3256" i="3"/>
  <c r="H3257" i="3"/>
  <c r="H3258" i="3"/>
  <c r="H3259" i="3"/>
  <c r="H3260" i="3"/>
  <c r="H3261" i="3"/>
  <c r="H3262" i="3"/>
  <c r="H3263" i="3"/>
  <c r="H3264" i="3"/>
  <c r="H3265" i="3"/>
  <c r="H3266" i="3"/>
  <c r="H3267" i="3"/>
  <c r="H3268" i="3"/>
  <c r="H3269" i="3"/>
  <c r="H3270" i="3"/>
  <c r="H3271" i="3"/>
  <c r="H3272" i="3"/>
  <c r="H3273" i="3"/>
  <c r="H3274" i="3"/>
  <c r="H3275" i="3"/>
  <c r="H3276" i="3"/>
  <c r="H3277" i="3"/>
  <c r="H3278" i="3"/>
  <c r="H3279" i="3"/>
  <c r="H3280" i="3"/>
  <c r="H3281" i="3"/>
  <c r="H3282" i="3"/>
  <c r="H3283" i="3"/>
  <c r="H3284" i="3"/>
  <c r="H3285" i="3"/>
  <c r="H3286" i="3"/>
  <c r="H3287" i="3"/>
  <c r="H3288" i="3"/>
  <c r="H3289" i="3"/>
  <c r="H3290" i="3"/>
  <c r="H3291" i="3"/>
  <c r="H3292" i="3"/>
  <c r="H3293" i="3"/>
  <c r="H3294" i="3"/>
  <c r="H3295" i="3"/>
  <c r="H3296" i="3"/>
  <c r="H3297" i="3"/>
  <c r="H3298" i="3"/>
  <c r="H3299" i="3"/>
  <c r="H3300" i="3"/>
  <c r="H3301" i="3"/>
  <c r="H3302" i="3"/>
  <c r="H3303" i="3"/>
  <c r="H3304" i="3"/>
  <c r="H3305" i="3"/>
  <c r="H3306" i="3"/>
  <c r="H3307" i="3"/>
  <c r="H3308" i="3"/>
  <c r="H3309" i="3"/>
  <c r="H3310" i="3"/>
  <c r="H3311" i="3"/>
  <c r="H3312" i="3"/>
  <c r="H3313" i="3"/>
  <c r="H3314" i="3"/>
  <c r="H3315" i="3"/>
  <c r="H3316" i="3"/>
  <c r="H3317" i="3"/>
  <c r="H3318" i="3"/>
  <c r="H3319" i="3"/>
  <c r="H3320" i="3"/>
  <c r="H3321" i="3"/>
  <c r="H3322" i="3"/>
  <c r="H3323" i="3"/>
  <c r="H3324" i="3"/>
  <c r="H3325" i="3"/>
  <c r="H3326" i="3"/>
  <c r="H3327" i="3"/>
  <c r="H3328" i="3"/>
  <c r="H3329" i="3"/>
  <c r="H3330" i="3"/>
  <c r="H3331" i="3"/>
  <c r="H3332" i="3"/>
  <c r="H3333" i="3"/>
  <c r="H3334" i="3"/>
  <c r="H3335" i="3"/>
  <c r="H3336" i="3"/>
  <c r="H3337" i="3"/>
  <c r="H3338" i="3"/>
  <c r="H3339" i="3"/>
  <c r="H3340" i="3"/>
  <c r="H3341" i="3"/>
  <c r="H3342" i="3"/>
  <c r="H3343" i="3"/>
  <c r="H3344" i="3"/>
  <c r="H3345" i="3"/>
  <c r="H3346" i="3"/>
  <c r="H3347" i="3"/>
  <c r="H3348" i="3"/>
  <c r="H3349" i="3"/>
  <c r="H3350" i="3"/>
  <c r="H3351" i="3"/>
  <c r="H3352" i="3"/>
  <c r="H3353" i="3"/>
  <c r="H3354" i="3"/>
  <c r="H3355" i="3"/>
  <c r="H3356" i="3"/>
  <c r="H3357" i="3"/>
  <c r="H3358" i="3"/>
  <c r="H3359" i="3"/>
  <c r="H3360" i="3"/>
  <c r="H3361" i="3"/>
  <c r="H3362" i="3"/>
  <c r="H3363" i="3"/>
  <c r="H3364" i="3"/>
  <c r="H3365" i="3"/>
  <c r="H3366" i="3"/>
  <c r="H3367" i="3"/>
  <c r="H3368" i="3"/>
  <c r="H3369" i="3"/>
  <c r="H3370" i="3"/>
  <c r="H3371" i="3"/>
  <c r="H3372" i="3"/>
  <c r="H3373" i="3"/>
  <c r="H3374" i="3"/>
  <c r="H3375" i="3"/>
  <c r="H3376" i="3"/>
  <c r="H3377" i="3"/>
  <c r="H3378" i="3"/>
  <c r="H3379" i="3"/>
  <c r="H3380" i="3"/>
  <c r="H3381" i="3"/>
  <c r="H3382" i="3"/>
  <c r="H3383" i="3"/>
  <c r="H3384" i="3"/>
  <c r="H3385" i="3"/>
  <c r="H3386" i="3"/>
  <c r="H3387" i="3"/>
  <c r="H3388" i="3"/>
  <c r="H3389" i="3"/>
  <c r="H3390" i="3"/>
  <c r="H3391" i="3"/>
  <c r="H3392" i="3"/>
  <c r="H3393" i="3"/>
  <c r="H3394" i="3"/>
  <c r="H3395" i="3"/>
  <c r="H3396" i="3"/>
  <c r="H3397" i="3"/>
  <c r="H3398" i="3"/>
  <c r="H3399" i="3"/>
  <c r="H3400" i="3"/>
  <c r="H3401" i="3"/>
  <c r="H3402" i="3"/>
  <c r="H3403" i="3"/>
  <c r="H3404" i="3"/>
  <c r="H3405" i="3"/>
  <c r="H3406" i="3"/>
  <c r="H3407" i="3"/>
  <c r="H3408" i="3"/>
  <c r="H3409" i="3"/>
  <c r="H3410" i="3"/>
  <c r="H3411" i="3"/>
  <c r="H3412" i="3"/>
  <c r="H3413" i="3"/>
  <c r="H3414" i="3"/>
  <c r="H3415" i="3"/>
  <c r="H3416" i="3"/>
  <c r="H3417" i="3"/>
  <c r="H3418" i="3"/>
  <c r="H3419" i="3"/>
  <c r="H3420" i="3"/>
  <c r="H3421" i="3"/>
  <c r="H3422" i="3"/>
  <c r="H3423" i="3"/>
  <c r="H3424" i="3"/>
  <c r="H3425" i="3"/>
  <c r="H3426" i="3"/>
  <c r="H3427" i="3"/>
  <c r="H3428" i="3"/>
  <c r="H3429" i="3"/>
  <c r="H3430" i="3"/>
  <c r="H3431" i="3"/>
  <c r="H3432" i="3"/>
  <c r="H3433" i="3"/>
  <c r="H3434" i="3"/>
  <c r="H3435" i="3"/>
  <c r="H3436" i="3"/>
  <c r="H3437" i="3"/>
  <c r="H3438" i="3"/>
  <c r="H3439" i="3"/>
  <c r="H3440" i="3"/>
  <c r="H3441" i="3"/>
  <c r="H3442" i="3"/>
  <c r="H3443" i="3"/>
  <c r="H3444" i="3"/>
  <c r="H3445" i="3"/>
  <c r="H3446" i="3"/>
  <c r="H3447" i="3"/>
  <c r="H3448" i="3"/>
  <c r="H3449" i="3"/>
  <c r="H3450" i="3"/>
  <c r="H3451" i="3"/>
  <c r="H3452" i="3"/>
  <c r="H3453" i="3"/>
  <c r="H3454" i="3"/>
  <c r="H3455" i="3"/>
  <c r="H3456" i="3"/>
  <c r="H3457" i="3"/>
  <c r="H3458" i="3"/>
  <c r="H3459" i="3"/>
  <c r="H3460" i="3"/>
  <c r="H3461" i="3"/>
  <c r="H3462" i="3"/>
  <c r="H3463" i="3"/>
  <c r="H3464" i="3"/>
  <c r="H3465" i="3"/>
  <c r="H3466" i="3"/>
  <c r="H3467" i="3"/>
  <c r="H3468" i="3"/>
  <c r="H3469" i="3"/>
  <c r="H3470" i="3"/>
  <c r="H3471" i="3"/>
  <c r="H3472" i="3"/>
  <c r="H3473" i="3"/>
  <c r="H3474" i="3"/>
  <c r="H3475" i="3"/>
  <c r="H3476" i="3"/>
  <c r="H3477" i="3"/>
  <c r="H3478" i="3"/>
  <c r="H3479" i="3"/>
  <c r="H3480" i="3"/>
  <c r="H3481" i="3"/>
  <c r="H3482" i="3"/>
  <c r="H3483" i="3"/>
  <c r="H3484" i="3"/>
  <c r="H3485" i="3"/>
  <c r="H3486" i="3"/>
  <c r="H3487" i="3"/>
  <c r="H3488" i="3"/>
  <c r="H3489" i="3"/>
  <c r="H3490" i="3"/>
  <c r="H3491" i="3"/>
  <c r="H3492" i="3"/>
  <c r="H3493" i="3"/>
  <c r="H3494" i="3"/>
  <c r="H3495" i="3"/>
  <c r="H3496" i="3"/>
  <c r="H3497" i="3"/>
  <c r="H3498" i="3"/>
  <c r="H3499" i="3"/>
  <c r="H3500" i="3"/>
  <c r="H3501" i="3"/>
  <c r="H3502" i="3"/>
  <c r="H3503" i="3"/>
  <c r="H3504" i="3"/>
  <c r="H3505" i="3"/>
  <c r="H3506" i="3"/>
  <c r="H3507" i="3"/>
  <c r="H3508" i="3"/>
  <c r="H3509" i="3"/>
  <c r="H3510" i="3"/>
  <c r="H3511" i="3"/>
  <c r="H3512" i="3"/>
  <c r="H3513" i="3"/>
  <c r="H3514" i="3"/>
  <c r="H3515" i="3"/>
  <c r="H3516" i="3"/>
  <c r="H3517" i="3"/>
  <c r="H3518" i="3"/>
  <c r="H3519" i="3"/>
  <c r="H3520" i="3"/>
  <c r="H3521" i="3"/>
  <c r="H3522" i="3"/>
  <c r="H3523" i="3"/>
  <c r="H3524" i="3"/>
  <c r="H3525" i="3"/>
  <c r="H3526" i="3"/>
  <c r="H3527" i="3"/>
  <c r="H3528" i="3"/>
  <c r="H3529" i="3"/>
  <c r="H3530" i="3"/>
  <c r="H3531" i="3"/>
  <c r="H3532" i="3"/>
  <c r="H3533" i="3"/>
  <c r="H3534" i="3"/>
  <c r="H3535" i="3"/>
  <c r="H3536" i="3"/>
  <c r="H3537" i="3"/>
  <c r="H3538" i="3"/>
  <c r="H3539" i="3"/>
  <c r="H3540" i="3"/>
  <c r="H3541" i="3"/>
  <c r="H3542" i="3"/>
  <c r="H3543" i="3"/>
  <c r="H3544" i="3"/>
  <c r="H3545" i="3"/>
  <c r="H3546" i="3"/>
  <c r="H3547" i="3"/>
  <c r="H3548" i="3"/>
  <c r="H3549" i="3"/>
  <c r="H3550" i="3"/>
  <c r="H3551" i="3"/>
  <c r="H3552" i="3"/>
  <c r="H3553" i="3"/>
  <c r="H3554" i="3"/>
  <c r="H3555" i="3"/>
  <c r="H3556" i="3"/>
  <c r="H3557" i="3"/>
  <c r="H3558" i="3"/>
  <c r="H3559" i="3"/>
  <c r="H3560" i="3"/>
  <c r="H3561" i="3"/>
  <c r="H3562" i="3"/>
  <c r="H3563" i="3"/>
  <c r="H3564" i="3"/>
  <c r="H3565" i="3"/>
  <c r="H3566" i="3"/>
  <c r="H3567" i="3"/>
  <c r="H3568" i="3"/>
  <c r="H3569" i="3"/>
  <c r="H3570" i="3"/>
  <c r="H3571" i="3"/>
  <c r="H3572" i="3"/>
  <c r="H3573" i="3"/>
  <c r="H3574" i="3"/>
  <c r="H3575" i="3"/>
  <c r="H3576" i="3"/>
  <c r="H3577" i="3"/>
  <c r="H3578" i="3"/>
  <c r="H3579" i="3"/>
  <c r="H3580" i="3"/>
  <c r="H3581" i="3"/>
  <c r="H3582" i="3"/>
  <c r="H3583" i="3"/>
  <c r="H3584" i="3"/>
  <c r="H3585" i="3"/>
  <c r="H3586" i="3"/>
  <c r="H3587" i="3"/>
  <c r="H3588" i="3"/>
  <c r="H3589" i="3"/>
  <c r="H3590" i="3"/>
  <c r="H3591" i="3"/>
  <c r="H3592" i="3"/>
  <c r="H3593" i="3"/>
  <c r="H3594" i="3"/>
  <c r="H3595" i="3"/>
  <c r="H3596" i="3"/>
  <c r="H3597" i="3"/>
  <c r="H3598" i="3"/>
  <c r="H3599" i="3"/>
  <c r="H3600" i="3"/>
  <c r="H3601" i="3"/>
  <c r="H3602" i="3"/>
  <c r="H3603" i="3"/>
  <c r="H3604" i="3"/>
  <c r="H3605" i="3"/>
  <c r="H3606" i="3"/>
  <c r="H3607" i="3"/>
  <c r="H3608" i="3"/>
  <c r="H3609" i="3"/>
  <c r="H3610" i="3"/>
  <c r="H3611" i="3"/>
  <c r="H3612" i="3"/>
  <c r="H3613" i="3"/>
  <c r="H3614" i="3"/>
  <c r="H3615" i="3"/>
  <c r="H3616" i="3"/>
  <c r="H3617" i="3"/>
  <c r="H3618" i="3"/>
  <c r="H3619" i="3"/>
  <c r="H3620" i="3"/>
  <c r="H3621" i="3"/>
  <c r="H3622" i="3"/>
  <c r="H3623" i="3"/>
  <c r="H3624" i="3"/>
  <c r="H3625" i="3"/>
  <c r="H3626" i="3"/>
  <c r="H3627" i="3"/>
  <c r="H3628" i="3"/>
  <c r="H3629" i="3"/>
  <c r="H3630" i="3"/>
  <c r="H3631" i="3"/>
  <c r="H3632" i="3"/>
  <c r="H3633" i="3"/>
  <c r="H3634" i="3"/>
  <c r="H3635" i="3"/>
  <c r="H3636" i="3"/>
  <c r="H3637" i="3"/>
  <c r="H3638" i="3"/>
  <c r="H3639" i="3"/>
  <c r="H3640" i="3"/>
  <c r="H3641" i="3"/>
  <c r="H3642" i="3"/>
  <c r="H3643" i="3"/>
  <c r="H3644" i="3"/>
  <c r="H3645" i="3"/>
  <c r="H3646" i="3"/>
  <c r="H3647" i="3"/>
  <c r="H3648" i="3"/>
  <c r="H3649" i="3"/>
  <c r="H3650" i="3"/>
  <c r="H3651" i="3"/>
  <c r="H3652" i="3"/>
  <c r="H3653" i="3"/>
  <c r="H3654" i="3"/>
  <c r="H3655" i="3"/>
  <c r="H3656" i="3"/>
  <c r="H3657" i="3"/>
  <c r="H3658" i="3"/>
  <c r="H3659" i="3"/>
  <c r="H3660" i="3"/>
  <c r="H3661" i="3"/>
  <c r="H3662" i="3"/>
  <c r="H3663" i="3"/>
  <c r="H3664" i="3"/>
  <c r="H3665" i="3"/>
  <c r="H3666" i="3"/>
  <c r="H3667" i="3"/>
  <c r="H3668" i="3"/>
  <c r="H3669" i="3"/>
  <c r="H3670" i="3"/>
  <c r="H3671" i="3"/>
  <c r="H3672" i="3"/>
  <c r="H3673" i="3"/>
  <c r="H3674" i="3"/>
  <c r="H3675" i="3"/>
  <c r="H3676" i="3"/>
  <c r="H3677" i="3"/>
  <c r="H3678" i="3"/>
  <c r="H3679" i="3"/>
  <c r="H3680" i="3"/>
  <c r="H3681" i="3"/>
  <c r="H3682" i="3"/>
  <c r="H3683" i="3"/>
  <c r="H3684" i="3"/>
  <c r="H3685" i="3"/>
  <c r="H3686" i="3"/>
  <c r="H3687" i="3"/>
  <c r="H3688" i="3"/>
  <c r="H3689" i="3"/>
  <c r="H3690" i="3"/>
  <c r="H3691" i="3"/>
  <c r="H3692" i="3"/>
  <c r="H3693" i="3"/>
  <c r="H3694" i="3"/>
  <c r="H3695" i="3"/>
  <c r="H3696" i="3"/>
  <c r="H3697" i="3"/>
  <c r="H3698" i="3"/>
  <c r="H3699" i="3"/>
  <c r="H3700" i="3"/>
  <c r="H3701" i="3"/>
  <c r="H3702" i="3"/>
  <c r="H3703" i="3"/>
  <c r="H3704" i="3"/>
  <c r="H3705" i="3"/>
  <c r="H3706" i="3"/>
  <c r="H3707" i="3"/>
  <c r="H3708" i="3"/>
  <c r="H3709" i="3"/>
  <c r="H3710" i="3"/>
  <c r="H3711" i="3"/>
  <c r="H3712" i="3"/>
  <c r="H3713" i="3"/>
  <c r="H3714" i="3"/>
  <c r="H3715" i="3"/>
  <c r="H3716" i="3"/>
  <c r="H3717" i="3"/>
  <c r="H3718" i="3"/>
  <c r="H3719" i="3"/>
  <c r="H3720" i="3"/>
  <c r="H3721" i="3"/>
  <c r="H3722" i="3"/>
  <c r="H3723" i="3"/>
  <c r="H3724" i="3"/>
  <c r="H3725" i="3"/>
  <c r="H3726" i="3"/>
  <c r="H3727" i="3"/>
  <c r="H3728" i="3"/>
  <c r="H3729" i="3"/>
  <c r="H3730" i="3"/>
  <c r="H3731" i="3"/>
  <c r="H3732" i="3"/>
  <c r="H3733" i="3"/>
  <c r="H3734" i="3"/>
  <c r="H3735" i="3"/>
  <c r="H3736" i="3"/>
  <c r="H3737" i="3"/>
  <c r="H3738" i="3"/>
  <c r="H3739" i="3"/>
  <c r="H3740" i="3"/>
  <c r="H3741" i="3"/>
  <c r="H3742" i="3"/>
  <c r="H3743" i="3"/>
  <c r="H3744" i="3"/>
  <c r="H3745" i="3"/>
  <c r="H3746" i="3"/>
  <c r="H3747" i="3"/>
  <c r="H3748" i="3"/>
  <c r="H3749" i="3"/>
  <c r="H3750" i="3"/>
  <c r="H3751" i="3"/>
  <c r="H3752" i="3"/>
  <c r="H3753" i="3"/>
  <c r="H3754" i="3"/>
  <c r="H3755" i="3"/>
  <c r="H3756" i="3"/>
  <c r="H3757" i="3"/>
  <c r="H3758" i="3"/>
  <c r="H3759" i="3"/>
  <c r="H3760" i="3"/>
  <c r="H3761" i="3"/>
  <c r="H3762" i="3"/>
  <c r="H3763" i="3"/>
  <c r="H3764" i="3"/>
  <c r="H3765" i="3"/>
  <c r="H3766" i="3"/>
  <c r="H3767" i="3"/>
  <c r="H3768" i="3"/>
  <c r="H3769" i="3"/>
  <c r="H3770" i="3"/>
  <c r="H3771" i="3"/>
  <c r="H3772" i="3"/>
  <c r="H3773" i="3"/>
  <c r="H3774" i="3"/>
  <c r="H3775" i="3"/>
  <c r="H3776" i="3"/>
  <c r="H3777" i="3"/>
  <c r="H3778" i="3"/>
  <c r="H3779" i="3"/>
  <c r="H3780" i="3"/>
  <c r="H3781" i="3"/>
  <c r="H3782" i="3"/>
  <c r="H3783" i="3"/>
  <c r="H3784" i="3"/>
  <c r="H3785" i="3"/>
  <c r="H3786" i="3"/>
  <c r="H3787" i="3"/>
  <c r="H3788" i="3"/>
  <c r="H3789" i="3"/>
  <c r="H3790" i="3"/>
  <c r="H3791" i="3"/>
  <c r="H3792" i="3"/>
  <c r="H3793" i="3"/>
  <c r="H3794" i="3"/>
  <c r="H3795" i="3"/>
  <c r="H3796" i="3"/>
  <c r="H3797" i="3"/>
  <c r="H3798" i="3"/>
  <c r="H3799" i="3"/>
  <c r="H3800" i="3"/>
  <c r="H3801" i="3"/>
  <c r="H3802" i="3"/>
  <c r="H3803" i="3"/>
  <c r="H3804" i="3"/>
  <c r="H3805" i="3"/>
  <c r="H3806" i="3"/>
  <c r="H3807" i="3"/>
  <c r="H3808" i="3"/>
  <c r="H3809" i="3"/>
  <c r="H3810" i="3"/>
  <c r="H3811" i="3"/>
  <c r="H3812" i="3"/>
  <c r="H3813" i="3"/>
  <c r="H3814" i="3"/>
  <c r="H3815" i="3"/>
  <c r="H3816" i="3"/>
  <c r="H3817" i="3"/>
  <c r="H3818" i="3"/>
  <c r="H3819" i="3"/>
  <c r="H3820" i="3"/>
  <c r="H3821" i="3"/>
  <c r="H3822" i="3"/>
  <c r="H3823" i="3"/>
  <c r="H3824" i="3"/>
  <c r="H3825" i="3"/>
  <c r="H3826" i="3"/>
  <c r="H3827" i="3"/>
  <c r="H3828" i="3"/>
  <c r="H3829" i="3"/>
  <c r="H3830" i="3"/>
  <c r="H3831" i="3"/>
  <c r="H3832" i="3"/>
  <c r="H3833" i="3"/>
  <c r="H3834" i="3"/>
  <c r="H3835" i="3"/>
  <c r="H3836" i="3"/>
  <c r="H3837" i="3"/>
  <c r="H3838" i="3"/>
  <c r="H3839" i="3"/>
  <c r="H3840" i="3"/>
  <c r="H3841" i="3"/>
  <c r="H3842" i="3"/>
  <c r="H3843" i="3"/>
  <c r="H3844" i="3"/>
  <c r="H3845" i="3"/>
  <c r="H3846" i="3"/>
  <c r="H3847" i="3"/>
  <c r="H3848" i="3"/>
  <c r="H3849" i="3"/>
  <c r="H3850" i="3"/>
  <c r="H3851" i="3"/>
  <c r="H3852" i="3"/>
  <c r="H3853" i="3"/>
  <c r="H3854" i="3"/>
  <c r="H3855" i="3"/>
  <c r="H3856" i="3"/>
  <c r="H3857" i="3"/>
  <c r="H3858" i="3"/>
  <c r="H3859" i="3"/>
  <c r="H3860" i="3"/>
  <c r="H3861" i="3"/>
  <c r="H3862" i="3"/>
  <c r="H3863" i="3"/>
  <c r="H3864" i="3"/>
  <c r="H3865" i="3"/>
  <c r="H3866" i="3"/>
  <c r="H3867" i="3"/>
  <c r="H3868" i="3"/>
  <c r="H3869" i="3"/>
  <c r="H3870" i="3"/>
  <c r="H3871" i="3"/>
  <c r="H3872" i="3"/>
  <c r="H3873" i="3"/>
  <c r="H3874" i="3"/>
  <c r="H3875" i="3"/>
  <c r="H3876" i="3"/>
  <c r="H3877" i="3"/>
  <c r="H3878" i="3"/>
  <c r="H3879" i="3"/>
  <c r="H3880" i="3"/>
  <c r="H3881" i="3"/>
  <c r="H3882" i="3"/>
  <c r="H3883" i="3"/>
  <c r="H3884" i="3"/>
  <c r="H3885" i="3"/>
  <c r="H3886" i="3"/>
  <c r="H3887" i="3"/>
  <c r="H3888" i="3"/>
  <c r="H3889" i="3"/>
  <c r="H3890" i="3"/>
  <c r="H3891" i="3"/>
  <c r="H3892" i="3"/>
  <c r="H3893" i="3"/>
  <c r="H3894" i="3"/>
  <c r="H3895" i="3"/>
  <c r="H3896" i="3"/>
  <c r="H3897" i="3"/>
  <c r="H3898" i="3"/>
  <c r="H3899" i="3"/>
  <c r="H3900" i="3"/>
  <c r="H3901" i="3"/>
  <c r="H3902" i="3"/>
  <c r="H3903" i="3"/>
  <c r="H3904" i="3"/>
  <c r="H3905" i="3"/>
  <c r="H3906" i="3"/>
  <c r="H3907" i="3"/>
  <c r="H3908" i="3"/>
  <c r="H3909" i="3"/>
  <c r="H3910" i="3"/>
  <c r="H3911" i="3"/>
  <c r="H3912" i="3"/>
  <c r="H3913" i="3"/>
  <c r="H3914" i="3"/>
  <c r="H3915" i="3"/>
  <c r="H3916" i="3"/>
  <c r="H3917" i="3"/>
  <c r="H3918" i="3"/>
  <c r="H3919" i="3"/>
  <c r="H3920" i="3"/>
  <c r="H3921" i="3"/>
  <c r="H3922" i="3"/>
  <c r="H3923" i="3"/>
  <c r="H3924" i="3"/>
  <c r="H3925" i="3"/>
  <c r="H3926" i="3"/>
  <c r="H3927" i="3"/>
  <c r="H3928" i="3"/>
  <c r="H3929" i="3"/>
  <c r="H3930" i="3"/>
  <c r="H3931" i="3"/>
  <c r="H3932" i="3"/>
  <c r="H3933" i="3"/>
  <c r="H3934" i="3"/>
  <c r="H3935" i="3"/>
  <c r="H3936" i="3"/>
  <c r="H3937" i="3"/>
  <c r="H3938" i="3"/>
  <c r="H3939" i="3"/>
  <c r="H3940" i="3"/>
  <c r="H3941" i="3"/>
  <c r="H3942" i="3"/>
  <c r="H3943" i="3"/>
  <c r="H3944" i="3"/>
  <c r="H3945" i="3"/>
  <c r="H3946" i="3"/>
  <c r="H3947" i="3"/>
  <c r="H3948" i="3"/>
  <c r="H3949" i="3"/>
  <c r="H3950" i="3"/>
  <c r="H3951" i="3"/>
  <c r="H3952" i="3"/>
  <c r="H3953" i="3"/>
  <c r="H3954" i="3"/>
  <c r="H3955" i="3"/>
  <c r="H3956" i="3"/>
  <c r="H3957" i="3"/>
  <c r="H3958" i="3"/>
  <c r="H3959" i="3"/>
  <c r="H3960" i="3"/>
  <c r="H3961" i="3"/>
  <c r="H3962" i="3"/>
  <c r="H3963" i="3"/>
  <c r="H3964" i="3"/>
  <c r="H3965" i="3"/>
  <c r="H3966" i="3"/>
  <c r="H3967" i="3"/>
  <c r="H3968" i="3"/>
  <c r="H3969" i="3"/>
  <c r="H3970" i="3"/>
  <c r="H3971" i="3"/>
  <c r="H3972" i="3"/>
  <c r="H3973" i="3"/>
  <c r="H3974" i="3"/>
  <c r="H3975" i="3"/>
  <c r="H3976" i="3"/>
  <c r="H3977" i="3"/>
  <c r="H3978" i="3"/>
  <c r="H3979" i="3"/>
  <c r="H3980" i="3"/>
  <c r="H3981" i="3"/>
  <c r="H3982" i="3"/>
  <c r="H3983" i="3"/>
  <c r="H3984" i="3"/>
  <c r="H3985" i="3"/>
  <c r="H3986" i="3"/>
  <c r="H3987" i="3"/>
  <c r="H3988" i="3"/>
  <c r="H3989" i="3"/>
  <c r="H3990" i="3"/>
  <c r="H3991" i="3"/>
  <c r="H3992" i="3"/>
  <c r="H3993" i="3"/>
  <c r="H3994" i="3"/>
  <c r="H3995" i="3"/>
  <c r="H3996" i="3"/>
  <c r="H3997" i="3"/>
  <c r="H3998" i="3"/>
  <c r="H3999" i="3"/>
  <c r="H4000" i="3"/>
  <c r="H4001" i="3"/>
  <c r="H4002" i="3"/>
  <c r="H4003" i="3"/>
  <c r="H4004" i="3"/>
  <c r="H4005" i="3"/>
  <c r="H4006" i="3"/>
  <c r="H4007" i="3"/>
  <c r="H4008" i="3"/>
  <c r="H4009" i="3"/>
  <c r="H4010" i="3"/>
  <c r="H4011" i="3"/>
  <c r="H4012" i="3"/>
  <c r="H4013" i="3"/>
  <c r="H4014" i="3"/>
  <c r="H4015" i="3"/>
  <c r="H4016" i="3"/>
  <c r="H4017" i="3"/>
  <c r="H4018" i="3"/>
  <c r="H4019" i="3"/>
  <c r="H4020" i="3"/>
  <c r="H4021" i="3"/>
  <c r="H4022" i="3"/>
  <c r="H4023" i="3"/>
  <c r="H4024" i="3"/>
  <c r="H4025" i="3"/>
  <c r="H4026" i="3"/>
  <c r="H4027" i="3"/>
  <c r="H4028" i="3"/>
  <c r="H4029" i="3"/>
  <c r="H4030" i="3"/>
  <c r="H4031" i="3"/>
  <c r="H4032" i="3"/>
  <c r="H4033" i="3"/>
  <c r="H4034" i="3"/>
  <c r="H4035" i="3"/>
  <c r="H4036" i="3"/>
  <c r="H4037" i="3"/>
  <c r="H4038" i="3"/>
  <c r="H4039" i="3"/>
  <c r="H4040" i="3"/>
  <c r="H4041" i="3"/>
  <c r="H4042" i="3"/>
  <c r="H4043" i="3"/>
  <c r="H4044" i="3"/>
  <c r="H4045" i="3"/>
  <c r="H4046" i="3"/>
  <c r="H4047" i="3"/>
  <c r="H4048" i="3"/>
  <c r="H4049" i="3"/>
  <c r="H4050" i="3"/>
  <c r="H4051" i="3"/>
  <c r="H4052" i="3"/>
  <c r="H4053" i="3"/>
  <c r="H4054" i="3"/>
  <c r="H4055" i="3"/>
  <c r="H4056" i="3"/>
  <c r="H4057" i="3"/>
  <c r="H4058" i="3"/>
  <c r="H4059" i="3"/>
  <c r="H4060" i="3"/>
  <c r="H4061" i="3"/>
  <c r="H4062" i="3"/>
  <c r="H4063" i="3"/>
  <c r="H4064" i="3"/>
  <c r="H4065" i="3"/>
  <c r="H4066" i="3"/>
  <c r="H4067" i="3"/>
  <c r="H4068" i="3"/>
  <c r="H4069" i="3"/>
  <c r="H4070" i="3"/>
  <c r="H4071" i="3"/>
  <c r="H4072" i="3"/>
  <c r="H4073" i="3"/>
  <c r="H4074" i="3"/>
  <c r="H4075" i="3"/>
  <c r="H4076" i="3"/>
  <c r="H4077" i="3"/>
  <c r="H4078" i="3"/>
  <c r="H4079" i="3"/>
  <c r="H4080" i="3"/>
  <c r="H4081" i="3"/>
  <c r="H4082" i="3"/>
  <c r="H4083" i="3"/>
  <c r="H4084" i="3"/>
  <c r="H4085" i="3"/>
  <c r="H4086" i="3"/>
  <c r="H4087" i="3"/>
  <c r="H4088" i="3"/>
  <c r="H4089" i="3"/>
  <c r="H4090" i="3"/>
  <c r="H4091" i="3"/>
  <c r="H4092" i="3"/>
  <c r="H4093" i="3"/>
  <c r="H4094" i="3"/>
  <c r="H4095" i="3"/>
  <c r="H4096" i="3"/>
  <c r="H4097" i="3"/>
  <c r="H4098" i="3"/>
  <c r="H4099" i="3"/>
  <c r="H4100" i="3"/>
  <c r="H4101" i="3"/>
  <c r="H4102" i="3"/>
  <c r="H4103" i="3"/>
  <c r="H4104" i="3"/>
  <c r="H4105" i="3"/>
  <c r="H4106" i="3"/>
  <c r="H4107" i="3"/>
  <c r="H4108" i="3"/>
  <c r="H4109" i="3"/>
  <c r="H4110" i="3"/>
  <c r="H4111" i="3"/>
  <c r="H4112" i="3"/>
  <c r="H4113" i="3"/>
  <c r="H4114" i="3"/>
  <c r="H4115" i="3"/>
  <c r="H4116" i="3"/>
  <c r="H4117" i="3"/>
  <c r="H4118" i="3"/>
  <c r="H4119" i="3"/>
  <c r="H4120" i="3"/>
  <c r="H4121" i="3"/>
  <c r="H4122" i="3"/>
  <c r="H4123" i="3"/>
  <c r="H4124" i="3"/>
  <c r="H4125" i="3"/>
  <c r="H4126" i="3"/>
  <c r="H4127" i="3"/>
  <c r="H4128" i="3"/>
  <c r="H4129" i="3"/>
  <c r="H4130" i="3"/>
  <c r="H4131" i="3"/>
  <c r="H4132" i="3"/>
  <c r="H4133" i="3"/>
  <c r="H4134" i="3"/>
  <c r="H4135" i="3"/>
  <c r="H4136" i="3"/>
  <c r="H4137" i="3"/>
  <c r="H4138" i="3"/>
  <c r="H4139" i="3"/>
  <c r="H4140" i="3"/>
  <c r="H4141" i="3"/>
  <c r="H4142" i="3"/>
  <c r="H4143" i="3"/>
  <c r="H4144" i="3"/>
  <c r="H4145" i="3"/>
  <c r="H4146" i="3"/>
  <c r="H4147" i="3"/>
  <c r="H4148" i="3"/>
  <c r="H4149" i="3"/>
  <c r="H4150" i="3"/>
  <c r="H4151" i="3"/>
  <c r="H4152" i="3"/>
  <c r="H4153" i="3"/>
  <c r="H4154" i="3"/>
  <c r="H4155" i="3"/>
  <c r="H4156" i="3"/>
  <c r="H4157" i="3"/>
  <c r="H4158" i="3"/>
  <c r="H4159" i="3"/>
  <c r="H4160" i="3"/>
  <c r="H4161" i="3"/>
  <c r="H4162" i="3"/>
  <c r="H4163" i="3"/>
  <c r="H4164" i="3"/>
  <c r="H4165" i="3"/>
  <c r="H4166" i="3"/>
  <c r="H4167" i="3"/>
  <c r="H4168" i="3"/>
  <c r="H4169" i="3"/>
  <c r="H4170" i="3"/>
  <c r="H4171" i="3"/>
  <c r="H4172" i="3"/>
  <c r="H4173" i="3"/>
  <c r="H4174" i="3"/>
  <c r="H4175" i="3"/>
  <c r="H4176" i="3"/>
  <c r="H4177" i="3"/>
  <c r="H4178" i="3"/>
  <c r="H4179" i="3"/>
  <c r="H4180" i="3"/>
  <c r="H4181" i="3"/>
  <c r="H4182" i="3"/>
  <c r="H4183" i="3"/>
  <c r="H4184" i="3"/>
  <c r="H4185" i="3"/>
  <c r="H4186" i="3"/>
  <c r="H4187" i="3"/>
  <c r="H4188" i="3"/>
  <c r="H4189" i="3"/>
  <c r="H4190" i="3"/>
  <c r="H4191" i="3"/>
  <c r="H4192" i="3"/>
  <c r="H4193" i="3"/>
  <c r="H4194" i="3"/>
  <c r="H4195" i="3"/>
  <c r="H4196" i="3"/>
  <c r="H4197" i="3"/>
  <c r="H4198" i="3"/>
  <c r="H4199" i="3"/>
  <c r="H4200" i="3"/>
  <c r="H4201" i="3"/>
  <c r="H4202" i="3"/>
  <c r="H4203" i="3"/>
  <c r="H4204" i="3"/>
  <c r="H4205" i="3"/>
  <c r="H4206" i="3"/>
  <c r="H4207" i="3"/>
  <c r="H4208" i="3"/>
  <c r="H4209" i="3"/>
  <c r="H4210" i="3"/>
  <c r="H4211" i="3"/>
  <c r="H4212" i="3"/>
  <c r="H4213" i="3"/>
  <c r="H4214" i="3"/>
  <c r="H4215" i="3"/>
  <c r="H4216" i="3"/>
  <c r="H4217" i="3"/>
  <c r="H4218" i="3"/>
  <c r="H4219" i="3"/>
  <c r="H4220" i="3"/>
  <c r="H4221" i="3"/>
  <c r="H4222" i="3"/>
  <c r="H4223" i="3"/>
  <c r="H4224" i="3"/>
  <c r="H4225" i="3"/>
  <c r="H4226" i="3"/>
  <c r="H4227" i="3"/>
  <c r="H4228" i="3"/>
  <c r="H4229" i="3"/>
  <c r="H4230" i="3"/>
  <c r="H4231" i="3"/>
  <c r="H4232" i="3"/>
  <c r="H4233" i="3"/>
  <c r="H4234" i="3"/>
  <c r="H4235" i="3"/>
  <c r="H4236" i="3"/>
  <c r="H4237" i="3"/>
  <c r="H4238" i="3"/>
  <c r="H4239" i="3"/>
  <c r="H4240" i="3"/>
  <c r="H4241" i="3"/>
  <c r="H4242" i="3"/>
  <c r="H4243" i="3"/>
  <c r="H4244" i="3"/>
  <c r="H4245" i="3"/>
  <c r="H4246" i="3"/>
  <c r="H4247" i="3"/>
  <c r="H4248" i="3"/>
  <c r="H4249" i="3"/>
  <c r="H4250" i="3"/>
  <c r="H4251" i="3"/>
  <c r="H4252" i="3"/>
  <c r="H4253" i="3"/>
  <c r="H4254" i="3"/>
  <c r="H4255" i="3"/>
  <c r="H4256" i="3"/>
  <c r="H4257" i="3"/>
  <c r="H4258" i="3"/>
  <c r="H4259" i="3"/>
  <c r="H4260" i="3"/>
  <c r="H4261" i="3"/>
  <c r="H4262" i="3"/>
  <c r="H4263" i="3"/>
  <c r="H4264" i="3"/>
  <c r="H4265" i="3"/>
  <c r="H4266" i="3"/>
  <c r="H4267" i="3"/>
  <c r="H4268" i="3"/>
  <c r="H4269" i="3"/>
  <c r="H4270" i="3"/>
  <c r="H4271" i="3"/>
  <c r="H4272" i="3"/>
  <c r="H4273" i="3"/>
  <c r="H4274" i="3"/>
  <c r="H4275" i="3"/>
  <c r="H4276" i="3"/>
  <c r="H4277" i="3"/>
  <c r="H4278" i="3"/>
  <c r="H4279" i="3"/>
  <c r="H4280" i="3"/>
  <c r="H4281" i="3"/>
  <c r="H4282" i="3"/>
  <c r="H4283" i="3"/>
  <c r="H4284" i="3"/>
  <c r="H4285" i="3"/>
  <c r="H4286" i="3"/>
  <c r="H4287" i="3"/>
  <c r="H4288" i="3"/>
  <c r="H4289" i="3"/>
  <c r="H4290" i="3"/>
  <c r="H4291" i="3"/>
  <c r="H4292" i="3"/>
  <c r="H4293" i="3"/>
  <c r="H4294" i="3"/>
  <c r="H4295" i="3"/>
  <c r="H4296" i="3"/>
  <c r="H4297" i="3"/>
  <c r="H4298" i="3"/>
  <c r="H4299" i="3"/>
  <c r="H4300" i="3"/>
  <c r="H4301" i="3"/>
  <c r="H4302" i="3"/>
  <c r="H4303" i="3"/>
  <c r="H4304" i="3"/>
  <c r="H4305" i="3"/>
  <c r="H4306" i="3"/>
  <c r="H4307" i="3"/>
  <c r="H4308" i="3"/>
  <c r="H4309" i="3"/>
  <c r="H4310" i="3"/>
  <c r="H4311" i="3"/>
  <c r="H4312" i="3"/>
  <c r="H4313" i="3"/>
  <c r="H4314" i="3"/>
  <c r="H4315" i="3"/>
  <c r="H4316" i="3"/>
  <c r="H4317" i="3"/>
  <c r="H4318" i="3"/>
  <c r="H4319" i="3"/>
  <c r="H4320" i="3"/>
  <c r="H4321" i="3"/>
  <c r="H4322" i="3"/>
  <c r="H4323" i="3"/>
  <c r="H4324" i="3"/>
  <c r="H4325" i="3"/>
  <c r="H4326" i="3"/>
  <c r="H4327" i="3"/>
  <c r="H4328" i="3"/>
  <c r="H4329" i="3"/>
  <c r="H4330" i="3"/>
  <c r="H4331" i="3"/>
  <c r="H4332" i="3"/>
  <c r="H4333" i="3"/>
  <c r="H4334" i="3"/>
  <c r="H4335" i="3"/>
  <c r="H4336" i="3"/>
  <c r="H4337" i="3"/>
  <c r="H4338" i="3"/>
  <c r="H4339" i="3"/>
  <c r="H4340" i="3"/>
  <c r="H4341" i="3"/>
  <c r="H4342" i="3"/>
  <c r="H4343" i="3"/>
  <c r="H4344" i="3"/>
  <c r="H4345" i="3"/>
  <c r="H4346" i="3"/>
  <c r="H4347" i="3"/>
  <c r="H4348" i="3"/>
  <c r="H4349" i="3"/>
  <c r="H4350" i="3"/>
  <c r="H4351" i="3"/>
  <c r="H4352" i="3"/>
  <c r="H4353" i="3"/>
  <c r="H4354" i="3"/>
  <c r="H4355" i="3"/>
  <c r="H4356" i="3"/>
  <c r="H4357" i="3"/>
  <c r="H4358" i="3"/>
  <c r="H4359" i="3"/>
  <c r="H4360" i="3"/>
  <c r="H4361" i="3"/>
  <c r="H4362" i="3"/>
  <c r="H4363" i="3"/>
  <c r="H4364" i="3"/>
  <c r="H4365" i="3"/>
  <c r="H4366" i="3"/>
  <c r="H4367" i="3"/>
  <c r="H4368" i="3"/>
  <c r="H4369" i="3"/>
  <c r="H4370" i="3"/>
  <c r="H4371" i="3"/>
  <c r="H4372" i="3"/>
  <c r="H4373" i="3"/>
  <c r="H4374" i="3"/>
  <c r="H4375" i="3"/>
  <c r="H4376" i="3"/>
  <c r="H4377" i="3"/>
  <c r="H4378" i="3"/>
  <c r="H4379" i="3"/>
  <c r="H4380" i="3"/>
  <c r="H4381" i="3"/>
  <c r="H4382" i="3"/>
  <c r="H4383" i="3"/>
  <c r="H4384" i="3"/>
  <c r="H4385" i="3"/>
  <c r="H4386" i="3"/>
  <c r="H4387" i="3"/>
  <c r="H4388" i="3"/>
  <c r="H4389" i="3"/>
  <c r="H4390" i="3"/>
  <c r="H4391" i="3"/>
  <c r="H4392" i="3"/>
  <c r="H4393" i="3"/>
  <c r="H4394" i="3"/>
  <c r="H4395" i="3"/>
  <c r="H4396" i="3"/>
  <c r="H4397" i="3"/>
  <c r="H4398" i="3"/>
  <c r="H4399" i="3"/>
  <c r="H4400" i="3"/>
  <c r="H4401" i="3"/>
  <c r="H4402" i="3"/>
  <c r="H4403" i="3"/>
  <c r="H4404" i="3"/>
  <c r="H4405" i="3"/>
  <c r="H4406" i="3"/>
  <c r="H4407" i="3"/>
  <c r="H4408" i="3"/>
  <c r="H4409" i="3"/>
  <c r="H4410" i="3"/>
  <c r="H4411" i="3"/>
  <c r="H4412" i="3"/>
  <c r="H4413" i="3"/>
  <c r="H4414" i="3"/>
  <c r="H4415" i="3"/>
  <c r="H4416" i="3"/>
  <c r="H4417" i="3"/>
  <c r="H4418" i="3"/>
  <c r="H4419" i="3"/>
  <c r="H4420" i="3"/>
  <c r="H4421" i="3"/>
  <c r="H4422" i="3"/>
  <c r="H4423" i="3"/>
  <c r="H4424" i="3"/>
  <c r="H4425" i="3"/>
  <c r="H4426" i="3"/>
  <c r="H4427" i="3"/>
  <c r="H4428" i="3"/>
  <c r="H4429" i="3"/>
  <c r="H4430" i="3"/>
  <c r="H4431" i="3"/>
  <c r="H4432" i="3"/>
  <c r="H4433" i="3"/>
  <c r="H4434" i="3"/>
  <c r="H4435" i="3"/>
  <c r="H4436" i="3"/>
  <c r="H4437" i="3"/>
  <c r="H4438" i="3"/>
  <c r="H4439" i="3"/>
  <c r="H4440" i="3"/>
  <c r="H4441" i="3"/>
  <c r="H4442" i="3"/>
  <c r="H4443" i="3"/>
  <c r="H4444" i="3"/>
  <c r="H4445" i="3"/>
  <c r="H4446" i="3"/>
  <c r="H4447" i="3"/>
  <c r="H4448" i="3"/>
  <c r="H4449" i="3"/>
  <c r="H4450" i="3"/>
  <c r="H4451" i="3"/>
  <c r="H4452" i="3"/>
  <c r="H4453" i="3"/>
  <c r="H4454" i="3"/>
  <c r="H4455" i="3"/>
  <c r="H4456" i="3"/>
  <c r="H4457" i="3"/>
  <c r="H4458" i="3"/>
  <c r="H4459" i="3"/>
  <c r="H4460" i="3"/>
  <c r="H4461" i="3"/>
  <c r="H4462" i="3"/>
  <c r="H4463" i="3"/>
  <c r="H4464" i="3"/>
  <c r="H4465" i="3"/>
  <c r="H4466" i="3"/>
  <c r="H4467" i="3"/>
  <c r="H4468" i="3"/>
  <c r="H4469" i="3"/>
  <c r="H4470" i="3"/>
  <c r="H4471" i="3"/>
  <c r="H4472" i="3"/>
  <c r="H4473" i="3"/>
  <c r="H4474" i="3"/>
  <c r="H4475" i="3"/>
  <c r="H4476" i="3"/>
  <c r="H4477" i="3"/>
  <c r="H4478" i="3"/>
  <c r="H4479" i="3"/>
  <c r="H4480" i="3"/>
  <c r="H4481" i="3"/>
  <c r="H4482" i="3"/>
  <c r="H4483" i="3"/>
  <c r="H4484" i="3"/>
  <c r="H4485" i="3"/>
  <c r="H4486" i="3"/>
  <c r="H4487" i="3"/>
  <c r="H4488" i="3"/>
  <c r="H4489" i="3"/>
  <c r="H4490" i="3"/>
  <c r="H4491" i="3"/>
  <c r="H4492" i="3"/>
  <c r="H4493" i="3"/>
  <c r="H4494" i="3"/>
  <c r="H4495" i="3"/>
  <c r="H4496" i="3"/>
  <c r="H4497" i="3"/>
  <c r="H4498" i="3"/>
  <c r="H4499" i="3"/>
  <c r="H4500" i="3"/>
  <c r="H4501" i="3"/>
  <c r="H4502" i="3"/>
  <c r="H4503" i="3"/>
  <c r="H4504" i="3"/>
  <c r="H4505" i="3"/>
  <c r="H4506" i="3"/>
  <c r="H4507" i="3"/>
  <c r="H4508" i="3"/>
  <c r="H4509" i="3"/>
  <c r="H4510" i="3"/>
  <c r="H4511" i="3"/>
  <c r="H4512" i="3"/>
  <c r="H4513" i="3"/>
  <c r="H4514" i="3"/>
  <c r="H4515" i="3"/>
  <c r="H4516" i="3"/>
  <c r="H4517" i="3"/>
  <c r="H4518" i="3"/>
  <c r="H4519" i="3"/>
  <c r="H4520" i="3"/>
  <c r="H4521" i="3"/>
  <c r="H4522" i="3"/>
  <c r="H4523" i="3"/>
  <c r="H4524" i="3"/>
  <c r="H4525" i="3"/>
  <c r="H4526" i="3"/>
  <c r="H4527" i="3"/>
  <c r="H4528" i="3"/>
  <c r="H4529" i="3"/>
  <c r="H4530" i="3"/>
  <c r="H4531" i="3"/>
  <c r="H4532" i="3"/>
  <c r="H4533" i="3"/>
  <c r="H4534" i="3"/>
  <c r="H4535" i="3"/>
  <c r="H4536" i="3"/>
  <c r="H4537" i="3"/>
  <c r="H4538" i="3"/>
  <c r="H4539" i="3"/>
  <c r="H4540" i="3"/>
  <c r="H4541" i="3"/>
  <c r="H4542" i="3"/>
  <c r="H4543" i="3"/>
  <c r="H4544" i="3"/>
  <c r="H4545" i="3"/>
  <c r="H4546" i="3"/>
  <c r="H4547" i="3"/>
  <c r="H4548" i="3"/>
  <c r="H4549" i="3"/>
  <c r="H4550" i="3"/>
  <c r="H4551" i="3"/>
  <c r="H4552" i="3"/>
  <c r="H4553" i="3"/>
  <c r="H4554" i="3"/>
  <c r="H4555" i="3"/>
  <c r="H4556" i="3"/>
  <c r="H4557" i="3"/>
  <c r="H4558" i="3"/>
  <c r="H4559" i="3"/>
  <c r="H4560" i="3"/>
  <c r="H4561" i="3"/>
  <c r="H4562" i="3"/>
  <c r="H4563" i="3"/>
  <c r="H4564" i="3"/>
  <c r="H4565" i="3"/>
  <c r="H4566" i="3"/>
  <c r="H4567" i="3"/>
  <c r="H4568" i="3"/>
  <c r="H4569" i="3"/>
  <c r="H4570" i="3"/>
  <c r="H4571" i="3"/>
  <c r="H4572" i="3"/>
  <c r="H4573" i="3"/>
  <c r="H4574" i="3"/>
  <c r="H4575" i="3"/>
  <c r="H4576" i="3"/>
  <c r="H4577" i="3"/>
  <c r="H4578" i="3"/>
  <c r="H4579" i="3"/>
  <c r="H4580" i="3"/>
  <c r="H4581" i="3"/>
  <c r="H4582" i="3"/>
  <c r="H4583" i="3"/>
  <c r="H4584" i="3"/>
  <c r="H4585" i="3"/>
  <c r="H4586" i="3"/>
  <c r="H4587" i="3"/>
  <c r="H4588" i="3"/>
  <c r="H4589" i="3"/>
  <c r="H4590" i="3"/>
  <c r="H4591" i="3"/>
  <c r="H4592" i="3"/>
  <c r="H4593" i="3"/>
  <c r="H4594" i="3"/>
  <c r="H4595" i="3"/>
  <c r="H4596" i="3"/>
  <c r="H4597" i="3"/>
  <c r="H4598" i="3"/>
  <c r="H4599" i="3"/>
  <c r="H4600" i="3"/>
  <c r="H4601" i="3"/>
  <c r="H4602" i="3"/>
  <c r="H4603" i="3"/>
  <c r="H4604" i="3"/>
  <c r="H4605" i="3"/>
  <c r="H4606" i="3"/>
  <c r="H4607" i="3"/>
  <c r="H4608" i="3"/>
  <c r="H4609" i="3"/>
  <c r="H4610" i="3"/>
  <c r="H4611" i="3"/>
  <c r="H4612" i="3"/>
  <c r="H4613" i="3"/>
  <c r="H4614" i="3"/>
  <c r="H4615" i="3"/>
  <c r="H4616" i="3"/>
  <c r="H4617" i="3"/>
  <c r="H4618" i="3"/>
  <c r="H4619" i="3"/>
  <c r="H4620" i="3"/>
  <c r="H4621" i="3"/>
  <c r="H4622" i="3"/>
  <c r="H4623" i="3"/>
  <c r="H4624" i="3"/>
  <c r="H4625" i="3"/>
  <c r="H4626" i="3"/>
  <c r="H4627" i="3"/>
  <c r="H4628" i="3"/>
  <c r="H4629" i="3"/>
  <c r="H4630" i="3"/>
  <c r="H4631" i="3"/>
  <c r="H4632" i="3"/>
  <c r="H4633" i="3"/>
  <c r="H4634" i="3"/>
  <c r="H4635" i="3"/>
  <c r="H4636" i="3"/>
  <c r="H4637" i="3"/>
  <c r="H4638" i="3"/>
  <c r="H4639" i="3"/>
  <c r="H4640" i="3"/>
  <c r="H4641" i="3"/>
  <c r="H4642" i="3"/>
  <c r="H4643" i="3"/>
  <c r="H4644" i="3"/>
  <c r="H4645" i="3"/>
  <c r="H4646" i="3"/>
  <c r="H4647" i="3"/>
  <c r="H4648" i="3"/>
  <c r="H4649" i="3"/>
  <c r="H4650" i="3"/>
  <c r="H4651" i="3"/>
  <c r="H4652" i="3"/>
  <c r="H4653" i="3"/>
  <c r="H4654" i="3"/>
  <c r="H4655" i="3"/>
  <c r="H4656" i="3"/>
  <c r="H4657" i="3"/>
  <c r="H4658" i="3"/>
  <c r="H4659" i="3"/>
  <c r="H4660" i="3"/>
  <c r="H4661" i="3"/>
  <c r="H4662" i="3"/>
  <c r="H4663" i="3"/>
  <c r="H4664" i="3"/>
  <c r="H4665" i="3"/>
  <c r="H4666" i="3"/>
  <c r="H4667" i="3"/>
  <c r="H4668" i="3"/>
  <c r="H4669" i="3"/>
  <c r="H4670" i="3"/>
  <c r="H4671" i="3"/>
  <c r="H4672" i="3"/>
  <c r="H4673" i="3"/>
  <c r="H4674" i="3"/>
  <c r="H4675" i="3"/>
  <c r="H4676" i="3"/>
  <c r="H4677" i="3"/>
  <c r="H4678" i="3"/>
  <c r="H4679" i="3"/>
  <c r="H4680" i="3"/>
  <c r="H4681" i="3"/>
  <c r="H4682" i="3"/>
  <c r="H4683" i="3"/>
  <c r="H4684" i="3"/>
  <c r="H4685" i="3"/>
  <c r="H4686" i="3"/>
  <c r="H4687" i="3"/>
  <c r="H4688" i="3"/>
  <c r="H4689" i="3"/>
  <c r="H4690" i="3"/>
  <c r="H4691" i="3"/>
  <c r="H4692" i="3"/>
  <c r="H4693" i="3"/>
  <c r="H4694" i="3"/>
  <c r="H4695" i="3"/>
  <c r="H4696" i="3"/>
  <c r="H4697" i="3"/>
  <c r="H4698" i="3"/>
  <c r="H4699" i="3"/>
  <c r="H4700" i="3"/>
  <c r="H4701" i="3"/>
  <c r="H4702" i="3"/>
  <c r="H4703" i="3"/>
  <c r="H4704" i="3"/>
  <c r="H4705" i="3"/>
  <c r="H4706" i="3"/>
  <c r="H4707" i="3"/>
  <c r="H4708" i="3"/>
  <c r="H4709" i="3"/>
  <c r="H4710" i="3"/>
  <c r="H4711" i="3"/>
  <c r="H4712" i="3"/>
  <c r="H4713" i="3"/>
  <c r="H4714" i="3"/>
  <c r="H4715" i="3"/>
  <c r="H4716" i="3"/>
  <c r="H4717" i="3"/>
  <c r="H4718" i="3"/>
  <c r="H4719" i="3"/>
  <c r="H4720" i="3"/>
  <c r="H4721" i="3"/>
  <c r="H4722" i="3"/>
  <c r="H4723" i="3"/>
  <c r="H4724" i="3"/>
  <c r="H4725" i="3"/>
  <c r="H4726" i="3"/>
  <c r="H4727" i="3"/>
  <c r="H4728" i="3"/>
  <c r="H4729" i="3"/>
  <c r="H4730" i="3"/>
  <c r="H4731" i="3"/>
  <c r="H4732" i="3"/>
  <c r="H4733" i="3"/>
  <c r="H4734" i="3"/>
  <c r="H4735" i="3"/>
  <c r="H4736" i="3"/>
  <c r="H4737" i="3"/>
  <c r="H4738" i="3"/>
  <c r="H4739" i="3"/>
  <c r="H4740" i="3"/>
  <c r="H4741" i="3"/>
  <c r="H4742" i="3"/>
  <c r="H4743" i="3"/>
  <c r="H4744" i="3"/>
  <c r="H4745" i="3"/>
  <c r="H4746" i="3"/>
  <c r="H4747" i="3"/>
  <c r="H4748" i="3"/>
  <c r="H4749" i="3"/>
  <c r="H4750" i="3"/>
  <c r="H4751" i="3"/>
  <c r="H4752" i="3"/>
  <c r="H4753" i="3"/>
  <c r="H4754" i="3"/>
  <c r="H4755" i="3"/>
  <c r="H4756" i="3"/>
  <c r="H4757" i="3"/>
  <c r="H4758" i="3"/>
  <c r="H4759" i="3"/>
  <c r="H4760" i="3"/>
  <c r="H4761" i="3"/>
  <c r="H4762" i="3"/>
  <c r="H4763" i="3"/>
  <c r="H4764" i="3"/>
  <c r="H4765" i="3"/>
  <c r="H4766" i="3"/>
  <c r="H4767" i="3"/>
  <c r="H4768" i="3"/>
  <c r="H4769" i="3"/>
  <c r="H4770" i="3"/>
  <c r="H4771" i="3"/>
  <c r="H4772" i="3"/>
  <c r="H4773" i="3"/>
  <c r="H4774" i="3"/>
  <c r="H4775" i="3"/>
  <c r="H4776" i="3"/>
  <c r="H4777" i="3"/>
  <c r="H4778" i="3"/>
  <c r="H4779" i="3"/>
  <c r="H4780" i="3"/>
  <c r="H4781" i="3"/>
  <c r="H4782" i="3"/>
  <c r="H4783" i="3"/>
  <c r="H4784" i="3"/>
  <c r="H4785" i="3"/>
  <c r="H4786" i="3"/>
  <c r="H4787" i="3"/>
  <c r="H4788" i="3"/>
  <c r="H4789" i="3"/>
  <c r="H4790" i="3"/>
  <c r="H4791" i="3"/>
  <c r="H4792" i="3"/>
  <c r="H4793" i="3"/>
  <c r="H4794" i="3"/>
  <c r="H4795" i="3"/>
  <c r="H4796" i="3"/>
  <c r="H4797" i="3"/>
  <c r="H4798" i="3"/>
  <c r="H4799" i="3"/>
  <c r="H4800" i="3"/>
  <c r="H4801" i="3"/>
  <c r="H4802" i="3"/>
  <c r="H4803" i="3"/>
  <c r="H4804" i="3"/>
  <c r="H4805" i="3"/>
  <c r="H4806" i="3"/>
  <c r="H4807" i="3"/>
  <c r="H4808" i="3"/>
  <c r="H4809" i="3"/>
  <c r="H4810" i="3"/>
  <c r="H4811" i="3"/>
  <c r="H4812" i="3"/>
  <c r="H4813" i="3"/>
  <c r="H4814" i="3"/>
  <c r="H4815" i="3"/>
  <c r="H4816" i="3"/>
  <c r="H4817" i="3"/>
  <c r="H4818" i="3"/>
  <c r="H4819" i="3"/>
  <c r="H4820" i="3"/>
  <c r="H4821" i="3"/>
  <c r="H4822" i="3"/>
  <c r="H4823" i="3"/>
  <c r="H4824" i="3"/>
  <c r="H4825" i="3"/>
  <c r="H4826" i="3"/>
  <c r="H4827" i="3"/>
  <c r="H4828" i="3"/>
  <c r="H4829" i="3"/>
  <c r="H4830" i="3"/>
  <c r="H4831" i="3"/>
  <c r="H4832" i="3"/>
  <c r="H4833" i="3"/>
  <c r="H4834" i="3"/>
  <c r="H4835" i="3"/>
  <c r="H4836" i="3"/>
  <c r="H4837" i="3"/>
  <c r="H4838" i="3"/>
  <c r="H4839" i="3"/>
  <c r="H4840" i="3"/>
  <c r="H4841" i="3"/>
  <c r="H4842" i="3"/>
  <c r="H4843" i="3"/>
  <c r="H4844" i="3"/>
  <c r="H4845" i="3"/>
  <c r="H4846" i="3"/>
  <c r="H4847" i="3"/>
  <c r="H4848" i="3"/>
  <c r="H4849" i="3"/>
  <c r="H4850" i="3"/>
  <c r="H4851" i="3"/>
  <c r="H4852" i="3"/>
  <c r="H4853" i="3"/>
  <c r="H4854" i="3"/>
  <c r="H4855" i="3"/>
  <c r="H4856" i="3"/>
  <c r="H4857" i="3"/>
  <c r="H4858" i="3"/>
  <c r="H4859" i="3"/>
  <c r="H4860" i="3"/>
  <c r="H4861" i="3"/>
  <c r="H4862" i="3"/>
  <c r="H4863" i="3"/>
  <c r="H4864" i="3"/>
  <c r="H4865" i="3"/>
  <c r="H4866" i="3"/>
  <c r="H4867" i="3"/>
  <c r="H4868" i="3"/>
  <c r="H4869" i="3"/>
  <c r="H4870" i="3"/>
  <c r="H4871" i="3"/>
  <c r="H4872" i="3"/>
  <c r="H4873" i="3"/>
  <c r="H4874" i="3"/>
  <c r="H4875" i="3"/>
  <c r="H4876" i="3"/>
  <c r="H4877" i="3"/>
  <c r="H4878" i="3"/>
  <c r="H4879" i="3"/>
  <c r="H4880" i="3"/>
  <c r="H4881" i="3"/>
  <c r="H4882" i="3"/>
  <c r="H4883" i="3"/>
  <c r="H4884" i="3"/>
  <c r="H4885" i="3"/>
  <c r="H4886" i="3"/>
  <c r="H4887" i="3"/>
  <c r="H4888" i="3"/>
  <c r="H4889" i="3"/>
  <c r="H4890" i="3"/>
  <c r="H4891" i="3"/>
  <c r="H4892" i="3"/>
  <c r="H4893" i="3"/>
  <c r="H4894" i="3"/>
  <c r="H4895" i="3"/>
  <c r="H4896" i="3"/>
  <c r="H4897" i="3"/>
  <c r="H4898" i="3"/>
  <c r="H4899" i="3"/>
  <c r="H4900" i="3"/>
  <c r="H4901" i="3"/>
  <c r="H4902" i="3"/>
  <c r="H4903" i="3"/>
  <c r="H4904" i="3"/>
  <c r="H4905" i="3"/>
  <c r="H4906" i="3"/>
  <c r="H4907" i="3"/>
  <c r="H4908" i="3"/>
  <c r="H4909" i="3"/>
  <c r="H4910" i="3"/>
  <c r="H4911" i="3"/>
  <c r="H4912" i="3"/>
  <c r="H4913" i="3"/>
  <c r="H4914" i="3"/>
  <c r="H4915" i="3"/>
  <c r="H4916" i="3"/>
  <c r="H4917" i="3"/>
  <c r="H4918" i="3"/>
  <c r="H4919" i="3"/>
  <c r="H4920" i="3"/>
  <c r="H4921" i="3"/>
  <c r="H4922" i="3"/>
  <c r="H4923" i="3"/>
  <c r="H4924" i="3"/>
  <c r="H4925" i="3"/>
  <c r="H4926" i="3"/>
  <c r="H4927" i="3"/>
  <c r="H4928" i="3"/>
  <c r="H4929" i="3"/>
  <c r="H4930" i="3"/>
  <c r="H4931" i="3"/>
  <c r="H4932" i="3"/>
  <c r="H4933" i="3"/>
  <c r="H4934" i="3"/>
  <c r="H4935" i="3"/>
  <c r="H4936" i="3"/>
  <c r="H4937" i="3"/>
  <c r="H4938" i="3"/>
  <c r="H4939" i="3"/>
  <c r="H4940" i="3"/>
  <c r="H4941" i="3"/>
  <c r="H4942" i="3"/>
  <c r="H4943" i="3"/>
  <c r="H4944" i="3"/>
  <c r="H4945" i="3"/>
  <c r="H4946" i="3"/>
  <c r="H4947" i="3"/>
  <c r="H4948" i="3"/>
  <c r="H4949" i="3"/>
  <c r="H4950" i="3"/>
  <c r="H4951" i="3"/>
  <c r="H4952" i="3"/>
  <c r="H4953" i="3"/>
  <c r="H4954" i="3"/>
  <c r="H4955" i="3"/>
  <c r="H4956" i="3"/>
  <c r="H4957" i="3"/>
  <c r="H4958" i="3"/>
  <c r="H4959" i="3"/>
  <c r="H4960" i="3"/>
  <c r="H4961" i="3"/>
  <c r="H4962" i="3"/>
  <c r="H4963" i="3"/>
  <c r="H4964" i="3"/>
  <c r="H4965" i="3"/>
  <c r="H4966" i="3"/>
  <c r="H4967" i="3"/>
  <c r="H4968" i="3"/>
  <c r="H4969" i="3"/>
  <c r="H4970" i="3"/>
  <c r="H4971" i="3"/>
  <c r="H4972" i="3"/>
  <c r="H4973" i="3"/>
  <c r="H4974" i="3"/>
  <c r="H4975" i="3"/>
  <c r="H4976" i="3"/>
  <c r="H4977" i="3"/>
  <c r="H4978" i="3"/>
  <c r="H4979" i="3"/>
  <c r="H4980" i="3"/>
  <c r="H4981" i="3"/>
  <c r="H4982" i="3"/>
  <c r="H4983" i="3"/>
  <c r="H4984" i="3"/>
  <c r="H4985" i="3"/>
  <c r="H4986" i="3"/>
  <c r="H4987" i="3"/>
  <c r="H4988" i="3"/>
  <c r="H4989" i="3"/>
  <c r="H4990" i="3"/>
  <c r="H4991" i="3"/>
  <c r="H4992" i="3"/>
  <c r="H4993" i="3"/>
  <c r="H4994" i="3"/>
  <c r="H4995" i="3"/>
  <c r="H4996" i="3"/>
  <c r="H4997" i="3"/>
  <c r="H4998" i="3"/>
  <c r="H4999" i="3"/>
  <c r="H5000" i="3"/>
  <c r="H5001" i="3"/>
  <c r="H5002" i="3"/>
  <c r="H5003" i="3"/>
  <c r="H5004" i="3"/>
  <c r="H5005" i="3"/>
  <c r="H5006" i="3"/>
  <c r="H5007" i="3"/>
  <c r="H5008" i="3"/>
  <c r="H5009" i="3"/>
  <c r="H5010" i="3"/>
  <c r="H5011" i="3"/>
  <c r="H5012" i="3"/>
  <c r="H5013" i="3"/>
  <c r="H5014" i="3"/>
  <c r="H5015" i="3"/>
  <c r="H5016" i="3"/>
  <c r="H5017" i="3"/>
  <c r="H5018" i="3"/>
  <c r="H5019" i="3"/>
  <c r="H5020" i="3"/>
  <c r="H5021" i="3"/>
  <c r="H5022" i="3"/>
  <c r="H5023" i="3"/>
  <c r="H5024" i="3"/>
  <c r="H5025" i="3"/>
  <c r="H5026" i="3"/>
  <c r="H5027" i="3"/>
  <c r="H5028" i="3"/>
  <c r="H5029" i="3"/>
  <c r="H5030" i="3"/>
  <c r="H5031" i="3"/>
  <c r="H5032" i="3"/>
  <c r="H5033" i="3"/>
  <c r="H5034" i="3"/>
  <c r="H5035" i="3"/>
  <c r="H5036" i="3"/>
  <c r="H5037" i="3"/>
  <c r="H5038" i="3"/>
  <c r="H5039" i="3"/>
  <c r="H5040" i="3"/>
  <c r="H5041" i="3"/>
  <c r="H5042" i="3"/>
  <c r="H5043" i="3"/>
  <c r="H5044" i="3"/>
  <c r="H5045" i="3"/>
  <c r="H5046" i="3"/>
  <c r="H5047" i="3"/>
  <c r="H5048" i="3"/>
  <c r="H5049" i="3"/>
  <c r="H5050" i="3"/>
  <c r="H5051" i="3"/>
  <c r="H5052" i="3"/>
  <c r="H5053" i="3"/>
  <c r="H5054" i="3"/>
  <c r="H5055" i="3"/>
  <c r="H5056" i="3"/>
  <c r="H5057" i="3"/>
  <c r="H5058" i="3"/>
  <c r="H5059" i="3"/>
  <c r="H5060" i="3"/>
  <c r="H5061" i="3"/>
  <c r="H5062" i="3"/>
  <c r="H5063" i="3"/>
  <c r="H5064" i="3"/>
  <c r="H5065" i="3"/>
  <c r="H5066" i="3"/>
  <c r="H5067" i="3"/>
  <c r="H5068" i="3"/>
  <c r="H5069" i="3"/>
  <c r="H5070" i="3"/>
  <c r="H5071" i="3"/>
  <c r="H5072" i="3"/>
  <c r="H5073" i="3"/>
  <c r="H5074" i="3"/>
  <c r="H5075" i="3"/>
  <c r="H5076" i="3"/>
  <c r="H5077" i="3"/>
  <c r="H5078" i="3"/>
  <c r="H5079" i="3"/>
  <c r="H5080" i="3"/>
  <c r="H5081" i="3"/>
  <c r="H5082" i="3"/>
  <c r="H5083" i="3"/>
  <c r="H5084" i="3"/>
  <c r="H5085" i="3"/>
  <c r="H5086" i="3"/>
  <c r="H5087" i="3"/>
  <c r="H5088" i="3"/>
  <c r="H5089" i="3"/>
  <c r="H5090" i="3"/>
  <c r="H5091" i="3"/>
  <c r="H5092" i="3"/>
  <c r="H5093" i="3"/>
  <c r="H5094" i="3"/>
  <c r="H5095" i="3"/>
  <c r="H5096" i="3"/>
  <c r="H5097" i="3"/>
  <c r="H5098" i="3"/>
  <c r="H5099" i="3"/>
  <c r="H5100" i="3"/>
  <c r="H5101" i="3"/>
  <c r="H5102" i="3"/>
  <c r="H5103" i="3"/>
  <c r="H5104" i="3"/>
  <c r="H5105" i="3"/>
  <c r="H5106" i="3"/>
  <c r="H5107" i="3"/>
  <c r="H5108" i="3"/>
  <c r="H5109" i="3"/>
  <c r="H5110" i="3"/>
  <c r="H5111" i="3"/>
  <c r="H5112" i="3"/>
  <c r="H5113" i="3"/>
  <c r="H5114" i="3"/>
  <c r="H5115" i="3"/>
  <c r="H5116" i="3"/>
  <c r="H5117" i="3"/>
  <c r="H5118" i="3"/>
  <c r="H5119" i="3"/>
  <c r="H5120" i="3"/>
  <c r="H5121" i="3"/>
  <c r="H5122" i="3"/>
  <c r="H5123" i="3"/>
  <c r="H5124" i="3"/>
  <c r="H5125" i="3"/>
  <c r="H5126" i="3"/>
  <c r="H5127" i="3"/>
  <c r="H5128" i="3"/>
  <c r="H5129" i="3"/>
  <c r="H5130" i="3"/>
  <c r="H5131" i="3"/>
  <c r="H5132" i="3"/>
  <c r="H5133" i="3"/>
  <c r="H5134" i="3"/>
  <c r="H5135" i="3"/>
  <c r="H5136" i="3"/>
  <c r="H5137" i="3"/>
  <c r="H5138" i="3"/>
  <c r="H5139" i="3"/>
  <c r="H5140" i="3"/>
  <c r="H5141" i="3"/>
  <c r="H5142" i="3"/>
  <c r="H5143" i="3"/>
  <c r="H5144" i="3"/>
  <c r="H5145" i="3"/>
  <c r="H5146" i="3"/>
  <c r="H5147" i="3"/>
  <c r="H5148" i="3"/>
  <c r="H5149" i="3"/>
  <c r="H5150" i="3"/>
  <c r="H5151" i="3"/>
  <c r="H5152" i="3"/>
  <c r="H5153" i="3"/>
  <c r="H5154" i="3"/>
  <c r="H5155" i="3"/>
  <c r="H5156" i="3"/>
  <c r="H5157" i="3"/>
  <c r="H5158" i="3"/>
  <c r="H5159" i="3"/>
  <c r="H5160" i="3"/>
  <c r="H5161" i="3"/>
  <c r="H5162" i="3"/>
  <c r="H5163" i="3"/>
  <c r="H5164" i="3"/>
  <c r="H5165" i="3"/>
  <c r="H5166" i="3"/>
  <c r="H5167" i="3"/>
  <c r="H5168" i="3"/>
  <c r="H5169" i="3"/>
  <c r="H5170" i="3"/>
  <c r="H5171" i="3"/>
  <c r="H5172" i="3"/>
  <c r="H5173" i="3"/>
  <c r="H5174" i="3"/>
  <c r="H5175" i="3"/>
  <c r="H5176" i="3"/>
  <c r="H5177" i="3"/>
  <c r="H5178" i="3"/>
  <c r="H5179" i="3"/>
  <c r="H5180" i="3"/>
  <c r="H5181" i="3"/>
  <c r="H5182" i="3"/>
  <c r="H5183" i="3"/>
  <c r="H5184" i="3"/>
  <c r="H5185" i="3"/>
  <c r="H5186" i="3"/>
  <c r="H5187" i="3"/>
  <c r="H5188" i="3"/>
  <c r="H5189" i="3"/>
  <c r="H5190" i="3"/>
  <c r="H5191" i="3"/>
  <c r="H5192" i="3"/>
  <c r="H5193" i="3"/>
  <c r="H5194" i="3"/>
  <c r="H5195" i="3"/>
  <c r="H5196" i="3"/>
  <c r="H5197" i="3"/>
  <c r="H5198" i="3"/>
  <c r="H5199" i="3"/>
  <c r="H5200" i="3"/>
  <c r="H5201" i="3"/>
  <c r="H5202" i="3"/>
  <c r="H5203" i="3"/>
  <c r="H5204" i="3"/>
  <c r="H5205" i="3"/>
  <c r="H5206" i="3"/>
  <c r="H5207" i="3"/>
  <c r="H5208" i="3"/>
  <c r="H5209" i="3"/>
  <c r="H5210" i="3"/>
  <c r="H5211" i="3"/>
  <c r="H5212" i="3"/>
  <c r="H5213" i="3"/>
  <c r="H5214" i="3"/>
  <c r="H5215" i="3"/>
  <c r="H5216" i="3"/>
  <c r="H5217" i="3"/>
  <c r="H5218" i="3"/>
  <c r="H5219" i="3"/>
  <c r="H5220" i="3"/>
  <c r="H5221" i="3"/>
  <c r="H5222" i="3"/>
  <c r="H5223" i="3"/>
  <c r="H5224" i="3"/>
  <c r="H5225" i="3"/>
  <c r="H5226" i="3"/>
  <c r="H5227" i="3"/>
  <c r="H5228" i="3"/>
  <c r="H5229" i="3"/>
  <c r="H5230" i="3"/>
  <c r="H5231" i="3"/>
  <c r="H5232" i="3"/>
  <c r="H5233" i="3"/>
  <c r="H5234" i="3"/>
  <c r="H5235" i="3"/>
  <c r="H5236" i="3"/>
  <c r="H5237" i="3"/>
  <c r="H5238" i="3"/>
  <c r="H5239" i="3"/>
  <c r="H5240" i="3"/>
  <c r="H5241" i="3"/>
  <c r="H5242" i="3"/>
  <c r="H5243" i="3"/>
  <c r="H5244" i="3"/>
  <c r="H5245" i="3"/>
  <c r="H5246" i="3"/>
  <c r="H5247" i="3"/>
  <c r="H5248" i="3"/>
  <c r="H5249" i="3"/>
  <c r="H5250" i="3"/>
  <c r="H5251" i="3"/>
  <c r="H5252" i="3"/>
  <c r="H5253" i="3"/>
  <c r="H5254" i="3"/>
  <c r="H5255" i="3"/>
  <c r="H5256" i="3"/>
  <c r="H5257" i="3"/>
  <c r="H5258" i="3"/>
  <c r="H5259" i="3"/>
  <c r="H5260" i="3"/>
  <c r="H5261" i="3"/>
  <c r="H5262" i="3"/>
  <c r="H5263" i="3"/>
  <c r="H5264" i="3"/>
  <c r="H5265" i="3"/>
  <c r="H5266" i="3"/>
  <c r="H5267" i="3"/>
  <c r="H5268" i="3"/>
  <c r="H5269" i="3"/>
  <c r="H5270" i="3"/>
  <c r="H5271" i="3"/>
  <c r="H5272" i="3"/>
  <c r="H5273" i="3"/>
  <c r="H5274" i="3"/>
  <c r="H5275" i="3"/>
  <c r="H5276" i="3"/>
  <c r="H5277" i="3"/>
  <c r="H5278" i="3"/>
  <c r="H5279" i="3"/>
  <c r="H5280" i="3"/>
  <c r="H5281" i="3"/>
  <c r="H5282" i="3"/>
  <c r="H5283" i="3"/>
  <c r="H5284" i="3"/>
  <c r="H5285" i="3"/>
  <c r="H5286" i="3"/>
  <c r="H5287" i="3"/>
  <c r="H5288" i="3"/>
  <c r="H5289" i="3"/>
  <c r="H5290" i="3"/>
  <c r="H5291" i="3"/>
  <c r="H5292" i="3"/>
  <c r="H5293" i="3"/>
  <c r="H5294" i="3"/>
  <c r="H5295" i="3"/>
  <c r="H5296" i="3"/>
  <c r="H5297" i="3"/>
  <c r="H5298" i="3"/>
  <c r="H5299" i="3"/>
  <c r="H5300" i="3"/>
  <c r="H5301" i="3"/>
  <c r="H5302" i="3"/>
  <c r="H5303" i="3"/>
  <c r="H5304" i="3"/>
  <c r="H5305" i="3"/>
  <c r="H5306" i="3"/>
  <c r="H5307" i="3"/>
  <c r="H5308" i="3"/>
  <c r="H5309" i="3"/>
  <c r="H5310" i="3"/>
  <c r="H5311" i="3"/>
  <c r="H5312" i="3"/>
  <c r="H5313" i="3"/>
  <c r="H5314" i="3"/>
  <c r="H5315" i="3"/>
  <c r="H5316" i="3"/>
  <c r="H5317" i="3"/>
  <c r="H5318" i="3"/>
  <c r="H5319" i="3"/>
  <c r="H5320" i="3"/>
  <c r="H5321" i="3"/>
  <c r="H5322" i="3"/>
  <c r="H5323" i="3"/>
  <c r="H5324" i="3"/>
  <c r="H5325" i="3"/>
  <c r="H5326" i="3"/>
  <c r="H5327" i="3"/>
  <c r="H5328" i="3"/>
  <c r="H5329" i="3"/>
  <c r="H5330" i="3"/>
  <c r="H5331" i="3"/>
  <c r="H5332" i="3"/>
  <c r="H5333" i="3"/>
  <c r="H5334" i="3"/>
  <c r="H5335" i="3"/>
  <c r="H5336" i="3"/>
  <c r="H5337" i="3"/>
  <c r="H5338" i="3"/>
  <c r="H5339" i="3"/>
  <c r="H5340" i="3"/>
  <c r="H5341" i="3"/>
  <c r="H5342" i="3"/>
  <c r="H5343" i="3"/>
  <c r="H5344" i="3"/>
  <c r="H5345" i="3"/>
  <c r="H5346" i="3"/>
  <c r="H5347" i="3"/>
  <c r="H5348" i="3"/>
  <c r="H5349" i="3"/>
  <c r="H5350" i="3"/>
  <c r="H5351" i="3"/>
  <c r="H5352" i="3"/>
  <c r="H5353" i="3"/>
  <c r="H5354" i="3"/>
  <c r="H5355" i="3"/>
  <c r="H5356" i="3"/>
  <c r="H5357" i="3"/>
  <c r="H5358" i="3"/>
  <c r="H5359" i="3"/>
  <c r="H5360" i="3"/>
  <c r="H5361" i="3"/>
  <c r="H5362" i="3"/>
  <c r="H5363" i="3"/>
  <c r="H5364" i="3"/>
  <c r="H5365" i="3"/>
  <c r="H5366" i="3"/>
  <c r="H5367" i="3"/>
  <c r="H5368" i="3"/>
  <c r="H5369" i="3"/>
  <c r="H5370" i="3"/>
  <c r="H5371" i="3"/>
  <c r="H5372" i="3"/>
  <c r="H5373" i="3"/>
  <c r="H5374" i="3"/>
  <c r="H5375" i="3"/>
  <c r="H5376" i="3"/>
  <c r="H5377" i="3"/>
  <c r="H5378" i="3"/>
  <c r="H5379" i="3"/>
  <c r="H5380" i="3"/>
  <c r="H5381" i="3"/>
  <c r="H5382" i="3"/>
  <c r="H5383" i="3"/>
  <c r="H5384" i="3"/>
  <c r="H5385" i="3"/>
  <c r="H5386" i="3"/>
  <c r="H5387" i="3"/>
  <c r="H5388" i="3"/>
  <c r="H5389" i="3"/>
  <c r="H5390" i="3"/>
  <c r="H5391" i="3"/>
  <c r="H5392" i="3"/>
  <c r="H5393" i="3"/>
  <c r="H5394" i="3"/>
  <c r="H5395" i="3"/>
  <c r="H5396" i="3"/>
  <c r="H5397" i="3"/>
  <c r="H5398" i="3"/>
  <c r="H5399" i="3"/>
  <c r="H5400" i="3"/>
  <c r="H5401" i="3"/>
  <c r="H5402" i="3"/>
  <c r="H5403" i="3"/>
  <c r="H5404" i="3"/>
  <c r="H5405" i="3"/>
  <c r="H5406" i="3"/>
  <c r="H5407" i="3"/>
  <c r="H5408" i="3"/>
  <c r="H5409" i="3"/>
  <c r="H5410" i="3"/>
  <c r="H5411" i="3"/>
  <c r="H5412" i="3"/>
  <c r="H5413" i="3"/>
  <c r="H5414" i="3"/>
  <c r="H5415" i="3"/>
  <c r="H5416" i="3"/>
  <c r="H5417" i="3"/>
  <c r="H5418" i="3"/>
  <c r="H5419" i="3"/>
  <c r="H5420" i="3"/>
  <c r="H5421" i="3"/>
  <c r="H5422" i="3"/>
  <c r="H5423" i="3"/>
  <c r="H5424" i="3"/>
  <c r="H5425" i="3"/>
  <c r="H5426" i="3"/>
  <c r="H5427" i="3"/>
  <c r="H5428" i="3"/>
  <c r="H5429" i="3"/>
  <c r="H5430" i="3"/>
  <c r="H5431" i="3"/>
  <c r="H5432" i="3"/>
  <c r="H5433" i="3"/>
  <c r="H5434" i="3"/>
  <c r="H5435" i="3"/>
  <c r="H5436" i="3"/>
  <c r="H5437" i="3"/>
  <c r="H5438" i="3"/>
  <c r="H5439" i="3"/>
  <c r="H5440" i="3"/>
  <c r="H5441" i="3"/>
  <c r="H5442" i="3"/>
  <c r="H5443" i="3"/>
  <c r="H5444" i="3"/>
  <c r="H5445" i="3"/>
  <c r="H5446" i="3"/>
  <c r="H5447" i="3"/>
  <c r="H5448" i="3"/>
  <c r="H5449" i="3"/>
  <c r="H5450" i="3"/>
  <c r="H5451" i="3"/>
  <c r="D17" i="13"/>
  <c r="C17" i="13"/>
  <c r="C16" i="13"/>
  <c r="B16" i="13"/>
  <c r="B17" i="13" s="1"/>
  <c r="E13" i="13"/>
  <c r="E17" i="13" s="1"/>
  <c r="D18" i="12"/>
  <c r="C18" i="12"/>
  <c r="B17" i="12"/>
  <c r="B18" i="12" s="1"/>
  <c r="D14" i="12"/>
  <c r="D19" i="25" l="1"/>
  <c r="D23" i="25"/>
  <c r="D25" i="25" s="1"/>
  <c r="C19" i="25"/>
  <c r="C23" i="25"/>
  <c r="C25" i="25" s="1"/>
  <c r="C19" i="26"/>
  <c r="C23" i="26"/>
  <c r="C25" i="26" s="1"/>
  <c r="B19" i="26"/>
  <c r="B23" i="26"/>
  <c r="B25" i="26" s="1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tc={677B27EC-59C7-4E13-AEC8-D9222A82308B}</author>
  </authors>
  <commentList>
    <comment ref="A15" authorId="0" shapeId="0" xr:uid="{677B27EC-59C7-4E13-AEC8-D9222A82308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Valle del Lili ofrece beca de 100% de la matrícula a los admitidos en las residencias ya que tienen exclusividad de la residencia con la fundación.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96D4179-7461-4952-BF41-48CA01ADF053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730913D-C121-47C6-A32D-2DFC652A06FB}" keepAlive="1" name="Consulta - EPS PRUEBA" description="Conexión a la consulta 'EPS PRUEBA' en el libro." type="5" refreshedVersion="8" background="1" saveData="1">
    <dbPr connection="Provider=Microsoft.Mashup.OleDb.1;Data Source=$Workbook$;Location=&quot;EPS PRUEBA&quot;;Extended Properties=&quot;&quot;" command="SELECT * FROM [EPS PRUEBA]"/>
  </connection>
  <connection id="3" xr16:uid="{7A9B9337-CAE7-4FD0-B1B9-3FCB11DDEAA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<sst xmlns="http://schemas.openxmlformats.org/spreadsheetml/2006/main" count="58880" uniqueCount="1722">
  <si>
    <t>DEPARTAMENTO</t>
  </si>
  <si>
    <t>EPS</t>
  </si>
  <si>
    <t>FEMENINO</t>
  </si>
  <si>
    <t>MASCULINO</t>
  </si>
  <si>
    <t>TOTAL AFILIADOS</t>
  </si>
  <si>
    <t>EPS SANITAS</t>
  </si>
  <si>
    <t>CONTRIBUTIVO</t>
  </si>
  <si>
    <t>De 0 a 4 años</t>
  </si>
  <si>
    <t>De 05 a 09 años</t>
  </si>
  <si>
    <t>De 10 a 14 años</t>
  </si>
  <si>
    <t>De 15 a 19 años</t>
  </si>
  <si>
    <t>De 20 a 24 años</t>
  </si>
  <si>
    <t>De 25 a 29 años</t>
  </si>
  <si>
    <t>De 30 a 34 años</t>
  </si>
  <si>
    <t>De 35 a 39 años</t>
  </si>
  <si>
    <t>De 40 a 44 años</t>
  </si>
  <si>
    <t>De 45 a 49 años</t>
  </si>
  <si>
    <t>De 50 a 54 años</t>
  </si>
  <si>
    <t>De 55 a 59 años</t>
  </si>
  <si>
    <t>De 60 a 64 años</t>
  </si>
  <si>
    <t>De 65 a 69 años</t>
  </si>
  <si>
    <t>De 70 a 74 años</t>
  </si>
  <si>
    <t>De 75 a 79 años</t>
  </si>
  <si>
    <t>De 80 años o más</t>
  </si>
  <si>
    <t>SUBSIDIADO</t>
  </si>
  <si>
    <t>MALLAMAS EPSI</t>
  </si>
  <si>
    <t>NUEVA EPS</t>
  </si>
  <si>
    <t>REGIMEN DE EXCEPCION</t>
  </si>
  <si>
    <t>EXCEPCION</t>
  </si>
  <si>
    <t>INPEC INTRAMURAL</t>
  </si>
  <si>
    <t>CAJACOPI EPS</t>
  </si>
  <si>
    <t>COOSALUD EPS</t>
  </si>
  <si>
    <t>EPS FAMILIAR DE COLOMBIA</t>
  </si>
  <si>
    <t>EPS SOS</t>
  </si>
  <si>
    <t>EPS SURA</t>
  </si>
  <si>
    <t>FERRONALES - EAS</t>
  </si>
  <si>
    <t>SALUD TOTAL EPS</t>
  </si>
  <si>
    <t>FAMISANAR</t>
  </si>
  <si>
    <t>ASMETSALUD EPS</t>
  </si>
  <si>
    <t>BOLÍVAR</t>
  </si>
  <si>
    <t>EMSSANAR EPS</t>
  </si>
  <si>
    <t>COMFENALCO VALLE EPS</t>
  </si>
  <si>
    <t>VALLE DEL CAUCA</t>
  </si>
  <si>
    <t>Departamento</t>
  </si>
  <si>
    <t>Municipio</t>
  </si>
  <si>
    <t>Afiliados CONTRIBUTIVO</t>
  </si>
  <si>
    <t>Afiliados ESPECIALES/EXCEPCIÓN</t>
  </si>
  <si>
    <t>Afiliados SUBSIDIADO</t>
  </si>
  <si>
    <t>LA VICTORIA</t>
  </si>
  <si>
    <t>ARGELIA</t>
  </si>
  <si>
    <t>LA UNIÓN</t>
  </si>
  <si>
    <t>CANDELARIA</t>
  </si>
  <si>
    <t>RESTREPO</t>
  </si>
  <si>
    <t>SAN PEDRO</t>
  </si>
  <si>
    <t>ALCALÁ</t>
  </si>
  <si>
    <t>ANDALUCÍA</t>
  </si>
  <si>
    <t>ANSERMANUEVO</t>
  </si>
  <si>
    <t>BUENAVENTURA</t>
  </si>
  <si>
    <t>BUGALAGRANDE</t>
  </si>
  <si>
    <t>CAICEDONIA</t>
  </si>
  <si>
    <t>CALIMA</t>
  </si>
  <si>
    <t>CARTAGO</t>
  </si>
  <si>
    <t>DAGUA</t>
  </si>
  <si>
    <t>EL ÁGUILA</t>
  </si>
  <si>
    <t>EL CAIRO</t>
  </si>
  <si>
    <t>EL CERRITO</t>
  </si>
  <si>
    <t>EL DOVIO</t>
  </si>
  <si>
    <t>FLORIDA</t>
  </si>
  <si>
    <t>GINEBRA</t>
  </si>
  <si>
    <t>GUACARÍ</t>
  </si>
  <si>
    <t>GUADALAJARA DE BUGA</t>
  </si>
  <si>
    <t>JAMUNDÍ</t>
  </si>
  <si>
    <t>LA CUMBRE</t>
  </si>
  <si>
    <t>OBANDO</t>
  </si>
  <si>
    <t>PALMIRA</t>
  </si>
  <si>
    <t>PRADERA</t>
  </si>
  <si>
    <t>RIOFRÍO</t>
  </si>
  <si>
    <t>ROLDANILLO</t>
  </si>
  <si>
    <t>SANTIAGO DE CALI</t>
  </si>
  <si>
    <t>SEVILLA</t>
  </si>
  <si>
    <t>TORO</t>
  </si>
  <si>
    <t>TRUJILLO</t>
  </si>
  <si>
    <t>TULUÁ</t>
  </si>
  <si>
    <t>ULLOA</t>
  </si>
  <si>
    <t>VERSALLES</t>
  </si>
  <si>
    <t>VIJES</t>
  </si>
  <si>
    <t>YOTOCO</t>
  </si>
  <si>
    <t>YUMBO</t>
  </si>
  <si>
    <t>ZARZAL</t>
  </si>
  <si>
    <t>Intervenida?</t>
  </si>
  <si>
    <t>INTERVENIDA</t>
  </si>
  <si>
    <t>NO INTERVENIDA</t>
  </si>
  <si>
    <t>CUENTA</t>
  </si>
  <si>
    <t>2024</t>
  </si>
  <si>
    <t>2023</t>
  </si>
  <si>
    <t>2022</t>
  </si>
  <si>
    <t>2021</t>
  </si>
  <si>
    <t>2020</t>
  </si>
  <si>
    <t>2019</t>
  </si>
  <si>
    <t xml:space="preserve">    Total Ingreso Operativo</t>
  </si>
  <si>
    <t xml:space="preserve">        Otros costos por naturaleza</t>
  </si>
  <si>
    <t xml:space="preserve">        Gastos de venta y distribución</t>
  </si>
  <si>
    <t xml:space="preserve">        Gastos administrativos</t>
  </si>
  <si>
    <t xml:space="preserve">        Gastos de depreciación, amortización y deterioro</t>
  </si>
  <si>
    <t xml:space="preserve">    Ganancia operativa (EBIT)</t>
  </si>
  <si>
    <t xml:space="preserve">    EBITDA</t>
  </si>
  <si>
    <t xml:space="preserve">    Resultado financiero</t>
  </si>
  <si>
    <t xml:space="preserve">        Gastos financieros</t>
  </si>
  <si>
    <t xml:space="preserve">            Otros gastos financieros</t>
  </si>
  <si>
    <t xml:space="preserve">    Otros resultados no operativos netos</t>
  </si>
  <si>
    <t xml:space="preserve">        Otros ingresos</t>
  </si>
  <si>
    <t xml:space="preserve">        Otros gastos</t>
  </si>
  <si>
    <t xml:space="preserve">    Ganancias antes de impuestos</t>
  </si>
  <si>
    <t xml:space="preserve">    Impuesto a la renta</t>
  </si>
  <si>
    <t xml:space="preserve">    Ganancias después de impuestos</t>
  </si>
  <si>
    <t xml:space="preserve">    Ganancia (Pérdida) Neta</t>
  </si>
  <si>
    <t xml:space="preserve">    Activos Totales</t>
  </si>
  <si>
    <t xml:space="preserve">        Activos no corrientes</t>
  </si>
  <si>
    <t xml:space="preserve">            Propiedad, planta y equipo</t>
  </si>
  <si>
    <t xml:space="preserve">            Comerciales y otras cuentas a cobrar no corrientes</t>
  </si>
  <si>
    <t xml:space="preserve">            Otros activos no corrientes</t>
  </si>
  <si>
    <t xml:space="preserve">        Activos Corrientes</t>
  </si>
  <si>
    <t xml:space="preserve">            Comerciales y otras cuentas a cobrar</t>
  </si>
  <si>
    <t xml:space="preserve">                Otros créditos corrientes</t>
  </si>
  <si>
    <t xml:space="preserve">            Activos financieros de corto plazo</t>
  </si>
  <si>
    <t xml:space="preserve">            Efectivo o Equivalentes</t>
  </si>
  <si>
    <t xml:space="preserve">    Total de patrimonio y pasivos</t>
  </si>
  <si>
    <t xml:space="preserve">        Total de patrimonio</t>
  </si>
  <si>
    <t xml:space="preserve">            Patrimonio neto atribuible a los propietarios de la controladora</t>
  </si>
  <si>
    <t xml:space="preserve">                Capital Suscrito</t>
  </si>
  <si>
    <t xml:space="preserve">                Otras reservas</t>
  </si>
  <si>
    <t xml:space="preserve">                Resultados acumulados</t>
  </si>
  <si>
    <t xml:space="preserve">                Ganancia o Pérdida del Periodo</t>
  </si>
  <si>
    <t xml:space="preserve">        Pasivos Totales</t>
  </si>
  <si>
    <t xml:space="preserve">            Pasivos no corrientes</t>
  </si>
  <si>
    <t xml:space="preserve">                Provisiones para otros pasivos y gastos</t>
  </si>
  <si>
    <t xml:space="preserve">                Otros pasivos no corrientes</t>
  </si>
  <si>
    <t xml:space="preserve">            Pasivos Corrientes</t>
  </si>
  <si>
    <t xml:space="preserve">                Comerciales y otras cuentas a pagar</t>
  </si>
  <si>
    <t xml:space="preserve">                    Cuentas Comerciales por pagar</t>
  </si>
  <si>
    <t xml:space="preserve">                    Otras cuentas por pagar corrientes</t>
  </si>
  <si>
    <t xml:space="preserve">                Otros pasivos corrientes</t>
  </si>
  <si>
    <t xml:space="preserve">    Ingresos netos por ventas</t>
  </si>
  <si>
    <t xml:space="preserve">        Gastos por beneficios de los empleado</t>
  </si>
  <si>
    <t xml:space="preserve">        Costos de transporte</t>
  </si>
  <si>
    <t xml:space="preserve">        Impuesto y contribuciones</t>
  </si>
  <si>
    <t xml:space="preserve">            Gastos por intereses</t>
  </si>
  <si>
    <t xml:space="preserve">            Activos intangibles y valor llave</t>
  </si>
  <si>
    <t xml:space="preserve">            Activos diferidos</t>
  </si>
  <si>
    <t xml:space="preserve">                Cuentas comerciales por cobrar</t>
  </si>
  <si>
    <t xml:space="preserve">                Cuentas por cobrar a partes relacionadas</t>
  </si>
  <si>
    <t xml:space="preserve">                Créditos dudosos</t>
  </si>
  <si>
    <t xml:space="preserve">                Créditos de impuestos</t>
  </si>
  <si>
    <t xml:space="preserve">            Pagos anticipados, ingresos devengados y otros activos circulantes diferidos</t>
  </si>
  <si>
    <t xml:space="preserve">                Prima de emisión</t>
  </si>
  <si>
    <t xml:space="preserve">                Créditos y préstamos corrientes</t>
  </si>
  <si>
    <t xml:space="preserve">                    Cuentas por pagar a partes relacionadas</t>
  </si>
  <si>
    <t xml:space="preserve">                Pasivos corrientes por impuesto a la renta</t>
  </si>
  <si>
    <t xml:space="preserve">            Pérdida por fluctuación cambiaria</t>
  </si>
  <si>
    <t xml:space="preserve">                Cambios debido a la consolidación</t>
  </si>
  <si>
    <t xml:space="preserve">                Otras cuentas por pagar no corrientes</t>
  </si>
  <si>
    <t xml:space="preserve">            Activos financieros a largo plazo</t>
  </si>
  <si>
    <t xml:space="preserve">                Propiedades de inversión</t>
  </si>
  <si>
    <t xml:space="preserve">            Inventarios</t>
  </si>
  <si>
    <t xml:space="preserve">                Otros inventarios</t>
  </si>
  <si>
    <t>TIPO</t>
  </si>
  <si>
    <t>Procedimientos</t>
  </si>
  <si>
    <t>SALAS</t>
  </si>
  <si>
    <t>FUNDACION VALLE DEL LILI</t>
  </si>
  <si>
    <t>Consulta Externa</t>
  </si>
  <si>
    <t>CONSULTORIOS</t>
  </si>
  <si>
    <t>Sala de Cirugía</t>
  </si>
  <si>
    <t>Intensiva Adultos</t>
  </si>
  <si>
    <t>CAMAS</t>
  </si>
  <si>
    <t>Intermedia Adultos</t>
  </si>
  <si>
    <t>Adultos</t>
  </si>
  <si>
    <t>Sillas de Quimioterapia</t>
  </si>
  <si>
    <t>SILLAS</t>
  </si>
  <si>
    <t>Unidad Móvil</t>
  </si>
  <si>
    <t>UNIDAD MOVIL</t>
  </si>
  <si>
    <t>Ambiente de transición urgencias</t>
  </si>
  <si>
    <t>Sillas de Hemodiálisis</t>
  </si>
  <si>
    <t>Sala de Radioterapia</t>
  </si>
  <si>
    <t>Partos</t>
  </si>
  <si>
    <t>Urgencias</t>
  </si>
  <si>
    <t>Observación Adultos Mujeres</t>
  </si>
  <si>
    <t>CAMILLAS</t>
  </si>
  <si>
    <t>Observación Adultos Hombres</t>
  </si>
  <si>
    <t>Observación Pediátrica</t>
  </si>
  <si>
    <t>Atención del Parto</t>
  </si>
  <si>
    <t>Intensiva Quemado Adulto</t>
  </si>
  <si>
    <t>Incubadora Básico Neonatal</t>
  </si>
  <si>
    <t>Intensiva Pediátrica</t>
  </si>
  <si>
    <t>Incubadora Intensiva Neonatal</t>
  </si>
  <si>
    <t>Intermedia Pediátrica</t>
  </si>
  <si>
    <t>Incubadora Intermedia Neonatal</t>
  </si>
  <si>
    <t>Salud Mental Pediátrico</t>
  </si>
  <si>
    <t>Salud Mental Adulto</t>
  </si>
  <si>
    <t>TPR</t>
  </si>
  <si>
    <t>Pediátrica</t>
  </si>
  <si>
    <t>Medicalizada</t>
  </si>
  <si>
    <t>AMBULANCIAS</t>
  </si>
  <si>
    <t>Básica</t>
  </si>
  <si>
    <t>CLINICA DE OCCIDENTE</t>
  </si>
  <si>
    <t>Cuna Básico Neonatal</t>
  </si>
  <si>
    <t>Cuna Intensiva Pediátrica</t>
  </si>
  <si>
    <t>Cuna Intensiva Neonatal</t>
  </si>
  <si>
    <t>Cuna Intermedia Pediátrica</t>
  </si>
  <si>
    <t>Cuna Intermedia Neonatal</t>
  </si>
  <si>
    <t>Paciente crónico sin ventilador</t>
  </si>
  <si>
    <t>ANGIOGRAFIA DE OCCIDENTE S.A.</t>
  </si>
  <si>
    <t>CLÍNICA IMBANACO S.A.S.</t>
  </si>
  <si>
    <t>Intensiva Quemado pediátrica</t>
  </si>
  <si>
    <t>DIME CLINICA NEUROCARDIOVASCULAR S.A</t>
  </si>
  <si>
    <t>cantidad</t>
  </si>
  <si>
    <t>coca_nombre</t>
  </si>
  <si>
    <t>coca_codigo</t>
  </si>
  <si>
    <t>grupo_capacidad</t>
  </si>
  <si>
    <t>nombre_prestador</t>
  </si>
  <si>
    <t>SIN COMPLEJIDAD</t>
  </si>
  <si>
    <t>TOMA DE MUESTRAS DE CUELLO UTERINO Y GINECOLÓGICAS</t>
  </si>
  <si>
    <t>Apoyo Diagnóstico y Complementación Terapéutica</t>
  </si>
  <si>
    <t>MEDIANA</t>
  </si>
  <si>
    <t>IMÁGENES DIAGNOSTICAS - NO IONIZANTES</t>
  </si>
  <si>
    <t>DIAGNÓSTICO VASCULAR</t>
  </si>
  <si>
    <t>FONOAUDIOLOGÍA Y/O TERAPIA DEL LENGUAJE</t>
  </si>
  <si>
    <t>FISIOTERAPIA</t>
  </si>
  <si>
    <t>TERAPIA OCUPACIONAL</t>
  </si>
  <si>
    <t>TOMA DE MUESTRAS DE LABORATORIO CLÍNICO</t>
  </si>
  <si>
    <t>MEDICINA DEL TRABAJO Y MEDICINA LABORAL</t>
  </si>
  <si>
    <t>NEUROCIRUGÍA</t>
  </si>
  <si>
    <t>CIRUGÍA VASCULAR</t>
  </si>
  <si>
    <t>CIRUGÍA PLÁSTICA Y ESTÉTICA</t>
  </si>
  <si>
    <t>CIRUGÍA DE MANO</t>
  </si>
  <si>
    <t>OTRAS CONSULTAS DE ESPECIALIDAD</t>
  </si>
  <si>
    <t>UROLOGÍA</t>
  </si>
  <si>
    <t>REUMATOLOGÍA</t>
  </si>
  <si>
    <t>PSIQUIATRÍA</t>
  </si>
  <si>
    <t>BAJA</t>
  </si>
  <si>
    <t>PSICOLOGÍA</t>
  </si>
  <si>
    <t>PEDIATRÍA</t>
  </si>
  <si>
    <t>OTORRINOLARINGOLOGÍA</t>
  </si>
  <si>
    <t>ORTOPEDIA Y/O TRAUMATOLOGÍA</t>
  </si>
  <si>
    <t>OPTOMETRÍA</t>
  </si>
  <si>
    <t>OFTALMOLOGÍA</t>
  </si>
  <si>
    <t>NUTRICIÓN Y DIETÉTICA</t>
  </si>
  <si>
    <t>NEUROLOGÍA</t>
  </si>
  <si>
    <t>NEUMOLOGÍA</t>
  </si>
  <si>
    <t>NEFROLOGÍA</t>
  </si>
  <si>
    <t>MEDICINA INTERNA</t>
  </si>
  <si>
    <t>MEDICINA FÍSICA Y REHABILITACIÓN</t>
  </si>
  <si>
    <t>MEDICINA FÍSICA Y DEL DEPORTE</t>
  </si>
  <si>
    <t>MEDICINA FAMILIAR</t>
  </si>
  <si>
    <t>GINECOBSTETRICIA</t>
  </si>
  <si>
    <t>GERIATRÍA</t>
  </si>
  <si>
    <t>GENÉTICA</t>
  </si>
  <si>
    <t>GASTROENTEROLOGÍA</t>
  </si>
  <si>
    <t>ENFERMERÍA</t>
  </si>
  <si>
    <t>ENDOCRINOLOGÍA</t>
  </si>
  <si>
    <t>DOLOR Y CUIDADOS PALIATIVOS</t>
  </si>
  <si>
    <t>DERMATOLOGÍA</t>
  </si>
  <si>
    <t>CARDIOLOGÍA</t>
  </si>
  <si>
    <t>PATOLOGÍA</t>
  </si>
  <si>
    <t>GESTION PRE-TRANSFUSIONAL</t>
  </si>
  <si>
    <t>ALTA</t>
  </si>
  <si>
    <t>IMÁGENES DIAGNOSTICAS - IONIZANTES</t>
  </si>
  <si>
    <t>TERAPIA RESPIRATORIA</t>
  </si>
  <si>
    <t>SERVICIO FARMACÉUTICO</t>
  </si>
  <si>
    <t>LABORATORIO CLÍNICO</t>
  </si>
  <si>
    <t>HEMATOLOGÍA ONCOLÓGICA</t>
  </si>
  <si>
    <t>ORTOPEDIA ONCOLÓGICA</t>
  </si>
  <si>
    <t>GINECOLOGÍA ONCOLÓGICA</t>
  </si>
  <si>
    <t>COLOPROCTOLOGÍA</t>
  </si>
  <si>
    <t>DERMATOLOGÍA ONCOLÓGICA</t>
  </si>
  <si>
    <t>CIRUGÍA ONCOLÓGICA</t>
  </si>
  <si>
    <t>ONCOLOGÍA CLÍNICA</t>
  </si>
  <si>
    <t>INFECTOLOGÍA</t>
  </si>
  <si>
    <t>CIRUGÍA GENERAL</t>
  </si>
  <si>
    <t>ANESTESIA</t>
  </si>
  <si>
    <t>Quirúrgicos</t>
  </si>
  <si>
    <t>CIRUGÍA PLÁSTICA ONCOLÓGICA</t>
  </si>
  <si>
    <t>CIRUGÍA GASTROINTESTINAL</t>
  </si>
  <si>
    <t>CIRUGÍA DE TÓRAX</t>
  </si>
  <si>
    <t>CIRUGÍA DE LA MANO</t>
  </si>
  <si>
    <t>OTRAS CIRUGÍAS</t>
  </si>
  <si>
    <t>CIRUGÍA UROLÓGICA</t>
  </si>
  <si>
    <t>CIRUGÍA VASCULAR Y ANGIOLÓGICA</t>
  </si>
  <si>
    <t>CIRUGÍA OTORRINOLARINGOLOGÍA</t>
  </si>
  <si>
    <t>CIRUGÍA OFTALMOLÓGICA</t>
  </si>
  <si>
    <t>CIRUGÍA ORTOPÉDICA</t>
  </si>
  <si>
    <t>CIRUGÍA MAXILOFACIAL</t>
  </si>
  <si>
    <t>CIRUGÍA GINECOLÓGICA</t>
  </si>
  <si>
    <t>CIRUGÍA DE CABEZA Y CUELLO</t>
  </si>
  <si>
    <t>HOSPITALIZACIÓN ADULTOS</t>
  </si>
  <si>
    <t>Internación</t>
  </si>
  <si>
    <t>CUIDADO INTENSIVO ADULTOS</t>
  </si>
  <si>
    <t>CUIDADO INTERMEDIO ADULTOS</t>
  </si>
  <si>
    <t>QUIMIOTERAPIA</t>
  </si>
  <si>
    <t>NEUMOLOGÍA PEDIÁTRICA</t>
  </si>
  <si>
    <t>NEFROLOGÍA PEDIÁTRICA</t>
  </si>
  <si>
    <t>HEMATOLOGÍA</t>
  </si>
  <si>
    <t>TRANSPORTE ASISTENCIAL MEDICALIZADO</t>
  </si>
  <si>
    <t>Atención Inmediata</t>
  </si>
  <si>
    <t>TRANSPORTE ASISTENCIAL BASICO</t>
  </si>
  <si>
    <t>URGENCIAS</t>
  </si>
  <si>
    <t>ATENCIÓN DEL PARTO</t>
  </si>
  <si>
    <t>HEMODINAMIA E INTERVENCIONISMO</t>
  </si>
  <si>
    <t>DIÁLISIS PERITONEAL</t>
  </si>
  <si>
    <t>HEMODIÁLISIS</t>
  </si>
  <si>
    <t>LABORATORIO DE HISTOTECNOLOGÍA</t>
  </si>
  <si>
    <t>LABORATORIO CITOLOGÍAS CERVICO-UTERINAS</t>
  </si>
  <si>
    <t>MEDICINA NUCLEAR</t>
  </si>
  <si>
    <t>RADIOTERAPIA</t>
  </si>
  <si>
    <t>VACUNACIÓN</t>
  </si>
  <si>
    <t>CIRUGÍA ORAL</t>
  </si>
  <si>
    <t>ORTOPEDIA PEDIÁTRICA</t>
  </si>
  <si>
    <t>ODONTOPEDIATRÍA</t>
  </si>
  <si>
    <t>UROLOGÍA ONCOLÓGICA</t>
  </si>
  <si>
    <t>ONCOLOGÍA Y HEMATOLOGÍA PEDIÁTRICA</t>
  </si>
  <si>
    <t>NEUROPEDIATRÍA</t>
  </si>
  <si>
    <t>NEONATOLOGÍA</t>
  </si>
  <si>
    <t>CIRUGÍA ONCOLÓGICA PEDIÁTRICA</t>
  </si>
  <si>
    <t>CIRUGÍA GINECOLÓGICA LAPAROSCÓPICA</t>
  </si>
  <si>
    <t>CIRUGÍA DERMATOLÓGICA</t>
  </si>
  <si>
    <t>CIRUGÍA DE MAMA Y TUMORES TEJIDOS BLANDOS</t>
  </si>
  <si>
    <t>CARDIOLOGÍA PEDIÁTRICA</t>
  </si>
  <si>
    <t>REHABILITACIÓN ORAL</t>
  </si>
  <si>
    <t>CIRUGÍA PEDIÁTRICA</t>
  </si>
  <si>
    <t>CIRUGÍA CARDIOVASCULAR</t>
  </si>
  <si>
    <t>HOSPITALIZACIÓN EN SALUD MENTAL</t>
  </si>
  <si>
    <t>HOSPITALIZACIÓN PEDIÁTRICA</t>
  </si>
  <si>
    <t>CUIDADO BÁSICO NEONATAL</t>
  </si>
  <si>
    <t>CUIDADO INTENSIVO PEDIÁTRICO</t>
  </si>
  <si>
    <t>CUIDADO INTENSIVO NEONATAL</t>
  </si>
  <si>
    <t>CUIDADO INTERMEDIO PEDIÁTRICO</t>
  </si>
  <si>
    <t>CUIDADO INTERMEDIO NEONATAL</t>
  </si>
  <si>
    <t>HOSPITALIZACIÓN PACIENTE CRÓNICO SIN VENTILADOR</t>
  </si>
  <si>
    <t>ODONTOLOGÍA GENERAL</t>
  </si>
  <si>
    <t>MEDICINA GENERAL</t>
  </si>
  <si>
    <t>RADIOLOGÍA ODONTOLÓGICA</t>
  </si>
  <si>
    <t>ORTODONCIA</t>
  </si>
  <si>
    <t>CIRUGÍA ENDOVASCULAR NEUROLÓGICA</t>
  </si>
  <si>
    <t>OFTALMOLOGÍA ONCOLÓGICA</t>
  </si>
  <si>
    <t>TOXICOLOGÍA</t>
  </si>
  <si>
    <t>INMUNOLOGÍA</t>
  </si>
  <si>
    <t>complejidades</t>
  </si>
  <si>
    <t>serv_nombre</t>
  </si>
  <si>
    <t>serv_codigo</t>
  </si>
  <si>
    <t>grse_nombre</t>
  </si>
  <si>
    <t>Clinica de Occidente.xlsx</t>
  </si>
  <si>
    <t>HospitalUniversitarioDelValle.xlsx</t>
  </si>
  <si>
    <t>Valle de lili.xlsx</t>
  </si>
  <si>
    <t>Instituto Diagnostico Cardiovascular.xlsx</t>
  </si>
  <si>
    <t>Imbanaco.xlsx</t>
  </si>
  <si>
    <t>Dime clinica neurocardiovascular.xlsx</t>
  </si>
  <si>
    <t>Corazon y aorta.xlsx</t>
  </si>
  <si>
    <t>Cardioprevent.xlsx</t>
  </si>
  <si>
    <t>Angiografia de occidente.xlsx</t>
  </si>
  <si>
    <t>IPS</t>
  </si>
  <si>
    <t>ENTIDAD</t>
  </si>
  <si>
    <t>PACIENTES ATENDIDOS 2025</t>
  </si>
  <si>
    <t>ICB</t>
  </si>
  <si>
    <t>GRUPO FOSCAL</t>
  </si>
  <si>
    <t>COOSALUD</t>
  </si>
  <si>
    <t>ASMET SALUD</t>
  </si>
  <si>
    <t>FUNDACIÓN SALUD MIA EPS</t>
  </si>
  <si>
    <t>REGIMEN DE EXCEPCIÓN</t>
  </si>
  <si>
    <t>OTRAS</t>
  </si>
  <si>
    <t>TOTAL</t>
  </si>
  <si>
    <t>GrupoEdad</t>
  </si>
  <si>
    <t>Prevalencia</t>
  </si>
  <si>
    <t>60-79</t>
  </si>
  <si>
    <t>40-59</t>
  </si>
  <si>
    <t>20-39</t>
  </si>
  <si>
    <t xml:space="preserve">0-19 </t>
  </si>
  <si>
    <t>80+</t>
  </si>
  <si>
    <t>SANTANDER AFILIADOS</t>
  </si>
  <si>
    <t>VALLE DEL CAUCA AFILIADOS</t>
  </si>
  <si>
    <t>ICB ATENDIDOS</t>
  </si>
  <si>
    <t>GRUPO FOSCAL ATENDIDOS</t>
  </si>
  <si>
    <t>SERVICIO</t>
  </si>
  <si>
    <t>PACIENTES</t>
  </si>
  <si>
    <t>HEMO</t>
  </si>
  <si>
    <t>ANGIOPLASTIA CORONARIA TRANSLUMINAL PERCUTANEA UNO O DOS VASOS</t>
  </si>
  <si>
    <t>AORTOGRAMA TORACICO</t>
  </si>
  <si>
    <t>ELECTRO</t>
  </si>
  <si>
    <t>INSERCION [IMPLANTACION] DE MARCAPASOS BICAMERAL</t>
  </si>
  <si>
    <t>INSERCIÓN [IMPLANTACIÓN] DE CARDIOVERSOR (DESFIBRILADOR) BICAMERAL VÍA PERCUTÁNEA (ENDOVASCULAR)</t>
  </si>
  <si>
    <t>INSERCION [IMPLANTACION] DE MARCAPASOS UNICAMERAL</t>
  </si>
  <si>
    <t>EXPLANTE O ELIMINACION DE MARCAPASO</t>
  </si>
  <si>
    <t>IMPLANTE DE CARDIORESINCRONIZADOR</t>
  </si>
  <si>
    <t>CIRUGIA</t>
  </si>
  <si>
    <t>MDNI</t>
  </si>
  <si>
    <t>CONSULTA</t>
  </si>
  <si>
    <t>REPRO</t>
  </si>
  <si>
    <t>SANTANDER</t>
  </si>
  <si>
    <t>ESTADO DE RESULTADOS SANTANDER
(Cifras en Millones)</t>
  </si>
  <si>
    <t xml:space="preserve">Ingresos </t>
  </si>
  <si>
    <t>Costos</t>
  </si>
  <si>
    <t>Utilidad Bruta</t>
  </si>
  <si>
    <t>Otros Ingresos Operacionales</t>
  </si>
  <si>
    <t>Gastos de Administración</t>
  </si>
  <si>
    <t>Gastos de Ventas</t>
  </si>
  <si>
    <t>Otros Gastos</t>
  </si>
  <si>
    <t>Depreciación</t>
  </si>
  <si>
    <t>Amortizaciones</t>
  </si>
  <si>
    <t>Utilidad Operacional</t>
  </si>
  <si>
    <t>Ebitda</t>
  </si>
  <si>
    <t>Ingresos Financieros</t>
  </si>
  <si>
    <t>Gastos Financieros</t>
  </si>
  <si>
    <t>Utilidad antes de Impuestos</t>
  </si>
  <si>
    <t>Impuesto de renta</t>
  </si>
  <si>
    <t>Impuesto diferido</t>
  </si>
  <si>
    <t>Utilidad Neta</t>
  </si>
  <si>
    <t>% costo / ingreso</t>
  </si>
  <si>
    <t>Margen bruto</t>
  </si>
  <si>
    <t>Margen neto</t>
  </si>
  <si>
    <t>Margen EBITDA</t>
  </si>
  <si>
    <t>Gastos de deterioro</t>
  </si>
  <si>
    <t>Recuperación de deterioro</t>
  </si>
  <si>
    <t>Ut Neta - deterioro</t>
  </si>
  <si>
    <t>Margen neto sin ajustes de cartera</t>
  </si>
  <si>
    <t xml:space="preserve">Grupo </t>
  </si>
  <si>
    <t>Promedio</t>
  </si>
  <si>
    <t>Hospital Universitario del Valle</t>
  </si>
  <si>
    <t>Clínica Imbanaco</t>
  </si>
  <si>
    <t>Clinica de occidente</t>
  </si>
  <si>
    <t>Cardioprevent</t>
  </si>
  <si>
    <t>Corazon y aorta</t>
  </si>
  <si>
    <t>Angiografía de Occidente</t>
  </si>
  <si>
    <t>Fundación Valle de Lili</t>
  </si>
  <si>
    <t>CHEQUEO</t>
  </si>
  <si>
    <t>Ecocardiograma de Stress con Prueba de Esfuerzo ó Prueba Farmacológica</t>
  </si>
  <si>
    <t>Ecocardiograma Modo M Bidimensional Doppler Color</t>
  </si>
  <si>
    <t>Ecocardiograma Transesofágico</t>
  </si>
  <si>
    <t>No manejan</t>
  </si>
  <si>
    <t>ELECTROCARDIOGRAFIA DINAMICA (HOLTER)</t>
  </si>
  <si>
    <t>ELECTROCARDIOGRAMA DE RITMO O DE SUPERFICIE SOD</t>
  </si>
  <si>
    <t>MONITOREO DE PRESION ARTERIAL SISTEMICA SOD</t>
  </si>
  <si>
    <t>Prueba de Esfuerzo (Prueba Ergometrica - Test de Ejercicio)</t>
  </si>
  <si>
    <t>Consulta Especializada</t>
  </si>
  <si>
    <t>Reprogramaciones</t>
  </si>
  <si>
    <t>ARTERIOGRAFIA CORONARIA CON CATETERISMO</t>
  </si>
  <si>
    <t>PUENTES CORONARIOS VIA ABIERTA</t>
  </si>
  <si>
    <t>REEMPLAZO VALVULAR AORTICO O MITRAL VIA ABIERTA O MINIMAMENTE INVASIVO</t>
  </si>
  <si>
    <t>TERAPIAS (Respiratoria, fisica, ocupacional, fonoaudiologica)</t>
  </si>
  <si>
    <t>TERAPIA DE REHABILITACION CARDIOVASCULAR</t>
  </si>
  <si>
    <t>INTERCONSULTA POR OTRAS ESPECIALIDADES MEDICAS</t>
  </si>
  <si>
    <t>NTERCONSULTA POR ESPECIALISTA EN CARDIOLOGIA-</t>
  </si>
  <si>
    <t>INTERCONSULTA POR PSICOLOGIA</t>
  </si>
  <si>
    <t>INTERCONSULTA POR NUTRICION Y DIETETICA</t>
  </si>
  <si>
    <t>INTERCONSULTA POR TRABAJO SOCIAL</t>
  </si>
  <si>
    <t>INTERCONSULTA POR ESPECIALISTA EN CIRUGIA VASCULAR</t>
  </si>
  <si>
    <t>ECOGRAFIA DOPPLER COMO GUIA PARA PROCEDIMIENTOS</t>
  </si>
  <si>
    <t>PLETISMOGRAFÍA DE VASOS ARTERIALES EN MIEMBROS INFERIORES</t>
  </si>
  <si>
    <t>ECOGRAFIA DOPPLER DE VASOS VENOSOS DE MIEMBROS INFERIORES</t>
  </si>
  <si>
    <t>ECOGRAFIA DE ABDOMEN TOTAL</t>
  </si>
  <si>
    <t>RADIOGRAFIA DE TORAX (P.A. O A.P. Y LATERAL DECUBITO LATERAL OBLICUAS O LATERAL)</t>
  </si>
  <si>
    <t>INTERNACION ADULTOS COMPLEJIDAD ALTA HABITACION MULTIPLE</t>
  </si>
  <si>
    <t>INSERCCION CATETER PERCUTANEO O PERIFERICO</t>
  </si>
  <si>
    <t xml:space="preserve">TROMBECTOMIA DE VASOS ARTERIALES O VENOSOS VIA PERCUTANEA </t>
  </si>
  <si>
    <t>ANGIOPLASTIA O ATERECTOMIA DE VASOS DE MIEMBROS INFERIORES -CON BALON - PROTESIS (STENT) O INJERTO-</t>
  </si>
  <si>
    <t>AORTOGRAMA ABDOMINAL Y ESTUDIO DE MIEMBROS INFERIORES</t>
  </si>
  <si>
    <t>ARTERIOGRAFIA PERIFERICA DE UNA EXTREMIDAD INFERIOR POR PUNCION</t>
  </si>
  <si>
    <t>CATETERISMO CARDIACO DEL LADO DERECHO DEL CORAZON CON</t>
  </si>
  <si>
    <t>TARIFAS ICB SANTANDER</t>
  </si>
  <si>
    <t>TARIFAS ICB BOGOTA</t>
  </si>
  <si>
    <t>VAR STDER</t>
  </si>
  <si>
    <t>VAR BOG</t>
  </si>
  <si>
    <t>Dime Clinica Neurocardiovascular</t>
  </si>
  <si>
    <t xml:space="preserve"> -   </t>
  </si>
  <si>
    <t xml:space="preserve">  </t>
  </si>
  <si>
    <t xml:space="preserve">-   </t>
  </si>
  <si>
    <t>ANASTOMOSIS CORONARIA DE ARTERIA</t>
  </si>
  <si>
    <t>ARTERIOGRAFIA PULMONAR BILATERAL CON CATETERISMO</t>
  </si>
  <si>
    <t>TIEMPO DE PROTROMBINA [PT]</t>
  </si>
  <si>
    <t>TIEMPO DE TROMBOPLASTINA PARCIAL</t>
  </si>
  <si>
    <t>ESTUDIO DE ANTICOAGULANTE LUPICO</t>
  </si>
  <si>
    <t>HEMOGRAMA V</t>
  </si>
  <si>
    <t>PRO PEPTIDO ATRIAL NATRIURETICO [PRO-BNP]</t>
  </si>
  <si>
    <t>CALCIO IÓNICO</t>
  </si>
  <si>
    <t>CLORO [CLORURO]</t>
  </si>
  <si>
    <t>GASES ARTERIALES (EN REPOSO O EN EJERCICIO)</t>
  </si>
  <si>
    <t>POTASIO</t>
  </si>
  <si>
    <t>SODIO</t>
  </si>
  <si>
    <t>CREATININA EN SUERO U OTROS FLUIDOS</t>
  </si>
  <si>
    <t>SODIO EN ORINA PARCIAL</t>
  </si>
  <si>
    <t>COPROSCOPICO</t>
  </si>
  <si>
    <t>CINEANGIOGRAFIA</t>
  </si>
  <si>
    <t>Formación Académica</t>
  </si>
  <si>
    <t>* Universidades que ofrecen: Cardiología, Cardiología intervencionista y Neurointervencionismo</t>
  </si>
  <si>
    <t>Universidad del Valle (Univalle)</t>
  </si>
  <si>
    <t>Principal formador clínico en la región, base Hospital Universitario del Valle “Evaristo García” (HUV), pero rotan en otros hospitales IMBANACO, VALLE DEL LILI, ETC.)</t>
  </si>
  <si>
    <t>Pregrado en Medicina</t>
  </si>
  <si>
    <t>(Internado)</t>
  </si>
  <si>
    <t>Especialización en Cardiología</t>
  </si>
  <si>
    <t>Residencia</t>
  </si>
  <si>
    <t>Especialización en Cirugía Vascular Periférica</t>
  </si>
  <si>
    <t>Especialización en Neurocirugía</t>
  </si>
  <si>
    <t>Especialización en Cirugía Pediátrica</t>
  </si>
  <si>
    <t>Especialización en Anestesiología</t>
  </si>
  <si>
    <t>Especialización en Medicina Interna</t>
  </si>
  <si>
    <t>Especialización en Medicina Crítica y Cuidado Intensivo</t>
  </si>
  <si>
    <t>Universidad ICESI</t>
  </si>
  <si>
    <r>
      <rPr>
        <sz val="11"/>
        <color rgb="FF000000"/>
        <rFont val="Calibri"/>
        <scheme val="minor"/>
      </rPr>
      <t xml:space="preserve">Convenio </t>
    </r>
    <r>
      <rPr>
        <u/>
        <sz val="11"/>
        <color rgb="FF000000"/>
        <rFont val="Calibri"/>
        <scheme val="minor"/>
      </rPr>
      <t xml:space="preserve">EXCLUSIVO </t>
    </r>
    <r>
      <rPr>
        <sz val="11"/>
        <color rgb="FF000000"/>
        <rFont val="Calibri"/>
        <scheme val="minor"/>
      </rPr>
      <t>de Formación con la Fundación Valle del Lili</t>
    </r>
  </si>
  <si>
    <t>Especialización en Cardiología Pediátrica</t>
  </si>
  <si>
    <t>Especialización en Cirugía de Cabeza y Cuello</t>
  </si>
  <si>
    <t>Especialización en Radiología Intervencionista</t>
  </si>
  <si>
    <t>Universidad Santiago de Cali</t>
  </si>
  <si>
    <t>Convenios docencia-servicio con varias IPS (IMBANACO, entre otras)</t>
  </si>
  <si>
    <t>Pontificia Universidad Javeriana Cali</t>
  </si>
  <si>
    <t>Convenios docencia-servicio con varias IPS (Valle del Lili, entre otras)</t>
  </si>
  <si>
    <t>Universidad Libre Cali</t>
  </si>
  <si>
    <t>Convenios docencia-servicio con varias IPS (HUV, IMBANACO, etc.)</t>
  </si>
  <si>
    <t>Especialización en Pediatría</t>
  </si>
  <si>
    <t>* Universidades que ofrecen programas de residencia y subespecialización</t>
  </si>
  <si>
    <t>Fundación Valle del Lili - ICESI</t>
  </si>
  <si>
    <t>✔ Entrenamiento Avanzado en Ecocardiografía</t>
  </si>
  <si>
    <t>✔ Cardiología intervencionista</t>
  </si>
  <si>
    <t>✔ Electrofisiología</t>
  </si>
  <si>
    <t>✔ Hemodinamia estructural</t>
  </si>
  <si>
    <t>✔ Endovascular periférico</t>
  </si>
  <si>
    <t>✔ Neurointervencionismo</t>
  </si>
  <si>
    <t>Clínica Imbanaco - Pontificia Universidad Javeriana Cali</t>
  </si>
  <si>
    <t>✔ Neurorradiología</t>
  </si>
  <si>
    <t>% PACIENTES</t>
  </si>
  <si>
    <t>PACIENTES VALLE DEL CAUCA</t>
  </si>
  <si>
    <t>INTERVENCIONES</t>
  </si>
  <si>
    <t>TERAPIAS</t>
  </si>
  <si>
    <t>VASCULAR PERIF</t>
  </si>
  <si>
    <t>BANCO DE SANGRE</t>
  </si>
  <si>
    <t>LABORATORIO</t>
  </si>
  <si>
    <t>ENDOVASCULAR</t>
  </si>
  <si>
    <t>ESTANCIA</t>
  </si>
  <si>
    <t>NEURO</t>
  </si>
  <si>
    <t>RADIOLOGÍA</t>
  </si>
  <si>
    <t>CAPRESOCA EPS</t>
  </si>
  <si>
    <t>DUSAKAWI EPSI</t>
  </si>
  <si>
    <t>SAVIA SALUD EPS</t>
  </si>
  <si>
    <t>AMAZONAS</t>
  </si>
  <si>
    <t>AMAZONAS-SM</t>
  </si>
  <si>
    <t>EL ENCANTO</t>
  </si>
  <si>
    <t>LA CHORRERA</t>
  </si>
  <si>
    <t>LA PEDRERA</t>
  </si>
  <si>
    <t>LETICIA</t>
  </si>
  <si>
    <t>MIRITÍ - PARANÁ</t>
  </si>
  <si>
    <t>PUERTO ALEGRÍA</t>
  </si>
  <si>
    <t>PUERTO ARICA</t>
  </si>
  <si>
    <t>PUERTO NARIÑO</t>
  </si>
  <si>
    <t>PUERTO SANTANDER</t>
  </si>
  <si>
    <t>TARAPACÁ</t>
  </si>
  <si>
    <t>ANTIOQUIA</t>
  </si>
  <si>
    <t>ABEJORRAL</t>
  </si>
  <si>
    <t>EPM - EAS</t>
  </si>
  <si>
    <t>ABRIAQUÍ</t>
  </si>
  <si>
    <t>ALEJANDRÍA</t>
  </si>
  <si>
    <t>AMAGÁ</t>
  </si>
  <si>
    <t>AMALFI</t>
  </si>
  <si>
    <t>ANDES</t>
  </si>
  <si>
    <t>ANGELÓPOLIS</t>
  </si>
  <si>
    <t>ANGOSTURA</t>
  </si>
  <si>
    <t>ANORÍ</t>
  </si>
  <si>
    <t>ANZÁ</t>
  </si>
  <si>
    <t>APARTADÓ</t>
  </si>
  <si>
    <t>ARBOLETES</t>
  </si>
  <si>
    <t>ARMENIA</t>
  </si>
  <si>
    <t>BARBOSA</t>
  </si>
  <si>
    <t>BELLO</t>
  </si>
  <si>
    <t>BELMIRA</t>
  </si>
  <si>
    <t>BETANIA</t>
  </si>
  <si>
    <t>BETULIA</t>
  </si>
  <si>
    <t>BRICEÑO</t>
  </si>
  <si>
    <t>BURITICÁ</t>
  </si>
  <si>
    <t>CÁCERES</t>
  </si>
  <si>
    <t>CAICEDO</t>
  </si>
  <si>
    <t>CALDAS</t>
  </si>
  <si>
    <t>CAMPAMENTO</t>
  </si>
  <si>
    <t>CAÑASGORDAS</t>
  </si>
  <si>
    <t>CARACOLÍ</t>
  </si>
  <si>
    <t>CARAMANTA</t>
  </si>
  <si>
    <t>CAREPA</t>
  </si>
  <si>
    <t>CAROLINA</t>
  </si>
  <si>
    <t>CAUCASIA</t>
  </si>
  <si>
    <t>CHIGORODÓ</t>
  </si>
  <si>
    <t>CISNEROS</t>
  </si>
  <si>
    <t>CIUDAD BOLÍVAR</t>
  </si>
  <si>
    <t>COCORNÁ</t>
  </si>
  <si>
    <t>CAPITAL SALUD EPS</t>
  </si>
  <si>
    <t>MUTUAL SER</t>
  </si>
  <si>
    <t>CONCEPCIÓN</t>
  </si>
  <si>
    <t>CONCORDIA</t>
  </si>
  <si>
    <t>COPACABANA</t>
  </si>
  <si>
    <t>DABEIBA</t>
  </si>
  <si>
    <t>DONMATÍAS</t>
  </si>
  <si>
    <t>EBÉJICO</t>
  </si>
  <si>
    <t>EL BAGRE</t>
  </si>
  <si>
    <t>EL CARMEN DE VIBORAL</t>
  </si>
  <si>
    <t>EL SANTUARIO</t>
  </si>
  <si>
    <t>ENTRERRÍOS</t>
  </si>
  <si>
    <t>ENVIGADO</t>
  </si>
  <si>
    <t>FREDONIA</t>
  </si>
  <si>
    <t>FRONTINO</t>
  </si>
  <si>
    <t>GIRALDO</t>
  </si>
  <si>
    <t>GIRARDOTA</t>
  </si>
  <si>
    <t>GÓMEZ PLATA</t>
  </si>
  <si>
    <t>GRANADA</t>
  </si>
  <si>
    <t>GUADALUPE</t>
  </si>
  <si>
    <t>GUARNE</t>
  </si>
  <si>
    <t>GUATAPÉ</t>
  </si>
  <si>
    <t>HELICONIA</t>
  </si>
  <si>
    <t>HISPANIA</t>
  </si>
  <si>
    <t>ITAGÜÍ</t>
  </si>
  <si>
    <t>ITUANGO</t>
  </si>
  <si>
    <t>JARDÍN</t>
  </si>
  <si>
    <t>JERICÓ</t>
  </si>
  <si>
    <t>LA CEJA</t>
  </si>
  <si>
    <t>LA ESTRELLA</t>
  </si>
  <si>
    <t>LA PINTADA</t>
  </si>
  <si>
    <t>LIBORINA</t>
  </si>
  <si>
    <t>MACEO</t>
  </si>
  <si>
    <t>MARINILLA</t>
  </si>
  <si>
    <t>MEDELLÍN</t>
  </si>
  <si>
    <t>MONTEBELLO</t>
  </si>
  <si>
    <t>MURINDÓ</t>
  </si>
  <si>
    <t>MUTATÁ</t>
  </si>
  <si>
    <t>NARIÑO</t>
  </si>
  <si>
    <t>NECHÍ</t>
  </si>
  <si>
    <t>NECOCLÍ</t>
  </si>
  <si>
    <t>OLAYA</t>
  </si>
  <si>
    <t>PEÑOL</t>
  </si>
  <si>
    <t>PEQUE</t>
  </si>
  <si>
    <t>PUEBLORRICO</t>
  </si>
  <si>
    <t>PUERTO BERRÍO</t>
  </si>
  <si>
    <t>PUERTO NARE</t>
  </si>
  <si>
    <t>PUERTO TRIUNFO</t>
  </si>
  <si>
    <t>REMEDIOS</t>
  </si>
  <si>
    <t>RETIRO</t>
  </si>
  <si>
    <t>RIONEGRO</t>
  </si>
  <si>
    <t>SABANALARGA</t>
  </si>
  <si>
    <t>SABANETA</t>
  </si>
  <si>
    <t>SALGAR</t>
  </si>
  <si>
    <t>SAN ANDRÉS DE CUERQUÍA</t>
  </si>
  <si>
    <t>SAN CARLOS</t>
  </si>
  <si>
    <t>SAN FRANCISCO</t>
  </si>
  <si>
    <t>SAN JERÓNIMO</t>
  </si>
  <si>
    <t>SAN JOSÉ DE LA MONTAÑA</t>
  </si>
  <si>
    <t>SAN JUAN DE URABÁ</t>
  </si>
  <si>
    <t>SAN LUIS</t>
  </si>
  <si>
    <t>SAN PEDRO DE LOS MILAGROS</t>
  </si>
  <si>
    <t>SAN PEDRO DE URABÁ</t>
  </si>
  <si>
    <t>SAN RAFAEL</t>
  </si>
  <si>
    <t>SAN ROQUE</t>
  </si>
  <si>
    <t>SAN VICENTE FERRER</t>
  </si>
  <si>
    <t>SANTA BÁRBARA</t>
  </si>
  <si>
    <t>SANTA FÉ DE ANTIOQUIA</t>
  </si>
  <si>
    <t>SANTA ROSA DE OSOS</t>
  </si>
  <si>
    <t>SANTO DOMINGO</t>
  </si>
  <si>
    <t>SEGOVIA</t>
  </si>
  <si>
    <t>SONSÓN</t>
  </si>
  <si>
    <t>SOPETRÁN</t>
  </si>
  <si>
    <t>TÁMESIS</t>
  </si>
  <si>
    <t>TARAZÁ</t>
  </si>
  <si>
    <t>TARSO</t>
  </si>
  <si>
    <t>TITIRIBÍ</t>
  </si>
  <si>
    <t>TOLEDO</t>
  </si>
  <si>
    <t>TURBO</t>
  </si>
  <si>
    <t>URAMITA</t>
  </si>
  <si>
    <t>URRAO</t>
  </si>
  <si>
    <t>VALDIVIA</t>
  </si>
  <si>
    <t>VALPARAÍSO</t>
  </si>
  <si>
    <t>VEGACHÍ</t>
  </si>
  <si>
    <t>VENECIA</t>
  </si>
  <si>
    <t>VIGÍA DEL FUERTE</t>
  </si>
  <si>
    <t>YALÍ</t>
  </si>
  <si>
    <t>YARUMAL</t>
  </si>
  <si>
    <t>YOLOMBÓ</t>
  </si>
  <si>
    <t>YONDÓ</t>
  </si>
  <si>
    <t>ZARAGOZA</t>
  </si>
  <si>
    <t>ARAUCA</t>
  </si>
  <si>
    <t>ARAUQUITA</t>
  </si>
  <si>
    <t>CRAVO NORTE</t>
  </si>
  <si>
    <t>FORTUL</t>
  </si>
  <si>
    <t>PUERTO RONDÓN</t>
  </si>
  <si>
    <t>SARAVENA</t>
  </si>
  <si>
    <t>TAME</t>
  </si>
  <si>
    <t>ARCHIPIÉLAGO DE SAN ANDRÉS, PROVIDENCIA Y SANTA CATALINA</t>
  </si>
  <si>
    <t>PROVIDENCIA</t>
  </si>
  <si>
    <t>SAN ANDRÉS</t>
  </si>
  <si>
    <t>ATLÁNTICO</t>
  </si>
  <si>
    <t>BARANOA</t>
  </si>
  <si>
    <t>BARRANQUILLA</t>
  </si>
  <si>
    <t>ALIANSALUD EPS</t>
  </si>
  <si>
    <t>CAMPO DE LA CRUZ</t>
  </si>
  <si>
    <t>GALAPA</t>
  </si>
  <si>
    <t>JUAN DE ACOSTA</t>
  </si>
  <si>
    <t>LURUACO</t>
  </si>
  <si>
    <t>MALAMBO</t>
  </si>
  <si>
    <t>MANATÍ</t>
  </si>
  <si>
    <t>PALMAR DE VARELA</t>
  </si>
  <si>
    <t>PIOJÓ</t>
  </si>
  <si>
    <t>POLONUEVO</t>
  </si>
  <si>
    <t>PONEDERA</t>
  </si>
  <si>
    <t>PUERTO COLOMBIA</t>
  </si>
  <si>
    <t>REPELÓN</t>
  </si>
  <si>
    <t>SABANAGRANDE</t>
  </si>
  <si>
    <t>SANTA LUCÍA</t>
  </si>
  <si>
    <t>SANTO TOMÁS</t>
  </si>
  <si>
    <t>SOLEDAD</t>
  </si>
  <si>
    <t>SUAN</t>
  </si>
  <si>
    <t>TUBARÁ</t>
  </si>
  <si>
    <t>USIACURÍ</t>
  </si>
  <si>
    <t>BOGOTÁ, D.C.</t>
  </si>
  <si>
    <t>COMPENSAR EPS</t>
  </si>
  <si>
    <t>ACHÍ</t>
  </si>
  <si>
    <t>ALTOS DEL ROSARIO</t>
  </si>
  <si>
    <t>ARENAL</t>
  </si>
  <si>
    <t>ARJONA</t>
  </si>
  <si>
    <t>ARROYOHONDO</t>
  </si>
  <si>
    <t>BARRANCO DE LOBA</t>
  </si>
  <si>
    <t>CALAMAR</t>
  </si>
  <si>
    <t>CANTAGALLO</t>
  </si>
  <si>
    <t>CARTAGENA DE INDIAS</t>
  </si>
  <si>
    <t>CICUCO</t>
  </si>
  <si>
    <t>CLEMENCIA</t>
  </si>
  <si>
    <t>CÓRDOBA</t>
  </si>
  <si>
    <t>EL CARMEN DE BOLÍVAR</t>
  </si>
  <si>
    <t>EL GUAMO</t>
  </si>
  <si>
    <t>EL PEÑÓN</t>
  </si>
  <si>
    <t>HATILLO DE LOBA</t>
  </si>
  <si>
    <t>MAGANGUÉ</t>
  </si>
  <si>
    <t>MAHATES</t>
  </si>
  <si>
    <t>MARGARITA</t>
  </si>
  <si>
    <t>MARÍA LA BAJA</t>
  </si>
  <si>
    <t>MONTECRISTO</t>
  </si>
  <si>
    <t>MORALES</t>
  </si>
  <si>
    <t>NOROSÍ</t>
  </si>
  <si>
    <t>PINILLOS</t>
  </si>
  <si>
    <t>REGIDOR</t>
  </si>
  <si>
    <t>RÍO VIEJO</t>
  </si>
  <si>
    <t>SAN CRISTÓBAL</t>
  </si>
  <si>
    <t>SAN ESTANISLAO</t>
  </si>
  <si>
    <t>SAN FERNANDO</t>
  </si>
  <si>
    <t>SAN JACINTO</t>
  </si>
  <si>
    <t>SAN JACINTO DEL CAUCA</t>
  </si>
  <si>
    <t>SAN JUAN NEPOMUCENO</t>
  </si>
  <si>
    <t>SAN MARTÍN DE LOBA</t>
  </si>
  <si>
    <t>SAN PABLO</t>
  </si>
  <si>
    <t>SANTA CATALINA</t>
  </si>
  <si>
    <t>SANTA CRUZ DE MOMPOX</t>
  </si>
  <si>
    <t>SANTA ROSA</t>
  </si>
  <si>
    <t>SANTA ROSA DEL SUR</t>
  </si>
  <si>
    <t>SIMITÍ</t>
  </si>
  <si>
    <t>SOPLAVIENTO</t>
  </si>
  <si>
    <t>TALAIGUA NUEVO</t>
  </si>
  <si>
    <t>TIQUISIO</t>
  </si>
  <si>
    <t>TURBACO</t>
  </si>
  <si>
    <t>TURBANÁ</t>
  </si>
  <si>
    <t>VILLANUEVA</t>
  </si>
  <si>
    <t>ZAMBRANO</t>
  </si>
  <si>
    <t>BOYACÁ</t>
  </si>
  <si>
    <t>ALMEIDA</t>
  </si>
  <si>
    <t>AQUITANIA</t>
  </si>
  <si>
    <t>ARCABUCO</t>
  </si>
  <si>
    <t>BELÉN</t>
  </si>
  <si>
    <t>BERBEO</t>
  </si>
  <si>
    <t>BETÉITIVA</t>
  </si>
  <si>
    <t>BOAVITA</t>
  </si>
  <si>
    <t>BUENAVISTA</t>
  </si>
  <si>
    <t>BUSBANZÁ</t>
  </si>
  <si>
    <t>CAMPOHERMOSO</t>
  </si>
  <si>
    <t>CERINZA</t>
  </si>
  <si>
    <t>CHINAVITA</t>
  </si>
  <si>
    <t>CHIQUINQUIRÁ</t>
  </si>
  <si>
    <t>CHÍQUIZA</t>
  </si>
  <si>
    <t>CHISCAS</t>
  </si>
  <si>
    <t>CHITA</t>
  </si>
  <si>
    <t>CHITARAQUE</t>
  </si>
  <si>
    <t>CHIVATÁ</t>
  </si>
  <si>
    <t>CHIVOR</t>
  </si>
  <si>
    <t>CIÉNEGA</t>
  </si>
  <si>
    <t>CÓMBITA</t>
  </si>
  <si>
    <t>COPER</t>
  </si>
  <si>
    <t>CORRALES</t>
  </si>
  <si>
    <t>COVARACHÍA</t>
  </si>
  <si>
    <t>CUBARÁ</t>
  </si>
  <si>
    <t>CUCAITA</t>
  </si>
  <si>
    <t>CUÍTIVA</t>
  </si>
  <si>
    <t>DUITAMA</t>
  </si>
  <si>
    <t>EL COCUY</t>
  </si>
  <si>
    <t>EL ESPINO</t>
  </si>
  <si>
    <t>FIRAVITOBA</t>
  </si>
  <si>
    <t>FLORESTA</t>
  </si>
  <si>
    <t>GACHANTIVÁ</t>
  </si>
  <si>
    <t>GÁMEZA</t>
  </si>
  <si>
    <t>GARAGOA</t>
  </si>
  <si>
    <t>GUACAMAYAS</t>
  </si>
  <si>
    <t>GUATEQUE</t>
  </si>
  <si>
    <t>GUAYATÁ</t>
  </si>
  <si>
    <t>GÜICÁN DE LA SIERRA</t>
  </si>
  <si>
    <t>IZA</t>
  </si>
  <si>
    <t>JENESANO</t>
  </si>
  <si>
    <t>LA CAPILLA</t>
  </si>
  <si>
    <t>LA UVITA</t>
  </si>
  <si>
    <t>LABRANZAGRANDE</t>
  </si>
  <si>
    <t>MACANAL</t>
  </si>
  <si>
    <t>MARIPÍ</t>
  </si>
  <si>
    <t>MIRAFLORES</t>
  </si>
  <si>
    <t>MONGUA</t>
  </si>
  <si>
    <t>MONGUÍ</t>
  </si>
  <si>
    <t>MONIQUIRÁ</t>
  </si>
  <si>
    <t>MOTAVITA</t>
  </si>
  <si>
    <t>MUZO</t>
  </si>
  <si>
    <t>NOBSA</t>
  </si>
  <si>
    <t>NUEVO COLÓN</t>
  </si>
  <si>
    <t>OICATÁ</t>
  </si>
  <si>
    <t>OTANCHE</t>
  </si>
  <si>
    <t>PACHAVITA</t>
  </si>
  <si>
    <t>PÁEZ</t>
  </si>
  <si>
    <t>PAIPA</t>
  </si>
  <si>
    <t>PAJARITO</t>
  </si>
  <si>
    <t>PANQUEBA</t>
  </si>
  <si>
    <t>PAUNA</t>
  </si>
  <si>
    <t>PAYA</t>
  </si>
  <si>
    <t>PAZ DE RÍO</t>
  </si>
  <si>
    <t>PESCA</t>
  </si>
  <si>
    <t>PISBA</t>
  </si>
  <si>
    <t>PUERTO BOYACÁ</t>
  </si>
  <si>
    <t>QUÍPAMA</t>
  </si>
  <si>
    <t>RAMIRIQUÍ</t>
  </si>
  <si>
    <t>RÁQUIRA</t>
  </si>
  <si>
    <t>RONDÓN</t>
  </si>
  <si>
    <t>SABOYÁ</t>
  </si>
  <si>
    <t>SÁCHICA</t>
  </si>
  <si>
    <t>SAMACÁ</t>
  </si>
  <si>
    <t>SAN EDUARDO</t>
  </si>
  <si>
    <t>SAN JOSÉ DE PARE</t>
  </si>
  <si>
    <t>SAN LUIS DE GACENO</t>
  </si>
  <si>
    <t>SAN MATEO</t>
  </si>
  <si>
    <t>SAN MIGUEL DE SEMA</t>
  </si>
  <si>
    <t>SAN PABLO DE BORBUR</t>
  </si>
  <si>
    <t>SANTA MARÍA</t>
  </si>
  <si>
    <t>SANTA ROSA DE VITERBO</t>
  </si>
  <si>
    <t>SANTA SOFÍA</t>
  </si>
  <si>
    <t>SANTANA</t>
  </si>
  <si>
    <t>SATIVANORTE</t>
  </si>
  <si>
    <t>SATIVASUR</t>
  </si>
  <si>
    <t>SIACHOQUE</t>
  </si>
  <si>
    <t>SOATÁ</t>
  </si>
  <si>
    <t>SOCHA</t>
  </si>
  <si>
    <t>SOCOTÁ</t>
  </si>
  <si>
    <t>SOGAMOSO</t>
  </si>
  <si>
    <t>SOMONDOCO</t>
  </si>
  <si>
    <t>SORA</t>
  </si>
  <si>
    <t>SORACÁ</t>
  </si>
  <si>
    <t>SOTAQUIRÁ</t>
  </si>
  <si>
    <t>SUSACÓN</t>
  </si>
  <si>
    <t>SUTAMARCHÁN</t>
  </si>
  <si>
    <t>SUTATENZA</t>
  </si>
  <si>
    <t>TASCO</t>
  </si>
  <si>
    <t>TENZA</t>
  </si>
  <si>
    <t>TIBANÁ</t>
  </si>
  <si>
    <t>TIBASOSA</t>
  </si>
  <si>
    <t>TINJACÁ</t>
  </si>
  <si>
    <t>TIPACOQUE</t>
  </si>
  <si>
    <t>TOCA</t>
  </si>
  <si>
    <t>TOGÜÍ</t>
  </si>
  <si>
    <t>TÓPAGA</t>
  </si>
  <si>
    <t>TOTA</t>
  </si>
  <si>
    <t>TUNJA</t>
  </si>
  <si>
    <t>TUNUNGUÁ</t>
  </si>
  <si>
    <t>TURMEQUÉ</t>
  </si>
  <si>
    <t>TUTA</t>
  </si>
  <si>
    <t>TUTAZÁ</t>
  </si>
  <si>
    <t>ÚMBITA</t>
  </si>
  <si>
    <t>VENTAQUEMADA</t>
  </si>
  <si>
    <t>VILLA DE LEYVA</t>
  </si>
  <si>
    <t>VIRACACHÁ</t>
  </si>
  <si>
    <t>ZETAQUIRA</t>
  </si>
  <si>
    <t>AGUADAS</t>
  </si>
  <si>
    <t>ANSERMA</t>
  </si>
  <si>
    <t>ARANZAZU</t>
  </si>
  <si>
    <t>BELALCÁZAR</t>
  </si>
  <si>
    <t>CHINCHINÁ</t>
  </si>
  <si>
    <t>FILADELFIA</t>
  </si>
  <si>
    <t>LA DORADA</t>
  </si>
  <si>
    <t>LA MERCED</t>
  </si>
  <si>
    <t>MANIZALES</t>
  </si>
  <si>
    <t>MANZANARES</t>
  </si>
  <si>
    <t>MARMATO</t>
  </si>
  <si>
    <t>MARQUETALIA</t>
  </si>
  <si>
    <t>MARULANDA</t>
  </si>
  <si>
    <t>NEIRA</t>
  </si>
  <si>
    <t>NORCASIA</t>
  </si>
  <si>
    <t>PÁCORA</t>
  </si>
  <si>
    <t>PALESTINA</t>
  </si>
  <si>
    <t>PENSILVANIA</t>
  </si>
  <si>
    <t>RIOSUCIO</t>
  </si>
  <si>
    <t>RISARALDA</t>
  </si>
  <si>
    <t>SALAMINA</t>
  </si>
  <si>
    <t>SAMANÁ</t>
  </si>
  <si>
    <t>SAN JOSÉ</t>
  </si>
  <si>
    <t>SUPÍA</t>
  </si>
  <si>
    <t>VICTORIA</t>
  </si>
  <si>
    <t>VILLAMARÍA</t>
  </si>
  <si>
    <t>VITERBO</t>
  </si>
  <si>
    <t>CAQUETÁ</t>
  </si>
  <si>
    <t>ALBANIA</t>
  </si>
  <si>
    <t>BELÉN DE LOS ANDAQUÍES</t>
  </si>
  <si>
    <t>CARTAGENA DEL CHAIRÁ</t>
  </si>
  <si>
    <t>CURILLO</t>
  </si>
  <si>
    <t>EL DONCELLO</t>
  </si>
  <si>
    <t>EL PAUJÍL</t>
  </si>
  <si>
    <t>FLORENCIA</t>
  </si>
  <si>
    <t>LA MONTAÑITA</t>
  </si>
  <si>
    <t>MILÁN</t>
  </si>
  <si>
    <t>MORELIA</t>
  </si>
  <si>
    <t>PUERTO RICO</t>
  </si>
  <si>
    <t>SAN JOSÉ DEL FRAGUA</t>
  </si>
  <si>
    <t>SAN VICENTE DEL CAGUÁN</t>
  </si>
  <si>
    <t>SOLANO</t>
  </si>
  <si>
    <t>SOLITA</t>
  </si>
  <si>
    <t>CASANARE</t>
  </si>
  <si>
    <t>AGUAZUL</t>
  </si>
  <si>
    <t>CHÁMEZA</t>
  </si>
  <si>
    <t>HATO COROZAL</t>
  </si>
  <si>
    <t>LA SALINA</t>
  </si>
  <si>
    <t>MANÍ</t>
  </si>
  <si>
    <t>MONTERREY</t>
  </si>
  <si>
    <t>NUNCHÍA</t>
  </si>
  <si>
    <t>OROCUÉ</t>
  </si>
  <si>
    <t>PAZ DE ARIPORO</t>
  </si>
  <si>
    <t>PORE</t>
  </si>
  <si>
    <t>RECETOR</t>
  </si>
  <si>
    <t>SÁCAMA</t>
  </si>
  <si>
    <t>SAN LUIS DE PALENQUE</t>
  </si>
  <si>
    <t>TÁMARA</t>
  </si>
  <si>
    <t>TAURAMENA</t>
  </si>
  <si>
    <t>TRINIDAD</t>
  </si>
  <si>
    <t>YOPAL</t>
  </si>
  <si>
    <t>CAUCA</t>
  </si>
  <si>
    <t>ALMAGUER</t>
  </si>
  <si>
    <t>AIC EPSI</t>
  </si>
  <si>
    <t>BALBOA</t>
  </si>
  <si>
    <t>BUENOS AIRES</t>
  </si>
  <si>
    <t>CAJIBÍO</t>
  </si>
  <si>
    <t>CALDONO</t>
  </si>
  <si>
    <t>CALOTO</t>
  </si>
  <si>
    <t>CORINTO</t>
  </si>
  <si>
    <t>EL TAMBO</t>
  </si>
  <si>
    <t>GUACHENÉ</t>
  </si>
  <si>
    <t>GUAPI</t>
  </si>
  <si>
    <t>INZÁ</t>
  </si>
  <si>
    <t>JAMBALÓ</t>
  </si>
  <si>
    <t>LA SIERRA</t>
  </si>
  <si>
    <t>LA VEGA</t>
  </si>
  <si>
    <t>LÓPEZ DE MICAY</t>
  </si>
  <si>
    <t>MERCADERES</t>
  </si>
  <si>
    <t>MIRANDA</t>
  </si>
  <si>
    <t>PADILLA</t>
  </si>
  <si>
    <t>PATÍA</t>
  </si>
  <si>
    <t>PIAMONTE</t>
  </si>
  <si>
    <t>PIENDAMÓ - TUNÍA</t>
  </si>
  <si>
    <t>POPAYÁN</t>
  </si>
  <si>
    <t>PUERTO TEJADA</t>
  </si>
  <si>
    <t>PURACÉ</t>
  </si>
  <si>
    <t>ROSAS</t>
  </si>
  <si>
    <t>SAN SEBASTIÁN</t>
  </si>
  <si>
    <t>SANTANDER DE QUILICHAO</t>
  </si>
  <si>
    <t>SILVIA</t>
  </si>
  <si>
    <t>SOTARÁ - PAISPAMBA</t>
  </si>
  <si>
    <t>SUÁREZ</t>
  </si>
  <si>
    <t>SUCRE</t>
  </si>
  <si>
    <t>TIMBÍO</t>
  </si>
  <si>
    <t>TIMBIQUÍ</t>
  </si>
  <si>
    <t>TORIBÍO</t>
  </si>
  <si>
    <t>TOTORÓ</t>
  </si>
  <si>
    <t>VILLA RICA</t>
  </si>
  <si>
    <t>CESAR</t>
  </si>
  <si>
    <t>AGUACHICA</t>
  </si>
  <si>
    <t>AGUSTÍN CODAZZI</t>
  </si>
  <si>
    <t>ASTREA</t>
  </si>
  <si>
    <t>BECERRIL</t>
  </si>
  <si>
    <t>BOSCONIA</t>
  </si>
  <si>
    <t>CHIMICHAGUA</t>
  </si>
  <si>
    <t>CHIRIGUANÁ</t>
  </si>
  <si>
    <t>CURUMANÍ</t>
  </si>
  <si>
    <t>EL COPEY</t>
  </si>
  <si>
    <t>EL PASO</t>
  </si>
  <si>
    <t>GAMARRA</t>
  </si>
  <si>
    <t>GONZÁLEZ</t>
  </si>
  <si>
    <t>LA GLORIA</t>
  </si>
  <si>
    <t>LA JAGUA DE IBIRICO</t>
  </si>
  <si>
    <t>LA PAZ</t>
  </si>
  <si>
    <t>MANAURE BALCÓN DEL CESAR</t>
  </si>
  <si>
    <t>PAILITAS</t>
  </si>
  <si>
    <t>PELAYA</t>
  </si>
  <si>
    <t>PUEBLO BELLO</t>
  </si>
  <si>
    <t>RÍO DE ORO</t>
  </si>
  <si>
    <t>SAN ALBERTO</t>
  </si>
  <si>
    <t>SAN DIEGO</t>
  </si>
  <si>
    <t>SAN MARTÍN</t>
  </si>
  <si>
    <t>TAMALAMEQUE</t>
  </si>
  <si>
    <t>VALLEDUPAR</t>
  </si>
  <si>
    <t>CHOCÓ</t>
  </si>
  <si>
    <t>ACANDÍ</t>
  </si>
  <si>
    <t>COMFACHOCO EPS</t>
  </si>
  <si>
    <t>ALTO BAUDÓ</t>
  </si>
  <si>
    <t>ATRATO</t>
  </si>
  <si>
    <t>BAGADÓ</t>
  </si>
  <si>
    <t>BAHÍA SOLANO</t>
  </si>
  <si>
    <t>BAJO BAUDÓ</t>
  </si>
  <si>
    <t>BELÉN DE BAJIRÁ</t>
  </si>
  <si>
    <t>BOJAYÁ</t>
  </si>
  <si>
    <t>CARMEN DEL DARIÉN</t>
  </si>
  <si>
    <t>CÉRTEGUI</t>
  </si>
  <si>
    <t>CONDOTO</t>
  </si>
  <si>
    <t>EL CANTÓN DEL SAN PABLO</t>
  </si>
  <si>
    <t>EL CARMEN DE ATRATO</t>
  </si>
  <si>
    <t>EL LITORAL DEL SAN JUAN</t>
  </si>
  <si>
    <t>ISTMINA</t>
  </si>
  <si>
    <t>JURADÓ</t>
  </si>
  <si>
    <t>LLORÓ</t>
  </si>
  <si>
    <t>MEDIO ATRATO</t>
  </si>
  <si>
    <t>MEDIO BAUDÓ</t>
  </si>
  <si>
    <t>MEDIO SAN JUAN</t>
  </si>
  <si>
    <t>NÓVITA</t>
  </si>
  <si>
    <t>NUEVO BELÉN DE BAJIRÁ</t>
  </si>
  <si>
    <t>NUQUÍ</t>
  </si>
  <si>
    <t>QUIBDÓ</t>
  </si>
  <si>
    <t>RÍO IRÓ</t>
  </si>
  <si>
    <t>RÍO QUITO</t>
  </si>
  <si>
    <t>SAN JOSÉ DEL PALMAR</t>
  </si>
  <si>
    <t>SIPÍ</t>
  </si>
  <si>
    <t>TADÓ</t>
  </si>
  <si>
    <t>UNGUÍA</t>
  </si>
  <si>
    <t>UNIÓN PANAMERICANA</t>
  </si>
  <si>
    <t>AYAPEL</t>
  </si>
  <si>
    <t>CANALETE</t>
  </si>
  <si>
    <t>CERETÉ</t>
  </si>
  <si>
    <t>CHIMÁ</t>
  </si>
  <si>
    <t>CHINÚ</t>
  </si>
  <si>
    <t>CIÉNAGA DE ORO</t>
  </si>
  <si>
    <t>COTORRA</t>
  </si>
  <si>
    <t>LA APARTADA</t>
  </si>
  <si>
    <t>LORICA</t>
  </si>
  <si>
    <t>LOS CÓRDOBAS</t>
  </si>
  <si>
    <t>MOMIL</t>
  </si>
  <si>
    <t>MONTELÍBANO</t>
  </si>
  <si>
    <t>MONTERÍA</t>
  </si>
  <si>
    <t>MOÑITOS</t>
  </si>
  <si>
    <t>PLANETA RICA</t>
  </si>
  <si>
    <t>PUEBLO NUEVO</t>
  </si>
  <si>
    <t>PUERTO ESCONDIDO</t>
  </si>
  <si>
    <t>PUERTO LIBERTADOR</t>
  </si>
  <si>
    <t>PURÍSIMA DE LA CONCEPCIÓN</t>
  </si>
  <si>
    <t>SAHAGÚN</t>
  </si>
  <si>
    <t>SAN ANDRÉS DE SOTAVENTO</t>
  </si>
  <si>
    <t>SAN ANTERO</t>
  </si>
  <si>
    <t>SAN BERNARDO DEL VIENTO</t>
  </si>
  <si>
    <t>SAN JOSÉ DE URÉ</t>
  </si>
  <si>
    <t>SAN PELAYO</t>
  </si>
  <si>
    <t>TIERRALTA</t>
  </si>
  <si>
    <t>TUCHÍN</t>
  </si>
  <si>
    <t>VALENCIA</t>
  </si>
  <si>
    <t>CUNDINAMARCA</t>
  </si>
  <si>
    <t>AGUA DE DIOS</t>
  </si>
  <si>
    <t>ALBÁN</t>
  </si>
  <si>
    <t>ANAPOIMA</t>
  </si>
  <si>
    <t>ANOLAIMA</t>
  </si>
  <si>
    <t>APULO</t>
  </si>
  <si>
    <t>ARBELÁEZ</t>
  </si>
  <si>
    <t>BELTRÁN</t>
  </si>
  <si>
    <t>BITUIMA</t>
  </si>
  <si>
    <t>BOJACÁ</t>
  </si>
  <si>
    <t>CABRERA</t>
  </si>
  <si>
    <t>CACHIPAY</t>
  </si>
  <si>
    <t>CAJICÁ</t>
  </si>
  <si>
    <t>PIJAOS SALUD EPSI</t>
  </si>
  <si>
    <t>CAPARRAPÍ</t>
  </si>
  <si>
    <t>CÁQUEZA</t>
  </si>
  <si>
    <t>CARMEN DE CARUPA</t>
  </si>
  <si>
    <t>CHAGUANÍ</t>
  </si>
  <si>
    <t>CHÍA</t>
  </si>
  <si>
    <t>CHIPAQUE</t>
  </si>
  <si>
    <t>CHOACHÍ</t>
  </si>
  <si>
    <t>CHOCONTÁ</t>
  </si>
  <si>
    <t>COGUA</t>
  </si>
  <si>
    <t>COTA</t>
  </si>
  <si>
    <t>CUCUNUBÁ</t>
  </si>
  <si>
    <t>EL COLEGIO</t>
  </si>
  <si>
    <t>EL ROSAL</t>
  </si>
  <si>
    <t>FACATATIVÁ</t>
  </si>
  <si>
    <t>FÓMEQUE</t>
  </si>
  <si>
    <t>FOSCA</t>
  </si>
  <si>
    <t>FUNZA</t>
  </si>
  <si>
    <t>FÚQUENE</t>
  </si>
  <si>
    <t>FUSAGASUGÁ</t>
  </si>
  <si>
    <t>GACHALÁ</t>
  </si>
  <si>
    <t>GACHANCIPÁ</t>
  </si>
  <si>
    <t>GACHETÁ</t>
  </si>
  <si>
    <t>GAMA</t>
  </si>
  <si>
    <t>GIRARDOT</t>
  </si>
  <si>
    <t>GUACHETÁ</t>
  </si>
  <si>
    <t>GUADUAS</t>
  </si>
  <si>
    <t>GUASCA</t>
  </si>
  <si>
    <t>GUATAQUÍ</t>
  </si>
  <si>
    <t>GUATAVITA</t>
  </si>
  <si>
    <t>GUAYABAL DE SÍQUIMA</t>
  </si>
  <si>
    <t>GUAYABETAL</t>
  </si>
  <si>
    <t>GUTIÉRREZ</t>
  </si>
  <si>
    <t>JERUSALÉN</t>
  </si>
  <si>
    <t>JUNÍN</t>
  </si>
  <si>
    <t>LA CALERA</t>
  </si>
  <si>
    <t>LA MESA</t>
  </si>
  <si>
    <t>LA PALMA</t>
  </si>
  <si>
    <t>LA PEÑA</t>
  </si>
  <si>
    <t>LENGUAZAQUE</t>
  </si>
  <si>
    <t>MACHETÁ</t>
  </si>
  <si>
    <t>MADRID</t>
  </si>
  <si>
    <t>MANTA</t>
  </si>
  <si>
    <t>MEDINA</t>
  </si>
  <si>
    <t>MOSQUERA</t>
  </si>
  <si>
    <t>NEMOCÓN</t>
  </si>
  <si>
    <t>NILO</t>
  </si>
  <si>
    <t>NIMAIMA</t>
  </si>
  <si>
    <t>NOCAIMA</t>
  </si>
  <si>
    <t>PACHO</t>
  </si>
  <si>
    <t>PAIME</t>
  </si>
  <si>
    <t>PANDI</t>
  </si>
  <si>
    <t>PARATEBUENO</t>
  </si>
  <si>
    <t>PASCA</t>
  </si>
  <si>
    <t>PUERTO SALGAR</t>
  </si>
  <si>
    <t>PULÍ</t>
  </si>
  <si>
    <t>QUEBRADANEGRA</t>
  </si>
  <si>
    <t>QUETAME</t>
  </si>
  <si>
    <t>QUIPILE</t>
  </si>
  <si>
    <t>RICAURTE</t>
  </si>
  <si>
    <t>SAN ANTONIO DEL TEQUENDAMA</t>
  </si>
  <si>
    <t>SAN BERNARDO</t>
  </si>
  <si>
    <t>SAN CAYETANO</t>
  </si>
  <si>
    <t>SAN JUAN DE RIOSECO</t>
  </si>
  <si>
    <t>SASAIMA</t>
  </si>
  <si>
    <t>SESQUILÉ</t>
  </si>
  <si>
    <t>SIBATÉ</t>
  </si>
  <si>
    <t>SILVANIA</t>
  </si>
  <si>
    <t>SIMIJACA</t>
  </si>
  <si>
    <t>SOACHA</t>
  </si>
  <si>
    <t>SOPÓ</t>
  </si>
  <si>
    <t>SUBACHOQUE</t>
  </si>
  <si>
    <t>SUESCA</t>
  </si>
  <si>
    <t>SUPATÁ</t>
  </si>
  <si>
    <t>SUSA</t>
  </si>
  <si>
    <t>SUTATAUSA</t>
  </si>
  <si>
    <t>TABIO</t>
  </si>
  <si>
    <t>TAUSA</t>
  </si>
  <si>
    <t>TENA</t>
  </si>
  <si>
    <t>TENJO</t>
  </si>
  <si>
    <t>TIBACUY</t>
  </si>
  <si>
    <t>TIBIRITA</t>
  </si>
  <si>
    <t>TOCAIMA</t>
  </si>
  <si>
    <t>TOCANCIPÁ</t>
  </si>
  <si>
    <t>TOPAIPÍ</t>
  </si>
  <si>
    <t>UBALÁ</t>
  </si>
  <si>
    <t>UBAQUE</t>
  </si>
  <si>
    <t>UNE</t>
  </si>
  <si>
    <t>ÚTICA</t>
  </si>
  <si>
    <t>VERGARA</t>
  </si>
  <si>
    <t>VIANÍ</t>
  </si>
  <si>
    <t>VILLA DE SAN DIEGO DE UBATÉ</t>
  </si>
  <si>
    <t>VILLAGÓMEZ</t>
  </si>
  <si>
    <t>VILLAPINZÓN</t>
  </si>
  <si>
    <t>VILLETA</t>
  </si>
  <si>
    <t>VIOTÁ</t>
  </si>
  <si>
    <t>YACOPÍ</t>
  </si>
  <si>
    <t>ZIPACÓN</t>
  </si>
  <si>
    <t>ZIPAQUIRÁ</t>
  </si>
  <si>
    <t>GUAINÍA</t>
  </si>
  <si>
    <t>BARRANCOMINAS</t>
  </si>
  <si>
    <t>CACAHUAL</t>
  </si>
  <si>
    <t>GUAINÍA-SM</t>
  </si>
  <si>
    <t>INÍRIDA</t>
  </si>
  <si>
    <t>LA GUADALUPE</t>
  </si>
  <si>
    <t>MAPIRIPANA</t>
  </si>
  <si>
    <t>MORICHAL</t>
  </si>
  <si>
    <t>PANA PANA</t>
  </si>
  <si>
    <t>SAN FELIPE</t>
  </si>
  <si>
    <t>GUAVIARE</t>
  </si>
  <si>
    <t>EL RETORNO</t>
  </si>
  <si>
    <t>SAN JOSÉ DEL GUAVIARE</t>
  </si>
  <si>
    <t>HUILA</t>
  </si>
  <si>
    <t>ACEVEDO</t>
  </si>
  <si>
    <t>AGRADO</t>
  </si>
  <si>
    <t>AIPE</t>
  </si>
  <si>
    <t>ALGECIRAS</t>
  </si>
  <si>
    <t>ALTAMIRA</t>
  </si>
  <si>
    <t>BARAYA</t>
  </si>
  <si>
    <t>CAMPOALEGRE</t>
  </si>
  <si>
    <t>COLOMBIA</t>
  </si>
  <si>
    <t>ELÍAS</t>
  </si>
  <si>
    <t>GARZÓN</t>
  </si>
  <si>
    <t>GIGANTE</t>
  </si>
  <si>
    <t>HOBO</t>
  </si>
  <si>
    <t>ÍQUIRA</t>
  </si>
  <si>
    <t>ISNOS</t>
  </si>
  <si>
    <t>LA ARGENTINA</t>
  </si>
  <si>
    <t>LA PLATA</t>
  </si>
  <si>
    <t>NÁTAGA</t>
  </si>
  <si>
    <t>NEIVA</t>
  </si>
  <si>
    <t>OPORAPA</t>
  </si>
  <si>
    <t>PAICOL</t>
  </si>
  <si>
    <t>PALERMO</t>
  </si>
  <si>
    <t>PITAL</t>
  </si>
  <si>
    <t>PITALITO</t>
  </si>
  <si>
    <t>RIVERA</t>
  </si>
  <si>
    <t>SALADOBLANCO</t>
  </si>
  <si>
    <t>SAN AGUSTÍN</t>
  </si>
  <si>
    <t>SUAZA</t>
  </si>
  <si>
    <t>TARQUI</t>
  </si>
  <si>
    <t>TELLO</t>
  </si>
  <si>
    <t>TERUEL</t>
  </si>
  <si>
    <t>TESALIA</t>
  </si>
  <si>
    <t>TIMANÁ</t>
  </si>
  <si>
    <t>VILLAVIEJA</t>
  </si>
  <si>
    <t>YAGUARÁ</t>
  </si>
  <si>
    <t>LA GUAJIRA</t>
  </si>
  <si>
    <t>ANAS WAYUU EPSI</t>
  </si>
  <si>
    <t>BARRANCAS</t>
  </si>
  <si>
    <t>DIBULLA</t>
  </si>
  <si>
    <t>DISTRACCIÓN</t>
  </si>
  <si>
    <t>EL MOLINO</t>
  </si>
  <si>
    <t>FONSECA</t>
  </si>
  <si>
    <t>HATONUEVO</t>
  </si>
  <si>
    <t>LA JAGUA DEL PILAR</t>
  </si>
  <si>
    <t>MAICAO</t>
  </si>
  <si>
    <t>MANAURE</t>
  </si>
  <si>
    <t>RIOHACHA</t>
  </si>
  <si>
    <t>SAN JUAN DEL CESAR</t>
  </si>
  <si>
    <t>URIBIA</t>
  </si>
  <si>
    <t>URUMITA</t>
  </si>
  <si>
    <t>MAGDALENA</t>
  </si>
  <si>
    <t>ALGARROBO</t>
  </si>
  <si>
    <t>ARACATACA</t>
  </si>
  <si>
    <t>ARIGUANÍ</t>
  </si>
  <si>
    <t>CERRO DE SAN ANTONIO</t>
  </si>
  <si>
    <t>CHIVOLO</t>
  </si>
  <si>
    <t>CIÉNAGA</t>
  </si>
  <si>
    <t>EL BANCO</t>
  </si>
  <si>
    <t>EL PIÑÓN</t>
  </si>
  <si>
    <t>EL RETÉN</t>
  </si>
  <si>
    <t>FUNDACIÓN</t>
  </si>
  <si>
    <t>GUAMAL</t>
  </si>
  <si>
    <t>NUEVA GRANADA</t>
  </si>
  <si>
    <t>PEDRAZA</t>
  </si>
  <si>
    <t>PIJIÑO DEL CARMEN</t>
  </si>
  <si>
    <t>PIVIJAY</t>
  </si>
  <si>
    <t>PLATO</t>
  </si>
  <si>
    <t>PUEBLOVIEJO</t>
  </si>
  <si>
    <t>REMOLINO</t>
  </si>
  <si>
    <t>SABANAS DE SAN ÁNGEL</t>
  </si>
  <si>
    <t>SAN SEBASTIÁN DE BUENAVISTA</t>
  </si>
  <si>
    <t>SAN ZENÓN</t>
  </si>
  <si>
    <t>SANTA ANA</t>
  </si>
  <si>
    <t>SANTA BÁRBARA DE PINTO</t>
  </si>
  <si>
    <t>SANTA MARTA</t>
  </si>
  <si>
    <t>SITIONUEVO</t>
  </si>
  <si>
    <t>TENERIFE</t>
  </si>
  <si>
    <t>ZAPAYÁN</t>
  </si>
  <si>
    <t>ZONA BANANERA</t>
  </si>
  <si>
    <t>META</t>
  </si>
  <si>
    <t>ACACÍAS</t>
  </si>
  <si>
    <t>BARRANCA DE UPÍA</t>
  </si>
  <si>
    <t>CABUYARO</t>
  </si>
  <si>
    <t>CASTILLA LA NUEVA</t>
  </si>
  <si>
    <t>CUBARRAL</t>
  </si>
  <si>
    <t>CUMARAL</t>
  </si>
  <si>
    <t>EL CALVARIO</t>
  </si>
  <si>
    <t>EL CASTILLO</t>
  </si>
  <si>
    <t>EL DORADO</t>
  </si>
  <si>
    <t>FUENTE DE ORO</t>
  </si>
  <si>
    <t>LA MACARENA</t>
  </si>
  <si>
    <t>LEJANÍAS</t>
  </si>
  <si>
    <t>MAPIRIPÁN</t>
  </si>
  <si>
    <t>MESETAS</t>
  </si>
  <si>
    <t>PUERTO CONCORDIA</t>
  </si>
  <si>
    <t>PUERTO GAITÁN</t>
  </si>
  <si>
    <t>PUERTO LLERAS</t>
  </si>
  <si>
    <t>PUERTO LÓPEZ</t>
  </si>
  <si>
    <t>SAN CARLOS DE GUAROA</t>
  </si>
  <si>
    <t>SAN JUAN DE ARAMA</t>
  </si>
  <si>
    <t>SAN JUANITO</t>
  </si>
  <si>
    <t>URIBE</t>
  </si>
  <si>
    <t>VILLAVICENCIO</t>
  </si>
  <si>
    <t>VISTAHERMOSA</t>
  </si>
  <si>
    <t>ALDANA</t>
  </si>
  <si>
    <t>ANCUYA</t>
  </si>
  <si>
    <t>ARBOLEDA</t>
  </si>
  <si>
    <t>BARBACOAS</t>
  </si>
  <si>
    <t>BUESACO</t>
  </si>
  <si>
    <t>CHACHAGÜÍ</t>
  </si>
  <si>
    <t>COLÓN</t>
  </si>
  <si>
    <t>CONSACÁ</t>
  </si>
  <si>
    <t>CONTADERO</t>
  </si>
  <si>
    <t>CUASPUD CARLOSAMA</t>
  </si>
  <si>
    <t>CUMBAL</t>
  </si>
  <si>
    <t>CUMBITARA</t>
  </si>
  <si>
    <t>EL CHARCO</t>
  </si>
  <si>
    <t>EL PEÑOL</t>
  </si>
  <si>
    <t>EL ROSARIO</t>
  </si>
  <si>
    <t>EL TABLÓN DE GÓMEZ</t>
  </si>
  <si>
    <t>FRANCISCO PIZARRO</t>
  </si>
  <si>
    <t>FUNES</t>
  </si>
  <si>
    <t>GUACHUCAL</t>
  </si>
  <si>
    <t>GUAITARILLA</t>
  </si>
  <si>
    <t>GUALMATÁN</t>
  </si>
  <si>
    <t>ILES</t>
  </si>
  <si>
    <t>IMUÉS</t>
  </si>
  <si>
    <t>IPIALES</t>
  </si>
  <si>
    <t>LA CRUZ</t>
  </si>
  <si>
    <t>LA FLORIDA</t>
  </si>
  <si>
    <t>LA LLANADA</t>
  </si>
  <si>
    <t>LA TOLA</t>
  </si>
  <si>
    <t>LEIVA</t>
  </si>
  <si>
    <t>LINARES</t>
  </si>
  <si>
    <t>LOS ANDES</t>
  </si>
  <si>
    <t>MAGÜÍ</t>
  </si>
  <si>
    <t>MALLAMA</t>
  </si>
  <si>
    <t>OLAYA HERRERA</t>
  </si>
  <si>
    <t>OSPINA</t>
  </si>
  <si>
    <t>PASTO</t>
  </si>
  <si>
    <t>POLICARPA</t>
  </si>
  <si>
    <t>POTOSÍ</t>
  </si>
  <si>
    <t>PUERRES</t>
  </si>
  <si>
    <t>PUPIALES</t>
  </si>
  <si>
    <t>ROBERTO PAYÁN</t>
  </si>
  <si>
    <t>SAMANIEGO</t>
  </si>
  <si>
    <t>SAN ANDRÉS DE TUMACO</t>
  </si>
  <si>
    <t>SAN LORENZO</t>
  </si>
  <si>
    <t>SAN PEDRO DE CARTAGO</t>
  </si>
  <si>
    <t>SANDONÁ</t>
  </si>
  <si>
    <t>SANTACRUZ</t>
  </si>
  <si>
    <t>SAPUYES</t>
  </si>
  <si>
    <t>TAMINANGO</t>
  </si>
  <si>
    <t>TANGUA</t>
  </si>
  <si>
    <t>TÚQUERRES</t>
  </si>
  <si>
    <t>YACUANQUER</t>
  </si>
  <si>
    <t>NORTE DE SANTANDER</t>
  </si>
  <si>
    <t>ÁBREGO</t>
  </si>
  <si>
    <t>ARBOLEDAS</t>
  </si>
  <si>
    <t>COMFAORIENTE</t>
  </si>
  <si>
    <t>BOCHALEMA</t>
  </si>
  <si>
    <t>BUCARASICA</t>
  </si>
  <si>
    <t>CÁCHIRA</t>
  </si>
  <si>
    <t>CÁCOTA</t>
  </si>
  <si>
    <t>CHINÁCOTA</t>
  </si>
  <si>
    <t>CHITAGÁ</t>
  </si>
  <si>
    <t>CONVENCIÓN</t>
  </si>
  <si>
    <t>CUCUTILLA</t>
  </si>
  <si>
    <t>DURANIA</t>
  </si>
  <si>
    <t>EL CARMEN</t>
  </si>
  <si>
    <t>EL TARRA</t>
  </si>
  <si>
    <t>EL ZULIA</t>
  </si>
  <si>
    <t>GRAMALOTE</t>
  </si>
  <si>
    <t>HACARÍ</t>
  </si>
  <si>
    <t>HERRÁN</t>
  </si>
  <si>
    <t>LA ESPERANZA</t>
  </si>
  <si>
    <t>LA PLAYA</t>
  </si>
  <si>
    <t>LABATECA</t>
  </si>
  <si>
    <t>LOS PATIOS</t>
  </si>
  <si>
    <t>LOURDES</t>
  </si>
  <si>
    <t>MUTISCUA</t>
  </si>
  <si>
    <t>OCAÑA</t>
  </si>
  <si>
    <t>PAMPLONA</t>
  </si>
  <si>
    <t>PAMPLONITA</t>
  </si>
  <si>
    <t>RAGONVALIA</t>
  </si>
  <si>
    <t>SALAZAR</t>
  </si>
  <si>
    <t>SAN CALIXTO</t>
  </si>
  <si>
    <t>SAN JOSÉ DE CÚCUTA</t>
  </si>
  <si>
    <t>SANTIAGO</t>
  </si>
  <si>
    <t>SARDINATA</t>
  </si>
  <si>
    <t>SILOS</t>
  </si>
  <si>
    <t>TEORAMA</t>
  </si>
  <si>
    <t>TIBÚ</t>
  </si>
  <si>
    <t>VILLA CARO</t>
  </si>
  <si>
    <t>VILLA DEL ROSARIO</t>
  </si>
  <si>
    <t>PUTUMAYO</t>
  </si>
  <si>
    <t>MOCOA</t>
  </si>
  <si>
    <t>ORITO</t>
  </si>
  <si>
    <t>PUERTO ASÍS</t>
  </si>
  <si>
    <t>PUERTO CAICEDO</t>
  </si>
  <si>
    <t>PUERTO GUZMÁN</t>
  </si>
  <si>
    <t>PUERTO LEGUÍZAMO</t>
  </si>
  <si>
    <t>SAN MIGUEL</t>
  </si>
  <si>
    <t>SIBUNDOY</t>
  </si>
  <si>
    <t>VALLE DEL GUAMUEZ</t>
  </si>
  <si>
    <t>VILLAGARZÓN</t>
  </si>
  <si>
    <t>QUINDÍO</t>
  </si>
  <si>
    <t>CALARCÁ</t>
  </si>
  <si>
    <t>CIRCASIA</t>
  </si>
  <si>
    <t>FILANDIA</t>
  </si>
  <si>
    <t>GÉNOVA</t>
  </si>
  <si>
    <t>LA TEBAIDA</t>
  </si>
  <si>
    <t>MONTENEGRO</t>
  </si>
  <si>
    <t>PIJAO</t>
  </si>
  <si>
    <t>QUIMBAYA</t>
  </si>
  <si>
    <t>SALENTO</t>
  </si>
  <si>
    <t>APÍA</t>
  </si>
  <si>
    <t>BELÉN DE UMBRÍA</t>
  </si>
  <si>
    <t>DOSQUEBRADAS</t>
  </si>
  <si>
    <t>GUÁTICA</t>
  </si>
  <si>
    <t>LA CELIA</t>
  </si>
  <si>
    <t>LA VIRGINIA</t>
  </si>
  <si>
    <t>MARSELLA</t>
  </si>
  <si>
    <t>MISTRATÓ</t>
  </si>
  <si>
    <t>PEREIRA</t>
  </si>
  <si>
    <t>PUEBLO RICO</t>
  </si>
  <si>
    <t>QUINCHÍA</t>
  </si>
  <si>
    <t>SANTA ROSA DE CABAL</t>
  </si>
  <si>
    <t>SANTUARIO</t>
  </si>
  <si>
    <t>AGUADA</t>
  </si>
  <si>
    <t>ARATOCA</t>
  </si>
  <si>
    <t>BARICHARA</t>
  </si>
  <si>
    <t>BARRANCABERMEJA</t>
  </si>
  <si>
    <t>BUCARAMANGA</t>
  </si>
  <si>
    <t>CALIFORNIA</t>
  </si>
  <si>
    <t>CAPITANEJO</t>
  </si>
  <si>
    <t>CARCASÍ</t>
  </si>
  <si>
    <t>CEPITÁ</t>
  </si>
  <si>
    <t>CERRITO</t>
  </si>
  <si>
    <t>CHARALÁ</t>
  </si>
  <si>
    <t>CHARTA</t>
  </si>
  <si>
    <t>CHIMA</t>
  </si>
  <si>
    <t>CHIPATÁ</t>
  </si>
  <si>
    <t>CIMITARRA</t>
  </si>
  <si>
    <t>CONFINES</t>
  </si>
  <si>
    <t>CONTRATACIÓN</t>
  </si>
  <si>
    <t>COROMORO</t>
  </si>
  <si>
    <t>CURITÍ</t>
  </si>
  <si>
    <t>EL CARMEN DE CHUCURÍ</t>
  </si>
  <si>
    <t>EL GUACAMAYO</t>
  </si>
  <si>
    <t>EL PLAYÓN</t>
  </si>
  <si>
    <t>ENCINO</t>
  </si>
  <si>
    <t>ENCISO</t>
  </si>
  <si>
    <t>FLORIÁN</t>
  </si>
  <si>
    <t>FLORIDABLANCA</t>
  </si>
  <si>
    <t>GALÁN</t>
  </si>
  <si>
    <t>GÁMBITA</t>
  </si>
  <si>
    <t>GIRÓN</t>
  </si>
  <si>
    <t>GUACA</t>
  </si>
  <si>
    <t>GUAPOTÁ</t>
  </si>
  <si>
    <t>GUAVATÁ</t>
  </si>
  <si>
    <t>GÜEPSA</t>
  </si>
  <si>
    <t>HATO</t>
  </si>
  <si>
    <t>JESÚS MARÍA</t>
  </si>
  <si>
    <t>JORDÁN</t>
  </si>
  <si>
    <t>LA BELLEZA</t>
  </si>
  <si>
    <t>LANDÁZURI</t>
  </si>
  <si>
    <t>LEBRIJA</t>
  </si>
  <si>
    <t>LOS SANTOS</t>
  </si>
  <si>
    <t>MACARAVITA</t>
  </si>
  <si>
    <t>MÁLAGA</t>
  </si>
  <si>
    <t>MATANZA</t>
  </si>
  <si>
    <t>MOGOTES</t>
  </si>
  <si>
    <t>MOLAGAVITA</t>
  </si>
  <si>
    <t>OCAMONTE</t>
  </si>
  <si>
    <t>OIBA</t>
  </si>
  <si>
    <t>ONZAGA</t>
  </si>
  <si>
    <t>PALMAR</t>
  </si>
  <si>
    <t>PALMAS DEL SOCORRO</t>
  </si>
  <si>
    <t>PÁRAMO</t>
  </si>
  <si>
    <t>PIEDECUESTA</t>
  </si>
  <si>
    <t>PINCHOTE</t>
  </si>
  <si>
    <t>PUENTE NACIONAL</t>
  </si>
  <si>
    <t>PUERTO PARRA</t>
  </si>
  <si>
    <t>PUERTO WILCHES</t>
  </si>
  <si>
    <t>SABANA DE TORRES</t>
  </si>
  <si>
    <t>SAN BENITO</t>
  </si>
  <si>
    <t>SAN GIL</t>
  </si>
  <si>
    <t>SAN JOAQUÍN</t>
  </si>
  <si>
    <t>SAN JOSÉ DE MIRANDA</t>
  </si>
  <si>
    <t>SAN VICENTE DE CHUCURÍ</t>
  </si>
  <si>
    <t>SANTA HELENA DEL OPÓN</t>
  </si>
  <si>
    <t>SIMACOTA</t>
  </si>
  <si>
    <t>SOCORRO</t>
  </si>
  <si>
    <t>SUAITA</t>
  </si>
  <si>
    <t>SURATÁ</t>
  </si>
  <si>
    <t>TONA</t>
  </si>
  <si>
    <t>VALLE DE SAN JOSÉ</t>
  </si>
  <si>
    <t>VÉLEZ</t>
  </si>
  <si>
    <t>VETAS</t>
  </si>
  <si>
    <t>ZAPATOCA</t>
  </si>
  <si>
    <t>SIN UBICACIÓN</t>
  </si>
  <si>
    <t>CAIMITO</t>
  </si>
  <si>
    <t>CHALÁN</t>
  </si>
  <si>
    <t>COLOSÓ</t>
  </si>
  <si>
    <t>COROZAL</t>
  </si>
  <si>
    <t>COVEÑAS</t>
  </si>
  <si>
    <t>EL ROBLE</t>
  </si>
  <si>
    <t>GALERAS</t>
  </si>
  <si>
    <t>GUARANDA</t>
  </si>
  <si>
    <t>LOS PALMITOS</t>
  </si>
  <si>
    <t>MAJAGUAL</t>
  </si>
  <si>
    <t>MORROA</t>
  </si>
  <si>
    <t>OVEJAS</t>
  </si>
  <si>
    <t>PALMITO</t>
  </si>
  <si>
    <t>SAMPUÉS</t>
  </si>
  <si>
    <t>SAN BENITO ABAD</t>
  </si>
  <si>
    <t>SAN JOSÉ DE TOLUVIEJO</t>
  </si>
  <si>
    <t>SAN JUAN DE BETULIA</t>
  </si>
  <si>
    <t>SAN LUIS DE SINCÉ</t>
  </si>
  <si>
    <t>SAN MARCOS</t>
  </si>
  <si>
    <t>SAN ONOFRE</t>
  </si>
  <si>
    <t>SANTIAGO DE TOLÚ</t>
  </si>
  <si>
    <t>SINCELEJO</t>
  </si>
  <si>
    <t>TOLIMA</t>
  </si>
  <si>
    <t>ALPUJARRA</t>
  </si>
  <si>
    <t>ALVARADO</t>
  </si>
  <si>
    <t>AMBALEMA</t>
  </si>
  <si>
    <t>ANZOÁTEGUI</t>
  </si>
  <si>
    <t>ARMERO</t>
  </si>
  <si>
    <t>ATACO</t>
  </si>
  <si>
    <t>CAJAMARCA</t>
  </si>
  <si>
    <t>CARMEN DE APICALÁ</t>
  </si>
  <si>
    <t>CASABIANCA</t>
  </si>
  <si>
    <t>CHAPARRAL</t>
  </si>
  <si>
    <t>COELLO</t>
  </si>
  <si>
    <t>COYAIMA</t>
  </si>
  <si>
    <t>CUNDAY</t>
  </si>
  <si>
    <t>DOLORES</t>
  </si>
  <si>
    <t>ESPINAL</t>
  </si>
  <si>
    <t>FALAN</t>
  </si>
  <si>
    <t>FLANDES</t>
  </si>
  <si>
    <t>FRESNO</t>
  </si>
  <si>
    <t>GUAMO</t>
  </si>
  <si>
    <t>HERVEO</t>
  </si>
  <si>
    <t>HONDA</t>
  </si>
  <si>
    <t>IBAGUÉ</t>
  </si>
  <si>
    <t>ICONONZO</t>
  </si>
  <si>
    <t>LÉRIDA</t>
  </si>
  <si>
    <t>LÍBANO</t>
  </si>
  <si>
    <t>MELGAR</t>
  </si>
  <si>
    <t>MURILLO</t>
  </si>
  <si>
    <t>NATAGAIMA</t>
  </si>
  <si>
    <t>ORTEGA</t>
  </si>
  <si>
    <t>PALOCABILDO</t>
  </si>
  <si>
    <t>PIEDRAS</t>
  </si>
  <si>
    <t>PLANADAS</t>
  </si>
  <si>
    <t>PRADO</t>
  </si>
  <si>
    <t>PURIFICACIÓN</t>
  </si>
  <si>
    <t>RIOBLANCO</t>
  </si>
  <si>
    <t>RONCESVALLES</t>
  </si>
  <si>
    <t>ROVIRA</t>
  </si>
  <si>
    <t>SALDAÑA</t>
  </si>
  <si>
    <t>SAN ANTONIO</t>
  </si>
  <si>
    <t>SAN SEBASTIÁN DE MARIQUITA</t>
  </si>
  <si>
    <t>SANTA ISABEL</t>
  </si>
  <si>
    <t>VALLE DE SAN JUAN</t>
  </si>
  <si>
    <t>VENADILLO</t>
  </si>
  <si>
    <t>VILLAHERMOSA</t>
  </si>
  <si>
    <t>VILLARRICA</t>
  </si>
  <si>
    <t>VAUPÉS</t>
  </si>
  <si>
    <t>CARURÚ</t>
  </si>
  <si>
    <t>MITÚ</t>
  </si>
  <si>
    <t>PACOA</t>
  </si>
  <si>
    <t>PAPUNAHUA</t>
  </si>
  <si>
    <t>TARAIRA</t>
  </si>
  <si>
    <t>VAUPÉS-SM</t>
  </si>
  <si>
    <t>YAVARATÉ</t>
  </si>
  <si>
    <t>VICHADA</t>
  </si>
  <si>
    <t>CUMARIBO</t>
  </si>
  <si>
    <t>LA PRIMAVERA</t>
  </si>
  <si>
    <t>PUERTO CARREÑO</t>
  </si>
  <si>
    <t>SANTA ROSALÍA</t>
  </si>
  <si>
    <t>No Reportado</t>
  </si>
  <si>
    <t>ESCENARIO</t>
  </si>
  <si>
    <t>DIME CLINICA NEUROCARDIOVASCULAR S.A.</t>
  </si>
  <si>
    <t>TotalIngresoOperativo</t>
  </si>
  <si>
    <t>Otroscostospornaturaleza</t>
  </si>
  <si>
    <t>Gastosdeventaydistribución</t>
  </si>
  <si>
    <t>Gastosadministrativos</t>
  </si>
  <si>
    <t>Gastosdedepreciación,amortizaciónydeterioro</t>
  </si>
  <si>
    <t>Otrosresultadosoperativosnetos</t>
  </si>
  <si>
    <t>Otrosingresosoperativos</t>
  </si>
  <si>
    <t>Otrosgastosoperativos</t>
  </si>
  <si>
    <t>Gananciaoperativa(EBIT)</t>
  </si>
  <si>
    <t>EBITDA</t>
  </si>
  <si>
    <t>Resultadofinanciero</t>
  </si>
  <si>
    <t>Ingresosfinancieros</t>
  </si>
  <si>
    <t>Otrosingresosfinancieros</t>
  </si>
  <si>
    <t>Gastosfinancieros</t>
  </si>
  <si>
    <t>Otrosgastosfinancieros</t>
  </si>
  <si>
    <t>Otrosresultadosnooperativosnetos</t>
  </si>
  <si>
    <t>Otrosingresos</t>
  </si>
  <si>
    <t>Otrosgastos</t>
  </si>
  <si>
    <t>Gananciasantesdeimpuestos</t>
  </si>
  <si>
    <t>Impuestoalarenta</t>
  </si>
  <si>
    <t>Gananciasdespuésdeimpuestos</t>
  </si>
  <si>
    <t>Ganancia(Pérdida)Neta</t>
  </si>
  <si>
    <t>ActivosTotales</t>
  </si>
  <si>
    <t>Activosnocorrientes</t>
  </si>
  <si>
    <t>Propiedad,plantayequipo</t>
  </si>
  <si>
    <t>Comercialesyotrascuentasacobrarnocorrientes</t>
  </si>
  <si>
    <t>Otrosactivosnocorrientes</t>
  </si>
  <si>
    <t>ActivosCorrientes</t>
  </si>
  <si>
    <t>Comercialesyotrascuentasacobrar</t>
  </si>
  <si>
    <t>Otroscréditoscorrientes</t>
  </si>
  <si>
    <t>Activosfinancierosdecortoplazo</t>
  </si>
  <si>
    <t>EfectivooEquivalentes</t>
  </si>
  <si>
    <t>OtrosActivosCorrientes</t>
  </si>
  <si>
    <t>Totaldepatrimonioypasivos</t>
  </si>
  <si>
    <t>Totaldepatrimonio</t>
  </si>
  <si>
    <t>Patrimonionetoatribuiblealospropietariosdelacontroladora</t>
  </si>
  <si>
    <t>CapitalSuscrito</t>
  </si>
  <si>
    <t>Otrasreservas</t>
  </si>
  <si>
    <t>Resultadosacumulados</t>
  </si>
  <si>
    <t>GananciaoPérdidadelPeriodo</t>
  </si>
  <si>
    <t>PasivosTotales</t>
  </si>
  <si>
    <t>Pasivosnocorrientes</t>
  </si>
  <si>
    <t>Provisionesparaotrospasivosygastos</t>
  </si>
  <si>
    <t>Otrospasivosnocorrientes</t>
  </si>
  <si>
    <t>PasivosCorrientes</t>
  </si>
  <si>
    <t>Comercialesyotrascuentasapagar</t>
  </si>
  <si>
    <t>CuentasComercialesporpagar</t>
  </si>
  <si>
    <t>Otrascuentasporpagarcorrientes</t>
  </si>
  <si>
    <t>Otrospasivoscorrientes</t>
  </si>
  <si>
    <t>Ingresosnetosporventas</t>
  </si>
  <si>
    <t>Gastosporbeneficiosdelosempleado</t>
  </si>
  <si>
    <t>Costosdetransporte</t>
  </si>
  <si>
    <t>Impuestoycontribuciones</t>
  </si>
  <si>
    <t>Gastosporintereses</t>
  </si>
  <si>
    <t>Activosintangiblesyvalorllave</t>
  </si>
  <si>
    <t>Activosdiferidos</t>
  </si>
  <si>
    <t>Cuentascomercialesporcobrar</t>
  </si>
  <si>
    <t>Cuentasporcobrarapartesrelacionadas</t>
  </si>
  <si>
    <t>Créditosdudosos</t>
  </si>
  <si>
    <t>Créditosdeimpuestos</t>
  </si>
  <si>
    <t>Pagosanticipados,ingresosdevengadosyotrosactivoscirculantesdiferidos</t>
  </si>
  <si>
    <t>Primadeemisión</t>
  </si>
  <si>
    <t>Otroscomponentesdelpatrimonio</t>
  </si>
  <si>
    <t>Créditosypréstamoscorrientes</t>
  </si>
  <si>
    <t>Cuentasporpagarapartesrelacionadas</t>
  </si>
  <si>
    <t>Pasivoscorrientesporimpuestoalarenta</t>
  </si>
  <si>
    <t>Pérdidaporfluctuacióncambiaria</t>
  </si>
  <si>
    <t>Cambiosdebidoalaconsolidación</t>
  </si>
  <si>
    <t>Otrascuentasporpagarnocorrientes</t>
  </si>
  <si>
    <t>Activosfinancierosalargoplazo</t>
  </si>
  <si>
    <t>Propiedadesdeinversión</t>
  </si>
  <si>
    <t>Inventarios</t>
  </si>
  <si>
    <t>Instrumentosfinancierosderivados</t>
  </si>
  <si>
    <t>Otrosinventarios</t>
  </si>
  <si>
    <t>Menores de un año</t>
  </si>
  <si>
    <t>1-4 años</t>
  </si>
  <si>
    <t>5-14 años</t>
  </si>
  <si>
    <t>45-49 años</t>
  </si>
  <si>
    <t>50-54 años</t>
  </si>
  <si>
    <t>55-59 años</t>
  </si>
  <si>
    <t>60-64 años</t>
  </si>
  <si>
    <t>65-69 años</t>
  </si>
  <si>
    <t>70-74 años</t>
  </si>
  <si>
    <t>75 años y mayores</t>
  </si>
  <si>
    <t>15-18 años</t>
  </si>
  <si>
    <t>19-44 años</t>
  </si>
  <si>
    <t>Regimen</t>
  </si>
  <si>
    <t>2025</t>
  </si>
  <si>
    <t>REGIMEN</t>
  </si>
  <si>
    <t>GRUPOEDAD</t>
  </si>
  <si>
    <t>CAPITAL SALUD</t>
  </si>
  <si>
    <t>UTILIDADNETA</t>
  </si>
  <si>
    <t>IMPUESTOS</t>
  </si>
  <si>
    <t>UTILIDADANTESDEIMPUESTOS</t>
  </si>
  <si>
    <t>GASTOSFINANCIEROS</t>
  </si>
  <si>
    <t>INGRESOSFINANCIEROS</t>
  </si>
  <si>
    <t>UTILIDADOPERACIONAL</t>
  </si>
  <si>
    <t>GASTOSTOTALES</t>
  </si>
  <si>
    <t>OtrosGastosdeadministración</t>
  </si>
  <si>
    <t>Depreciacionesyamortizaciones</t>
  </si>
  <si>
    <t>DeteriorodeCartera</t>
  </si>
  <si>
    <t>HonorariosAdministrativos</t>
  </si>
  <si>
    <t>NominaAdministrativa</t>
  </si>
  <si>
    <t>OTROSINGRESOS</t>
  </si>
  <si>
    <t>UTILIDADBRUTA</t>
  </si>
  <si>
    <t>COSTOS</t>
  </si>
  <si>
    <t>Depreciaciones</t>
  </si>
  <si>
    <t>CostosIndirectosdeFabricación</t>
  </si>
  <si>
    <t>CostosDirectos</t>
  </si>
  <si>
    <t>HonorariosdeProductividad</t>
  </si>
  <si>
    <t>HonorariosMédicos</t>
  </si>
  <si>
    <t>NominaAsistencial</t>
  </si>
  <si>
    <t>Insumos</t>
  </si>
  <si>
    <t>INGRESOS</t>
  </si>
  <si>
    <t>ESTADODERESULTADOSBOGOTÁ(Cifrasenmillones)</t>
  </si>
  <si>
    <t/>
  </si>
  <si>
    <t>EDAD</t>
  </si>
  <si>
    <t>Pacientes</t>
  </si>
  <si>
    <t>Angiografos</t>
  </si>
  <si>
    <t>Tipo Angiografo</t>
  </si>
  <si>
    <t>UCI</t>
  </si>
  <si>
    <t>UCI Intermedia</t>
  </si>
  <si>
    <t>Hospitalización</t>
  </si>
  <si>
    <t>Total</t>
  </si>
  <si>
    <t xml:space="preserve">Quirofanos </t>
  </si>
  <si>
    <t>Salas Intervencionismo</t>
  </si>
  <si>
    <t>Fuente</t>
  </si>
  <si>
    <t>Angiografo con tecnología robótica</t>
  </si>
  <si>
    <t>Informes de Sostenibilidad - Fundación Valle del Lili</t>
  </si>
  <si>
    <t>Angiógrafo monoplano marca Siemens y Angiógrafo con el sistema biplano</t>
  </si>
  <si>
    <t>Angiografía | Clínica Imbanaco</t>
  </si>
  <si>
    <t>Angiógrafo Biplano</t>
  </si>
  <si>
    <t>Dime Clinica Neurocardiovascular S.A.</t>
  </si>
  <si>
    <t>Angiógrafo Biplano Philips Azurion 7 B20/15</t>
  </si>
  <si>
    <t>IG&amp;S 2024 - Terminado V01</t>
  </si>
  <si>
    <t>1 Siemens y 1 marca GE</t>
  </si>
  <si>
    <t>ESTADOS FINANCIEROS</t>
  </si>
  <si>
    <t>TASA X CADA 10.000 AFILIADOS</t>
  </si>
  <si>
    <t>RECLAMOS</t>
  </si>
  <si>
    <t>ASMET SALUD EPS</t>
  </si>
  <si>
    <t>SALUD TOTAL</t>
  </si>
  <si>
    <t>COMFENALCO VALLE</t>
  </si>
  <si>
    <t>SANITAS</t>
  </si>
  <si>
    <t>SOS</t>
  </si>
  <si>
    <t>SURA</t>
  </si>
  <si>
    <t>RATIO INTERVENCIONES</t>
  </si>
  <si>
    <t>TARIFAS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</si>
</sst>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&quot;$&quot;\ #,##0"/>
    <numFmt numFmtId="166" formatCode="&quot;$&quot;\ #,##0.0"/>
    <numFmt numFmtId="167" formatCode="_-&quot;$&quot;\ * #,##0_-;\-&quot;$&quot;\ * #,##0_-;_-&quot;$&quot;\ * &quot;-&quot;??_-;_-@_-"/>
    <numFmt numFmtId="172" formatCode="_(* #,##0.0000_);_(* \(#,##0.0000\);_(* &quot;-&quot;??_);_(@_)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rgb="FF305496"/>
      <name val="Calibri"/>
      <family val="2"/>
    </font>
    <font>
      <b/>
      <sz val="10"/>
      <color rgb="FF757171"/>
      <name val="Calibri"/>
      <family val="2"/>
    </font>
    <font>
      <sz val="10"/>
      <color rgb="FF000000"/>
      <name val="Calibri"/>
      <family val="2"/>
    </font>
    <font>
      <b/>
      <sz val="10"/>
      <color rgb="FF1F4E78"/>
      <name val="Calibri"/>
      <family val="2"/>
    </font>
    <font>
      <b/>
      <sz val="10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color rgb="FF242424"/>
      <name val="Aptos Narrow"/>
      <charset val="1"/>
    </font>
    <font>
      <i/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u/>
      <sz val="11"/>
      <color rgb="FF000000"/>
      <name val="Calibri"/>
      <scheme val="minor"/>
    </font>
    <font>
      <sz val="10"/>
      <color rgb="FF000000"/>
      <name val="Calibri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color theme="8" tint="-0.499984740745262"/>
      <name val="Calibri"/>
      <family val="2"/>
      <scheme val="minor"/>
    </font>
    <font>
      <b/>
      <sz val="8"/>
      <color theme="2" tint="-0.499984740745262"/>
      <name val="Calibri"/>
      <family val="2"/>
      <scheme val="minor"/>
    </font>
    <font>
      <b/>
      <sz val="9"/>
      <color theme="2" tint="-0.499984740745262"/>
      <name val="Calibri"/>
      <family val="2"/>
      <scheme val="minor"/>
    </font>
    <font>
      <b/>
      <sz val="8"/>
      <color theme="8" tint="-0.499984740745262"/>
      <name val="Calibri"/>
      <family val="2"/>
      <scheme val="minor"/>
    </font>
    <font>
      <sz val="8"/>
      <color theme="2" tint="-0.499984740745262"/>
      <name val="Calibri"/>
      <family val="2"/>
      <scheme val="minor"/>
    </font>
    <font>
      <sz val="9"/>
      <color theme="0" tint="-0.499984740745262"/>
      <name val="Calibri"/>
      <family val="2"/>
      <scheme val="minor"/>
    </font>
    <font>
      <sz val="9"/>
      <color theme="2" tint="-0.499984740745262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0"/>
      <color theme="0"/>
      <name val="Calibri"/>
    </font>
    <font>
      <b/>
      <sz val="10"/>
      <color theme="0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203764"/>
        <bgColor rgb="FF000000"/>
      </patternFill>
    </fill>
    <fill>
      <patternFill patternType="solid">
        <fgColor rgb="FF30549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E1E5EB"/>
        <bgColor rgb="FF000000"/>
      </patternFill>
    </fill>
    <fill>
      <patternFill patternType="solid">
        <fgColor rgb="FFF7F7F7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32B4A8"/>
        <bgColor indexed="64"/>
      </patternFill>
    </fill>
    <fill>
      <patternFill patternType="solid">
        <fgColor rgb="FF32B4A8"/>
        <bgColor theme="4" tint="0.79998168889431442"/>
      </patternFill>
    </fill>
    <fill>
      <patternFill patternType="solid">
        <fgColor rgb="FFD7DDE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37B9B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/>
      <right style="dashed">
        <color theme="0" tint="-0.14999847407452621"/>
      </right>
      <top/>
      <bottom/>
      <diagonal/>
    </border>
    <border>
      <left/>
      <right/>
      <top/>
      <bottom style="dashed">
        <color theme="0" tint="-0.14999847407452621"/>
      </bottom>
      <diagonal/>
    </border>
    <border>
      <left/>
      <right style="dashed">
        <color theme="0" tint="-0.14999847407452621"/>
      </right>
      <top/>
      <bottom style="dashed">
        <color theme="0" tint="-0.1499984740745262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8EA9DB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</cellStyleXfs>
  <cellXfs count="123">
    <xf numFmtId="0" fontId="0" fillId="0" borderId="0" xfId="0"/>
    <xf numFmtId="0" fontId="2" fillId="0" borderId="0" xfId="0" applyFont="1" applyAlignment="1">
      <alignment horizontal="center"/>
    </xf>
    <xf numFmtId="4" fontId="0" fillId="0" borderId="0" xfId="0" applyNumberFormat="1"/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2" xfId="0" applyFont="1" applyBorder="1"/>
    <xf numFmtId="0" fontId="0" fillId="0" borderId="1" xfId="0" applyBorder="1"/>
    <xf numFmtId="164" fontId="0" fillId="0" borderId="0" xfId="0" applyNumberFormat="1"/>
    <xf numFmtId="164" fontId="0" fillId="0" borderId="1" xfId="0" applyNumberFormat="1" applyBorder="1"/>
    <xf numFmtId="0" fontId="0" fillId="0" borderId="3" xfId="0" applyBorder="1"/>
    <xf numFmtId="164" fontId="0" fillId="0" borderId="2" xfId="0" applyNumberFormat="1" applyBorder="1"/>
    <xf numFmtId="164" fontId="0" fillId="0" borderId="3" xfId="0" applyNumberFormat="1" applyBorder="1"/>
    <xf numFmtId="0" fontId="3" fillId="0" borderId="0" xfId="0" applyFont="1"/>
    <xf numFmtId="164" fontId="3" fillId="0" borderId="0" xfId="0" applyNumberFormat="1" applyFont="1"/>
    <xf numFmtId="9" fontId="0" fillId="0" borderId="0" xfId="0" applyNumberFormat="1"/>
    <xf numFmtId="0" fontId="4" fillId="2" borderId="0" xfId="0" applyFont="1" applyFill="1" applyAlignment="1">
      <alignment horizontal="center" vertical="center" wrapText="1"/>
    </xf>
    <xf numFmtId="17" fontId="4" fillId="3" borderId="0" xfId="0" applyNumberFormat="1" applyFont="1" applyFill="1" applyAlignment="1">
      <alignment horizontal="center" vertical="center" wrapText="1"/>
    </xf>
    <xf numFmtId="17" fontId="5" fillId="4" borderId="0" xfId="0" applyNumberFormat="1" applyFont="1" applyFill="1" applyAlignment="1">
      <alignment horizontal="center" vertical="center" wrapText="1"/>
    </xf>
    <xf numFmtId="17" fontId="4" fillId="5" borderId="0" xfId="0" applyNumberFormat="1" applyFont="1" applyFill="1" applyAlignment="1">
      <alignment horizontal="center" vertical="center" wrapText="1"/>
    </xf>
    <xf numFmtId="17" fontId="4" fillId="5" borderId="4" xfId="0" applyNumberFormat="1" applyFont="1" applyFill="1" applyBorder="1" applyAlignment="1">
      <alignment horizontal="center" vertical="center" wrapText="1"/>
    </xf>
    <xf numFmtId="17" fontId="4" fillId="6" borderId="0" xfId="0" applyNumberFormat="1" applyFont="1" applyFill="1" applyAlignment="1">
      <alignment horizontal="center" vertical="center" wrapText="1"/>
    </xf>
    <xf numFmtId="17" fontId="4" fillId="7" borderId="0" xfId="0" applyNumberFormat="1" applyFont="1" applyFill="1" applyAlignment="1">
      <alignment horizontal="center" vertical="center" wrapText="1"/>
    </xf>
    <xf numFmtId="0" fontId="6" fillId="0" borderId="0" xfId="0" applyFont="1"/>
    <xf numFmtId="165" fontId="7" fillId="0" borderId="0" xfId="2" applyNumberFormat="1" applyFont="1" applyFill="1" applyBorder="1"/>
    <xf numFmtId="165" fontId="7" fillId="0" borderId="4" xfId="2" applyNumberFormat="1" applyFont="1" applyFill="1" applyBorder="1"/>
    <xf numFmtId="165" fontId="7" fillId="8" borderId="0" xfId="2" applyNumberFormat="1" applyFont="1" applyFill="1" applyBorder="1"/>
    <xf numFmtId="165" fontId="7" fillId="8" borderId="4" xfId="2" applyNumberFormat="1" applyFont="1" applyFill="1" applyBorder="1"/>
    <xf numFmtId="0" fontId="8" fillId="0" borderId="0" xfId="0" applyFont="1"/>
    <xf numFmtId="165" fontId="9" fillId="9" borderId="0" xfId="2" applyNumberFormat="1" applyFont="1" applyFill="1" applyBorder="1"/>
    <xf numFmtId="165" fontId="9" fillId="9" borderId="4" xfId="2" applyNumberFormat="1" applyFont="1" applyFill="1" applyBorder="1"/>
    <xf numFmtId="165" fontId="9" fillId="10" borderId="0" xfId="2" applyNumberFormat="1" applyFont="1" applyFill="1" applyBorder="1"/>
    <xf numFmtId="165" fontId="9" fillId="11" borderId="0" xfId="2" applyNumberFormat="1" applyFont="1" applyFill="1" applyBorder="1"/>
    <xf numFmtId="165" fontId="9" fillId="11" borderId="4" xfId="2" applyNumberFormat="1" applyFont="1" applyFill="1" applyBorder="1"/>
    <xf numFmtId="166" fontId="9" fillId="9" borderId="0" xfId="2" applyNumberFormat="1" applyFont="1" applyFill="1" applyBorder="1"/>
    <xf numFmtId="0" fontId="10" fillId="0" borderId="0" xfId="0" applyFont="1"/>
    <xf numFmtId="9" fontId="10" fillId="0" borderId="0" xfId="1" applyFont="1" applyFill="1" applyBorder="1"/>
    <xf numFmtId="0" fontId="10" fillId="0" borderId="4" xfId="0" applyFont="1" applyBorder="1"/>
    <xf numFmtId="167" fontId="10" fillId="0" borderId="0" xfId="3" applyNumberFormat="1" applyFont="1" applyFill="1" applyBorder="1"/>
    <xf numFmtId="9" fontId="9" fillId="0" borderId="0" xfId="1" applyFont="1" applyFill="1" applyBorder="1"/>
    <xf numFmtId="9" fontId="9" fillId="0" borderId="4" xfId="1" applyFont="1" applyFill="1" applyBorder="1"/>
    <xf numFmtId="10" fontId="9" fillId="0" borderId="0" xfId="1" applyNumberFormat="1" applyFont="1" applyFill="1" applyBorder="1"/>
    <xf numFmtId="167" fontId="10" fillId="0" borderId="0" xfId="0" applyNumberFormat="1" applyFont="1"/>
    <xf numFmtId="165" fontId="10" fillId="0" borderId="0" xfId="0" applyNumberFormat="1" applyFont="1"/>
    <xf numFmtId="165" fontId="7" fillId="12" borderId="0" xfId="2" applyNumberFormat="1" applyFont="1" applyFill="1" applyBorder="1"/>
    <xf numFmtId="10" fontId="9" fillId="0" borderId="4" xfId="1" applyNumberFormat="1" applyFont="1" applyFill="1" applyBorder="1"/>
    <xf numFmtId="44" fontId="0" fillId="0" borderId="0" xfId="3" applyFont="1"/>
    <xf numFmtId="0" fontId="11" fillId="0" borderId="0" xfId="0" applyFont="1" applyAlignment="1">
      <alignment vertical="center"/>
    </xf>
    <xf numFmtId="0" fontId="11" fillId="13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3" fontId="12" fillId="0" borderId="0" xfId="0" applyNumberFormat="1" applyFont="1"/>
    <xf numFmtId="8" fontId="12" fillId="0" borderId="0" xfId="0" applyNumberFormat="1" applyFont="1"/>
    <xf numFmtId="9" fontId="12" fillId="0" borderId="0" xfId="0" applyNumberFormat="1" applyFont="1"/>
    <xf numFmtId="8" fontId="12" fillId="14" borderId="0" xfId="0" applyNumberFormat="1" applyFont="1" applyFill="1"/>
    <xf numFmtId="8" fontId="12" fillId="15" borderId="0" xfId="0" applyNumberFormat="1" applyFont="1" applyFill="1"/>
    <xf numFmtId="0" fontId="12" fillId="14" borderId="0" xfId="0" applyFont="1" applyFill="1"/>
    <xf numFmtId="0" fontId="12" fillId="16" borderId="0" xfId="0" applyFont="1" applyFill="1"/>
    <xf numFmtId="0" fontId="13" fillId="0" borderId="0" xfId="0" applyFont="1"/>
    <xf numFmtId="0" fontId="14" fillId="17" borderId="0" xfId="0" applyFont="1" applyFill="1"/>
    <xf numFmtId="0" fontId="15" fillId="0" borderId="0" xfId="0" applyFont="1"/>
    <xf numFmtId="0" fontId="16" fillId="17" borderId="0" xfId="0" applyFont="1" applyFill="1"/>
    <xf numFmtId="0" fontId="18" fillId="0" borderId="0" xfId="0" applyFont="1" applyAlignment="1">
      <alignment vertical="center"/>
    </xf>
    <xf numFmtId="164" fontId="18" fillId="0" borderId="0" xfId="0" applyNumberFormat="1" applyFont="1" applyAlignment="1">
      <alignment vertical="center"/>
    </xf>
    <xf numFmtId="10" fontId="18" fillId="0" borderId="0" xfId="0" applyNumberFormat="1" applyFont="1" applyAlignment="1">
      <alignment vertical="center"/>
    </xf>
    <xf numFmtId="10" fontId="18" fillId="0" borderId="0" xfId="0" applyNumberFormat="1" applyFont="1" applyAlignment="1">
      <alignment vertical="center" wrapText="1"/>
    </xf>
    <xf numFmtId="164" fontId="18" fillId="0" borderId="0" xfId="0" applyNumberFormat="1" applyFont="1"/>
    <xf numFmtId="3" fontId="0" fillId="0" borderId="0" xfId="0" applyNumberFormat="1"/>
    <xf numFmtId="0" fontId="0" fillId="0" borderId="0" xfId="0" applyAlignment="1">
      <alignment horizontal="left"/>
    </xf>
    <xf numFmtId="0" fontId="19" fillId="18" borderId="0" xfId="0" applyFont="1" applyFill="1" applyAlignment="1">
      <alignment horizontal="center" vertical="center" wrapText="1"/>
    </xf>
    <xf numFmtId="0" fontId="19" fillId="18" borderId="0" xfId="0" applyFont="1" applyFill="1" applyAlignment="1">
      <alignment horizontal="center"/>
    </xf>
    <xf numFmtId="0" fontId="19" fillId="19" borderId="6" xfId="0" applyFont="1" applyFill="1" applyBorder="1" applyAlignment="1">
      <alignment horizontal="center" vertical="center" wrapText="1"/>
    </xf>
    <xf numFmtId="0" fontId="19" fillId="19" borderId="6" xfId="0" applyFont="1" applyFill="1" applyBorder="1" applyAlignment="1">
      <alignment horizontal="center"/>
    </xf>
    <xf numFmtId="0" fontId="19" fillId="19" borderId="6" xfId="0" applyFont="1" applyFill="1" applyBorder="1"/>
    <xf numFmtId="165" fontId="21" fillId="20" borderId="0" xfId="2" applyNumberFormat="1" applyFont="1" applyFill="1" applyBorder="1"/>
    <xf numFmtId="0" fontId="22" fillId="0" borderId="0" xfId="0" applyFont="1"/>
    <xf numFmtId="165" fontId="23" fillId="21" borderId="0" xfId="2" applyNumberFormat="1" applyFont="1" applyFill="1" applyBorder="1" applyAlignment="1">
      <alignment vertical="center"/>
    </xf>
    <xf numFmtId="0" fontId="24" fillId="0" borderId="0" xfId="0" applyFont="1"/>
    <xf numFmtId="0" fontId="25" fillId="0" borderId="0" xfId="0" applyFont="1"/>
    <xf numFmtId="165" fontId="26" fillId="0" borderId="0" xfId="2" applyNumberFormat="1" applyFont="1" applyFill="1" applyBorder="1" applyAlignment="1">
      <alignment vertical="center"/>
    </xf>
    <xf numFmtId="0" fontId="27" fillId="0" borderId="0" xfId="0" applyFont="1"/>
    <xf numFmtId="165" fontId="26" fillId="21" borderId="0" xfId="2" applyNumberFormat="1" applyFont="1" applyFill="1" applyBorder="1" applyAlignment="1">
      <alignment vertical="center"/>
    </xf>
    <xf numFmtId="0" fontId="28" fillId="0" borderId="0" xfId="0" applyFont="1"/>
    <xf numFmtId="0" fontId="27" fillId="0" borderId="0" xfId="0" applyFont="1" applyAlignment="1">
      <alignment vertical="center"/>
    </xf>
    <xf numFmtId="165" fontId="26" fillId="21" borderId="0" xfId="2" applyNumberFormat="1" applyFont="1" applyFill="1" applyBorder="1"/>
    <xf numFmtId="0" fontId="29" fillId="22" borderId="0" xfId="0" applyFont="1" applyFill="1" applyAlignment="1">
      <alignment horizontal="center" vertical="center" wrapText="1"/>
    </xf>
    <xf numFmtId="0" fontId="30" fillId="23" borderId="0" xfId="0" applyFont="1" applyFill="1" applyAlignment="1">
      <alignment horizontal="center" vertical="center" wrapText="1"/>
    </xf>
    <xf numFmtId="0" fontId="31" fillId="0" borderId="0" xfId="0" applyFont="1" applyAlignment="1">
      <alignment vertical="center"/>
    </xf>
    <xf numFmtId="0" fontId="31" fillId="13" borderId="0" xfId="0" applyFont="1" applyFill="1" applyAlignment="1">
      <alignment horizontal="center" vertical="center" wrapText="1"/>
    </xf>
    <xf numFmtId="164" fontId="10" fillId="0" borderId="0" xfId="0" applyNumberFormat="1" applyFont="1"/>
    <xf numFmtId="44" fontId="10" fillId="0" borderId="0" xfId="3" applyFont="1" applyFill="1" applyBorder="1"/>
    <xf numFmtId="0" fontId="10" fillId="16" borderId="0" xfId="0" applyFont="1" applyFill="1"/>
    <xf numFmtId="2" fontId="0" fillId="0" borderId="0" xfId="0" applyNumberFormat="1" applyAlignment="1">
      <alignment horizontal="left"/>
    </xf>
    <xf numFmtId="0" fontId="0" fillId="24" borderId="7" xfId="0" applyFill="1" applyBorder="1" applyAlignment="1">
      <alignment horizontal="center" vertical="center"/>
    </xf>
    <xf numFmtId="0" fontId="3" fillId="24" borderId="7" xfId="0" applyFont="1" applyFill="1" applyBorder="1" applyAlignment="1">
      <alignment horizontal="center" vertical="center"/>
    </xf>
    <xf numFmtId="0" fontId="3" fillId="24" borderId="8" xfId="0" applyFont="1" applyFill="1" applyBorder="1" applyAlignment="1">
      <alignment horizontal="center" vertical="center"/>
    </xf>
    <xf numFmtId="0" fontId="3" fillId="25" borderId="9" xfId="0" applyFont="1" applyFill="1" applyBorder="1" applyAlignment="1">
      <alignment horizontal="center" vertical="center"/>
    </xf>
    <xf numFmtId="0" fontId="3" fillId="26" borderId="9" xfId="0" applyFont="1" applyFill="1" applyBorder="1" applyAlignment="1">
      <alignment horizontal="center" vertical="center"/>
    </xf>
    <xf numFmtId="0" fontId="3" fillId="27" borderId="10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24" borderId="7" xfId="0" applyFill="1" applyBorder="1" applyAlignment="1">
      <alignment vertical="center"/>
    </xf>
    <xf numFmtId="0" fontId="0" fillId="24" borderId="8" xfId="0" applyFill="1" applyBorder="1" applyAlignment="1">
      <alignment vertical="center" wrapText="1"/>
    </xf>
    <xf numFmtId="0" fontId="0" fillId="25" borderId="10" xfId="0" applyFill="1" applyBorder="1" applyAlignment="1">
      <alignment vertical="center"/>
    </xf>
    <xf numFmtId="0" fontId="0" fillId="26" borderId="10" xfId="0" applyFill="1" applyBorder="1" applyAlignment="1">
      <alignment vertical="center"/>
    </xf>
    <xf numFmtId="0" fontId="0" fillId="27" borderId="9" xfId="0" applyFill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32" fillId="0" borderId="7" xfId="5" applyBorder="1" applyAlignment="1">
      <alignment vertical="center" wrapText="1"/>
    </xf>
    <xf numFmtId="0" fontId="0" fillId="25" borderId="12" xfId="0" applyFill="1" applyBorder="1" applyAlignment="1">
      <alignment vertical="center"/>
    </xf>
    <xf numFmtId="0" fontId="0" fillId="26" borderId="12" xfId="0" applyFill="1" applyBorder="1" applyAlignment="1">
      <alignment vertical="center"/>
    </xf>
    <xf numFmtId="0" fontId="0" fillId="27" borderId="13" xfId="0" applyFill="1" applyBorder="1" applyAlignment="1">
      <alignment vertical="center"/>
    </xf>
    <xf numFmtId="0" fontId="32" fillId="0" borderId="7" xfId="4" applyBorder="1" applyAlignment="1">
      <alignment vertical="center" wrapText="1"/>
    </xf>
    <xf numFmtId="0" fontId="0" fillId="0" borderId="8" xfId="0" applyBorder="1" applyAlignment="1">
      <alignment vertical="center"/>
    </xf>
    <xf numFmtId="0" fontId="0" fillId="25" borderId="14" xfId="0" applyFill="1" applyBorder="1" applyAlignment="1">
      <alignment vertical="center"/>
    </xf>
    <xf numFmtId="0" fontId="0" fillId="26" borderId="14" xfId="0" applyFill="1" applyBorder="1" applyAlignment="1">
      <alignment vertical="center"/>
    </xf>
    <xf numFmtId="0" fontId="0" fillId="27" borderId="15" xfId="0" applyFill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3" fillId="23" borderId="5" xfId="0" applyFont="1" applyFill="1" applyBorder="1" applyAlignment="1">
      <alignment horizontal="center" vertical="center"/>
    </xf>
    <xf numFmtId="172" fontId="18" fillId="0" borderId="0" xfId="0" applyNumberFormat="1" applyFont="1" applyAlignment="1">
      <alignment vertical="center"/>
    </xf>
    <xf numFmtId="0" fontId="34" fillId="23" borderId="5" xfId="0" applyFont="1" applyFill="1" applyBorder="1" applyAlignment="1">
      <alignment horizontal="center" vertical="center"/>
    </xf>
  </cellXfs>
  <cellStyles count="6">
    <cellStyle name="Hipervínculo" xfId="4" builtinId="8"/>
    <cellStyle name="Hyperlink" xfId="5" xr:uid="{B9242A3F-F93D-496C-A353-76E114819B8B}"/>
    <cellStyle name="Millares" xfId="2" builtinId="3"/>
    <cellStyle name="Moneda" xfId="3" builtinId="4"/>
    <cellStyle name="Normal" xfId="0" builtinId="0"/>
    <cellStyle name="Porcentaje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72" formatCode="_(* #,##0.0000_);_(* \(#,##0.000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numFmt numFmtId="3" formatCode="#,##0"/>
      <alignment horizontal="left" vertical="bottom" textRotation="0" wrapText="0" indent="0" justifyLastLine="0" shrinkToFit="0" readingOrder="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horizontal="left" vertical="bottom" textRotation="0" wrapText="0" indent="0" justifyLastLine="0" shrinkToFit="0" readingOrder="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scheme val="none"/>
      </font>
      <fill>
        <patternFill patternType="solid">
          <fgColor rgb="FF000000"/>
          <bgColor rgb="FF002060"/>
        </patternFill>
      </fill>
      <alignment horizontal="center" vertical="center" textRotation="0" wrapText="0" indent="0" justifyLastLine="0" shrinkToFit="0" readingOrder="0"/>
    </dxf>
    <dxf>
      <numFmt numFmtId="164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rigitte Ricaurte - Líder Planeacion Financiero" id="{B509611B-83F8-4785-A7F9-742EEEB164AD}" userId="S::brigitte.ricaurte@institutodelcorazon.com::3bab851f-7dc9-49ee-a996-f425eedfd96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DC823-D917-4E30-91C4-E6462CAC9970}" name="Tabla1" displayName="Tabla1" ref="A1:C11" totalsRowShown="0">
  <autoFilter ref="A1:C11" xr:uid="{55DDC823-D917-4E30-91C4-E6462CAC9970}"/>
  <tableColumns count="3">
    <tableColumn id="1" xr3:uid="{0C9F4360-0EF9-4611-841D-AFB6F0FC75A2}" name="EPS"/>
    <tableColumn id="2" xr3:uid="{427334C7-3595-4ABF-8031-58772A4E1A4E}" name="TASA X CADA 10.000 AFILIADOS"/>
    <tableColumn id="3" xr3:uid="{5CB6C2FE-F943-4962-BDF9-9D2F986FAC9E}" name="RECLAMOS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7D6523-A70C-469E-9145-3EBC6025BD15}" name="Tabla5" displayName="Tabla5" ref="A1:H43" totalsRowShown="0" headerRowDxfId="24" dataDxfId="23">
  <autoFilter ref="A1:H43" xr:uid="{107D6523-A70C-469E-9145-3EBC6025BD15}"/>
  <tableColumns count="8">
    <tableColumn id="1" xr3:uid="{F290E482-21B1-46F0-9037-4A6D76F069A6}" name="ESCENARIO"/>
    <tableColumn id="2" xr3:uid="{958E87F8-A6E6-422F-AFC5-31325A47AE28}" name="SERVICIO" dataDxfId="22"/>
    <tableColumn id="3" xr3:uid="{FAF339D7-0227-4126-A81C-FFEFBA172F62}" name="TARIFAS" dataDxfId="21"/>
    <tableColumn id="4" xr3:uid="{1BCAC56B-C0BA-4B73-AEF3-D7BC5493BEC1}" name="PACIENTES" dataDxfId="20"/>
    <tableColumn id="5" xr3:uid="{EBC21360-C620-49D8-BE87-275C6A052F89}" name="% PACIENTES" dataDxfId="19"/>
    <tableColumn id="6" xr3:uid="{13F5055B-F2A3-44A8-A447-90D2B5EEE343}" name="PACIENTES VALLE DEL CAUCA" dataDxfId="2"/>
    <tableColumn id="7" xr3:uid="{957DFBDB-A639-48C8-A0D3-46F893A5D500}" name="RATIO INTERVENCIONES" dataDxfId="0"/>
    <tableColumn id="8" xr3:uid="{6ADDCF5D-9FBE-4787-AE91-0CB7EC15F27F}" name="INTERVENCIONES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1D71A2B-217E-4CCE-97E5-F21E4EC248E5}" name="EPS_Afiliados" displayName="EPS_Afiliados" ref="A1:H5451" totalsRowShown="0">
  <autoFilter ref="A1:H5451" xr:uid="{11D71A2B-217E-4CCE-97E5-F21E4EC248E5}">
    <filterColumn colId="0">
      <filters>
        <filter val="VALLE DEL CAUCA"/>
      </filters>
    </filterColumn>
  </autoFilter>
  <tableColumns count="8">
    <tableColumn id="1" xr3:uid="{56AEE38A-5C92-470F-908C-8F069F930C82}" name="Departamento"/>
    <tableColumn id="2" xr3:uid="{19879E67-6803-441B-A959-2F87682EFD7C}" name="Municipio"/>
    <tableColumn id="3" xr3:uid="{7C4C1E37-7A47-4CDE-AC78-1059C99856EE}" name="EPS"/>
    <tableColumn id="4" xr3:uid="{697E975F-1B9A-4F07-B769-4E409F374BB1}" name="Afiliados CONTRIBUTIVO" dataDxfId="18"/>
    <tableColumn id="5" xr3:uid="{BAFDA98A-C37E-47E1-B147-EB508EA8C59F}" name="Afiliados ESPECIALES/EXCEPCIÓN" dataDxfId="17"/>
    <tableColumn id="6" xr3:uid="{3A5ED05C-35AB-4B79-A146-39CB8AB9505B}" name="Afiliados SUBSIDIADO" dataDxfId="16"/>
    <tableColumn id="7" xr3:uid="{D6EEF0E3-EC91-45FF-8C7E-4A81C6F8AE84}" name="TOTAL AFILIADOS" dataDxfId="15"/>
    <tableColumn id="11" xr3:uid="{284F8FD5-99DB-4535-8212-6E2669C24D7E}" name="Intervenida?" dataDxfId="14">
      <calculatedColumnFormula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9564AB-B30E-4CA1-826B-146C1700401D}" name="EPS_Edad" displayName="EPS_Edad" ref="A1:H8680" totalsRowShown="0">
  <autoFilter ref="A1:H8680" xr:uid="{779564AB-B30E-4CA1-826B-146C1700401D}"/>
  <tableColumns count="8">
    <tableColumn id="1" xr3:uid="{2C8AC27F-B680-4803-B799-EE6943F74D0B}" name="DEPARTAMENTO"/>
    <tableColumn id="2" xr3:uid="{E7536673-17E9-417B-A1C2-F12988E4B346}" name="EPS"/>
    <tableColumn id="3" xr3:uid="{2EAE4C6A-6F8C-4846-B26C-1F9862240ED2}" name="REGIMEN"/>
    <tableColumn id="4" xr3:uid="{99D0D529-BDAA-4D54-94F1-65B43797DE7B}" name="GRUPOEDAD"/>
    <tableColumn id="5" xr3:uid="{4DD0649C-DF29-429E-9B6F-48E87B64725E}" name="FEMENINO" dataDxfId="13"/>
    <tableColumn id="6" xr3:uid="{F7EC32AC-C9A2-4679-BDF4-813D5409B503}" name="MASCULINO" dataDxfId="12"/>
    <tableColumn id="8" xr3:uid="{841F178E-039E-4C37-8375-82688B1523D3}" name="TOTAL AFILIADOS" dataDxfId="11"/>
    <tableColumn id="9" xr3:uid="{9E8D0B22-6FF5-4D6D-8399-55237370A19E}" name="Intervenida?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AAA19-4BD8-4F3A-825B-C91A8B646B9C}" name="Tabla2" displayName="Tabla2" ref="A1:H14" totalsRowShown="0">
  <autoFilter ref="A1:H14" xr:uid="{FB0AAA19-4BD8-4F3A-825B-C91A8B646B9C}"/>
  <sortState xmlns:xlrd2="http://schemas.microsoft.com/office/spreadsheetml/2017/richdata2" ref="A2:G14">
    <sortCondition ref="A1:A14"/>
  </sortState>
  <tableColumns count="8">
    <tableColumn id="1" xr3:uid="{D5A107DC-617E-45F6-94C9-27B9962D4D5A}" name="EPS" dataDxfId="10"/>
    <tableColumn id="2" xr3:uid="{CFED29BC-9794-414F-887C-CD10387876E6}" name="2019" dataDxfId="9"/>
    <tableColumn id="3" xr3:uid="{2B2D2A44-09EC-41F2-8F69-1DDEA886284A}" name="2020" dataDxfId="8"/>
    <tableColumn id="4" xr3:uid="{E522F6B5-04EA-47AF-A38B-E36638F70F4F}" name="2021" dataDxfId="7"/>
    <tableColumn id="5" xr3:uid="{6E01D4DC-60BE-4525-B25F-6A62D4A61589}" name="2022" dataDxfId="6"/>
    <tableColumn id="6" xr3:uid="{21718D96-ECBD-4188-9C71-2CFCEA61C95B}" name="2023" dataDxfId="5"/>
    <tableColumn id="7" xr3:uid="{C68926B9-E915-48FB-8283-086914BD379C}" name="2024" dataDxfId="4"/>
    <tableColumn id="8" xr3:uid="{1DA8F967-D672-4625-A1C6-A44B718E5BB8}" name="2025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" dT="2026-02-06T19:21:13.98" personId="{B509611B-83F8-4785-A7F9-742EEEB164AD}" id="{677B27EC-59C7-4E13-AEC8-D9222A82308B}">
    <text>Valle del Lili ofrece beca de 100% de la matrícula a los admitidos en las residencias ya que tienen exclusividad de la residencia con la fundación.</text>
  </threadedComment>
</ThreadedComment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me.com.co/wp-content/uploads/2025/04/DIME-Clinica-Neurocardiovascular-Informe-de-Gestion-y-Sostenibilidad-2024.pdf" TargetMode="External"/><Relationship Id="rId2" Type="http://schemas.openxmlformats.org/officeDocument/2006/relationships/hyperlink" Target="https://www.imbanaco.com/es_CO/unidades-y-servicios/angiografia" TargetMode="External"/><Relationship Id="rId1" Type="http://schemas.openxmlformats.org/officeDocument/2006/relationships/hyperlink" Target="https://valledellili.org/nuestra-institucion/informes-de-sostenibilidad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2DF78-D714-49CE-A348-1858C29D38D2}">
  <dimension ref="B1:D25"/>
  <sheetViews>
    <sheetView showGridLines="0" zoomScale="117" workbookViewId="0">
      <selection activeCell="E5" sqref="E5"/>
    </sheetView>
  </sheetViews>
  <sheetFormatPr baseColWidth="10" defaultRowHeight="14.4" x14ac:dyDescent="0.3"/>
  <cols>
    <col min="2" max="2" width="37.88671875" customWidth="1"/>
  </cols>
  <sheetData>
    <row r="1" spans="2:4" x14ac:dyDescent="0.3">
      <c r="B1" s="87" t="s">
        <v>1689</v>
      </c>
      <c r="C1" s="86">
        <v>2024</v>
      </c>
      <c r="D1" s="86">
        <v>2025</v>
      </c>
    </row>
    <row r="2" spans="2:4" x14ac:dyDescent="0.3">
      <c r="B2" s="78" t="s">
        <v>1688</v>
      </c>
      <c r="C2" s="77">
        <v>32485.487778429997</v>
      </c>
      <c r="D2" s="77">
        <v>41408.390392000001</v>
      </c>
    </row>
    <row r="3" spans="2:4" x14ac:dyDescent="0.3">
      <c r="B3" s="84" t="s">
        <v>1687</v>
      </c>
      <c r="C3" s="82">
        <v>8184.5423381000346</v>
      </c>
      <c r="D3" s="82">
        <v>10541.037993779992</v>
      </c>
    </row>
    <row r="4" spans="2:4" x14ac:dyDescent="0.3">
      <c r="B4" s="84" t="s">
        <v>1686</v>
      </c>
      <c r="C4" s="82">
        <v>10196.214050999999</v>
      </c>
      <c r="D4" s="82">
        <v>11701.502633999999</v>
      </c>
    </row>
    <row r="5" spans="2:4" x14ac:dyDescent="0.3">
      <c r="B5" s="84" t="s">
        <v>1685</v>
      </c>
      <c r="C5" s="82">
        <v>1780.7758789100001</v>
      </c>
      <c r="D5" s="82">
        <v>2470.9375724000006</v>
      </c>
    </row>
    <row r="6" spans="2:4" x14ac:dyDescent="0.3">
      <c r="B6" s="84" t="s">
        <v>1684</v>
      </c>
      <c r="C6" s="82">
        <v>876.25366808000012</v>
      </c>
      <c r="D6" s="82">
        <v>1113.7496576000001</v>
      </c>
    </row>
    <row r="7" spans="2:4" x14ac:dyDescent="0.3">
      <c r="B7" s="84" t="s">
        <v>1683</v>
      </c>
      <c r="C7" s="85">
        <v>764.31691375999992</v>
      </c>
      <c r="D7" s="85">
        <v>900.68263152999987</v>
      </c>
    </row>
    <row r="8" spans="2:4" x14ac:dyDescent="0.3">
      <c r="B8" s="84" t="s">
        <v>1682</v>
      </c>
      <c r="C8" s="85">
        <v>1482.4431993500002</v>
      </c>
      <c r="D8" s="85">
        <v>1744.7893593900001</v>
      </c>
    </row>
    <row r="9" spans="2:4" x14ac:dyDescent="0.3">
      <c r="B9" s="84" t="s">
        <v>1681</v>
      </c>
      <c r="C9" s="82">
        <v>999.7199245999999</v>
      </c>
      <c r="D9" s="82">
        <v>935.86986158000002</v>
      </c>
    </row>
    <row r="10" spans="2:4" x14ac:dyDescent="0.3">
      <c r="B10" s="78" t="s">
        <v>1680</v>
      </c>
      <c r="C10" s="77">
        <f>SUM(C3:C9)</f>
        <v>24284.265973800033</v>
      </c>
      <c r="D10" s="77">
        <f>SUM(D3:D9)</f>
        <v>29408.569710279993</v>
      </c>
    </row>
    <row r="11" spans="2:4" x14ac:dyDescent="0.3">
      <c r="B11" s="76" t="s">
        <v>1679</v>
      </c>
      <c r="C11" s="75">
        <f>+C2-C10</f>
        <v>8201.221804629964</v>
      </c>
      <c r="D11" s="75">
        <f>+D2-D10</f>
        <v>11999.820681720008</v>
      </c>
    </row>
    <row r="12" spans="2:4" x14ac:dyDescent="0.3">
      <c r="B12" s="78" t="s">
        <v>1678</v>
      </c>
      <c r="C12" s="77">
        <v>2755.3500782800006</v>
      </c>
      <c r="D12" s="77">
        <v>3385.408066</v>
      </c>
    </row>
    <row r="13" spans="2:4" x14ac:dyDescent="0.3">
      <c r="B13" s="81" t="s">
        <v>1677</v>
      </c>
      <c r="C13" s="82">
        <v>2100.6025399999999</v>
      </c>
      <c r="D13" s="82">
        <v>2590.0018638399997</v>
      </c>
    </row>
    <row r="14" spans="2:4" x14ac:dyDescent="0.3">
      <c r="B14" s="81" t="s">
        <v>1676</v>
      </c>
      <c r="C14" s="82">
        <v>522.01785763000009</v>
      </c>
      <c r="D14" s="82">
        <v>466.15569332999996</v>
      </c>
    </row>
    <row r="15" spans="2:4" x14ac:dyDescent="0.3">
      <c r="B15" s="81" t="s">
        <v>1675</v>
      </c>
      <c r="C15" s="82">
        <v>1632.4425419799998</v>
      </c>
      <c r="D15" s="82">
        <v>1738.6915724999999</v>
      </c>
    </row>
    <row r="16" spans="2:4" x14ac:dyDescent="0.3">
      <c r="B16" s="83" t="s">
        <v>1674</v>
      </c>
      <c r="C16" s="82">
        <v>420.43350361</v>
      </c>
      <c r="D16" s="82">
        <v>346.40484200000003</v>
      </c>
    </row>
    <row r="17" spans="2:4" x14ac:dyDescent="0.3">
      <c r="B17" s="81" t="s">
        <v>1673</v>
      </c>
      <c r="C17" s="80">
        <v>1271.4809028899999</v>
      </c>
      <c r="D17" s="80">
        <v>1800.4212393100001</v>
      </c>
    </row>
    <row r="18" spans="2:4" x14ac:dyDescent="0.3">
      <c r="B18" s="78" t="s">
        <v>1672</v>
      </c>
      <c r="C18" s="77">
        <f>SUM(C13:C17)</f>
        <v>5946.9773461099994</v>
      </c>
      <c r="D18" s="77">
        <f>SUM(D13:D17)</f>
        <v>6941.67521098</v>
      </c>
    </row>
    <row r="19" spans="2:4" x14ac:dyDescent="0.3">
      <c r="B19" s="79" t="s">
        <v>1584</v>
      </c>
      <c r="C19" s="75">
        <f>+C20+C16+C9</f>
        <v>6429.7479650099649</v>
      </c>
      <c r="D19" s="75">
        <f>+D20+D16+D9</f>
        <v>9725.8282403200083</v>
      </c>
    </row>
    <row r="20" spans="2:4" x14ac:dyDescent="0.3">
      <c r="B20" s="76" t="s">
        <v>1671</v>
      </c>
      <c r="C20" s="75">
        <f>+C11+C12-C18</f>
        <v>5009.5945367999648</v>
      </c>
      <c r="D20" s="75">
        <f>+D11+D12-D18</f>
        <v>8443.553536740008</v>
      </c>
    </row>
    <row r="21" spans="2:4" x14ac:dyDescent="0.3">
      <c r="B21" s="78" t="s">
        <v>1670</v>
      </c>
      <c r="C21" s="77">
        <v>408.23545465152716</v>
      </c>
      <c r="D21" s="77">
        <v>458.59694321095873</v>
      </c>
    </row>
    <row r="22" spans="2:4" x14ac:dyDescent="0.3">
      <c r="B22" s="78" t="s">
        <v>1669</v>
      </c>
      <c r="C22" s="77">
        <v>1144.29184906</v>
      </c>
      <c r="D22" s="77">
        <v>838.25316973999998</v>
      </c>
    </row>
    <row r="23" spans="2:4" x14ac:dyDescent="0.3">
      <c r="B23" s="76" t="s">
        <v>1668</v>
      </c>
      <c r="C23" s="75">
        <f>+C20+C21-C22</f>
        <v>4273.5381423914914</v>
      </c>
      <c r="D23" s="75">
        <f>+D20+D21-D22</f>
        <v>8063.8973102109676</v>
      </c>
    </row>
    <row r="24" spans="2:4" x14ac:dyDescent="0.3">
      <c r="B24" s="78" t="s">
        <v>1667</v>
      </c>
      <c r="C24" s="77">
        <v>1707.5383570257943</v>
      </c>
      <c r="D24" s="77">
        <v>2612.4273252194653</v>
      </c>
    </row>
    <row r="25" spans="2:4" x14ac:dyDescent="0.3">
      <c r="B25" s="76" t="s">
        <v>1666</v>
      </c>
      <c r="C25" s="75">
        <f>+C23-C24</f>
        <v>2565.9997853656969</v>
      </c>
      <c r="D25" s="75">
        <f>+D23-D24</f>
        <v>5451.4699849915023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9DBED-BC28-4076-AF01-837A8F7A3050}">
  <dimension ref="A1:C25"/>
  <sheetViews>
    <sheetView workbookViewId="0">
      <selection activeCell="E5" sqref="E5"/>
    </sheetView>
  </sheetViews>
  <sheetFormatPr baseColWidth="10" defaultRowHeight="14.4" x14ac:dyDescent="0.3"/>
  <cols>
    <col min="1" max="1" width="50.44140625" customWidth="1"/>
  </cols>
  <sheetData>
    <row r="1" spans="1:3" x14ac:dyDescent="0.3">
      <c r="A1" s="87" t="s">
        <v>1689</v>
      </c>
      <c r="B1" s="86">
        <v>2024</v>
      </c>
      <c r="C1" s="86">
        <v>2025</v>
      </c>
    </row>
    <row r="2" spans="1:3" x14ac:dyDescent="0.3">
      <c r="A2" s="78" t="s">
        <v>1688</v>
      </c>
      <c r="B2" s="77">
        <v>34561.375987210005</v>
      </c>
      <c r="C2" s="77">
        <v>54021.982236000003</v>
      </c>
    </row>
    <row r="3" spans="1:3" x14ac:dyDescent="0.3">
      <c r="A3" s="84" t="s">
        <v>1687</v>
      </c>
      <c r="B3" s="82">
        <v>6930.913206669964</v>
      </c>
      <c r="C3" s="82">
        <v>15145.216969589992</v>
      </c>
    </row>
    <row r="4" spans="1:3" x14ac:dyDescent="0.3">
      <c r="A4" s="84" t="s">
        <v>1686</v>
      </c>
      <c r="B4" s="82">
        <v>7956.6905469999992</v>
      </c>
      <c r="C4" s="82">
        <v>8862.1173699999999</v>
      </c>
    </row>
    <row r="5" spans="1:3" x14ac:dyDescent="0.3">
      <c r="A5" s="84" t="s">
        <v>1685</v>
      </c>
      <c r="B5" s="82">
        <v>3393.6795898</v>
      </c>
      <c r="C5" s="82">
        <v>5471.4551817999991</v>
      </c>
    </row>
    <row r="6" spans="1:3" x14ac:dyDescent="0.3">
      <c r="A6" s="84" t="s">
        <v>1684</v>
      </c>
      <c r="B6" s="82">
        <v>575.70515739000007</v>
      </c>
      <c r="C6" s="82">
        <v>591.9312592</v>
      </c>
    </row>
    <row r="7" spans="1:3" x14ac:dyDescent="0.3">
      <c r="A7" s="84" t="s">
        <v>1683</v>
      </c>
      <c r="B7" s="85">
        <v>1495.0445965900001</v>
      </c>
      <c r="C7" s="85">
        <v>1417.0957471000002</v>
      </c>
    </row>
    <row r="8" spans="1:3" x14ac:dyDescent="0.3">
      <c r="A8" s="84" t="s">
        <v>1682</v>
      </c>
      <c r="B8" s="85">
        <v>1048.1263485999998</v>
      </c>
      <c r="C8" s="85">
        <v>1188.58283684</v>
      </c>
    </row>
    <row r="9" spans="1:3" x14ac:dyDescent="0.3">
      <c r="A9" s="84" t="s">
        <v>1681</v>
      </c>
      <c r="B9" s="82">
        <v>658.65581757999985</v>
      </c>
      <c r="C9" s="82">
        <v>487.08253421999996</v>
      </c>
    </row>
    <row r="10" spans="1:3" x14ac:dyDescent="0.3">
      <c r="A10" s="78" t="s">
        <v>1680</v>
      </c>
      <c r="B10" s="77">
        <f>SUM(B3:B9)</f>
        <v>22058.81526362996</v>
      </c>
      <c r="C10" s="77">
        <f>SUM(C3:C9)</f>
        <v>33163.481898749989</v>
      </c>
    </row>
    <row r="11" spans="1:3" x14ac:dyDescent="0.3">
      <c r="A11" s="76" t="s">
        <v>1679</v>
      </c>
      <c r="B11" s="75">
        <f>+B2-B10</f>
        <v>12502.560723580045</v>
      </c>
      <c r="C11" s="75">
        <f>+C2-C10</f>
        <v>20858.500337250014</v>
      </c>
    </row>
    <row r="12" spans="1:3" x14ac:dyDescent="0.3">
      <c r="A12" s="78" t="s">
        <v>1678</v>
      </c>
      <c r="B12" s="77">
        <v>319.07900090999993</v>
      </c>
      <c r="C12" s="77">
        <v>660.88498582</v>
      </c>
    </row>
    <row r="13" spans="1:3" x14ac:dyDescent="0.3">
      <c r="A13" s="81" t="s">
        <v>1677</v>
      </c>
      <c r="B13" s="82">
        <v>2121.4751740000002</v>
      </c>
      <c r="C13" s="82">
        <v>2348.7435540000001</v>
      </c>
    </row>
    <row r="14" spans="1:3" x14ac:dyDescent="0.3">
      <c r="A14" s="81" t="s">
        <v>1676</v>
      </c>
      <c r="B14" s="82">
        <v>431.65652387</v>
      </c>
      <c r="C14" s="82">
        <v>458.70140060999995</v>
      </c>
    </row>
    <row r="15" spans="1:3" x14ac:dyDescent="0.3">
      <c r="A15" s="81" t="s">
        <v>1675</v>
      </c>
      <c r="B15" s="82">
        <v>1382.1032113200001</v>
      </c>
      <c r="C15" s="82">
        <v>526.20356480999999</v>
      </c>
    </row>
    <row r="16" spans="1:3" x14ac:dyDescent="0.3">
      <c r="A16" s="83" t="s">
        <v>1674</v>
      </c>
      <c r="B16" s="82">
        <v>261.39524582000001</v>
      </c>
      <c r="C16" s="82">
        <v>134.43459499999997</v>
      </c>
    </row>
    <row r="17" spans="1:3" x14ac:dyDescent="0.3">
      <c r="A17" s="81" t="s">
        <v>1673</v>
      </c>
      <c r="B17" s="80">
        <v>1742.9566579799998</v>
      </c>
      <c r="C17" s="80">
        <v>1229.9899960099997</v>
      </c>
    </row>
    <row r="18" spans="1:3" x14ac:dyDescent="0.3">
      <c r="A18" s="78" t="s">
        <v>1672</v>
      </c>
      <c r="B18" s="77">
        <f>SUM(B13:B17)</f>
        <v>5939.5868129900009</v>
      </c>
      <c r="C18" s="77">
        <f>SUM(C13:C17)</f>
        <v>4698.0731104299994</v>
      </c>
    </row>
    <row r="19" spans="1:3" x14ac:dyDescent="0.3">
      <c r="A19" s="79" t="s">
        <v>1584</v>
      </c>
      <c r="B19" s="75">
        <f>+B20+B16+B9</f>
        <v>7802.1039749000447</v>
      </c>
      <c r="C19" s="75">
        <f>+C20+C16+C9</f>
        <v>17442.829341860015</v>
      </c>
    </row>
    <row r="20" spans="1:3" x14ac:dyDescent="0.3">
      <c r="A20" s="76" t="s">
        <v>1671</v>
      </c>
      <c r="B20" s="75">
        <f>+B11+B12-B18</f>
        <v>6882.0529115000445</v>
      </c>
      <c r="C20" s="75">
        <f>+C11+C12-C18</f>
        <v>16821.312212640016</v>
      </c>
    </row>
    <row r="21" spans="1:3" x14ac:dyDescent="0.3">
      <c r="A21" s="78" t="s">
        <v>1670</v>
      </c>
      <c r="B21" s="77">
        <v>463.59302916303159</v>
      </c>
      <c r="C21" s="77">
        <v>476.27011478904137</v>
      </c>
    </row>
    <row r="22" spans="1:3" x14ac:dyDescent="0.3">
      <c r="A22" s="78" t="s">
        <v>1669</v>
      </c>
      <c r="B22" s="77">
        <v>295.39967149</v>
      </c>
      <c r="C22" s="77">
        <v>929.75450211999987</v>
      </c>
    </row>
    <row r="23" spans="1:3" x14ac:dyDescent="0.3">
      <c r="A23" s="76" t="s">
        <v>1668</v>
      </c>
      <c r="B23" s="75">
        <f>+B20+B21-B22</f>
        <v>7050.2462691730761</v>
      </c>
      <c r="C23" s="75">
        <f>+C20+C21-C22</f>
        <v>16367.827825309056</v>
      </c>
    </row>
    <row r="24" spans="1:3" x14ac:dyDescent="0.3">
      <c r="A24" s="78" t="s">
        <v>1667</v>
      </c>
      <c r="B24" s="77">
        <v>2643.3650535385468</v>
      </c>
      <c r="C24" s="77">
        <v>5436.0650017570706</v>
      </c>
    </row>
    <row r="25" spans="1:3" x14ac:dyDescent="0.3">
      <c r="A25" s="76" t="s">
        <v>1666</v>
      </c>
      <c r="B25" s="75">
        <f>+B23-B24</f>
        <v>4406.8812156345293</v>
      </c>
      <c r="C25" s="75">
        <f>+C23-C24</f>
        <v>10931.762823551984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158B8-8D5B-478D-99D9-8D660538EC1C}">
  <sheetPr filterMode="1"/>
  <dimension ref="A1:I614"/>
  <sheetViews>
    <sheetView zoomScale="82" workbookViewId="0">
      <selection activeCell="D576" sqref="D576"/>
    </sheetView>
  </sheetViews>
  <sheetFormatPr baseColWidth="10" defaultColWidth="8.88671875" defaultRowHeight="14.4" x14ac:dyDescent="0.3"/>
  <cols>
    <col min="1" max="1" width="22" customWidth="1"/>
    <col min="2" max="2" width="12" customWidth="1"/>
    <col min="3" max="3" width="55" customWidth="1"/>
    <col min="4" max="9" width="14" customWidth="1"/>
  </cols>
  <sheetData>
    <row r="1" spans="1:9" x14ac:dyDescent="0.3">
      <c r="A1" s="1" t="s">
        <v>1</v>
      </c>
      <c r="B1" s="1" t="s">
        <v>165</v>
      </c>
      <c r="C1" s="1" t="s">
        <v>92</v>
      </c>
      <c r="D1" s="1">
        <v>2024</v>
      </c>
      <c r="E1" s="1" t="s">
        <v>94</v>
      </c>
      <c r="F1" s="1" t="s">
        <v>95</v>
      </c>
      <c r="G1" s="1" t="s">
        <v>96</v>
      </c>
      <c r="H1" s="1" t="s">
        <v>97</v>
      </c>
      <c r="I1" s="1" t="s">
        <v>98</v>
      </c>
    </row>
    <row r="2" spans="1:9" hidden="1" x14ac:dyDescent="0.3">
      <c r="A2" t="s">
        <v>1665</v>
      </c>
      <c r="B2" t="s">
        <v>92</v>
      </c>
      <c r="C2" t="s">
        <v>1575</v>
      </c>
      <c r="D2">
        <v>2129956.9</v>
      </c>
      <c r="E2">
        <v>1955662.95</v>
      </c>
      <c r="F2">
        <v>1699990.11</v>
      </c>
      <c r="G2">
        <v>1596129.84</v>
      </c>
      <c r="H2">
        <v>1338671.76</v>
      </c>
      <c r="I2">
        <v>1258077.79</v>
      </c>
    </row>
    <row r="3" spans="1:9" hidden="1" x14ac:dyDescent="0.3">
      <c r="A3" t="s">
        <v>1665</v>
      </c>
      <c r="B3" t="s">
        <v>92</v>
      </c>
      <c r="C3" t="s">
        <v>1576</v>
      </c>
      <c r="D3">
        <v>2213610</v>
      </c>
      <c r="E3">
        <v>1990240</v>
      </c>
      <c r="F3">
        <v>1718825</v>
      </c>
      <c r="G3">
        <v>1634261</v>
      </c>
      <c r="H3">
        <v>1401485</v>
      </c>
      <c r="I3">
        <v>1315874</v>
      </c>
    </row>
    <row r="4" spans="1:9" hidden="1" x14ac:dyDescent="0.3">
      <c r="A4" t="s">
        <v>1665</v>
      </c>
      <c r="B4" t="s">
        <v>92</v>
      </c>
      <c r="C4" t="s">
        <v>1577</v>
      </c>
      <c r="D4">
        <v>0</v>
      </c>
      <c r="E4">
        <v>0</v>
      </c>
      <c r="F4">
        <v>0</v>
      </c>
      <c r="G4">
        <v>0</v>
      </c>
      <c r="H4">
        <v>0</v>
      </c>
      <c r="I4">
        <v>4430.22</v>
      </c>
    </row>
    <row r="5" spans="1:9" hidden="1" x14ac:dyDescent="0.3">
      <c r="A5" t="s">
        <v>1665</v>
      </c>
      <c r="B5" t="s">
        <v>92</v>
      </c>
      <c r="C5" t="s">
        <v>1578</v>
      </c>
      <c r="D5">
        <v>105322.66</v>
      </c>
      <c r="E5">
        <v>84028.1</v>
      </c>
      <c r="F5">
        <v>60657.55</v>
      </c>
      <c r="G5">
        <v>55404.01</v>
      </c>
      <c r="H5">
        <v>71851.820000000007</v>
      </c>
      <c r="I5">
        <v>28463.200000000001</v>
      </c>
    </row>
    <row r="6" spans="1:9" hidden="1" x14ac:dyDescent="0.3">
      <c r="A6" t="s">
        <v>1665</v>
      </c>
      <c r="B6" t="s">
        <v>92</v>
      </c>
      <c r="C6" t="s">
        <v>1579</v>
      </c>
      <c r="D6">
        <v>122112.97</v>
      </c>
      <c r="E6">
        <v>65246.61</v>
      </c>
      <c r="F6">
        <v>48312.93</v>
      </c>
      <c r="G6">
        <v>114685.42</v>
      </c>
      <c r="H6">
        <v>35288.75</v>
      </c>
      <c r="I6">
        <v>52416.79</v>
      </c>
    </row>
    <row r="7" spans="1:9" hidden="1" x14ac:dyDescent="0.3">
      <c r="A7" t="s">
        <v>1665</v>
      </c>
      <c r="B7" t="s">
        <v>92</v>
      </c>
      <c r="C7" t="s">
        <v>1580</v>
      </c>
      <c r="D7">
        <v>-2101404.4300000002</v>
      </c>
      <c r="E7">
        <v>-1941654.47</v>
      </c>
      <c r="F7">
        <v>-1688866.73</v>
      </c>
      <c r="G7">
        <v>-1533135</v>
      </c>
      <c r="H7">
        <v>-1380877.92</v>
      </c>
      <c r="I7">
        <v>-1267428.2</v>
      </c>
    </row>
    <row r="8" spans="1:9" hidden="1" x14ac:dyDescent="0.3">
      <c r="A8" t="s">
        <v>1665</v>
      </c>
      <c r="B8" t="s">
        <v>92</v>
      </c>
      <c r="C8" t="s">
        <v>1581</v>
      </c>
      <c r="D8">
        <v>0</v>
      </c>
      <c r="E8">
        <v>647.73</v>
      </c>
      <c r="F8">
        <v>0</v>
      </c>
      <c r="G8">
        <v>0</v>
      </c>
      <c r="H8">
        <v>0</v>
      </c>
      <c r="I8">
        <v>0</v>
      </c>
    </row>
    <row r="9" spans="1:9" hidden="1" x14ac:dyDescent="0.3">
      <c r="A9" t="s">
        <v>1665</v>
      </c>
      <c r="B9" t="s">
        <v>92</v>
      </c>
      <c r="C9" t="s">
        <v>1582</v>
      </c>
      <c r="D9">
        <v>2101404.4300000002</v>
      </c>
      <c r="E9">
        <v>1942302.2</v>
      </c>
      <c r="F9">
        <v>1688866.73</v>
      </c>
      <c r="G9">
        <v>1533135</v>
      </c>
      <c r="H9">
        <v>1380877.92</v>
      </c>
      <c r="I9">
        <v>1267428.2</v>
      </c>
    </row>
    <row r="10" spans="1:9" hidden="1" x14ac:dyDescent="0.3">
      <c r="A10" t="s">
        <v>1665</v>
      </c>
      <c r="B10" t="s">
        <v>92</v>
      </c>
      <c r="C10" t="s">
        <v>1583</v>
      </c>
      <c r="D10">
        <v>-198883.17</v>
      </c>
      <c r="E10">
        <v>-135913.95000000001</v>
      </c>
      <c r="F10">
        <v>-97847.11</v>
      </c>
      <c r="G10">
        <v>-107094.58</v>
      </c>
      <c r="H10">
        <v>-149346.73000000001</v>
      </c>
      <c r="I10">
        <v>-94660.62</v>
      </c>
    </row>
    <row r="11" spans="1:9" hidden="1" x14ac:dyDescent="0.3">
      <c r="A11" t="s">
        <v>1665</v>
      </c>
      <c r="B11" t="s">
        <v>92</v>
      </c>
      <c r="C11" t="s">
        <v>1584</v>
      </c>
      <c r="D11">
        <v>-76770.19</v>
      </c>
      <c r="E11">
        <v>-70667.34</v>
      </c>
      <c r="F11">
        <v>-49534.17</v>
      </c>
      <c r="G11">
        <v>7590.84</v>
      </c>
      <c r="H11">
        <v>-114057.98</v>
      </c>
      <c r="I11">
        <v>-42243.83</v>
      </c>
    </row>
    <row r="12" spans="1:9" hidden="1" x14ac:dyDescent="0.3">
      <c r="A12" t="s">
        <v>1665</v>
      </c>
      <c r="B12" t="s">
        <v>92</v>
      </c>
      <c r="C12" t="s">
        <v>1585</v>
      </c>
      <c r="D12">
        <v>31705.11</v>
      </c>
      <c r="E12">
        <v>43154.98</v>
      </c>
      <c r="F12">
        <v>29777.41</v>
      </c>
      <c r="G12">
        <v>6686.3</v>
      </c>
      <c r="H12">
        <v>9663.1</v>
      </c>
      <c r="I12">
        <v>8949.58</v>
      </c>
    </row>
    <row r="13" spans="1:9" hidden="1" x14ac:dyDescent="0.3">
      <c r="A13" t="s">
        <v>1665</v>
      </c>
      <c r="B13" t="s">
        <v>92</v>
      </c>
      <c r="C13" t="s">
        <v>1586</v>
      </c>
      <c r="D13">
        <v>31705.11</v>
      </c>
      <c r="E13">
        <v>43155.06</v>
      </c>
      <c r="F13">
        <v>29778.52</v>
      </c>
      <c r="G13">
        <v>6780.22</v>
      </c>
      <c r="H13">
        <v>9735.66</v>
      </c>
      <c r="I13">
        <v>9066.07</v>
      </c>
    </row>
    <row r="14" spans="1:9" hidden="1" x14ac:dyDescent="0.3">
      <c r="A14" t="s">
        <v>1665</v>
      </c>
      <c r="B14" t="s">
        <v>92</v>
      </c>
      <c r="C14" t="s">
        <v>1587</v>
      </c>
      <c r="D14">
        <v>31705.11</v>
      </c>
      <c r="E14">
        <v>43155.06</v>
      </c>
      <c r="F14">
        <v>29778.52</v>
      </c>
      <c r="G14">
        <v>6780.22</v>
      </c>
      <c r="H14">
        <v>9735.66</v>
      </c>
      <c r="I14">
        <v>9066.07</v>
      </c>
    </row>
    <row r="15" spans="1:9" hidden="1" x14ac:dyDescent="0.3">
      <c r="A15" t="s">
        <v>1665</v>
      </c>
      <c r="B15" t="s">
        <v>92</v>
      </c>
      <c r="C15" t="s">
        <v>1588</v>
      </c>
      <c r="D15">
        <v>0</v>
      </c>
      <c r="E15">
        <v>0.08</v>
      </c>
      <c r="F15">
        <v>1.1000000000000001</v>
      </c>
      <c r="G15">
        <v>93.93</v>
      </c>
      <c r="H15">
        <v>72.56</v>
      </c>
      <c r="I15">
        <v>116.49</v>
      </c>
    </row>
    <row r="16" spans="1:9" hidden="1" x14ac:dyDescent="0.3">
      <c r="A16" t="s">
        <v>1665</v>
      </c>
      <c r="B16" t="s">
        <v>92</v>
      </c>
      <c r="C16" t="s">
        <v>1589</v>
      </c>
      <c r="D16">
        <v>0</v>
      </c>
      <c r="E16">
        <v>0.08</v>
      </c>
      <c r="F16">
        <v>1.1000000000000001</v>
      </c>
      <c r="G16">
        <v>93.93</v>
      </c>
      <c r="H16">
        <v>72.56</v>
      </c>
      <c r="I16">
        <v>116.49</v>
      </c>
    </row>
    <row r="17" spans="1:9" hidden="1" x14ac:dyDescent="0.3">
      <c r="A17" t="s">
        <v>1665</v>
      </c>
      <c r="B17" t="s">
        <v>92</v>
      </c>
      <c r="C17" t="s">
        <v>1590</v>
      </c>
      <c r="D17">
        <v>6753.09</v>
      </c>
      <c r="E17">
        <v>-19623.689999999999</v>
      </c>
      <c r="F17">
        <v>73490.92</v>
      </c>
      <c r="G17">
        <v>90286.98</v>
      </c>
      <c r="H17">
        <v>122797.79</v>
      </c>
      <c r="I17">
        <v>42993.61</v>
      </c>
    </row>
    <row r="18" spans="1:9" hidden="1" x14ac:dyDescent="0.3">
      <c r="A18" t="s">
        <v>1665</v>
      </c>
      <c r="B18" t="s">
        <v>92</v>
      </c>
      <c r="C18" t="s">
        <v>1591</v>
      </c>
      <c r="D18">
        <v>13711.07</v>
      </c>
      <c r="E18">
        <v>17038.47</v>
      </c>
      <c r="F18">
        <v>107638.73</v>
      </c>
      <c r="G18">
        <v>96957.58</v>
      </c>
      <c r="H18">
        <v>123325.63</v>
      </c>
      <c r="I18">
        <v>43463.03</v>
      </c>
    </row>
    <row r="19" spans="1:9" hidden="1" x14ac:dyDescent="0.3">
      <c r="A19" t="s">
        <v>1665</v>
      </c>
      <c r="B19" t="s">
        <v>92</v>
      </c>
      <c r="C19" t="s">
        <v>1592</v>
      </c>
      <c r="D19">
        <v>6957.98</v>
      </c>
      <c r="E19">
        <v>36662.160000000003</v>
      </c>
      <c r="F19">
        <v>34147.81</v>
      </c>
      <c r="G19">
        <v>6670.61</v>
      </c>
      <c r="H19">
        <v>527.84</v>
      </c>
      <c r="I19">
        <v>469.42</v>
      </c>
    </row>
    <row r="20" spans="1:9" hidden="1" x14ac:dyDescent="0.3">
      <c r="A20" t="s">
        <v>1665</v>
      </c>
      <c r="B20" t="s">
        <v>92</v>
      </c>
      <c r="C20" t="s">
        <v>1593</v>
      </c>
      <c r="D20">
        <v>-94118.2</v>
      </c>
      <c r="E20">
        <v>-90235.63</v>
      </c>
      <c r="F20">
        <v>5421.23</v>
      </c>
      <c r="G20">
        <v>-10121.299999999999</v>
      </c>
      <c r="H20">
        <v>-16885.84</v>
      </c>
      <c r="I20">
        <v>-42717.43</v>
      </c>
    </row>
    <row r="21" spans="1:9" hidden="1" x14ac:dyDescent="0.3">
      <c r="A21" t="s">
        <v>1665</v>
      </c>
      <c r="B21" t="s">
        <v>92</v>
      </c>
      <c r="C21" t="s">
        <v>1594</v>
      </c>
      <c r="D21">
        <v>24630.76</v>
      </c>
      <c r="E21">
        <v>90696.78</v>
      </c>
      <c r="F21">
        <v>-4777.28</v>
      </c>
      <c r="G21">
        <v>-975.74</v>
      </c>
      <c r="H21">
        <v>2725.4</v>
      </c>
      <c r="I21">
        <v>0</v>
      </c>
    </row>
    <row r="22" spans="1:9" hidden="1" x14ac:dyDescent="0.3">
      <c r="A22" t="s">
        <v>1665</v>
      </c>
      <c r="B22" t="s">
        <v>92</v>
      </c>
      <c r="C22" t="s">
        <v>1595</v>
      </c>
      <c r="D22">
        <v>-69487.44</v>
      </c>
      <c r="E22">
        <v>461.15</v>
      </c>
      <c r="F22">
        <v>643.95000000000005</v>
      </c>
      <c r="G22">
        <v>-11097.05</v>
      </c>
      <c r="H22">
        <v>-14160.44</v>
      </c>
      <c r="I22">
        <v>-42717.43</v>
      </c>
    </row>
    <row r="23" spans="1:9" hidden="1" x14ac:dyDescent="0.3">
      <c r="A23" t="s">
        <v>1665</v>
      </c>
      <c r="B23" t="s">
        <v>92</v>
      </c>
      <c r="C23" t="s">
        <v>1596</v>
      </c>
      <c r="D23">
        <v>-69487.44</v>
      </c>
      <c r="E23">
        <v>461.15</v>
      </c>
      <c r="F23">
        <v>643.95000000000005</v>
      </c>
      <c r="G23">
        <v>-11097.05</v>
      </c>
      <c r="H23">
        <v>-14160.44</v>
      </c>
      <c r="I23">
        <v>-42717.43</v>
      </c>
    </row>
    <row r="24" spans="1:9" hidden="1" x14ac:dyDescent="0.3">
      <c r="A24" t="s">
        <v>1665</v>
      </c>
      <c r="B24" t="s">
        <v>92</v>
      </c>
      <c r="C24" t="s">
        <v>1597</v>
      </c>
      <c r="D24">
        <v>477941.58</v>
      </c>
      <c r="E24">
        <v>468373.02</v>
      </c>
      <c r="F24">
        <v>420197.66</v>
      </c>
      <c r="G24">
        <v>517450.37</v>
      </c>
      <c r="H24">
        <v>374506.76</v>
      </c>
      <c r="I24">
        <v>395134.01</v>
      </c>
    </row>
    <row r="25" spans="1:9" hidden="1" x14ac:dyDescent="0.3">
      <c r="A25" t="s">
        <v>1665</v>
      </c>
      <c r="B25" t="s">
        <v>92</v>
      </c>
      <c r="C25" t="s">
        <v>1598</v>
      </c>
      <c r="D25">
        <v>123144.28</v>
      </c>
      <c r="E25">
        <v>103742.39</v>
      </c>
      <c r="F25">
        <v>43952.79</v>
      </c>
      <c r="G25">
        <v>69583.48</v>
      </c>
      <c r="H25">
        <v>76420.289999999994</v>
      </c>
      <c r="I25">
        <v>1602.7</v>
      </c>
    </row>
    <row r="26" spans="1:9" hidden="1" x14ac:dyDescent="0.3">
      <c r="A26" t="s">
        <v>1665</v>
      </c>
      <c r="B26" t="s">
        <v>92</v>
      </c>
      <c r="C26" t="s">
        <v>1599</v>
      </c>
      <c r="D26">
        <v>1805.77</v>
      </c>
      <c r="E26">
        <v>1867.33</v>
      </c>
      <c r="F26">
        <v>1526.85</v>
      </c>
      <c r="G26">
        <v>1133.79</v>
      </c>
      <c r="H26">
        <v>1174.1500000000001</v>
      </c>
      <c r="I26">
        <v>1247.19</v>
      </c>
    </row>
    <row r="27" spans="1:9" hidden="1" x14ac:dyDescent="0.3">
      <c r="A27" t="s">
        <v>1665</v>
      </c>
      <c r="B27" t="s">
        <v>92</v>
      </c>
      <c r="C27" t="s">
        <v>1600</v>
      </c>
      <c r="D27">
        <v>0</v>
      </c>
      <c r="E27">
        <v>6427.65</v>
      </c>
      <c r="F27">
        <v>28557.439999999999</v>
      </c>
      <c r="G27">
        <v>55830.14</v>
      </c>
      <c r="H27">
        <v>60305.279999999999</v>
      </c>
      <c r="I27">
        <v>0</v>
      </c>
    </row>
    <row r="28" spans="1:9" hidden="1" x14ac:dyDescent="0.3">
      <c r="A28" t="s">
        <v>1665</v>
      </c>
      <c r="B28" t="s">
        <v>92</v>
      </c>
      <c r="C28" t="s">
        <v>1601</v>
      </c>
      <c r="D28">
        <v>121338.51</v>
      </c>
      <c r="E28">
        <v>95447.4</v>
      </c>
      <c r="F28">
        <v>13868.5</v>
      </c>
      <c r="G28">
        <v>12619.54</v>
      </c>
      <c r="H28">
        <v>14940.86</v>
      </c>
      <c r="I28">
        <v>355.52</v>
      </c>
    </row>
    <row r="29" spans="1:9" hidden="1" x14ac:dyDescent="0.3">
      <c r="A29" t="s">
        <v>1665</v>
      </c>
      <c r="B29" t="s">
        <v>92</v>
      </c>
      <c r="C29" t="s">
        <v>1602</v>
      </c>
      <c r="D29">
        <v>354797.29</v>
      </c>
      <c r="E29">
        <v>364630.64</v>
      </c>
      <c r="F29">
        <v>376244.87</v>
      </c>
      <c r="G29">
        <v>447866.89</v>
      </c>
      <c r="H29">
        <v>298086.46999999997</v>
      </c>
      <c r="I29">
        <v>393531.31</v>
      </c>
    </row>
    <row r="30" spans="1:9" hidden="1" x14ac:dyDescent="0.3">
      <c r="A30" t="s">
        <v>1665</v>
      </c>
      <c r="B30" t="s">
        <v>92</v>
      </c>
      <c r="C30" t="s">
        <v>1603</v>
      </c>
      <c r="D30">
        <v>69559.98</v>
      </c>
      <c r="E30">
        <v>41648.14</v>
      </c>
      <c r="F30">
        <v>1046.53</v>
      </c>
      <c r="G30">
        <v>11036.75</v>
      </c>
      <c r="H30">
        <v>39306.15</v>
      </c>
      <c r="I30">
        <v>29245.3</v>
      </c>
    </row>
    <row r="31" spans="1:9" hidden="1" x14ac:dyDescent="0.3">
      <c r="A31" t="s">
        <v>1665</v>
      </c>
      <c r="B31" t="s">
        <v>92</v>
      </c>
      <c r="C31" t="s">
        <v>1604</v>
      </c>
      <c r="D31">
        <v>69559.98</v>
      </c>
      <c r="E31">
        <v>41648.14</v>
      </c>
      <c r="F31">
        <v>1046.53</v>
      </c>
      <c r="G31">
        <v>11036.75</v>
      </c>
      <c r="H31">
        <v>39306.15</v>
      </c>
      <c r="I31">
        <v>29245.3</v>
      </c>
    </row>
    <row r="32" spans="1:9" hidden="1" x14ac:dyDescent="0.3">
      <c r="A32" t="s">
        <v>1665</v>
      </c>
      <c r="B32" t="s">
        <v>92</v>
      </c>
      <c r="C32" t="s">
        <v>1605</v>
      </c>
      <c r="D32">
        <v>0</v>
      </c>
      <c r="E32">
        <v>156</v>
      </c>
      <c r="F32">
        <v>156</v>
      </c>
      <c r="G32">
        <v>156</v>
      </c>
      <c r="H32">
        <v>156.80000000000001</v>
      </c>
      <c r="I32">
        <v>156.80000000000001</v>
      </c>
    </row>
    <row r="33" spans="1:9" hidden="1" x14ac:dyDescent="0.3">
      <c r="A33" t="s">
        <v>1665</v>
      </c>
      <c r="B33" t="s">
        <v>92</v>
      </c>
      <c r="C33" t="s">
        <v>1606</v>
      </c>
      <c r="D33">
        <v>251222.12</v>
      </c>
      <c r="E33">
        <v>259723.73</v>
      </c>
      <c r="F33">
        <v>317203.09999999998</v>
      </c>
      <c r="G33">
        <v>400178.77</v>
      </c>
      <c r="H33">
        <v>233920.36</v>
      </c>
      <c r="I33">
        <v>181710.68</v>
      </c>
    </row>
    <row r="34" spans="1:9" hidden="1" x14ac:dyDescent="0.3">
      <c r="A34" t="s">
        <v>1665</v>
      </c>
      <c r="B34" t="s">
        <v>92</v>
      </c>
      <c r="C34" t="s">
        <v>1607</v>
      </c>
      <c r="D34">
        <v>34015.19</v>
      </c>
      <c r="E34">
        <v>63102.76</v>
      </c>
      <c r="F34">
        <v>57839.24</v>
      </c>
      <c r="G34">
        <v>36495.370000000003</v>
      </c>
      <c r="H34">
        <v>24703.16</v>
      </c>
      <c r="I34">
        <v>182418.52</v>
      </c>
    </row>
    <row r="35" spans="1:9" hidden="1" x14ac:dyDescent="0.3">
      <c r="A35" t="s">
        <v>1665</v>
      </c>
      <c r="B35" t="s">
        <v>92</v>
      </c>
      <c r="C35" t="s">
        <v>1608</v>
      </c>
      <c r="D35">
        <v>477941.58</v>
      </c>
      <c r="E35">
        <v>468373.02</v>
      </c>
      <c r="F35">
        <v>420197.66</v>
      </c>
      <c r="G35">
        <v>517450.37</v>
      </c>
      <c r="H35">
        <v>374506.76</v>
      </c>
      <c r="I35">
        <v>395134.01</v>
      </c>
    </row>
    <row r="36" spans="1:9" hidden="1" x14ac:dyDescent="0.3">
      <c r="A36" t="s">
        <v>1665</v>
      </c>
      <c r="B36" t="s">
        <v>92</v>
      </c>
      <c r="C36" t="s">
        <v>1609</v>
      </c>
      <c r="D36">
        <v>109262.58</v>
      </c>
      <c r="E36">
        <v>86475.02</v>
      </c>
      <c r="F36">
        <v>26013.87</v>
      </c>
      <c r="G36">
        <v>25369.919999999998</v>
      </c>
      <c r="H36">
        <v>-130532.23</v>
      </c>
      <c r="I36">
        <v>-249426.32</v>
      </c>
    </row>
    <row r="37" spans="1:9" hidden="1" x14ac:dyDescent="0.3">
      <c r="A37" t="s">
        <v>1665</v>
      </c>
      <c r="B37" t="s">
        <v>92</v>
      </c>
      <c r="C37" t="s">
        <v>1610</v>
      </c>
      <c r="D37">
        <v>109262.58</v>
      </c>
      <c r="E37">
        <v>86475.02</v>
      </c>
      <c r="F37">
        <v>26013.87</v>
      </c>
      <c r="G37">
        <v>25369.919999999998</v>
      </c>
      <c r="H37">
        <v>-130532.23</v>
      </c>
      <c r="I37">
        <v>-249426.32</v>
      </c>
    </row>
    <row r="38" spans="1:9" hidden="1" x14ac:dyDescent="0.3">
      <c r="A38" t="s">
        <v>1665</v>
      </c>
      <c r="B38" t="s">
        <v>92</v>
      </c>
      <c r="C38" t="s">
        <v>1611</v>
      </c>
      <c r="D38">
        <v>664220.48</v>
      </c>
      <c r="E38">
        <v>571945.48</v>
      </c>
      <c r="F38">
        <v>511945.48</v>
      </c>
      <c r="G38">
        <v>511945.48</v>
      </c>
      <c r="H38">
        <v>344945.48</v>
      </c>
      <c r="I38">
        <v>224945.48</v>
      </c>
    </row>
    <row r="39" spans="1:9" hidden="1" x14ac:dyDescent="0.3">
      <c r="A39" t="s">
        <v>1665</v>
      </c>
      <c r="B39" t="s">
        <v>92</v>
      </c>
      <c r="C39" t="s">
        <v>1612</v>
      </c>
      <c r="D39">
        <v>57.08</v>
      </c>
      <c r="E39">
        <v>57.08</v>
      </c>
      <c r="F39">
        <v>57.08</v>
      </c>
      <c r="G39">
        <v>57.08</v>
      </c>
      <c r="H39">
        <v>57.08</v>
      </c>
      <c r="I39">
        <v>57.08</v>
      </c>
    </row>
    <row r="40" spans="1:9" hidden="1" x14ac:dyDescent="0.3">
      <c r="A40" t="s">
        <v>1665</v>
      </c>
      <c r="B40" t="s">
        <v>92</v>
      </c>
      <c r="C40" t="s">
        <v>1613</v>
      </c>
      <c r="D40">
        <v>-485527.53</v>
      </c>
      <c r="E40">
        <v>-485988.69</v>
      </c>
      <c r="F40">
        <v>-486632.64</v>
      </c>
      <c r="G40">
        <v>-475535.59</v>
      </c>
      <c r="H40">
        <v>-461374.35</v>
      </c>
      <c r="I40">
        <v>-431711.45</v>
      </c>
    </row>
    <row r="41" spans="1:9" hidden="1" x14ac:dyDescent="0.3">
      <c r="A41" t="s">
        <v>1665</v>
      </c>
      <c r="B41" t="s">
        <v>92</v>
      </c>
      <c r="C41" t="s">
        <v>1614</v>
      </c>
      <c r="D41">
        <v>-69487.44</v>
      </c>
      <c r="E41">
        <v>461.15</v>
      </c>
      <c r="F41">
        <v>643.95000000000005</v>
      </c>
      <c r="G41">
        <v>-11097.05</v>
      </c>
      <c r="H41">
        <v>-14160.44</v>
      </c>
      <c r="I41">
        <v>-42717.43</v>
      </c>
    </row>
    <row r="42" spans="1:9" hidden="1" x14ac:dyDescent="0.3">
      <c r="A42" t="s">
        <v>1665</v>
      </c>
      <c r="B42" t="s">
        <v>92</v>
      </c>
      <c r="C42" t="s">
        <v>1615</v>
      </c>
      <c r="D42">
        <v>368679</v>
      </c>
      <c r="E42">
        <v>381898</v>
      </c>
      <c r="F42">
        <v>394183.8</v>
      </c>
      <c r="G42">
        <v>492080.45</v>
      </c>
      <c r="H42">
        <v>505038.99</v>
      </c>
      <c r="I42">
        <v>644560.32999999996</v>
      </c>
    </row>
    <row r="43" spans="1:9" hidden="1" x14ac:dyDescent="0.3">
      <c r="A43" t="s">
        <v>1665</v>
      </c>
      <c r="B43" t="s">
        <v>92</v>
      </c>
      <c r="C43" t="s">
        <v>1616</v>
      </c>
      <c r="D43">
        <v>16888.349999999999</v>
      </c>
      <c r="E43">
        <v>15990.33</v>
      </c>
      <c r="F43">
        <v>11763.22</v>
      </c>
      <c r="G43">
        <v>3682.98</v>
      </c>
      <c r="H43">
        <v>465.38</v>
      </c>
      <c r="I43">
        <v>0</v>
      </c>
    </row>
    <row r="44" spans="1:9" hidden="1" x14ac:dyDescent="0.3">
      <c r="A44" t="s">
        <v>1665</v>
      </c>
      <c r="B44" t="s">
        <v>92</v>
      </c>
      <c r="C44" t="s">
        <v>1617</v>
      </c>
      <c r="D44">
        <v>16847.28</v>
      </c>
      <c r="E44">
        <v>15898.89</v>
      </c>
      <c r="F44">
        <v>11763.22</v>
      </c>
      <c r="G44">
        <v>3682.98</v>
      </c>
      <c r="H44">
        <v>465.38</v>
      </c>
      <c r="I44">
        <v>0</v>
      </c>
    </row>
    <row r="45" spans="1:9" hidden="1" x14ac:dyDescent="0.3">
      <c r="A45" t="s">
        <v>1665</v>
      </c>
      <c r="B45" t="s">
        <v>92</v>
      </c>
      <c r="C45" t="s">
        <v>1618</v>
      </c>
      <c r="D45">
        <v>41.07</v>
      </c>
      <c r="E45">
        <v>91.45</v>
      </c>
      <c r="F45">
        <v>0</v>
      </c>
      <c r="G45">
        <v>0</v>
      </c>
      <c r="H45">
        <v>0</v>
      </c>
      <c r="I45">
        <v>0</v>
      </c>
    </row>
    <row r="46" spans="1:9" hidden="1" x14ac:dyDescent="0.3">
      <c r="A46" t="s">
        <v>1665</v>
      </c>
      <c r="B46" t="s">
        <v>92</v>
      </c>
      <c r="C46" t="s">
        <v>1619</v>
      </c>
      <c r="D46">
        <v>351790.65</v>
      </c>
      <c r="E46">
        <v>365907.67</v>
      </c>
      <c r="F46">
        <v>382420.57</v>
      </c>
      <c r="G46">
        <v>488397.47</v>
      </c>
      <c r="H46">
        <v>504573.62</v>
      </c>
      <c r="I46">
        <v>644560.32999999996</v>
      </c>
    </row>
    <row r="47" spans="1:9" hidden="1" x14ac:dyDescent="0.3">
      <c r="A47" t="s">
        <v>1665</v>
      </c>
      <c r="B47" t="s">
        <v>92</v>
      </c>
      <c r="C47" t="s">
        <v>1620</v>
      </c>
      <c r="D47">
        <v>191989.08</v>
      </c>
      <c r="E47">
        <v>155824.74</v>
      </c>
      <c r="F47">
        <v>189967.32</v>
      </c>
      <c r="G47">
        <v>262645.27</v>
      </c>
      <c r="H47">
        <v>269045.39</v>
      </c>
      <c r="I47">
        <v>380561.5</v>
      </c>
    </row>
    <row r="48" spans="1:9" hidden="1" x14ac:dyDescent="0.3">
      <c r="A48" t="s">
        <v>1665</v>
      </c>
      <c r="B48" t="s">
        <v>92</v>
      </c>
      <c r="C48" t="s">
        <v>1621</v>
      </c>
      <c r="D48">
        <v>186515.99</v>
      </c>
      <c r="E48">
        <v>150985.09</v>
      </c>
      <c r="F48">
        <v>186281.49</v>
      </c>
      <c r="G48">
        <v>259710.89</v>
      </c>
      <c r="H48">
        <v>267617.90999999997</v>
      </c>
      <c r="I48">
        <v>379663.61</v>
      </c>
    </row>
    <row r="49" spans="1:9" hidden="1" x14ac:dyDescent="0.3">
      <c r="A49" t="s">
        <v>1665</v>
      </c>
      <c r="B49" t="s">
        <v>92</v>
      </c>
      <c r="C49" t="s">
        <v>1622</v>
      </c>
      <c r="D49">
        <v>5473.09</v>
      </c>
      <c r="E49">
        <v>4839.6400000000003</v>
      </c>
      <c r="F49">
        <v>3685.83</v>
      </c>
      <c r="G49">
        <v>2934.37</v>
      </c>
      <c r="H49">
        <v>1427.48</v>
      </c>
      <c r="I49">
        <v>897.9</v>
      </c>
    </row>
    <row r="50" spans="1:9" hidden="1" x14ac:dyDescent="0.3">
      <c r="A50" t="s">
        <v>1665</v>
      </c>
      <c r="B50" t="s">
        <v>92</v>
      </c>
      <c r="C50" t="s">
        <v>1617</v>
      </c>
      <c r="D50">
        <v>159777</v>
      </c>
      <c r="E50">
        <v>210058.37</v>
      </c>
      <c r="F50">
        <v>189055.32</v>
      </c>
      <c r="G50">
        <v>223074.97</v>
      </c>
      <c r="H50">
        <v>233783.29</v>
      </c>
      <c r="I50">
        <v>260683.6</v>
      </c>
    </row>
    <row r="51" spans="1:9" hidden="1" x14ac:dyDescent="0.3">
      <c r="A51" t="s">
        <v>1665</v>
      </c>
      <c r="B51" t="s">
        <v>92</v>
      </c>
      <c r="C51" t="s">
        <v>1623</v>
      </c>
      <c r="D51">
        <v>24.56</v>
      </c>
      <c r="E51">
        <v>24.56</v>
      </c>
      <c r="F51">
        <v>3397.93</v>
      </c>
      <c r="G51">
        <v>2677.23</v>
      </c>
      <c r="H51">
        <v>1744.93</v>
      </c>
      <c r="I51">
        <v>3315.22</v>
      </c>
    </row>
    <row r="52" spans="1:9" hidden="1" x14ac:dyDescent="0.3">
      <c r="A52" t="s">
        <v>31</v>
      </c>
      <c r="B52" t="s">
        <v>92</v>
      </c>
      <c r="C52" t="s">
        <v>1575</v>
      </c>
      <c r="D52">
        <v>5353792</v>
      </c>
      <c r="E52">
        <v>4794341.33</v>
      </c>
      <c r="F52">
        <v>3983288.63</v>
      </c>
      <c r="G52">
        <v>3314616.31</v>
      </c>
      <c r="H52">
        <v>2632506.5</v>
      </c>
      <c r="I52">
        <v>2119796.19</v>
      </c>
    </row>
    <row r="53" spans="1:9" hidden="1" x14ac:dyDescent="0.3">
      <c r="A53" t="s">
        <v>31</v>
      </c>
      <c r="B53" t="s">
        <v>92</v>
      </c>
      <c r="C53" t="s">
        <v>1624</v>
      </c>
      <c r="D53">
        <v>5353792</v>
      </c>
      <c r="E53">
        <v>4794341.33</v>
      </c>
      <c r="F53">
        <v>3983288.63</v>
      </c>
      <c r="G53">
        <v>3314616.31</v>
      </c>
      <c r="H53">
        <v>2632506.5</v>
      </c>
      <c r="I53">
        <v>2119796.19</v>
      </c>
    </row>
    <row r="54" spans="1:9" hidden="1" x14ac:dyDescent="0.3">
      <c r="A54" t="s">
        <v>31</v>
      </c>
      <c r="B54" t="s">
        <v>92</v>
      </c>
      <c r="C54" t="s">
        <v>1578</v>
      </c>
      <c r="D54">
        <v>142246.13</v>
      </c>
      <c r="E54">
        <v>70060.509999999995</v>
      </c>
      <c r="F54">
        <v>65182.06</v>
      </c>
      <c r="G54">
        <v>46527.76</v>
      </c>
      <c r="H54">
        <v>45540.99</v>
      </c>
      <c r="I54">
        <v>28946.74</v>
      </c>
    </row>
    <row r="55" spans="1:9" hidden="1" x14ac:dyDescent="0.3">
      <c r="A55" t="s">
        <v>31</v>
      </c>
      <c r="B55" t="s">
        <v>92</v>
      </c>
      <c r="C55" t="s">
        <v>1625</v>
      </c>
      <c r="D55">
        <v>108835.69</v>
      </c>
      <c r="E55">
        <v>97611.01</v>
      </c>
      <c r="F55">
        <v>84331.92</v>
      </c>
      <c r="G55">
        <v>69453.83</v>
      </c>
      <c r="H55">
        <v>58136.74</v>
      </c>
      <c r="I55">
        <v>50704.58</v>
      </c>
    </row>
    <row r="56" spans="1:9" hidden="1" x14ac:dyDescent="0.3">
      <c r="A56" t="s">
        <v>31</v>
      </c>
      <c r="B56" t="s">
        <v>92</v>
      </c>
      <c r="C56" t="s">
        <v>1626</v>
      </c>
      <c r="D56">
        <v>3806.11</v>
      </c>
      <c r="E56">
        <v>3431.3</v>
      </c>
      <c r="F56">
        <v>3031.45</v>
      </c>
      <c r="G56">
        <v>1702.42</v>
      </c>
      <c r="H56">
        <v>1129.49</v>
      </c>
      <c r="I56">
        <v>4034.02</v>
      </c>
    </row>
    <row r="57" spans="1:9" hidden="1" x14ac:dyDescent="0.3">
      <c r="A57" t="s">
        <v>31</v>
      </c>
      <c r="B57" t="s">
        <v>92</v>
      </c>
      <c r="C57" t="s">
        <v>1627</v>
      </c>
      <c r="D57">
        <v>-1629.93</v>
      </c>
      <c r="E57">
        <v>-1609.17</v>
      </c>
      <c r="F57">
        <v>-2116.96</v>
      </c>
      <c r="G57">
        <v>-1442.68</v>
      </c>
      <c r="H57">
        <v>-1415.14</v>
      </c>
      <c r="I57">
        <v>-1108.78</v>
      </c>
    </row>
    <row r="58" spans="1:9" hidden="1" x14ac:dyDescent="0.3">
      <c r="A58" t="s">
        <v>31</v>
      </c>
      <c r="B58" t="s">
        <v>92</v>
      </c>
      <c r="C58" t="s">
        <v>1576</v>
      </c>
      <c r="D58">
        <v>6180380.46</v>
      </c>
      <c r="E58">
        <v>4637492.2300000004</v>
      </c>
      <c r="F58">
        <v>3725958.79</v>
      </c>
      <c r="G58">
        <v>3042745.72</v>
      </c>
      <c r="H58">
        <v>2403070.0099999998</v>
      </c>
      <c r="I58">
        <v>1991970.08</v>
      </c>
    </row>
    <row r="59" spans="1:9" hidden="1" x14ac:dyDescent="0.3">
      <c r="A59" t="s">
        <v>31</v>
      </c>
      <c r="B59" t="s">
        <v>92</v>
      </c>
      <c r="C59" t="s">
        <v>1579</v>
      </c>
      <c r="D59">
        <v>50263</v>
      </c>
      <c r="E59">
        <v>11800.18</v>
      </c>
      <c r="F59">
        <v>26243.29</v>
      </c>
      <c r="G59">
        <v>19842.830000000002</v>
      </c>
      <c r="H59">
        <v>9234.64</v>
      </c>
      <c r="I59">
        <v>7203.48</v>
      </c>
    </row>
    <row r="60" spans="1:9" hidden="1" x14ac:dyDescent="0.3">
      <c r="A60" t="s">
        <v>31</v>
      </c>
      <c r="B60" t="s">
        <v>92</v>
      </c>
      <c r="C60" t="s">
        <v>1583</v>
      </c>
      <c r="D60">
        <v>-1133369.32</v>
      </c>
      <c r="E60">
        <v>-27663.07</v>
      </c>
      <c r="F60">
        <v>76424.17</v>
      </c>
      <c r="G60">
        <v>132901.06</v>
      </c>
      <c r="H60">
        <v>113979.49</v>
      </c>
      <c r="I60">
        <v>35828.51</v>
      </c>
    </row>
    <row r="61" spans="1:9" hidden="1" x14ac:dyDescent="0.3">
      <c r="A61" t="s">
        <v>31</v>
      </c>
      <c r="B61" t="s">
        <v>92</v>
      </c>
      <c r="C61" t="s">
        <v>1584</v>
      </c>
      <c r="D61">
        <v>-1083106.32</v>
      </c>
      <c r="E61">
        <v>-15862.89</v>
      </c>
      <c r="F61">
        <v>102667.46</v>
      </c>
      <c r="G61">
        <v>152743.89000000001</v>
      </c>
      <c r="H61">
        <v>123214.13</v>
      </c>
      <c r="I61">
        <v>43031.99</v>
      </c>
    </row>
    <row r="62" spans="1:9" hidden="1" x14ac:dyDescent="0.3">
      <c r="A62" t="s">
        <v>31</v>
      </c>
      <c r="B62" t="s">
        <v>92</v>
      </c>
      <c r="C62" t="s">
        <v>1585</v>
      </c>
      <c r="D62">
        <v>-26717.919999999998</v>
      </c>
      <c r="E62">
        <v>-33566.21</v>
      </c>
      <c r="F62">
        <v>-24906.76</v>
      </c>
      <c r="G62">
        <v>-17756.47</v>
      </c>
      <c r="H62">
        <v>-16545.66</v>
      </c>
      <c r="I62">
        <v>-17487.18</v>
      </c>
    </row>
    <row r="63" spans="1:9" hidden="1" x14ac:dyDescent="0.3">
      <c r="A63" t="s">
        <v>31</v>
      </c>
      <c r="B63" t="s">
        <v>92</v>
      </c>
      <c r="C63" t="s">
        <v>1588</v>
      </c>
      <c r="D63">
        <v>26717.919999999998</v>
      </c>
      <c r="E63">
        <v>33566.21</v>
      </c>
      <c r="F63">
        <v>24906.76</v>
      </c>
      <c r="G63">
        <v>17756.47</v>
      </c>
      <c r="H63">
        <v>16545.66</v>
      </c>
      <c r="I63">
        <v>17487.18</v>
      </c>
    </row>
    <row r="64" spans="1:9" hidden="1" x14ac:dyDescent="0.3">
      <c r="A64" t="s">
        <v>31</v>
      </c>
      <c r="B64" t="s">
        <v>92</v>
      </c>
      <c r="C64" t="s">
        <v>1628</v>
      </c>
      <c r="D64">
        <v>26717.919999999998</v>
      </c>
      <c r="E64">
        <v>33566.21</v>
      </c>
      <c r="F64">
        <v>24906.76</v>
      </c>
      <c r="G64">
        <v>17756.47</v>
      </c>
      <c r="H64">
        <v>16545.66</v>
      </c>
      <c r="I64">
        <v>17487.18</v>
      </c>
    </row>
    <row r="65" spans="1:9" hidden="1" x14ac:dyDescent="0.3">
      <c r="A65" t="s">
        <v>31</v>
      </c>
      <c r="B65" t="s">
        <v>92</v>
      </c>
      <c r="C65" t="s">
        <v>1590</v>
      </c>
      <c r="D65">
        <v>17397.12</v>
      </c>
      <c r="E65">
        <v>32995.29</v>
      </c>
      <c r="F65">
        <v>82580.929999999993</v>
      </c>
      <c r="G65">
        <v>-4152.0200000000004</v>
      </c>
      <c r="H65">
        <v>-376.29</v>
      </c>
      <c r="I65">
        <v>714.83</v>
      </c>
    </row>
    <row r="66" spans="1:9" hidden="1" x14ac:dyDescent="0.3">
      <c r="A66" t="s">
        <v>31</v>
      </c>
      <c r="B66" t="s">
        <v>92</v>
      </c>
      <c r="C66" t="s">
        <v>1591</v>
      </c>
      <c r="D66">
        <v>27118.36</v>
      </c>
      <c r="E66">
        <v>47146.03</v>
      </c>
      <c r="F66">
        <v>96000.69</v>
      </c>
      <c r="G66">
        <v>7029.39</v>
      </c>
      <c r="H66">
        <v>11113.13</v>
      </c>
      <c r="I66">
        <v>13275.54</v>
      </c>
    </row>
    <row r="67" spans="1:9" hidden="1" x14ac:dyDescent="0.3">
      <c r="A67" t="s">
        <v>31</v>
      </c>
      <c r="B67" t="s">
        <v>92</v>
      </c>
      <c r="C67" t="s">
        <v>1592</v>
      </c>
      <c r="D67">
        <v>9721.24</v>
      </c>
      <c r="E67">
        <v>14150.74</v>
      </c>
      <c r="F67">
        <v>13419.76</v>
      </c>
      <c r="G67">
        <v>11181.41</v>
      </c>
      <c r="H67">
        <v>11489.42</v>
      </c>
      <c r="I67">
        <v>12560.72</v>
      </c>
    </row>
    <row r="68" spans="1:9" hidden="1" x14ac:dyDescent="0.3">
      <c r="A68" t="s">
        <v>31</v>
      </c>
      <c r="B68" t="s">
        <v>92</v>
      </c>
      <c r="C68" t="s">
        <v>1593</v>
      </c>
      <c r="D68">
        <v>-1142690.1200000001</v>
      </c>
      <c r="E68">
        <v>-28233.99</v>
      </c>
      <c r="F68">
        <v>134098.34</v>
      </c>
      <c r="G68">
        <v>110992.57</v>
      </c>
      <c r="H68">
        <v>97057.54</v>
      </c>
      <c r="I68">
        <v>19056.16</v>
      </c>
    </row>
    <row r="69" spans="1:9" hidden="1" x14ac:dyDescent="0.3">
      <c r="A69" t="s">
        <v>31</v>
      </c>
      <c r="B69" t="s">
        <v>92</v>
      </c>
      <c r="C69" t="s">
        <v>1594</v>
      </c>
      <c r="D69">
        <v>0</v>
      </c>
      <c r="E69">
        <v>-5579.76</v>
      </c>
      <c r="F69">
        <v>-10056.790000000001</v>
      </c>
      <c r="G69">
        <v>-12282.81</v>
      </c>
      <c r="H69">
        <v>-22034.71</v>
      </c>
      <c r="I69">
        <v>-6784</v>
      </c>
    </row>
    <row r="70" spans="1:9" hidden="1" x14ac:dyDescent="0.3">
      <c r="A70" t="s">
        <v>31</v>
      </c>
      <c r="B70" t="s">
        <v>92</v>
      </c>
      <c r="C70" t="s">
        <v>1595</v>
      </c>
      <c r="D70">
        <v>-1142690.1200000001</v>
      </c>
      <c r="E70">
        <v>-33813.75</v>
      </c>
      <c r="F70">
        <v>124041.55</v>
      </c>
      <c r="G70">
        <v>98709.77</v>
      </c>
      <c r="H70">
        <v>75022.820000000007</v>
      </c>
      <c r="I70">
        <v>12272.16</v>
      </c>
    </row>
    <row r="71" spans="1:9" hidden="1" x14ac:dyDescent="0.3">
      <c r="A71" t="s">
        <v>31</v>
      </c>
      <c r="B71" t="s">
        <v>92</v>
      </c>
      <c r="C71" t="s">
        <v>1596</v>
      </c>
      <c r="D71">
        <v>-1142690.1200000001</v>
      </c>
      <c r="E71">
        <v>-33813.75</v>
      </c>
      <c r="F71">
        <v>124041.55</v>
      </c>
      <c r="G71">
        <v>98709.77</v>
      </c>
      <c r="H71">
        <v>75022.820000000007</v>
      </c>
      <c r="I71">
        <v>12272.16</v>
      </c>
    </row>
    <row r="72" spans="1:9" hidden="1" x14ac:dyDescent="0.3">
      <c r="A72" t="s">
        <v>31</v>
      </c>
      <c r="B72" t="s">
        <v>92</v>
      </c>
      <c r="C72" t="s">
        <v>1597</v>
      </c>
      <c r="D72">
        <v>1942170.42</v>
      </c>
      <c r="E72">
        <v>1066681.57</v>
      </c>
      <c r="F72">
        <v>1124036.22</v>
      </c>
      <c r="G72">
        <v>1186661.42</v>
      </c>
      <c r="H72">
        <v>1078096.02</v>
      </c>
      <c r="I72">
        <v>754729.79</v>
      </c>
    </row>
    <row r="73" spans="1:9" hidden="1" x14ac:dyDescent="0.3">
      <c r="A73" t="s">
        <v>31</v>
      </c>
      <c r="B73" t="s">
        <v>92</v>
      </c>
      <c r="C73" t="s">
        <v>1598</v>
      </c>
      <c r="D73">
        <v>23214.28</v>
      </c>
      <c r="E73">
        <v>17618.02</v>
      </c>
      <c r="F73">
        <v>19182.07</v>
      </c>
      <c r="G73">
        <v>6720.03</v>
      </c>
      <c r="H73">
        <v>6787.25</v>
      </c>
      <c r="I73">
        <v>5381.12</v>
      </c>
    </row>
    <row r="74" spans="1:9" hidden="1" x14ac:dyDescent="0.3">
      <c r="A74" t="s">
        <v>31</v>
      </c>
      <c r="B74" t="s">
        <v>92</v>
      </c>
      <c r="C74" t="s">
        <v>1599</v>
      </c>
      <c r="D74">
        <v>12857.99</v>
      </c>
      <c r="E74">
        <v>14272.36</v>
      </c>
      <c r="F74">
        <v>15224.05</v>
      </c>
      <c r="G74">
        <v>6720.03</v>
      </c>
      <c r="H74">
        <v>6787.25</v>
      </c>
      <c r="I74">
        <v>1860.56</v>
      </c>
    </row>
    <row r="75" spans="1:9" hidden="1" x14ac:dyDescent="0.3">
      <c r="A75" t="s">
        <v>31</v>
      </c>
      <c r="B75" t="s">
        <v>92</v>
      </c>
      <c r="C75" t="s">
        <v>1629</v>
      </c>
      <c r="D75">
        <v>2287.8000000000002</v>
      </c>
      <c r="E75">
        <v>0</v>
      </c>
      <c r="F75">
        <v>0</v>
      </c>
      <c r="G75">
        <v>0</v>
      </c>
      <c r="H75">
        <v>0</v>
      </c>
      <c r="I75">
        <v>827.66</v>
      </c>
    </row>
    <row r="76" spans="1:9" hidden="1" x14ac:dyDescent="0.3">
      <c r="A76" t="s">
        <v>31</v>
      </c>
      <c r="B76" t="s">
        <v>92</v>
      </c>
      <c r="C76" t="s">
        <v>1630</v>
      </c>
      <c r="D76">
        <v>8068.49</v>
      </c>
      <c r="E76">
        <v>3345.66</v>
      </c>
      <c r="F76">
        <v>3958.02</v>
      </c>
      <c r="G76">
        <v>0</v>
      </c>
      <c r="H76">
        <v>0</v>
      </c>
      <c r="I76">
        <v>2692.9</v>
      </c>
    </row>
    <row r="77" spans="1:9" hidden="1" x14ac:dyDescent="0.3">
      <c r="A77" t="s">
        <v>31</v>
      </c>
      <c r="B77" t="s">
        <v>92</v>
      </c>
      <c r="C77" t="s">
        <v>1602</v>
      </c>
      <c r="D77">
        <v>1918956.14</v>
      </c>
      <c r="E77">
        <v>1049063.55</v>
      </c>
      <c r="F77">
        <v>1104854.1499999999</v>
      </c>
      <c r="G77">
        <v>1179941.3899999999</v>
      </c>
      <c r="H77">
        <v>1071308.77</v>
      </c>
      <c r="I77">
        <v>749348.67</v>
      </c>
    </row>
    <row r="78" spans="1:9" hidden="1" x14ac:dyDescent="0.3">
      <c r="A78" t="s">
        <v>31</v>
      </c>
      <c r="B78" t="s">
        <v>92</v>
      </c>
      <c r="C78" t="s">
        <v>1603</v>
      </c>
      <c r="D78">
        <v>561804.88</v>
      </c>
      <c r="E78">
        <v>301994.05</v>
      </c>
      <c r="F78">
        <v>287945.42</v>
      </c>
      <c r="G78">
        <v>489666.25</v>
      </c>
      <c r="H78">
        <v>594408.80000000005</v>
      </c>
      <c r="I78">
        <v>609436.75</v>
      </c>
    </row>
    <row r="79" spans="1:9" hidden="1" x14ac:dyDescent="0.3">
      <c r="A79" t="s">
        <v>31</v>
      </c>
      <c r="B79" t="s">
        <v>92</v>
      </c>
      <c r="C79" t="s">
        <v>1631</v>
      </c>
      <c r="D79">
        <v>176763.73</v>
      </c>
      <c r="E79">
        <v>113368.01</v>
      </c>
      <c r="F79">
        <v>109833.51</v>
      </c>
      <c r="G79">
        <v>206769.44</v>
      </c>
      <c r="H79">
        <v>209438.27</v>
      </c>
      <c r="I79">
        <v>226875.63</v>
      </c>
    </row>
    <row r="80" spans="1:9" hidden="1" x14ac:dyDescent="0.3">
      <c r="A80" t="s">
        <v>31</v>
      </c>
      <c r="B80" t="s">
        <v>92</v>
      </c>
      <c r="C80" t="s">
        <v>1632</v>
      </c>
      <c r="D80">
        <v>405911.85</v>
      </c>
      <c r="E80">
        <v>190120.75</v>
      </c>
      <c r="F80">
        <v>182183.42</v>
      </c>
      <c r="G80">
        <v>304582.51</v>
      </c>
      <c r="H80">
        <v>404582.51</v>
      </c>
      <c r="I80">
        <v>404582.51</v>
      </c>
    </row>
    <row r="81" spans="1:9" hidden="1" x14ac:dyDescent="0.3">
      <c r="A81" t="s">
        <v>31</v>
      </c>
      <c r="B81" t="s">
        <v>92</v>
      </c>
      <c r="C81" t="s">
        <v>1604</v>
      </c>
      <c r="D81">
        <v>71750.81</v>
      </c>
      <c r="E81">
        <v>48538.93</v>
      </c>
      <c r="F81">
        <v>56983.17</v>
      </c>
      <c r="G81">
        <v>39350.230000000003</v>
      </c>
      <c r="H81">
        <v>10104.99</v>
      </c>
      <c r="I81">
        <v>7125.43</v>
      </c>
    </row>
    <row r="82" spans="1:9" hidden="1" x14ac:dyDescent="0.3">
      <c r="A82" t="s">
        <v>31</v>
      </c>
      <c r="B82" t="s">
        <v>92</v>
      </c>
      <c r="C82" t="s">
        <v>1633</v>
      </c>
      <c r="D82">
        <v>-111426.92</v>
      </c>
      <c r="E82">
        <v>-63888.5</v>
      </c>
      <c r="F82">
        <v>-68637.17</v>
      </c>
      <c r="G82">
        <v>-65782.850000000006</v>
      </c>
      <c r="H82">
        <v>-35118.67</v>
      </c>
      <c r="I82">
        <v>-32385.78</v>
      </c>
    </row>
    <row r="83" spans="1:9" hidden="1" x14ac:dyDescent="0.3">
      <c r="A83" t="s">
        <v>31</v>
      </c>
      <c r="B83" t="s">
        <v>92</v>
      </c>
      <c r="C83" t="s">
        <v>1634</v>
      </c>
      <c r="D83">
        <v>18805.41</v>
      </c>
      <c r="E83">
        <v>13854.85</v>
      </c>
      <c r="F83">
        <v>7582.48</v>
      </c>
      <c r="G83">
        <v>4746.93</v>
      </c>
      <c r="H83">
        <v>5401.7</v>
      </c>
      <c r="I83">
        <v>3238.96</v>
      </c>
    </row>
    <row r="84" spans="1:9" hidden="1" x14ac:dyDescent="0.3">
      <c r="A84" t="s">
        <v>31</v>
      </c>
      <c r="B84" t="s">
        <v>92</v>
      </c>
      <c r="C84" t="s">
        <v>1635</v>
      </c>
      <c r="D84">
        <v>1229949.04</v>
      </c>
      <c r="E84">
        <v>446527.52</v>
      </c>
      <c r="F84">
        <v>320727.14</v>
      </c>
      <c r="G84">
        <v>89011.01</v>
      </c>
      <c r="H84">
        <v>226030.99</v>
      </c>
      <c r="I84">
        <v>15893.9</v>
      </c>
    </row>
    <row r="85" spans="1:9" hidden="1" x14ac:dyDescent="0.3">
      <c r="A85" t="s">
        <v>31</v>
      </c>
      <c r="B85" t="s">
        <v>92</v>
      </c>
      <c r="C85" t="s">
        <v>1605</v>
      </c>
      <c r="D85">
        <v>0</v>
      </c>
      <c r="E85">
        <v>71200</v>
      </c>
      <c r="F85">
        <v>40000</v>
      </c>
      <c r="G85">
        <v>0</v>
      </c>
      <c r="H85">
        <v>0</v>
      </c>
      <c r="I85">
        <v>0</v>
      </c>
    </row>
    <row r="86" spans="1:9" hidden="1" x14ac:dyDescent="0.3">
      <c r="A86" t="s">
        <v>31</v>
      </c>
      <c r="B86" t="s">
        <v>92</v>
      </c>
      <c r="C86" t="s">
        <v>1606</v>
      </c>
      <c r="D86">
        <v>127202.22</v>
      </c>
      <c r="E86">
        <v>229341.98</v>
      </c>
      <c r="F86">
        <v>456181.59</v>
      </c>
      <c r="G86">
        <v>601264.13</v>
      </c>
      <c r="H86">
        <v>250868.98</v>
      </c>
      <c r="I86">
        <v>124018.02</v>
      </c>
    </row>
    <row r="87" spans="1:9" hidden="1" x14ac:dyDescent="0.3">
      <c r="A87" t="s">
        <v>31</v>
      </c>
      <c r="B87" t="s">
        <v>92</v>
      </c>
      <c r="C87" t="s">
        <v>1608</v>
      </c>
      <c r="D87">
        <v>1942170.42</v>
      </c>
      <c r="E87">
        <v>1066681.57</v>
      </c>
      <c r="F87">
        <v>1124036.22</v>
      </c>
      <c r="G87">
        <v>1186661.42</v>
      </c>
      <c r="H87">
        <v>1078096.02</v>
      </c>
      <c r="I87">
        <v>754729.79</v>
      </c>
    </row>
    <row r="88" spans="1:9" hidden="1" x14ac:dyDescent="0.3">
      <c r="A88" t="s">
        <v>31</v>
      </c>
      <c r="B88" t="s">
        <v>92</v>
      </c>
      <c r="C88" t="s">
        <v>1609</v>
      </c>
      <c r="D88">
        <v>-859167.97</v>
      </c>
      <c r="E88">
        <v>223456.16</v>
      </c>
      <c r="F88">
        <v>331000.2</v>
      </c>
      <c r="G88">
        <v>282448.86</v>
      </c>
      <c r="H88">
        <v>207531.97</v>
      </c>
      <c r="I88">
        <v>78648.61</v>
      </c>
    </row>
    <row r="89" spans="1:9" hidden="1" x14ac:dyDescent="0.3">
      <c r="A89" t="s">
        <v>31</v>
      </c>
      <c r="B89" t="s">
        <v>92</v>
      </c>
      <c r="C89" t="s">
        <v>1610</v>
      </c>
      <c r="D89">
        <v>-859167.97</v>
      </c>
      <c r="E89">
        <v>223456.16</v>
      </c>
      <c r="F89">
        <v>331000.2</v>
      </c>
      <c r="G89">
        <v>282448.86</v>
      </c>
      <c r="H89">
        <v>207531.97</v>
      </c>
      <c r="I89">
        <v>78648.61</v>
      </c>
    </row>
    <row r="90" spans="1:9" hidden="1" x14ac:dyDescent="0.3">
      <c r="A90" t="s">
        <v>31</v>
      </c>
      <c r="B90" t="s">
        <v>92</v>
      </c>
      <c r="C90" t="s">
        <v>1611</v>
      </c>
      <c r="D90">
        <v>29940</v>
      </c>
      <c r="E90">
        <v>27450</v>
      </c>
      <c r="F90">
        <v>29835</v>
      </c>
      <c r="G90">
        <v>29835</v>
      </c>
      <c r="H90">
        <v>29835</v>
      </c>
      <c r="I90">
        <v>27615</v>
      </c>
    </row>
    <row r="91" spans="1:9" hidden="1" x14ac:dyDescent="0.3">
      <c r="A91" t="s">
        <v>31</v>
      </c>
      <c r="B91" t="s">
        <v>92</v>
      </c>
      <c r="C91" t="s">
        <v>1636</v>
      </c>
      <c r="D91">
        <v>97996.61</v>
      </c>
      <c r="E91">
        <v>35910.57</v>
      </c>
      <c r="F91">
        <v>93591.56</v>
      </c>
      <c r="G91">
        <v>93591.56</v>
      </c>
      <c r="H91">
        <v>93591.56</v>
      </c>
      <c r="I91">
        <v>39901.57</v>
      </c>
    </row>
    <row r="92" spans="1:9" hidden="1" x14ac:dyDescent="0.3">
      <c r="A92" t="s">
        <v>31</v>
      </c>
      <c r="B92" t="s">
        <v>92</v>
      </c>
      <c r="C92" t="s">
        <v>1612</v>
      </c>
      <c r="D92">
        <v>154990.79999999999</v>
      </c>
      <c r="E92">
        <v>188804.56</v>
      </c>
      <c r="F92">
        <v>78427.3</v>
      </c>
      <c r="G92">
        <v>60312.53</v>
      </c>
      <c r="H92">
        <v>9082.59</v>
      </c>
      <c r="I92">
        <v>2554.29</v>
      </c>
    </row>
    <row r="93" spans="1:9" hidden="1" x14ac:dyDescent="0.3">
      <c r="A93" t="s">
        <v>31</v>
      </c>
      <c r="B93" t="s">
        <v>92</v>
      </c>
      <c r="C93" t="s">
        <v>1613</v>
      </c>
      <c r="D93">
        <v>0</v>
      </c>
      <c r="E93">
        <v>0</v>
      </c>
      <c r="F93">
        <v>0</v>
      </c>
      <c r="G93">
        <v>0</v>
      </c>
      <c r="H93">
        <v>0</v>
      </c>
      <c r="I93">
        <v>-3694.42</v>
      </c>
    </row>
    <row r="94" spans="1:9" hidden="1" x14ac:dyDescent="0.3">
      <c r="A94" t="s">
        <v>31</v>
      </c>
      <c r="B94" t="s">
        <v>92</v>
      </c>
      <c r="C94" t="s">
        <v>1614</v>
      </c>
      <c r="D94">
        <v>-1142690.1200000001</v>
      </c>
      <c r="E94">
        <v>-33813.75</v>
      </c>
      <c r="F94">
        <v>124041.55</v>
      </c>
      <c r="G94">
        <v>98709.77</v>
      </c>
      <c r="H94">
        <v>75022.820000000007</v>
      </c>
      <c r="I94">
        <v>12272.16</v>
      </c>
    </row>
    <row r="95" spans="1:9" hidden="1" x14ac:dyDescent="0.3">
      <c r="A95" t="s">
        <v>31</v>
      </c>
      <c r="B95" t="s">
        <v>92</v>
      </c>
      <c r="C95" t="s">
        <v>1637</v>
      </c>
      <c r="D95">
        <v>594.73</v>
      </c>
      <c r="E95">
        <v>5104.78</v>
      </c>
      <c r="F95">
        <v>5104.78</v>
      </c>
      <c r="G95">
        <v>0</v>
      </c>
      <c r="H95">
        <v>0</v>
      </c>
      <c r="I95">
        <v>0</v>
      </c>
    </row>
    <row r="96" spans="1:9" hidden="1" x14ac:dyDescent="0.3">
      <c r="A96" t="s">
        <v>31</v>
      </c>
      <c r="B96" t="s">
        <v>92</v>
      </c>
      <c r="C96" t="s">
        <v>1615</v>
      </c>
      <c r="D96">
        <v>2801338.39</v>
      </c>
      <c r="E96">
        <v>843225.41</v>
      </c>
      <c r="F96">
        <v>793036.02</v>
      </c>
      <c r="G96">
        <v>904212.56</v>
      </c>
      <c r="H96">
        <v>870564.04</v>
      </c>
      <c r="I96">
        <v>676081.18</v>
      </c>
    </row>
    <row r="97" spans="1:9" hidden="1" x14ac:dyDescent="0.3">
      <c r="A97" t="s">
        <v>31</v>
      </c>
      <c r="B97" t="s">
        <v>92</v>
      </c>
      <c r="C97" t="s">
        <v>1616</v>
      </c>
      <c r="D97">
        <v>1708582.37</v>
      </c>
      <c r="E97">
        <v>563207.4</v>
      </c>
      <c r="F97">
        <v>411319.6</v>
      </c>
      <c r="G97">
        <v>384060.1</v>
      </c>
      <c r="H97">
        <v>79504.5</v>
      </c>
      <c r="I97">
        <v>9073.0400000000009</v>
      </c>
    </row>
    <row r="98" spans="1:9" hidden="1" x14ac:dyDescent="0.3">
      <c r="A98" t="s">
        <v>31</v>
      </c>
      <c r="B98" t="s">
        <v>92</v>
      </c>
      <c r="C98" t="s">
        <v>1617</v>
      </c>
      <c r="D98">
        <v>1706894.02</v>
      </c>
      <c r="E98">
        <v>562109.24</v>
      </c>
      <c r="F98">
        <v>409569.26</v>
      </c>
      <c r="G98">
        <v>383819.41</v>
      </c>
      <c r="H98">
        <v>79034.89</v>
      </c>
      <c r="I98">
        <v>8933.7000000000007</v>
      </c>
    </row>
    <row r="99" spans="1:9" hidden="1" x14ac:dyDescent="0.3">
      <c r="A99" t="s">
        <v>31</v>
      </c>
      <c r="B99" t="s">
        <v>92</v>
      </c>
      <c r="C99" t="s">
        <v>1618</v>
      </c>
      <c r="D99">
        <v>1688.35</v>
      </c>
      <c r="E99">
        <v>1098.1600000000001</v>
      </c>
      <c r="F99">
        <v>1750.34</v>
      </c>
      <c r="G99">
        <v>240.69</v>
      </c>
      <c r="H99">
        <v>469.6</v>
      </c>
      <c r="I99">
        <v>139.33000000000001</v>
      </c>
    </row>
    <row r="100" spans="1:9" hidden="1" x14ac:dyDescent="0.3">
      <c r="A100" t="s">
        <v>31</v>
      </c>
      <c r="B100" t="s">
        <v>92</v>
      </c>
      <c r="C100" t="s">
        <v>1619</v>
      </c>
      <c r="D100">
        <v>1092756.02</v>
      </c>
      <c r="E100">
        <v>280018.01</v>
      </c>
      <c r="F100">
        <v>381716.42</v>
      </c>
      <c r="G100">
        <v>520152.46</v>
      </c>
      <c r="H100">
        <v>791059.55</v>
      </c>
      <c r="I100">
        <v>667008.14</v>
      </c>
    </row>
    <row r="101" spans="1:9" hidden="1" x14ac:dyDescent="0.3">
      <c r="A101" t="s">
        <v>31</v>
      </c>
      <c r="B101" t="s">
        <v>92</v>
      </c>
      <c r="C101" t="s">
        <v>1638</v>
      </c>
      <c r="D101">
        <v>92794.38</v>
      </c>
      <c r="E101">
        <v>137816.32999999999</v>
      </c>
      <c r="F101">
        <v>188467.17</v>
      </c>
      <c r="G101">
        <v>134847.18</v>
      </c>
      <c r="H101">
        <v>241886.09</v>
      </c>
      <c r="I101">
        <v>190430.59</v>
      </c>
    </row>
    <row r="102" spans="1:9" hidden="1" x14ac:dyDescent="0.3">
      <c r="A102" t="s">
        <v>31</v>
      </c>
      <c r="B102" t="s">
        <v>92</v>
      </c>
      <c r="C102" t="s">
        <v>1620</v>
      </c>
      <c r="D102">
        <v>986536.7</v>
      </c>
      <c r="E102">
        <v>66843.55</v>
      </c>
      <c r="F102">
        <v>162766.29999999999</v>
      </c>
      <c r="G102">
        <v>361859.51</v>
      </c>
      <c r="H102">
        <v>513003.9</v>
      </c>
      <c r="I102">
        <v>395575.23</v>
      </c>
    </row>
    <row r="103" spans="1:9" hidden="1" x14ac:dyDescent="0.3">
      <c r="A103" t="s">
        <v>31</v>
      </c>
      <c r="B103" t="s">
        <v>92</v>
      </c>
      <c r="C103" t="s">
        <v>1621</v>
      </c>
      <c r="D103">
        <v>960692.11</v>
      </c>
      <c r="E103">
        <v>51245.88</v>
      </c>
      <c r="F103">
        <v>143790.20000000001</v>
      </c>
      <c r="G103">
        <v>340033.31</v>
      </c>
      <c r="H103">
        <v>497078.3</v>
      </c>
      <c r="I103">
        <v>382360.69</v>
      </c>
    </row>
    <row r="104" spans="1:9" hidden="1" x14ac:dyDescent="0.3">
      <c r="A104" t="s">
        <v>31</v>
      </c>
      <c r="B104" t="s">
        <v>92</v>
      </c>
      <c r="C104" t="s">
        <v>1639</v>
      </c>
      <c r="D104">
        <v>529.41999999999996</v>
      </c>
      <c r="E104">
        <v>529.41999999999996</v>
      </c>
      <c r="F104">
        <v>472.96</v>
      </c>
      <c r="G104">
        <v>472.96</v>
      </c>
      <c r="H104">
        <v>6.64</v>
      </c>
      <c r="I104">
        <v>2202.46</v>
      </c>
    </row>
    <row r="105" spans="1:9" hidden="1" x14ac:dyDescent="0.3">
      <c r="A105" t="s">
        <v>31</v>
      </c>
      <c r="B105" t="s">
        <v>92</v>
      </c>
      <c r="C105" t="s">
        <v>1622</v>
      </c>
      <c r="D105">
        <v>25315.16</v>
      </c>
      <c r="E105">
        <v>15068.25</v>
      </c>
      <c r="F105">
        <v>18503.150000000001</v>
      </c>
      <c r="G105">
        <v>21353.25</v>
      </c>
      <c r="H105">
        <v>15918.95</v>
      </c>
      <c r="I105">
        <v>11012.08</v>
      </c>
    </row>
    <row r="106" spans="1:9" hidden="1" x14ac:dyDescent="0.3">
      <c r="A106" t="s">
        <v>31</v>
      </c>
      <c r="B106" t="s">
        <v>92</v>
      </c>
      <c r="C106" t="s">
        <v>1617</v>
      </c>
      <c r="D106">
        <v>8200.5</v>
      </c>
      <c r="E106">
        <v>7837.6</v>
      </c>
      <c r="F106">
        <v>21629.7</v>
      </c>
      <c r="G106">
        <v>18759.71</v>
      </c>
      <c r="H106">
        <v>25619.35</v>
      </c>
      <c r="I106">
        <v>13000.57</v>
      </c>
    </row>
    <row r="107" spans="1:9" hidden="1" x14ac:dyDescent="0.3">
      <c r="A107" t="s">
        <v>31</v>
      </c>
      <c r="B107" t="s">
        <v>92</v>
      </c>
      <c r="C107" t="s">
        <v>1623</v>
      </c>
      <c r="D107">
        <v>985.02</v>
      </c>
      <c r="E107">
        <v>61067.06</v>
      </c>
      <c r="F107">
        <v>949.94</v>
      </c>
      <c r="G107">
        <v>982.4</v>
      </c>
      <c r="H107">
        <v>1102.69</v>
      </c>
      <c r="I107">
        <v>64761.69</v>
      </c>
    </row>
    <row r="108" spans="1:9" hidden="1" x14ac:dyDescent="0.3">
      <c r="A108" t="s">
        <v>31</v>
      </c>
      <c r="B108" t="s">
        <v>92</v>
      </c>
      <c r="C108" t="s">
        <v>1640</v>
      </c>
      <c r="D108">
        <v>4239.43</v>
      </c>
      <c r="E108">
        <v>6453.47</v>
      </c>
      <c r="F108">
        <v>7903.3</v>
      </c>
      <c r="G108">
        <v>3703.65</v>
      </c>
      <c r="H108">
        <v>9447.5300000000007</v>
      </c>
      <c r="I108">
        <v>3240.06</v>
      </c>
    </row>
    <row r="109" spans="1:9" hidden="1" x14ac:dyDescent="0.3">
      <c r="A109" t="s">
        <v>40</v>
      </c>
      <c r="B109" t="s">
        <v>92</v>
      </c>
      <c r="C109" t="s">
        <v>1575</v>
      </c>
      <c r="D109">
        <v>2961355.73</v>
      </c>
      <c r="E109">
        <v>2700282.94</v>
      </c>
      <c r="F109">
        <v>2512061.2999999998</v>
      </c>
      <c r="G109">
        <v>2181439.5699999998</v>
      </c>
      <c r="H109">
        <v>2102673.62</v>
      </c>
      <c r="I109">
        <v>1951986.2</v>
      </c>
    </row>
    <row r="110" spans="1:9" hidden="1" x14ac:dyDescent="0.3">
      <c r="A110" t="s">
        <v>40</v>
      </c>
      <c r="B110" t="s">
        <v>92</v>
      </c>
      <c r="C110" t="s">
        <v>1624</v>
      </c>
      <c r="D110">
        <v>2961355.73</v>
      </c>
      <c r="E110">
        <v>2700282.94</v>
      </c>
      <c r="F110">
        <v>2512061.2999999998</v>
      </c>
      <c r="G110">
        <v>2181439.5699999998</v>
      </c>
      <c r="H110">
        <v>2102673.62</v>
      </c>
      <c r="I110">
        <v>1951986.2</v>
      </c>
    </row>
    <row r="111" spans="1:9" hidden="1" x14ac:dyDescent="0.3">
      <c r="A111" t="s">
        <v>40</v>
      </c>
      <c r="B111" t="s">
        <v>92</v>
      </c>
      <c r="C111" t="s">
        <v>1578</v>
      </c>
      <c r="D111">
        <v>30945.26</v>
      </c>
      <c r="E111">
        <v>27449.63</v>
      </c>
      <c r="F111">
        <v>25451.39</v>
      </c>
      <c r="G111">
        <v>29964.94</v>
      </c>
      <c r="H111">
        <v>21949.89</v>
      </c>
      <c r="I111">
        <v>16145.96</v>
      </c>
    </row>
    <row r="112" spans="1:9" hidden="1" x14ac:dyDescent="0.3">
      <c r="A112" t="s">
        <v>40</v>
      </c>
      <c r="B112" t="s">
        <v>92</v>
      </c>
      <c r="C112" t="s">
        <v>1625</v>
      </c>
      <c r="D112">
        <v>87448.18</v>
      </c>
      <c r="E112">
        <v>69471.899999999994</v>
      </c>
      <c r="F112">
        <v>62279.19</v>
      </c>
      <c r="G112">
        <v>60333.97</v>
      </c>
      <c r="H112">
        <v>49699.11</v>
      </c>
      <c r="I112">
        <v>42881.84</v>
      </c>
    </row>
    <row r="113" spans="1:9" hidden="1" x14ac:dyDescent="0.3">
      <c r="A113" t="s">
        <v>40</v>
      </c>
      <c r="B113" t="s">
        <v>92</v>
      </c>
      <c r="C113" t="s">
        <v>1626</v>
      </c>
      <c r="D113">
        <v>1312.92</v>
      </c>
      <c r="E113">
        <v>1385.48</v>
      </c>
      <c r="F113">
        <v>831.03</v>
      </c>
      <c r="G113">
        <v>1143.83</v>
      </c>
      <c r="H113">
        <v>464.11</v>
      </c>
      <c r="I113">
        <v>1489.72</v>
      </c>
    </row>
    <row r="114" spans="1:9" hidden="1" x14ac:dyDescent="0.3">
      <c r="A114" t="s">
        <v>40</v>
      </c>
      <c r="B114" t="s">
        <v>92</v>
      </c>
      <c r="C114" t="s">
        <v>1627</v>
      </c>
      <c r="D114">
        <v>-48.27</v>
      </c>
      <c r="E114">
        <v>-61.54</v>
      </c>
      <c r="F114">
        <v>-136.91</v>
      </c>
      <c r="G114">
        <v>-35.71</v>
      </c>
      <c r="H114">
        <v>-34.03</v>
      </c>
      <c r="I114">
        <v>-46.32</v>
      </c>
    </row>
    <row r="115" spans="1:9" hidden="1" x14ac:dyDescent="0.3">
      <c r="A115" t="s">
        <v>40</v>
      </c>
      <c r="B115" t="s">
        <v>92</v>
      </c>
      <c r="C115" t="s">
        <v>1576</v>
      </c>
      <c r="D115">
        <v>2726990.24</v>
      </c>
      <c r="E115">
        <v>2975120.95</v>
      </c>
      <c r="F115">
        <v>2830675.29</v>
      </c>
      <c r="G115">
        <v>2555555.5699999998</v>
      </c>
      <c r="H115">
        <v>2009545.85</v>
      </c>
      <c r="I115">
        <v>1920536.45</v>
      </c>
    </row>
    <row r="116" spans="1:9" hidden="1" x14ac:dyDescent="0.3">
      <c r="A116" t="s">
        <v>40</v>
      </c>
      <c r="B116" t="s">
        <v>92</v>
      </c>
      <c r="C116" t="s">
        <v>1579</v>
      </c>
      <c r="D116">
        <v>183873.34</v>
      </c>
      <c r="E116">
        <v>135527.43</v>
      </c>
      <c r="F116">
        <v>14453.12</v>
      </c>
      <c r="G116">
        <v>49882.27</v>
      </c>
      <c r="H116">
        <v>22284.12</v>
      </c>
      <c r="I116">
        <v>151697.07</v>
      </c>
    </row>
    <row r="117" spans="1:9" hidden="1" x14ac:dyDescent="0.3">
      <c r="A117" t="s">
        <v>40</v>
      </c>
      <c r="B117" t="s">
        <v>92</v>
      </c>
      <c r="C117" t="s">
        <v>1583</v>
      </c>
      <c r="D117">
        <v>-69262.48</v>
      </c>
      <c r="E117">
        <v>-508733.98</v>
      </c>
      <c r="F117">
        <v>-421787.84</v>
      </c>
      <c r="G117">
        <v>-516697.14</v>
      </c>
      <c r="H117">
        <v>-1303.49</v>
      </c>
      <c r="I117">
        <v>-180811.16</v>
      </c>
    </row>
    <row r="118" spans="1:9" hidden="1" x14ac:dyDescent="0.3">
      <c r="A118" t="s">
        <v>40</v>
      </c>
      <c r="B118" t="s">
        <v>92</v>
      </c>
      <c r="C118" t="s">
        <v>1584</v>
      </c>
      <c r="D118">
        <v>114610.86</v>
      </c>
      <c r="E118">
        <v>-373206.55</v>
      </c>
      <c r="F118">
        <v>-407334.72</v>
      </c>
      <c r="G118">
        <v>-466814.87</v>
      </c>
      <c r="H118">
        <v>20980.63</v>
      </c>
      <c r="I118">
        <v>-29114.09</v>
      </c>
    </row>
    <row r="119" spans="1:9" hidden="1" x14ac:dyDescent="0.3">
      <c r="A119" t="s">
        <v>40</v>
      </c>
      <c r="B119" t="s">
        <v>92</v>
      </c>
      <c r="C119" t="s">
        <v>1585</v>
      </c>
      <c r="D119">
        <v>-6152.27</v>
      </c>
      <c r="E119">
        <v>-6675.6</v>
      </c>
      <c r="F119">
        <v>-9712.5300000000007</v>
      </c>
      <c r="G119">
        <v>-1040.68</v>
      </c>
      <c r="H119">
        <v>-1992.78</v>
      </c>
      <c r="I119">
        <v>-1844.06</v>
      </c>
    </row>
    <row r="120" spans="1:9" hidden="1" x14ac:dyDescent="0.3">
      <c r="A120" t="s">
        <v>40</v>
      </c>
      <c r="B120" t="s">
        <v>92</v>
      </c>
      <c r="C120" t="s">
        <v>1588</v>
      </c>
      <c r="D120">
        <v>6152.27</v>
      </c>
      <c r="E120">
        <v>6675.6</v>
      </c>
      <c r="F120">
        <v>9712.5300000000007</v>
      </c>
      <c r="G120">
        <v>1040.68</v>
      </c>
      <c r="H120">
        <v>1992.78</v>
      </c>
      <c r="I120">
        <v>1844.06</v>
      </c>
    </row>
    <row r="121" spans="1:9" hidden="1" x14ac:dyDescent="0.3">
      <c r="A121" t="s">
        <v>40</v>
      </c>
      <c r="B121" t="s">
        <v>92</v>
      </c>
      <c r="C121" t="s">
        <v>1628</v>
      </c>
      <c r="D121">
        <v>6151.99</v>
      </c>
      <c r="E121">
        <v>1416.85</v>
      </c>
      <c r="F121">
        <v>2291.62</v>
      </c>
      <c r="G121">
        <v>567.12</v>
      </c>
      <c r="H121">
        <v>1543.68</v>
      </c>
      <c r="I121">
        <v>1623.44</v>
      </c>
    </row>
    <row r="122" spans="1:9" hidden="1" x14ac:dyDescent="0.3">
      <c r="A122" t="s">
        <v>40</v>
      </c>
      <c r="B122" t="s">
        <v>92</v>
      </c>
      <c r="C122" t="s">
        <v>1641</v>
      </c>
      <c r="D122">
        <v>-0.28000000000000003</v>
      </c>
      <c r="E122">
        <v>0</v>
      </c>
      <c r="F122">
        <v>-460.13</v>
      </c>
      <c r="G122">
        <v>-473.56</v>
      </c>
      <c r="H122">
        <v>-449.1</v>
      </c>
      <c r="I122">
        <v>-220.63</v>
      </c>
    </row>
    <row r="123" spans="1:9" hidden="1" x14ac:dyDescent="0.3">
      <c r="A123" t="s">
        <v>40</v>
      </c>
      <c r="B123" t="s">
        <v>92</v>
      </c>
      <c r="C123" t="s">
        <v>1589</v>
      </c>
      <c r="D123">
        <v>0</v>
      </c>
      <c r="E123">
        <v>5258.74</v>
      </c>
      <c r="F123">
        <v>6960.78</v>
      </c>
      <c r="G123">
        <v>0</v>
      </c>
      <c r="H123">
        <v>0</v>
      </c>
      <c r="I123">
        <v>0</v>
      </c>
    </row>
    <row r="124" spans="1:9" hidden="1" x14ac:dyDescent="0.3">
      <c r="A124" t="s">
        <v>40</v>
      </c>
      <c r="B124" t="s">
        <v>92</v>
      </c>
      <c r="C124" t="s">
        <v>1590</v>
      </c>
      <c r="D124">
        <v>129101.81</v>
      </c>
      <c r="E124">
        <v>66530.95</v>
      </c>
      <c r="F124">
        <v>14384.15</v>
      </c>
      <c r="G124">
        <v>35986.94</v>
      </c>
      <c r="H124">
        <v>20244.29</v>
      </c>
      <c r="I124">
        <v>-2496.3000000000002</v>
      </c>
    </row>
    <row r="125" spans="1:9" hidden="1" x14ac:dyDescent="0.3">
      <c r="A125" t="s">
        <v>40</v>
      </c>
      <c r="B125" t="s">
        <v>92</v>
      </c>
      <c r="C125" t="s">
        <v>1591</v>
      </c>
      <c r="D125">
        <v>131821.13</v>
      </c>
      <c r="E125">
        <v>70313.279999999999</v>
      </c>
      <c r="F125">
        <v>17555.04</v>
      </c>
      <c r="G125">
        <v>49764.94</v>
      </c>
      <c r="H125">
        <v>25817.96</v>
      </c>
      <c r="I125">
        <v>5071.92</v>
      </c>
    </row>
    <row r="126" spans="1:9" hidden="1" x14ac:dyDescent="0.3">
      <c r="A126" t="s">
        <v>40</v>
      </c>
      <c r="B126" t="s">
        <v>92</v>
      </c>
      <c r="C126" t="s">
        <v>1592</v>
      </c>
      <c r="D126">
        <v>2719.31</v>
      </c>
      <c r="E126">
        <v>3782.33</v>
      </c>
      <c r="F126">
        <v>3170.89</v>
      </c>
      <c r="G126">
        <v>13778</v>
      </c>
      <c r="H126">
        <v>5573.67</v>
      </c>
      <c r="I126">
        <v>7568.22</v>
      </c>
    </row>
    <row r="127" spans="1:9" hidden="1" x14ac:dyDescent="0.3">
      <c r="A127" t="s">
        <v>40</v>
      </c>
      <c r="B127" t="s">
        <v>92</v>
      </c>
      <c r="C127" t="s">
        <v>1593</v>
      </c>
      <c r="D127">
        <v>53687.07</v>
      </c>
      <c r="E127">
        <v>-448878.62</v>
      </c>
      <c r="F127">
        <v>-417116.22</v>
      </c>
      <c r="G127">
        <v>-481750.88</v>
      </c>
      <c r="H127">
        <v>16948.02</v>
      </c>
      <c r="I127">
        <v>-185151.53</v>
      </c>
    </row>
    <row r="128" spans="1:9" hidden="1" x14ac:dyDescent="0.3">
      <c r="A128" t="s">
        <v>40</v>
      </c>
      <c r="B128" t="s">
        <v>92</v>
      </c>
      <c r="C128" t="s">
        <v>1594</v>
      </c>
      <c r="D128">
        <v>-80.040000000000006</v>
      </c>
      <c r="E128">
        <v>-73.61</v>
      </c>
      <c r="F128">
        <v>-35.46</v>
      </c>
      <c r="G128">
        <v>-10.52</v>
      </c>
      <c r="H128">
        <v>-25.15</v>
      </c>
      <c r="I128">
        <v>-8.2100000000000009</v>
      </c>
    </row>
    <row r="129" spans="1:9" hidden="1" x14ac:dyDescent="0.3">
      <c r="A129" t="s">
        <v>40</v>
      </c>
      <c r="B129" t="s">
        <v>92</v>
      </c>
      <c r="C129" t="s">
        <v>1595</v>
      </c>
      <c r="D129">
        <v>53607.02</v>
      </c>
      <c r="E129">
        <v>-448952.24</v>
      </c>
      <c r="F129">
        <v>-417151.68</v>
      </c>
      <c r="G129">
        <v>-481761.4</v>
      </c>
      <c r="H129">
        <v>16922.87</v>
      </c>
      <c r="I129">
        <v>-185159.73</v>
      </c>
    </row>
    <row r="130" spans="1:9" hidden="1" x14ac:dyDescent="0.3">
      <c r="A130" t="s">
        <v>40</v>
      </c>
      <c r="B130" t="s">
        <v>92</v>
      </c>
      <c r="C130" t="s">
        <v>1596</v>
      </c>
      <c r="D130">
        <v>53607.02</v>
      </c>
      <c r="E130">
        <v>-448952.24</v>
      </c>
      <c r="F130">
        <v>-417151.68</v>
      </c>
      <c r="G130">
        <v>-481761.4</v>
      </c>
      <c r="H130">
        <v>16922.87</v>
      </c>
      <c r="I130">
        <v>-185159.73</v>
      </c>
    </row>
    <row r="131" spans="1:9" hidden="1" x14ac:dyDescent="0.3">
      <c r="A131" t="s">
        <v>40</v>
      </c>
      <c r="B131" t="s">
        <v>92</v>
      </c>
      <c r="C131" t="s">
        <v>1597</v>
      </c>
      <c r="D131">
        <v>375766.44</v>
      </c>
      <c r="E131">
        <v>229665.52</v>
      </c>
      <c r="F131">
        <v>358831.4</v>
      </c>
      <c r="G131">
        <v>349522.19</v>
      </c>
      <c r="H131">
        <v>406993.66</v>
      </c>
      <c r="I131">
        <v>372945.32</v>
      </c>
    </row>
    <row r="132" spans="1:9" hidden="1" x14ac:dyDescent="0.3">
      <c r="A132" t="s">
        <v>40</v>
      </c>
      <c r="B132" t="s">
        <v>92</v>
      </c>
      <c r="C132" t="s">
        <v>1598</v>
      </c>
      <c r="D132">
        <v>11732.04</v>
      </c>
      <c r="E132">
        <v>18774.05</v>
      </c>
      <c r="F132">
        <v>24989.66</v>
      </c>
      <c r="G132">
        <v>28710.73</v>
      </c>
      <c r="H132">
        <v>29875.29</v>
      </c>
      <c r="I132">
        <v>30208.78</v>
      </c>
    </row>
    <row r="133" spans="1:9" hidden="1" x14ac:dyDescent="0.3">
      <c r="A133" t="s">
        <v>40</v>
      </c>
      <c r="B133" t="s">
        <v>92</v>
      </c>
      <c r="C133" t="s">
        <v>1599</v>
      </c>
      <c r="D133">
        <v>10412.26</v>
      </c>
      <c r="E133">
        <v>10658.6</v>
      </c>
      <c r="F133">
        <v>9878.7000000000007</v>
      </c>
      <c r="G133">
        <v>10632.71</v>
      </c>
      <c r="H133">
        <v>10479.290000000001</v>
      </c>
      <c r="I133">
        <v>10875.06</v>
      </c>
    </row>
    <row r="134" spans="1:9" hidden="1" x14ac:dyDescent="0.3">
      <c r="A134" t="s">
        <v>40</v>
      </c>
      <c r="B134" t="s">
        <v>92</v>
      </c>
      <c r="C134" t="s">
        <v>1629</v>
      </c>
      <c r="D134">
        <v>1319.77</v>
      </c>
      <c r="E134">
        <v>8115.45</v>
      </c>
      <c r="F134">
        <v>15110.96</v>
      </c>
      <c r="G134">
        <v>18073.36</v>
      </c>
      <c r="H134">
        <v>19396</v>
      </c>
      <c r="I134">
        <v>19333.72</v>
      </c>
    </row>
    <row r="135" spans="1:9" hidden="1" x14ac:dyDescent="0.3">
      <c r="A135" t="s">
        <v>40</v>
      </c>
      <c r="B135" t="s">
        <v>92</v>
      </c>
      <c r="C135" t="s">
        <v>1630</v>
      </c>
      <c r="D135">
        <v>0</v>
      </c>
      <c r="E135">
        <v>0</v>
      </c>
      <c r="F135">
        <v>0</v>
      </c>
      <c r="G135">
        <v>4.67</v>
      </c>
      <c r="H135">
        <v>0</v>
      </c>
      <c r="I135">
        <v>0</v>
      </c>
    </row>
    <row r="136" spans="1:9" hidden="1" x14ac:dyDescent="0.3">
      <c r="A136" t="s">
        <v>40</v>
      </c>
      <c r="B136" t="s">
        <v>92</v>
      </c>
      <c r="C136" t="s">
        <v>1602</v>
      </c>
      <c r="D136">
        <v>364034.4</v>
      </c>
      <c r="E136">
        <v>210891.47</v>
      </c>
      <c r="F136">
        <v>333841.74</v>
      </c>
      <c r="G136">
        <v>320811.46000000002</v>
      </c>
      <c r="H136">
        <v>377118.37</v>
      </c>
      <c r="I136">
        <v>342736.54</v>
      </c>
    </row>
    <row r="137" spans="1:9" hidden="1" x14ac:dyDescent="0.3">
      <c r="A137" t="s">
        <v>40</v>
      </c>
      <c r="B137" t="s">
        <v>92</v>
      </c>
      <c r="C137" t="s">
        <v>1603</v>
      </c>
      <c r="D137">
        <v>293776.42</v>
      </c>
      <c r="E137">
        <v>145503.07</v>
      </c>
      <c r="F137">
        <v>187585.39</v>
      </c>
      <c r="G137">
        <v>257136.51</v>
      </c>
      <c r="H137">
        <v>305127.5</v>
      </c>
      <c r="I137">
        <v>303158.88</v>
      </c>
    </row>
    <row r="138" spans="1:9" hidden="1" x14ac:dyDescent="0.3">
      <c r="A138" t="s">
        <v>40</v>
      </c>
      <c r="B138" t="s">
        <v>92</v>
      </c>
      <c r="C138" t="s">
        <v>1631</v>
      </c>
      <c r="D138">
        <v>282064.77</v>
      </c>
      <c r="E138">
        <v>184508.2</v>
      </c>
      <c r="F138">
        <v>181195.43</v>
      </c>
      <c r="G138">
        <v>222577.76</v>
      </c>
      <c r="H138">
        <v>381916.61</v>
      </c>
      <c r="I138">
        <v>410119.29</v>
      </c>
    </row>
    <row r="139" spans="1:9" hidden="1" x14ac:dyDescent="0.3">
      <c r="A139" t="s">
        <v>40</v>
      </c>
      <c r="B139" t="s">
        <v>92</v>
      </c>
      <c r="C139" t="s">
        <v>1632</v>
      </c>
      <c r="D139">
        <v>413.51</v>
      </c>
      <c r="E139">
        <v>347.75</v>
      </c>
      <c r="F139">
        <v>347.75</v>
      </c>
      <c r="G139">
        <v>2026.81</v>
      </c>
      <c r="H139">
        <v>0</v>
      </c>
      <c r="I139">
        <v>0</v>
      </c>
    </row>
    <row r="140" spans="1:9" hidden="1" x14ac:dyDescent="0.3">
      <c r="A140" t="s">
        <v>40</v>
      </c>
      <c r="B140" t="s">
        <v>92</v>
      </c>
      <c r="C140" t="s">
        <v>1604</v>
      </c>
      <c r="D140">
        <v>180183.56</v>
      </c>
      <c r="E140">
        <v>80668.570000000007</v>
      </c>
      <c r="F140">
        <v>65821.179999999993</v>
      </c>
      <c r="G140">
        <v>98406.61</v>
      </c>
      <c r="H140">
        <v>96225.15</v>
      </c>
      <c r="I140">
        <v>61309.71</v>
      </c>
    </row>
    <row r="141" spans="1:9" hidden="1" x14ac:dyDescent="0.3">
      <c r="A141" t="s">
        <v>40</v>
      </c>
      <c r="B141" t="s">
        <v>92</v>
      </c>
      <c r="C141" t="s">
        <v>1633</v>
      </c>
      <c r="D141">
        <v>-168930.61</v>
      </c>
      <c r="E141">
        <v>-120051.75</v>
      </c>
      <c r="F141">
        <v>-59790.16</v>
      </c>
      <c r="G141">
        <v>-65879.91</v>
      </c>
      <c r="H141">
        <v>-173014.64</v>
      </c>
      <c r="I141">
        <v>-168276.57</v>
      </c>
    </row>
    <row r="142" spans="1:9" hidden="1" x14ac:dyDescent="0.3">
      <c r="A142" t="s">
        <v>40</v>
      </c>
      <c r="B142" t="s">
        <v>92</v>
      </c>
      <c r="C142" t="s">
        <v>1634</v>
      </c>
      <c r="D142">
        <v>45.19</v>
      </c>
      <c r="E142">
        <v>30.3</v>
      </c>
      <c r="F142">
        <v>11.2</v>
      </c>
      <c r="G142">
        <v>5.24</v>
      </c>
      <c r="H142">
        <v>0.38</v>
      </c>
      <c r="I142">
        <v>6.44</v>
      </c>
    </row>
    <row r="143" spans="1:9" hidden="1" x14ac:dyDescent="0.3">
      <c r="A143" t="s">
        <v>40</v>
      </c>
      <c r="B143" t="s">
        <v>92</v>
      </c>
      <c r="C143" t="s">
        <v>1635</v>
      </c>
      <c r="D143">
        <v>15422.4</v>
      </c>
      <c r="E143">
        <v>21626.67</v>
      </c>
      <c r="F143">
        <v>98576.54</v>
      </c>
      <c r="G143">
        <v>24265.82</v>
      </c>
      <c r="H143">
        <v>17680.2</v>
      </c>
      <c r="I143">
        <v>10507.17</v>
      </c>
    </row>
    <row r="144" spans="1:9" hidden="1" x14ac:dyDescent="0.3">
      <c r="A144" t="s">
        <v>40</v>
      </c>
      <c r="B144" t="s">
        <v>92</v>
      </c>
      <c r="C144" t="s">
        <v>1605</v>
      </c>
      <c r="D144">
        <v>32603.18</v>
      </c>
      <c r="E144">
        <v>32279.58</v>
      </c>
      <c r="F144">
        <v>28296.19</v>
      </c>
      <c r="G144">
        <v>18700.75</v>
      </c>
      <c r="H144">
        <v>13053.26</v>
      </c>
      <c r="I144">
        <v>18810.09</v>
      </c>
    </row>
    <row r="145" spans="1:9" hidden="1" x14ac:dyDescent="0.3">
      <c r="A145" t="s">
        <v>40</v>
      </c>
      <c r="B145" t="s">
        <v>92</v>
      </c>
      <c r="C145" t="s">
        <v>1606</v>
      </c>
      <c r="D145">
        <v>22232.400000000001</v>
      </c>
      <c r="E145">
        <v>11482.15</v>
      </c>
      <c r="F145">
        <v>19383.61</v>
      </c>
      <c r="G145">
        <v>20708.38</v>
      </c>
      <c r="H145">
        <v>41257.410000000003</v>
      </c>
      <c r="I145">
        <v>10260.4</v>
      </c>
    </row>
    <row r="146" spans="1:9" hidden="1" x14ac:dyDescent="0.3">
      <c r="A146" t="s">
        <v>40</v>
      </c>
      <c r="B146" t="s">
        <v>92</v>
      </c>
      <c r="C146" t="s">
        <v>1608</v>
      </c>
      <c r="D146">
        <v>375766.44</v>
      </c>
      <c r="E146">
        <v>229665.52</v>
      </c>
      <c r="F146">
        <v>358831.4</v>
      </c>
      <c r="G146">
        <v>349522.19</v>
      </c>
      <c r="H146">
        <v>406993.66</v>
      </c>
      <c r="I146">
        <v>372945.32</v>
      </c>
    </row>
    <row r="147" spans="1:9" hidden="1" x14ac:dyDescent="0.3">
      <c r="A147" t="s">
        <v>40</v>
      </c>
      <c r="B147" t="s">
        <v>92</v>
      </c>
      <c r="C147" t="s">
        <v>1609</v>
      </c>
      <c r="D147">
        <v>-1850416.55</v>
      </c>
      <c r="E147">
        <v>-1904023.57</v>
      </c>
      <c r="F147">
        <v>-1456277.19</v>
      </c>
      <c r="G147">
        <v>-1072524.8899999999</v>
      </c>
      <c r="H147">
        <v>-591723.25</v>
      </c>
      <c r="I147">
        <v>-607215.62</v>
      </c>
    </row>
    <row r="148" spans="1:9" hidden="1" x14ac:dyDescent="0.3">
      <c r="A148" t="s">
        <v>40</v>
      </c>
      <c r="B148" t="s">
        <v>92</v>
      </c>
      <c r="C148" t="s">
        <v>1610</v>
      </c>
      <c r="D148">
        <v>-1850416.55</v>
      </c>
      <c r="E148">
        <v>-1904023.57</v>
      </c>
      <c r="F148">
        <v>-1456277.19</v>
      </c>
      <c r="G148">
        <v>-1072524.8899999999</v>
      </c>
      <c r="H148">
        <v>-591723.25</v>
      </c>
      <c r="I148">
        <v>-607215.62</v>
      </c>
    </row>
    <row r="149" spans="1:9" hidden="1" x14ac:dyDescent="0.3">
      <c r="A149" t="s">
        <v>40</v>
      </c>
      <c r="B149" t="s">
        <v>92</v>
      </c>
      <c r="C149" t="s">
        <v>1611</v>
      </c>
      <c r="D149">
        <v>1033.99</v>
      </c>
      <c r="E149">
        <v>1033.99</v>
      </c>
      <c r="F149">
        <v>1033.99</v>
      </c>
      <c r="G149">
        <v>700</v>
      </c>
      <c r="H149">
        <v>700</v>
      </c>
      <c r="I149">
        <v>700</v>
      </c>
    </row>
    <row r="150" spans="1:9" hidden="1" x14ac:dyDescent="0.3">
      <c r="A150" t="s">
        <v>40</v>
      </c>
      <c r="B150" t="s">
        <v>92</v>
      </c>
      <c r="C150" t="s">
        <v>1636</v>
      </c>
      <c r="D150">
        <v>33065.39</v>
      </c>
      <c r="E150">
        <v>33065.39</v>
      </c>
      <c r="F150">
        <v>33065.39</v>
      </c>
      <c r="G150">
        <v>0</v>
      </c>
      <c r="H150">
        <v>0</v>
      </c>
      <c r="I150">
        <v>30.5</v>
      </c>
    </row>
    <row r="151" spans="1:9" hidden="1" x14ac:dyDescent="0.3">
      <c r="A151" t="s">
        <v>40</v>
      </c>
      <c r="B151" t="s">
        <v>92</v>
      </c>
      <c r="C151" t="s">
        <v>1612</v>
      </c>
      <c r="D151">
        <v>15551.14</v>
      </c>
      <c r="E151">
        <v>15551.14</v>
      </c>
      <c r="F151">
        <v>15551.14</v>
      </c>
      <c r="G151">
        <v>15551.14</v>
      </c>
      <c r="H151">
        <v>15551.14</v>
      </c>
      <c r="I151">
        <v>15551.14</v>
      </c>
    </row>
    <row r="152" spans="1:9" hidden="1" x14ac:dyDescent="0.3">
      <c r="A152" t="s">
        <v>40</v>
      </c>
      <c r="B152" t="s">
        <v>92</v>
      </c>
      <c r="C152" t="s">
        <v>1613</v>
      </c>
      <c r="D152">
        <v>-2006388.59</v>
      </c>
      <c r="E152">
        <v>-1557436.35</v>
      </c>
      <c r="F152">
        <v>-1140284.67</v>
      </c>
      <c r="G152">
        <v>-658523.27</v>
      </c>
      <c r="H152">
        <v>-675446.15</v>
      </c>
      <c r="I152">
        <v>-488886.41</v>
      </c>
    </row>
    <row r="153" spans="1:9" hidden="1" x14ac:dyDescent="0.3">
      <c r="A153" t="s">
        <v>40</v>
      </c>
      <c r="B153" t="s">
        <v>92</v>
      </c>
      <c r="C153" t="s">
        <v>1614</v>
      </c>
      <c r="D153">
        <v>53607.02</v>
      </c>
      <c r="E153">
        <v>-448952.24</v>
      </c>
      <c r="F153">
        <v>-417151.68</v>
      </c>
      <c r="G153">
        <v>-481761.4</v>
      </c>
      <c r="H153">
        <v>16922.87</v>
      </c>
      <c r="I153">
        <v>-185159.73</v>
      </c>
    </row>
    <row r="154" spans="1:9" hidden="1" x14ac:dyDescent="0.3">
      <c r="A154" t="s">
        <v>40</v>
      </c>
      <c r="B154" t="s">
        <v>92</v>
      </c>
      <c r="C154" t="s">
        <v>1642</v>
      </c>
      <c r="D154">
        <v>52714.49</v>
      </c>
      <c r="E154">
        <v>52714.49</v>
      </c>
      <c r="F154">
        <v>51508.63</v>
      </c>
      <c r="G154">
        <v>51508.63</v>
      </c>
      <c r="H154">
        <v>50548.88</v>
      </c>
      <c r="I154">
        <v>50548.88</v>
      </c>
    </row>
    <row r="155" spans="1:9" hidden="1" x14ac:dyDescent="0.3">
      <c r="A155" t="s">
        <v>40</v>
      </c>
      <c r="B155" t="s">
        <v>92</v>
      </c>
      <c r="C155" t="s">
        <v>1615</v>
      </c>
      <c r="D155">
        <v>2226182.98</v>
      </c>
      <c r="E155">
        <v>2133689.09</v>
      </c>
      <c r="F155">
        <v>1815108.59</v>
      </c>
      <c r="G155">
        <v>1422047.08</v>
      </c>
      <c r="H155">
        <v>998716.91</v>
      </c>
      <c r="I155">
        <v>980160.94</v>
      </c>
    </row>
    <row r="156" spans="1:9" hidden="1" x14ac:dyDescent="0.3">
      <c r="A156" t="s">
        <v>40</v>
      </c>
      <c r="B156" t="s">
        <v>92</v>
      </c>
      <c r="C156" t="s">
        <v>1616</v>
      </c>
      <c r="D156">
        <v>747149.96</v>
      </c>
      <c r="E156">
        <v>699664.07</v>
      </c>
      <c r="F156">
        <v>704803.42</v>
      </c>
      <c r="G156">
        <v>284637.92</v>
      </c>
      <c r="H156">
        <v>252648.41</v>
      </c>
      <c r="I156">
        <v>136949.59</v>
      </c>
    </row>
    <row r="157" spans="1:9" hidden="1" x14ac:dyDescent="0.3">
      <c r="A157" t="s">
        <v>40</v>
      </c>
      <c r="B157" t="s">
        <v>92</v>
      </c>
      <c r="C157" t="s">
        <v>1643</v>
      </c>
      <c r="D157">
        <v>0</v>
      </c>
      <c r="E157">
        <v>0</v>
      </c>
      <c r="F157">
        <v>0</v>
      </c>
      <c r="G157">
        <v>0</v>
      </c>
      <c r="H157">
        <v>45151.07</v>
      </c>
      <c r="I157">
        <v>0</v>
      </c>
    </row>
    <row r="158" spans="1:9" hidden="1" x14ac:dyDescent="0.3">
      <c r="A158" t="s">
        <v>40</v>
      </c>
      <c r="B158" t="s">
        <v>92</v>
      </c>
      <c r="C158" t="s">
        <v>1617</v>
      </c>
      <c r="D158">
        <v>747127.46</v>
      </c>
      <c r="E158">
        <v>699652.34</v>
      </c>
      <c r="F158">
        <v>704792.2</v>
      </c>
      <c r="G158">
        <v>284631.63</v>
      </c>
      <c r="H158">
        <v>207489.88</v>
      </c>
      <c r="I158">
        <v>136941.94</v>
      </c>
    </row>
    <row r="159" spans="1:9" hidden="1" x14ac:dyDescent="0.3">
      <c r="A159" t="s">
        <v>40</v>
      </c>
      <c r="B159" t="s">
        <v>92</v>
      </c>
      <c r="C159" t="s">
        <v>1618</v>
      </c>
      <c r="D159">
        <v>22.5</v>
      </c>
      <c r="E159">
        <v>11.72</v>
      </c>
      <c r="F159">
        <v>11.22</v>
      </c>
      <c r="G159">
        <v>6.29</v>
      </c>
      <c r="H159">
        <v>7.46</v>
      </c>
      <c r="I159">
        <v>7.65</v>
      </c>
    </row>
    <row r="160" spans="1:9" hidden="1" x14ac:dyDescent="0.3">
      <c r="A160" t="s">
        <v>40</v>
      </c>
      <c r="B160" t="s">
        <v>92</v>
      </c>
      <c r="C160" t="s">
        <v>1619</v>
      </c>
      <c r="D160">
        <v>1479033.02</v>
      </c>
      <c r="E160">
        <v>1434025.02</v>
      </c>
      <c r="F160">
        <v>1110305.18</v>
      </c>
      <c r="G160">
        <v>1137409.1599999999</v>
      </c>
      <c r="H160">
        <v>746068.5</v>
      </c>
      <c r="I160">
        <v>843211.35</v>
      </c>
    </row>
    <row r="161" spans="1:9" hidden="1" x14ac:dyDescent="0.3">
      <c r="A161" t="s">
        <v>40</v>
      </c>
      <c r="B161" t="s">
        <v>92</v>
      </c>
      <c r="C161" t="s">
        <v>1638</v>
      </c>
      <c r="D161">
        <v>0</v>
      </c>
      <c r="E161">
        <v>0.12</v>
      </c>
      <c r="F161">
        <v>9990.3700000000008</v>
      </c>
      <c r="G161">
        <v>20012.099999999999</v>
      </c>
      <c r="H161">
        <v>9353.07</v>
      </c>
      <c r="I161">
        <v>84807.19</v>
      </c>
    </row>
    <row r="162" spans="1:9" hidden="1" x14ac:dyDescent="0.3">
      <c r="A162" t="s">
        <v>40</v>
      </c>
      <c r="B162" t="s">
        <v>92</v>
      </c>
      <c r="C162" t="s">
        <v>1620</v>
      </c>
      <c r="D162">
        <v>1373479.02</v>
      </c>
      <c r="E162">
        <v>1339039.29</v>
      </c>
      <c r="F162">
        <v>1004253.96</v>
      </c>
      <c r="G162">
        <v>999172.39</v>
      </c>
      <c r="H162">
        <v>728319.77</v>
      </c>
      <c r="I162">
        <v>750332.06</v>
      </c>
    </row>
    <row r="163" spans="1:9" hidden="1" x14ac:dyDescent="0.3">
      <c r="A163" t="s">
        <v>40</v>
      </c>
      <c r="B163" t="s">
        <v>92</v>
      </c>
      <c r="C163" t="s">
        <v>1621</v>
      </c>
      <c r="D163">
        <v>1299330.9099999999</v>
      </c>
      <c r="E163">
        <v>1261758.04</v>
      </c>
      <c r="F163">
        <v>895944.46</v>
      </c>
      <c r="G163">
        <v>834934.75</v>
      </c>
      <c r="H163">
        <v>683159.56</v>
      </c>
      <c r="I163">
        <v>722056.46</v>
      </c>
    </row>
    <row r="164" spans="1:9" hidden="1" x14ac:dyDescent="0.3">
      <c r="A164" t="s">
        <v>40</v>
      </c>
      <c r="B164" t="s">
        <v>92</v>
      </c>
      <c r="C164" t="s">
        <v>1622</v>
      </c>
      <c r="D164">
        <v>74148.12</v>
      </c>
      <c r="E164">
        <v>77281.25</v>
      </c>
      <c r="F164">
        <v>108309.5</v>
      </c>
      <c r="G164">
        <v>164237.65</v>
      </c>
      <c r="H164">
        <v>45160.21</v>
      </c>
      <c r="I164">
        <v>28275.599999999999</v>
      </c>
    </row>
    <row r="165" spans="1:9" hidden="1" x14ac:dyDescent="0.3">
      <c r="A165" t="s">
        <v>40</v>
      </c>
      <c r="B165" t="s">
        <v>92</v>
      </c>
      <c r="C165" t="s">
        <v>1617</v>
      </c>
      <c r="D165">
        <v>10753.42</v>
      </c>
      <c r="E165">
        <v>8061.55</v>
      </c>
      <c r="F165">
        <v>28673.83</v>
      </c>
      <c r="G165">
        <v>30338.31</v>
      </c>
      <c r="H165">
        <v>5441.09</v>
      </c>
      <c r="I165">
        <v>4953.58</v>
      </c>
    </row>
    <row r="166" spans="1:9" hidden="1" x14ac:dyDescent="0.3">
      <c r="A166" t="s">
        <v>40</v>
      </c>
      <c r="B166" t="s">
        <v>92</v>
      </c>
      <c r="C166" t="s">
        <v>1623</v>
      </c>
      <c r="D166">
        <v>90383.52</v>
      </c>
      <c r="E166">
        <v>81801.45</v>
      </c>
      <c r="F166">
        <v>62968.58</v>
      </c>
      <c r="G166">
        <v>83998.37</v>
      </c>
      <c r="H166">
        <v>555.41</v>
      </c>
      <c r="I166">
        <v>489.73</v>
      </c>
    </row>
    <row r="167" spans="1:9" hidden="1" x14ac:dyDescent="0.3">
      <c r="A167" t="s">
        <v>40</v>
      </c>
      <c r="B167" t="s">
        <v>92</v>
      </c>
      <c r="C167" t="s">
        <v>1640</v>
      </c>
      <c r="D167">
        <v>4417.0600000000004</v>
      </c>
      <c r="E167">
        <v>5122.62</v>
      </c>
      <c r="F167">
        <v>4418.4399999999996</v>
      </c>
      <c r="G167">
        <v>3887.99</v>
      </c>
      <c r="H167">
        <v>2399.16</v>
      </c>
      <c r="I167">
        <v>2628.78</v>
      </c>
    </row>
    <row r="168" spans="1:9" hidden="1" x14ac:dyDescent="0.3">
      <c r="A168" t="s">
        <v>33</v>
      </c>
      <c r="B168" t="s">
        <v>92</v>
      </c>
      <c r="C168" t="s">
        <v>1575</v>
      </c>
      <c r="D168">
        <v>1525033.3</v>
      </c>
      <c r="E168">
        <v>1381475.77</v>
      </c>
      <c r="F168">
        <v>1338988.77</v>
      </c>
      <c r="G168">
        <v>1382604.48</v>
      </c>
      <c r="H168">
        <v>1106497.73</v>
      </c>
      <c r="I168">
        <v>977788.73</v>
      </c>
    </row>
    <row r="169" spans="1:9" hidden="1" x14ac:dyDescent="0.3">
      <c r="A169" t="s">
        <v>33</v>
      </c>
      <c r="B169" t="s">
        <v>92</v>
      </c>
      <c r="C169" t="s">
        <v>1624</v>
      </c>
      <c r="D169">
        <v>1525033.3</v>
      </c>
      <c r="E169">
        <v>1381475.77</v>
      </c>
      <c r="F169">
        <v>1338988.77</v>
      </c>
      <c r="G169">
        <v>1382604.48</v>
      </c>
      <c r="H169">
        <v>1106497.73</v>
      </c>
      <c r="I169">
        <v>977788.73</v>
      </c>
    </row>
    <row r="170" spans="1:9" hidden="1" x14ac:dyDescent="0.3">
      <c r="A170" t="s">
        <v>33</v>
      </c>
      <c r="B170" t="s">
        <v>92</v>
      </c>
      <c r="C170" t="s">
        <v>1577</v>
      </c>
      <c r="D170">
        <v>378.38</v>
      </c>
      <c r="E170">
        <v>769.9</v>
      </c>
      <c r="F170">
        <v>670.76</v>
      </c>
      <c r="G170">
        <v>355.07</v>
      </c>
      <c r="H170">
        <v>416.4</v>
      </c>
      <c r="I170">
        <v>2197.6799999999998</v>
      </c>
    </row>
    <row r="171" spans="1:9" hidden="1" x14ac:dyDescent="0.3">
      <c r="A171" t="s">
        <v>33</v>
      </c>
      <c r="B171" t="s">
        <v>92</v>
      </c>
      <c r="C171" t="s">
        <v>1578</v>
      </c>
      <c r="D171">
        <v>28011.58</v>
      </c>
      <c r="E171">
        <v>25773.360000000001</v>
      </c>
      <c r="F171">
        <v>21152.89</v>
      </c>
      <c r="G171">
        <v>23029.02</v>
      </c>
      <c r="H171">
        <v>17996.39</v>
      </c>
      <c r="I171">
        <v>17807.46</v>
      </c>
    </row>
    <row r="172" spans="1:9" hidden="1" x14ac:dyDescent="0.3">
      <c r="A172" t="s">
        <v>33</v>
      </c>
      <c r="B172" t="s">
        <v>92</v>
      </c>
      <c r="C172" t="s">
        <v>1625</v>
      </c>
      <c r="D172">
        <v>63023.23</v>
      </c>
      <c r="E172">
        <v>62879.94</v>
      </c>
      <c r="F172">
        <v>50795.26</v>
      </c>
      <c r="G172">
        <v>44995.73</v>
      </c>
      <c r="H172">
        <v>42580.14</v>
      </c>
      <c r="I172">
        <v>43911.21</v>
      </c>
    </row>
    <row r="173" spans="1:9" hidden="1" x14ac:dyDescent="0.3">
      <c r="A173" t="s">
        <v>33</v>
      </c>
      <c r="B173" t="s">
        <v>92</v>
      </c>
      <c r="C173" t="s">
        <v>1626</v>
      </c>
      <c r="D173">
        <v>291.67</v>
      </c>
      <c r="E173">
        <v>356.57</v>
      </c>
      <c r="F173">
        <v>245.03</v>
      </c>
      <c r="G173">
        <v>69.349999999999994</v>
      </c>
      <c r="H173">
        <v>108.44</v>
      </c>
      <c r="I173">
        <v>412.88</v>
      </c>
    </row>
    <row r="174" spans="1:9" hidden="1" x14ac:dyDescent="0.3">
      <c r="A174" t="s">
        <v>33</v>
      </c>
      <c r="B174" t="s">
        <v>92</v>
      </c>
      <c r="C174" t="s">
        <v>1627</v>
      </c>
      <c r="D174">
        <v>-1215.74</v>
      </c>
      <c r="E174">
        <v>-1070.18</v>
      </c>
      <c r="F174">
        <v>-1049.03</v>
      </c>
      <c r="G174">
        <v>-908.78</v>
      </c>
      <c r="H174">
        <v>-916.27</v>
      </c>
      <c r="I174">
        <v>-964.22</v>
      </c>
    </row>
    <row r="175" spans="1:9" hidden="1" x14ac:dyDescent="0.3">
      <c r="A175" t="s">
        <v>33</v>
      </c>
      <c r="B175" t="s">
        <v>92</v>
      </c>
      <c r="C175" t="s">
        <v>1576</v>
      </c>
      <c r="D175">
        <v>1791363.35</v>
      </c>
      <c r="E175">
        <v>1414077.02</v>
      </c>
      <c r="F175">
        <v>1523882.6</v>
      </c>
      <c r="G175">
        <v>1395214.66</v>
      </c>
      <c r="H175">
        <v>1064010.77</v>
      </c>
      <c r="I175">
        <v>977582.38</v>
      </c>
    </row>
    <row r="176" spans="1:9" hidden="1" x14ac:dyDescent="0.3">
      <c r="A176" t="s">
        <v>33</v>
      </c>
      <c r="B176" t="s">
        <v>92</v>
      </c>
      <c r="C176" t="s">
        <v>1579</v>
      </c>
      <c r="D176">
        <v>4339.83</v>
      </c>
      <c r="E176">
        <v>3712.3</v>
      </c>
      <c r="F176">
        <v>4334.34</v>
      </c>
      <c r="G176">
        <v>3353.47</v>
      </c>
      <c r="H176">
        <v>3444.77</v>
      </c>
      <c r="I176">
        <v>3388.11</v>
      </c>
    </row>
    <row r="177" spans="1:9" hidden="1" x14ac:dyDescent="0.3">
      <c r="A177" t="s">
        <v>33</v>
      </c>
      <c r="B177" t="s">
        <v>92</v>
      </c>
      <c r="C177" t="s">
        <v>1583</v>
      </c>
      <c r="D177">
        <v>-363590.48</v>
      </c>
      <c r="E177">
        <v>-127163.49</v>
      </c>
      <c r="F177">
        <v>-263141.15000000002</v>
      </c>
      <c r="G177">
        <v>-85321.59</v>
      </c>
      <c r="H177">
        <v>-22975.439999999999</v>
      </c>
      <c r="I177">
        <v>-68475.210000000006</v>
      </c>
    </row>
    <row r="178" spans="1:9" hidden="1" x14ac:dyDescent="0.3">
      <c r="A178" t="s">
        <v>33</v>
      </c>
      <c r="B178" t="s">
        <v>92</v>
      </c>
      <c r="C178" t="s">
        <v>1584</v>
      </c>
      <c r="D178">
        <v>-359250.65</v>
      </c>
      <c r="E178">
        <v>-123451.19</v>
      </c>
      <c r="F178">
        <v>-258806.81</v>
      </c>
      <c r="G178">
        <v>-81968.12</v>
      </c>
      <c r="H178">
        <v>-19530.68</v>
      </c>
      <c r="I178">
        <v>-65087.1</v>
      </c>
    </row>
    <row r="179" spans="1:9" hidden="1" x14ac:dyDescent="0.3">
      <c r="A179" t="s">
        <v>33</v>
      </c>
      <c r="B179" t="s">
        <v>92</v>
      </c>
      <c r="C179" t="s">
        <v>1585</v>
      </c>
      <c r="D179">
        <v>-10214.06</v>
      </c>
      <c r="E179">
        <v>-12650.22</v>
      </c>
      <c r="F179">
        <v>-10376.99</v>
      </c>
      <c r="G179">
        <v>-4275.93</v>
      </c>
      <c r="H179">
        <v>-3183.41</v>
      </c>
      <c r="I179">
        <v>-3642.76</v>
      </c>
    </row>
    <row r="180" spans="1:9" hidden="1" x14ac:dyDescent="0.3">
      <c r="A180" t="s">
        <v>33</v>
      </c>
      <c r="B180" t="s">
        <v>92</v>
      </c>
      <c r="C180" t="s">
        <v>1588</v>
      </c>
      <c r="D180">
        <v>10214.06</v>
      </c>
      <c r="E180">
        <v>12650.22</v>
      </c>
      <c r="F180">
        <v>10376.99</v>
      </c>
      <c r="G180">
        <v>4275.93</v>
      </c>
      <c r="H180">
        <v>3183.41</v>
      </c>
      <c r="I180">
        <v>3642.76</v>
      </c>
    </row>
    <row r="181" spans="1:9" hidden="1" x14ac:dyDescent="0.3">
      <c r="A181" t="s">
        <v>33</v>
      </c>
      <c r="B181" t="s">
        <v>92</v>
      </c>
      <c r="C181" t="s">
        <v>1628</v>
      </c>
      <c r="D181">
        <v>10214.06</v>
      </c>
      <c r="E181">
        <v>12650.22</v>
      </c>
      <c r="F181">
        <v>10376.99</v>
      </c>
      <c r="G181">
        <v>4275.93</v>
      </c>
      <c r="H181">
        <v>3183.41</v>
      </c>
      <c r="I181">
        <v>3642.76</v>
      </c>
    </row>
    <row r="182" spans="1:9" hidden="1" x14ac:dyDescent="0.3">
      <c r="A182" t="s">
        <v>33</v>
      </c>
      <c r="B182" t="s">
        <v>92</v>
      </c>
      <c r="C182" t="s">
        <v>1590</v>
      </c>
      <c r="D182">
        <v>3148.51</v>
      </c>
      <c r="E182">
        <v>-1355.15</v>
      </c>
      <c r="F182">
        <v>4046.21</v>
      </c>
      <c r="G182">
        <v>30159.48</v>
      </c>
      <c r="H182">
        <v>12292.75</v>
      </c>
      <c r="I182">
        <v>3928.21</v>
      </c>
    </row>
    <row r="183" spans="1:9" hidden="1" x14ac:dyDescent="0.3">
      <c r="A183" t="s">
        <v>33</v>
      </c>
      <c r="B183" t="s">
        <v>92</v>
      </c>
      <c r="C183" t="s">
        <v>1591</v>
      </c>
      <c r="D183">
        <v>5568.24</v>
      </c>
      <c r="E183">
        <v>4067.16</v>
      </c>
      <c r="F183">
        <v>7432.26</v>
      </c>
      <c r="G183">
        <v>34446.93</v>
      </c>
      <c r="H183">
        <v>16472.28</v>
      </c>
      <c r="I183">
        <v>6569.41</v>
      </c>
    </row>
    <row r="184" spans="1:9" hidden="1" x14ac:dyDescent="0.3">
      <c r="A184" t="s">
        <v>33</v>
      </c>
      <c r="B184" t="s">
        <v>92</v>
      </c>
      <c r="C184" t="s">
        <v>1592</v>
      </c>
      <c r="D184">
        <v>2419.7199999999998</v>
      </c>
      <c r="E184">
        <v>5422.31</v>
      </c>
      <c r="F184">
        <v>3386.05</v>
      </c>
      <c r="G184">
        <v>4287.45</v>
      </c>
      <c r="H184">
        <v>4179.53</v>
      </c>
      <c r="I184">
        <v>2641.2</v>
      </c>
    </row>
    <row r="185" spans="1:9" hidden="1" x14ac:dyDescent="0.3">
      <c r="A185" t="s">
        <v>33</v>
      </c>
      <c r="B185" t="s">
        <v>92</v>
      </c>
      <c r="C185" t="s">
        <v>1593</v>
      </c>
      <c r="D185">
        <v>-370656.03</v>
      </c>
      <c r="E185">
        <v>-141168.85999999999</v>
      </c>
      <c r="F185">
        <v>-269471.93</v>
      </c>
      <c r="G185">
        <v>-59438.04</v>
      </c>
      <c r="H185">
        <v>-13866.11</v>
      </c>
      <c r="I185">
        <v>-68189.75</v>
      </c>
    </row>
    <row r="186" spans="1:9" hidden="1" x14ac:dyDescent="0.3">
      <c r="A186" t="s">
        <v>33</v>
      </c>
      <c r="B186" t="s">
        <v>92</v>
      </c>
      <c r="C186" t="s">
        <v>1594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16200</v>
      </c>
    </row>
    <row r="187" spans="1:9" hidden="1" x14ac:dyDescent="0.3">
      <c r="A187" t="s">
        <v>33</v>
      </c>
      <c r="B187" t="s">
        <v>92</v>
      </c>
      <c r="C187" t="s">
        <v>1595</v>
      </c>
      <c r="D187">
        <v>-370656.03</v>
      </c>
      <c r="E187">
        <v>-141168.85999999999</v>
      </c>
      <c r="F187">
        <v>-269471.93</v>
      </c>
      <c r="G187">
        <v>-59438.04</v>
      </c>
      <c r="H187">
        <v>-13866.11</v>
      </c>
      <c r="I187">
        <v>-51989.75</v>
      </c>
    </row>
    <row r="188" spans="1:9" hidden="1" x14ac:dyDescent="0.3">
      <c r="A188" t="s">
        <v>33</v>
      </c>
      <c r="B188" t="s">
        <v>92</v>
      </c>
      <c r="C188" t="s">
        <v>1596</v>
      </c>
      <c r="D188">
        <v>-370656.03</v>
      </c>
      <c r="E188">
        <v>-141168.85999999999</v>
      </c>
      <c r="F188">
        <v>-269471.93</v>
      </c>
      <c r="G188">
        <v>-59438.04</v>
      </c>
      <c r="H188">
        <v>-13866.11</v>
      </c>
      <c r="I188">
        <v>-51989.75</v>
      </c>
    </row>
    <row r="189" spans="1:9" hidden="1" x14ac:dyDescent="0.3">
      <c r="A189" t="s">
        <v>33</v>
      </c>
      <c r="B189" t="s">
        <v>92</v>
      </c>
      <c r="C189" t="s">
        <v>1597</v>
      </c>
      <c r="D189">
        <v>264747.43</v>
      </c>
      <c r="E189">
        <v>285950.46999999997</v>
      </c>
      <c r="F189">
        <v>289098.34999999998</v>
      </c>
      <c r="G189">
        <v>378271.47</v>
      </c>
      <c r="H189">
        <v>295278.87</v>
      </c>
      <c r="I189">
        <v>274300.55</v>
      </c>
    </row>
    <row r="190" spans="1:9" hidden="1" x14ac:dyDescent="0.3">
      <c r="A190" t="s">
        <v>33</v>
      </c>
      <c r="B190" t="s">
        <v>92</v>
      </c>
      <c r="C190" t="s">
        <v>1598</v>
      </c>
      <c r="D190">
        <v>73662.149999999994</v>
      </c>
      <c r="E190">
        <v>74973.61</v>
      </c>
      <c r="F190">
        <v>70580.62</v>
      </c>
      <c r="G190">
        <v>70800.12</v>
      </c>
      <c r="H190">
        <v>70877.47</v>
      </c>
      <c r="I190">
        <v>72128.69</v>
      </c>
    </row>
    <row r="191" spans="1:9" hidden="1" x14ac:dyDescent="0.3">
      <c r="A191" t="s">
        <v>33</v>
      </c>
      <c r="B191" t="s">
        <v>92</v>
      </c>
      <c r="C191" t="s">
        <v>1599</v>
      </c>
      <c r="D191">
        <v>13446.42</v>
      </c>
      <c r="E191">
        <v>13617.32</v>
      </c>
      <c r="F191">
        <v>8334.89</v>
      </c>
      <c r="G191">
        <v>8268.17</v>
      </c>
      <c r="H191">
        <v>8485.2900000000009</v>
      </c>
      <c r="I191">
        <v>8949.23</v>
      </c>
    </row>
    <row r="192" spans="1:9" hidden="1" x14ac:dyDescent="0.3">
      <c r="A192" t="s">
        <v>33</v>
      </c>
      <c r="B192" t="s">
        <v>92</v>
      </c>
      <c r="C192" t="s">
        <v>1629</v>
      </c>
      <c r="D192">
        <v>4015.73</v>
      </c>
      <c r="E192">
        <v>5156.3</v>
      </c>
      <c r="F192">
        <v>6045.73</v>
      </c>
      <c r="G192">
        <v>6331.95</v>
      </c>
      <c r="H192">
        <v>6192.19</v>
      </c>
      <c r="I192">
        <v>6979.46</v>
      </c>
    </row>
    <row r="193" spans="1:9" hidden="1" x14ac:dyDescent="0.3">
      <c r="A193" t="s">
        <v>33</v>
      </c>
      <c r="B193" t="s">
        <v>92</v>
      </c>
      <c r="C193" t="s">
        <v>1630</v>
      </c>
      <c r="D193">
        <v>56200</v>
      </c>
      <c r="E193">
        <v>56200</v>
      </c>
      <c r="F193">
        <v>56200</v>
      </c>
      <c r="G193">
        <v>56200</v>
      </c>
      <c r="H193">
        <v>56200</v>
      </c>
      <c r="I193">
        <v>56200</v>
      </c>
    </row>
    <row r="194" spans="1:9" hidden="1" x14ac:dyDescent="0.3">
      <c r="A194" t="s">
        <v>33</v>
      </c>
      <c r="B194" t="s">
        <v>92</v>
      </c>
      <c r="C194" t="s">
        <v>1602</v>
      </c>
      <c r="D194">
        <v>191085.27</v>
      </c>
      <c r="E194">
        <v>210976.86</v>
      </c>
      <c r="F194">
        <v>218517.72</v>
      </c>
      <c r="G194">
        <v>307471.34000000003</v>
      </c>
      <c r="H194">
        <v>224401.4</v>
      </c>
      <c r="I194">
        <v>202171.86</v>
      </c>
    </row>
    <row r="195" spans="1:9" hidden="1" x14ac:dyDescent="0.3">
      <c r="A195" t="s">
        <v>33</v>
      </c>
      <c r="B195" t="s">
        <v>92</v>
      </c>
      <c r="C195" t="s">
        <v>1603</v>
      </c>
      <c r="D195">
        <v>162196.01999999999</v>
      </c>
      <c r="E195">
        <v>196264.8</v>
      </c>
      <c r="F195">
        <v>190506.82</v>
      </c>
      <c r="G195">
        <v>237185.78</v>
      </c>
      <c r="H195">
        <v>172148.18</v>
      </c>
      <c r="I195">
        <v>182939.75</v>
      </c>
    </row>
    <row r="196" spans="1:9" hidden="1" x14ac:dyDescent="0.3">
      <c r="A196" t="s">
        <v>33</v>
      </c>
      <c r="B196" t="s">
        <v>92</v>
      </c>
      <c r="C196" t="s">
        <v>1631</v>
      </c>
      <c r="D196">
        <v>187711.79</v>
      </c>
      <c r="E196">
        <v>125445.73</v>
      </c>
      <c r="F196">
        <v>145449.22</v>
      </c>
      <c r="G196">
        <v>170808.55</v>
      </c>
      <c r="H196">
        <v>234649.9</v>
      </c>
      <c r="I196">
        <v>245944.08</v>
      </c>
    </row>
    <row r="197" spans="1:9" hidden="1" x14ac:dyDescent="0.3">
      <c r="A197" t="s">
        <v>33</v>
      </c>
      <c r="B197" t="s">
        <v>92</v>
      </c>
      <c r="C197" t="s">
        <v>1604</v>
      </c>
      <c r="D197">
        <v>1192.31</v>
      </c>
      <c r="E197">
        <v>112005.65</v>
      </c>
      <c r="F197">
        <v>114429.92</v>
      </c>
      <c r="G197">
        <v>133601.82999999999</v>
      </c>
      <c r="H197">
        <v>6860.11</v>
      </c>
      <c r="I197">
        <v>3845.97</v>
      </c>
    </row>
    <row r="198" spans="1:9" hidden="1" x14ac:dyDescent="0.3">
      <c r="A198" t="s">
        <v>33</v>
      </c>
      <c r="B198" t="s">
        <v>92</v>
      </c>
      <c r="C198" t="s">
        <v>1633</v>
      </c>
      <c r="D198">
        <v>-31382.5</v>
      </c>
      <c r="E198">
        <v>-44423.19</v>
      </c>
      <c r="F198">
        <v>-71613.86</v>
      </c>
      <c r="G198">
        <v>-70023.47</v>
      </c>
      <c r="H198">
        <v>-71244.55</v>
      </c>
      <c r="I198">
        <v>-68681.460000000006</v>
      </c>
    </row>
    <row r="199" spans="1:9" hidden="1" x14ac:dyDescent="0.3">
      <c r="A199" t="s">
        <v>33</v>
      </c>
      <c r="B199" t="s">
        <v>92</v>
      </c>
      <c r="C199" t="s">
        <v>1634</v>
      </c>
      <c r="D199">
        <v>4674.41</v>
      </c>
      <c r="E199">
        <v>3236.6</v>
      </c>
      <c r="F199">
        <v>2241.5300000000002</v>
      </c>
      <c r="G199">
        <v>2798.86</v>
      </c>
      <c r="H199">
        <v>1882.73</v>
      </c>
      <c r="I199">
        <v>1831.17</v>
      </c>
    </row>
    <row r="200" spans="1:9" hidden="1" x14ac:dyDescent="0.3">
      <c r="A200" t="s">
        <v>33</v>
      </c>
      <c r="B200" t="s">
        <v>92</v>
      </c>
      <c r="C200" t="s">
        <v>1635</v>
      </c>
      <c r="D200">
        <v>7986.97</v>
      </c>
      <c r="E200">
        <v>12030.2</v>
      </c>
      <c r="F200">
        <v>20897.36</v>
      </c>
      <c r="G200">
        <v>1549.83</v>
      </c>
      <c r="H200">
        <v>2474.14</v>
      </c>
      <c r="I200">
        <v>4217.8900000000003</v>
      </c>
    </row>
    <row r="201" spans="1:9" hidden="1" x14ac:dyDescent="0.3">
      <c r="A201" t="s">
        <v>33</v>
      </c>
      <c r="B201" t="s">
        <v>92</v>
      </c>
      <c r="C201" t="s">
        <v>1605</v>
      </c>
      <c r="D201">
        <v>2141.4</v>
      </c>
      <c r="E201">
        <v>98.67</v>
      </c>
      <c r="F201">
        <v>105.29</v>
      </c>
      <c r="G201">
        <v>100.43</v>
      </c>
      <c r="H201">
        <v>99.89</v>
      </c>
      <c r="I201">
        <v>99.89</v>
      </c>
    </row>
    <row r="202" spans="1:9" hidden="1" x14ac:dyDescent="0.3">
      <c r="A202" t="s">
        <v>33</v>
      </c>
      <c r="B202" t="s">
        <v>92</v>
      </c>
      <c r="C202" t="s">
        <v>1606</v>
      </c>
      <c r="D202">
        <v>18760.88</v>
      </c>
      <c r="E202">
        <v>2583.19</v>
      </c>
      <c r="F202">
        <v>7008.26</v>
      </c>
      <c r="G202">
        <v>68635.3</v>
      </c>
      <c r="H202">
        <v>49679.19</v>
      </c>
      <c r="I202">
        <v>14914.33</v>
      </c>
    </row>
    <row r="203" spans="1:9" hidden="1" x14ac:dyDescent="0.3">
      <c r="A203" t="s">
        <v>33</v>
      </c>
      <c r="B203" t="s">
        <v>92</v>
      </c>
      <c r="C203" t="s">
        <v>1608</v>
      </c>
      <c r="D203">
        <v>264747.43</v>
      </c>
      <c r="E203">
        <v>285950.46999999997</v>
      </c>
      <c r="F203">
        <v>289098.34999999998</v>
      </c>
      <c r="G203">
        <v>378271.47</v>
      </c>
      <c r="H203">
        <v>295278.87</v>
      </c>
      <c r="I203">
        <v>274300.55</v>
      </c>
    </row>
    <row r="204" spans="1:9" hidden="1" x14ac:dyDescent="0.3">
      <c r="A204" t="s">
        <v>33</v>
      </c>
      <c r="B204" t="s">
        <v>92</v>
      </c>
      <c r="C204" t="s">
        <v>1609</v>
      </c>
      <c r="D204">
        <v>-930548.78</v>
      </c>
      <c r="E204">
        <v>-559892.74</v>
      </c>
      <c r="F204">
        <v>-495941.63</v>
      </c>
      <c r="G204">
        <v>-226469.7</v>
      </c>
      <c r="H204">
        <v>-217031.66</v>
      </c>
      <c r="I204">
        <v>-459871.15</v>
      </c>
    </row>
    <row r="205" spans="1:9" hidden="1" x14ac:dyDescent="0.3">
      <c r="A205" t="s">
        <v>33</v>
      </c>
      <c r="B205" t="s">
        <v>92</v>
      </c>
      <c r="C205" t="s">
        <v>1610</v>
      </c>
      <c r="D205">
        <v>-930548.78</v>
      </c>
      <c r="E205">
        <v>-559892.74</v>
      </c>
      <c r="F205">
        <v>-495941.63</v>
      </c>
      <c r="G205">
        <v>-226469.7</v>
      </c>
      <c r="H205">
        <v>-217031.66</v>
      </c>
      <c r="I205">
        <v>-459871.15</v>
      </c>
    </row>
    <row r="206" spans="1:9" hidden="1" x14ac:dyDescent="0.3">
      <c r="A206" t="s">
        <v>33</v>
      </c>
      <c r="B206" t="s">
        <v>92</v>
      </c>
      <c r="C206" t="s">
        <v>1611</v>
      </c>
      <c r="D206">
        <v>450144.74</v>
      </c>
      <c r="E206">
        <v>450144.74</v>
      </c>
      <c r="F206">
        <v>378722.74</v>
      </c>
      <c r="G206">
        <v>378722.74</v>
      </c>
      <c r="H206">
        <v>328722.74</v>
      </c>
      <c r="I206">
        <v>72017.14</v>
      </c>
    </row>
    <row r="207" spans="1:9" hidden="1" x14ac:dyDescent="0.3">
      <c r="A207" t="s">
        <v>33</v>
      </c>
      <c r="B207" t="s">
        <v>92</v>
      </c>
      <c r="C207" t="s">
        <v>1612</v>
      </c>
      <c r="D207">
        <v>202.58</v>
      </c>
      <c r="E207">
        <v>202.58</v>
      </c>
      <c r="F207">
        <v>202.58</v>
      </c>
      <c r="G207">
        <v>202.58</v>
      </c>
      <c r="H207">
        <v>202.58</v>
      </c>
      <c r="I207">
        <v>202.58</v>
      </c>
    </row>
    <row r="208" spans="1:9" hidden="1" x14ac:dyDescent="0.3">
      <c r="A208" t="s">
        <v>33</v>
      </c>
      <c r="B208" t="s">
        <v>92</v>
      </c>
      <c r="C208" t="s">
        <v>1613</v>
      </c>
      <c r="D208">
        <v>-1004264.27</v>
      </c>
      <c r="E208">
        <v>-863095.4</v>
      </c>
      <c r="F208">
        <v>-593623.47</v>
      </c>
      <c r="G208">
        <v>-534185.43000000005</v>
      </c>
      <c r="H208">
        <v>-520319.32</v>
      </c>
      <c r="I208">
        <v>-468329.57</v>
      </c>
    </row>
    <row r="209" spans="1:9" hidden="1" x14ac:dyDescent="0.3">
      <c r="A209" t="s">
        <v>33</v>
      </c>
      <c r="B209" t="s">
        <v>92</v>
      </c>
      <c r="C209" t="s">
        <v>1614</v>
      </c>
      <c r="D209">
        <v>-370656.03</v>
      </c>
      <c r="E209">
        <v>-141168.85999999999</v>
      </c>
      <c r="F209">
        <v>-269471.93</v>
      </c>
      <c r="G209">
        <v>-59438.04</v>
      </c>
      <c r="H209">
        <v>-13866.11</v>
      </c>
      <c r="I209">
        <v>-51989.75</v>
      </c>
    </row>
    <row r="210" spans="1:9" hidden="1" x14ac:dyDescent="0.3">
      <c r="A210" t="s">
        <v>33</v>
      </c>
      <c r="B210" t="s">
        <v>92</v>
      </c>
      <c r="C210" t="s">
        <v>1642</v>
      </c>
      <c r="D210">
        <v>-5975.8</v>
      </c>
      <c r="E210">
        <v>-5975.8</v>
      </c>
      <c r="F210">
        <v>-11771.55</v>
      </c>
      <c r="G210">
        <v>-11771.55</v>
      </c>
      <c r="H210">
        <v>-11771.55</v>
      </c>
      <c r="I210">
        <v>-11771.55</v>
      </c>
    </row>
    <row r="211" spans="1:9" hidden="1" x14ac:dyDescent="0.3">
      <c r="A211" t="s">
        <v>33</v>
      </c>
      <c r="B211" t="s">
        <v>92</v>
      </c>
      <c r="C211" t="s">
        <v>1615</v>
      </c>
      <c r="D211">
        <v>1195296.2</v>
      </c>
      <c r="E211">
        <v>845843.22</v>
      </c>
      <c r="F211">
        <v>785039.98</v>
      </c>
      <c r="G211">
        <v>604741.17000000004</v>
      </c>
      <c r="H211">
        <v>512310.53</v>
      </c>
      <c r="I211">
        <v>734171.7</v>
      </c>
    </row>
    <row r="212" spans="1:9" hidden="1" x14ac:dyDescent="0.3">
      <c r="A212" t="s">
        <v>33</v>
      </c>
      <c r="B212" t="s">
        <v>92</v>
      </c>
      <c r="C212" t="s">
        <v>1616</v>
      </c>
      <c r="D212">
        <v>418100.43</v>
      </c>
      <c r="E212">
        <v>236484.06</v>
      </c>
      <c r="F212">
        <v>320601.52</v>
      </c>
      <c r="G212">
        <v>273466.77</v>
      </c>
      <c r="H212">
        <v>149148.73000000001</v>
      </c>
      <c r="I212">
        <v>245209.62</v>
      </c>
    </row>
    <row r="213" spans="1:9" hidden="1" x14ac:dyDescent="0.3">
      <c r="A213" t="s">
        <v>33</v>
      </c>
      <c r="B213" t="s">
        <v>92</v>
      </c>
      <c r="C213" t="s">
        <v>1643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123835.04</v>
      </c>
    </row>
    <row r="214" spans="1:9" hidden="1" x14ac:dyDescent="0.3">
      <c r="A214" t="s">
        <v>33</v>
      </c>
      <c r="B214" t="s">
        <v>92</v>
      </c>
      <c r="C214" t="s">
        <v>1617</v>
      </c>
      <c r="D214">
        <v>417650.82</v>
      </c>
      <c r="E214">
        <v>236335.19</v>
      </c>
      <c r="F214">
        <v>320456.24</v>
      </c>
      <c r="G214">
        <v>273460.68</v>
      </c>
      <c r="H214">
        <v>149124.93</v>
      </c>
      <c r="I214">
        <v>121243.73</v>
      </c>
    </row>
    <row r="215" spans="1:9" hidden="1" x14ac:dyDescent="0.3">
      <c r="A215" t="s">
        <v>33</v>
      </c>
      <c r="B215" t="s">
        <v>92</v>
      </c>
      <c r="C215" t="s">
        <v>1618</v>
      </c>
      <c r="D215">
        <v>449.61</v>
      </c>
      <c r="E215">
        <v>148.87</v>
      </c>
      <c r="F215">
        <v>145.28</v>
      </c>
      <c r="G215">
        <v>6.1</v>
      </c>
      <c r="H215">
        <v>23.8</v>
      </c>
      <c r="I215">
        <v>130.85</v>
      </c>
    </row>
    <row r="216" spans="1:9" hidden="1" x14ac:dyDescent="0.3">
      <c r="A216" t="s">
        <v>33</v>
      </c>
      <c r="B216" t="s">
        <v>92</v>
      </c>
      <c r="C216" t="s">
        <v>1619</v>
      </c>
      <c r="D216">
        <v>777195.77</v>
      </c>
      <c r="E216">
        <v>609359.16</v>
      </c>
      <c r="F216">
        <v>464438.46</v>
      </c>
      <c r="G216">
        <v>331274.39</v>
      </c>
      <c r="H216">
        <v>363161.81</v>
      </c>
      <c r="I216">
        <v>488962.07</v>
      </c>
    </row>
    <row r="217" spans="1:9" hidden="1" x14ac:dyDescent="0.3">
      <c r="A217" t="s">
        <v>33</v>
      </c>
      <c r="B217" t="s">
        <v>92</v>
      </c>
      <c r="C217" t="s">
        <v>1638</v>
      </c>
      <c r="D217">
        <v>35716.67</v>
      </c>
      <c r="E217">
        <v>51475</v>
      </c>
      <c r="F217">
        <v>67200</v>
      </c>
      <c r="G217">
        <v>50000</v>
      </c>
      <c r="H217">
        <v>13208.11</v>
      </c>
      <c r="I217">
        <v>7600</v>
      </c>
    </row>
    <row r="218" spans="1:9" hidden="1" x14ac:dyDescent="0.3">
      <c r="A218" t="s">
        <v>33</v>
      </c>
      <c r="B218" t="s">
        <v>92</v>
      </c>
      <c r="C218" t="s">
        <v>1620</v>
      </c>
      <c r="D218">
        <v>720426.95</v>
      </c>
      <c r="E218">
        <v>537804.56000000006</v>
      </c>
      <c r="F218">
        <v>307422.63</v>
      </c>
      <c r="G218">
        <v>264601.07</v>
      </c>
      <c r="H218">
        <v>326739.28000000003</v>
      </c>
      <c r="I218">
        <v>465601.69</v>
      </c>
    </row>
    <row r="219" spans="1:9" hidden="1" x14ac:dyDescent="0.3">
      <c r="A219" t="s">
        <v>33</v>
      </c>
      <c r="B219" t="s">
        <v>92</v>
      </c>
      <c r="C219" t="s">
        <v>1621</v>
      </c>
      <c r="D219">
        <v>468149.54</v>
      </c>
      <c r="E219">
        <v>346647.8</v>
      </c>
      <c r="F219">
        <v>179494.69</v>
      </c>
      <c r="G219">
        <v>160701.42000000001</v>
      </c>
      <c r="H219">
        <v>239576.9</v>
      </c>
      <c r="I219">
        <v>308110.21000000002</v>
      </c>
    </row>
    <row r="220" spans="1:9" hidden="1" x14ac:dyDescent="0.3">
      <c r="A220" t="s">
        <v>33</v>
      </c>
      <c r="B220" t="s">
        <v>92</v>
      </c>
      <c r="C220" t="s">
        <v>1639</v>
      </c>
      <c r="D220">
        <v>244492.29</v>
      </c>
      <c r="E220">
        <v>177493.11</v>
      </c>
      <c r="F220">
        <v>114781.44</v>
      </c>
      <c r="G220">
        <v>78114.73</v>
      </c>
      <c r="H220">
        <v>56359.67</v>
      </c>
      <c r="I220">
        <v>115272.18</v>
      </c>
    </row>
    <row r="221" spans="1:9" hidden="1" x14ac:dyDescent="0.3">
      <c r="A221" t="s">
        <v>33</v>
      </c>
      <c r="B221" t="s">
        <v>92</v>
      </c>
      <c r="C221" t="s">
        <v>1622</v>
      </c>
      <c r="D221">
        <v>7785.12</v>
      </c>
      <c r="E221">
        <v>13663.65</v>
      </c>
      <c r="F221">
        <v>13146.49</v>
      </c>
      <c r="G221">
        <v>25784.92</v>
      </c>
      <c r="H221">
        <v>30802.71</v>
      </c>
      <c r="I221">
        <v>42219.3</v>
      </c>
    </row>
    <row r="222" spans="1:9" hidden="1" x14ac:dyDescent="0.3">
      <c r="A222" t="s">
        <v>33</v>
      </c>
      <c r="B222" t="s">
        <v>92</v>
      </c>
      <c r="C222" t="s">
        <v>1617</v>
      </c>
      <c r="D222">
        <v>5626.28</v>
      </c>
      <c r="E222">
        <v>5510.57</v>
      </c>
      <c r="F222">
        <v>4819.1899999999996</v>
      </c>
      <c r="G222">
        <v>4409.99</v>
      </c>
      <c r="H222">
        <v>4298.5</v>
      </c>
      <c r="I222">
        <v>3803</v>
      </c>
    </row>
    <row r="223" spans="1:9" hidden="1" x14ac:dyDescent="0.3">
      <c r="A223" t="s">
        <v>33</v>
      </c>
      <c r="B223" t="s">
        <v>92</v>
      </c>
      <c r="C223" t="s">
        <v>1623</v>
      </c>
      <c r="D223">
        <v>12732.13</v>
      </c>
      <c r="E223">
        <v>12090.23</v>
      </c>
      <c r="F223">
        <v>82305.3</v>
      </c>
      <c r="G223">
        <v>10026.219999999999</v>
      </c>
      <c r="H223">
        <v>16819.009999999998</v>
      </c>
      <c r="I223">
        <v>9611.51</v>
      </c>
    </row>
    <row r="224" spans="1:9" hidden="1" x14ac:dyDescent="0.3">
      <c r="A224" t="s">
        <v>33</v>
      </c>
      <c r="B224" t="s">
        <v>92</v>
      </c>
      <c r="C224" t="s">
        <v>1640</v>
      </c>
      <c r="D224">
        <v>2693.74</v>
      </c>
      <c r="E224">
        <v>2478.79</v>
      </c>
      <c r="F224">
        <v>2691.35</v>
      </c>
      <c r="G224">
        <v>2237.11</v>
      </c>
      <c r="H224">
        <v>2096.9</v>
      </c>
      <c r="I224">
        <v>2345.88</v>
      </c>
    </row>
    <row r="225" spans="1:9" hidden="1" x14ac:dyDescent="0.3">
      <c r="A225" t="s">
        <v>34</v>
      </c>
      <c r="B225" t="s">
        <v>92</v>
      </c>
      <c r="C225" t="s">
        <v>1575</v>
      </c>
      <c r="D225">
        <v>10896037.43</v>
      </c>
      <c r="E225">
        <v>11059375.880000001</v>
      </c>
      <c r="F225">
        <v>9014686.0399999991</v>
      </c>
      <c r="G225">
        <v>7970970.1500000004</v>
      </c>
      <c r="H225">
        <v>5926709.5999999996</v>
      </c>
      <c r="I225">
        <v>4694963.17</v>
      </c>
    </row>
    <row r="226" spans="1:9" hidden="1" x14ac:dyDescent="0.3">
      <c r="A226" t="s">
        <v>34</v>
      </c>
      <c r="B226" t="s">
        <v>92</v>
      </c>
      <c r="C226" t="s">
        <v>1624</v>
      </c>
      <c r="D226">
        <v>10896037.43</v>
      </c>
      <c r="E226">
        <v>11059375.880000001</v>
      </c>
      <c r="F226">
        <v>9014686.0399999991</v>
      </c>
      <c r="G226">
        <v>7970970.1500000004</v>
      </c>
      <c r="H226">
        <v>5926709.5999999996</v>
      </c>
      <c r="I226">
        <v>4694963.17</v>
      </c>
    </row>
    <row r="227" spans="1:9" hidden="1" x14ac:dyDescent="0.3">
      <c r="A227" t="s">
        <v>34</v>
      </c>
      <c r="B227" t="s">
        <v>92</v>
      </c>
      <c r="C227" t="s">
        <v>1577</v>
      </c>
      <c r="D227">
        <v>2460.27</v>
      </c>
      <c r="E227">
        <v>13122.68</v>
      </c>
      <c r="F227">
        <v>3758.3</v>
      </c>
      <c r="G227">
        <v>2885.33</v>
      </c>
      <c r="H227">
        <v>2846.75</v>
      </c>
      <c r="I227">
        <v>2318.02</v>
      </c>
    </row>
    <row r="228" spans="1:9" hidden="1" x14ac:dyDescent="0.3">
      <c r="A228" t="s">
        <v>34</v>
      </c>
      <c r="B228" t="s">
        <v>92</v>
      </c>
      <c r="C228" t="s">
        <v>1578</v>
      </c>
      <c r="D228">
        <v>194593.89</v>
      </c>
      <c r="E228">
        <v>143391.71</v>
      </c>
      <c r="F228">
        <v>107818.5</v>
      </c>
      <c r="G228">
        <v>79261.2</v>
      </c>
      <c r="H228">
        <v>70175.240000000005</v>
      </c>
      <c r="I228">
        <v>64277.77</v>
      </c>
    </row>
    <row r="229" spans="1:9" hidden="1" x14ac:dyDescent="0.3">
      <c r="A229" t="s">
        <v>34</v>
      </c>
      <c r="B229" t="s">
        <v>92</v>
      </c>
      <c r="C229" t="s">
        <v>1625</v>
      </c>
      <c r="D229">
        <v>145774.68</v>
      </c>
      <c r="E229">
        <v>217170.69</v>
      </c>
      <c r="F229">
        <v>180097.87</v>
      </c>
      <c r="G229">
        <v>152317.96</v>
      </c>
      <c r="H229">
        <v>141451.69</v>
      </c>
      <c r="I229">
        <v>122614.77</v>
      </c>
    </row>
    <row r="230" spans="1:9" hidden="1" x14ac:dyDescent="0.3">
      <c r="A230" t="s">
        <v>34</v>
      </c>
      <c r="B230" t="s">
        <v>92</v>
      </c>
      <c r="C230" t="s">
        <v>1626</v>
      </c>
      <c r="D230">
        <v>1600.27</v>
      </c>
      <c r="E230">
        <v>1771.25</v>
      </c>
      <c r="F230">
        <v>1493.18</v>
      </c>
      <c r="G230">
        <v>626.97</v>
      </c>
      <c r="H230">
        <v>799.04</v>
      </c>
      <c r="I230">
        <v>2397.9499999999998</v>
      </c>
    </row>
    <row r="231" spans="1:9" hidden="1" x14ac:dyDescent="0.3">
      <c r="A231" t="s">
        <v>34</v>
      </c>
      <c r="B231" t="s">
        <v>92</v>
      </c>
      <c r="C231" t="s">
        <v>1627</v>
      </c>
      <c r="D231">
        <v>-11640.71</v>
      </c>
      <c r="E231">
        <v>-13145.44</v>
      </c>
      <c r="F231">
        <v>-7994.51</v>
      </c>
      <c r="G231">
        <v>-6243.07</v>
      </c>
      <c r="H231">
        <v>-5456.03</v>
      </c>
      <c r="I231">
        <v>-6096.34</v>
      </c>
    </row>
    <row r="232" spans="1:9" hidden="1" x14ac:dyDescent="0.3">
      <c r="A232" t="s">
        <v>34</v>
      </c>
      <c r="B232" t="s">
        <v>92</v>
      </c>
      <c r="C232" t="s">
        <v>1576</v>
      </c>
      <c r="D232">
        <v>10475964.42</v>
      </c>
      <c r="E232">
        <v>11006359.630000001</v>
      </c>
      <c r="F232">
        <v>8992548.0600000005</v>
      </c>
      <c r="G232">
        <v>7735495.1200000001</v>
      </c>
      <c r="H232">
        <v>5703499.6600000001</v>
      </c>
      <c r="I232">
        <v>4447689.2</v>
      </c>
    </row>
    <row r="233" spans="1:9" hidden="1" x14ac:dyDescent="0.3">
      <c r="A233" t="s">
        <v>34</v>
      </c>
      <c r="B233" t="s">
        <v>92</v>
      </c>
      <c r="C233" t="s">
        <v>1579</v>
      </c>
      <c r="D233">
        <v>262389.78000000003</v>
      </c>
      <c r="E233">
        <v>64599.4</v>
      </c>
      <c r="F233">
        <v>38431.120000000003</v>
      </c>
      <c r="G233">
        <v>57904.480000000003</v>
      </c>
      <c r="H233">
        <v>28194.58</v>
      </c>
      <c r="I233">
        <v>68243.23</v>
      </c>
    </row>
    <row r="234" spans="1:9" hidden="1" x14ac:dyDescent="0.3">
      <c r="A234" t="s">
        <v>34</v>
      </c>
      <c r="B234" t="s">
        <v>92</v>
      </c>
      <c r="C234" t="s">
        <v>1583</v>
      </c>
      <c r="D234">
        <v>-198386.6</v>
      </c>
      <c r="E234">
        <v>-400184.91</v>
      </c>
      <c r="F234">
        <v>-317455.5</v>
      </c>
      <c r="G234">
        <v>-65813.820000000007</v>
      </c>
      <c r="H234">
        <v>-30512.26</v>
      </c>
      <c r="I234">
        <v>-18674.099999999999</v>
      </c>
    </row>
    <row r="235" spans="1:9" hidden="1" x14ac:dyDescent="0.3">
      <c r="A235" t="s">
        <v>34</v>
      </c>
      <c r="B235" t="s">
        <v>92</v>
      </c>
      <c r="C235" t="s">
        <v>1584</v>
      </c>
      <c r="D235">
        <v>64003.18</v>
      </c>
      <c r="E235">
        <v>-335585.51</v>
      </c>
      <c r="F235">
        <v>-279024.37</v>
      </c>
      <c r="G235">
        <v>-7909.34</v>
      </c>
      <c r="H235">
        <v>-2317.6799999999998</v>
      </c>
      <c r="I235">
        <v>49569.13</v>
      </c>
    </row>
    <row r="236" spans="1:9" hidden="1" x14ac:dyDescent="0.3">
      <c r="A236" t="s">
        <v>34</v>
      </c>
      <c r="B236" t="s">
        <v>92</v>
      </c>
      <c r="C236" t="s">
        <v>1585</v>
      </c>
      <c r="D236">
        <v>-64032.21</v>
      </c>
      <c r="E236">
        <v>-72287.59</v>
      </c>
      <c r="F236">
        <v>-63796.65</v>
      </c>
      <c r="G236">
        <v>-57523.51</v>
      </c>
      <c r="H236">
        <v>-31835.93</v>
      </c>
      <c r="I236">
        <v>-15632.31</v>
      </c>
    </row>
    <row r="237" spans="1:9" hidden="1" x14ac:dyDescent="0.3">
      <c r="A237" t="s">
        <v>34</v>
      </c>
      <c r="B237" t="s">
        <v>92</v>
      </c>
      <c r="C237" t="s">
        <v>1588</v>
      </c>
      <c r="D237">
        <v>64032.21</v>
      </c>
      <c r="E237">
        <v>72287.59</v>
      </c>
      <c r="F237">
        <v>63796.65</v>
      </c>
      <c r="G237">
        <v>57523.51</v>
      </c>
      <c r="H237">
        <v>31835.93</v>
      </c>
      <c r="I237">
        <v>15632.31</v>
      </c>
    </row>
    <row r="238" spans="1:9" hidden="1" x14ac:dyDescent="0.3">
      <c r="A238" t="s">
        <v>34</v>
      </c>
      <c r="B238" t="s">
        <v>92</v>
      </c>
      <c r="C238" t="s">
        <v>1628</v>
      </c>
      <c r="D238">
        <v>17655.89</v>
      </c>
      <c r="E238">
        <v>37933.089999999997</v>
      </c>
      <c r="F238">
        <v>18033.46</v>
      </c>
      <c r="G238">
        <v>7945.65</v>
      </c>
      <c r="H238">
        <v>31835.93</v>
      </c>
      <c r="I238">
        <v>15632.31</v>
      </c>
    </row>
    <row r="239" spans="1:9" hidden="1" x14ac:dyDescent="0.3">
      <c r="A239" t="s">
        <v>34</v>
      </c>
      <c r="B239" t="s">
        <v>92</v>
      </c>
      <c r="C239" t="s">
        <v>1589</v>
      </c>
      <c r="D239">
        <v>46376.32</v>
      </c>
      <c r="E239">
        <v>34354.5</v>
      </c>
      <c r="F239">
        <v>45763.19</v>
      </c>
      <c r="G239">
        <v>0</v>
      </c>
      <c r="H239">
        <v>0</v>
      </c>
      <c r="I239">
        <v>0</v>
      </c>
    </row>
    <row r="240" spans="1:9" hidden="1" x14ac:dyDescent="0.3">
      <c r="A240" t="s">
        <v>34</v>
      </c>
      <c r="B240" t="s">
        <v>92</v>
      </c>
      <c r="C240" t="s">
        <v>1590</v>
      </c>
      <c r="D240">
        <v>318515.53999999998</v>
      </c>
      <c r="E240">
        <v>300125.46999999997</v>
      </c>
      <c r="F240">
        <v>247962.03</v>
      </c>
      <c r="G240">
        <v>146194.47</v>
      </c>
      <c r="H240">
        <v>95273.77</v>
      </c>
      <c r="I240">
        <v>43478.67</v>
      </c>
    </row>
    <row r="241" spans="1:9" hidden="1" x14ac:dyDescent="0.3">
      <c r="A241" t="s">
        <v>34</v>
      </c>
      <c r="B241" t="s">
        <v>92</v>
      </c>
      <c r="C241" t="s">
        <v>1591</v>
      </c>
      <c r="D241">
        <v>357559.11</v>
      </c>
      <c r="E241">
        <v>348698.96</v>
      </c>
      <c r="F241">
        <v>286684.46999999997</v>
      </c>
      <c r="G241">
        <v>174756.89</v>
      </c>
      <c r="H241">
        <v>115525.37</v>
      </c>
      <c r="I241">
        <v>65019.87</v>
      </c>
    </row>
    <row r="242" spans="1:9" hidden="1" x14ac:dyDescent="0.3">
      <c r="A242" t="s">
        <v>34</v>
      </c>
      <c r="B242" t="s">
        <v>92</v>
      </c>
      <c r="C242" t="s">
        <v>1592</v>
      </c>
      <c r="D242">
        <v>39043.57</v>
      </c>
      <c r="E242">
        <v>48573.49</v>
      </c>
      <c r="F242">
        <v>38722.43</v>
      </c>
      <c r="G242">
        <v>28562.42</v>
      </c>
      <c r="H242">
        <v>20251.61</v>
      </c>
      <c r="I242">
        <v>21541.200000000001</v>
      </c>
    </row>
    <row r="243" spans="1:9" hidden="1" x14ac:dyDescent="0.3">
      <c r="A243" t="s">
        <v>34</v>
      </c>
      <c r="B243" t="s">
        <v>92</v>
      </c>
      <c r="C243" t="s">
        <v>1593</v>
      </c>
      <c r="D243">
        <v>56096.73</v>
      </c>
      <c r="E243">
        <v>-172347.03</v>
      </c>
      <c r="F243">
        <v>-133290.10999999999</v>
      </c>
      <c r="G243">
        <v>22857.13</v>
      </c>
      <c r="H243">
        <v>32925.57</v>
      </c>
      <c r="I243">
        <v>9172.25</v>
      </c>
    </row>
    <row r="244" spans="1:9" hidden="1" x14ac:dyDescent="0.3">
      <c r="A244" t="s">
        <v>34</v>
      </c>
      <c r="B244" t="s">
        <v>92</v>
      </c>
      <c r="C244" t="s">
        <v>1594</v>
      </c>
      <c r="D244">
        <v>-29483.33</v>
      </c>
      <c r="E244">
        <v>-49159.43</v>
      </c>
      <c r="F244">
        <v>-3975.06</v>
      </c>
      <c r="G244">
        <v>-4682.37</v>
      </c>
      <c r="H244">
        <v>-775.56</v>
      </c>
      <c r="I244">
        <v>44.58</v>
      </c>
    </row>
    <row r="245" spans="1:9" hidden="1" x14ac:dyDescent="0.3">
      <c r="A245" t="s">
        <v>34</v>
      </c>
      <c r="B245" t="s">
        <v>92</v>
      </c>
      <c r="C245" t="s">
        <v>1595</v>
      </c>
      <c r="D245">
        <v>26613.4</v>
      </c>
      <c r="E245">
        <v>-221506.46</v>
      </c>
      <c r="F245">
        <v>-137265.17000000001</v>
      </c>
      <c r="G245">
        <v>18174.759999999998</v>
      </c>
      <c r="H245">
        <v>32150.01</v>
      </c>
      <c r="I245">
        <v>9216.83</v>
      </c>
    </row>
    <row r="246" spans="1:9" hidden="1" x14ac:dyDescent="0.3">
      <c r="A246" t="s">
        <v>34</v>
      </c>
      <c r="B246" t="s">
        <v>92</v>
      </c>
      <c r="C246" t="s">
        <v>1596</v>
      </c>
      <c r="D246">
        <v>26613.4</v>
      </c>
      <c r="E246">
        <v>-221506.46</v>
      </c>
      <c r="F246">
        <v>-137265.17000000001</v>
      </c>
      <c r="G246">
        <v>18174.759999999998</v>
      </c>
      <c r="H246">
        <v>32150.01</v>
      </c>
      <c r="I246">
        <v>9216.83</v>
      </c>
    </row>
    <row r="247" spans="1:9" hidden="1" x14ac:dyDescent="0.3">
      <c r="A247" t="s">
        <v>34</v>
      </c>
      <c r="B247" t="s">
        <v>92</v>
      </c>
      <c r="C247" t="s">
        <v>1597</v>
      </c>
      <c r="D247">
        <v>2306266.04</v>
      </c>
      <c r="E247">
        <v>2183288.41</v>
      </c>
      <c r="F247">
        <v>2102883.67</v>
      </c>
      <c r="G247">
        <v>2090186.49</v>
      </c>
      <c r="H247">
        <v>1648572.32</v>
      </c>
      <c r="I247">
        <v>1181019.02</v>
      </c>
    </row>
    <row r="248" spans="1:9" hidden="1" x14ac:dyDescent="0.3">
      <c r="A248" t="s">
        <v>34</v>
      </c>
      <c r="B248" t="s">
        <v>92</v>
      </c>
      <c r="C248" t="s">
        <v>1598</v>
      </c>
      <c r="D248">
        <v>21619.11</v>
      </c>
      <c r="E248">
        <v>43084.87</v>
      </c>
      <c r="F248">
        <v>68615.7</v>
      </c>
      <c r="G248">
        <v>49995.64</v>
      </c>
      <c r="H248">
        <v>46715.13</v>
      </c>
      <c r="I248">
        <v>70992.009999999995</v>
      </c>
    </row>
    <row r="249" spans="1:9" hidden="1" x14ac:dyDescent="0.3">
      <c r="A249" t="s">
        <v>34</v>
      </c>
      <c r="B249" t="s">
        <v>92</v>
      </c>
      <c r="C249" t="s">
        <v>1599</v>
      </c>
      <c r="D249">
        <v>3924.8</v>
      </c>
      <c r="E249">
        <v>8689.02</v>
      </c>
      <c r="F249">
        <v>18511.439999999999</v>
      </c>
      <c r="G249">
        <v>17427.72</v>
      </c>
      <c r="H249">
        <v>17567.09</v>
      </c>
      <c r="I249">
        <v>42975.51</v>
      </c>
    </row>
    <row r="250" spans="1:9" hidden="1" x14ac:dyDescent="0.3">
      <c r="A250" t="s">
        <v>34</v>
      </c>
      <c r="B250" t="s">
        <v>92</v>
      </c>
      <c r="C250" t="s">
        <v>1629</v>
      </c>
      <c r="D250">
        <v>0</v>
      </c>
      <c r="E250">
        <v>0</v>
      </c>
      <c r="F250">
        <v>1819.98</v>
      </c>
      <c r="G250">
        <v>1079.95</v>
      </c>
      <c r="H250">
        <v>161.16999999999999</v>
      </c>
      <c r="I250">
        <v>202.32</v>
      </c>
    </row>
    <row r="251" spans="1:9" hidden="1" x14ac:dyDescent="0.3">
      <c r="A251" t="s">
        <v>34</v>
      </c>
      <c r="B251" t="s">
        <v>92</v>
      </c>
      <c r="C251" t="s">
        <v>1644</v>
      </c>
      <c r="D251">
        <v>0</v>
      </c>
      <c r="E251">
        <v>19454.41</v>
      </c>
      <c r="F251">
        <v>32845.1</v>
      </c>
      <c r="G251">
        <v>31487.97</v>
      </c>
      <c r="H251">
        <v>28986.87</v>
      </c>
      <c r="I251">
        <v>27813.15</v>
      </c>
    </row>
    <row r="252" spans="1:9" hidden="1" x14ac:dyDescent="0.3">
      <c r="A252" t="s">
        <v>34</v>
      </c>
      <c r="B252" t="s">
        <v>92</v>
      </c>
      <c r="C252" t="s">
        <v>1645</v>
      </c>
      <c r="D252">
        <v>0</v>
      </c>
      <c r="E252">
        <v>19454.41</v>
      </c>
      <c r="F252">
        <v>32845.1</v>
      </c>
      <c r="G252">
        <v>31487.97</v>
      </c>
      <c r="H252">
        <v>28986.87</v>
      </c>
      <c r="I252">
        <v>27813.15</v>
      </c>
    </row>
    <row r="253" spans="1:9" hidden="1" x14ac:dyDescent="0.3">
      <c r="A253" t="s">
        <v>34</v>
      </c>
      <c r="B253" t="s">
        <v>92</v>
      </c>
      <c r="C253" t="s">
        <v>1630</v>
      </c>
      <c r="D253">
        <v>0</v>
      </c>
      <c r="E253">
        <v>0</v>
      </c>
      <c r="F253">
        <v>4813.8999999999996</v>
      </c>
      <c r="G253">
        <v>0</v>
      </c>
      <c r="H253">
        <v>0</v>
      </c>
      <c r="I253">
        <v>0</v>
      </c>
    </row>
    <row r="254" spans="1:9" hidden="1" x14ac:dyDescent="0.3">
      <c r="A254" t="s">
        <v>34</v>
      </c>
      <c r="B254" t="s">
        <v>92</v>
      </c>
      <c r="C254" t="s">
        <v>1601</v>
      </c>
      <c r="D254">
        <v>17694.310000000001</v>
      </c>
      <c r="E254">
        <v>14941.44</v>
      </c>
      <c r="F254">
        <v>10625.28</v>
      </c>
      <c r="G254">
        <v>0</v>
      </c>
      <c r="H254">
        <v>0</v>
      </c>
      <c r="I254">
        <v>1.02</v>
      </c>
    </row>
    <row r="255" spans="1:9" hidden="1" x14ac:dyDescent="0.3">
      <c r="A255" t="s">
        <v>34</v>
      </c>
      <c r="B255" t="s">
        <v>92</v>
      </c>
      <c r="C255" t="s">
        <v>1602</v>
      </c>
      <c r="D255">
        <v>2284646.9300000002</v>
      </c>
      <c r="E255">
        <v>2140203.54</v>
      </c>
      <c r="F255">
        <v>2034267.97</v>
      </c>
      <c r="G255">
        <v>2033599.14</v>
      </c>
      <c r="H255">
        <v>1590458.92</v>
      </c>
      <c r="I255">
        <v>1110027.01</v>
      </c>
    </row>
    <row r="256" spans="1:9" hidden="1" x14ac:dyDescent="0.3">
      <c r="A256" t="s">
        <v>34</v>
      </c>
      <c r="B256" t="s">
        <v>92</v>
      </c>
      <c r="C256" t="s">
        <v>1603</v>
      </c>
      <c r="D256">
        <v>330090.61</v>
      </c>
      <c r="E256">
        <v>538115.72</v>
      </c>
      <c r="F256">
        <v>421147.32</v>
      </c>
      <c r="G256">
        <v>526426.16</v>
      </c>
      <c r="H256">
        <v>440558.97</v>
      </c>
      <c r="I256">
        <v>420973.55</v>
      </c>
    </row>
    <row r="257" spans="1:9" hidden="1" x14ac:dyDescent="0.3">
      <c r="A257" t="s">
        <v>34</v>
      </c>
      <c r="B257" t="s">
        <v>92</v>
      </c>
      <c r="C257" t="s">
        <v>1631</v>
      </c>
      <c r="D257">
        <v>643297.46</v>
      </c>
      <c r="E257">
        <v>605193.01</v>
      </c>
      <c r="F257">
        <v>475070.16</v>
      </c>
      <c r="G257">
        <v>649261.12</v>
      </c>
      <c r="H257">
        <v>597635.34</v>
      </c>
      <c r="I257">
        <v>615120.16</v>
      </c>
    </row>
    <row r="258" spans="1:9" hidden="1" x14ac:dyDescent="0.3">
      <c r="A258" t="s">
        <v>34</v>
      </c>
      <c r="B258" t="s">
        <v>92</v>
      </c>
      <c r="C258" t="s">
        <v>1604</v>
      </c>
      <c r="D258">
        <v>13322</v>
      </c>
      <c r="E258">
        <v>19143.900000000001</v>
      </c>
      <c r="F258">
        <v>40294.69</v>
      </c>
      <c r="G258">
        <v>30385.69</v>
      </c>
      <c r="H258">
        <v>23768.29</v>
      </c>
      <c r="I258">
        <v>2554.06</v>
      </c>
    </row>
    <row r="259" spans="1:9" hidden="1" x14ac:dyDescent="0.3">
      <c r="A259" t="s">
        <v>34</v>
      </c>
      <c r="B259" t="s">
        <v>92</v>
      </c>
      <c r="C259" t="s">
        <v>1633</v>
      </c>
      <c r="D259">
        <v>-326528.84999999998</v>
      </c>
      <c r="E259">
        <v>-86221.2</v>
      </c>
      <c r="F259">
        <v>-98542.56</v>
      </c>
      <c r="G259">
        <v>-153573.91</v>
      </c>
      <c r="H259">
        <v>-184238.55</v>
      </c>
      <c r="I259">
        <v>-199264.25</v>
      </c>
    </row>
    <row r="260" spans="1:9" hidden="1" x14ac:dyDescent="0.3">
      <c r="A260" t="s">
        <v>34</v>
      </c>
      <c r="B260" t="s">
        <v>92</v>
      </c>
      <c r="C260" t="s">
        <v>1634</v>
      </c>
      <c r="D260">
        <v>0</v>
      </c>
      <c r="E260">
        <v>0</v>
      </c>
      <c r="F260">
        <v>4325.0200000000004</v>
      </c>
      <c r="G260">
        <v>353.26</v>
      </c>
      <c r="H260">
        <v>3393.88</v>
      </c>
      <c r="I260">
        <v>2563.58</v>
      </c>
    </row>
    <row r="261" spans="1:9" hidden="1" x14ac:dyDescent="0.3">
      <c r="A261" t="s">
        <v>34</v>
      </c>
      <c r="B261" t="s">
        <v>92</v>
      </c>
      <c r="C261" t="s">
        <v>1635</v>
      </c>
      <c r="D261">
        <v>4822.07</v>
      </c>
      <c r="E261">
        <v>17221.96</v>
      </c>
      <c r="F261">
        <v>2726.95</v>
      </c>
      <c r="G261">
        <v>37235.97</v>
      </c>
      <c r="H261">
        <v>43815.92</v>
      </c>
      <c r="I261">
        <v>30346.84</v>
      </c>
    </row>
    <row r="262" spans="1:9" hidden="1" x14ac:dyDescent="0.3">
      <c r="A262" t="s">
        <v>34</v>
      </c>
      <c r="B262" t="s">
        <v>92</v>
      </c>
      <c r="C262" t="s">
        <v>1605</v>
      </c>
      <c r="D262">
        <v>1619670.62</v>
      </c>
      <c r="E262">
        <v>1269961.04</v>
      </c>
      <c r="F262">
        <v>1231074.92</v>
      </c>
      <c r="G262">
        <v>790080.48</v>
      </c>
      <c r="H262">
        <v>670904.31999999995</v>
      </c>
      <c r="I262">
        <v>381944.82</v>
      </c>
    </row>
    <row r="263" spans="1:9" hidden="1" x14ac:dyDescent="0.3">
      <c r="A263" t="s">
        <v>34</v>
      </c>
      <c r="B263" t="s">
        <v>92</v>
      </c>
      <c r="C263" t="s">
        <v>1606</v>
      </c>
      <c r="D263">
        <v>330063.63</v>
      </c>
      <c r="E263">
        <v>314904.83</v>
      </c>
      <c r="F263">
        <v>379318.78</v>
      </c>
      <c r="G263">
        <v>679856.54</v>
      </c>
      <c r="H263">
        <v>435179.71</v>
      </c>
      <c r="I263">
        <v>276761.8</v>
      </c>
    </row>
    <row r="264" spans="1:9" hidden="1" x14ac:dyDescent="0.3">
      <c r="A264" t="s">
        <v>34</v>
      </c>
      <c r="B264" t="s">
        <v>92</v>
      </c>
      <c r="C264" t="s">
        <v>1608</v>
      </c>
      <c r="D264">
        <v>2306266.04</v>
      </c>
      <c r="E264">
        <v>2183288.41</v>
      </c>
      <c r="F264">
        <v>2102883.67</v>
      </c>
      <c r="G264">
        <v>2090186.49</v>
      </c>
      <c r="H264">
        <v>1648572.32</v>
      </c>
      <c r="I264">
        <v>1181019.02</v>
      </c>
    </row>
    <row r="265" spans="1:9" hidden="1" x14ac:dyDescent="0.3">
      <c r="A265" t="s">
        <v>34</v>
      </c>
      <c r="B265" t="s">
        <v>92</v>
      </c>
      <c r="C265" t="s">
        <v>1609</v>
      </c>
      <c r="D265">
        <v>30813.42</v>
      </c>
      <c r="E265">
        <v>4200.0200000000004</v>
      </c>
      <c r="F265">
        <v>237004.44</v>
      </c>
      <c r="G265">
        <v>391707.01</v>
      </c>
      <c r="H265">
        <v>340142.51</v>
      </c>
      <c r="I265">
        <v>292810.49</v>
      </c>
    </row>
    <row r="266" spans="1:9" hidden="1" x14ac:dyDescent="0.3">
      <c r="A266" t="s">
        <v>34</v>
      </c>
      <c r="B266" t="s">
        <v>92</v>
      </c>
      <c r="C266" t="s">
        <v>1610</v>
      </c>
      <c r="D266">
        <v>30813.42</v>
      </c>
      <c r="E266">
        <v>4200.0200000000004</v>
      </c>
      <c r="F266">
        <v>237004.44</v>
      </c>
      <c r="G266">
        <v>391707.01</v>
      </c>
      <c r="H266">
        <v>340142.51</v>
      </c>
      <c r="I266">
        <v>292810.49</v>
      </c>
    </row>
    <row r="267" spans="1:9" hidden="1" x14ac:dyDescent="0.3">
      <c r="A267" t="s">
        <v>34</v>
      </c>
      <c r="B267" t="s">
        <v>92</v>
      </c>
      <c r="C267" t="s">
        <v>1611</v>
      </c>
      <c r="D267">
        <v>21665.48</v>
      </c>
      <c r="E267">
        <v>21665.48</v>
      </c>
      <c r="F267">
        <v>21665.48</v>
      </c>
      <c r="G267">
        <v>21665.48</v>
      </c>
      <c r="H267">
        <v>21665.48</v>
      </c>
      <c r="I267">
        <v>21665.48</v>
      </c>
    </row>
    <row r="268" spans="1:9" hidden="1" x14ac:dyDescent="0.3">
      <c r="A268" t="s">
        <v>34</v>
      </c>
      <c r="B268" t="s">
        <v>92</v>
      </c>
      <c r="C268" t="s">
        <v>1636</v>
      </c>
      <c r="D268">
        <v>22394.53</v>
      </c>
      <c r="E268">
        <v>22394.53</v>
      </c>
      <c r="F268">
        <v>22394.53</v>
      </c>
      <c r="G268">
        <v>22394.53</v>
      </c>
      <c r="H268">
        <v>22394.53</v>
      </c>
      <c r="I268">
        <v>22394.53</v>
      </c>
    </row>
    <row r="269" spans="1:9" hidden="1" x14ac:dyDescent="0.3">
      <c r="A269" t="s">
        <v>34</v>
      </c>
      <c r="B269" t="s">
        <v>92</v>
      </c>
      <c r="C269" t="s">
        <v>1612</v>
      </c>
      <c r="D269">
        <v>624.19000000000005</v>
      </c>
      <c r="E269">
        <v>333811.90000000002</v>
      </c>
      <c r="F269">
        <v>333811.90000000002</v>
      </c>
      <c r="G269">
        <v>282784.68</v>
      </c>
      <c r="H269">
        <v>232680.45</v>
      </c>
      <c r="I269">
        <v>206705.44</v>
      </c>
    </row>
    <row r="270" spans="1:9" hidden="1" x14ac:dyDescent="0.3">
      <c r="A270" t="s">
        <v>34</v>
      </c>
      <c r="B270" t="s">
        <v>92</v>
      </c>
      <c r="C270" t="s">
        <v>1613</v>
      </c>
      <c r="D270">
        <v>-47750.2</v>
      </c>
      <c r="E270">
        <v>-159433.43</v>
      </c>
      <c r="F270">
        <v>-16873.88</v>
      </c>
      <c r="G270">
        <v>33365.1</v>
      </c>
      <c r="H270">
        <v>19291.43</v>
      </c>
      <c r="I270">
        <v>21358.87</v>
      </c>
    </row>
    <row r="271" spans="1:9" hidden="1" x14ac:dyDescent="0.3">
      <c r="A271" t="s">
        <v>34</v>
      </c>
      <c r="B271" t="s">
        <v>92</v>
      </c>
      <c r="C271" t="s">
        <v>1614</v>
      </c>
      <c r="D271">
        <v>26613.4</v>
      </c>
      <c r="E271">
        <v>-221506.46</v>
      </c>
      <c r="F271">
        <v>-137265.17000000001</v>
      </c>
      <c r="G271">
        <v>18174.759999999998</v>
      </c>
      <c r="H271">
        <v>32150.01</v>
      </c>
      <c r="I271">
        <v>9216.83</v>
      </c>
    </row>
    <row r="272" spans="1:9" hidden="1" x14ac:dyDescent="0.3">
      <c r="A272" t="s">
        <v>34</v>
      </c>
      <c r="B272" t="s">
        <v>92</v>
      </c>
      <c r="C272" t="s">
        <v>1642</v>
      </c>
      <c r="D272">
        <v>7266.03</v>
      </c>
      <c r="E272">
        <v>7268.01</v>
      </c>
      <c r="F272">
        <v>13271.6</v>
      </c>
      <c r="G272">
        <v>13322.47</v>
      </c>
      <c r="H272">
        <v>11960.61</v>
      </c>
      <c r="I272">
        <v>11469.35</v>
      </c>
    </row>
    <row r="273" spans="1:9" hidden="1" x14ac:dyDescent="0.3">
      <c r="A273" t="s">
        <v>34</v>
      </c>
      <c r="B273" t="s">
        <v>92</v>
      </c>
      <c r="C273" t="s">
        <v>1615</v>
      </c>
      <c r="D273">
        <v>2275452.62</v>
      </c>
      <c r="E273">
        <v>2179088.39</v>
      </c>
      <c r="F273">
        <v>1865879.23</v>
      </c>
      <c r="G273">
        <v>1698479.49</v>
      </c>
      <c r="H273">
        <v>1308429.82</v>
      </c>
      <c r="I273">
        <v>888208.54</v>
      </c>
    </row>
    <row r="274" spans="1:9" hidden="1" x14ac:dyDescent="0.3">
      <c r="A274" t="s">
        <v>34</v>
      </c>
      <c r="B274" t="s">
        <v>92</v>
      </c>
      <c r="C274" t="s">
        <v>1616</v>
      </c>
      <c r="D274">
        <v>1087578.58</v>
      </c>
      <c r="E274">
        <v>1277646.79</v>
      </c>
      <c r="F274">
        <v>959577.92</v>
      </c>
      <c r="G274">
        <v>837044.25</v>
      </c>
      <c r="H274">
        <v>112134.08</v>
      </c>
      <c r="I274">
        <v>37431.21</v>
      </c>
    </row>
    <row r="275" spans="1:9" hidden="1" x14ac:dyDescent="0.3">
      <c r="A275" t="s">
        <v>34</v>
      </c>
      <c r="B275" t="s">
        <v>92</v>
      </c>
      <c r="C275" t="s">
        <v>1617</v>
      </c>
      <c r="D275">
        <v>1087484.06</v>
      </c>
      <c r="E275">
        <v>1277532.03</v>
      </c>
      <c r="F275">
        <v>959565.88</v>
      </c>
      <c r="G275">
        <v>837023.56</v>
      </c>
      <c r="H275">
        <v>112120.68</v>
      </c>
      <c r="I275">
        <v>37422.769999999997</v>
      </c>
    </row>
    <row r="276" spans="1:9" hidden="1" x14ac:dyDescent="0.3">
      <c r="A276" t="s">
        <v>34</v>
      </c>
      <c r="B276" t="s">
        <v>92</v>
      </c>
      <c r="C276" t="s">
        <v>1618</v>
      </c>
      <c r="D276">
        <v>94.52</v>
      </c>
      <c r="E276">
        <v>114.76</v>
      </c>
      <c r="F276">
        <v>12.04</v>
      </c>
      <c r="G276">
        <v>20.69</v>
      </c>
      <c r="H276">
        <v>13.4</v>
      </c>
      <c r="I276">
        <v>8.44</v>
      </c>
    </row>
    <row r="277" spans="1:9" hidden="1" x14ac:dyDescent="0.3">
      <c r="A277" t="s">
        <v>34</v>
      </c>
      <c r="B277" t="s">
        <v>92</v>
      </c>
      <c r="C277" t="s">
        <v>1619</v>
      </c>
      <c r="D277">
        <v>1187874.05</v>
      </c>
      <c r="E277">
        <v>901441.6</v>
      </c>
      <c r="F277">
        <v>906301.31</v>
      </c>
      <c r="G277">
        <v>861435.24</v>
      </c>
      <c r="H277">
        <v>1196295.73</v>
      </c>
      <c r="I277">
        <v>850777.33</v>
      </c>
    </row>
    <row r="278" spans="1:9" hidden="1" x14ac:dyDescent="0.3">
      <c r="A278" t="s">
        <v>34</v>
      </c>
      <c r="B278" t="s">
        <v>92</v>
      </c>
      <c r="C278" t="s">
        <v>1638</v>
      </c>
      <c r="D278">
        <v>18979.259999999998</v>
      </c>
      <c r="E278">
        <v>15945.16</v>
      </c>
      <c r="F278">
        <v>11157.5</v>
      </c>
      <c r="G278">
        <v>7041.11</v>
      </c>
      <c r="H278">
        <v>12572.67</v>
      </c>
      <c r="I278">
        <v>26057.360000000001</v>
      </c>
    </row>
    <row r="279" spans="1:9" hidden="1" x14ac:dyDescent="0.3">
      <c r="A279" t="s">
        <v>34</v>
      </c>
      <c r="B279" t="s">
        <v>92</v>
      </c>
      <c r="C279" t="s">
        <v>1620</v>
      </c>
      <c r="D279">
        <v>1023537.72</v>
      </c>
      <c r="E279">
        <v>727691.73</v>
      </c>
      <c r="F279">
        <v>752365.74</v>
      </c>
      <c r="G279">
        <v>677943.72</v>
      </c>
      <c r="H279">
        <v>1113944.73</v>
      </c>
      <c r="I279">
        <v>771161.16</v>
      </c>
    </row>
    <row r="280" spans="1:9" hidden="1" x14ac:dyDescent="0.3">
      <c r="A280" t="s">
        <v>34</v>
      </c>
      <c r="B280" t="s">
        <v>92</v>
      </c>
      <c r="C280" t="s">
        <v>1621</v>
      </c>
      <c r="D280">
        <v>992162.4</v>
      </c>
      <c r="E280">
        <v>686653.82</v>
      </c>
      <c r="F280">
        <v>726275.26</v>
      </c>
      <c r="G280">
        <v>503267.73</v>
      </c>
      <c r="H280">
        <v>928182.81</v>
      </c>
      <c r="I280">
        <v>668590.32999999996</v>
      </c>
    </row>
    <row r="281" spans="1:9" hidden="1" x14ac:dyDescent="0.3">
      <c r="A281" t="s">
        <v>34</v>
      </c>
      <c r="B281" t="s">
        <v>92</v>
      </c>
      <c r="C281" t="s">
        <v>1622</v>
      </c>
      <c r="D281">
        <v>31375.32</v>
      </c>
      <c r="E281">
        <v>41037.910000000003</v>
      </c>
      <c r="F281">
        <v>26090.48</v>
      </c>
      <c r="G281">
        <v>174675.99</v>
      </c>
      <c r="H281">
        <v>185761.92000000001</v>
      </c>
      <c r="I281">
        <v>102570.82</v>
      </c>
    </row>
    <row r="282" spans="1:9" hidden="1" x14ac:dyDescent="0.3">
      <c r="A282" t="s">
        <v>34</v>
      </c>
      <c r="B282" t="s">
        <v>92</v>
      </c>
      <c r="C282" t="s">
        <v>1617</v>
      </c>
      <c r="D282">
        <v>122611.89</v>
      </c>
      <c r="E282">
        <v>106695.98</v>
      </c>
      <c r="F282">
        <v>95984.68</v>
      </c>
      <c r="G282">
        <v>145057.96</v>
      </c>
      <c r="H282">
        <v>47610.97</v>
      </c>
      <c r="I282">
        <v>36163.980000000003</v>
      </c>
    </row>
    <row r="283" spans="1:9" hidden="1" x14ac:dyDescent="0.3">
      <c r="A283" t="s">
        <v>34</v>
      </c>
      <c r="B283" t="s">
        <v>92</v>
      </c>
      <c r="C283" t="s">
        <v>1623</v>
      </c>
      <c r="D283">
        <v>10760.37</v>
      </c>
      <c r="E283">
        <v>36275.120000000003</v>
      </c>
      <c r="F283">
        <v>27934.81</v>
      </c>
      <c r="G283">
        <v>21983.38</v>
      </c>
      <c r="H283">
        <v>14820.09</v>
      </c>
      <c r="I283">
        <v>10894.36</v>
      </c>
    </row>
    <row r="284" spans="1:9" hidden="1" x14ac:dyDescent="0.3">
      <c r="A284" t="s">
        <v>34</v>
      </c>
      <c r="B284" t="s">
        <v>92</v>
      </c>
      <c r="C284" t="s">
        <v>1640</v>
      </c>
      <c r="D284">
        <v>11984.81</v>
      </c>
      <c r="E284">
        <v>14833.61</v>
      </c>
      <c r="F284">
        <v>18858.57</v>
      </c>
      <c r="G284">
        <v>9409.07</v>
      </c>
      <c r="H284">
        <v>7347.27</v>
      </c>
      <c r="I284">
        <v>6500.47</v>
      </c>
    </row>
    <row r="285" spans="1:9" hidden="1" x14ac:dyDescent="0.3">
      <c r="A285" t="s">
        <v>37</v>
      </c>
      <c r="B285" t="s">
        <v>92</v>
      </c>
      <c r="C285" t="s">
        <v>1575</v>
      </c>
      <c r="D285">
        <v>5043913.8600000003</v>
      </c>
      <c r="E285">
        <v>4775494.2300000004</v>
      </c>
      <c r="F285">
        <v>3942929.62</v>
      </c>
      <c r="G285">
        <v>3581508.23</v>
      </c>
      <c r="H285">
        <v>2870121.35</v>
      </c>
      <c r="I285">
        <v>2425802.56</v>
      </c>
    </row>
    <row r="286" spans="1:9" hidden="1" x14ac:dyDescent="0.3">
      <c r="A286" t="s">
        <v>37</v>
      </c>
      <c r="B286" t="s">
        <v>92</v>
      </c>
      <c r="C286" t="s">
        <v>1624</v>
      </c>
      <c r="D286">
        <v>5043913.8600000003</v>
      </c>
      <c r="E286">
        <v>4775494.2300000004</v>
      </c>
      <c r="F286">
        <v>3942929.62</v>
      </c>
      <c r="G286">
        <v>3581508.23</v>
      </c>
      <c r="H286">
        <v>2870121.35</v>
      </c>
      <c r="I286">
        <v>2425802.56</v>
      </c>
    </row>
    <row r="287" spans="1:9" hidden="1" x14ac:dyDescent="0.3">
      <c r="A287" t="s">
        <v>37</v>
      </c>
      <c r="B287" t="s">
        <v>92</v>
      </c>
      <c r="C287" t="s">
        <v>1577</v>
      </c>
      <c r="D287">
        <v>992.05</v>
      </c>
      <c r="E287">
        <v>1066.01</v>
      </c>
      <c r="F287">
        <v>1341.72</v>
      </c>
      <c r="G287">
        <v>4139.43</v>
      </c>
      <c r="H287">
        <v>2710.49</v>
      </c>
      <c r="I287">
        <v>1958.4</v>
      </c>
    </row>
    <row r="288" spans="1:9" hidden="1" x14ac:dyDescent="0.3">
      <c r="A288" t="s">
        <v>37</v>
      </c>
      <c r="B288" t="s">
        <v>92</v>
      </c>
      <c r="C288" t="s">
        <v>1578</v>
      </c>
      <c r="D288">
        <v>65004.46</v>
      </c>
      <c r="E288">
        <v>57024.81</v>
      </c>
      <c r="F288">
        <v>57982.71</v>
      </c>
      <c r="G288">
        <v>60087.35</v>
      </c>
      <c r="H288">
        <v>48398.61</v>
      </c>
      <c r="I288">
        <v>37923.17</v>
      </c>
    </row>
    <row r="289" spans="1:9" hidden="1" x14ac:dyDescent="0.3">
      <c r="A289" t="s">
        <v>37</v>
      </c>
      <c r="B289" t="s">
        <v>92</v>
      </c>
      <c r="C289" t="s">
        <v>1625</v>
      </c>
      <c r="D289">
        <v>157900.15</v>
      </c>
      <c r="E289">
        <v>137262.5</v>
      </c>
      <c r="F289">
        <v>118854.27</v>
      </c>
      <c r="G289">
        <v>98381.440000000002</v>
      </c>
      <c r="H289">
        <v>88662.67</v>
      </c>
      <c r="I289">
        <v>92191.679999999993</v>
      </c>
    </row>
    <row r="290" spans="1:9" hidden="1" x14ac:dyDescent="0.3">
      <c r="A290" t="s">
        <v>37</v>
      </c>
      <c r="B290" t="s">
        <v>92</v>
      </c>
      <c r="C290" t="s">
        <v>1626</v>
      </c>
      <c r="D290">
        <v>428.25</v>
      </c>
      <c r="E290">
        <v>466.56</v>
      </c>
      <c r="F290">
        <v>352.49</v>
      </c>
      <c r="G290">
        <v>182.37</v>
      </c>
      <c r="H290">
        <v>99.64</v>
      </c>
      <c r="I290">
        <v>412.23</v>
      </c>
    </row>
    <row r="291" spans="1:9" hidden="1" x14ac:dyDescent="0.3">
      <c r="A291" t="s">
        <v>37</v>
      </c>
      <c r="B291" t="s">
        <v>92</v>
      </c>
      <c r="C291" t="s">
        <v>1627</v>
      </c>
      <c r="D291">
        <v>-4973.24</v>
      </c>
      <c r="E291">
        <v>-4072.5</v>
      </c>
      <c r="F291">
        <v>-4085.16</v>
      </c>
      <c r="G291">
        <v>-3582.58</v>
      </c>
      <c r="H291">
        <v>-1437.64</v>
      </c>
      <c r="I291">
        <v>-1235.8800000000001</v>
      </c>
    </row>
    <row r="292" spans="1:9" hidden="1" x14ac:dyDescent="0.3">
      <c r="A292" t="s">
        <v>37</v>
      </c>
      <c r="B292" t="s">
        <v>92</v>
      </c>
      <c r="C292" t="s">
        <v>1576</v>
      </c>
      <c r="D292">
        <v>5541464.7599999998</v>
      </c>
      <c r="E292">
        <v>5047275.04</v>
      </c>
      <c r="F292">
        <v>4598467.95</v>
      </c>
      <c r="G292">
        <v>3347146.4</v>
      </c>
      <c r="H292">
        <v>2661622.92</v>
      </c>
      <c r="I292">
        <v>2328849.81</v>
      </c>
    </row>
    <row r="293" spans="1:9" hidden="1" x14ac:dyDescent="0.3">
      <c r="A293" t="s">
        <v>37</v>
      </c>
      <c r="B293" t="s">
        <v>92</v>
      </c>
      <c r="C293" t="s">
        <v>1579</v>
      </c>
      <c r="D293">
        <v>99969.32</v>
      </c>
      <c r="E293">
        <v>36954.75</v>
      </c>
      <c r="F293">
        <v>142844.56</v>
      </c>
      <c r="G293">
        <v>56837.88</v>
      </c>
      <c r="H293">
        <v>27272.61</v>
      </c>
      <c r="I293">
        <v>32499.66</v>
      </c>
    </row>
    <row r="294" spans="1:9" hidden="1" x14ac:dyDescent="0.3">
      <c r="A294" t="s">
        <v>37</v>
      </c>
      <c r="B294" t="s">
        <v>92</v>
      </c>
      <c r="C294" t="s">
        <v>1583</v>
      </c>
      <c r="D294">
        <v>-826818.35</v>
      </c>
      <c r="E294">
        <v>-508627.94</v>
      </c>
      <c r="F294">
        <v>-980999.24</v>
      </c>
      <c r="G294">
        <v>11150.77</v>
      </c>
      <c r="H294">
        <v>39916.769999999997</v>
      </c>
      <c r="I294">
        <v>-69268.28</v>
      </c>
    </row>
    <row r="295" spans="1:9" hidden="1" x14ac:dyDescent="0.3">
      <c r="A295" t="s">
        <v>37</v>
      </c>
      <c r="B295" t="s">
        <v>92</v>
      </c>
      <c r="C295" t="s">
        <v>1584</v>
      </c>
      <c r="D295">
        <v>-726849.04</v>
      </c>
      <c r="E295">
        <v>-471673.19</v>
      </c>
      <c r="F295">
        <v>-838154.68</v>
      </c>
      <c r="G295">
        <v>67988.649999999994</v>
      </c>
      <c r="H295">
        <v>67189.37</v>
      </c>
      <c r="I295">
        <v>-36768.61</v>
      </c>
    </row>
    <row r="296" spans="1:9" hidden="1" x14ac:dyDescent="0.3">
      <c r="A296" t="s">
        <v>37</v>
      </c>
      <c r="B296" t="s">
        <v>92</v>
      </c>
      <c r="C296" t="s">
        <v>1585</v>
      </c>
      <c r="D296">
        <v>-5502.26</v>
      </c>
      <c r="E296">
        <v>-5047.51</v>
      </c>
      <c r="F296">
        <v>-7197.37</v>
      </c>
      <c r="G296">
        <v>-7725.78</v>
      </c>
      <c r="H296">
        <v>-12633.32</v>
      </c>
      <c r="I296">
        <v>-15128.78</v>
      </c>
    </row>
    <row r="297" spans="1:9" hidden="1" x14ac:dyDescent="0.3">
      <c r="A297" t="s">
        <v>37</v>
      </c>
      <c r="B297" t="s">
        <v>92</v>
      </c>
      <c r="C297" t="s">
        <v>1588</v>
      </c>
      <c r="D297">
        <v>5502.26</v>
      </c>
      <c r="E297">
        <v>5047.51</v>
      </c>
      <c r="F297">
        <v>7197.37</v>
      </c>
      <c r="G297">
        <v>7725.78</v>
      </c>
      <c r="H297">
        <v>12633.32</v>
      </c>
      <c r="I297">
        <v>15128.78</v>
      </c>
    </row>
    <row r="298" spans="1:9" hidden="1" x14ac:dyDescent="0.3">
      <c r="A298" t="s">
        <v>37</v>
      </c>
      <c r="B298" t="s">
        <v>92</v>
      </c>
      <c r="C298" t="s">
        <v>1628</v>
      </c>
      <c r="D298">
        <v>5502.26</v>
      </c>
      <c r="E298">
        <v>5047.51</v>
      </c>
      <c r="F298">
        <v>7197.37</v>
      </c>
      <c r="G298">
        <v>7725.78</v>
      </c>
      <c r="H298">
        <v>12633.32</v>
      </c>
      <c r="I298">
        <v>15128.78</v>
      </c>
    </row>
    <row r="299" spans="1:9" hidden="1" x14ac:dyDescent="0.3">
      <c r="A299" t="s">
        <v>37</v>
      </c>
      <c r="B299" t="s">
        <v>92</v>
      </c>
      <c r="C299" t="s">
        <v>1590</v>
      </c>
      <c r="D299">
        <v>55837.03</v>
      </c>
      <c r="E299">
        <v>16943.64</v>
      </c>
      <c r="F299">
        <v>14778.61</v>
      </c>
      <c r="G299">
        <v>861.15</v>
      </c>
      <c r="H299">
        <v>6184.23</v>
      </c>
      <c r="I299">
        <v>7457.17</v>
      </c>
    </row>
    <row r="300" spans="1:9" hidden="1" x14ac:dyDescent="0.3">
      <c r="A300" t="s">
        <v>37</v>
      </c>
      <c r="B300" t="s">
        <v>92</v>
      </c>
      <c r="C300" t="s">
        <v>1591</v>
      </c>
      <c r="D300">
        <v>63114.74</v>
      </c>
      <c r="E300">
        <v>34348.93</v>
      </c>
      <c r="F300">
        <v>26082.31</v>
      </c>
      <c r="G300">
        <v>12037.81</v>
      </c>
      <c r="H300">
        <v>11733.16</v>
      </c>
      <c r="I300">
        <v>12676.57</v>
      </c>
    </row>
    <row r="301" spans="1:9" hidden="1" x14ac:dyDescent="0.3">
      <c r="A301" t="s">
        <v>37</v>
      </c>
      <c r="B301" t="s">
        <v>92</v>
      </c>
      <c r="C301" t="s">
        <v>1592</v>
      </c>
      <c r="D301">
        <v>7277.71</v>
      </c>
      <c r="E301">
        <v>17405.29</v>
      </c>
      <c r="F301">
        <v>11303.7</v>
      </c>
      <c r="G301">
        <v>11176.66</v>
      </c>
      <c r="H301">
        <v>5548.93</v>
      </c>
      <c r="I301">
        <v>5219.3999999999996</v>
      </c>
    </row>
    <row r="302" spans="1:9" hidden="1" x14ac:dyDescent="0.3">
      <c r="A302" t="s">
        <v>37</v>
      </c>
      <c r="B302" t="s">
        <v>92</v>
      </c>
      <c r="C302" t="s">
        <v>1593</v>
      </c>
      <c r="D302">
        <v>-776483.59</v>
      </c>
      <c r="E302">
        <v>-496731.8</v>
      </c>
      <c r="F302">
        <v>-973418</v>
      </c>
      <c r="G302">
        <v>4286.13</v>
      </c>
      <c r="H302">
        <v>33467.67</v>
      </c>
      <c r="I302">
        <v>-76939.89</v>
      </c>
    </row>
    <row r="303" spans="1:9" hidden="1" x14ac:dyDescent="0.3">
      <c r="A303" t="s">
        <v>37</v>
      </c>
      <c r="B303" t="s">
        <v>92</v>
      </c>
      <c r="C303" t="s">
        <v>1594</v>
      </c>
      <c r="D303">
        <v>16520.09</v>
      </c>
      <c r="E303">
        <v>36168.15</v>
      </c>
      <c r="F303">
        <v>270000.19</v>
      </c>
      <c r="G303">
        <v>-964.02</v>
      </c>
      <c r="H303">
        <v>-13762.25</v>
      </c>
      <c r="I303">
        <v>23547.38</v>
      </c>
    </row>
    <row r="304" spans="1:9" hidden="1" x14ac:dyDescent="0.3">
      <c r="A304" t="s">
        <v>37</v>
      </c>
      <c r="B304" t="s">
        <v>92</v>
      </c>
      <c r="C304" t="s">
        <v>1595</v>
      </c>
      <c r="D304">
        <v>-759963.5</v>
      </c>
      <c r="E304">
        <v>-460563.65</v>
      </c>
      <c r="F304">
        <v>-703417.81</v>
      </c>
      <c r="G304">
        <v>3322.11</v>
      </c>
      <c r="H304">
        <v>19705.419999999998</v>
      </c>
      <c r="I304">
        <v>-53392.51</v>
      </c>
    </row>
    <row r="305" spans="1:9" hidden="1" x14ac:dyDescent="0.3">
      <c r="A305" t="s">
        <v>37</v>
      </c>
      <c r="B305" t="s">
        <v>92</v>
      </c>
      <c r="C305" t="s">
        <v>1596</v>
      </c>
      <c r="D305">
        <v>-759963.5</v>
      </c>
      <c r="E305">
        <v>-460563.65</v>
      </c>
      <c r="F305">
        <v>-703417.81</v>
      </c>
      <c r="G305">
        <v>3322.11</v>
      </c>
      <c r="H305">
        <v>19705.419999999998</v>
      </c>
      <c r="I305">
        <v>-53392.51</v>
      </c>
    </row>
    <row r="306" spans="1:9" hidden="1" x14ac:dyDescent="0.3">
      <c r="A306" t="s">
        <v>37</v>
      </c>
      <c r="B306" t="s">
        <v>92</v>
      </c>
      <c r="C306" t="s">
        <v>1597</v>
      </c>
      <c r="D306">
        <v>866309</v>
      </c>
      <c r="E306">
        <v>974434.44</v>
      </c>
      <c r="F306">
        <v>947006.74</v>
      </c>
      <c r="G306">
        <v>1054606.46</v>
      </c>
      <c r="H306">
        <v>1080969.3700000001</v>
      </c>
      <c r="I306">
        <v>1142761.6200000001</v>
      </c>
    </row>
    <row r="307" spans="1:9" hidden="1" x14ac:dyDescent="0.3">
      <c r="A307" t="s">
        <v>37</v>
      </c>
      <c r="B307" t="s">
        <v>92</v>
      </c>
      <c r="C307" t="s">
        <v>1598</v>
      </c>
      <c r="D307">
        <v>431106.97</v>
      </c>
      <c r="E307">
        <v>433672.04</v>
      </c>
      <c r="F307">
        <v>408281.9</v>
      </c>
      <c r="G307">
        <v>136824.22</v>
      </c>
      <c r="H307">
        <v>139274.21</v>
      </c>
      <c r="I307">
        <v>152990.98000000001</v>
      </c>
    </row>
    <row r="308" spans="1:9" hidden="1" x14ac:dyDescent="0.3">
      <c r="A308" t="s">
        <v>37</v>
      </c>
      <c r="B308" t="s">
        <v>92</v>
      </c>
      <c r="C308" t="s">
        <v>1599</v>
      </c>
      <c r="D308">
        <v>30455.89</v>
      </c>
      <c r="E308">
        <v>30869.51</v>
      </c>
      <c r="F308">
        <v>31424.01</v>
      </c>
      <c r="G308">
        <v>31757.82</v>
      </c>
      <c r="H308">
        <v>32810.370000000003</v>
      </c>
      <c r="I308">
        <v>33579.160000000003</v>
      </c>
    </row>
    <row r="309" spans="1:9" hidden="1" x14ac:dyDescent="0.3">
      <c r="A309" t="s">
        <v>37</v>
      </c>
      <c r="B309" t="s">
        <v>92</v>
      </c>
      <c r="C309" t="s">
        <v>1629</v>
      </c>
      <c r="D309">
        <v>505</v>
      </c>
      <c r="E309">
        <v>2647.89</v>
      </c>
      <c r="F309">
        <v>2869.46</v>
      </c>
      <c r="G309">
        <v>1243.77</v>
      </c>
      <c r="H309">
        <v>2218.79</v>
      </c>
      <c r="I309">
        <v>1615.6</v>
      </c>
    </row>
    <row r="310" spans="1:9" hidden="1" x14ac:dyDescent="0.3">
      <c r="A310" t="s">
        <v>37</v>
      </c>
      <c r="B310" t="s">
        <v>92</v>
      </c>
      <c r="C310" t="s">
        <v>1630</v>
      </c>
      <c r="D310">
        <v>400146.08</v>
      </c>
      <c r="E310">
        <v>400154.64</v>
      </c>
      <c r="F310">
        <v>373988.44</v>
      </c>
      <c r="G310">
        <v>103822.62</v>
      </c>
      <c r="H310">
        <v>104245.05</v>
      </c>
      <c r="I310">
        <v>117796.23</v>
      </c>
    </row>
    <row r="311" spans="1:9" hidden="1" x14ac:dyDescent="0.3">
      <c r="A311" t="s">
        <v>37</v>
      </c>
      <c r="B311" t="s">
        <v>92</v>
      </c>
      <c r="C311" t="s">
        <v>1602</v>
      </c>
      <c r="D311">
        <v>435202.02</v>
      </c>
      <c r="E311">
        <v>540762.4</v>
      </c>
      <c r="F311">
        <v>538724.84</v>
      </c>
      <c r="G311">
        <v>917782.24</v>
      </c>
      <c r="H311">
        <v>941695.15</v>
      </c>
      <c r="I311">
        <v>989770.64</v>
      </c>
    </row>
    <row r="312" spans="1:9" hidden="1" x14ac:dyDescent="0.3">
      <c r="A312" t="s">
        <v>37</v>
      </c>
      <c r="B312" t="s">
        <v>92</v>
      </c>
      <c r="C312" t="s">
        <v>1603</v>
      </c>
      <c r="D312">
        <v>220825.79</v>
      </c>
      <c r="E312">
        <v>313232.03000000003</v>
      </c>
      <c r="F312">
        <v>309048.38</v>
      </c>
      <c r="G312">
        <v>617833.26</v>
      </c>
      <c r="H312">
        <v>599494.71</v>
      </c>
      <c r="I312">
        <v>868646.93</v>
      </c>
    </row>
    <row r="313" spans="1:9" hidden="1" x14ac:dyDescent="0.3">
      <c r="A313" t="s">
        <v>37</v>
      </c>
      <c r="B313" t="s">
        <v>92</v>
      </c>
      <c r="C313" t="s">
        <v>1631</v>
      </c>
      <c r="D313">
        <v>554986.74</v>
      </c>
      <c r="E313">
        <v>542686.56000000006</v>
      </c>
      <c r="F313">
        <v>539361.91</v>
      </c>
      <c r="G313">
        <v>653926.40000000002</v>
      </c>
      <c r="H313">
        <v>615242.35</v>
      </c>
      <c r="I313">
        <v>675360.03</v>
      </c>
    </row>
    <row r="314" spans="1:9" hidden="1" x14ac:dyDescent="0.3">
      <c r="A314" t="s">
        <v>37</v>
      </c>
      <c r="B314" t="s">
        <v>92</v>
      </c>
      <c r="C314" t="s">
        <v>1604</v>
      </c>
      <c r="D314">
        <v>28665.07</v>
      </c>
      <c r="E314">
        <v>27647.74</v>
      </c>
      <c r="F314">
        <v>45497.53</v>
      </c>
      <c r="G314">
        <v>101405.26</v>
      </c>
      <c r="H314">
        <v>70107.75</v>
      </c>
      <c r="I314">
        <v>263136.40000000002</v>
      </c>
    </row>
    <row r="315" spans="1:9" hidden="1" x14ac:dyDescent="0.3">
      <c r="A315" t="s">
        <v>37</v>
      </c>
      <c r="B315" t="s">
        <v>92</v>
      </c>
      <c r="C315" t="s">
        <v>1633</v>
      </c>
      <c r="D315">
        <v>-365966.03</v>
      </c>
      <c r="E315">
        <v>-272084.92</v>
      </c>
      <c r="F315">
        <v>-287948.63</v>
      </c>
      <c r="G315">
        <v>-147434</v>
      </c>
      <c r="H315">
        <v>-94191.96</v>
      </c>
      <c r="I315">
        <v>-76483.5</v>
      </c>
    </row>
    <row r="316" spans="1:9" hidden="1" x14ac:dyDescent="0.3">
      <c r="A316" t="s">
        <v>37</v>
      </c>
      <c r="B316" t="s">
        <v>92</v>
      </c>
      <c r="C316" t="s">
        <v>1634</v>
      </c>
      <c r="D316">
        <v>3140.01</v>
      </c>
      <c r="E316">
        <v>14982.65</v>
      </c>
      <c r="F316">
        <v>12137.57</v>
      </c>
      <c r="G316">
        <v>9935.59</v>
      </c>
      <c r="H316">
        <v>8336.57</v>
      </c>
      <c r="I316">
        <v>6633.99</v>
      </c>
    </row>
    <row r="317" spans="1:9" hidden="1" x14ac:dyDescent="0.3">
      <c r="A317" t="s">
        <v>37</v>
      </c>
      <c r="B317" t="s">
        <v>92</v>
      </c>
      <c r="C317" t="s">
        <v>1635</v>
      </c>
      <c r="D317">
        <v>9809.11</v>
      </c>
      <c r="E317">
        <v>32038.99</v>
      </c>
      <c r="F317">
        <v>57609.65</v>
      </c>
      <c r="G317">
        <v>73564.97</v>
      </c>
      <c r="H317">
        <v>120891.58</v>
      </c>
      <c r="I317">
        <v>14298.85</v>
      </c>
    </row>
    <row r="318" spans="1:9" hidden="1" x14ac:dyDescent="0.3">
      <c r="A318" t="s">
        <v>37</v>
      </c>
      <c r="B318" t="s">
        <v>92</v>
      </c>
      <c r="C318" t="s">
        <v>1605</v>
      </c>
      <c r="D318">
        <v>12886.21</v>
      </c>
      <c r="E318">
        <v>10054</v>
      </c>
      <c r="F318">
        <v>14004.9</v>
      </c>
      <c r="G318">
        <v>21</v>
      </c>
      <c r="H318">
        <v>21</v>
      </c>
      <c r="I318">
        <v>21</v>
      </c>
    </row>
    <row r="319" spans="1:9" hidden="1" x14ac:dyDescent="0.3">
      <c r="A319" t="s">
        <v>37</v>
      </c>
      <c r="B319" t="s">
        <v>92</v>
      </c>
      <c r="C319" t="s">
        <v>1606</v>
      </c>
      <c r="D319">
        <v>191680.92</v>
      </c>
      <c r="E319">
        <v>185437.38</v>
      </c>
      <c r="F319">
        <v>158061.9</v>
      </c>
      <c r="G319">
        <v>226363.01</v>
      </c>
      <c r="H319">
        <v>221287.86</v>
      </c>
      <c r="I319">
        <v>106803.87</v>
      </c>
    </row>
    <row r="320" spans="1:9" hidden="1" x14ac:dyDescent="0.3">
      <c r="A320" t="s">
        <v>37</v>
      </c>
      <c r="B320" t="s">
        <v>92</v>
      </c>
      <c r="C320" t="s">
        <v>1608</v>
      </c>
      <c r="D320">
        <v>866309</v>
      </c>
      <c r="E320">
        <v>974434.44</v>
      </c>
      <c r="F320">
        <v>947006.74</v>
      </c>
      <c r="G320">
        <v>1054606.46</v>
      </c>
      <c r="H320">
        <v>1080969.3700000001</v>
      </c>
      <c r="I320">
        <v>1142761.6200000001</v>
      </c>
    </row>
    <row r="321" spans="1:9" hidden="1" x14ac:dyDescent="0.3">
      <c r="A321" t="s">
        <v>37</v>
      </c>
      <c r="B321" t="s">
        <v>92</v>
      </c>
      <c r="C321" t="s">
        <v>1609</v>
      </c>
      <c r="D321">
        <v>-2197790.08</v>
      </c>
      <c r="E321">
        <v>-1532196.92</v>
      </c>
      <c r="F321">
        <v>-1090508.96</v>
      </c>
      <c r="G321">
        <v>141579.76999999999</v>
      </c>
      <c r="H321">
        <v>132586.19</v>
      </c>
      <c r="I321">
        <v>82000.77</v>
      </c>
    </row>
    <row r="322" spans="1:9" hidden="1" x14ac:dyDescent="0.3">
      <c r="A322" t="s">
        <v>37</v>
      </c>
      <c r="B322" t="s">
        <v>92</v>
      </c>
      <c r="C322" t="s">
        <v>1610</v>
      </c>
      <c r="D322">
        <v>-2197790.08</v>
      </c>
      <c r="E322">
        <v>-1532196.92</v>
      </c>
      <c r="F322">
        <v>-1090508.96</v>
      </c>
      <c r="G322">
        <v>141579.76999999999</v>
      </c>
      <c r="H322">
        <v>132586.19</v>
      </c>
      <c r="I322">
        <v>82000.77</v>
      </c>
    </row>
    <row r="323" spans="1:9" hidden="1" x14ac:dyDescent="0.3">
      <c r="A323" t="s">
        <v>37</v>
      </c>
      <c r="B323" t="s">
        <v>92</v>
      </c>
      <c r="C323" t="s">
        <v>1611</v>
      </c>
      <c r="D323">
        <v>393892.28</v>
      </c>
      <c r="E323">
        <v>393892.28</v>
      </c>
      <c r="F323">
        <v>393892.28</v>
      </c>
      <c r="G323">
        <v>163892.28</v>
      </c>
      <c r="H323">
        <v>162967.67999999999</v>
      </c>
      <c r="I323">
        <v>158335.67999999999</v>
      </c>
    </row>
    <row r="324" spans="1:9" hidden="1" x14ac:dyDescent="0.3">
      <c r="A324" t="s">
        <v>37</v>
      </c>
      <c r="B324" t="s">
        <v>92</v>
      </c>
      <c r="C324" t="s">
        <v>1636</v>
      </c>
      <c r="D324">
        <v>210837.4</v>
      </c>
      <c r="E324">
        <v>210837.4</v>
      </c>
      <c r="F324">
        <v>210837.4</v>
      </c>
      <c r="G324">
        <v>210837.4</v>
      </c>
      <c r="H324">
        <v>205598</v>
      </c>
      <c r="I324">
        <v>179350</v>
      </c>
    </row>
    <row r="325" spans="1:9" hidden="1" x14ac:dyDescent="0.3">
      <c r="A325" t="s">
        <v>37</v>
      </c>
      <c r="B325" t="s">
        <v>92</v>
      </c>
      <c r="C325" t="s">
        <v>1612</v>
      </c>
      <c r="D325">
        <v>2323.75</v>
      </c>
      <c r="E325">
        <v>2323.75</v>
      </c>
      <c r="F325">
        <v>2323.75</v>
      </c>
      <c r="G325">
        <v>1991.54</v>
      </c>
      <c r="H325">
        <v>21</v>
      </c>
      <c r="I325">
        <v>21</v>
      </c>
    </row>
    <row r="326" spans="1:9" hidden="1" x14ac:dyDescent="0.3">
      <c r="A326" t="s">
        <v>37</v>
      </c>
      <c r="B326" t="s">
        <v>92</v>
      </c>
      <c r="C326" t="s">
        <v>1613</v>
      </c>
      <c r="D326">
        <v>-1907268.6</v>
      </c>
      <c r="E326">
        <v>-1540876.56</v>
      </c>
      <c r="F326">
        <v>-856334.44</v>
      </c>
      <c r="G326">
        <v>-100653.42</v>
      </c>
      <c r="H326">
        <v>-118388.3</v>
      </c>
      <c r="I326">
        <v>-64995.78</v>
      </c>
    </row>
    <row r="327" spans="1:9" hidden="1" x14ac:dyDescent="0.3">
      <c r="A327" t="s">
        <v>37</v>
      </c>
      <c r="B327" t="s">
        <v>92</v>
      </c>
      <c r="C327" t="s">
        <v>1614</v>
      </c>
      <c r="D327">
        <v>-759963.5</v>
      </c>
      <c r="E327">
        <v>-460563.65</v>
      </c>
      <c r="F327">
        <v>-703417.81</v>
      </c>
      <c r="G327">
        <v>3322.11</v>
      </c>
      <c r="H327">
        <v>19705.419999999998</v>
      </c>
      <c r="I327">
        <v>-53392.51</v>
      </c>
    </row>
    <row r="328" spans="1:9" hidden="1" x14ac:dyDescent="0.3">
      <c r="A328" t="s">
        <v>37</v>
      </c>
      <c r="B328" t="s">
        <v>92</v>
      </c>
      <c r="C328" t="s">
        <v>1642</v>
      </c>
      <c r="D328">
        <v>-137611.41</v>
      </c>
      <c r="E328">
        <v>-137810.14000000001</v>
      </c>
      <c r="F328">
        <v>-137810.14000000001</v>
      </c>
      <c r="G328">
        <v>-137810.14000000001</v>
      </c>
      <c r="H328">
        <v>-137317.60999999999</v>
      </c>
      <c r="I328">
        <v>-137317.60999999999</v>
      </c>
    </row>
    <row r="329" spans="1:9" hidden="1" x14ac:dyDescent="0.3">
      <c r="A329" t="s">
        <v>37</v>
      </c>
      <c r="B329" t="s">
        <v>92</v>
      </c>
      <c r="C329" t="s">
        <v>1615</v>
      </c>
      <c r="D329">
        <v>3064099.08</v>
      </c>
      <c r="E329">
        <v>2506631.36</v>
      </c>
      <c r="F329">
        <v>2037515.7</v>
      </c>
      <c r="G329">
        <v>913026.69</v>
      </c>
      <c r="H329">
        <v>948383.18</v>
      </c>
      <c r="I329">
        <v>1060760.8500000001</v>
      </c>
    </row>
    <row r="330" spans="1:9" hidden="1" x14ac:dyDescent="0.3">
      <c r="A330" t="s">
        <v>37</v>
      </c>
      <c r="B330" t="s">
        <v>92</v>
      </c>
      <c r="C330" t="s">
        <v>1616</v>
      </c>
      <c r="D330">
        <v>1216326.5900000001</v>
      </c>
      <c r="E330">
        <v>1095196.58</v>
      </c>
      <c r="F330">
        <v>1040927.54</v>
      </c>
      <c r="G330">
        <v>365690.87</v>
      </c>
      <c r="H330">
        <v>284999.98</v>
      </c>
      <c r="I330">
        <v>239001.19</v>
      </c>
    </row>
    <row r="331" spans="1:9" hidden="1" x14ac:dyDescent="0.3">
      <c r="A331" t="s">
        <v>37</v>
      </c>
      <c r="B331" t="s">
        <v>92</v>
      </c>
      <c r="C331" t="s">
        <v>1617</v>
      </c>
      <c r="D331">
        <v>1215954.8799999999</v>
      </c>
      <c r="E331">
        <v>1095003.33</v>
      </c>
      <c r="F331">
        <v>1040729.7</v>
      </c>
      <c r="G331">
        <v>365690.87</v>
      </c>
      <c r="H331">
        <v>284999.98</v>
      </c>
      <c r="I331">
        <v>239001.19</v>
      </c>
    </row>
    <row r="332" spans="1:9" hidden="1" x14ac:dyDescent="0.3">
      <c r="A332" t="s">
        <v>37</v>
      </c>
      <c r="B332" t="s">
        <v>92</v>
      </c>
      <c r="C332" t="s">
        <v>1618</v>
      </c>
      <c r="D332">
        <v>371.72</v>
      </c>
      <c r="E332">
        <v>193.26</v>
      </c>
      <c r="F332">
        <v>197.84</v>
      </c>
      <c r="G332">
        <v>0</v>
      </c>
      <c r="H332">
        <v>0</v>
      </c>
      <c r="I332">
        <v>0</v>
      </c>
    </row>
    <row r="333" spans="1:9" hidden="1" x14ac:dyDescent="0.3">
      <c r="A333" t="s">
        <v>37</v>
      </c>
      <c r="B333" t="s">
        <v>92</v>
      </c>
      <c r="C333" t="s">
        <v>1619</v>
      </c>
      <c r="D333">
        <v>1847772.48</v>
      </c>
      <c r="E333">
        <v>1411434.78</v>
      </c>
      <c r="F333">
        <v>996588.16</v>
      </c>
      <c r="G333">
        <v>547335.81000000006</v>
      </c>
      <c r="H333">
        <v>663383.19999999995</v>
      </c>
      <c r="I333">
        <v>821759.66</v>
      </c>
    </row>
    <row r="334" spans="1:9" hidden="1" x14ac:dyDescent="0.3">
      <c r="A334" t="s">
        <v>37</v>
      </c>
      <c r="B334" t="s">
        <v>92</v>
      </c>
      <c r="C334" t="s">
        <v>1638</v>
      </c>
      <c r="D334">
        <v>10719.56</v>
      </c>
      <c r="E334">
        <v>14905.67</v>
      </c>
      <c r="F334">
        <v>19596.32</v>
      </c>
      <c r="G334">
        <v>59936.25</v>
      </c>
      <c r="H334">
        <v>128231.12</v>
      </c>
      <c r="I334">
        <v>142268.71</v>
      </c>
    </row>
    <row r="335" spans="1:9" hidden="1" x14ac:dyDescent="0.3">
      <c r="A335" t="s">
        <v>37</v>
      </c>
      <c r="B335" t="s">
        <v>92</v>
      </c>
      <c r="C335" t="s">
        <v>1620</v>
      </c>
      <c r="D335">
        <v>1810128.59</v>
      </c>
      <c r="E335">
        <v>1350617.6</v>
      </c>
      <c r="F335">
        <v>953483.95</v>
      </c>
      <c r="G335">
        <v>452427.72</v>
      </c>
      <c r="H335">
        <v>496149.88</v>
      </c>
      <c r="I335">
        <v>658183.52</v>
      </c>
    </row>
    <row r="336" spans="1:9" hidden="1" x14ac:dyDescent="0.3">
      <c r="A336" t="s">
        <v>37</v>
      </c>
      <c r="B336" t="s">
        <v>92</v>
      </c>
      <c r="C336" t="s">
        <v>1621</v>
      </c>
      <c r="D336">
        <v>1774058.01</v>
      </c>
      <c r="E336">
        <v>1299026.99</v>
      </c>
      <c r="F336">
        <v>909672.09</v>
      </c>
      <c r="G336">
        <v>355989.34</v>
      </c>
      <c r="H336">
        <v>385230.23</v>
      </c>
      <c r="I336">
        <v>601724.93000000005</v>
      </c>
    </row>
    <row r="337" spans="1:9" hidden="1" x14ac:dyDescent="0.3">
      <c r="A337" t="s">
        <v>37</v>
      </c>
      <c r="B337" t="s">
        <v>92</v>
      </c>
      <c r="C337" t="s">
        <v>1622</v>
      </c>
      <c r="D337">
        <v>36070.58</v>
      </c>
      <c r="E337">
        <v>51590.61</v>
      </c>
      <c r="F337">
        <v>43811.85</v>
      </c>
      <c r="G337">
        <v>96438.39</v>
      </c>
      <c r="H337">
        <v>110919.66</v>
      </c>
      <c r="I337">
        <v>56458.59</v>
      </c>
    </row>
    <row r="338" spans="1:9" hidden="1" x14ac:dyDescent="0.3">
      <c r="A338" t="s">
        <v>37</v>
      </c>
      <c r="B338" t="s">
        <v>92</v>
      </c>
      <c r="C338" t="s">
        <v>1617</v>
      </c>
      <c r="D338">
        <v>18079.78</v>
      </c>
      <c r="E338">
        <v>21589.69</v>
      </c>
      <c r="F338">
        <v>16686.07</v>
      </c>
      <c r="G338">
        <v>14614.13</v>
      </c>
      <c r="H338">
        <v>15578.57</v>
      </c>
      <c r="I338">
        <v>14435.23</v>
      </c>
    </row>
    <row r="339" spans="1:9" hidden="1" x14ac:dyDescent="0.3">
      <c r="A339" t="s">
        <v>37</v>
      </c>
      <c r="B339" t="s">
        <v>92</v>
      </c>
      <c r="C339" t="s">
        <v>1623</v>
      </c>
      <c r="D339">
        <v>3047.51</v>
      </c>
      <c r="E339">
        <v>2926.1</v>
      </c>
      <c r="F339">
        <v>2543.5100000000002</v>
      </c>
      <c r="G339">
        <v>13783.11</v>
      </c>
      <c r="H339">
        <v>16848.849999999999</v>
      </c>
      <c r="I339">
        <v>2478.1</v>
      </c>
    </row>
    <row r="340" spans="1:9" hidden="1" x14ac:dyDescent="0.3">
      <c r="A340" t="s">
        <v>37</v>
      </c>
      <c r="B340" t="s">
        <v>92</v>
      </c>
      <c r="C340" t="s">
        <v>1640</v>
      </c>
      <c r="D340">
        <v>5797.04</v>
      </c>
      <c r="E340">
        <v>21395.72</v>
      </c>
      <c r="F340">
        <v>4278.33</v>
      </c>
      <c r="G340">
        <v>6574.6</v>
      </c>
      <c r="H340">
        <v>6574.78</v>
      </c>
      <c r="I340">
        <v>4394.1099999999997</v>
      </c>
    </row>
    <row r="341" spans="1:9" hidden="1" x14ac:dyDescent="0.3">
      <c r="A341" t="s">
        <v>25</v>
      </c>
      <c r="B341" t="s">
        <v>92</v>
      </c>
      <c r="C341" t="s">
        <v>1575</v>
      </c>
      <c r="D341">
        <v>639236.28</v>
      </c>
      <c r="E341">
        <v>534400.38</v>
      </c>
      <c r="F341">
        <v>430016.13</v>
      </c>
      <c r="G341">
        <v>370526.75</v>
      </c>
      <c r="H341">
        <v>315130.65999999997</v>
      </c>
      <c r="I341">
        <v>288130</v>
      </c>
    </row>
    <row r="342" spans="1:9" hidden="1" x14ac:dyDescent="0.3">
      <c r="A342" t="s">
        <v>25</v>
      </c>
      <c r="B342" t="s">
        <v>92</v>
      </c>
      <c r="C342" t="s">
        <v>1576</v>
      </c>
      <c r="D342">
        <v>667620</v>
      </c>
      <c r="E342">
        <v>595805</v>
      </c>
      <c r="F342">
        <v>520995</v>
      </c>
      <c r="G342">
        <v>329538</v>
      </c>
      <c r="H342">
        <v>13633.57</v>
      </c>
      <c r="I342">
        <v>268634</v>
      </c>
    </row>
    <row r="343" spans="1:9" hidden="1" x14ac:dyDescent="0.3">
      <c r="A343" t="s">
        <v>25</v>
      </c>
      <c r="B343" t="s">
        <v>92</v>
      </c>
      <c r="C343" t="s">
        <v>1578</v>
      </c>
      <c r="D343">
        <v>29709.56</v>
      </c>
      <c r="E343">
        <v>28079.23</v>
      </c>
      <c r="F343">
        <v>24249.51</v>
      </c>
      <c r="G343">
        <v>19154.57</v>
      </c>
      <c r="H343">
        <v>15551.97</v>
      </c>
      <c r="I343">
        <v>17234.03</v>
      </c>
    </row>
    <row r="344" spans="1:9" hidden="1" x14ac:dyDescent="0.3">
      <c r="A344" t="s">
        <v>25</v>
      </c>
      <c r="B344" t="s">
        <v>92</v>
      </c>
      <c r="C344" t="s">
        <v>1579</v>
      </c>
      <c r="D344">
        <v>9724.35</v>
      </c>
      <c r="E344">
        <v>10946.55</v>
      </c>
      <c r="F344">
        <v>10886.67</v>
      </c>
      <c r="G344">
        <v>34491.980000000003</v>
      </c>
      <c r="H344">
        <v>11824.42</v>
      </c>
      <c r="I344">
        <v>5338.14</v>
      </c>
    </row>
    <row r="345" spans="1:9" hidden="1" x14ac:dyDescent="0.3">
      <c r="A345" t="s">
        <v>25</v>
      </c>
      <c r="B345" t="s">
        <v>92</v>
      </c>
      <c r="C345" t="s">
        <v>1580</v>
      </c>
      <c r="D345">
        <v>-638956.68000000005</v>
      </c>
      <c r="E345">
        <v>-568333.65</v>
      </c>
      <c r="F345">
        <v>-493183.07</v>
      </c>
      <c r="G345">
        <v>-305572.69</v>
      </c>
      <c r="H345">
        <v>-274219.62</v>
      </c>
      <c r="I345">
        <v>-259612.58</v>
      </c>
    </row>
    <row r="346" spans="1:9" hidden="1" x14ac:dyDescent="0.3">
      <c r="A346" t="s">
        <v>25</v>
      </c>
      <c r="B346" t="s">
        <v>92</v>
      </c>
      <c r="C346" t="s">
        <v>1582</v>
      </c>
      <c r="D346">
        <v>638956.68000000005</v>
      </c>
      <c r="E346">
        <v>568333.65</v>
      </c>
      <c r="F346">
        <v>493183.07</v>
      </c>
      <c r="G346">
        <v>305572.69</v>
      </c>
      <c r="H346">
        <v>274219.62</v>
      </c>
      <c r="I346">
        <v>259612.58</v>
      </c>
    </row>
    <row r="347" spans="1:9" hidden="1" x14ac:dyDescent="0.3">
      <c r="A347" t="s">
        <v>25</v>
      </c>
      <c r="B347" t="s">
        <v>92</v>
      </c>
      <c r="C347" t="s">
        <v>1583</v>
      </c>
      <c r="D347">
        <v>-69517.850000000006</v>
      </c>
      <c r="E347">
        <v>-94906.49</v>
      </c>
      <c r="F347">
        <v>-118043.97</v>
      </c>
      <c r="G347">
        <v>-8636.7999999999993</v>
      </c>
      <c r="H347">
        <v>-98.93</v>
      </c>
      <c r="I347">
        <v>658.7</v>
      </c>
    </row>
    <row r="348" spans="1:9" hidden="1" x14ac:dyDescent="0.3">
      <c r="A348" t="s">
        <v>25</v>
      </c>
      <c r="B348" t="s">
        <v>92</v>
      </c>
      <c r="C348" t="s">
        <v>1584</v>
      </c>
      <c r="D348">
        <v>-59793.5</v>
      </c>
      <c r="E348">
        <v>-83959.93</v>
      </c>
      <c r="F348">
        <v>-107157.29</v>
      </c>
      <c r="G348">
        <v>25855.18</v>
      </c>
      <c r="H348">
        <v>11725.5</v>
      </c>
      <c r="I348">
        <v>5996.84</v>
      </c>
    </row>
    <row r="349" spans="1:9" hidden="1" x14ac:dyDescent="0.3">
      <c r="A349" t="s">
        <v>25</v>
      </c>
      <c r="B349" t="s">
        <v>92</v>
      </c>
      <c r="C349" t="s">
        <v>1585</v>
      </c>
      <c r="D349">
        <v>-531.29</v>
      </c>
      <c r="E349">
        <v>-929.42</v>
      </c>
      <c r="F349">
        <v>-1037.6099999999999</v>
      </c>
      <c r="G349">
        <v>3136.34</v>
      </c>
      <c r="H349">
        <v>3107.4</v>
      </c>
      <c r="I349">
        <v>52.92</v>
      </c>
    </row>
    <row r="350" spans="1:9" hidden="1" x14ac:dyDescent="0.3">
      <c r="A350" t="s">
        <v>25</v>
      </c>
      <c r="B350" t="s">
        <v>92</v>
      </c>
      <c r="C350" t="s">
        <v>1586</v>
      </c>
      <c r="D350">
        <v>1133.03</v>
      </c>
      <c r="E350">
        <v>710.99</v>
      </c>
      <c r="F350">
        <v>325.23</v>
      </c>
      <c r="G350">
        <v>5748.87</v>
      </c>
      <c r="H350">
        <v>3349.12</v>
      </c>
      <c r="I350">
        <v>128.72999999999999</v>
      </c>
    </row>
    <row r="351" spans="1:9" hidden="1" x14ac:dyDescent="0.3">
      <c r="A351" t="s">
        <v>25</v>
      </c>
      <c r="B351" t="s">
        <v>92</v>
      </c>
      <c r="C351" t="s">
        <v>1587</v>
      </c>
      <c r="D351">
        <v>1133.03</v>
      </c>
      <c r="E351">
        <v>710.99</v>
      </c>
      <c r="F351">
        <v>325.23</v>
      </c>
      <c r="G351">
        <v>5748.87</v>
      </c>
      <c r="H351">
        <v>3349.12</v>
      </c>
      <c r="I351">
        <v>128.72999999999999</v>
      </c>
    </row>
    <row r="352" spans="1:9" hidden="1" x14ac:dyDescent="0.3">
      <c r="A352" t="s">
        <v>25</v>
      </c>
      <c r="B352" t="s">
        <v>92</v>
      </c>
      <c r="C352" t="s">
        <v>1588</v>
      </c>
      <c r="D352">
        <v>1664.31</v>
      </c>
      <c r="E352">
        <v>1640.41</v>
      </c>
      <c r="F352">
        <v>1362.84</v>
      </c>
      <c r="G352">
        <v>2612.52</v>
      </c>
      <c r="H352">
        <v>241.72</v>
      </c>
      <c r="I352">
        <v>75.8</v>
      </c>
    </row>
    <row r="353" spans="1:9" hidden="1" x14ac:dyDescent="0.3">
      <c r="A353" t="s">
        <v>25</v>
      </c>
      <c r="B353" t="s">
        <v>92</v>
      </c>
      <c r="C353" t="s">
        <v>1589</v>
      </c>
      <c r="D353">
        <v>1664.31</v>
      </c>
      <c r="E353">
        <v>1640.41</v>
      </c>
      <c r="F353">
        <v>1362.84</v>
      </c>
      <c r="G353">
        <v>2612.52</v>
      </c>
      <c r="H353">
        <v>241.72</v>
      </c>
      <c r="I353">
        <v>75.8</v>
      </c>
    </row>
    <row r="354" spans="1:9" hidden="1" x14ac:dyDescent="0.3">
      <c r="A354" t="s">
        <v>25</v>
      </c>
      <c r="B354" t="s">
        <v>92</v>
      </c>
      <c r="C354" t="s">
        <v>1590</v>
      </c>
      <c r="D354">
        <v>11832.48</v>
      </c>
      <c r="E354">
        <v>3440.18</v>
      </c>
      <c r="F354">
        <v>10810.86</v>
      </c>
      <c r="G354">
        <v>12307.16</v>
      </c>
      <c r="H354">
        <v>11922.74</v>
      </c>
      <c r="I354">
        <v>1531.31</v>
      </c>
    </row>
    <row r="355" spans="1:9" hidden="1" x14ac:dyDescent="0.3">
      <c r="A355" t="s">
        <v>25</v>
      </c>
      <c r="B355" t="s">
        <v>92</v>
      </c>
      <c r="C355" t="s">
        <v>1591</v>
      </c>
      <c r="D355">
        <v>13892.84</v>
      </c>
      <c r="E355">
        <v>5336.89</v>
      </c>
      <c r="F355">
        <v>11576.15</v>
      </c>
      <c r="G355">
        <v>13555.79</v>
      </c>
      <c r="H355">
        <v>13482.2</v>
      </c>
      <c r="I355">
        <v>3414.43</v>
      </c>
    </row>
    <row r="356" spans="1:9" hidden="1" x14ac:dyDescent="0.3">
      <c r="A356" t="s">
        <v>25</v>
      </c>
      <c r="B356" t="s">
        <v>92</v>
      </c>
      <c r="C356" t="s">
        <v>1592</v>
      </c>
      <c r="D356">
        <v>2060.36</v>
      </c>
      <c r="E356">
        <v>1896.71</v>
      </c>
      <c r="F356">
        <v>765.29</v>
      </c>
      <c r="G356">
        <v>1248.6300000000001</v>
      </c>
      <c r="H356">
        <v>1559.46</v>
      </c>
      <c r="I356">
        <v>1883.13</v>
      </c>
    </row>
    <row r="357" spans="1:9" hidden="1" x14ac:dyDescent="0.3">
      <c r="A357" t="s">
        <v>25</v>
      </c>
      <c r="B357" t="s">
        <v>92</v>
      </c>
      <c r="C357" t="s">
        <v>1593</v>
      </c>
      <c r="D357">
        <v>-49464.89</v>
      </c>
      <c r="E357">
        <v>-83464.38</v>
      </c>
      <c r="F357">
        <v>-108270.72</v>
      </c>
      <c r="G357">
        <v>6806.7</v>
      </c>
      <c r="H357">
        <v>14931.21</v>
      </c>
      <c r="I357">
        <v>2242.9299999999998</v>
      </c>
    </row>
    <row r="358" spans="1:9" hidden="1" x14ac:dyDescent="0.3">
      <c r="A358" t="s">
        <v>25</v>
      </c>
      <c r="B358" t="s">
        <v>92</v>
      </c>
      <c r="C358" t="s">
        <v>1595</v>
      </c>
      <c r="D358">
        <v>-49464.89</v>
      </c>
      <c r="E358">
        <v>-83464.38</v>
      </c>
      <c r="F358">
        <v>-108270.72</v>
      </c>
      <c r="G358">
        <v>6806.7</v>
      </c>
      <c r="H358">
        <v>14931.21</v>
      </c>
      <c r="I358">
        <v>2242.9299999999998</v>
      </c>
    </row>
    <row r="359" spans="1:9" hidden="1" x14ac:dyDescent="0.3">
      <c r="A359" t="s">
        <v>25</v>
      </c>
      <c r="B359" t="s">
        <v>92</v>
      </c>
      <c r="C359" t="s">
        <v>1596</v>
      </c>
      <c r="D359">
        <v>-51337</v>
      </c>
      <c r="E359">
        <v>-83748</v>
      </c>
      <c r="F359">
        <v>-113021</v>
      </c>
      <c r="G359">
        <v>6024</v>
      </c>
      <c r="H359">
        <v>14124</v>
      </c>
      <c r="I359">
        <v>953</v>
      </c>
    </row>
    <row r="360" spans="1:9" hidden="1" x14ac:dyDescent="0.3">
      <c r="A360" t="s">
        <v>25</v>
      </c>
      <c r="B360" t="s">
        <v>92</v>
      </c>
      <c r="C360" t="s">
        <v>1597</v>
      </c>
      <c r="D360">
        <v>46022.95</v>
      </c>
      <c r="E360">
        <v>42314.54</v>
      </c>
      <c r="F360">
        <v>39786</v>
      </c>
      <c r="G360">
        <v>60883.49</v>
      </c>
      <c r="H360">
        <v>59183.87</v>
      </c>
      <c r="I360">
        <v>41566.99</v>
      </c>
    </row>
    <row r="361" spans="1:9" hidden="1" x14ac:dyDescent="0.3">
      <c r="A361" t="s">
        <v>25</v>
      </c>
      <c r="B361" t="s">
        <v>92</v>
      </c>
      <c r="C361" t="s">
        <v>1598</v>
      </c>
      <c r="D361">
        <v>22361.51</v>
      </c>
      <c r="E361">
        <v>21707.51</v>
      </c>
      <c r="F361">
        <v>22244.25</v>
      </c>
      <c r="G361">
        <v>26317.39</v>
      </c>
      <c r="H361">
        <v>28932.11</v>
      </c>
      <c r="I361">
        <v>25704.32</v>
      </c>
    </row>
    <row r="362" spans="1:9" hidden="1" x14ac:dyDescent="0.3">
      <c r="A362" t="s">
        <v>25</v>
      </c>
      <c r="B362" t="s">
        <v>92</v>
      </c>
      <c r="C362" t="s">
        <v>1599</v>
      </c>
      <c r="D362">
        <v>15290.31</v>
      </c>
      <c r="E362">
        <v>14367.52</v>
      </c>
      <c r="F362">
        <v>14536.42</v>
      </c>
      <c r="G362">
        <v>14005.28</v>
      </c>
      <c r="H362">
        <v>13949.42</v>
      </c>
      <c r="I362">
        <v>13751.04</v>
      </c>
    </row>
    <row r="363" spans="1:9" hidden="1" x14ac:dyDescent="0.3">
      <c r="A363" t="s">
        <v>25</v>
      </c>
      <c r="B363" t="s">
        <v>92</v>
      </c>
      <c r="C363" t="s">
        <v>1600</v>
      </c>
      <c r="D363">
        <v>1438.88</v>
      </c>
      <c r="E363">
        <v>1576.65</v>
      </c>
      <c r="F363">
        <v>1576.65</v>
      </c>
      <c r="G363">
        <v>1576.65</v>
      </c>
      <c r="H363">
        <v>0</v>
      </c>
      <c r="I363">
        <v>0</v>
      </c>
    </row>
    <row r="364" spans="1:9" hidden="1" x14ac:dyDescent="0.3">
      <c r="A364" t="s">
        <v>25</v>
      </c>
      <c r="B364" t="s">
        <v>92</v>
      </c>
      <c r="C364" t="s">
        <v>1601</v>
      </c>
      <c r="D364">
        <v>5632.32</v>
      </c>
      <c r="E364">
        <v>5763.35</v>
      </c>
      <c r="F364">
        <v>6131.18</v>
      </c>
      <c r="G364">
        <v>10735.46</v>
      </c>
      <c r="H364">
        <v>14982.69</v>
      </c>
      <c r="I364">
        <v>11953.28</v>
      </c>
    </row>
    <row r="365" spans="1:9" hidden="1" x14ac:dyDescent="0.3">
      <c r="A365" t="s">
        <v>25</v>
      </c>
      <c r="B365" t="s">
        <v>92</v>
      </c>
      <c r="C365" t="s">
        <v>1602</v>
      </c>
      <c r="D365">
        <v>23661.439999999999</v>
      </c>
      <c r="E365">
        <v>20607.04</v>
      </c>
      <c r="F365">
        <v>17541.759999999998</v>
      </c>
      <c r="G365">
        <v>34566.1</v>
      </c>
      <c r="H365">
        <v>30251.75</v>
      </c>
      <c r="I365">
        <v>15862.66</v>
      </c>
    </row>
    <row r="366" spans="1:9" hidden="1" x14ac:dyDescent="0.3">
      <c r="A366" t="s">
        <v>25</v>
      </c>
      <c r="B366" t="s">
        <v>92</v>
      </c>
      <c r="C366" t="s">
        <v>1646</v>
      </c>
      <c r="D366">
        <v>4912.01</v>
      </c>
      <c r="E366">
        <v>4507.22</v>
      </c>
      <c r="F366">
        <v>3780.28</v>
      </c>
      <c r="G366">
        <v>4150.32</v>
      </c>
      <c r="H366">
        <v>5531.04</v>
      </c>
      <c r="I366">
        <v>2591.94</v>
      </c>
    </row>
    <row r="367" spans="1:9" hidden="1" x14ac:dyDescent="0.3">
      <c r="A367" t="s">
        <v>25</v>
      </c>
      <c r="B367" t="s">
        <v>92</v>
      </c>
      <c r="C367" t="s">
        <v>1603</v>
      </c>
      <c r="D367">
        <v>6107.34</v>
      </c>
      <c r="E367">
        <v>4727.1899999999996</v>
      </c>
      <c r="F367">
        <v>4471.95</v>
      </c>
      <c r="G367">
        <v>7182.01</v>
      </c>
      <c r="H367">
        <v>10568.25</v>
      </c>
      <c r="I367">
        <v>9051.2800000000007</v>
      </c>
    </row>
    <row r="368" spans="1:9" hidden="1" x14ac:dyDescent="0.3">
      <c r="A368" t="s">
        <v>25</v>
      </c>
      <c r="B368" t="s">
        <v>92</v>
      </c>
      <c r="C368" t="s">
        <v>1604</v>
      </c>
      <c r="D368">
        <v>6107.34</v>
      </c>
      <c r="E368">
        <v>4727.1899999999996</v>
      </c>
      <c r="F368">
        <v>4471.95</v>
      </c>
      <c r="G368">
        <v>7182.01</v>
      </c>
      <c r="H368">
        <v>10568.25</v>
      </c>
      <c r="I368">
        <v>9051.2800000000007</v>
      </c>
    </row>
    <row r="369" spans="1:9" hidden="1" x14ac:dyDescent="0.3">
      <c r="A369" t="s">
        <v>25</v>
      </c>
      <c r="B369" t="s">
        <v>92</v>
      </c>
      <c r="C369" t="s">
        <v>1605</v>
      </c>
      <c r="D369">
        <v>1757.94</v>
      </c>
      <c r="E369">
        <v>1601.69</v>
      </c>
      <c r="F369">
        <v>2.34</v>
      </c>
      <c r="G369">
        <v>2.2999999999999998</v>
      </c>
      <c r="H369">
        <v>2.2999999999999998</v>
      </c>
      <c r="I369">
        <v>809.7</v>
      </c>
    </row>
    <row r="370" spans="1:9" hidden="1" x14ac:dyDescent="0.3">
      <c r="A370" t="s">
        <v>25</v>
      </c>
      <c r="B370" t="s">
        <v>92</v>
      </c>
      <c r="C370" t="s">
        <v>1606</v>
      </c>
      <c r="D370">
        <v>10884.14</v>
      </c>
      <c r="E370">
        <v>9770.94</v>
      </c>
      <c r="F370">
        <v>9287.19</v>
      </c>
      <c r="G370">
        <v>23231.46</v>
      </c>
      <c r="H370">
        <v>14150.16</v>
      </c>
      <c r="I370">
        <v>3409.74</v>
      </c>
    </row>
    <row r="371" spans="1:9" hidden="1" x14ac:dyDescent="0.3">
      <c r="A371" t="s">
        <v>25</v>
      </c>
      <c r="B371" t="s">
        <v>92</v>
      </c>
      <c r="C371" t="s">
        <v>1608</v>
      </c>
      <c r="D371">
        <v>46022.95</v>
      </c>
      <c r="E371">
        <v>42314.54</v>
      </c>
      <c r="F371">
        <v>39786</v>
      </c>
      <c r="G371">
        <v>60883.49</v>
      </c>
      <c r="H371">
        <v>59183.87</v>
      </c>
      <c r="I371">
        <v>41566.99</v>
      </c>
    </row>
    <row r="372" spans="1:9" hidden="1" x14ac:dyDescent="0.3">
      <c r="A372" t="s">
        <v>25</v>
      </c>
      <c r="B372" t="s">
        <v>92</v>
      </c>
      <c r="C372" t="s">
        <v>1609</v>
      </c>
      <c r="D372">
        <v>-256698.91</v>
      </c>
      <c r="E372">
        <v>-207234.02</v>
      </c>
      <c r="F372">
        <v>-123769.64</v>
      </c>
      <c r="G372">
        <v>-15642.83</v>
      </c>
      <c r="H372">
        <v>-21496.3</v>
      </c>
      <c r="I372">
        <v>-36361.03</v>
      </c>
    </row>
    <row r="373" spans="1:9" hidden="1" x14ac:dyDescent="0.3">
      <c r="A373" t="s">
        <v>25</v>
      </c>
      <c r="B373" t="s">
        <v>92</v>
      </c>
      <c r="C373" t="s">
        <v>1610</v>
      </c>
      <c r="D373">
        <v>-256698.91</v>
      </c>
      <c r="E373">
        <v>-207234.02</v>
      </c>
      <c r="F373">
        <v>-123769.64</v>
      </c>
      <c r="G373">
        <v>-15642.83</v>
      </c>
      <c r="H373">
        <v>-21496.3</v>
      </c>
      <c r="I373">
        <v>-36361.03</v>
      </c>
    </row>
    <row r="374" spans="1:9" hidden="1" x14ac:dyDescent="0.3">
      <c r="A374" t="s">
        <v>25</v>
      </c>
      <c r="B374" t="s">
        <v>92</v>
      </c>
      <c r="C374" t="s">
        <v>1611</v>
      </c>
      <c r="D374">
        <v>5670.17</v>
      </c>
      <c r="E374">
        <v>5670.17</v>
      </c>
      <c r="F374">
        <v>5670.17</v>
      </c>
      <c r="G374">
        <v>5670.17</v>
      </c>
      <c r="H374">
        <v>5670.17</v>
      </c>
      <c r="I374">
        <v>5670.17</v>
      </c>
    </row>
    <row r="375" spans="1:9" hidden="1" x14ac:dyDescent="0.3">
      <c r="A375" t="s">
        <v>25</v>
      </c>
      <c r="B375" t="s">
        <v>92</v>
      </c>
      <c r="C375" t="s">
        <v>1612</v>
      </c>
      <c r="D375">
        <v>873.9</v>
      </c>
      <c r="E375">
        <v>873.9</v>
      </c>
      <c r="F375">
        <v>873.9</v>
      </c>
      <c r="G375">
        <v>873.9</v>
      </c>
      <c r="H375">
        <v>873.9</v>
      </c>
      <c r="I375">
        <v>873.9</v>
      </c>
    </row>
    <row r="376" spans="1:9" hidden="1" x14ac:dyDescent="0.3">
      <c r="A376" t="s">
        <v>25</v>
      </c>
      <c r="B376" t="s">
        <v>92</v>
      </c>
      <c r="C376" t="s">
        <v>1613</v>
      </c>
      <c r="D376">
        <v>-213778.09</v>
      </c>
      <c r="E376">
        <v>-130313.71</v>
      </c>
      <c r="F376">
        <v>-22042.99</v>
      </c>
      <c r="G376">
        <v>-28993.599999999999</v>
      </c>
      <c r="H376">
        <v>-42971.58</v>
      </c>
      <c r="I376">
        <v>-45148.03</v>
      </c>
    </row>
    <row r="377" spans="1:9" hidden="1" x14ac:dyDescent="0.3">
      <c r="A377" t="s">
        <v>25</v>
      </c>
      <c r="B377" t="s">
        <v>92</v>
      </c>
      <c r="C377" t="s">
        <v>1614</v>
      </c>
      <c r="D377">
        <v>-49464.89</v>
      </c>
      <c r="E377">
        <v>-83464.38</v>
      </c>
      <c r="F377">
        <v>-108270.72</v>
      </c>
      <c r="G377">
        <v>6806.7</v>
      </c>
      <c r="H377">
        <v>14931.21</v>
      </c>
      <c r="I377">
        <v>2242.9299999999998</v>
      </c>
    </row>
    <row r="378" spans="1:9" hidden="1" x14ac:dyDescent="0.3">
      <c r="A378" t="s">
        <v>25</v>
      </c>
      <c r="B378" t="s">
        <v>92</v>
      </c>
      <c r="C378" t="s">
        <v>1615</v>
      </c>
      <c r="D378">
        <v>302721.86</v>
      </c>
      <c r="E378">
        <v>249548.57</v>
      </c>
      <c r="F378">
        <v>163555.65</v>
      </c>
      <c r="G378">
        <v>76526.320000000007</v>
      </c>
      <c r="H378">
        <v>80680.160000000003</v>
      </c>
      <c r="I378">
        <v>77928.02</v>
      </c>
    </row>
    <row r="379" spans="1:9" hidden="1" x14ac:dyDescent="0.3">
      <c r="A379" t="s">
        <v>25</v>
      </c>
      <c r="B379" t="s">
        <v>92</v>
      </c>
      <c r="C379" t="s">
        <v>1616</v>
      </c>
      <c r="D379">
        <v>8011.21</v>
      </c>
      <c r="E379">
        <v>9193.58</v>
      </c>
      <c r="F379">
        <v>9345.56</v>
      </c>
      <c r="G379">
        <v>6725.05</v>
      </c>
      <c r="H379">
        <v>11509.53</v>
      </c>
      <c r="I379">
        <v>5864.23</v>
      </c>
    </row>
    <row r="380" spans="1:9" hidden="1" x14ac:dyDescent="0.3">
      <c r="A380" t="s">
        <v>25</v>
      </c>
      <c r="B380" t="s">
        <v>92</v>
      </c>
      <c r="C380" t="s">
        <v>1617</v>
      </c>
      <c r="D380">
        <v>7860.27</v>
      </c>
      <c r="E380">
        <v>9105.2900000000009</v>
      </c>
      <c r="F380">
        <v>9284.86</v>
      </c>
      <c r="G380">
        <v>5771.54</v>
      </c>
      <c r="H380">
        <v>10940.49</v>
      </c>
      <c r="I380">
        <v>5017.4399999999996</v>
      </c>
    </row>
    <row r="381" spans="1:9" hidden="1" x14ac:dyDescent="0.3">
      <c r="A381" t="s">
        <v>25</v>
      </c>
      <c r="B381" t="s">
        <v>92</v>
      </c>
      <c r="C381" t="s">
        <v>1618</v>
      </c>
      <c r="D381">
        <v>150.94</v>
      </c>
      <c r="E381">
        <v>88.29</v>
      </c>
      <c r="F381">
        <v>60.71</v>
      </c>
      <c r="G381">
        <v>953.51</v>
      </c>
      <c r="H381">
        <v>569.04</v>
      </c>
      <c r="I381">
        <v>846.8</v>
      </c>
    </row>
    <row r="382" spans="1:9" hidden="1" x14ac:dyDescent="0.3">
      <c r="A382" t="s">
        <v>25</v>
      </c>
      <c r="B382" t="s">
        <v>92</v>
      </c>
      <c r="C382" t="s">
        <v>1619</v>
      </c>
      <c r="D382">
        <v>294710.65000000002</v>
      </c>
      <c r="E382">
        <v>240354.99</v>
      </c>
      <c r="F382">
        <v>154210.09</v>
      </c>
      <c r="G382">
        <v>69801.27</v>
      </c>
      <c r="H382">
        <v>69170.64</v>
      </c>
      <c r="I382">
        <v>72063.789999999994</v>
      </c>
    </row>
    <row r="383" spans="1:9" hidden="1" x14ac:dyDescent="0.3">
      <c r="A383" t="s">
        <v>25</v>
      </c>
      <c r="B383" t="s">
        <v>92</v>
      </c>
      <c r="C383" t="s">
        <v>1647</v>
      </c>
      <c r="D383">
        <v>0</v>
      </c>
      <c r="E383">
        <v>0</v>
      </c>
      <c r="F383">
        <v>0</v>
      </c>
      <c r="G383">
        <v>1446.03</v>
      </c>
      <c r="H383">
        <v>3552.1</v>
      </c>
      <c r="I383">
        <v>0</v>
      </c>
    </row>
    <row r="384" spans="1:9" hidden="1" x14ac:dyDescent="0.3">
      <c r="A384" t="s">
        <v>25</v>
      </c>
      <c r="B384" t="s">
        <v>92</v>
      </c>
      <c r="C384" t="s">
        <v>1620</v>
      </c>
      <c r="D384">
        <v>294710.65000000002</v>
      </c>
      <c r="E384">
        <v>240354.99</v>
      </c>
      <c r="F384">
        <v>154210.09</v>
      </c>
      <c r="G384">
        <v>68355.240000000005</v>
      </c>
      <c r="H384">
        <v>65618.539999999994</v>
      </c>
      <c r="I384">
        <v>72063.789999999994</v>
      </c>
    </row>
    <row r="385" spans="1:9" hidden="1" x14ac:dyDescent="0.3">
      <c r="A385" t="s">
        <v>25</v>
      </c>
      <c r="B385" t="s">
        <v>92</v>
      </c>
      <c r="C385" t="s">
        <v>1621</v>
      </c>
      <c r="D385">
        <v>292614.18</v>
      </c>
      <c r="E385">
        <v>237344.01</v>
      </c>
      <c r="F385">
        <v>151551.35999999999</v>
      </c>
      <c r="G385">
        <v>66865.100000000006</v>
      </c>
      <c r="H385">
        <v>63355.47</v>
      </c>
      <c r="I385">
        <v>70427.89</v>
      </c>
    </row>
    <row r="386" spans="1:9" hidden="1" x14ac:dyDescent="0.3">
      <c r="A386" t="s">
        <v>25</v>
      </c>
      <c r="B386" t="s">
        <v>92</v>
      </c>
      <c r="C386" t="s">
        <v>1622</v>
      </c>
      <c r="D386">
        <v>2096.4699999999998</v>
      </c>
      <c r="E386">
        <v>3010.98</v>
      </c>
      <c r="F386">
        <v>2658.72</v>
      </c>
      <c r="G386">
        <v>1490.14</v>
      </c>
      <c r="H386">
        <v>2263.0700000000002</v>
      </c>
      <c r="I386">
        <v>1635.9</v>
      </c>
    </row>
    <row r="387" spans="1:9" hidden="1" x14ac:dyDescent="0.3">
      <c r="A387" t="s">
        <v>588</v>
      </c>
      <c r="B387" t="s">
        <v>92</v>
      </c>
      <c r="C387" t="s">
        <v>1575</v>
      </c>
      <c r="D387">
        <v>4437840.33</v>
      </c>
      <c r="E387">
        <v>3752545.94</v>
      </c>
      <c r="F387">
        <v>3182769.91</v>
      </c>
      <c r="G387">
        <v>2725957.74</v>
      </c>
      <c r="H387">
        <v>2132903.9700000002</v>
      </c>
      <c r="I387">
        <v>1686234.56</v>
      </c>
    </row>
    <row r="388" spans="1:9" hidden="1" x14ac:dyDescent="0.3">
      <c r="A388" t="s">
        <v>588</v>
      </c>
      <c r="B388" t="s">
        <v>92</v>
      </c>
      <c r="C388" t="s">
        <v>1624</v>
      </c>
      <c r="D388">
        <v>4437840.33</v>
      </c>
      <c r="E388">
        <v>3752545.94</v>
      </c>
      <c r="F388">
        <v>3182769.91</v>
      </c>
      <c r="G388">
        <v>2725957.74</v>
      </c>
      <c r="H388">
        <v>2132903.9700000002</v>
      </c>
      <c r="I388">
        <v>1686234.56</v>
      </c>
    </row>
    <row r="389" spans="1:9" hidden="1" x14ac:dyDescent="0.3">
      <c r="A389" t="s">
        <v>588</v>
      </c>
      <c r="B389" t="s">
        <v>92</v>
      </c>
      <c r="C389" t="s">
        <v>1578</v>
      </c>
      <c r="D389">
        <v>47555.55</v>
      </c>
      <c r="E389">
        <v>44453.56</v>
      </c>
      <c r="F389">
        <v>52109.66</v>
      </c>
      <c r="G389">
        <v>46248.75</v>
      </c>
      <c r="H389">
        <v>32455.32</v>
      </c>
      <c r="I389">
        <v>29592.93</v>
      </c>
    </row>
    <row r="390" spans="1:9" hidden="1" x14ac:dyDescent="0.3">
      <c r="A390" t="s">
        <v>588</v>
      </c>
      <c r="B390" t="s">
        <v>92</v>
      </c>
      <c r="C390" t="s">
        <v>1625</v>
      </c>
      <c r="D390">
        <v>64469.599999999999</v>
      </c>
      <c r="E390">
        <v>61409.09</v>
      </c>
      <c r="F390">
        <v>55627.29</v>
      </c>
      <c r="G390">
        <v>48319.8</v>
      </c>
      <c r="H390">
        <v>40871.14</v>
      </c>
      <c r="I390">
        <v>34903.03</v>
      </c>
    </row>
    <row r="391" spans="1:9" hidden="1" x14ac:dyDescent="0.3">
      <c r="A391" t="s">
        <v>588</v>
      </c>
      <c r="B391" t="s">
        <v>92</v>
      </c>
      <c r="C391" t="s">
        <v>1626</v>
      </c>
      <c r="D391">
        <v>1344.03</v>
      </c>
      <c r="E391">
        <v>1147.0899999999999</v>
      </c>
      <c r="F391">
        <v>1168.3599999999999</v>
      </c>
      <c r="G391">
        <v>296.01</v>
      </c>
      <c r="H391">
        <v>928.23</v>
      </c>
      <c r="I391">
        <v>1373.35</v>
      </c>
    </row>
    <row r="392" spans="1:9" hidden="1" x14ac:dyDescent="0.3">
      <c r="A392" t="s">
        <v>588</v>
      </c>
      <c r="B392" t="s">
        <v>92</v>
      </c>
      <c r="C392" t="s">
        <v>1627</v>
      </c>
      <c r="D392">
        <v>-11540.05</v>
      </c>
      <c r="E392">
        <v>-11542.22</v>
      </c>
      <c r="F392">
        <v>-9329.6200000000008</v>
      </c>
      <c r="G392">
        <v>-10426.84</v>
      </c>
      <c r="H392">
        <v>-7220.13</v>
      </c>
      <c r="I392">
        <v>-4522.88</v>
      </c>
    </row>
    <row r="393" spans="1:9" hidden="1" x14ac:dyDescent="0.3">
      <c r="A393" t="s">
        <v>588</v>
      </c>
      <c r="B393" t="s">
        <v>92</v>
      </c>
      <c r="C393" t="s">
        <v>1576</v>
      </c>
      <c r="D393">
        <v>4427908.08</v>
      </c>
      <c r="E393">
        <v>3768910.48</v>
      </c>
      <c r="F393">
        <v>3141288.9</v>
      </c>
      <c r="G393">
        <v>2677843.84</v>
      </c>
      <c r="H393">
        <v>2008868.38</v>
      </c>
      <c r="I393">
        <v>1574970.67</v>
      </c>
    </row>
    <row r="394" spans="1:9" hidden="1" x14ac:dyDescent="0.3">
      <c r="A394" t="s">
        <v>588</v>
      </c>
      <c r="B394" t="s">
        <v>92</v>
      </c>
      <c r="C394" t="s">
        <v>1579</v>
      </c>
      <c r="D394">
        <v>42452.33</v>
      </c>
      <c r="E394">
        <v>75145.2</v>
      </c>
      <c r="F394">
        <v>69903.05</v>
      </c>
      <c r="G394">
        <v>43579.1</v>
      </c>
      <c r="H394">
        <v>45124.83</v>
      </c>
      <c r="I394">
        <v>39719.160000000003</v>
      </c>
    </row>
    <row r="395" spans="1:9" hidden="1" x14ac:dyDescent="0.3">
      <c r="A395" t="s">
        <v>588</v>
      </c>
      <c r="B395" t="s">
        <v>92</v>
      </c>
      <c r="C395" t="s">
        <v>1583</v>
      </c>
      <c r="D395">
        <v>-157429.29999999999</v>
      </c>
      <c r="E395">
        <v>-210061.7</v>
      </c>
      <c r="F395">
        <v>-146656.98000000001</v>
      </c>
      <c r="G395">
        <v>-104517.2</v>
      </c>
      <c r="H395">
        <v>-6192.17</v>
      </c>
      <c r="I395">
        <v>1152.55</v>
      </c>
    </row>
    <row r="396" spans="1:9" hidden="1" x14ac:dyDescent="0.3">
      <c r="A396" t="s">
        <v>588</v>
      </c>
      <c r="B396" t="s">
        <v>92</v>
      </c>
      <c r="C396" t="s">
        <v>1584</v>
      </c>
      <c r="D396">
        <v>-114976.97</v>
      </c>
      <c r="E396">
        <v>-134916.51</v>
      </c>
      <c r="F396">
        <v>-76753.929999999993</v>
      </c>
      <c r="G396">
        <v>-60938.09</v>
      </c>
      <c r="H396">
        <v>38932.660000000003</v>
      </c>
      <c r="I396">
        <v>40871.71</v>
      </c>
    </row>
    <row r="397" spans="1:9" hidden="1" x14ac:dyDescent="0.3">
      <c r="A397" t="s">
        <v>588</v>
      </c>
      <c r="B397" t="s">
        <v>92</v>
      </c>
      <c r="C397" t="s">
        <v>1585</v>
      </c>
      <c r="D397">
        <v>-8988.17</v>
      </c>
      <c r="E397">
        <v>-5647.88</v>
      </c>
      <c r="F397">
        <v>-20748.28</v>
      </c>
      <c r="G397">
        <v>-17280.27</v>
      </c>
      <c r="H397">
        <v>-10759.33</v>
      </c>
      <c r="I397">
        <v>-4518.97</v>
      </c>
    </row>
    <row r="398" spans="1:9" hidden="1" x14ac:dyDescent="0.3">
      <c r="A398" t="s">
        <v>588</v>
      </c>
      <c r="B398" t="s">
        <v>92</v>
      </c>
      <c r="C398" t="s">
        <v>1588</v>
      </c>
      <c r="D398">
        <v>8988.17</v>
      </c>
      <c r="E398">
        <v>5647.88</v>
      </c>
      <c r="F398">
        <v>20748.28</v>
      </c>
      <c r="G398">
        <v>17280.27</v>
      </c>
      <c r="H398">
        <v>10759.33</v>
      </c>
      <c r="I398">
        <v>4518.97</v>
      </c>
    </row>
    <row r="399" spans="1:9" hidden="1" x14ac:dyDescent="0.3">
      <c r="A399" t="s">
        <v>588</v>
      </c>
      <c r="B399" t="s">
        <v>92</v>
      </c>
      <c r="C399" t="s">
        <v>1628</v>
      </c>
      <c r="D399">
        <v>4328.17</v>
      </c>
      <c r="E399">
        <v>5647.88</v>
      </c>
      <c r="F399">
        <v>4209.2</v>
      </c>
      <c r="G399">
        <v>3110.93</v>
      </c>
      <c r="H399">
        <v>10759.33</v>
      </c>
      <c r="I399">
        <v>4518.97</v>
      </c>
    </row>
    <row r="400" spans="1:9" hidden="1" x14ac:dyDescent="0.3">
      <c r="A400" t="s">
        <v>588</v>
      </c>
      <c r="B400" t="s">
        <v>92</v>
      </c>
      <c r="C400" t="s">
        <v>1589</v>
      </c>
      <c r="D400">
        <v>4660</v>
      </c>
      <c r="E400">
        <v>0</v>
      </c>
      <c r="F400">
        <v>16539.080000000002</v>
      </c>
      <c r="G400">
        <v>0</v>
      </c>
      <c r="H400">
        <v>0</v>
      </c>
      <c r="I400">
        <v>0</v>
      </c>
    </row>
    <row r="401" spans="1:9" hidden="1" x14ac:dyDescent="0.3">
      <c r="A401" t="s">
        <v>588</v>
      </c>
      <c r="B401" t="s">
        <v>92</v>
      </c>
      <c r="C401" t="s">
        <v>1590</v>
      </c>
      <c r="D401">
        <v>46670.43</v>
      </c>
      <c r="E401">
        <v>118123.06</v>
      </c>
      <c r="F401">
        <v>169913.75</v>
      </c>
      <c r="G401">
        <v>139486.34</v>
      </c>
      <c r="H401">
        <v>50135.05</v>
      </c>
      <c r="I401">
        <v>32880.18</v>
      </c>
    </row>
    <row r="402" spans="1:9" hidden="1" x14ac:dyDescent="0.3">
      <c r="A402" t="s">
        <v>588</v>
      </c>
      <c r="B402" t="s">
        <v>92</v>
      </c>
      <c r="C402" t="s">
        <v>1591</v>
      </c>
      <c r="D402">
        <v>55224.84</v>
      </c>
      <c r="E402">
        <v>130424.16</v>
      </c>
      <c r="F402">
        <v>182501.59</v>
      </c>
      <c r="G402">
        <v>149360.21</v>
      </c>
      <c r="H402">
        <v>66695.509999999995</v>
      </c>
      <c r="I402">
        <v>44757.69</v>
      </c>
    </row>
    <row r="403" spans="1:9" hidden="1" x14ac:dyDescent="0.3">
      <c r="A403" t="s">
        <v>588</v>
      </c>
      <c r="B403" t="s">
        <v>92</v>
      </c>
      <c r="C403" t="s">
        <v>1592</v>
      </c>
      <c r="D403">
        <v>8554.41</v>
      </c>
      <c r="E403">
        <v>12301.1</v>
      </c>
      <c r="F403">
        <v>12587.84</v>
      </c>
      <c r="G403">
        <v>9873.8700000000008</v>
      </c>
      <c r="H403">
        <v>16560.46</v>
      </c>
      <c r="I403">
        <v>11877.51</v>
      </c>
    </row>
    <row r="404" spans="1:9" hidden="1" x14ac:dyDescent="0.3">
      <c r="A404" t="s">
        <v>588</v>
      </c>
      <c r="B404" t="s">
        <v>92</v>
      </c>
      <c r="C404" t="s">
        <v>1593</v>
      </c>
      <c r="D404">
        <v>-119747.05</v>
      </c>
      <c r="E404">
        <v>-97586.52</v>
      </c>
      <c r="F404">
        <v>2508.5</v>
      </c>
      <c r="G404">
        <v>17688.87</v>
      </c>
      <c r="H404">
        <v>33183.56</v>
      </c>
      <c r="I404">
        <v>29513.75</v>
      </c>
    </row>
    <row r="405" spans="1:9" hidden="1" x14ac:dyDescent="0.3">
      <c r="A405" t="s">
        <v>588</v>
      </c>
      <c r="B405" t="s">
        <v>92</v>
      </c>
      <c r="C405" t="s">
        <v>1594</v>
      </c>
      <c r="D405">
        <v>-1129.79</v>
      </c>
      <c r="E405">
        <v>-1899.47</v>
      </c>
      <c r="F405">
        <v>-747.32</v>
      </c>
      <c r="G405">
        <v>-444.4</v>
      </c>
      <c r="H405">
        <v>-170.74</v>
      </c>
      <c r="I405">
        <v>0</v>
      </c>
    </row>
    <row r="406" spans="1:9" hidden="1" x14ac:dyDescent="0.3">
      <c r="A406" t="s">
        <v>588</v>
      </c>
      <c r="B406" t="s">
        <v>92</v>
      </c>
      <c r="C406" t="s">
        <v>1595</v>
      </c>
      <c r="D406">
        <v>-120876.83</v>
      </c>
      <c r="E406">
        <v>-99485.99</v>
      </c>
      <c r="F406">
        <v>1761.17</v>
      </c>
      <c r="G406">
        <v>17244.47</v>
      </c>
      <c r="H406">
        <v>33012.82</v>
      </c>
      <c r="I406">
        <v>29513.75</v>
      </c>
    </row>
    <row r="407" spans="1:9" hidden="1" x14ac:dyDescent="0.3">
      <c r="A407" t="s">
        <v>588</v>
      </c>
      <c r="B407" t="s">
        <v>92</v>
      </c>
      <c r="C407" t="s">
        <v>1596</v>
      </c>
      <c r="D407">
        <v>-120876.83</v>
      </c>
      <c r="E407">
        <v>-99485.99</v>
      </c>
      <c r="F407">
        <v>1761.17</v>
      </c>
      <c r="G407">
        <v>17244.47</v>
      </c>
      <c r="H407">
        <v>33012.82</v>
      </c>
      <c r="I407">
        <v>29513.75</v>
      </c>
    </row>
    <row r="408" spans="1:9" hidden="1" x14ac:dyDescent="0.3">
      <c r="A408" t="s">
        <v>588</v>
      </c>
      <c r="B408" t="s">
        <v>92</v>
      </c>
      <c r="C408" t="s">
        <v>1597</v>
      </c>
      <c r="D408">
        <v>574008.93000000005</v>
      </c>
      <c r="E408">
        <v>577898.11</v>
      </c>
      <c r="F408">
        <v>661077.25</v>
      </c>
      <c r="G408">
        <v>630135.23</v>
      </c>
      <c r="H408">
        <v>614751.97</v>
      </c>
      <c r="I408">
        <v>422338.4</v>
      </c>
    </row>
    <row r="409" spans="1:9" hidden="1" x14ac:dyDescent="0.3">
      <c r="A409" t="s">
        <v>588</v>
      </c>
      <c r="B409" t="s">
        <v>92</v>
      </c>
      <c r="C409" t="s">
        <v>1598</v>
      </c>
      <c r="D409">
        <v>44872.65</v>
      </c>
      <c r="E409">
        <v>49327.8</v>
      </c>
      <c r="F409">
        <v>51818.47</v>
      </c>
      <c r="G409">
        <v>63505.53</v>
      </c>
      <c r="H409">
        <v>60110.14</v>
      </c>
      <c r="I409">
        <v>65494.3</v>
      </c>
    </row>
    <row r="410" spans="1:9" hidden="1" x14ac:dyDescent="0.3">
      <c r="A410" t="s">
        <v>588</v>
      </c>
      <c r="B410" t="s">
        <v>92</v>
      </c>
      <c r="C410" t="s">
        <v>1599</v>
      </c>
      <c r="D410">
        <v>31571.22</v>
      </c>
      <c r="E410">
        <v>32510.799999999999</v>
      </c>
      <c r="F410">
        <v>33183.49</v>
      </c>
      <c r="G410">
        <v>49760.92</v>
      </c>
      <c r="H410">
        <v>47341.88</v>
      </c>
      <c r="I410">
        <v>61349.78</v>
      </c>
    </row>
    <row r="411" spans="1:9" hidden="1" x14ac:dyDescent="0.3">
      <c r="A411" t="s">
        <v>588</v>
      </c>
      <c r="B411" t="s">
        <v>92</v>
      </c>
      <c r="C411" t="s">
        <v>1629</v>
      </c>
      <c r="D411">
        <v>8159.59</v>
      </c>
      <c r="E411">
        <v>11126.67</v>
      </c>
      <c r="F411">
        <v>11012.38</v>
      </c>
      <c r="G411">
        <v>13744.61</v>
      </c>
      <c r="H411">
        <v>12768.26</v>
      </c>
      <c r="I411">
        <v>4144.5200000000004</v>
      </c>
    </row>
    <row r="412" spans="1:9" hidden="1" x14ac:dyDescent="0.3">
      <c r="A412" t="s">
        <v>588</v>
      </c>
      <c r="B412" t="s">
        <v>92</v>
      </c>
      <c r="C412" t="s">
        <v>1601</v>
      </c>
      <c r="D412">
        <v>5141.84</v>
      </c>
      <c r="E412">
        <v>5690.33</v>
      </c>
      <c r="F412">
        <v>7622.59</v>
      </c>
      <c r="G412">
        <v>0</v>
      </c>
      <c r="H412">
        <v>0</v>
      </c>
      <c r="I412">
        <v>0</v>
      </c>
    </row>
    <row r="413" spans="1:9" hidden="1" x14ac:dyDescent="0.3">
      <c r="A413" t="s">
        <v>588</v>
      </c>
      <c r="B413" t="s">
        <v>92</v>
      </c>
      <c r="C413" t="s">
        <v>1602</v>
      </c>
      <c r="D413">
        <v>529136.28</v>
      </c>
      <c r="E413">
        <v>528570.31000000006</v>
      </c>
      <c r="F413">
        <v>609258.78</v>
      </c>
      <c r="G413">
        <v>557083.14</v>
      </c>
      <c r="H413">
        <v>542791.18000000005</v>
      </c>
      <c r="I413">
        <v>356844.1</v>
      </c>
    </row>
    <row r="414" spans="1:9" hidden="1" x14ac:dyDescent="0.3">
      <c r="A414" t="s">
        <v>588</v>
      </c>
      <c r="B414" t="s">
        <v>92</v>
      </c>
      <c r="C414" t="s">
        <v>1603</v>
      </c>
      <c r="D414">
        <v>192326.13</v>
      </c>
      <c r="E414">
        <v>107280.77</v>
      </c>
      <c r="F414">
        <v>139881.94</v>
      </c>
      <c r="G414">
        <v>125124.2</v>
      </c>
      <c r="H414">
        <v>101228.85</v>
      </c>
      <c r="I414">
        <v>93652.74</v>
      </c>
    </row>
    <row r="415" spans="1:9" hidden="1" x14ac:dyDescent="0.3">
      <c r="A415" t="s">
        <v>588</v>
      </c>
      <c r="B415" t="s">
        <v>92</v>
      </c>
      <c r="C415" t="s">
        <v>1631</v>
      </c>
      <c r="D415">
        <v>197478.03</v>
      </c>
      <c r="E415">
        <v>98131.43</v>
      </c>
      <c r="F415">
        <v>99800.86</v>
      </c>
      <c r="G415">
        <v>123487.22</v>
      </c>
      <c r="H415">
        <v>140505.54</v>
      </c>
      <c r="I415">
        <v>112008.26</v>
      </c>
    </row>
    <row r="416" spans="1:9" hidden="1" x14ac:dyDescent="0.3">
      <c r="A416" t="s">
        <v>588</v>
      </c>
      <c r="B416" t="s">
        <v>92</v>
      </c>
      <c r="C416" t="s">
        <v>1604</v>
      </c>
      <c r="D416">
        <v>34732.589999999997</v>
      </c>
      <c r="E416">
        <v>104997.15</v>
      </c>
      <c r="F416">
        <v>88543.98</v>
      </c>
      <c r="G416">
        <v>54199.91</v>
      </c>
      <c r="H416">
        <v>28341.39</v>
      </c>
      <c r="I416">
        <v>41711.620000000003</v>
      </c>
    </row>
    <row r="417" spans="1:9" hidden="1" x14ac:dyDescent="0.3">
      <c r="A417" t="s">
        <v>588</v>
      </c>
      <c r="B417" t="s">
        <v>92</v>
      </c>
      <c r="C417" t="s">
        <v>1633</v>
      </c>
      <c r="D417">
        <v>-40798.519999999997</v>
      </c>
      <c r="E417">
        <v>-97354.68</v>
      </c>
      <c r="F417">
        <v>-49509.45</v>
      </c>
      <c r="G417">
        <v>-52981.54</v>
      </c>
      <c r="H417">
        <v>-67910.48</v>
      </c>
      <c r="I417">
        <v>-60196.88</v>
      </c>
    </row>
    <row r="418" spans="1:9" hidden="1" x14ac:dyDescent="0.3">
      <c r="A418" t="s">
        <v>588</v>
      </c>
      <c r="B418" t="s">
        <v>92</v>
      </c>
      <c r="C418" t="s">
        <v>1634</v>
      </c>
      <c r="D418">
        <v>914.03</v>
      </c>
      <c r="E418">
        <v>1506.87</v>
      </c>
      <c r="F418">
        <v>1046.54</v>
      </c>
      <c r="G418">
        <v>418.61</v>
      </c>
      <c r="H418">
        <v>292.39999999999998</v>
      </c>
      <c r="I418">
        <v>129.74</v>
      </c>
    </row>
    <row r="419" spans="1:9" hidden="1" x14ac:dyDescent="0.3">
      <c r="A419" t="s">
        <v>588</v>
      </c>
      <c r="B419" t="s">
        <v>92</v>
      </c>
      <c r="C419" t="s">
        <v>1635</v>
      </c>
      <c r="D419">
        <v>98307.47</v>
      </c>
      <c r="E419">
        <v>143130.28</v>
      </c>
      <c r="F419">
        <v>187834.02</v>
      </c>
      <c r="G419">
        <v>102126.51</v>
      </c>
      <c r="H419">
        <v>137003.34</v>
      </c>
      <c r="I419">
        <v>112233.9</v>
      </c>
    </row>
    <row r="420" spans="1:9" hidden="1" x14ac:dyDescent="0.3">
      <c r="A420" t="s">
        <v>588</v>
      </c>
      <c r="B420" t="s">
        <v>92</v>
      </c>
      <c r="C420" t="s">
        <v>1605</v>
      </c>
      <c r="D420">
        <v>149679.76</v>
      </c>
      <c r="E420">
        <v>135899.34</v>
      </c>
      <c r="F420">
        <v>111480.23</v>
      </c>
      <c r="G420">
        <v>122080.05</v>
      </c>
      <c r="H420">
        <v>118445.17</v>
      </c>
      <c r="I420">
        <v>81128.740000000005</v>
      </c>
    </row>
    <row r="421" spans="1:9" hidden="1" x14ac:dyDescent="0.3">
      <c r="A421" t="s">
        <v>588</v>
      </c>
      <c r="B421" t="s">
        <v>92</v>
      </c>
      <c r="C421" t="s">
        <v>1606</v>
      </c>
      <c r="D421">
        <v>88822.92</v>
      </c>
      <c r="E421">
        <v>142259.91</v>
      </c>
      <c r="F421">
        <v>170062.58</v>
      </c>
      <c r="G421">
        <v>207752.38</v>
      </c>
      <c r="H421">
        <v>186113.82</v>
      </c>
      <c r="I421">
        <v>69828.72</v>
      </c>
    </row>
    <row r="422" spans="1:9" hidden="1" x14ac:dyDescent="0.3">
      <c r="A422" t="s">
        <v>588</v>
      </c>
      <c r="B422" t="s">
        <v>92</v>
      </c>
      <c r="C422" t="s">
        <v>1608</v>
      </c>
      <c r="D422">
        <v>574008.93000000005</v>
      </c>
      <c r="E422">
        <v>577898.11</v>
      </c>
      <c r="F422">
        <v>661077.25</v>
      </c>
      <c r="G422">
        <v>630135.23</v>
      </c>
      <c r="H422">
        <v>614751.97</v>
      </c>
      <c r="I422">
        <v>422338.4</v>
      </c>
    </row>
    <row r="423" spans="1:9" hidden="1" x14ac:dyDescent="0.3">
      <c r="A423" t="s">
        <v>588</v>
      </c>
      <c r="B423" t="s">
        <v>92</v>
      </c>
      <c r="C423" t="s">
        <v>1609</v>
      </c>
      <c r="D423">
        <v>-9070.64</v>
      </c>
      <c r="E423">
        <v>110736.93</v>
      </c>
      <c r="F423">
        <v>210078.58</v>
      </c>
      <c r="G423">
        <v>208185.72</v>
      </c>
      <c r="H423">
        <v>189621.56</v>
      </c>
      <c r="I423">
        <v>156484.07999999999</v>
      </c>
    </row>
    <row r="424" spans="1:9" hidden="1" x14ac:dyDescent="0.3">
      <c r="A424" t="s">
        <v>588</v>
      </c>
      <c r="B424" t="s">
        <v>92</v>
      </c>
      <c r="C424" t="s">
        <v>1610</v>
      </c>
      <c r="D424">
        <v>-9070.64</v>
      </c>
      <c r="E424">
        <v>110736.93</v>
      </c>
      <c r="F424">
        <v>210078.58</v>
      </c>
      <c r="G424">
        <v>208185.72</v>
      </c>
      <c r="H424">
        <v>189621.56</v>
      </c>
      <c r="I424">
        <v>156484.07999999999</v>
      </c>
    </row>
    <row r="425" spans="1:9" hidden="1" x14ac:dyDescent="0.3">
      <c r="A425" t="s">
        <v>588</v>
      </c>
      <c r="B425" t="s">
        <v>92</v>
      </c>
      <c r="C425" t="s">
        <v>1611</v>
      </c>
      <c r="D425">
        <v>23641.4</v>
      </c>
      <c r="E425">
        <v>23446.33</v>
      </c>
      <c r="F425">
        <v>17240.23</v>
      </c>
      <c r="G425">
        <v>17063.93</v>
      </c>
      <c r="H425">
        <v>16834.22</v>
      </c>
      <c r="I425">
        <v>16617.7</v>
      </c>
    </row>
    <row r="426" spans="1:9" hidden="1" x14ac:dyDescent="0.3">
      <c r="A426" t="s">
        <v>588</v>
      </c>
      <c r="B426" t="s">
        <v>92</v>
      </c>
      <c r="C426" t="s">
        <v>1612</v>
      </c>
      <c r="D426">
        <v>171205.17</v>
      </c>
      <c r="E426">
        <v>171205.17</v>
      </c>
      <c r="F426">
        <v>167933.78</v>
      </c>
      <c r="G426">
        <v>150733.93</v>
      </c>
      <c r="H426">
        <v>117818.22</v>
      </c>
      <c r="I426">
        <v>88396.33</v>
      </c>
    </row>
    <row r="427" spans="1:9" hidden="1" x14ac:dyDescent="0.3">
      <c r="A427" t="s">
        <v>588</v>
      </c>
      <c r="B427" t="s">
        <v>92</v>
      </c>
      <c r="C427" t="s">
        <v>1613</v>
      </c>
      <c r="D427">
        <v>-99485.99</v>
      </c>
      <c r="E427">
        <v>0</v>
      </c>
      <c r="F427">
        <v>7571.98</v>
      </c>
      <c r="G427">
        <v>0</v>
      </c>
      <c r="H427">
        <v>0</v>
      </c>
      <c r="I427">
        <v>0</v>
      </c>
    </row>
    <row r="428" spans="1:9" hidden="1" x14ac:dyDescent="0.3">
      <c r="A428" t="s">
        <v>588</v>
      </c>
      <c r="B428" t="s">
        <v>92</v>
      </c>
      <c r="C428" t="s">
        <v>1614</v>
      </c>
      <c r="D428">
        <v>-120876.83</v>
      </c>
      <c r="E428">
        <v>-99485.99</v>
      </c>
      <c r="F428">
        <v>1761.17</v>
      </c>
      <c r="G428">
        <v>17244.47</v>
      </c>
      <c r="H428">
        <v>33012.82</v>
      </c>
      <c r="I428">
        <v>29513.75</v>
      </c>
    </row>
    <row r="429" spans="1:9" hidden="1" x14ac:dyDescent="0.3">
      <c r="A429" t="s">
        <v>588</v>
      </c>
      <c r="B429" t="s">
        <v>92</v>
      </c>
      <c r="C429" t="s">
        <v>1642</v>
      </c>
      <c r="D429">
        <v>16445.61</v>
      </c>
      <c r="E429">
        <v>15571.42</v>
      </c>
      <c r="F429">
        <v>15571.42</v>
      </c>
      <c r="G429">
        <v>23143.4</v>
      </c>
      <c r="H429">
        <v>21956.3</v>
      </c>
      <c r="I429">
        <v>21956.3</v>
      </c>
    </row>
    <row r="430" spans="1:9" hidden="1" x14ac:dyDescent="0.3">
      <c r="A430" t="s">
        <v>588</v>
      </c>
      <c r="B430" t="s">
        <v>92</v>
      </c>
      <c r="C430" t="s">
        <v>1615</v>
      </c>
      <c r="D430">
        <v>583079.56999999995</v>
      </c>
      <c r="E430">
        <v>467161.17</v>
      </c>
      <c r="F430">
        <v>450998.66</v>
      </c>
      <c r="G430">
        <v>421949.5</v>
      </c>
      <c r="H430">
        <v>425130.42</v>
      </c>
      <c r="I430">
        <v>265854.32</v>
      </c>
    </row>
    <row r="431" spans="1:9" hidden="1" x14ac:dyDescent="0.3">
      <c r="A431" t="s">
        <v>588</v>
      </c>
      <c r="B431" t="s">
        <v>92</v>
      </c>
      <c r="C431" t="s">
        <v>1616</v>
      </c>
      <c r="D431">
        <v>308858.08</v>
      </c>
      <c r="E431">
        <v>258333.34</v>
      </c>
      <c r="F431">
        <v>261344</v>
      </c>
      <c r="G431">
        <v>257741.62</v>
      </c>
      <c r="H431">
        <v>253991.89</v>
      </c>
      <c r="I431">
        <v>142652.49</v>
      </c>
    </row>
    <row r="432" spans="1:9" hidden="1" x14ac:dyDescent="0.3">
      <c r="A432" t="s">
        <v>588</v>
      </c>
      <c r="B432" t="s">
        <v>92</v>
      </c>
      <c r="C432" t="s">
        <v>1617</v>
      </c>
      <c r="D432">
        <v>308858.08</v>
      </c>
      <c r="E432">
        <v>258333.34</v>
      </c>
      <c r="F432">
        <v>261344</v>
      </c>
      <c r="G432">
        <v>257741.62</v>
      </c>
      <c r="H432">
        <v>253991.89</v>
      </c>
      <c r="I432">
        <v>142652.49</v>
      </c>
    </row>
    <row r="433" spans="1:9" hidden="1" x14ac:dyDescent="0.3">
      <c r="A433" t="s">
        <v>588</v>
      </c>
      <c r="B433" t="s">
        <v>92</v>
      </c>
      <c r="C433" t="s">
        <v>1619</v>
      </c>
      <c r="D433">
        <v>274221.49</v>
      </c>
      <c r="E433">
        <v>208827.83</v>
      </c>
      <c r="F433">
        <v>189654.66</v>
      </c>
      <c r="G433">
        <v>164207.89000000001</v>
      </c>
      <c r="H433">
        <v>171138.53</v>
      </c>
      <c r="I433">
        <v>123201.83</v>
      </c>
    </row>
    <row r="434" spans="1:9" hidden="1" x14ac:dyDescent="0.3">
      <c r="A434" t="s">
        <v>588</v>
      </c>
      <c r="B434" t="s">
        <v>92</v>
      </c>
      <c r="C434" t="s">
        <v>1638</v>
      </c>
      <c r="D434">
        <v>12209.77</v>
      </c>
      <c r="E434">
        <v>20737.09</v>
      </c>
      <c r="F434">
        <v>29720.54</v>
      </c>
      <c r="G434">
        <v>28302.36</v>
      </c>
      <c r="H434">
        <v>36200</v>
      </c>
      <c r="I434">
        <v>0</v>
      </c>
    </row>
    <row r="435" spans="1:9" hidden="1" x14ac:dyDescent="0.3">
      <c r="A435" t="s">
        <v>588</v>
      </c>
      <c r="B435" t="s">
        <v>92</v>
      </c>
      <c r="C435" t="s">
        <v>1620</v>
      </c>
      <c r="D435">
        <v>245354.59</v>
      </c>
      <c r="E435">
        <v>165101.34</v>
      </c>
      <c r="F435">
        <v>152362.39000000001</v>
      </c>
      <c r="G435">
        <v>109132.97</v>
      </c>
      <c r="H435">
        <v>120957.34</v>
      </c>
      <c r="I435">
        <v>113559.61</v>
      </c>
    </row>
    <row r="436" spans="1:9" hidden="1" x14ac:dyDescent="0.3">
      <c r="A436" t="s">
        <v>588</v>
      </c>
      <c r="B436" t="s">
        <v>92</v>
      </c>
      <c r="C436" t="s">
        <v>1621</v>
      </c>
      <c r="D436">
        <v>243499.23</v>
      </c>
      <c r="E436">
        <v>159925.85</v>
      </c>
      <c r="F436">
        <v>145336.10999999999</v>
      </c>
      <c r="G436">
        <v>89392.52</v>
      </c>
      <c r="H436">
        <v>97088.41</v>
      </c>
      <c r="I436">
        <v>84639.13</v>
      </c>
    </row>
    <row r="437" spans="1:9" hidden="1" x14ac:dyDescent="0.3">
      <c r="A437" t="s">
        <v>588</v>
      </c>
      <c r="B437" t="s">
        <v>92</v>
      </c>
      <c r="C437" t="s">
        <v>1622</v>
      </c>
      <c r="D437">
        <v>1855.37</v>
      </c>
      <c r="E437">
        <v>5175.49</v>
      </c>
      <c r="F437">
        <v>7026.28</v>
      </c>
      <c r="G437">
        <v>8825.7999999999993</v>
      </c>
      <c r="H437">
        <v>10986.78</v>
      </c>
      <c r="I437">
        <v>28920.48</v>
      </c>
    </row>
    <row r="438" spans="1:9" hidden="1" x14ac:dyDescent="0.3">
      <c r="A438" t="s">
        <v>588</v>
      </c>
      <c r="B438" t="s">
        <v>92</v>
      </c>
      <c r="C438" t="s">
        <v>1617</v>
      </c>
      <c r="D438">
        <v>6765</v>
      </c>
      <c r="E438">
        <v>13179.98</v>
      </c>
      <c r="F438">
        <v>5086.66</v>
      </c>
      <c r="G438">
        <v>4793.5600000000004</v>
      </c>
      <c r="H438">
        <v>6835.01</v>
      </c>
      <c r="I438">
        <v>3495.14</v>
      </c>
    </row>
    <row r="439" spans="1:9" hidden="1" x14ac:dyDescent="0.3">
      <c r="A439" t="s">
        <v>588</v>
      </c>
      <c r="B439" t="s">
        <v>92</v>
      </c>
      <c r="C439" t="s">
        <v>1623</v>
      </c>
      <c r="D439">
        <v>1037.0999999999999</v>
      </c>
      <c r="E439">
        <v>755.91</v>
      </c>
      <c r="F439">
        <v>878.37</v>
      </c>
      <c r="G439">
        <v>7845.24</v>
      </c>
      <c r="H439">
        <v>2687.09</v>
      </c>
      <c r="I439">
        <v>2665.86</v>
      </c>
    </row>
    <row r="440" spans="1:9" hidden="1" x14ac:dyDescent="0.3">
      <c r="A440" t="s">
        <v>588</v>
      </c>
      <c r="B440" t="s">
        <v>92</v>
      </c>
      <c r="C440" t="s">
        <v>1640</v>
      </c>
      <c r="D440">
        <v>8855.02</v>
      </c>
      <c r="E440">
        <v>9053.51</v>
      </c>
      <c r="F440">
        <v>1606.7</v>
      </c>
      <c r="G440">
        <v>14133.76</v>
      </c>
      <c r="H440">
        <v>4459.09</v>
      </c>
      <c r="I440">
        <v>3481.2</v>
      </c>
    </row>
    <row r="441" spans="1:9" hidden="1" x14ac:dyDescent="0.3">
      <c r="A441" t="s">
        <v>26</v>
      </c>
      <c r="B441" t="s">
        <v>92</v>
      </c>
      <c r="C441" t="s">
        <v>1575</v>
      </c>
      <c r="D441">
        <v>21763418.379999999</v>
      </c>
      <c r="E441">
        <v>20220480.030000001</v>
      </c>
      <c r="F441">
        <v>14729465.58</v>
      </c>
      <c r="G441">
        <v>12294375.24</v>
      </c>
      <c r="H441">
        <v>9942273.0399999991</v>
      </c>
      <c r="I441">
        <v>7923252.4199999999</v>
      </c>
    </row>
    <row r="442" spans="1:9" hidden="1" x14ac:dyDescent="0.3">
      <c r="A442" t="s">
        <v>26</v>
      </c>
      <c r="B442" t="s">
        <v>92</v>
      </c>
      <c r="C442" t="s">
        <v>1624</v>
      </c>
      <c r="D442">
        <v>21763418.379999999</v>
      </c>
      <c r="E442">
        <v>20220480.030000001</v>
      </c>
      <c r="F442">
        <v>14729465.58</v>
      </c>
      <c r="G442">
        <v>12294375.24</v>
      </c>
      <c r="H442">
        <v>9942273.0399999991</v>
      </c>
      <c r="I442">
        <v>7923252.4199999999</v>
      </c>
    </row>
    <row r="443" spans="1:9" hidden="1" x14ac:dyDescent="0.3">
      <c r="A443" t="s">
        <v>26</v>
      </c>
      <c r="B443" t="s">
        <v>92</v>
      </c>
      <c r="C443" t="s">
        <v>1577</v>
      </c>
      <c r="D443">
        <v>0</v>
      </c>
      <c r="E443">
        <v>9927.82</v>
      </c>
      <c r="F443">
        <v>14184.01</v>
      </c>
      <c r="G443">
        <v>12149.4</v>
      </c>
      <c r="H443">
        <v>8163.2</v>
      </c>
      <c r="I443">
        <v>8627.9500000000007</v>
      </c>
    </row>
    <row r="444" spans="1:9" hidden="1" x14ac:dyDescent="0.3">
      <c r="A444" t="s">
        <v>26</v>
      </c>
      <c r="B444" t="s">
        <v>92</v>
      </c>
      <c r="C444" t="s">
        <v>1578</v>
      </c>
      <c r="D444">
        <v>0</v>
      </c>
      <c r="E444">
        <v>175692.89</v>
      </c>
      <c r="F444">
        <v>145926.41</v>
      </c>
      <c r="G444">
        <v>142915.23000000001</v>
      </c>
      <c r="H444">
        <v>120798.05</v>
      </c>
      <c r="I444">
        <v>123412.81</v>
      </c>
    </row>
    <row r="445" spans="1:9" hidden="1" x14ac:dyDescent="0.3">
      <c r="A445" t="s">
        <v>26</v>
      </c>
      <c r="B445" t="s">
        <v>92</v>
      </c>
      <c r="C445" t="s">
        <v>1625</v>
      </c>
      <c r="E445">
        <v>302184.61</v>
      </c>
      <c r="F445">
        <v>252734.62</v>
      </c>
      <c r="G445">
        <v>201643.91</v>
      </c>
      <c r="H445">
        <v>179986.82</v>
      </c>
      <c r="I445">
        <v>168544.15</v>
      </c>
    </row>
    <row r="446" spans="1:9" hidden="1" x14ac:dyDescent="0.3">
      <c r="A446" t="s">
        <v>26</v>
      </c>
      <c r="B446" t="s">
        <v>92</v>
      </c>
      <c r="C446" t="s">
        <v>1626</v>
      </c>
      <c r="E446">
        <v>5848.54</v>
      </c>
      <c r="F446">
        <v>7007.48</v>
      </c>
      <c r="G446">
        <v>2451.06</v>
      </c>
      <c r="H446">
        <v>1576.74</v>
      </c>
      <c r="I446">
        <v>3544.96</v>
      </c>
    </row>
    <row r="447" spans="1:9" hidden="1" x14ac:dyDescent="0.3">
      <c r="A447" t="s">
        <v>26</v>
      </c>
      <c r="B447" t="s">
        <v>92</v>
      </c>
      <c r="C447" t="s">
        <v>1627</v>
      </c>
      <c r="E447">
        <v>-826.53</v>
      </c>
      <c r="F447">
        <v>-656.92</v>
      </c>
      <c r="G447">
        <v>-497.71</v>
      </c>
      <c r="H447">
        <v>-278.32</v>
      </c>
      <c r="I447">
        <v>-161.05000000000001</v>
      </c>
    </row>
    <row r="448" spans="1:9" hidden="1" x14ac:dyDescent="0.3">
      <c r="A448" t="s">
        <v>26</v>
      </c>
      <c r="B448" t="s">
        <v>92</v>
      </c>
      <c r="C448" t="s">
        <v>1576</v>
      </c>
      <c r="D448">
        <v>22746411.32</v>
      </c>
      <c r="E448">
        <v>19933923.84</v>
      </c>
      <c r="F448">
        <v>14141078.890000001</v>
      </c>
      <c r="G448">
        <v>11743678.68</v>
      </c>
      <c r="H448">
        <v>9482951.7300000004</v>
      </c>
      <c r="I448">
        <v>7526884.7000000002</v>
      </c>
    </row>
    <row r="449" spans="1:9" hidden="1" x14ac:dyDescent="0.3">
      <c r="A449" t="s">
        <v>26</v>
      </c>
      <c r="B449" t="s">
        <v>92</v>
      </c>
      <c r="C449" t="s">
        <v>1579</v>
      </c>
      <c r="D449">
        <v>0</v>
      </c>
      <c r="E449">
        <v>129102.17</v>
      </c>
      <c r="F449">
        <v>136928.17000000001</v>
      </c>
      <c r="G449">
        <v>129977.82</v>
      </c>
      <c r="H449">
        <v>85451.15</v>
      </c>
      <c r="I449">
        <v>51390.66</v>
      </c>
    </row>
    <row r="450" spans="1:9" hidden="1" x14ac:dyDescent="0.3">
      <c r="A450" t="s">
        <v>26</v>
      </c>
      <c r="B450" t="s">
        <v>92</v>
      </c>
      <c r="C450" t="s">
        <v>1583</v>
      </c>
      <c r="D450">
        <v>-1787389.11</v>
      </c>
      <c r="E450">
        <v>-337026.37</v>
      </c>
      <c r="F450">
        <v>30949.07</v>
      </c>
      <c r="G450">
        <v>61061.42</v>
      </c>
      <c r="H450">
        <v>63067.02</v>
      </c>
      <c r="I450">
        <v>40686.129999999997</v>
      </c>
    </row>
    <row r="451" spans="1:9" hidden="1" x14ac:dyDescent="0.3">
      <c r="A451" t="s">
        <v>26</v>
      </c>
      <c r="B451" t="s">
        <v>92</v>
      </c>
      <c r="C451" t="s">
        <v>1584</v>
      </c>
      <c r="E451">
        <v>-207924.21</v>
      </c>
      <c r="F451">
        <v>167877.24</v>
      </c>
      <c r="G451">
        <v>191039.25</v>
      </c>
      <c r="H451">
        <v>148518.17000000001</v>
      </c>
      <c r="I451">
        <v>92076.79</v>
      </c>
    </row>
    <row r="452" spans="1:9" hidden="1" x14ac:dyDescent="0.3">
      <c r="A452" t="s">
        <v>26</v>
      </c>
      <c r="B452" t="s">
        <v>92</v>
      </c>
      <c r="C452" t="s">
        <v>1585</v>
      </c>
      <c r="E452">
        <v>-41441.78</v>
      </c>
      <c r="F452">
        <v>-42782.43</v>
      </c>
      <c r="G452">
        <v>-22246.82</v>
      </c>
      <c r="H452">
        <v>-29753.17</v>
      </c>
      <c r="I452">
        <v>-33711.230000000003</v>
      </c>
    </row>
    <row r="453" spans="1:9" hidden="1" x14ac:dyDescent="0.3">
      <c r="A453" t="s">
        <v>26</v>
      </c>
      <c r="B453" t="s">
        <v>92</v>
      </c>
      <c r="C453" t="s">
        <v>1588</v>
      </c>
      <c r="E453">
        <v>41441.78</v>
      </c>
      <c r="F453">
        <v>42782.43</v>
      </c>
      <c r="G453">
        <v>22246.82</v>
      </c>
      <c r="H453">
        <v>29753.17</v>
      </c>
      <c r="I453">
        <v>33711.230000000003</v>
      </c>
    </row>
    <row r="454" spans="1:9" hidden="1" x14ac:dyDescent="0.3">
      <c r="A454" t="s">
        <v>26</v>
      </c>
      <c r="B454" t="s">
        <v>92</v>
      </c>
      <c r="C454" t="s">
        <v>1628</v>
      </c>
      <c r="E454">
        <v>41441.78</v>
      </c>
      <c r="F454">
        <v>34126.879999999997</v>
      </c>
      <c r="G454">
        <v>22246.82</v>
      </c>
      <c r="H454">
        <v>29753.17</v>
      </c>
      <c r="I454">
        <v>33711.230000000003</v>
      </c>
    </row>
    <row r="455" spans="1:9" hidden="1" x14ac:dyDescent="0.3">
      <c r="A455" t="s">
        <v>26</v>
      </c>
      <c r="B455" t="s">
        <v>92</v>
      </c>
      <c r="C455" t="s">
        <v>1589</v>
      </c>
      <c r="E455">
        <v>0</v>
      </c>
      <c r="F455">
        <v>8655.5499999999993</v>
      </c>
      <c r="G455">
        <v>0</v>
      </c>
      <c r="H455">
        <v>0</v>
      </c>
      <c r="I455">
        <v>0</v>
      </c>
    </row>
    <row r="456" spans="1:9" hidden="1" x14ac:dyDescent="0.3">
      <c r="A456" t="s">
        <v>26</v>
      </c>
      <c r="B456" t="s">
        <v>92</v>
      </c>
      <c r="C456" t="s">
        <v>1590</v>
      </c>
      <c r="D456">
        <v>0</v>
      </c>
      <c r="E456">
        <v>36556.33</v>
      </c>
      <c r="F456">
        <v>28360.400000000001</v>
      </c>
      <c r="G456">
        <v>13716.86</v>
      </c>
      <c r="H456">
        <v>7699.47</v>
      </c>
      <c r="I456">
        <v>4040.12</v>
      </c>
    </row>
    <row r="457" spans="1:9" hidden="1" x14ac:dyDescent="0.3">
      <c r="A457" t="s">
        <v>26</v>
      </c>
      <c r="B457" t="s">
        <v>92</v>
      </c>
      <c r="C457" t="s">
        <v>1591</v>
      </c>
      <c r="D457">
        <v>0</v>
      </c>
      <c r="E457">
        <v>59201.1</v>
      </c>
      <c r="F457">
        <v>47668.49</v>
      </c>
      <c r="G457">
        <v>29108.26</v>
      </c>
      <c r="H457">
        <v>23114.71</v>
      </c>
      <c r="I457">
        <v>20688.8</v>
      </c>
    </row>
    <row r="458" spans="1:9" hidden="1" x14ac:dyDescent="0.3">
      <c r="A458" t="s">
        <v>26</v>
      </c>
      <c r="B458" t="s">
        <v>92</v>
      </c>
      <c r="C458" t="s">
        <v>1592</v>
      </c>
      <c r="D458">
        <v>0</v>
      </c>
      <c r="E458">
        <v>22644.77</v>
      </c>
      <c r="F458">
        <v>19308.099999999999</v>
      </c>
      <c r="G458">
        <v>15391.41</v>
      </c>
      <c r="H458">
        <v>15415.24</v>
      </c>
      <c r="I458">
        <v>16648.689999999999</v>
      </c>
    </row>
    <row r="459" spans="1:9" hidden="1" x14ac:dyDescent="0.3">
      <c r="A459" t="s">
        <v>26</v>
      </c>
      <c r="B459" t="s">
        <v>92</v>
      </c>
      <c r="C459" t="s">
        <v>1593</v>
      </c>
      <c r="D459">
        <v>-1736582.05</v>
      </c>
      <c r="E459">
        <v>-341911.83</v>
      </c>
      <c r="F459">
        <v>16527.04</v>
      </c>
      <c r="G459">
        <v>52531.46</v>
      </c>
      <c r="H459">
        <v>41013.33</v>
      </c>
      <c r="I459">
        <v>11015.02</v>
      </c>
    </row>
    <row r="460" spans="1:9" hidden="1" x14ac:dyDescent="0.3">
      <c r="A460" t="s">
        <v>26</v>
      </c>
      <c r="B460" t="s">
        <v>92</v>
      </c>
      <c r="C460" t="s">
        <v>1594</v>
      </c>
      <c r="D460">
        <v>0</v>
      </c>
      <c r="E460">
        <v>95.06</v>
      </c>
      <c r="F460">
        <v>-6126.75</v>
      </c>
      <c r="G460">
        <v>-10939.65</v>
      </c>
      <c r="H460">
        <v>-13961.86</v>
      </c>
      <c r="I460">
        <v>1072.07</v>
      </c>
    </row>
    <row r="461" spans="1:9" hidden="1" x14ac:dyDescent="0.3">
      <c r="A461" t="s">
        <v>26</v>
      </c>
      <c r="B461" t="s">
        <v>92</v>
      </c>
      <c r="C461" t="s">
        <v>1595</v>
      </c>
      <c r="D461">
        <v>-1736582.05</v>
      </c>
      <c r="E461">
        <v>-341816.77</v>
      </c>
      <c r="F461">
        <v>10400.280000000001</v>
      </c>
      <c r="G461">
        <v>41591.81</v>
      </c>
      <c r="H461">
        <v>27051.47</v>
      </c>
      <c r="I461">
        <v>12087.08</v>
      </c>
    </row>
    <row r="462" spans="1:9" hidden="1" x14ac:dyDescent="0.3">
      <c r="A462" t="s">
        <v>26</v>
      </c>
      <c r="B462" t="s">
        <v>92</v>
      </c>
      <c r="C462" t="s">
        <v>1596</v>
      </c>
      <c r="D462">
        <v>-1736582.05</v>
      </c>
      <c r="E462">
        <v>-341816.77</v>
      </c>
      <c r="F462">
        <v>10400.280000000001</v>
      </c>
      <c r="G462">
        <v>41591.81</v>
      </c>
      <c r="H462">
        <v>27051.47</v>
      </c>
      <c r="I462">
        <v>12087.08</v>
      </c>
    </row>
    <row r="463" spans="1:9" hidden="1" x14ac:dyDescent="0.3">
      <c r="A463" t="s">
        <v>26</v>
      </c>
      <c r="B463" t="s">
        <v>92</v>
      </c>
      <c r="C463" t="s">
        <v>1597</v>
      </c>
      <c r="D463">
        <v>11693006.699999999</v>
      </c>
      <c r="E463">
        <v>6815192.8499999996</v>
      </c>
      <c r="F463">
        <v>5913636.5899999999</v>
      </c>
      <c r="G463">
        <v>6128752.0499999998</v>
      </c>
      <c r="H463">
        <v>5820665.9500000002</v>
      </c>
      <c r="I463">
        <v>5770162.3499999996</v>
      </c>
    </row>
    <row r="464" spans="1:9" hidden="1" x14ac:dyDescent="0.3">
      <c r="A464" t="s">
        <v>26</v>
      </c>
      <c r="B464" t="s">
        <v>92</v>
      </c>
      <c r="C464" t="s">
        <v>1598</v>
      </c>
      <c r="D464">
        <v>0</v>
      </c>
      <c r="E464">
        <v>72265.37</v>
      </c>
      <c r="F464">
        <v>72497.289999999994</v>
      </c>
      <c r="G464">
        <v>66772.33</v>
      </c>
      <c r="H464">
        <v>56611.69</v>
      </c>
      <c r="I464">
        <v>55060.14</v>
      </c>
    </row>
    <row r="465" spans="1:9" hidden="1" x14ac:dyDescent="0.3">
      <c r="A465" t="s">
        <v>26</v>
      </c>
      <c r="B465" t="s">
        <v>92</v>
      </c>
      <c r="C465" t="s">
        <v>1599</v>
      </c>
      <c r="D465">
        <v>0</v>
      </c>
      <c r="E465">
        <v>7545.51</v>
      </c>
      <c r="F465">
        <v>7704.18</v>
      </c>
      <c r="G465">
        <v>6662.31</v>
      </c>
      <c r="H465">
        <v>6541.43</v>
      </c>
      <c r="I465">
        <v>6470.73</v>
      </c>
    </row>
    <row r="466" spans="1:9" hidden="1" x14ac:dyDescent="0.3">
      <c r="A466" t="s">
        <v>26</v>
      </c>
      <c r="B466" t="s">
        <v>92</v>
      </c>
      <c r="C466" t="s">
        <v>1629</v>
      </c>
      <c r="E466">
        <v>3181.97</v>
      </c>
      <c r="F466">
        <v>3255.22</v>
      </c>
      <c r="G466">
        <v>2667.06</v>
      </c>
      <c r="H466">
        <v>3118.45</v>
      </c>
      <c r="I466">
        <v>2692.86</v>
      </c>
    </row>
    <row r="467" spans="1:9" hidden="1" x14ac:dyDescent="0.3">
      <c r="A467" t="s">
        <v>26</v>
      </c>
      <c r="B467" t="s">
        <v>92</v>
      </c>
      <c r="C467" t="s">
        <v>1630</v>
      </c>
      <c r="E467">
        <v>61537.9</v>
      </c>
      <c r="F467">
        <v>61537.9</v>
      </c>
      <c r="G467">
        <v>57442.96</v>
      </c>
      <c r="H467">
        <v>46951.81</v>
      </c>
      <c r="I467">
        <v>45896.55</v>
      </c>
    </row>
    <row r="468" spans="1:9" hidden="1" x14ac:dyDescent="0.3">
      <c r="A468" t="s">
        <v>26</v>
      </c>
      <c r="B468" t="s">
        <v>92</v>
      </c>
      <c r="C468" t="s">
        <v>1602</v>
      </c>
      <c r="D468">
        <v>11441577.720000001</v>
      </c>
      <c r="E468">
        <v>6742927.4699999997</v>
      </c>
      <c r="F468">
        <v>5841139.2999999998</v>
      </c>
      <c r="G468">
        <v>6061979.7199999997</v>
      </c>
      <c r="H468">
        <v>5764054.2599999998</v>
      </c>
      <c r="I468">
        <v>5715102.21</v>
      </c>
    </row>
    <row r="469" spans="1:9" hidden="1" x14ac:dyDescent="0.3">
      <c r="A469" t="s">
        <v>26</v>
      </c>
      <c r="B469" t="s">
        <v>92</v>
      </c>
      <c r="C469" t="s">
        <v>1646</v>
      </c>
      <c r="E469">
        <v>552.88</v>
      </c>
      <c r="F469">
        <v>520.36</v>
      </c>
      <c r="G469">
        <v>431.35</v>
      </c>
      <c r="H469">
        <v>11367.67</v>
      </c>
      <c r="I469">
        <v>11409.86</v>
      </c>
    </row>
    <row r="470" spans="1:9" hidden="1" x14ac:dyDescent="0.3">
      <c r="A470" t="s">
        <v>26</v>
      </c>
      <c r="B470" t="s">
        <v>92</v>
      </c>
      <c r="C470" t="s">
        <v>1648</v>
      </c>
      <c r="E470">
        <v>552.88</v>
      </c>
      <c r="F470">
        <v>520.36</v>
      </c>
      <c r="G470">
        <v>431.35</v>
      </c>
      <c r="H470">
        <v>11367.67</v>
      </c>
      <c r="I470">
        <v>11409.86</v>
      </c>
    </row>
    <row r="471" spans="1:9" hidden="1" x14ac:dyDescent="0.3">
      <c r="A471" t="s">
        <v>26</v>
      </c>
      <c r="B471" t="s">
        <v>92</v>
      </c>
      <c r="C471" t="s">
        <v>1603</v>
      </c>
      <c r="E471">
        <v>2322873.84</v>
      </c>
      <c r="F471">
        <v>775975.88</v>
      </c>
      <c r="G471">
        <v>1336805.56</v>
      </c>
      <c r="H471">
        <v>2008427.37</v>
      </c>
      <c r="I471">
        <v>3133034.19</v>
      </c>
    </row>
    <row r="472" spans="1:9" hidden="1" x14ac:dyDescent="0.3">
      <c r="A472" t="s">
        <v>26</v>
      </c>
      <c r="B472" t="s">
        <v>92</v>
      </c>
      <c r="C472" t="s">
        <v>1631</v>
      </c>
      <c r="E472">
        <v>3124335.18</v>
      </c>
      <c r="F472">
        <v>1432867.05</v>
      </c>
      <c r="G472">
        <v>1664211.56</v>
      </c>
      <c r="H472">
        <v>2421838.52</v>
      </c>
      <c r="I472">
        <v>3466381.58</v>
      </c>
    </row>
    <row r="473" spans="1:9" hidden="1" x14ac:dyDescent="0.3">
      <c r="A473" t="s">
        <v>26</v>
      </c>
      <c r="B473" t="s">
        <v>92</v>
      </c>
      <c r="C473" t="s">
        <v>1604</v>
      </c>
      <c r="E473">
        <v>136767.53</v>
      </c>
      <c r="F473">
        <v>162393.82</v>
      </c>
      <c r="G473">
        <v>372155.5</v>
      </c>
      <c r="H473">
        <v>166447.35</v>
      </c>
      <c r="I473">
        <v>162761.39000000001</v>
      </c>
    </row>
    <row r="474" spans="1:9" hidden="1" x14ac:dyDescent="0.3">
      <c r="A474" t="s">
        <v>26</v>
      </c>
      <c r="B474" t="s">
        <v>92</v>
      </c>
      <c r="C474" t="s">
        <v>1633</v>
      </c>
      <c r="E474">
        <v>-951252.99</v>
      </c>
      <c r="F474">
        <v>-834032.37</v>
      </c>
      <c r="G474">
        <v>-706638.61</v>
      </c>
      <c r="H474">
        <v>-582666.4</v>
      </c>
      <c r="I474">
        <v>-501657.73</v>
      </c>
    </row>
    <row r="475" spans="1:9" hidden="1" x14ac:dyDescent="0.3">
      <c r="A475" t="s">
        <v>26</v>
      </c>
      <c r="B475" t="s">
        <v>92</v>
      </c>
      <c r="C475" t="s">
        <v>1634</v>
      </c>
      <c r="E475">
        <v>13024.11</v>
      </c>
      <c r="F475">
        <v>14747.38</v>
      </c>
      <c r="G475">
        <v>7077.11</v>
      </c>
      <c r="H475">
        <v>2807.91</v>
      </c>
      <c r="I475">
        <v>5548.95</v>
      </c>
    </row>
    <row r="476" spans="1:9" hidden="1" x14ac:dyDescent="0.3">
      <c r="A476" t="s">
        <v>26</v>
      </c>
      <c r="B476" t="s">
        <v>92</v>
      </c>
      <c r="C476" t="s">
        <v>1635</v>
      </c>
      <c r="E476">
        <v>3474967.02</v>
      </c>
      <c r="F476">
        <v>3884560.6</v>
      </c>
      <c r="G476">
        <v>2307557.6800000002</v>
      </c>
      <c r="H476">
        <v>2415704.65</v>
      </c>
      <c r="I476">
        <v>1885226.47</v>
      </c>
    </row>
    <row r="477" spans="1:9" hidden="1" x14ac:dyDescent="0.3">
      <c r="A477" t="s">
        <v>26</v>
      </c>
      <c r="B477" t="s">
        <v>92</v>
      </c>
      <c r="C477" t="s">
        <v>1605</v>
      </c>
      <c r="E477">
        <v>442963.95</v>
      </c>
      <c r="F477">
        <v>434242.04</v>
      </c>
      <c r="G477">
        <v>315274.03999999998</v>
      </c>
      <c r="H477">
        <v>186923.08</v>
      </c>
      <c r="I477">
        <v>250895.07</v>
      </c>
    </row>
    <row r="478" spans="1:9" hidden="1" x14ac:dyDescent="0.3">
      <c r="A478" t="s">
        <v>26</v>
      </c>
      <c r="B478" t="s">
        <v>92</v>
      </c>
      <c r="C478" t="s">
        <v>1606</v>
      </c>
      <c r="E478">
        <v>501569.79</v>
      </c>
      <c r="F478">
        <v>745840.42</v>
      </c>
      <c r="G478">
        <v>2101911.08</v>
      </c>
      <c r="H478">
        <v>1141631.48</v>
      </c>
      <c r="I478">
        <v>434536.63</v>
      </c>
    </row>
    <row r="479" spans="1:9" hidden="1" x14ac:dyDescent="0.3">
      <c r="A479" t="s">
        <v>26</v>
      </c>
      <c r="B479" t="s">
        <v>92</v>
      </c>
      <c r="C479" t="s">
        <v>1608</v>
      </c>
      <c r="D479">
        <v>11693006.699999999</v>
      </c>
      <c r="E479">
        <v>6815192.8499999996</v>
      </c>
      <c r="F479">
        <v>5913636.5899999999</v>
      </c>
      <c r="G479">
        <v>6128752.0499999998</v>
      </c>
      <c r="H479">
        <v>5820665.9500000002</v>
      </c>
      <c r="I479">
        <v>5770162.3499999996</v>
      </c>
    </row>
    <row r="480" spans="1:9" hidden="1" x14ac:dyDescent="0.3">
      <c r="A480" t="s">
        <v>26</v>
      </c>
      <c r="B480" t="s">
        <v>92</v>
      </c>
      <c r="C480" t="s">
        <v>1609</v>
      </c>
      <c r="D480">
        <v>-6695083.9299999997</v>
      </c>
      <c r="E480">
        <v>143392.06</v>
      </c>
      <c r="F480">
        <v>485208.83</v>
      </c>
      <c r="G480">
        <v>365808.58</v>
      </c>
      <c r="H480">
        <v>324216.77</v>
      </c>
      <c r="I480">
        <v>297165.3</v>
      </c>
    </row>
    <row r="481" spans="1:9" hidden="1" x14ac:dyDescent="0.3">
      <c r="A481" t="s">
        <v>26</v>
      </c>
      <c r="B481" t="s">
        <v>92</v>
      </c>
      <c r="C481" t="s">
        <v>1610</v>
      </c>
      <c r="E481">
        <v>143392.06</v>
      </c>
      <c r="F481">
        <v>485208.83</v>
      </c>
      <c r="G481">
        <v>365808.58</v>
      </c>
      <c r="H481">
        <v>324216.77</v>
      </c>
      <c r="I481">
        <v>297165.3</v>
      </c>
    </row>
    <row r="482" spans="1:9" hidden="1" x14ac:dyDescent="0.3">
      <c r="A482" t="s">
        <v>26</v>
      </c>
      <c r="B482" t="s">
        <v>92</v>
      </c>
      <c r="C482" t="s">
        <v>1611</v>
      </c>
      <c r="E482">
        <v>388591.92</v>
      </c>
      <c r="F482">
        <v>388591.92</v>
      </c>
      <c r="G482">
        <v>295059.71000000002</v>
      </c>
      <c r="H482">
        <v>295059.71000000002</v>
      </c>
      <c r="I482">
        <v>295059.71000000002</v>
      </c>
    </row>
    <row r="483" spans="1:9" hidden="1" x14ac:dyDescent="0.3">
      <c r="A483" t="s">
        <v>26</v>
      </c>
      <c r="B483" t="s">
        <v>92</v>
      </c>
      <c r="C483" t="s">
        <v>1636</v>
      </c>
      <c r="E483">
        <v>15467.75</v>
      </c>
      <c r="F483">
        <v>15467.75</v>
      </c>
      <c r="G483">
        <v>0</v>
      </c>
      <c r="H483">
        <v>0</v>
      </c>
      <c r="I483">
        <v>0</v>
      </c>
    </row>
    <row r="484" spans="1:9" hidden="1" x14ac:dyDescent="0.3">
      <c r="A484" t="s">
        <v>26</v>
      </c>
      <c r="B484" t="s">
        <v>92</v>
      </c>
      <c r="C484" t="s">
        <v>1612</v>
      </c>
      <c r="E484">
        <v>81149.16</v>
      </c>
      <c r="F484">
        <v>75789.289999999994</v>
      </c>
      <c r="G484">
        <v>77138.960000000006</v>
      </c>
      <c r="H484">
        <v>27482.01</v>
      </c>
      <c r="I484">
        <v>67390.09</v>
      </c>
    </row>
    <row r="485" spans="1:9" hidden="1" x14ac:dyDescent="0.3">
      <c r="A485" t="s">
        <v>26</v>
      </c>
      <c r="B485" t="s">
        <v>92</v>
      </c>
      <c r="C485" t="s">
        <v>1613</v>
      </c>
      <c r="E485">
        <v>0</v>
      </c>
      <c r="F485">
        <v>0</v>
      </c>
      <c r="G485">
        <v>0</v>
      </c>
      <c r="H485">
        <v>17988.91</v>
      </c>
      <c r="I485">
        <v>11890.29</v>
      </c>
    </row>
    <row r="486" spans="1:9" hidden="1" x14ac:dyDescent="0.3">
      <c r="A486" t="s">
        <v>26</v>
      </c>
      <c r="B486" t="s">
        <v>92</v>
      </c>
      <c r="C486" t="s">
        <v>1614</v>
      </c>
      <c r="E486">
        <v>-341816.77</v>
      </c>
      <c r="F486">
        <v>10400.280000000001</v>
      </c>
      <c r="G486">
        <v>41591.81</v>
      </c>
      <c r="H486">
        <v>27051.47</v>
      </c>
      <c r="I486">
        <v>12087.08</v>
      </c>
    </row>
    <row r="487" spans="1:9" hidden="1" x14ac:dyDescent="0.3">
      <c r="A487" t="s">
        <v>26</v>
      </c>
      <c r="B487" t="s">
        <v>92</v>
      </c>
      <c r="C487" t="s">
        <v>1642</v>
      </c>
      <c r="E487">
        <v>0</v>
      </c>
      <c r="F487">
        <v>-5040.42</v>
      </c>
      <c r="G487">
        <v>-47981.9</v>
      </c>
      <c r="H487">
        <v>-43365.32</v>
      </c>
      <c r="I487">
        <v>-89261.87</v>
      </c>
    </row>
    <row r="488" spans="1:9" hidden="1" x14ac:dyDescent="0.3">
      <c r="A488" t="s">
        <v>26</v>
      </c>
      <c r="B488" t="s">
        <v>92</v>
      </c>
      <c r="C488" t="s">
        <v>1615</v>
      </c>
      <c r="D488">
        <v>18388090.620000001</v>
      </c>
      <c r="E488">
        <v>6671800.7800000003</v>
      </c>
      <c r="F488">
        <v>5428427.7599999998</v>
      </c>
      <c r="G488">
        <v>5762943.46</v>
      </c>
      <c r="H488">
        <v>5496449.1799999997</v>
      </c>
      <c r="I488">
        <v>5472997.0499999998</v>
      </c>
    </row>
    <row r="489" spans="1:9" hidden="1" x14ac:dyDescent="0.3">
      <c r="A489" t="s">
        <v>26</v>
      </c>
      <c r="B489" t="s">
        <v>92</v>
      </c>
      <c r="C489" t="s">
        <v>1616</v>
      </c>
      <c r="D489">
        <v>0</v>
      </c>
      <c r="E489">
        <v>5141129.5599999996</v>
      </c>
      <c r="F489">
        <v>4397938.1399999997</v>
      </c>
      <c r="G489">
        <v>3287339.61</v>
      </c>
      <c r="H489">
        <v>2341052.36</v>
      </c>
      <c r="I489">
        <v>315045.69</v>
      </c>
    </row>
    <row r="490" spans="1:9" hidden="1" x14ac:dyDescent="0.3">
      <c r="A490" t="s">
        <v>26</v>
      </c>
      <c r="B490" t="s">
        <v>92</v>
      </c>
      <c r="C490" t="s">
        <v>1617</v>
      </c>
      <c r="E490">
        <v>5046625.0599999996</v>
      </c>
      <c r="F490">
        <v>4320121.46</v>
      </c>
      <c r="G490">
        <v>3211238.83</v>
      </c>
      <c r="H490">
        <v>2274402.7200000002</v>
      </c>
      <c r="I490">
        <v>261488.35</v>
      </c>
    </row>
    <row r="491" spans="1:9" hidden="1" x14ac:dyDescent="0.3">
      <c r="A491" t="s">
        <v>26</v>
      </c>
      <c r="B491" t="s">
        <v>92</v>
      </c>
      <c r="C491" t="s">
        <v>1618</v>
      </c>
      <c r="E491">
        <v>94504.5</v>
      </c>
      <c r="F491">
        <v>77816.679999999993</v>
      </c>
      <c r="G491">
        <v>76100.78</v>
      </c>
      <c r="H491">
        <v>66649.649999999994</v>
      </c>
      <c r="I491">
        <v>53557.34</v>
      </c>
    </row>
    <row r="492" spans="1:9" hidden="1" x14ac:dyDescent="0.3">
      <c r="A492" t="s">
        <v>26</v>
      </c>
      <c r="B492" t="s">
        <v>92</v>
      </c>
      <c r="C492" t="s">
        <v>1619</v>
      </c>
      <c r="D492">
        <v>18388090.620000001</v>
      </c>
      <c r="E492">
        <v>1530671.23</v>
      </c>
      <c r="F492">
        <v>1030489.62</v>
      </c>
      <c r="G492">
        <v>2475603.85</v>
      </c>
      <c r="H492">
        <v>3155396.81</v>
      </c>
      <c r="I492">
        <v>5157951.3600000003</v>
      </c>
    </row>
    <row r="493" spans="1:9" hidden="1" x14ac:dyDescent="0.3">
      <c r="A493" t="s">
        <v>26</v>
      </c>
      <c r="B493" t="s">
        <v>92</v>
      </c>
      <c r="C493" t="s">
        <v>1638</v>
      </c>
      <c r="E493">
        <v>140267.16</v>
      </c>
      <c r="F493">
        <v>138000</v>
      </c>
      <c r="G493">
        <v>197757.37</v>
      </c>
      <c r="H493">
        <v>159757.37</v>
      </c>
      <c r="I493">
        <v>199757.37</v>
      </c>
    </row>
    <row r="494" spans="1:9" hidden="1" x14ac:dyDescent="0.3">
      <c r="A494" t="s">
        <v>26</v>
      </c>
      <c r="B494" t="s">
        <v>92</v>
      </c>
      <c r="C494" t="s">
        <v>1620</v>
      </c>
      <c r="E494">
        <v>1336697.3999999999</v>
      </c>
      <c r="F494">
        <v>804783.93</v>
      </c>
      <c r="G494">
        <v>1868591.47</v>
      </c>
      <c r="H494">
        <v>2539475.35</v>
      </c>
      <c r="I494">
        <v>3543638.61</v>
      </c>
    </row>
    <row r="495" spans="1:9" hidden="1" x14ac:dyDescent="0.3">
      <c r="A495" t="s">
        <v>26</v>
      </c>
      <c r="B495" t="s">
        <v>92</v>
      </c>
      <c r="C495" t="s">
        <v>1621</v>
      </c>
      <c r="E495">
        <v>1185560.8899999999</v>
      </c>
      <c r="F495">
        <v>661067.11</v>
      </c>
      <c r="G495">
        <v>1611221.43</v>
      </c>
      <c r="H495">
        <v>2175457.6800000002</v>
      </c>
      <c r="I495">
        <v>3368235.24</v>
      </c>
    </row>
    <row r="496" spans="1:9" hidden="1" x14ac:dyDescent="0.3">
      <c r="A496" t="s">
        <v>26</v>
      </c>
      <c r="B496" t="s">
        <v>92</v>
      </c>
      <c r="C496" t="s">
        <v>1622</v>
      </c>
      <c r="E496">
        <v>151136.51</v>
      </c>
      <c r="F496">
        <v>143716.82</v>
      </c>
      <c r="G496">
        <v>257370.04</v>
      </c>
      <c r="H496">
        <v>364017.67</v>
      </c>
      <c r="I496">
        <v>175403.37</v>
      </c>
    </row>
    <row r="497" spans="1:9" hidden="1" x14ac:dyDescent="0.3">
      <c r="A497" t="s">
        <v>26</v>
      </c>
      <c r="B497" t="s">
        <v>92</v>
      </c>
      <c r="C497" t="s">
        <v>1617</v>
      </c>
      <c r="E497">
        <v>47590.5</v>
      </c>
      <c r="F497">
        <v>60139.88</v>
      </c>
      <c r="G497">
        <v>120579.11</v>
      </c>
      <c r="H497">
        <v>107044.45</v>
      </c>
      <c r="I497">
        <v>57592.26</v>
      </c>
    </row>
    <row r="498" spans="1:9" hidden="1" x14ac:dyDescent="0.3">
      <c r="A498" t="s">
        <v>26</v>
      </c>
      <c r="B498" t="s">
        <v>92</v>
      </c>
      <c r="C498" t="s">
        <v>1623</v>
      </c>
      <c r="E498">
        <v>5767.12</v>
      </c>
      <c r="F498">
        <v>17091.21</v>
      </c>
      <c r="G498">
        <v>267034.71000000002</v>
      </c>
      <c r="H498">
        <v>333965.68</v>
      </c>
      <c r="I498">
        <v>1353173.6</v>
      </c>
    </row>
    <row r="499" spans="1:9" hidden="1" x14ac:dyDescent="0.3">
      <c r="A499" t="s">
        <v>26</v>
      </c>
      <c r="B499" t="s">
        <v>92</v>
      </c>
      <c r="C499" t="s">
        <v>1640</v>
      </c>
      <c r="E499">
        <v>349.04</v>
      </c>
      <c r="F499">
        <v>10474.61</v>
      </c>
      <c r="G499">
        <v>21641.200000000001</v>
      </c>
      <c r="H499">
        <v>15153.97</v>
      </c>
      <c r="I499">
        <v>3789.52</v>
      </c>
    </row>
    <row r="500" spans="1:9" hidden="1" x14ac:dyDescent="0.3">
      <c r="A500" t="s">
        <v>36</v>
      </c>
      <c r="B500" t="s">
        <v>92</v>
      </c>
      <c r="C500" t="s">
        <v>1575</v>
      </c>
      <c r="D500">
        <v>8116912.2599999998</v>
      </c>
      <c r="E500">
        <v>6910340</v>
      </c>
      <c r="F500">
        <v>6003876.6399999997</v>
      </c>
      <c r="G500">
        <v>4728680.9000000004</v>
      </c>
      <c r="H500">
        <v>3956423.42</v>
      </c>
      <c r="I500">
        <v>3044942.87</v>
      </c>
    </row>
    <row r="501" spans="1:9" hidden="1" x14ac:dyDescent="0.3">
      <c r="A501" t="s">
        <v>36</v>
      </c>
      <c r="B501" t="s">
        <v>92</v>
      </c>
      <c r="C501" t="s">
        <v>1624</v>
      </c>
      <c r="D501">
        <v>8116912.2599999998</v>
      </c>
      <c r="E501">
        <v>6910340</v>
      </c>
      <c r="F501">
        <v>6003876.6399999997</v>
      </c>
      <c r="G501">
        <v>4728680.9000000004</v>
      </c>
      <c r="H501">
        <v>3956423.42</v>
      </c>
      <c r="I501">
        <v>3044942.87</v>
      </c>
    </row>
    <row r="502" spans="1:9" hidden="1" x14ac:dyDescent="0.3">
      <c r="A502" t="s">
        <v>36</v>
      </c>
      <c r="B502" t="s">
        <v>92</v>
      </c>
      <c r="C502" t="s">
        <v>1577</v>
      </c>
      <c r="D502">
        <v>69089.52</v>
      </c>
      <c r="E502">
        <v>55977.52</v>
      </c>
      <c r="F502">
        <v>56467.48</v>
      </c>
      <c r="G502">
        <v>50107.72</v>
      </c>
      <c r="H502">
        <v>49181.83</v>
      </c>
      <c r="I502">
        <v>61158.2</v>
      </c>
    </row>
    <row r="503" spans="1:9" hidden="1" x14ac:dyDescent="0.3">
      <c r="A503" t="s">
        <v>36</v>
      </c>
      <c r="B503" t="s">
        <v>92</v>
      </c>
      <c r="C503" t="s">
        <v>1578</v>
      </c>
      <c r="D503">
        <v>72312.97</v>
      </c>
      <c r="E503">
        <v>66315.539999999994</v>
      </c>
      <c r="F503">
        <v>156907.35999999999</v>
      </c>
      <c r="G503">
        <v>60897.14</v>
      </c>
      <c r="H503">
        <v>52953.16</v>
      </c>
      <c r="I503">
        <v>50595.74</v>
      </c>
    </row>
    <row r="504" spans="1:9" hidden="1" x14ac:dyDescent="0.3">
      <c r="A504" t="s">
        <v>36</v>
      </c>
      <c r="B504" t="s">
        <v>92</v>
      </c>
      <c r="C504" t="s">
        <v>1625</v>
      </c>
      <c r="D504">
        <v>153052.43</v>
      </c>
      <c r="E504">
        <v>137973.78</v>
      </c>
      <c r="F504">
        <v>117198.12</v>
      </c>
      <c r="G504">
        <v>100789.79</v>
      </c>
      <c r="H504">
        <v>89556.13</v>
      </c>
      <c r="I504">
        <v>92255.34</v>
      </c>
    </row>
    <row r="505" spans="1:9" hidden="1" x14ac:dyDescent="0.3">
      <c r="A505" t="s">
        <v>36</v>
      </c>
      <c r="B505" t="s">
        <v>92</v>
      </c>
      <c r="C505" t="s">
        <v>1626</v>
      </c>
      <c r="D505">
        <v>645.86</v>
      </c>
      <c r="E505">
        <v>812.82</v>
      </c>
      <c r="F505">
        <v>745.96</v>
      </c>
      <c r="G505">
        <v>352.51</v>
      </c>
      <c r="H505">
        <v>354.99</v>
      </c>
      <c r="I505">
        <v>982.37</v>
      </c>
    </row>
    <row r="506" spans="1:9" hidden="1" x14ac:dyDescent="0.3">
      <c r="A506" t="s">
        <v>36</v>
      </c>
      <c r="B506" t="s">
        <v>92</v>
      </c>
      <c r="C506" t="s">
        <v>1627</v>
      </c>
      <c r="D506">
        <v>-1082.45</v>
      </c>
      <c r="E506">
        <v>-911.8</v>
      </c>
      <c r="F506">
        <v>-680.13</v>
      </c>
      <c r="G506">
        <v>-735.44</v>
      </c>
      <c r="H506">
        <v>-552.83000000000004</v>
      </c>
      <c r="I506">
        <v>-1317.25</v>
      </c>
    </row>
    <row r="507" spans="1:9" hidden="1" x14ac:dyDescent="0.3">
      <c r="A507" t="s">
        <v>36</v>
      </c>
      <c r="B507" t="s">
        <v>92</v>
      </c>
      <c r="C507" t="s">
        <v>1576</v>
      </c>
      <c r="D507">
        <v>8077180.7699999996</v>
      </c>
      <c r="E507">
        <v>6829030</v>
      </c>
      <c r="F507">
        <v>5586705.8700000001</v>
      </c>
      <c r="G507">
        <v>4363998.1100000003</v>
      </c>
      <c r="H507">
        <v>3558902.35</v>
      </c>
      <c r="I507">
        <v>2771097.14</v>
      </c>
    </row>
    <row r="508" spans="1:9" hidden="1" x14ac:dyDescent="0.3">
      <c r="A508" t="s">
        <v>36</v>
      </c>
      <c r="B508" t="s">
        <v>92</v>
      </c>
      <c r="C508" t="s">
        <v>1579</v>
      </c>
      <c r="D508">
        <v>8326.18</v>
      </c>
      <c r="E508">
        <v>22493.42</v>
      </c>
      <c r="F508">
        <v>17560.8</v>
      </c>
      <c r="G508">
        <v>28309.01</v>
      </c>
      <c r="H508">
        <v>84626.76</v>
      </c>
      <c r="I508">
        <v>6316.54</v>
      </c>
    </row>
    <row r="509" spans="1:9" hidden="1" x14ac:dyDescent="0.3">
      <c r="A509" t="s">
        <v>36</v>
      </c>
      <c r="B509" t="s">
        <v>92</v>
      </c>
      <c r="C509" t="s">
        <v>1583</v>
      </c>
      <c r="D509">
        <v>-264778.46000000002</v>
      </c>
      <c r="E509">
        <v>-203175.11</v>
      </c>
      <c r="F509">
        <v>67610.92</v>
      </c>
      <c r="G509">
        <v>123491.18</v>
      </c>
      <c r="H509">
        <v>120295.37</v>
      </c>
      <c r="I509">
        <v>61220.29</v>
      </c>
    </row>
    <row r="510" spans="1:9" hidden="1" x14ac:dyDescent="0.3">
      <c r="A510" t="s">
        <v>36</v>
      </c>
      <c r="B510" t="s">
        <v>92</v>
      </c>
      <c r="C510" t="s">
        <v>1584</v>
      </c>
      <c r="D510">
        <v>-256452.28</v>
      </c>
      <c r="E510">
        <v>-180681.69</v>
      </c>
      <c r="F510">
        <v>85171.73</v>
      </c>
      <c r="G510">
        <v>151800.19</v>
      </c>
      <c r="H510">
        <v>204922.13</v>
      </c>
      <c r="I510">
        <v>67536.83</v>
      </c>
    </row>
    <row r="511" spans="1:9" hidden="1" x14ac:dyDescent="0.3">
      <c r="A511" t="s">
        <v>36</v>
      </c>
      <c r="B511" t="s">
        <v>92</v>
      </c>
      <c r="C511" t="s">
        <v>1585</v>
      </c>
      <c r="D511">
        <v>-1727.49</v>
      </c>
      <c r="E511">
        <v>-1233.8800000000001</v>
      </c>
      <c r="F511">
        <v>-723.41</v>
      </c>
      <c r="G511">
        <v>-630.08000000000004</v>
      </c>
      <c r="H511">
        <v>-998.94</v>
      </c>
      <c r="I511">
        <v>-710.75</v>
      </c>
    </row>
    <row r="512" spans="1:9" hidden="1" x14ac:dyDescent="0.3">
      <c r="A512" t="s">
        <v>36</v>
      </c>
      <c r="B512" t="s">
        <v>92</v>
      </c>
      <c r="C512" t="s">
        <v>1588</v>
      </c>
      <c r="D512">
        <v>1727.49</v>
      </c>
      <c r="E512">
        <v>1233.8800000000001</v>
      </c>
      <c r="F512">
        <v>723.41</v>
      </c>
      <c r="G512">
        <v>630.08000000000004</v>
      </c>
      <c r="H512">
        <v>998.94</v>
      </c>
      <c r="I512">
        <v>710.75</v>
      </c>
    </row>
    <row r="513" spans="1:9" hidden="1" x14ac:dyDescent="0.3">
      <c r="A513" t="s">
        <v>36</v>
      </c>
      <c r="B513" t="s">
        <v>92</v>
      </c>
      <c r="C513" t="s">
        <v>1628</v>
      </c>
      <c r="D513">
        <v>1727.49</v>
      </c>
      <c r="E513">
        <v>1233.8800000000001</v>
      </c>
      <c r="F513">
        <v>723.41</v>
      </c>
      <c r="G513">
        <v>630.08000000000004</v>
      </c>
      <c r="H513">
        <v>998.94</v>
      </c>
      <c r="I513">
        <v>710.75</v>
      </c>
    </row>
    <row r="514" spans="1:9" hidden="1" x14ac:dyDescent="0.3">
      <c r="A514" t="s">
        <v>36</v>
      </c>
      <c r="B514" t="s">
        <v>92</v>
      </c>
      <c r="C514" t="s">
        <v>1590</v>
      </c>
      <c r="D514">
        <v>381611.24</v>
      </c>
      <c r="E514">
        <v>363876.87</v>
      </c>
      <c r="F514">
        <v>202119.67999999999</v>
      </c>
      <c r="G514">
        <v>75546.740000000005</v>
      </c>
      <c r="H514">
        <v>59178.92</v>
      </c>
      <c r="I514">
        <v>44340.51</v>
      </c>
    </row>
    <row r="515" spans="1:9" hidden="1" x14ac:dyDescent="0.3">
      <c r="A515" t="s">
        <v>36</v>
      </c>
      <c r="B515" t="s">
        <v>92</v>
      </c>
      <c r="C515" t="s">
        <v>1591</v>
      </c>
      <c r="D515">
        <v>386303.81</v>
      </c>
      <c r="E515">
        <v>368427</v>
      </c>
      <c r="F515">
        <v>206757.08</v>
      </c>
      <c r="G515">
        <v>79826.19</v>
      </c>
      <c r="H515">
        <v>62552.34</v>
      </c>
      <c r="I515">
        <v>48662.38</v>
      </c>
    </row>
    <row r="516" spans="1:9" hidden="1" x14ac:dyDescent="0.3">
      <c r="A516" t="s">
        <v>36</v>
      </c>
      <c r="B516" t="s">
        <v>92</v>
      </c>
      <c r="C516" t="s">
        <v>1592</v>
      </c>
      <c r="D516">
        <v>4692.5600000000004</v>
      </c>
      <c r="E516">
        <v>4550.13</v>
      </c>
      <c r="F516">
        <v>4637.3999999999996</v>
      </c>
      <c r="G516">
        <v>4279.45</v>
      </c>
      <c r="H516">
        <v>3373.42</v>
      </c>
      <c r="I516">
        <v>4321.87</v>
      </c>
    </row>
    <row r="517" spans="1:9" hidden="1" x14ac:dyDescent="0.3">
      <c r="A517" t="s">
        <v>36</v>
      </c>
      <c r="B517" t="s">
        <v>92</v>
      </c>
      <c r="C517" t="s">
        <v>1593</v>
      </c>
      <c r="D517">
        <v>115105.29</v>
      </c>
      <c r="E517">
        <v>159473.56</v>
      </c>
      <c r="F517">
        <v>269007.19</v>
      </c>
      <c r="G517">
        <v>198407.84</v>
      </c>
      <c r="H517">
        <v>178475.35</v>
      </c>
      <c r="I517">
        <v>104850.05</v>
      </c>
    </row>
    <row r="518" spans="1:9" hidden="1" x14ac:dyDescent="0.3">
      <c r="A518" t="s">
        <v>36</v>
      </c>
      <c r="B518" t="s">
        <v>92</v>
      </c>
      <c r="C518" t="s">
        <v>1594</v>
      </c>
      <c r="D518">
        <v>-50958.8</v>
      </c>
      <c r="E518">
        <v>-57717.56</v>
      </c>
      <c r="F518">
        <v>-95757.7</v>
      </c>
      <c r="G518">
        <v>-60648.85</v>
      </c>
      <c r="H518">
        <v>-57660.93</v>
      </c>
      <c r="I518">
        <v>-35649.019999999997</v>
      </c>
    </row>
    <row r="519" spans="1:9" hidden="1" x14ac:dyDescent="0.3">
      <c r="A519" t="s">
        <v>36</v>
      </c>
      <c r="B519" t="s">
        <v>92</v>
      </c>
      <c r="C519" t="s">
        <v>1595</v>
      </c>
      <c r="D519">
        <v>64146.49</v>
      </c>
      <c r="E519">
        <v>101756</v>
      </c>
      <c r="F519">
        <v>173249.49</v>
      </c>
      <c r="G519">
        <v>137758.99</v>
      </c>
      <c r="H519">
        <v>120814.42</v>
      </c>
      <c r="I519">
        <v>69201.03</v>
      </c>
    </row>
    <row r="520" spans="1:9" hidden="1" x14ac:dyDescent="0.3">
      <c r="A520" t="s">
        <v>36</v>
      </c>
      <c r="B520" t="s">
        <v>92</v>
      </c>
      <c r="C520" t="s">
        <v>1596</v>
      </c>
      <c r="D520">
        <v>64146.49</v>
      </c>
      <c r="E520">
        <v>101756</v>
      </c>
      <c r="F520">
        <v>173249.49</v>
      </c>
      <c r="G520">
        <v>137758.99</v>
      </c>
      <c r="H520">
        <v>120814.42</v>
      </c>
      <c r="I520">
        <v>69201.03</v>
      </c>
    </row>
    <row r="521" spans="1:9" hidden="1" x14ac:dyDescent="0.3">
      <c r="A521" t="s">
        <v>36</v>
      </c>
      <c r="B521" t="s">
        <v>92</v>
      </c>
      <c r="C521" t="s">
        <v>1597</v>
      </c>
      <c r="D521">
        <v>3512480.17</v>
      </c>
      <c r="E521">
        <v>3206220</v>
      </c>
      <c r="F521">
        <v>3223520.33</v>
      </c>
      <c r="G521">
        <v>2462599.71</v>
      </c>
      <c r="H521">
        <v>1924170.91</v>
      </c>
      <c r="I521">
        <v>1261817.76</v>
      </c>
    </row>
    <row r="522" spans="1:9" hidden="1" x14ac:dyDescent="0.3">
      <c r="A522" t="s">
        <v>36</v>
      </c>
      <c r="B522" t="s">
        <v>92</v>
      </c>
      <c r="C522" t="s">
        <v>1598</v>
      </c>
      <c r="D522">
        <v>106868.18</v>
      </c>
      <c r="E522">
        <v>110661.17</v>
      </c>
      <c r="F522">
        <v>101326.83</v>
      </c>
      <c r="G522">
        <v>103978.5</v>
      </c>
      <c r="H522">
        <v>102979.61</v>
      </c>
      <c r="I522">
        <v>88587.07</v>
      </c>
    </row>
    <row r="523" spans="1:9" hidden="1" x14ac:dyDescent="0.3">
      <c r="A523" t="s">
        <v>36</v>
      </c>
      <c r="B523" t="s">
        <v>92</v>
      </c>
      <c r="C523" t="s">
        <v>1599</v>
      </c>
      <c r="D523">
        <v>66186.55</v>
      </c>
      <c r="E523">
        <v>69972.990000000005</v>
      </c>
      <c r="F523">
        <v>64799.839999999997</v>
      </c>
      <c r="G523">
        <v>102528.92</v>
      </c>
      <c r="H523">
        <v>101556.92</v>
      </c>
      <c r="I523">
        <v>86069.45</v>
      </c>
    </row>
    <row r="524" spans="1:9" hidden="1" x14ac:dyDescent="0.3">
      <c r="A524" t="s">
        <v>36</v>
      </c>
      <c r="B524" t="s">
        <v>92</v>
      </c>
      <c r="C524" t="s">
        <v>1644</v>
      </c>
      <c r="D524">
        <v>39762.480000000003</v>
      </c>
      <c r="E524">
        <v>39054.97</v>
      </c>
      <c r="F524">
        <v>35331.74</v>
      </c>
      <c r="G524">
        <v>873.6</v>
      </c>
      <c r="H524">
        <v>873.6</v>
      </c>
      <c r="I524">
        <v>1968.53</v>
      </c>
    </row>
    <row r="525" spans="1:9" hidden="1" x14ac:dyDescent="0.3">
      <c r="A525" t="s">
        <v>36</v>
      </c>
      <c r="B525" t="s">
        <v>92</v>
      </c>
      <c r="C525" t="s">
        <v>1645</v>
      </c>
      <c r="D525">
        <v>39762.480000000003</v>
      </c>
      <c r="E525">
        <v>39054.97</v>
      </c>
      <c r="F525">
        <v>35331.74</v>
      </c>
      <c r="G525">
        <v>873.6</v>
      </c>
      <c r="H525">
        <v>873.6</v>
      </c>
      <c r="I525">
        <v>1968.53</v>
      </c>
    </row>
    <row r="526" spans="1:9" hidden="1" x14ac:dyDescent="0.3">
      <c r="A526" t="s">
        <v>36</v>
      </c>
      <c r="B526" t="s">
        <v>92</v>
      </c>
      <c r="C526" t="s">
        <v>1630</v>
      </c>
      <c r="D526">
        <v>919.15</v>
      </c>
      <c r="E526">
        <v>1633.21</v>
      </c>
      <c r="F526">
        <v>1195.25</v>
      </c>
      <c r="G526">
        <v>575.98</v>
      </c>
      <c r="H526">
        <v>549.09</v>
      </c>
      <c r="I526">
        <v>549.09</v>
      </c>
    </row>
    <row r="527" spans="1:9" hidden="1" x14ac:dyDescent="0.3">
      <c r="A527" t="s">
        <v>36</v>
      </c>
      <c r="B527" t="s">
        <v>92</v>
      </c>
      <c r="C527" t="s">
        <v>1602</v>
      </c>
      <c r="D527">
        <v>3405611.99</v>
      </c>
      <c r="E527">
        <v>3095551.72</v>
      </c>
      <c r="F527">
        <v>3122193.51</v>
      </c>
      <c r="G527">
        <v>2358621.2200000002</v>
      </c>
      <c r="H527">
        <v>1821191.29</v>
      </c>
      <c r="I527">
        <v>1173230.68</v>
      </c>
    </row>
    <row r="528" spans="1:9" hidden="1" x14ac:dyDescent="0.3">
      <c r="A528" t="s">
        <v>36</v>
      </c>
      <c r="B528" t="s">
        <v>92</v>
      </c>
      <c r="C528" t="s">
        <v>1603</v>
      </c>
      <c r="D528">
        <v>465964.14</v>
      </c>
      <c r="E528">
        <v>517850.13</v>
      </c>
      <c r="F528">
        <v>437201.52</v>
      </c>
      <c r="G528">
        <v>95185.75</v>
      </c>
      <c r="H528">
        <v>171284.66</v>
      </c>
      <c r="I528">
        <v>86103.93</v>
      </c>
    </row>
    <row r="529" spans="1:9" hidden="1" x14ac:dyDescent="0.3">
      <c r="A529" t="s">
        <v>36</v>
      </c>
      <c r="B529" t="s">
        <v>92</v>
      </c>
      <c r="C529" t="s">
        <v>1631</v>
      </c>
      <c r="D529">
        <v>536965.21</v>
      </c>
      <c r="E529">
        <v>558677</v>
      </c>
      <c r="F529">
        <v>491674.69</v>
      </c>
      <c r="G529">
        <v>281167.64</v>
      </c>
      <c r="H529">
        <v>306170.49</v>
      </c>
      <c r="I529">
        <v>311118.34999999998</v>
      </c>
    </row>
    <row r="530" spans="1:9" hidden="1" x14ac:dyDescent="0.3">
      <c r="A530" t="s">
        <v>36</v>
      </c>
      <c r="B530" t="s">
        <v>92</v>
      </c>
      <c r="C530" t="s">
        <v>1604</v>
      </c>
      <c r="D530">
        <v>12363.16</v>
      </c>
      <c r="E530">
        <v>34005.839999999997</v>
      </c>
      <c r="F530">
        <v>32190.57</v>
      </c>
      <c r="G530">
        <v>2682.19</v>
      </c>
      <c r="H530">
        <v>2974.95</v>
      </c>
      <c r="I530">
        <v>3157.26</v>
      </c>
    </row>
    <row r="531" spans="1:9" hidden="1" x14ac:dyDescent="0.3">
      <c r="A531" t="s">
        <v>36</v>
      </c>
      <c r="B531" t="s">
        <v>92</v>
      </c>
      <c r="C531" t="s">
        <v>1633</v>
      </c>
      <c r="D531">
        <v>-128874.07</v>
      </c>
      <c r="E531">
        <v>-146077</v>
      </c>
      <c r="F531">
        <v>-132865.93</v>
      </c>
      <c r="G531">
        <v>-225068</v>
      </c>
      <c r="H531">
        <v>-163169.44</v>
      </c>
      <c r="I531">
        <v>-248297.75</v>
      </c>
    </row>
    <row r="532" spans="1:9" hidden="1" x14ac:dyDescent="0.3">
      <c r="A532" t="s">
        <v>36</v>
      </c>
      <c r="B532" t="s">
        <v>92</v>
      </c>
      <c r="C532" t="s">
        <v>1634</v>
      </c>
      <c r="D532">
        <v>45509.84</v>
      </c>
      <c r="E532">
        <v>71244.27</v>
      </c>
      <c r="F532">
        <v>46202.19</v>
      </c>
      <c r="G532">
        <v>36403.919999999998</v>
      </c>
      <c r="H532">
        <v>25308.66</v>
      </c>
      <c r="I532">
        <v>20126.07</v>
      </c>
    </row>
    <row r="533" spans="1:9" hidden="1" x14ac:dyDescent="0.3">
      <c r="A533" t="s">
        <v>36</v>
      </c>
      <c r="B533" t="s">
        <v>92</v>
      </c>
      <c r="C533" t="s">
        <v>1635</v>
      </c>
      <c r="D533">
        <v>19649.96</v>
      </c>
      <c r="E533">
        <v>40346.870000000003</v>
      </c>
      <c r="F533">
        <v>74198.5</v>
      </c>
      <c r="G533">
        <v>56220.47</v>
      </c>
      <c r="H533">
        <v>49685.66</v>
      </c>
      <c r="I533">
        <v>19203.36</v>
      </c>
    </row>
    <row r="534" spans="1:9" hidden="1" x14ac:dyDescent="0.3">
      <c r="A534" t="s">
        <v>36</v>
      </c>
      <c r="B534" t="s">
        <v>92</v>
      </c>
      <c r="C534" t="s">
        <v>1605</v>
      </c>
      <c r="D534">
        <v>2779217.09</v>
      </c>
      <c r="E534">
        <v>2468610</v>
      </c>
      <c r="F534">
        <v>2577011.34</v>
      </c>
      <c r="G534">
        <v>1840919.54</v>
      </c>
      <c r="H534">
        <v>835746.93</v>
      </c>
      <c r="I534">
        <v>787889.74</v>
      </c>
    </row>
    <row r="535" spans="1:9" hidden="1" x14ac:dyDescent="0.3">
      <c r="A535" t="s">
        <v>36</v>
      </c>
      <c r="B535" t="s">
        <v>92</v>
      </c>
      <c r="C535" t="s">
        <v>1606</v>
      </c>
      <c r="D535">
        <v>140780.79999999999</v>
      </c>
      <c r="E535">
        <v>68744.72</v>
      </c>
      <c r="F535">
        <v>33782.14</v>
      </c>
      <c r="G535">
        <v>366295.46</v>
      </c>
      <c r="H535">
        <v>764474.05</v>
      </c>
      <c r="I535">
        <v>280033.65000000002</v>
      </c>
    </row>
    <row r="536" spans="1:9" hidden="1" x14ac:dyDescent="0.3">
      <c r="A536" t="s">
        <v>36</v>
      </c>
      <c r="B536" t="s">
        <v>92</v>
      </c>
      <c r="C536" t="s">
        <v>1608</v>
      </c>
      <c r="D536">
        <v>3512480.17</v>
      </c>
      <c r="E536">
        <v>3206218</v>
      </c>
      <c r="F536">
        <v>3223520.33</v>
      </c>
      <c r="G536">
        <v>2462599.71</v>
      </c>
      <c r="H536">
        <v>1924170.91</v>
      </c>
      <c r="I536">
        <v>1261817.76</v>
      </c>
    </row>
    <row r="537" spans="1:9" hidden="1" x14ac:dyDescent="0.3">
      <c r="A537" t="s">
        <v>36</v>
      </c>
      <c r="B537" t="s">
        <v>92</v>
      </c>
      <c r="C537" t="s">
        <v>1609</v>
      </c>
      <c r="D537">
        <v>322845.86</v>
      </c>
      <c r="E537">
        <v>355158</v>
      </c>
      <c r="F537">
        <v>413939.42</v>
      </c>
      <c r="G537">
        <v>373448.45</v>
      </c>
      <c r="H537">
        <v>301503.88</v>
      </c>
      <c r="I537">
        <v>227634.35</v>
      </c>
    </row>
    <row r="538" spans="1:9" hidden="1" x14ac:dyDescent="0.3">
      <c r="A538" t="s">
        <v>36</v>
      </c>
      <c r="B538" t="s">
        <v>92</v>
      </c>
      <c r="C538" t="s">
        <v>1610</v>
      </c>
      <c r="D538">
        <v>322845.86</v>
      </c>
      <c r="E538">
        <v>355158</v>
      </c>
      <c r="F538">
        <v>413939.42</v>
      </c>
      <c r="G538">
        <v>373448.45</v>
      </c>
      <c r="H538">
        <v>301503.88</v>
      </c>
      <c r="I538">
        <v>227634.35</v>
      </c>
    </row>
    <row r="539" spans="1:9" hidden="1" x14ac:dyDescent="0.3">
      <c r="A539" t="s">
        <v>36</v>
      </c>
      <c r="B539" t="s">
        <v>92</v>
      </c>
      <c r="C539" t="s">
        <v>1611</v>
      </c>
      <c r="D539">
        <v>9318.9699999999993</v>
      </c>
      <c r="E539">
        <v>9318.9699999999993</v>
      </c>
      <c r="F539">
        <v>9318.9699999999993</v>
      </c>
      <c r="G539">
        <v>9318.9699999999993</v>
      </c>
      <c r="H539">
        <v>9318.9699999999993</v>
      </c>
      <c r="I539">
        <v>9318.9699999999993</v>
      </c>
    </row>
    <row r="540" spans="1:9" hidden="1" x14ac:dyDescent="0.3">
      <c r="A540" t="s">
        <v>36</v>
      </c>
      <c r="B540" t="s">
        <v>92</v>
      </c>
      <c r="C540" t="s">
        <v>1636</v>
      </c>
      <c r="D540">
        <v>19013.900000000001</v>
      </c>
      <c r="E540">
        <v>19013.900000000001</v>
      </c>
      <c r="F540">
        <v>19013.900000000001</v>
      </c>
      <c r="G540">
        <v>19013.900000000001</v>
      </c>
      <c r="H540">
        <v>19013.900000000001</v>
      </c>
      <c r="I540">
        <v>19013.900000000001</v>
      </c>
    </row>
    <row r="541" spans="1:9" hidden="1" x14ac:dyDescent="0.3">
      <c r="A541" t="s">
        <v>36</v>
      </c>
      <c r="B541" t="s">
        <v>92</v>
      </c>
      <c r="C541" t="s">
        <v>1612</v>
      </c>
      <c r="D541">
        <v>165542.71</v>
      </c>
      <c r="E541">
        <v>160245</v>
      </c>
      <c r="F541">
        <v>157745.45000000001</v>
      </c>
      <c r="G541">
        <v>152744.98000000001</v>
      </c>
      <c r="H541">
        <v>97744.98</v>
      </c>
      <c r="I541">
        <v>87744.98</v>
      </c>
    </row>
    <row r="542" spans="1:9" hidden="1" x14ac:dyDescent="0.3">
      <c r="A542" t="s">
        <v>36</v>
      </c>
      <c r="B542" t="s">
        <v>92</v>
      </c>
      <c r="C542" t="s">
        <v>1614</v>
      </c>
      <c r="D542">
        <v>64146.49</v>
      </c>
      <c r="E542">
        <v>101756</v>
      </c>
      <c r="F542">
        <v>173249.49</v>
      </c>
      <c r="G542">
        <v>137758.99</v>
      </c>
      <c r="H542">
        <v>120814.42</v>
      </c>
      <c r="I542">
        <v>69201.03</v>
      </c>
    </row>
    <row r="543" spans="1:9" hidden="1" x14ac:dyDescent="0.3">
      <c r="A543" t="s">
        <v>36</v>
      </c>
      <c r="B543" t="s">
        <v>92</v>
      </c>
      <c r="C543" t="s">
        <v>1642</v>
      </c>
      <c r="D543">
        <v>64823.78</v>
      </c>
      <c r="E543">
        <v>64823.78</v>
      </c>
      <c r="F543">
        <v>54611.6</v>
      </c>
      <c r="G543">
        <v>54611.6</v>
      </c>
      <c r="H543">
        <v>54611.6</v>
      </c>
      <c r="I543">
        <v>42355.46</v>
      </c>
    </row>
    <row r="544" spans="1:9" hidden="1" x14ac:dyDescent="0.3">
      <c r="A544" t="s">
        <v>36</v>
      </c>
      <c r="B544" t="s">
        <v>92</v>
      </c>
      <c r="C544" t="s">
        <v>1615</v>
      </c>
      <c r="D544">
        <v>3189634.31</v>
      </c>
      <c r="E544">
        <v>2851060</v>
      </c>
      <c r="F544">
        <v>2809580.91</v>
      </c>
      <c r="G544">
        <v>2089151.26</v>
      </c>
      <c r="H544">
        <v>1622667.03</v>
      </c>
      <c r="I544">
        <v>1034183.41</v>
      </c>
    </row>
    <row r="545" spans="1:9" hidden="1" x14ac:dyDescent="0.3">
      <c r="A545" t="s">
        <v>36</v>
      </c>
      <c r="B545" t="s">
        <v>92</v>
      </c>
      <c r="C545" t="s">
        <v>1616</v>
      </c>
      <c r="D545">
        <v>1681038.94</v>
      </c>
      <c r="E545">
        <v>1547632.13</v>
      </c>
      <c r="F545">
        <v>1308884.3400000001</v>
      </c>
      <c r="G545">
        <v>1010339.86</v>
      </c>
      <c r="H545">
        <v>604893.54</v>
      </c>
      <c r="I545">
        <v>43276.25</v>
      </c>
    </row>
    <row r="546" spans="1:9" hidden="1" x14ac:dyDescent="0.3">
      <c r="A546" t="s">
        <v>36</v>
      </c>
      <c r="B546" t="s">
        <v>92</v>
      </c>
      <c r="C546" t="s">
        <v>1617</v>
      </c>
      <c r="D546">
        <v>1680893.38</v>
      </c>
      <c r="E546">
        <v>1547510</v>
      </c>
      <c r="F546">
        <v>1308851.3799999999</v>
      </c>
      <c r="G546">
        <v>1010124.38</v>
      </c>
      <c r="H546">
        <v>604291.54</v>
      </c>
      <c r="I546">
        <v>42671.88</v>
      </c>
    </row>
    <row r="547" spans="1:9" hidden="1" x14ac:dyDescent="0.3">
      <c r="A547" t="s">
        <v>36</v>
      </c>
      <c r="B547" t="s">
        <v>92</v>
      </c>
      <c r="C547" t="s">
        <v>1618</v>
      </c>
      <c r="D547">
        <v>145.56</v>
      </c>
      <c r="E547">
        <v>122.13</v>
      </c>
      <c r="F547">
        <v>32.96</v>
      </c>
      <c r="G547">
        <v>215.48</v>
      </c>
      <c r="H547">
        <v>602</v>
      </c>
      <c r="I547">
        <v>604.37</v>
      </c>
    </row>
    <row r="548" spans="1:9" hidden="1" x14ac:dyDescent="0.3">
      <c r="A548" t="s">
        <v>36</v>
      </c>
      <c r="B548" t="s">
        <v>92</v>
      </c>
      <c r="C548" t="s">
        <v>1619</v>
      </c>
      <c r="D548">
        <v>1508595.38</v>
      </c>
      <c r="E548">
        <v>1303419.92</v>
      </c>
      <c r="F548">
        <v>1500696.56</v>
      </c>
      <c r="G548">
        <v>1078811.4099999999</v>
      </c>
      <c r="H548">
        <v>1017773.49</v>
      </c>
      <c r="I548">
        <v>990907.16</v>
      </c>
    </row>
    <row r="549" spans="1:9" hidden="1" x14ac:dyDescent="0.3">
      <c r="A549" t="s">
        <v>36</v>
      </c>
      <c r="B549" t="s">
        <v>92</v>
      </c>
      <c r="C549" t="s">
        <v>1620</v>
      </c>
      <c r="D549">
        <v>1282704.25</v>
      </c>
      <c r="E549">
        <v>1086740</v>
      </c>
      <c r="F549">
        <v>1330586.72</v>
      </c>
      <c r="G549">
        <v>916908.52</v>
      </c>
      <c r="H549">
        <v>627957.93000000005</v>
      </c>
      <c r="I549">
        <v>936023.57</v>
      </c>
    </row>
    <row r="550" spans="1:9" hidden="1" x14ac:dyDescent="0.3">
      <c r="A550" t="s">
        <v>36</v>
      </c>
      <c r="B550" t="s">
        <v>92</v>
      </c>
      <c r="C550" t="s">
        <v>1621</v>
      </c>
      <c r="D550">
        <v>899865.28</v>
      </c>
      <c r="E550">
        <v>782019</v>
      </c>
      <c r="F550">
        <v>956272.63</v>
      </c>
      <c r="G550">
        <v>852472.07</v>
      </c>
      <c r="H550">
        <v>556302.57999999996</v>
      </c>
      <c r="I550">
        <v>883034.71</v>
      </c>
    </row>
    <row r="551" spans="1:9" hidden="1" x14ac:dyDescent="0.3">
      <c r="A551" t="s">
        <v>36</v>
      </c>
      <c r="B551" t="s">
        <v>92</v>
      </c>
      <c r="C551" t="s">
        <v>1622</v>
      </c>
      <c r="D551">
        <v>382838.97</v>
      </c>
      <c r="E551">
        <v>304723.31</v>
      </c>
      <c r="F551">
        <v>374314.09</v>
      </c>
      <c r="G551">
        <v>64436.44</v>
      </c>
      <c r="H551">
        <v>71655.350000000006</v>
      </c>
      <c r="I551">
        <v>52988.86</v>
      </c>
    </row>
    <row r="552" spans="1:9" hidden="1" x14ac:dyDescent="0.3">
      <c r="A552" t="s">
        <v>36</v>
      </c>
      <c r="B552" t="s">
        <v>92</v>
      </c>
      <c r="C552" t="s">
        <v>1617</v>
      </c>
      <c r="D552">
        <v>12571.65</v>
      </c>
      <c r="E552">
        <v>13219.41</v>
      </c>
      <c r="F552">
        <v>11182.74</v>
      </c>
      <c r="G552">
        <v>9563.2999999999993</v>
      </c>
      <c r="H552">
        <v>299786.33</v>
      </c>
      <c r="I552">
        <v>11090.52</v>
      </c>
    </row>
    <row r="553" spans="1:9" hidden="1" x14ac:dyDescent="0.3">
      <c r="A553" t="s">
        <v>36</v>
      </c>
      <c r="B553" t="s">
        <v>92</v>
      </c>
      <c r="C553" t="s">
        <v>1623</v>
      </c>
      <c r="D553">
        <v>146688.57999999999</v>
      </c>
      <c r="E553">
        <v>131209.87</v>
      </c>
      <c r="F553">
        <v>49248.17</v>
      </c>
      <c r="G553">
        <v>82532.33</v>
      </c>
      <c r="H553">
        <v>24579.13</v>
      </c>
      <c r="I553">
        <v>1513.85</v>
      </c>
    </row>
    <row r="554" spans="1:9" hidden="1" x14ac:dyDescent="0.3">
      <c r="A554" t="s">
        <v>36</v>
      </c>
      <c r="B554" t="s">
        <v>92</v>
      </c>
      <c r="C554" t="s">
        <v>1640</v>
      </c>
      <c r="D554">
        <v>66630.899999999994</v>
      </c>
      <c r="E554">
        <v>72250.64</v>
      </c>
      <c r="F554">
        <v>109678.93</v>
      </c>
      <c r="G554">
        <v>69807.259999999995</v>
      </c>
      <c r="H554">
        <v>65450.1</v>
      </c>
      <c r="I554">
        <v>42279.22</v>
      </c>
    </row>
    <row r="555" spans="1:9" x14ac:dyDescent="0.3">
      <c r="A555" t="s">
        <v>5</v>
      </c>
      <c r="B555" t="s">
        <v>92</v>
      </c>
      <c r="C555" t="s">
        <v>1575</v>
      </c>
      <c r="D555">
        <v>11370698.98</v>
      </c>
      <c r="E555">
        <v>10367524.26</v>
      </c>
      <c r="F555">
        <v>8565360.6500000004</v>
      </c>
      <c r="G555">
        <v>7149457.8799999999</v>
      </c>
      <c r="H555">
        <v>5305091.5599999996</v>
      </c>
      <c r="I555">
        <v>3964937.47</v>
      </c>
    </row>
    <row r="556" spans="1:9" x14ac:dyDescent="0.3">
      <c r="A556" t="s">
        <v>5</v>
      </c>
      <c r="B556" t="s">
        <v>92</v>
      </c>
      <c r="C556" t="s">
        <v>1624</v>
      </c>
      <c r="D556">
        <v>11370698.98</v>
      </c>
      <c r="E556">
        <v>10367524.26</v>
      </c>
      <c r="F556">
        <v>8565360.6500000004</v>
      </c>
      <c r="G556">
        <v>7149457.8799999999</v>
      </c>
      <c r="H556">
        <v>5305091.5599999996</v>
      </c>
      <c r="I556">
        <v>3964937.47</v>
      </c>
    </row>
    <row r="557" spans="1:9" x14ac:dyDescent="0.3">
      <c r="A557" t="s">
        <v>5</v>
      </c>
      <c r="B557" t="s">
        <v>92</v>
      </c>
      <c r="C557" t="s">
        <v>1577</v>
      </c>
      <c r="D557">
        <v>269.93</v>
      </c>
      <c r="E557">
        <v>683.56</v>
      </c>
      <c r="F557">
        <v>297.52</v>
      </c>
      <c r="G557">
        <v>225.69</v>
      </c>
      <c r="H557">
        <v>232.83</v>
      </c>
      <c r="I557">
        <v>213.18</v>
      </c>
    </row>
    <row r="558" spans="1:9" x14ac:dyDescent="0.3">
      <c r="A558" t="s">
        <v>5</v>
      </c>
      <c r="B558" t="s">
        <v>92</v>
      </c>
      <c r="C558" t="s">
        <v>1578</v>
      </c>
      <c r="D558">
        <v>147904.67000000001</v>
      </c>
      <c r="E558">
        <v>161396.04</v>
      </c>
      <c r="F558">
        <v>102795.99</v>
      </c>
      <c r="G558">
        <v>86236.3</v>
      </c>
      <c r="H558">
        <v>51735.82</v>
      </c>
      <c r="I558">
        <v>58427.57</v>
      </c>
    </row>
    <row r="559" spans="1:9" x14ac:dyDescent="0.3">
      <c r="A559" t="s">
        <v>5</v>
      </c>
      <c r="B559" t="s">
        <v>92</v>
      </c>
      <c r="C559" t="s">
        <v>1625</v>
      </c>
      <c r="D559">
        <v>350921.24</v>
      </c>
      <c r="E559">
        <v>321134.96000000002</v>
      </c>
      <c r="F559">
        <v>176100.31</v>
      </c>
      <c r="G559">
        <v>133317.63</v>
      </c>
      <c r="H559">
        <v>109999.49</v>
      </c>
      <c r="I559">
        <v>95510.36</v>
      </c>
    </row>
    <row r="560" spans="1:9" x14ac:dyDescent="0.3">
      <c r="A560" t="s">
        <v>5</v>
      </c>
      <c r="B560" t="s">
        <v>92</v>
      </c>
      <c r="C560" t="s">
        <v>1626</v>
      </c>
      <c r="D560">
        <v>1657.89</v>
      </c>
      <c r="E560">
        <v>3714.72</v>
      </c>
      <c r="F560">
        <v>1482.42</v>
      </c>
      <c r="G560">
        <v>1524.17</v>
      </c>
      <c r="H560">
        <v>516.74</v>
      </c>
      <c r="I560">
        <v>1828.83</v>
      </c>
    </row>
    <row r="561" spans="1:9" x14ac:dyDescent="0.3">
      <c r="A561" t="s">
        <v>5</v>
      </c>
      <c r="B561" t="s">
        <v>92</v>
      </c>
      <c r="C561" t="s">
        <v>1627</v>
      </c>
      <c r="D561">
        <v>-3741.32</v>
      </c>
      <c r="E561">
        <v>-3357.96</v>
      </c>
      <c r="F561">
        <v>-2357.33</v>
      </c>
      <c r="G561">
        <v>-764.71</v>
      </c>
      <c r="H561">
        <v>-558.61</v>
      </c>
      <c r="I561">
        <v>-463.58</v>
      </c>
    </row>
    <row r="562" spans="1:9" x14ac:dyDescent="0.3">
      <c r="A562" t="s">
        <v>5</v>
      </c>
      <c r="B562" t="s">
        <v>92</v>
      </c>
      <c r="C562" t="s">
        <v>1576</v>
      </c>
      <c r="D562">
        <v>11636073.26</v>
      </c>
      <c r="E562">
        <v>10097319.32</v>
      </c>
      <c r="F562">
        <v>8683309.8399999999</v>
      </c>
      <c r="G562">
        <v>6760520.7699999996</v>
      </c>
      <c r="H562">
        <v>4901269.5599999996</v>
      </c>
      <c r="I562">
        <v>3703637.14</v>
      </c>
    </row>
    <row r="563" spans="1:9" x14ac:dyDescent="0.3">
      <c r="A563" t="s">
        <v>5</v>
      </c>
      <c r="B563" t="s">
        <v>92</v>
      </c>
      <c r="C563" t="s">
        <v>1579</v>
      </c>
      <c r="D563">
        <v>59163.57</v>
      </c>
      <c r="E563">
        <v>147336.62</v>
      </c>
      <c r="F563">
        <v>91680.18</v>
      </c>
      <c r="G563">
        <v>56841.49</v>
      </c>
      <c r="H563">
        <v>92805.27</v>
      </c>
      <c r="I563">
        <v>50608.6</v>
      </c>
    </row>
    <row r="564" spans="1:9" x14ac:dyDescent="0.3">
      <c r="A564" t="s">
        <v>5</v>
      </c>
      <c r="B564" t="s">
        <v>92</v>
      </c>
      <c r="C564" t="s">
        <v>1583</v>
      </c>
      <c r="D564">
        <v>-829032.91</v>
      </c>
      <c r="E564">
        <v>-367418.92</v>
      </c>
      <c r="F564">
        <v>-492736.08</v>
      </c>
      <c r="G564">
        <v>95431.679999999993</v>
      </c>
      <c r="H564">
        <v>134877.76999999999</v>
      </c>
      <c r="I564">
        <v>54248.21</v>
      </c>
    </row>
    <row r="565" spans="1:9" x14ac:dyDescent="0.3">
      <c r="A565" t="s">
        <v>5</v>
      </c>
      <c r="B565" t="s">
        <v>92</v>
      </c>
      <c r="C565" t="s">
        <v>1584</v>
      </c>
      <c r="D565">
        <v>-769869.34</v>
      </c>
      <c r="E565">
        <v>-220082.29</v>
      </c>
      <c r="F565">
        <v>-401055.9</v>
      </c>
      <c r="G565">
        <v>152273.18</v>
      </c>
      <c r="H565">
        <v>227683.04</v>
      </c>
      <c r="I565">
        <v>104856.81</v>
      </c>
    </row>
    <row r="566" spans="1:9" x14ac:dyDescent="0.3">
      <c r="A566" t="s">
        <v>5</v>
      </c>
      <c r="B566" t="s">
        <v>92</v>
      </c>
      <c r="C566" t="s">
        <v>1585</v>
      </c>
      <c r="D566">
        <v>-89581.13</v>
      </c>
      <c r="E566">
        <v>-73138.22</v>
      </c>
      <c r="F566">
        <v>-66419.77</v>
      </c>
      <c r="G566">
        <v>-55111.63</v>
      </c>
      <c r="H566">
        <v>-43927.65</v>
      </c>
      <c r="I566">
        <v>-30353.51</v>
      </c>
    </row>
    <row r="567" spans="1:9" x14ac:dyDescent="0.3">
      <c r="A567" t="s">
        <v>5</v>
      </c>
      <c r="B567" t="s">
        <v>92</v>
      </c>
      <c r="C567" t="s">
        <v>1588</v>
      </c>
      <c r="D567">
        <v>89581.13</v>
      </c>
      <c r="E567">
        <v>73138.22</v>
      </c>
      <c r="F567">
        <v>66419.77</v>
      </c>
      <c r="G567">
        <v>55111.63</v>
      </c>
      <c r="H567">
        <v>43927.65</v>
      </c>
      <c r="I567">
        <v>30353.51</v>
      </c>
    </row>
    <row r="568" spans="1:9" x14ac:dyDescent="0.3">
      <c r="A568" t="s">
        <v>5</v>
      </c>
      <c r="B568" t="s">
        <v>92</v>
      </c>
      <c r="C568" t="s">
        <v>1628</v>
      </c>
      <c r="D568">
        <v>37540.75</v>
      </c>
      <c r="E568">
        <v>52674.87</v>
      </c>
      <c r="F568">
        <v>42654.47</v>
      </c>
      <c r="G568">
        <v>34448.11</v>
      </c>
      <c r="H568">
        <v>43927.65</v>
      </c>
      <c r="I568">
        <v>30353.51</v>
      </c>
    </row>
    <row r="569" spans="1:9" x14ac:dyDescent="0.3">
      <c r="A569" t="s">
        <v>5</v>
      </c>
      <c r="B569" t="s">
        <v>92</v>
      </c>
      <c r="C569" t="s">
        <v>1589</v>
      </c>
      <c r="D569">
        <v>52040.38</v>
      </c>
      <c r="E569">
        <v>20463.349999999999</v>
      </c>
      <c r="F569">
        <v>23765.3</v>
      </c>
      <c r="G569">
        <v>0</v>
      </c>
      <c r="H569">
        <v>0</v>
      </c>
      <c r="I569">
        <v>0</v>
      </c>
    </row>
    <row r="570" spans="1:9" x14ac:dyDescent="0.3">
      <c r="A570" t="s">
        <v>5</v>
      </c>
      <c r="B570" t="s">
        <v>92</v>
      </c>
      <c r="C570" t="s">
        <v>1590</v>
      </c>
      <c r="D570">
        <v>232226.58</v>
      </c>
      <c r="E570">
        <v>224153.35</v>
      </c>
      <c r="F570">
        <v>125445.48</v>
      </c>
      <c r="G570">
        <v>47029.09</v>
      </c>
      <c r="H570">
        <v>27424.080000000002</v>
      </c>
      <c r="I570">
        <v>17556.88</v>
      </c>
    </row>
    <row r="571" spans="1:9" x14ac:dyDescent="0.3">
      <c r="A571" t="s">
        <v>5</v>
      </c>
      <c r="B571" t="s">
        <v>92</v>
      </c>
      <c r="C571" t="s">
        <v>1591</v>
      </c>
      <c r="D571">
        <v>262501.24</v>
      </c>
      <c r="E571">
        <v>255899.96</v>
      </c>
      <c r="F571">
        <v>155167.73000000001</v>
      </c>
      <c r="G571">
        <v>72660.58</v>
      </c>
      <c r="H571">
        <v>58087.48</v>
      </c>
      <c r="I571">
        <v>39012.54</v>
      </c>
    </row>
    <row r="572" spans="1:9" x14ac:dyDescent="0.3">
      <c r="A572" t="s">
        <v>5</v>
      </c>
      <c r="B572" t="s">
        <v>92</v>
      </c>
      <c r="C572" t="s">
        <v>1592</v>
      </c>
      <c r="D572">
        <v>30274.65</v>
      </c>
      <c r="E572">
        <v>31746.61</v>
      </c>
      <c r="F572">
        <v>29722.25</v>
      </c>
      <c r="G572">
        <v>25631.49</v>
      </c>
      <c r="H572">
        <v>30663.4</v>
      </c>
      <c r="I572">
        <v>21455.65</v>
      </c>
    </row>
    <row r="573" spans="1:9" x14ac:dyDescent="0.3">
      <c r="A573" t="s">
        <v>5</v>
      </c>
      <c r="B573" t="s">
        <v>92</v>
      </c>
      <c r="C573" t="s">
        <v>1593</v>
      </c>
      <c r="D573">
        <v>-686387.46</v>
      </c>
      <c r="E573">
        <v>-216403.79</v>
      </c>
      <c r="F573">
        <v>-433710.37</v>
      </c>
      <c r="G573">
        <v>87349.14</v>
      </c>
      <c r="H573">
        <v>118374.19</v>
      </c>
      <c r="I573">
        <v>41451.58</v>
      </c>
    </row>
    <row r="574" spans="1:9" x14ac:dyDescent="0.3">
      <c r="A574" t="s">
        <v>5</v>
      </c>
      <c r="B574" t="s">
        <v>92</v>
      </c>
      <c r="C574" t="s">
        <v>1594</v>
      </c>
      <c r="D574">
        <v>-243034.31</v>
      </c>
      <c r="E574">
        <v>70019.19</v>
      </c>
      <c r="F574">
        <v>138342.63</v>
      </c>
      <c r="G574">
        <v>-20854.810000000001</v>
      </c>
      <c r="H574">
        <v>-40425.089999999997</v>
      </c>
      <c r="I574">
        <v>-15863.5</v>
      </c>
    </row>
    <row r="575" spans="1:9" x14ac:dyDescent="0.3">
      <c r="A575" t="s">
        <v>5</v>
      </c>
      <c r="B575" t="s">
        <v>92</v>
      </c>
      <c r="C575" t="s">
        <v>1595</v>
      </c>
      <c r="D575">
        <v>-929421.77</v>
      </c>
      <c r="E575">
        <v>-146384.6</v>
      </c>
      <c r="F575">
        <v>-295367.73</v>
      </c>
      <c r="G575">
        <v>66494.33</v>
      </c>
      <c r="H575">
        <v>77949.100000000006</v>
      </c>
      <c r="I575">
        <v>25588.07</v>
      </c>
    </row>
    <row r="576" spans="1:9" x14ac:dyDescent="0.3">
      <c r="A576" t="s">
        <v>5</v>
      </c>
      <c r="B576" t="s">
        <v>92</v>
      </c>
      <c r="C576" t="s">
        <v>1596</v>
      </c>
      <c r="D576">
        <v>-929421.77</v>
      </c>
      <c r="E576">
        <v>-146384.6</v>
      </c>
      <c r="F576">
        <v>-295367.73</v>
      </c>
      <c r="G576">
        <v>66494.33</v>
      </c>
      <c r="H576">
        <v>77949.100000000006</v>
      </c>
      <c r="I576">
        <v>25588.07</v>
      </c>
    </row>
    <row r="577" spans="1:9" x14ac:dyDescent="0.3">
      <c r="A577" t="s">
        <v>5</v>
      </c>
      <c r="B577" t="s">
        <v>92</v>
      </c>
      <c r="C577" t="s">
        <v>1597</v>
      </c>
      <c r="D577">
        <v>2255814.71</v>
      </c>
      <c r="E577">
        <v>2686151.83</v>
      </c>
      <c r="F577">
        <v>2469215.7200000002</v>
      </c>
      <c r="G577">
        <v>2577187.6</v>
      </c>
      <c r="H577">
        <v>2189434.23</v>
      </c>
      <c r="I577">
        <v>2401035.59</v>
      </c>
    </row>
    <row r="578" spans="1:9" x14ac:dyDescent="0.3">
      <c r="A578" t="s">
        <v>5</v>
      </c>
      <c r="B578" t="s">
        <v>92</v>
      </c>
      <c r="C578" t="s">
        <v>1598</v>
      </c>
      <c r="D578">
        <v>141829.1</v>
      </c>
      <c r="E578">
        <v>683595.55</v>
      </c>
      <c r="F578">
        <v>573306.51</v>
      </c>
      <c r="G578">
        <v>122196.03</v>
      </c>
      <c r="H578">
        <v>80126.039999999994</v>
      </c>
      <c r="I578">
        <v>348189.22</v>
      </c>
    </row>
    <row r="579" spans="1:9" x14ac:dyDescent="0.3">
      <c r="A579" t="s">
        <v>5</v>
      </c>
      <c r="B579" t="s">
        <v>92</v>
      </c>
      <c r="C579" t="s">
        <v>1599</v>
      </c>
      <c r="D579">
        <v>13528.35</v>
      </c>
      <c r="E579">
        <v>13282.46</v>
      </c>
      <c r="F579">
        <v>29085.52</v>
      </c>
      <c r="G579">
        <v>28350.58</v>
      </c>
      <c r="H579">
        <v>29372.15</v>
      </c>
      <c r="I579">
        <v>33264.589999999997</v>
      </c>
    </row>
    <row r="580" spans="1:9" x14ac:dyDescent="0.3">
      <c r="A580" t="s">
        <v>5</v>
      </c>
      <c r="B580" t="s">
        <v>92</v>
      </c>
      <c r="C580" t="s">
        <v>1629</v>
      </c>
      <c r="D580">
        <v>44095.1</v>
      </c>
      <c r="E580">
        <v>32800.31</v>
      </c>
      <c r="F580">
        <v>23158.47</v>
      </c>
      <c r="G580">
        <v>18084.62</v>
      </c>
      <c r="H580">
        <v>15135.16</v>
      </c>
      <c r="I580">
        <v>11181.45</v>
      </c>
    </row>
    <row r="581" spans="1:9" x14ac:dyDescent="0.3">
      <c r="A581" t="s">
        <v>5</v>
      </c>
      <c r="B581" t="s">
        <v>92</v>
      </c>
      <c r="C581" t="s">
        <v>1630</v>
      </c>
      <c r="D581">
        <v>25181.64</v>
      </c>
      <c r="E581">
        <v>264441.95</v>
      </c>
      <c r="F581">
        <v>183400.74</v>
      </c>
      <c r="G581">
        <v>75760.83</v>
      </c>
      <c r="H581">
        <v>35618.730000000003</v>
      </c>
      <c r="I581">
        <v>34070.82</v>
      </c>
    </row>
    <row r="582" spans="1:9" x14ac:dyDescent="0.3">
      <c r="A582" t="s">
        <v>5</v>
      </c>
      <c r="B582" t="s">
        <v>92</v>
      </c>
      <c r="C582" t="s">
        <v>1601</v>
      </c>
      <c r="D582">
        <v>59024.01</v>
      </c>
      <c r="E582">
        <v>373070.83</v>
      </c>
      <c r="F582">
        <v>337661.78</v>
      </c>
      <c r="G582">
        <v>0</v>
      </c>
      <c r="H582">
        <v>0</v>
      </c>
      <c r="I582">
        <v>269672.34999999998</v>
      </c>
    </row>
    <row r="583" spans="1:9" x14ac:dyDescent="0.3">
      <c r="A583" t="s">
        <v>5</v>
      </c>
      <c r="B583" t="s">
        <v>92</v>
      </c>
      <c r="C583" t="s">
        <v>1602</v>
      </c>
      <c r="D583">
        <v>2113985.61</v>
      </c>
      <c r="E583">
        <v>2002556.28</v>
      </c>
      <c r="F583">
        <v>1895909.21</v>
      </c>
      <c r="G583">
        <v>2146043.4700000002</v>
      </c>
      <c r="H583">
        <v>1828097.49</v>
      </c>
      <c r="I583">
        <v>2052846.37</v>
      </c>
    </row>
    <row r="584" spans="1:9" x14ac:dyDescent="0.3">
      <c r="A584" t="s">
        <v>5</v>
      </c>
      <c r="B584" t="s">
        <v>92</v>
      </c>
      <c r="C584" t="s">
        <v>1603</v>
      </c>
      <c r="D584">
        <v>1298433.31</v>
      </c>
      <c r="E584">
        <v>1167590.32</v>
      </c>
      <c r="F584">
        <v>1005934.93</v>
      </c>
      <c r="G584">
        <v>1056094.04</v>
      </c>
      <c r="H584">
        <v>948946.24</v>
      </c>
      <c r="I584">
        <v>1506734.89</v>
      </c>
    </row>
    <row r="585" spans="1:9" x14ac:dyDescent="0.3">
      <c r="A585" t="s">
        <v>5</v>
      </c>
      <c r="B585" t="s">
        <v>92</v>
      </c>
      <c r="C585" t="s">
        <v>1631</v>
      </c>
      <c r="D585">
        <v>1612529.74</v>
      </c>
      <c r="E585">
        <v>1554460.09</v>
      </c>
      <c r="F585">
        <v>1304846.31</v>
      </c>
      <c r="G585">
        <v>1341310.45</v>
      </c>
      <c r="H585">
        <v>1187154.08</v>
      </c>
      <c r="I585">
        <v>1663275.35</v>
      </c>
    </row>
    <row r="586" spans="1:9" x14ac:dyDescent="0.3">
      <c r="A586" t="s">
        <v>5</v>
      </c>
      <c r="B586" t="s">
        <v>92</v>
      </c>
      <c r="C586" t="s">
        <v>1632</v>
      </c>
      <c r="D586">
        <v>35562.75</v>
      </c>
      <c r="E586">
        <v>48467.46</v>
      </c>
      <c r="F586">
        <v>29712.3</v>
      </c>
      <c r="G586">
        <v>35443.660000000003</v>
      </c>
      <c r="H586">
        <v>41292.57</v>
      </c>
      <c r="I586">
        <v>45241.51</v>
      </c>
    </row>
    <row r="587" spans="1:9" x14ac:dyDescent="0.3">
      <c r="A587" t="s">
        <v>5</v>
      </c>
      <c r="B587" t="s">
        <v>92</v>
      </c>
      <c r="C587" t="s">
        <v>1604</v>
      </c>
      <c r="D587">
        <v>85543.2</v>
      </c>
      <c r="E587">
        <v>20021.52</v>
      </c>
      <c r="F587">
        <v>19059.13</v>
      </c>
      <c r="G587">
        <v>7966.13</v>
      </c>
      <c r="H587">
        <v>7777.26</v>
      </c>
      <c r="I587">
        <v>5098.4799999999996</v>
      </c>
    </row>
    <row r="588" spans="1:9" x14ac:dyDescent="0.3">
      <c r="A588" t="s">
        <v>5</v>
      </c>
      <c r="B588" t="s">
        <v>92</v>
      </c>
      <c r="C588" t="s">
        <v>1633</v>
      </c>
      <c r="D588">
        <v>-455999.33</v>
      </c>
      <c r="E588">
        <v>-467828.66</v>
      </c>
      <c r="F588">
        <v>-385572.3</v>
      </c>
      <c r="G588">
        <v>-328769.84999999998</v>
      </c>
      <c r="H588">
        <v>-287315.12</v>
      </c>
      <c r="I588">
        <v>-206983.89</v>
      </c>
    </row>
    <row r="589" spans="1:9" x14ac:dyDescent="0.3">
      <c r="A589" t="s">
        <v>5</v>
      </c>
      <c r="B589" t="s">
        <v>92</v>
      </c>
      <c r="C589" t="s">
        <v>1634</v>
      </c>
      <c r="D589">
        <v>20796.96</v>
      </c>
      <c r="E589">
        <v>12469.91</v>
      </c>
      <c r="F589">
        <v>37889.49</v>
      </c>
      <c r="G589">
        <v>143.65</v>
      </c>
      <c r="H589">
        <v>37.450000000000003</v>
      </c>
      <c r="I589">
        <v>103.44</v>
      </c>
    </row>
    <row r="590" spans="1:9" x14ac:dyDescent="0.3">
      <c r="A590" t="s">
        <v>5</v>
      </c>
      <c r="B590" t="s">
        <v>92</v>
      </c>
      <c r="C590" t="s">
        <v>1635</v>
      </c>
      <c r="D590">
        <v>8654.77</v>
      </c>
      <c r="E590">
        <v>6037.44</v>
      </c>
      <c r="F590">
        <v>9835</v>
      </c>
      <c r="G590">
        <v>11445.51</v>
      </c>
      <c r="H590">
        <v>6602.54</v>
      </c>
      <c r="I590">
        <v>6099.57</v>
      </c>
    </row>
    <row r="591" spans="1:9" x14ac:dyDescent="0.3">
      <c r="A591" t="s">
        <v>5</v>
      </c>
      <c r="B591" t="s">
        <v>92</v>
      </c>
      <c r="C591" t="s">
        <v>1605</v>
      </c>
      <c r="D591">
        <v>677203.56</v>
      </c>
      <c r="E591">
        <v>618955.53</v>
      </c>
      <c r="F591">
        <v>641380.35</v>
      </c>
      <c r="G591">
        <v>211796.99</v>
      </c>
      <c r="H591">
        <v>218279.44</v>
      </c>
      <c r="I591">
        <v>200294.33</v>
      </c>
    </row>
    <row r="592" spans="1:9" x14ac:dyDescent="0.3">
      <c r="A592" t="s">
        <v>5</v>
      </c>
      <c r="B592" t="s">
        <v>92</v>
      </c>
      <c r="C592" t="s">
        <v>1606</v>
      </c>
      <c r="D592">
        <v>129693.97</v>
      </c>
      <c r="E592">
        <v>209972.99</v>
      </c>
      <c r="F592">
        <v>238758.93</v>
      </c>
      <c r="G592">
        <v>866706.93</v>
      </c>
      <c r="H592">
        <v>654269.27</v>
      </c>
      <c r="I592">
        <v>339717.58</v>
      </c>
    </row>
    <row r="593" spans="1:9" x14ac:dyDescent="0.3">
      <c r="A593" t="s">
        <v>5</v>
      </c>
      <c r="B593" t="s">
        <v>92</v>
      </c>
      <c r="C593" t="s">
        <v>1608</v>
      </c>
      <c r="D593">
        <v>2255814.71</v>
      </c>
      <c r="E593">
        <v>2686151.83</v>
      </c>
      <c r="F593">
        <v>2469215.7200000002</v>
      </c>
      <c r="G593">
        <v>2577187.6</v>
      </c>
      <c r="H593">
        <v>2189434.23</v>
      </c>
      <c r="I593">
        <v>2401035.59</v>
      </c>
    </row>
    <row r="594" spans="1:9" x14ac:dyDescent="0.3">
      <c r="A594" t="s">
        <v>5</v>
      </c>
      <c r="B594" t="s">
        <v>92</v>
      </c>
      <c r="C594" t="s">
        <v>1609</v>
      </c>
      <c r="D594">
        <v>-998128.14</v>
      </c>
      <c r="E594">
        <v>-68773.539999999994</v>
      </c>
      <c r="F594">
        <v>76356.22</v>
      </c>
      <c r="G594">
        <v>372682.14</v>
      </c>
      <c r="H594">
        <v>306387.15999999997</v>
      </c>
      <c r="I594">
        <v>228897.59</v>
      </c>
    </row>
    <row r="595" spans="1:9" x14ac:dyDescent="0.3">
      <c r="A595" t="s">
        <v>5</v>
      </c>
      <c r="B595" t="s">
        <v>92</v>
      </c>
      <c r="C595" t="s">
        <v>1610</v>
      </c>
      <c r="D595">
        <v>-998128.14</v>
      </c>
      <c r="E595">
        <v>-68773.539999999994</v>
      </c>
      <c r="F595">
        <v>76356.22</v>
      </c>
      <c r="G595">
        <v>372682.14</v>
      </c>
      <c r="H595">
        <v>306387.15999999997</v>
      </c>
      <c r="I595">
        <v>228897.59</v>
      </c>
    </row>
    <row r="596" spans="1:9" x14ac:dyDescent="0.3">
      <c r="A596" t="s">
        <v>5</v>
      </c>
      <c r="B596" t="s">
        <v>92</v>
      </c>
      <c r="C596" t="s">
        <v>1611</v>
      </c>
      <c r="D596">
        <v>33550.769999999997</v>
      </c>
      <c r="E596">
        <v>33550.769999999997</v>
      </c>
      <c r="F596">
        <v>33550.769999999997</v>
      </c>
      <c r="G596">
        <v>33550.769999999997</v>
      </c>
      <c r="H596">
        <v>33550.769999999997</v>
      </c>
      <c r="I596">
        <v>33550.769999999997</v>
      </c>
    </row>
    <row r="597" spans="1:9" x14ac:dyDescent="0.3">
      <c r="A597" t="s">
        <v>5</v>
      </c>
      <c r="B597" t="s">
        <v>92</v>
      </c>
      <c r="C597" t="s">
        <v>1636</v>
      </c>
      <c r="D597">
        <v>170515.72</v>
      </c>
      <c r="E597">
        <v>170515.72</v>
      </c>
      <c r="F597">
        <v>170515.72</v>
      </c>
      <c r="G597">
        <v>170515.72</v>
      </c>
      <c r="H597">
        <v>170515.72</v>
      </c>
      <c r="I597">
        <v>170515.72</v>
      </c>
    </row>
    <row r="598" spans="1:9" x14ac:dyDescent="0.3">
      <c r="A598" t="s">
        <v>5</v>
      </c>
      <c r="B598" t="s">
        <v>92</v>
      </c>
      <c r="C598" t="s">
        <v>1612</v>
      </c>
      <c r="D598">
        <v>169855.88</v>
      </c>
      <c r="E598">
        <v>169855.88</v>
      </c>
      <c r="F598">
        <v>169855.88</v>
      </c>
      <c r="G598">
        <v>103384.04</v>
      </c>
      <c r="H598">
        <v>26195.02</v>
      </c>
      <c r="I598">
        <v>1192.01</v>
      </c>
    </row>
    <row r="599" spans="1:9" x14ac:dyDescent="0.3">
      <c r="A599" t="s">
        <v>5</v>
      </c>
      <c r="B599" t="s">
        <v>92</v>
      </c>
      <c r="C599" t="s">
        <v>1613</v>
      </c>
      <c r="D599">
        <v>-441743.05</v>
      </c>
      <c r="E599">
        <v>-295264.01</v>
      </c>
      <c r="F599">
        <v>107.45</v>
      </c>
      <c r="G599">
        <v>77.31</v>
      </c>
      <c r="H599">
        <v>-679.14</v>
      </c>
      <c r="I599">
        <v>-1322.4</v>
      </c>
    </row>
    <row r="600" spans="1:9" x14ac:dyDescent="0.3">
      <c r="A600" t="s">
        <v>5</v>
      </c>
      <c r="B600" t="s">
        <v>92</v>
      </c>
      <c r="C600" t="s">
        <v>1614</v>
      </c>
      <c r="D600">
        <v>-929421.77</v>
      </c>
      <c r="E600">
        <v>-146384.6</v>
      </c>
      <c r="F600">
        <v>-295367.73</v>
      </c>
      <c r="G600">
        <v>66494.33</v>
      </c>
      <c r="H600">
        <v>77949.100000000006</v>
      </c>
      <c r="I600">
        <v>25588.07</v>
      </c>
    </row>
    <row r="601" spans="1:9" x14ac:dyDescent="0.3">
      <c r="A601" t="s">
        <v>5</v>
      </c>
      <c r="B601" t="s">
        <v>92</v>
      </c>
      <c r="C601" t="s">
        <v>1642</v>
      </c>
      <c r="D601">
        <v>-885.69</v>
      </c>
      <c r="E601">
        <v>-1047.3</v>
      </c>
      <c r="F601">
        <v>-2305.86</v>
      </c>
      <c r="G601">
        <v>-1340.03</v>
      </c>
      <c r="H601">
        <v>-1144.32</v>
      </c>
      <c r="I601">
        <v>-626.58000000000004</v>
      </c>
    </row>
    <row r="602" spans="1:9" x14ac:dyDescent="0.3">
      <c r="A602" t="s">
        <v>5</v>
      </c>
      <c r="B602" t="s">
        <v>92</v>
      </c>
      <c r="C602" t="s">
        <v>1615</v>
      </c>
      <c r="D602">
        <v>3253942.85</v>
      </c>
      <c r="E602">
        <v>2754925.37</v>
      </c>
      <c r="F602">
        <v>2392859.5</v>
      </c>
      <c r="G602">
        <v>2204505.46</v>
      </c>
      <c r="H602">
        <v>1883047.08</v>
      </c>
      <c r="I602">
        <v>2172138</v>
      </c>
    </row>
    <row r="603" spans="1:9" x14ac:dyDescent="0.3">
      <c r="A603" t="s">
        <v>5</v>
      </c>
      <c r="B603" t="s">
        <v>92</v>
      </c>
      <c r="C603" t="s">
        <v>1616</v>
      </c>
      <c r="D603">
        <v>776054.31</v>
      </c>
      <c r="E603">
        <v>471920.37</v>
      </c>
      <c r="F603">
        <v>492878.06</v>
      </c>
      <c r="G603">
        <v>285761.03000000003</v>
      </c>
      <c r="H603">
        <v>94287.66</v>
      </c>
      <c r="I603">
        <v>12520.85</v>
      </c>
    </row>
    <row r="604" spans="1:9" x14ac:dyDescent="0.3">
      <c r="A604" t="s">
        <v>5</v>
      </c>
      <c r="B604" t="s">
        <v>92</v>
      </c>
      <c r="C604" t="s">
        <v>1617</v>
      </c>
      <c r="D604">
        <v>775816.7</v>
      </c>
      <c r="E604">
        <v>471647.76</v>
      </c>
      <c r="F604">
        <v>492618.64</v>
      </c>
      <c r="G604">
        <v>285653.61</v>
      </c>
      <c r="H604">
        <v>94287.66</v>
      </c>
      <c r="I604">
        <v>12520.85</v>
      </c>
    </row>
    <row r="605" spans="1:9" x14ac:dyDescent="0.3">
      <c r="A605" t="s">
        <v>5</v>
      </c>
      <c r="B605" t="s">
        <v>92</v>
      </c>
      <c r="C605" t="s">
        <v>1618</v>
      </c>
      <c r="D605">
        <v>237.61</v>
      </c>
      <c r="E605">
        <v>272.61</v>
      </c>
      <c r="F605">
        <v>259.42</v>
      </c>
      <c r="G605">
        <v>107.42</v>
      </c>
      <c r="H605">
        <v>0</v>
      </c>
      <c r="I605">
        <v>0</v>
      </c>
    </row>
    <row r="606" spans="1:9" x14ac:dyDescent="0.3">
      <c r="A606" t="s">
        <v>5</v>
      </c>
      <c r="B606" t="s">
        <v>92</v>
      </c>
      <c r="C606" t="s">
        <v>1619</v>
      </c>
      <c r="D606">
        <v>2477888.5499999998</v>
      </c>
      <c r="E606">
        <v>2283005</v>
      </c>
      <c r="F606">
        <v>1899981.44</v>
      </c>
      <c r="G606">
        <v>1918744.43</v>
      </c>
      <c r="H606">
        <v>1788759.42</v>
      </c>
      <c r="I606">
        <v>2159617.14</v>
      </c>
    </row>
    <row r="607" spans="1:9" x14ac:dyDescent="0.3">
      <c r="A607" t="s">
        <v>5</v>
      </c>
      <c r="B607" t="s">
        <v>92</v>
      </c>
      <c r="C607" t="s">
        <v>1638</v>
      </c>
      <c r="D607">
        <v>76722.52</v>
      </c>
      <c r="E607">
        <v>437965.52</v>
      </c>
      <c r="F607">
        <v>380253.56</v>
      </c>
      <c r="G607">
        <v>896.94</v>
      </c>
      <c r="H607">
        <v>302614.73</v>
      </c>
      <c r="I607">
        <v>281677.03999999998</v>
      </c>
    </row>
    <row r="608" spans="1:9" x14ac:dyDescent="0.3">
      <c r="A608" t="s">
        <v>5</v>
      </c>
      <c r="B608" t="s">
        <v>92</v>
      </c>
      <c r="C608" t="s">
        <v>1620</v>
      </c>
      <c r="D608">
        <v>2271505.4300000002</v>
      </c>
      <c r="E608">
        <v>1729513.41</v>
      </c>
      <c r="F608">
        <v>1342767.74</v>
      </c>
      <c r="G608">
        <v>1706074.05</v>
      </c>
      <c r="H608">
        <v>1164858.8700000001</v>
      </c>
      <c r="I608">
        <v>923210.07</v>
      </c>
    </row>
    <row r="609" spans="1:9" x14ac:dyDescent="0.3">
      <c r="A609" t="s">
        <v>5</v>
      </c>
      <c r="B609" t="s">
        <v>92</v>
      </c>
      <c r="C609" t="s">
        <v>1621</v>
      </c>
      <c r="D609">
        <v>2214717.7200000002</v>
      </c>
      <c r="E609">
        <v>1656071.34</v>
      </c>
      <c r="F609">
        <v>1297174.52</v>
      </c>
      <c r="G609">
        <v>1125699.17</v>
      </c>
      <c r="H609">
        <v>942811.87</v>
      </c>
      <c r="I609">
        <v>767325.36</v>
      </c>
    </row>
    <row r="610" spans="1:9" x14ac:dyDescent="0.3">
      <c r="A610" t="s">
        <v>5</v>
      </c>
      <c r="B610" t="s">
        <v>92</v>
      </c>
      <c r="C610" t="s">
        <v>1639</v>
      </c>
      <c r="D610">
        <v>2526.9499999999998</v>
      </c>
      <c r="E610">
        <v>10093.65</v>
      </c>
      <c r="F610">
        <v>1235.03</v>
      </c>
      <c r="G610">
        <v>39.61</v>
      </c>
      <c r="H610">
        <v>161.15</v>
      </c>
      <c r="I610">
        <v>469.4</v>
      </c>
    </row>
    <row r="611" spans="1:9" x14ac:dyDescent="0.3">
      <c r="A611" t="s">
        <v>5</v>
      </c>
      <c r="B611" t="s">
        <v>92</v>
      </c>
      <c r="C611" t="s">
        <v>1622</v>
      </c>
      <c r="D611">
        <v>54260.75</v>
      </c>
      <c r="E611">
        <v>63348.42</v>
      </c>
      <c r="F611">
        <v>44358.2</v>
      </c>
      <c r="G611">
        <v>240207.81</v>
      </c>
      <c r="H611">
        <v>221885.84</v>
      </c>
      <c r="I611">
        <v>155415.32</v>
      </c>
    </row>
    <row r="612" spans="1:9" x14ac:dyDescent="0.3">
      <c r="A612" t="s">
        <v>5</v>
      </c>
      <c r="B612" t="s">
        <v>92</v>
      </c>
      <c r="C612" t="s">
        <v>1617</v>
      </c>
      <c r="D612">
        <v>62803.55</v>
      </c>
      <c r="E612">
        <v>50597.9</v>
      </c>
      <c r="F612">
        <v>108363.1</v>
      </c>
      <c r="G612">
        <v>76674.61</v>
      </c>
      <c r="H612">
        <v>66446.179999999993</v>
      </c>
      <c r="I612">
        <v>39621.370000000003</v>
      </c>
    </row>
    <row r="613" spans="1:9" x14ac:dyDescent="0.3">
      <c r="A613" t="s">
        <v>5</v>
      </c>
      <c r="B613" t="s">
        <v>92</v>
      </c>
      <c r="C613" t="s">
        <v>1623</v>
      </c>
      <c r="D613">
        <v>28902.17</v>
      </c>
      <c r="E613">
        <v>23475.759999999998</v>
      </c>
      <c r="F613">
        <v>42903.73</v>
      </c>
      <c r="G613">
        <v>84414.33</v>
      </c>
      <c r="H613">
        <v>215724.77</v>
      </c>
      <c r="I613">
        <v>886598.47</v>
      </c>
    </row>
    <row r="614" spans="1:9" x14ac:dyDescent="0.3">
      <c r="A614" t="s">
        <v>5</v>
      </c>
      <c r="B614" t="s">
        <v>92</v>
      </c>
      <c r="C614" t="s">
        <v>1640</v>
      </c>
      <c r="D614">
        <v>37954.879999999997</v>
      </c>
      <c r="E614">
        <v>41452.410000000003</v>
      </c>
      <c r="F614">
        <v>25693.31</v>
      </c>
      <c r="G614">
        <v>50684.5</v>
      </c>
      <c r="H614">
        <v>39114.870000000003</v>
      </c>
      <c r="I614">
        <v>28510.2</v>
      </c>
    </row>
  </sheetData>
  <autoFilter ref="A1:I614" xr:uid="{048158B8-8D5B-478D-99D9-8D660538EC1C}">
    <filterColumn colId="0">
      <filters>
        <filter val="SANITAS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0D314-0685-4CAA-B12F-4149A2000151}">
  <dimension ref="A1:C11"/>
  <sheetViews>
    <sheetView workbookViewId="0">
      <selection activeCell="B1" sqref="B1"/>
    </sheetView>
  </sheetViews>
  <sheetFormatPr baseColWidth="10" defaultRowHeight="14.4" x14ac:dyDescent="0.3"/>
  <cols>
    <col min="1" max="1" width="21.77734375" bestFit="1" customWidth="1"/>
    <col min="2" max="2" width="29.5546875" customWidth="1"/>
    <col min="3" max="3" width="12.21875" customWidth="1"/>
  </cols>
  <sheetData>
    <row r="1" spans="1:3" x14ac:dyDescent="0.3">
      <c r="A1" t="s">
        <v>1</v>
      </c>
      <c r="B1" t="s">
        <v>1712</v>
      </c>
      <c r="C1" t="s">
        <v>1713</v>
      </c>
    </row>
    <row r="2" spans="1:3" x14ac:dyDescent="0.3">
      <c r="A2" t="s">
        <v>1714</v>
      </c>
      <c r="B2">
        <v>263.95</v>
      </c>
      <c r="C2" s="8">
        <v>4108</v>
      </c>
    </row>
    <row r="3" spans="1:3" x14ac:dyDescent="0.3">
      <c r="A3" t="s">
        <v>37</v>
      </c>
      <c r="B3">
        <v>638.64</v>
      </c>
      <c r="C3" s="8">
        <v>986</v>
      </c>
    </row>
    <row r="4" spans="1:3" x14ac:dyDescent="0.3">
      <c r="A4" t="s">
        <v>26</v>
      </c>
      <c r="B4">
        <v>540.74</v>
      </c>
      <c r="C4" s="8">
        <v>51936</v>
      </c>
    </row>
    <row r="5" spans="1:3" x14ac:dyDescent="0.3">
      <c r="A5" t="s">
        <v>1715</v>
      </c>
      <c r="B5">
        <v>591.15</v>
      </c>
      <c r="C5" s="8">
        <v>14799</v>
      </c>
    </row>
    <row r="6" spans="1:3" x14ac:dyDescent="0.3">
      <c r="A6" t="s">
        <v>1716</v>
      </c>
      <c r="B6">
        <v>661.06</v>
      </c>
      <c r="C6" s="8">
        <v>18685</v>
      </c>
    </row>
    <row r="7" spans="1:3" x14ac:dyDescent="0.3">
      <c r="A7" t="s">
        <v>1717</v>
      </c>
      <c r="B7">
        <v>507.31</v>
      </c>
      <c r="C7" s="8">
        <v>23551</v>
      </c>
    </row>
    <row r="8" spans="1:3" x14ac:dyDescent="0.3">
      <c r="A8" t="s">
        <v>363</v>
      </c>
      <c r="B8">
        <v>300.22000000000003</v>
      </c>
      <c r="C8" s="8">
        <v>14871</v>
      </c>
    </row>
    <row r="9" spans="1:3" x14ac:dyDescent="0.3">
      <c r="A9" t="s">
        <v>1718</v>
      </c>
      <c r="B9">
        <v>573.04</v>
      </c>
      <c r="C9" s="8">
        <v>33775</v>
      </c>
    </row>
    <row r="10" spans="1:3" x14ac:dyDescent="0.3">
      <c r="A10" t="s">
        <v>40</v>
      </c>
      <c r="B10">
        <v>386.9</v>
      </c>
      <c r="C10" s="8">
        <v>31908</v>
      </c>
    </row>
    <row r="11" spans="1:3" x14ac:dyDescent="0.3">
      <c r="A11" t="s">
        <v>1719</v>
      </c>
      <c r="B11">
        <v>385.36</v>
      </c>
      <c r="C11" s="8">
        <v>21799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E8B5-6A1A-4F6E-8111-2257A55D428E}">
  <sheetPr filterMode="1"/>
  <dimension ref="A1:I517"/>
  <sheetViews>
    <sheetView workbookViewId="0">
      <selection activeCell="J1" sqref="J1:O1048576"/>
    </sheetView>
  </sheetViews>
  <sheetFormatPr baseColWidth="10" defaultColWidth="8.88671875" defaultRowHeight="14.4" x14ac:dyDescent="0.3"/>
  <cols>
    <col min="1" max="1" width="35" customWidth="1"/>
    <col min="2" max="2" width="55" customWidth="1"/>
    <col min="3" max="3" width="68.88671875" bestFit="1" customWidth="1"/>
    <col min="4" max="9" width="14" customWidth="1"/>
  </cols>
  <sheetData>
    <row r="1" spans="1:9" x14ac:dyDescent="0.3">
      <c r="A1" s="1" t="s">
        <v>358</v>
      </c>
      <c r="B1" t="s">
        <v>165</v>
      </c>
      <c r="C1" s="1" t="s">
        <v>92</v>
      </c>
      <c r="D1" s="1">
        <v>2024</v>
      </c>
      <c r="E1" s="1">
        <v>2023</v>
      </c>
      <c r="F1" s="1">
        <v>2022</v>
      </c>
      <c r="G1" s="1">
        <v>2021</v>
      </c>
      <c r="H1" s="1">
        <v>2020</v>
      </c>
      <c r="I1" s="1">
        <v>2019</v>
      </c>
    </row>
    <row r="2" spans="1:9" hidden="1" x14ac:dyDescent="0.3">
      <c r="A2" t="s">
        <v>357</v>
      </c>
      <c r="B2" t="s">
        <v>92</v>
      </c>
      <c r="C2" t="s">
        <v>99</v>
      </c>
      <c r="D2" s="2">
        <v>172849.78</v>
      </c>
      <c r="E2" s="2">
        <v>139949</v>
      </c>
      <c r="F2" s="2">
        <v>121783.54</v>
      </c>
      <c r="G2" s="2">
        <v>121841.38</v>
      </c>
      <c r="H2" s="2">
        <v>104853.23</v>
      </c>
      <c r="I2" s="2">
        <v>96908.28</v>
      </c>
    </row>
    <row r="3" spans="1:9" hidden="1" x14ac:dyDescent="0.3">
      <c r="A3" t="s">
        <v>357</v>
      </c>
      <c r="B3" t="s">
        <v>92</v>
      </c>
      <c r="C3" t="s">
        <v>142</v>
      </c>
      <c r="D3" s="2">
        <v>172849.78</v>
      </c>
      <c r="E3" s="2">
        <v>139949</v>
      </c>
      <c r="F3" s="2">
        <v>121783.54</v>
      </c>
      <c r="G3" s="2">
        <v>121841.38</v>
      </c>
      <c r="H3" s="2">
        <v>104853.23</v>
      </c>
      <c r="I3" s="2">
        <v>96908.28</v>
      </c>
    </row>
    <row r="4" spans="1:9" hidden="1" x14ac:dyDescent="0.3">
      <c r="A4" t="s">
        <v>357</v>
      </c>
      <c r="B4" t="s">
        <v>92</v>
      </c>
      <c r="C4" t="s">
        <v>102</v>
      </c>
      <c r="D4" s="2">
        <v>-14340.2</v>
      </c>
      <c r="E4" s="2">
        <v>-9633.15</v>
      </c>
      <c r="F4" s="2">
        <v>-9327.7999999999993</v>
      </c>
      <c r="G4" s="2">
        <v>-9937.49</v>
      </c>
      <c r="H4" s="2">
        <v>-7841.86</v>
      </c>
      <c r="I4" s="2">
        <v>-7778.07</v>
      </c>
    </row>
    <row r="5" spans="1:9" hidden="1" x14ac:dyDescent="0.3">
      <c r="A5" t="s">
        <v>357</v>
      </c>
      <c r="B5" t="s">
        <v>92</v>
      </c>
      <c r="C5" t="s">
        <v>143</v>
      </c>
      <c r="D5" s="2">
        <v>-14538.39</v>
      </c>
      <c r="E5" s="2">
        <v>-11177.75</v>
      </c>
      <c r="F5" s="2">
        <v>-9708.0300000000007</v>
      </c>
      <c r="G5" s="2">
        <v>-9711.24</v>
      </c>
      <c r="H5" s="2">
        <v>-8210.48</v>
      </c>
      <c r="I5" s="2">
        <v>-7369.68</v>
      </c>
    </row>
    <row r="6" spans="1:9" hidden="1" x14ac:dyDescent="0.3">
      <c r="A6" t="s">
        <v>357</v>
      </c>
      <c r="B6" t="s">
        <v>92</v>
      </c>
      <c r="C6" t="s">
        <v>144</v>
      </c>
      <c r="D6" s="2">
        <v>-232</v>
      </c>
      <c r="E6" s="2">
        <v>-180.6</v>
      </c>
      <c r="F6" s="2">
        <v>-169.74</v>
      </c>
      <c r="G6" s="2">
        <v>-127.66</v>
      </c>
      <c r="H6" s="2">
        <v>-105.54</v>
      </c>
      <c r="I6" s="2">
        <v>-271.45</v>
      </c>
    </row>
    <row r="7" spans="1:9" hidden="1" x14ac:dyDescent="0.3">
      <c r="A7" t="s">
        <v>357</v>
      </c>
      <c r="B7" t="s">
        <v>92</v>
      </c>
      <c r="C7" t="s">
        <v>145</v>
      </c>
      <c r="D7" s="2">
        <v>-460.76</v>
      </c>
      <c r="E7" s="2">
        <v>-379.15</v>
      </c>
      <c r="F7" s="2">
        <v>-329.44</v>
      </c>
      <c r="G7" s="2">
        <v>-289.23</v>
      </c>
      <c r="H7" s="2">
        <v>-329.25</v>
      </c>
      <c r="I7" s="2">
        <v>-250.55</v>
      </c>
    </row>
    <row r="8" spans="1:9" hidden="1" x14ac:dyDescent="0.3">
      <c r="A8" t="s">
        <v>357</v>
      </c>
      <c r="B8" t="s">
        <v>92</v>
      </c>
      <c r="C8" t="s">
        <v>100</v>
      </c>
      <c r="D8" s="2">
        <v>-127604.83</v>
      </c>
      <c r="E8" s="2">
        <v>-108123</v>
      </c>
      <c r="F8" s="2">
        <v>-88016.29</v>
      </c>
      <c r="G8" s="2">
        <v>-93237.119999999995</v>
      </c>
      <c r="H8" s="2">
        <v>-73024.88</v>
      </c>
      <c r="I8" s="2">
        <v>-71451.83</v>
      </c>
    </row>
    <row r="9" spans="1:9" hidden="1" x14ac:dyDescent="0.3">
      <c r="A9" t="s">
        <v>357</v>
      </c>
      <c r="B9" t="s">
        <v>92</v>
      </c>
      <c r="C9" t="s">
        <v>103</v>
      </c>
      <c r="D9" s="2">
        <v>-260.74</v>
      </c>
      <c r="E9" s="2">
        <v>-456.96</v>
      </c>
      <c r="F9" s="2">
        <v>-2656.22</v>
      </c>
      <c r="G9" s="2">
        <v>-3070.68</v>
      </c>
      <c r="H9" s="2">
        <v>-6008.12</v>
      </c>
      <c r="I9" s="2">
        <v>-2241.1999999999998</v>
      </c>
    </row>
    <row r="10" spans="1:9" hidden="1" x14ac:dyDescent="0.3">
      <c r="A10" t="s">
        <v>357</v>
      </c>
      <c r="B10" t="s">
        <v>92</v>
      </c>
      <c r="C10" t="s">
        <v>104</v>
      </c>
      <c r="D10" s="2">
        <v>13228.33</v>
      </c>
      <c r="E10" s="2">
        <v>9998.39</v>
      </c>
      <c r="F10" s="2">
        <v>11576.02</v>
      </c>
      <c r="G10" s="2">
        <v>5467.96</v>
      </c>
      <c r="H10" s="2">
        <v>9333.1</v>
      </c>
      <c r="I10" s="2">
        <v>7545.49</v>
      </c>
    </row>
    <row r="11" spans="1:9" hidden="1" x14ac:dyDescent="0.3">
      <c r="A11" t="s">
        <v>357</v>
      </c>
      <c r="B11" t="s">
        <v>92</v>
      </c>
      <c r="C11" t="s">
        <v>105</v>
      </c>
      <c r="D11" s="2">
        <v>13489.07</v>
      </c>
      <c r="E11" s="2">
        <v>10455.35</v>
      </c>
      <c r="F11" s="2">
        <v>14232.24</v>
      </c>
      <c r="G11" s="2">
        <v>8538.64</v>
      </c>
      <c r="H11" s="2">
        <v>15341.22</v>
      </c>
      <c r="I11" s="2">
        <v>9786.69</v>
      </c>
    </row>
    <row r="12" spans="1:9" hidden="1" x14ac:dyDescent="0.3">
      <c r="A12" t="s">
        <v>357</v>
      </c>
      <c r="B12" t="s">
        <v>92</v>
      </c>
      <c r="C12" t="s">
        <v>106</v>
      </c>
      <c r="D12" s="2">
        <v>-1793.84</v>
      </c>
      <c r="E12" s="2">
        <v>-1756.4</v>
      </c>
      <c r="F12" s="2">
        <v>-992.8</v>
      </c>
      <c r="G12" s="2">
        <v>-680.11</v>
      </c>
      <c r="H12" s="2">
        <v>-1552.79</v>
      </c>
      <c r="I12" s="2">
        <v>-2130.23</v>
      </c>
    </row>
    <row r="13" spans="1:9" hidden="1" x14ac:dyDescent="0.3">
      <c r="A13" t="s">
        <v>357</v>
      </c>
      <c r="B13" t="s">
        <v>92</v>
      </c>
      <c r="C13" t="s">
        <v>107</v>
      </c>
      <c r="D13" s="2">
        <v>-1793.84</v>
      </c>
      <c r="E13" s="2">
        <v>-1756.4</v>
      </c>
      <c r="F13" s="2">
        <v>-992.8</v>
      </c>
      <c r="G13" s="2">
        <v>-680.11</v>
      </c>
      <c r="H13" s="2">
        <v>-1552.79</v>
      </c>
      <c r="I13" s="2">
        <v>-2130.23</v>
      </c>
    </row>
    <row r="14" spans="1:9" hidden="1" x14ac:dyDescent="0.3">
      <c r="A14" t="s">
        <v>357</v>
      </c>
      <c r="B14" t="s">
        <v>92</v>
      </c>
      <c r="C14" t="s">
        <v>146</v>
      </c>
      <c r="D14" s="2">
        <v>-1793.84</v>
      </c>
      <c r="E14" s="2">
        <v>-1756.4</v>
      </c>
      <c r="F14" s="2">
        <v>-992.8</v>
      </c>
      <c r="G14" s="2">
        <v>-680.11</v>
      </c>
      <c r="H14" s="2">
        <v>-1552.79</v>
      </c>
      <c r="I14" s="2">
        <v>-2130.23</v>
      </c>
    </row>
    <row r="15" spans="1:9" hidden="1" x14ac:dyDescent="0.3">
      <c r="A15" t="s">
        <v>357</v>
      </c>
      <c r="B15" t="s">
        <v>92</v>
      </c>
      <c r="C15" t="s">
        <v>109</v>
      </c>
      <c r="D15" s="2">
        <v>81152.22</v>
      </c>
      <c r="E15" s="2">
        <v>47857.59</v>
      </c>
      <c r="F15" s="2">
        <v>52914.239999999998</v>
      </c>
      <c r="G15" s="2">
        <v>33826.410000000003</v>
      </c>
      <c r="H15" s="2">
        <v>31132.11</v>
      </c>
      <c r="I15" s="2">
        <v>23721.93</v>
      </c>
    </row>
    <row r="16" spans="1:9" hidden="1" x14ac:dyDescent="0.3">
      <c r="A16" t="s">
        <v>357</v>
      </c>
      <c r="B16" t="s">
        <v>92</v>
      </c>
      <c r="C16" t="s">
        <v>110</v>
      </c>
      <c r="D16" s="2">
        <v>83346.81</v>
      </c>
      <c r="E16" s="2">
        <v>51330.81</v>
      </c>
      <c r="F16" s="2">
        <v>55260.81</v>
      </c>
      <c r="G16" s="2">
        <v>36006</v>
      </c>
      <c r="H16" s="2">
        <v>33029.71</v>
      </c>
      <c r="I16" s="2">
        <v>25841.52</v>
      </c>
    </row>
    <row r="17" spans="1:9" hidden="1" x14ac:dyDescent="0.3">
      <c r="A17" t="s">
        <v>357</v>
      </c>
      <c r="B17" t="s">
        <v>92</v>
      </c>
      <c r="C17" t="s">
        <v>111</v>
      </c>
      <c r="D17" s="2">
        <v>-2194.59</v>
      </c>
      <c r="E17" s="2">
        <v>-3473.22</v>
      </c>
      <c r="F17" s="2">
        <v>-2346.56</v>
      </c>
      <c r="G17" s="2">
        <v>-2179.6</v>
      </c>
      <c r="H17" s="2">
        <v>-1897.6</v>
      </c>
      <c r="I17" s="2">
        <v>-2119.59</v>
      </c>
    </row>
    <row r="18" spans="1:9" hidden="1" x14ac:dyDescent="0.3">
      <c r="A18" t="s">
        <v>357</v>
      </c>
      <c r="B18" t="s">
        <v>92</v>
      </c>
      <c r="C18" t="s">
        <v>112</v>
      </c>
      <c r="D18" s="2">
        <v>92586.72</v>
      </c>
      <c r="E18" s="2">
        <v>56099.37</v>
      </c>
      <c r="F18" s="2">
        <v>63497.46</v>
      </c>
      <c r="G18" s="2">
        <v>38614.26</v>
      </c>
      <c r="H18" s="2">
        <v>38912.42</v>
      </c>
      <c r="I18" s="2">
        <v>29137.18</v>
      </c>
    </row>
    <row r="19" spans="1:9" hidden="1" x14ac:dyDescent="0.3">
      <c r="A19" t="s">
        <v>357</v>
      </c>
      <c r="B19" t="s">
        <v>92</v>
      </c>
      <c r="C19" t="s">
        <v>113</v>
      </c>
      <c r="D19" s="2">
        <v>-5593.47</v>
      </c>
      <c r="E19" s="2">
        <v>-3692.18</v>
      </c>
      <c r="F19" s="2">
        <v>-4890.78</v>
      </c>
      <c r="G19" s="2">
        <v>-1750.31</v>
      </c>
      <c r="H19" s="2">
        <v>-4664.29</v>
      </c>
      <c r="I19" s="2">
        <v>-1171.92</v>
      </c>
    </row>
    <row r="20" spans="1:9" hidden="1" x14ac:dyDescent="0.3">
      <c r="A20" t="s">
        <v>357</v>
      </c>
      <c r="B20" t="s">
        <v>92</v>
      </c>
      <c r="C20" t="s">
        <v>114</v>
      </c>
      <c r="D20" s="2">
        <v>86993.25</v>
      </c>
      <c r="E20" s="2">
        <v>52407.19</v>
      </c>
      <c r="F20" s="2">
        <v>58606.68</v>
      </c>
      <c r="G20" s="2">
        <v>36863.949999999997</v>
      </c>
      <c r="H20" s="2">
        <v>34248.129999999997</v>
      </c>
      <c r="I20" s="2">
        <v>27965.27</v>
      </c>
    </row>
    <row r="21" spans="1:9" hidden="1" x14ac:dyDescent="0.3">
      <c r="A21" t="s">
        <v>357</v>
      </c>
      <c r="B21" t="s">
        <v>92</v>
      </c>
      <c r="C21" t="s">
        <v>115</v>
      </c>
      <c r="D21" s="2">
        <v>86993.25</v>
      </c>
      <c r="E21" s="2">
        <v>52407.19</v>
      </c>
      <c r="F21" s="2">
        <v>58606.68</v>
      </c>
      <c r="G21" s="2">
        <v>36863.949999999997</v>
      </c>
      <c r="H21" s="2">
        <v>34248.129999999997</v>
      </c>
      <c r="I21" s="2">
        <v>27965.27</v>
      </c>
    </row>
    <row r="22" spans="1:9" hidden="1" x14ac:dyDescent="0.3">
      <c r="A22" t="s">
        <v>357</v>
      </c>
      <c r="B22" t="s">
        <v>92</v>
      </c>
      <c r="C22" t="s">
        <v>116</v>
      </c>
      <c r="D22" s="2">
        <v>378936.94</v>
      </c>
      <c r="E22" s="2">
        <v>307712</v>
      </c>
      <c r="F22" s="2">
        <v>234452.22</v>
      </c>
      <c r="G22" s="2">
        <v>272046.82</v>
      </c>
      <c r="H22" s="2">
        <v>230038.96</v>
      </c>
      <c r="I22" s="2">
        <v>205946.4</v>
      </c>
    </row>
    <row r="23" spans="1:9" hidden="1" x14ac:dyDescent="0.3">
      <c r="A23" t="s">
        <v>357</v>
      </c>
      <c r="B23" t="s">
        <v>92</v>
      </c>
      <c r="C23" t="s">
        <v>117</v>
      </c>
      <c r="D23" s="2">
        <v>27373.24</v>
      </c>
      <c r="E23" s="2">
        <v>21444.11</v>
      </c>
      <c r="F23" s="2">
        <v>19602.98</v>
      </c>
      <c r="G23" s="2">
        <v>22249.54</v>
      </c>
      <c r="H23" s="2">
        <v>16815.310000000001</v>
      </c>
      <c r="I23" s="2">
        <v>16759.98</v>
      </c>
    </row>
    <row r="24" spans="1:9" hidden="1" x14ac:dyDescent="0.3">
      <c r="A24" t="s">
        <v>357</v>
      </c>
      <c r="B24" t="s">
        <v>92</v>
      </c>
      <c r="C24" t="s">
        <v>118</v>
      </c>
      <c r="D24" s="2">
        <v>25955.119999999999</v>
      </c>
      <c r="E24" s="2">
        <v>20872.59</v>
      </c>
      <c r="F24" s="2">
        <v>18793.099999999999</v>
      </c>
      <c r="G24" s="2">
        <v>20830.53</v>
      </c>
      <c r="H24" s="2">
        <v>15389.29</v>
      </c>
      <c r="I24" s="2">
        <v>15456.52</v>
      </c>
    </row>
    <row r="25" spans="1:9" hidden="1" x14ac:dyDescent="0.3">
      <c r="A25" t="s">
        <v>357</v>
      </c>
      <c r="B25" t="s">
        <v>92</v>
      </c>
      <c r="C25" t="s">
        <v>147</v>
      </c>
      <c r="D25" s="2">
        <v>155.52000000000001</v>
      </c>
      <c r="E25" s="2">
        <v>194.41</v>
      </c>
      <c r="F25" s="2">
        <v>0</v>
      </c>
      <c r="G25" s="2">
        <v>0</v>
      </c>
      <c r="H25" s="2">
        <v>0</v>
      </c>
      <c r="I25" s="2">
        <v>0</v>
      </c>
    </row>
    <row r="26" spans="1:9" hidden="1" x14ac:dyDescent="0.3">
      <c r="A26" t="s">
        <v>357</v>
      </c>
      <c r="B26" t="s">
        <v>92</v>
      </c>
      <c r="C26" t="s">
        <v>148</v>
      </c>
      <c r="D26" s="2">
        <v>0</v>
      </c>
      <c r="E26" s="2">
        <v>377.12</v>
      </c>
      <c r="F26" s="2">
        <v>809.88</v>
      </c>
      <c r="G26" s="2">
        <v>1419.01</v>
      </c>
      <c r="H26" s="2">
        <v>1426.02</v>
      </c>
      <c r="I26" s="2">
        <v>1303.47</v>
      </c>
    </row>
    <row r="27" spans="1:9" hidden="1" x14ac:dyDescent="0.3">
      <c r="A27" t="s">
        <v>357</v>
      </c>
      <c r="B27" t="s">
        <v>92</v>
      </c>
      <c r="C27" t="s">
        <v>120</v>
      </c>
      <c r="D27" s="2">
        <v>1262.5899999999999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</row>
    <row r="28" spans="1:9" hidden="1" x14ac:dyDescent="0.3">
      <c r="A28" t="s">
        <v>357</v>
      </c>
      <c r="B28" t="s">
        <v>92</v>
      </c>
      <c r="C28" t="s">
        <v>121</v>
      </c>
      <c r="D28" s="2">
        <v>351563.7</v>
      </c>
      <c r="E28" s="2">
        <v>286268.51</v>
      </c>
      <c r="F28" s="2">
        <v>214849.24</v>
      </c>
      <c r="G28" s="2">
        <v>249797.27</v>
      </c>
      <c r="H28" s="2">
        <v>213223.64</v>
      </c>
      <c r="I28" s="2">
        <v>189186.42</v>
      </c>
    </row>
    <row r="29" spans="1:9" hidden="1" x14ac:dyDescent="0.3">
      <c r="A29" t="s">
        <v>357</v>
      </c>
      <c r="B29" t="s">
        <v>92</v>
      </c>
      <c r="C29" t="s">
        <v>163</v>
      </c>
      <c r="D29" s="2">
        <v>2330.21</v>
      </c>
      <c r="E29" s="2">
        <v>2669.23</v>
      </c>
      <c r="F29" s="2">
        <v>1987.35</v>
      </c>
      <c r="G29" s="2">
        <v>1541.81</v>
      </c>
      <c r="H29" s="2">
        <v>1807.02</v>
      </c>
      <c r="I29" s="2">
        <v>1268.03</v>
      </c>
    </row>
    <row r="30" spans="1:9" hidden="1" x14ac:dyDescent="0.3">
      <c r="A30" t="s">
        <v>357</v>
      </c>
      <c r="B30" t="s">
        <v>92</v>
      </c>
      <c r="C30" t="s">
        <v>164</v>
      </c>
      <c r="D30" s="2">
        <v>2330.21</v>
      </c>
      <c r="E30" s="2">
        <v>2669.23</v>
      </c>
      <c r="F30" s="2">
        <v>1987.35</v>
      </c>
      <c r="G30" s="2">
        <v>1541.81</v>
      </c>
      <c r="H30" s="2">
        <v>1807.02</v>
      </c>
      <c r="I30" s="2">
        <v>1268.03</v>
      </c>
    </row>
    <row r="31" spans="1:9" hidden="1" x14ac:dyDescent="0.3">
      <c r="A31" t="s">
        <v>357</v>
      </c>
      <c r="B31" t="s">
        <v>92</v>
      </c>
      <c r="C31" t="s">
        <v>122</v>
      </c>
      <c r="D31" s="2">
        <v>87870.28</v>
      </c>
      <c r="E31" s="2">
        <v>74603.3</v>
      </c>
      <c r="F31" s="2">
        <v>45356.82</v>
      </c>
      <c r="G31" s="2">
        <v>52764.79</v>
      </c>
      <c r="H31" s="2">
        <v>48557.36</v>
      </c>
      <c r="I31" s="2">
        <v>58030.55</v>
      </c>
    </row>
    <row r="32" spans="1:9" hidden="1" x14ac:dyDescent="0.3">
      <c r="A32" t="s">
        <v>357</v>
      </c>
      <c r="B32" t="s">
        <v>92</v>
      </c>
      <c r="C32" t="s">
        <v>149</v>
      </c>
      <c r="D32" s="2">
        <v>99642</v>
      </c>
      <c r="E32" s="2">
        <v>86554.559999999998</v>
      </c>
      <c r="F32" s="2">
        <v>58515.9</v>
      </c>
      <c r="G32" s="2">
        <v>0</v>
      </c>
      <c r="H32" s="2">
        <v>70059.78</v>
      </c>
      <c r="I32" s="2">
        <v>82529.539999999994</v>
      </c>
    </row>
    <row r="33" spans="1:9" hidden="1" x14ac:dyDescent="0.3">
      <c r="A33" t="s">
        <v>357</v>
      </c>
      <c r="B33" t="s">
        <v>92</v>
      </c>
      <c r="C33" t="s">
        <v>150</v>
      </c>
      <c r="D33" s="2">
        <v>0</v>
      </c>
      <c r="E33" s="2">
        <v>36.75</v>
      </c>
      <c r="F33" s="2">
        <v>153.02000000000001</v>
      </c>
      <c r="G33" s="2">
        <v>0</v>
      </c>
      <c r="H33" s="2">
        <v>0</v>
      </c>
      <c r="I33" s="2">
        <v>0</v>
      </c>
    </row>
    <row r="34" spans="1:9" hidden="1" x14ac:dyDescent="0.3">
      <c r="A34" t="s">
        <v>357</v>
      </c>
      <c r="B34" t="s">
        <v>92</v>
      </c>
      <c r="C34" t="s">
        <v>123</v>
      </c>
      <c r="D34" s="2">
        <v>3297.76</v>
      </c>
      <c r="E34" s="2">
        <v>2939.05</v>
      </c>
      <c r="F34" s="2">
        <v>2940.11</v>
      </c>
      <c r="G34" s="2">
        <v>1895.5</v>
      </c>
      <c r="H34" s="2">
        <v>2085.5500000000002</v>
      </c>
      <c r="I34" s="2">
        <v>1032.93</v>
      </c>
    </row>
    <row r="35" spans="1:9" hidden="1" x14ac:dyDescent="0.3">
      <c r="A35" t="s">
        <v>357</v>
      </c>
      <c r="B35" t="s">
        <v>92</v>
      </c>
      <c r="C35" t="s">
        <v>151</v>
      </c>
      <c r="D35" s="2">
        <v>-21319.57</v>
      </c>
      <c r="E35" s="2">
        <v>-19775.93</v>
      </c>
      <c r="F35" s="2">
        <v>-21913.08</v>
      </c>
      <c r="G35" s="2">
        <v>-23748.959999999999</v>
      </c>
      <c r="H35" s="2">
        <v>-27766.53</v>
      </c>
      <c r="I35" s="2">
        <v>-27331.86</v>
      </c>
    </row>
    <row r="36" spans="1:9" hidden="1" x14ac:dyDescent="0.3">
      <c r="A36" t="s">
        <v>357</v>
      </c>
      <c r="B36" t="s">
        <v>92</v>
      </c>
      <c r="C36" t="s">
        <v>152</v>
      </c>
      <c r="D36" s="2">
        <v>6250.09</v>
      </c>
      <c r="E36" s="2">
        <v>4848.87</v>
      </c>
      <c r="F36" s="2">
        <v>5660.87</v>
      </c>
      <c r="G36" s="2">
        <v>3092.57</v>
      </c>
      <c r="H36" s="2">
        <v>4178.57</v>
      </c>
      <c r="I36" s="2">
        <v>1799.94</v>
      </c>
    </row>
    <row r="37" spans="1:9" hidden="1" x14ac:dyDescent="0.3">
      <c r="A37" t="s">
        <v>357</v>
      </c>
      <c r="B37" t="s">
        <v>92</v>
      </c>
      <c r="C37" t="s">
        <v>153</v>
      </c>
      <c r="D37" s="2">
        <v>92.22</v>
      </c>
      <c r="E37" s="2">
        <v>139.4</v>
      </c>
      <c r="F37" s="2">
        <v>23.32</v>
      </c>
      <c r="G37" s="2">
        <v>603.58000000000004</v>
      </c>
      <c r="H37" s="2">
        <v>67.739999999999995</v>
      </c>
      <c r="I37" s="2">
        <v>113.48</v>
      </c>
    </row>
    <row r="38" spans="1:9" hidden="1" x14ac:dyDescent="0.3">
      <c r="A38" t="s">
        <v>357</v>
      </c>
      <c r="B38" t="s">
        <v>92</v>
      </c>
      <c r="C38" t="s">
        <v>124</v>
      </c>
      <c r="D38" s="2">
        <v>248523.7</v>
      </c>
      <c r="E38" s="2">
        <v>202665</v>
      </c>
      <c r="F38" s="2">
        <v>156218.29</v>
      </c>
      <c r="G38" s="2">
        <v>191528.6</v>
      </c>
      <c r="H38" s="2">
        <v>158936.72</v>
      </c>
      <c r="I38" s="2">
        <v>129702.43</v>
      </c>
    </row>
    <row r="39" spans="1:9" hidden="1" x14ac:dyDescent="0.3">
      <c r="A39" t="s">
        <v>357</v>
      </c>
      <c r="B39" t="s">
        <v>92</v>
      </c>
      <c r="C39" t="s">
        <v>125</v>
      </c>
      <c r="D39" s="2">
        <v>12747.28</v>
      </c>
      <c r="E39" s="2">
        <v>6191.58</v>
      </c>
      <c r="F39" s="2">
        <v>11263.46</v>
      </c>
      <c r="G39" s="2">
        <v>3358.49</v>
      </c>
      <c r="H39" s="2">
        <v>3854.8</v>
      </c>
      <c r="I39" s="2">
        <v>71.930000000000007</v>
      </c>
    </row>
    <row r="40" spans="1:9" hidden="1" x14ac:dyDescent="0.3">
      <c r="A40" t="s">
        <v>357</v>
      </c>
      <c r="B40" t="s">
        <v>92</v>
      </c>
      <c r="C40" t="s">
        <v>126</v>
      </c>
      <c r="D40" s="2">
        <v>378936.94</v>
      </c>
      <c r="E40" s="2">
        <v>307712.49</v>
      </c>
      <c r="F40" s="2">
        <v>234452.22</v>
      </c>
      <c r="G40" s="2">
        <v>272046.82</v>
      </c>
      <c r="H40" s="2">
        <v>230038.96</v>
      </c>
      <c r="I40" s="2">
        <v>205946.4</v>
      </c>
    </row>
    <row r="41" spans="1:9" hidden="1" x14ac:dyDescent="0.3">
      <c r="A41" t="s">
        <v>357</v>
      </c>
      <c r="B41" t="s">
        <v>92</v>
      </c>
      <c r="C41" t="s">
        <v>127</v>
      </c>
      <c r="D41" s="2">
        <v>285574.76</v>
      </c>
      <c r="E41" s="2">
        <v>224292</v>
      </c>
      <c r="F41" s="2">
        <v>172634.05</v>
      </c>
      <c r="G41" s="2">
        <v>199743.39</v>
      </c>
      <c r="H41" s="2">
        <v>163118.5</v>
      </c>
      <c r="I41" s="2">
        <v>129308.87</v>
      </c>
    </row>
    <row r="42" spans="1:9" hidden="1" x14ac:dyDescent="0.3">
      <c r="A42" t="s">
        <v>357</v>
      </c>
      <c r="B42" t="s">
        <v>92</v>
      </c>
      <c r="C42" t="s">
        <v>128</v>
      </c>
      <c r="D42" s="2">
        <v>285574.76</v>
      </c>
      <c r="E42" s="2">
        <v>224292</v>
      </c>
      <c r="F42" s="2">
        <v>172634.05</v>
      </c>
      <c r="G42" s="2">
        <v>199743.39</v>
      </c>
      <c r="H42" s="2">
        <v>163118.5</v>
      </c>
      <c r="I42" s="2">
        <v>129308.87</v>
      </c>
    </row>
    <row r="43" spans="1:9" hidden="1" x14ac:dyDescent="0.3">
      <c r="A43" t="s">
        <v>357</v>
      </c>
      <c r="B43" t="s">
        <v>92</v>
      </c>
      <c r="C43" t="s">
        <v>129</v>
      </c>
      <c r="D43" s="2">
        <v>350</v>
      </c>
      <c r="E43" s="2">
        <v>350</v>
      </c>
      <c r="F43" s="2">
        <v>350</v>
      </c>
      <c r="G43" s="2">
        <v>350</v>
      </c>
      <c r="H43" s="2">
        <v>350</v>
      </c>
      <c r="I43" s="2">
        <v>350</v>
      </c>
    </row>
    <row r="44" spans="1:9" hidden="1" x14ac:dyDescent="0.3">
      <c r="A44" t="s">
        <v>357</v>
      </c>
      <c r="B44" t="s">
        <v>92</v>
      </c>
      <c r="C44" t="s">
        <v>130</v>
      </c>
      <c r="D44" s="2">
        <v>3523.56</v>
      </c>
      <c r="E44" s="2">
        <v>3523.56</v>
      </c>
      <c r="F44" s="2">
        <v>3523.56</v>
      </c>
      <c r="G44" s="2">
        <v>3523.56</v>
      </c>
      <c r="H44" s="2">
        <v>3523.56</v>
      </c>
      <c r="I44" s="2">
        <v>4023.91</v>
      </c>
    </row>
    <row r="45" spans="1:9" hidden="1" x14ac:dyDescent="0.3">
      <c r="A45" t="s">
        <v>357</v>
      </c>
      <c r="B45" t="s">
        <v>92</v>
      </c>
      <c r="C45" t="s">
        <v>131</v>
      </c>
      <c r="D45" s="2">
        <v>168374.39999999999</v>
      </c>
      <c r="E45" s="2">
        <v>141678</v>
      </c>
      <c r="F45" s="2">
        <v>83820.259999999995</v>
      </c>
      <c r="G45" s="2">
        <v>117184.39</v>
      </c>
      <c r="H45" s="2">
        <v>83175.31</v>
      </c>
      <c r="I45" s="2">
        <v>55148.2</v>
      </c>
    </row>
    <row r="46" spans="1:9" hidden="1" x14ac:dyDescent="0.3">
      <c r="A46" t="s">
        <v>357</v>
      </c>
      <c r="B46" t="s">
        <v>92</v>
      </c>
      <c r="C46" t="s">
        <v>132</v>
      </c>
      <c r="D46" s="2">
        <v>86993.25</v>
      </c>
      <c r="E46" s="2">
        <v>52407.19</v>
      </c>
      <c r="F46" s="2">
        <v>58606.68</v>
      </c>
      <c r="G46" s="2">
        <v>36863.949999999997</v>
      </c>
      <c r="H46" s="2">
        <v>34248.129999999997</v>
      </c>
      <c r="I46" s="2">
        <v>27965.27</v>
      </c>
    </row>
    <row r="47" spans="1:9" hidden="1" x14ac:dyDescent="0.3">
      <c r="A47" t="s">
        <v>357</v>
      </c>
      <c r="B47" t="s">
        <v>92</v>
      </c>
      <c r="C47" t="s">
        <v>159</v>
      </c>
      <c r="D47" s="2">
        <v>26333.55</v>
      </c>
      <c r="E47" s="2">
        <v>26333.55</v>
      </c>
      <c r="F47" s="2">
        <v>26333.55</v>
      </c>
      <c r="G47" s="2">
        <v>41821.49</v>
      </c>
      <c r="H47" s="2">
        <v>41821.49</v>
      </c>
      <c r="I47" s="2">
        <v>41821.49</v>
      </c>
    </row>
    <row r="48" spans="1:9" hidden="1" x14ac:dyDescent="0.3">
      <c r="A48" t="s">
        <v>357</v>
      </c>
      <c r="B48" t="s">
        <v>92</v>
      </c>
      <c r="C48" t="s">
        <v>133</v>
      </c>
      <c r="D48" s="2">
        <v>93362.18</v>
      </c>
      <c r="E48" s="2">
        <v>83420.490000000005</v>
      </c>
      <c r="F48" s="2">
        <v>61818.16</v>
      </c>
      <c r="G48" s="2">
        <v>72303.429999999993</v>
      </c>
      <c r="H48" s="2">
        <v>66920.460000000006</v>
      </c>
      <c r="I48" s="2">
        <v>76637.53</v>
      </c>
    </row>
    <row r="49" spans="1:9" hidden="1" x14ac:dyDescent="0.3">
      <c r="A49" t="s">
        <v>357</v>
      </c>
      <c r="B49" t="s">
        <v>92</v>
      </c>
      <c r="C49" t="s">
        <v>134</v>
      </c>
      <c r="D49" s="2">
        <v>1906.34</v>
      </c>
      <c r="E49" s="2">
        <v>1057.5</v>
      </c>
      <c r="F49" s="2">
        <v>421.4</v>
      </c>
      <c r="G49" s="2">
        <v>421.4</v>
      </c>
      <c r="H49" s="2">
        <v>7603.12</v>
      </c>
      <c r="I49" s="2">
        <v>7298.16</v>
      </c>
    </row>
    <row r="50" spans="1:9" hidden="1" x14ac:dyDescent="0.3">
      <c r="A50" t="s">
        <v>357</v>
      </c>
      <c r="B50" t="s">
        <v>92</v>
      </c>
      <c r="C50" t="s">
        <v>160</v>
      </c>
      <c r="D50" s="2">
        <v>0</v>
      </c>
      <c r="E50" s="2">
        <v>0</v>
      </c>
      <c r="F50" s="2">
        <v>0</v>
      </c>
      <c r="G50" s="2">
        <v>0</v>
      </c>
      <c r="H50" s="2">
        <v>7181.72</v>
      </c>
      <c r="I50" s="2">
        <v>6888.76</v>
      </c>
    </row>
    <row r="51" spans="1:9" hidden="1" x14ac:dyDescent="0.3">
      <c r="A51" t="s">
        <v>357</v>
      </c>
      <c r="B51" t="s">
        <v>92</v>
      </c>
      <c r="C51" t="s">
        <v>135</v>
      </c>
      <c r="D51" s="2">
        <v>1906.34</v>
      </c>
      <c r="E51" s="2">
        <v>1057.5</v>
      </c>
      <c r="F51" s="2">
        <v>421.4</v>
      </c>
      <c r="G51" s="2">
        <v>421.4</v>
      </c>
      <c r="H51" s="2">
        <v>421.4</v>
      </c>
      <c r="I51" s="2">
        <v>409.4</v>
      </c>
    </row>
    <row r="52" spans="1:9" hidden="1" x14ac:dyDescent="0.3">
      <c r="A52" t="s">
        <v>357</v>
      </c>
      <c r="B52" t="s">
        <v>92</v>
      </c>
      <c r="C52" t="s">
        <v>137</v>
      </c>
      <c r="D52" s="2">
        <v>91455.84</v>
      </c>
      <c r="E52" s="2">
        <v>82363</v>
      </c>
      <c r="F52" s="2">
        <v>61396.76</v>
      </c>
      <c r="G52" s="2">
        <v>71882.03</v>
      </c>
      <c r="H52" s="2">
        <v>59317.34</v>
      </c>
      <c r="I52" s="2">
        <v>69339.37</v>
      </c>
    </row>
    <row r="53" spans="1:9" hidden="1" x14ac:dyDescent="0.3">
      <c r="A53" t="s">
        <v>357</v>
      </c>
      <c r="B53" t="s">
        <v>92</v>
      </c>
      <c r="C53" t="s">
        <v>155</v>
      </c>
      <c r="D53" s="2">
        <v>11191.54</v>
      </c>
      <c r="E53" s="2">
        <v>7551.45</v>
      </c>
      <c r="F53" s="2">
        <v>4436.3599999999997</v>
      </c>
      <c r="G53" s="2">
        <v>0</v>
      </c>
      <c r="H53" s="2">
        <v>8837.36</v>
      </c>
      <c r="I53" s="2">
        <v>15022.67</v>
      </c>
    </row>
    <row r="54" spans="1:9" hidden="1" x14ac:dyDescent="0.3">
      <c r="A54" t="s">
        <v>357</v>
      </c>
      <c r="B54" t="s">
        <v>92</v>
      </c>
      <c r="C54" t="s">
        <v>138</v>
      </c>
      <c r="D54" s="2">
        <v>70365.8</v>
      </c>
      <c r="E54" s="2">
        <v>66024.73</v>
      </c>
      <c r="F54" s="2">
        <v>49818.28</v>
      </c>
      <c r="G54" s="2">
        <v>65709.929999999993</v>
      </c>
      <c r="H54" s="2">
        <v>41328.1</v>
      </c>
      <c r="I54" s="2">
        <v>49839.54</v>
      </c>
    </row>
    <row r="55" spans="1:9" hidden="1" x14ac:dyDescent="0.3">
      <c r="A55" t="s">
        <v>357</v>
      </c>
      <c r="B55" t="s">
        <v>92</v>
      </c>
      <c r="C55" t="s">
        <v>139</v>
      </c>
      <c r="D55" s="2">
        <v>48908.27</v>
      </c>
      <c r="E55" s="2">
        <v>39595.519999999997</v>
      </c>
      <c r="F55" s="2">
        <v>26182.31</v>
      </c>
      <c r="G55" s="2">
        <v>0</v>
      </c>
      <c r="H55" s="2">
        <v>26626.71</v>
      </c>
      <c r="I55" s="2">
        <v>32532.07</v>
      </c>
    </row>
    <row r="56" spans="1:9" hidden="1" x14ac:dyDescent="0.3">
      <c r="A56" t="s">
        <v>357</v>
      </c>
      <c r="B56" t="s">
        <v>92</v>
      </c>
      <c r="C56" t="s">
        <v>156</v>
      </c>
      <c r="D56" s="2">
        <v>0</v>
      </c>
      <c r="E56" s="2">
        <v>8046.38</v>
      </c>
      <c r="F56" s="2">
        <v>7231.79</v>
      </c>
      <c r="G56" s="2">
        <v>0</v>
      </c>
      <c r="H56" s="2">
        <v>0</v>
      </c>
      <c r="I56" s="2">
        <v>0</v>
      </c>
    </row>
    <row r="57" spans="1:9" hidden="1" x14ac:dyDescent="0.3">
      <c r="A57" t="s">
        <v>357</v>
      </c>
      <c r="B57" t="s">
        <v>92</v>
      </c>
      <c r="C57" t="s">
        <v>140</v>
      </c>
      <c r="D57" s="2">
        <v>21457.53</v>
      </c>
      <c r="E57" s="2">
        <v>18382.830000000002</v>
      </c>
      <c r="F57" s="2">
        <v>16404.18</v>
      </c>
      <c r="G57" s="2">
        <v>0</v>
      </c>
      <c r="H57" s="2">
        <v>14701.4</v>
      </c>
      <c r="I57" s="2">
        <v>17307.47</v>
      </c>
    </row>
    <row r="58" spans="1:9" hidden="1" x14ac:dyDescent="0.3">
      <c r="A58" t="s">
        <v>357</v>
      </c>
      <c r="B58" t="s">
        <v>92</v>
      </c>
      <c r="C58" t="s">
        <v>135</v>
      </c>
      <c r="D58" s="2">
        <v>3871.81</v>
      </c>
      <c r="E58" s="2">
        <v>3918.55</v>
      </c>
      <c r="F58" s="2">
        <v>3180.47</v>
      </c>
      <c r="G58" s="2">
        <v>3148.47</v>
      </c>
      <c r="H58" s="2">
        <v>2247.9699999999998</v>
      </c>
      <c r="I58" s="2">
        <v>2227.0100000000002</v>
      </c>
    </row>
    <row r="59" spans="1:9" hidden="1" x14ac:dyDescent="0.3">
      <c r="A59" t="s">
        <v>357</v>
      </c>
      <c r="B59" t="s">
        <v>92</v>
      </c>
      <c r="C59" t="s">
        <v>141</v>
      </c>
      <c r="D59" s="2">
        <v>252.7</v>
      </c>
      <c r="E59" s="2">
        <v>784.05</v>
      </c>
      <c r="F59" s="2">
        <v>908.05</v>
      </c>
      <c r="G59" s="2">
        <v>1552.68</v>
      </c>
      <c r="H59" s="2">
        <v>1749.89</v>
      </c>
      <c r="I59" s="2">
        <v>1561.35</v>
      </c>
    </row>
    <row r="60" spans="1:9" hidden="1" x14ac:dyDescent="0.3">
      <c r="A60" t="s">
        <v>357</v>
      </c>
      <c r="B60" t="s">
        <v>92</v>
      </c>
      <c r="C60" t="s">
        <v>157</v>
      </c>
      <c r="D60" s="2">
        <v>5774</v>
      </c>
      <c r="E60" s="2">
        <v>4084.21</v>
      </c>
      <c r="F60" s="2">
        <v>3053.59</v>
      </c>
      <c r="G60" s="2">
        <v>1470.95</v>
      </c>
      <c r="H60" s="2">
        <v>5154.01</v>
      </c>
      <c r="I60" s="2">
        <v>688.79</v>
      </c>
    </row>
    <row r="61" spans="1:9" hidden="1" x14ac:dyDescent="0.3">
      <c r="A61" t="s">
        <v>356</v>
      </c>
      <c r="B61" t="s">
        <v>92</v>
      </c>
      <c r="C61" t="s">
        <v>99</v>
      </c>
      <c r="D61" s="2">
        <v>14620.34</v>
      </c>
      <c r="E61" s="2">
        <v>6463.62</v>
      </c>
      <c r="F61" s="2">
        <v>4864.38</v>
      </c>
      <c r="G61" s="2">
        <v>3828.68</v>
      </c>
      <c r="H61" s="2">
        <v>2907.44</v>
      </c>
      <c r="I61" s="2">
        <v>2670.29</v>
      </c>
    </row>
    <row r="62" spans="1:9" hidden="1" x14ac:dyDescent="0.3">
      <c r="A62" t="s">
        <v>356</v>
      </c>
      <c r="B62" t="s">
        <v>92</v>
      </c>
      <c r="C62" t="s">
        <v>142</v>
      </c>
      <c r="D62" s="2">
        <v>14620.34</v>
      </c>
      <c r="E62" s="2">
        <v>6463.62</v>
      </c>
      <c r="F62" s="2">
        <v>4864.38</v>
      </c>
      <c r="G62" s="2">
        <v>3828.68</v>
      </c>
      <c r="H62" s="2">
        <v>2907.44</v>
      </c>
      <c r="I62" s="2">
        <v>2670.29</v>
      </c>
    </row>
    <row r="63" spans="1:9" hidden="1" x14ac:dyDescent="0.3">
      <c r="A63" t="s">
        <v>356</v>
      </c>
      <c r="B63" t="s">
        <v>92</v>
      </c>
      <c r="C63" t="s">
        <v>101</v>
      </c>
      <c r="D63" s="2">
        <v>-29.06</v>
      </c>
      <c r="E63" s="2">
        <v>-27.85</v>
      </c>
      <c r="F63" s="2">
        <v>-0.22</v>
      </c>
      <c r="G63" s="2">
        <v>-421.3</v>
      </c>
      <c r="H63" s="2">
        <v>0</v>
      </c>
      <c r="I63" s="2">
        <v>0</v>
      </c>
    </row>
    <row r="64" spans="1:9" hidden="1" x14ac:dyDescent="0.3">
      <c r="A64" t="s">
        <v>356</v>
      </c>
      <c r="B64" t="s">
        <v>92</v>
      </c>
      <c r="C64" t="s">
        <v>102</v>
      </c>
      <c r="D64" s="2">
        <v>-2047.86</v>
      </c>
      <c r="E64" s="2">
        <v>-1137.57</v>
      </c>
      <c r="F64" s="2">
        <v>-706.35</v>
      </c>
      <c r="G64" s="2">
        <v>-373.63</v>
      </c>
      <c r="H64" s="2">
        <v>-527.13</v>
      </c>
      <c r="I64" s="2">
        <v>-333.02</v>
      </c>
    </row>
    <row r="65" spans="1:9" hidden="1" x14ac:dyDescent="0.3">
      <c r="A65" t="s">
        <v>356</v>
      </c>
      <c r="B65" t="s">
        <v>92</v>
      </c>
      <c r="C65" t="s">
        <v>143</v>
      </c>
      <c r="D65" s="2">
        <v>-5292.87</v>
      </c>
      <c r="E65" s="2">
        <v>-2515.7600000000002</v>
      </c>
      <c r="F65" s="2">
        <v>-1823.93</v>
      </c>
      <c r="G65" s="2">
        <v>-791.41</v>
      </c>
      <c r="H65" s="2">
        <v>-811.16</v>
      </c>
      <c r="I65" s="2">
        <v>-701.97</v>
      </c>
    </row>
    <row r="66" spans="1:9" hidden="1" x14ac:dyDescent="0.3">
      <c r="A66" t="s">
        <v>356</v>
      </c>
      <c r="B66" t="s">
        <v>92</v>
      </c>
      <c r="C66" t="s">
        <v>144</v>
      </c>
      <c r="D66" s="2">
        <v>-20.14</v>
      </c>
      <c r="E66" s="2">
        <v>-8.57</v>
      </c>
      <c r="F66" s="2">
        <v>-8.57</v>
      </c>
      <c r="G66" s="2">
        <v>0</v>
      </c>
      <c r="H66" s="2">
        <v>0</v>
      </c>
      <c r="I66" s="2">
        <v>-1.3</v>
      </c>
    </row>
    <row r="67" spans="1:9" hidden="1" x14ac:dyDescent="0.3">
      <c r="A67" t="s">
        <v>356</v>
      </c>
      <c r="B67" t="s">
        <v>92</v>
      </c>
      <c r="C67" t="s">
        <v>145</v>
      </c>
      <c r="D67" s="2">
        <v>-207.66</v>
      </c>
      <c r="E67" s="2">
        <v>-76.75</v>
      </c>
      <c r="F67" s="2">
        <v>-92.49</v>
      </c>
      <c r="G67" s="2">
        <v>-22.38</v>
      </c>
      <c r="H67" s="2">
        <v>-24.94</v>
      </c>
      <c r="I67" s="2">
        <v>-24.82</v>
      </c>
    </row>
    <row r="68" spans="1:9" hidden="1" x14ac:dyDescent="0.3">
      <c r="A68" t="s">
        <v>356</v>
      </c>
      <c r="B68" t="s">
        <v>92</v>
      </c>
      <c r="C68" t="s">
        <v>100</v>
      </c>
      <c r="D68" s="2">
        <v>-5474.64</v>
      </c>
      <c r="E68" s="2">
        <v>-2061.16</v>
      </c>
      <c r="F68" s="2">
        <v>-1581.19</v>
      </c>
      <c r="G68" s="2">
        <v>-1406.94</v>
      </c>
      <c r="H68" s="2">
        <v>-1205.5</v>
      </c>
      <c r="I68" s="2">
        <v>-1120.52</v>
      </c>
    </row>
    <row r="69" spans="1:9" hidden="1" x14ac:dyDescent="0.3">
      <c r="A69" t="s">
        <v>356</v>
      </c>
      <c r="B69" t="s">
        <v>92</v>
      </c>
      <c r="C69" t="s">
        <v>103</v>
      </c>
      <c r="D69" s="2">
        <v>-167.96</v>
      </c>
      <c r="E69" s="2">
        <v>-46.81</v>
      </c>
      <c r="F69" s="2">
        <v>-63.33</v>
      </c>
      <c r="G69" s="2">
        <v>-83.03</v>
      </c>
      <c r="H69" s="2">
        <v>-27.69</v>
      </c>
      <c r="I69" s="2">
        <v>-66.540000000000006</v>
      </c>
    </row>
    <row r="70" spans="1:9" hidden="1" x14ac:dyDescent="0.3">
      <c r="A70" t="s">
        <v>356</v>
      </c>
      <c r="B70" t="s">
        <v>92</v>
      </c>
      <c r="C70" t="s">
        <v>104</v>
      </c>
      <c r="D70" s="2">
        <v>1380.15</v>
      </c>
      <c r="E70" s="2">
        <v>589.15</v>
      </c>
      <c r="F70" s="2">
        <v>588.29999999999995</v>
      </c>
      <c r="G70" s="2">
        <v>729.98</v>
      </c>
      <c r="H70" s="2">
        <v>311.02999999999997</v>
      </c>
      <c r="I70" s="2">
        <v>422.13</v>
      </c>
    </row>
    <row r="71" spans="1:9" hidden="1" x14ac:dyDescent="0.3">
      <c r="A71" t="s">
        <v>356</v>
      </c>
      <c r="B71" t="s">
        <v>92</v>
      </c>
      <c r="C71" t="s">
        <v>105</v>
      </c>
      <c r="D71" s="2">
        <v>1548.11</v>
      </c>
      <c r="E71" s="2">
        <v>635.96</v>
      </c>
      <c r="F71" s="2">
        <v>651.63</v>
      </c>
      <c r="G71" s="2">
        <v>813.02</v>
      </c>
      <c r="H71" s="2">
        <v>338.72</v>
      </c>
      <c r="I71" s="2">
        <v>488.67</v>
      </c>
    </row>
    <row r="72" spans="1:9" hidden="1" x14ac:dyDescent="0.3">
      <c r="A72" t="s">
        <v>356</v>
      </c>
      <c r="B72" t="s">
        <v>92</v>
      </c>
      <c r="C72" t="s">
        <v>106</v>
      </c>
      <c r="D72" s="2">
        <v>-178.14</v>
      </c>
      <c r="E72" s="2">
        <v>-39.21</v>
      </c>
      <c r="F72" s="2">
        <v>-25.19</v>
      </c>
      <c r="G72" s="2">
        <v>-25.44</v>
      </c>
      <c r="H72" s="2">
        <v>-11.47</v>
      </c>
      <c r="I72" s="2">
        <v>-21.15</v>
      </c>
    </row>
    <row r="73" spans="1:9" hidden="1" x14ac:dyDescent="0.3">
      <c r="A73" t="s">
        <v>356</v>
      </c>
      <c r="B73" t="s">
        <v>92</v>
      </c>
      <c r="C73" t="s">
        <v>107</v>
      </c>
      <c r="D73" s="2">
        <v>-178.14</v>
      </c>
      <c r="E73" s="2">
        <v>-39.21</v>
      </c>
      <c r="F73" s="2">
        <v>-25.19</v>
      </c>
      <c r="G73" s="2">
        <v>-25.44</v>
      </c>
      <c r="H73" s="2">
        <v>-11.47</v>
      </c>
      <c r="I73" s="2">
        <v>-21.15</v>
      </c>
    </row>
    <row r="74" spans="1:9" hidden="1" x14ac:dyDescent="0.3">
      <c r="A74" t="s">
        <v>356</v>
      </c>
      <c r="B74" t="s">
        <v>92</v>
      </c>
      <c r="C74" t="s">
        <v>146</v>
      </c>
      <c r="D74" s="2">
        <v>-178.14</v>
      </c>
      <c r="E74" s="2">
        <v>-39.21</v>
      </c>
      <c r="F74" s="2">
        <v>-25.19</v>
      </c>
      <c r="G74" s="2">
        <v>-25.44</v>
      </c>
      <c r="H74" s="2">
        <v>-11.47</v>
      </c>
      <c r="I74" s="2">
        <v>-21.15</v>
      </c>
    </row>
    <row r="75" spans="1:9" hidden="1" x14ac:dyDescent="0.3">
      <c r="A75" t="s">
        <v>356</v>
      </c>
      <c r="B75" t="s">
        <v>92</v>
      </c>
      <c r="C75" t="s">
        <v>109</v>
      </c>
      <c r="D75" s="2">
        <v>-118.44</v>
      </c>
      <c r="E75" s="2">
        <v>-31.78</v>
      </c>
      <c r="F75" s="2">
        <v>-98.39</v>
      </c>
      <c r="G75" s="2">
        <v>-452.68</v>
      </c>
      <c r="H75" s="2">
        <v>-75.540000000000006</v>
      </c>
      <c r="I75" s="2">
        <v>-51.32</v>
      </c>
    </row>
    <row r="76" spans="1:9" hidden="1" x14ac:dyDescent="0.3">
      <c r="A76" t="s">
        <v>356</v>
      </c>
      <c r="B76" t="s">
        <v>92</v>
      </c>
      <c r="C76" t="s">
        <v>110</v>
      </c>
      <c r="D76" s="2">
        <v>102.32</v>
      </c>
      <c r="E76" s="2">
        <v>61.75</v>
      </c>
      <c r="F76" s="2">
        <v>114.26</v>
      </c>
      <c r="G76" s="2">
        <v>10.43</v>
      </c>
      <c r="H76" s="2">
        <v>30.03</v>
      </c>
      <c r="I76" s="2">
        <v>6.26</v>
      </c>
    </row>
    <row r="77" spans="1:9" hidden="1" x14ac:dyDescent="0.3">
      <c r="A77" t="s">
        <v>356</v>
      </c>
      <c r="B77" t="s">
        <v>92</v>
      </c>
      <c r="C77" t="s">
        <v>111</v>
      </c>
      <c r="D77" s="2">
        <v>-220.76</v>
      </c>
      <c r="E77" s="2">
        <v>-93.53</v>
      </c>
      <c r="F77" s="2">
        <v>-212.65</v>
      </c>
      <c r="G77" s="2">
        <v>-463.11</v>
      </c>
      <c r="H77" s="2">
        <v>-105.57</v>
      </c>
      <c r="I77" s="2">
        <v>-57.58</v>
      </c>
    </row>
    <row r="78" spans="1:9" hidden="1" x14ac:dyDescent="0.3">
      <c r="A78" t="s">
        <v>356</v>
      </c>
      <c r="B78" t="s">
        <v>92</v>
      </c>
      <c r="C78" t="s">
        <v>112</v>
      </c>
      <c r="D78" s="2">
        <v>1083.57</v>
      </c>
      <c r="E78" s="2">
        <v>518.16</v>
      </c>
      <c r="F78" s="2">
        <v>464.72</v>
      </c>
      <c r="G78" s="2">
        <v>251.86</v>
      </c>
      <c r="H78" s="2">
        <v>224.02</v>
      </c>
      <c r="I78" s="2">
        <v>349.65</v>
      </c>
    </row>
    <row r="79" spans="1:9" hidden="1" x14ac:dyDescent="0.3">
      <c r="A79" t="s">
        <v>356</v>
      </c>
      <c r="B79" t="s">
        <v>92</v>
      </c>
      <c r="C79" t="s">
        <v>113</v>
      </c>
      <c r="D79" s="2">
        <v>-401.28</v>
      </c>
      <c r="E79" s="2">
        <v>0</v>
      </c>
      <c r="F79" s="2">
        <v>-162.65</v>
      </c>
      <c r="G79" s="2">
        <v>-127.99</v>
      </c>
      <c r="H79" s="2">
        <v>-71.7</v>
      </c>
      <c r="I79" s="2">
        <v>-127.6</v>
      </c>
    </row>
    <row r="80" spans="1:9" hidden="1" x14ac:dyDescent="0.3">
      <c r="A80" t="s">
        <v>356</v>
      </c>
      <c r="B80" t="s">
        <v>92</v>
      </c>
      <c r="C80" t="s">
        <v>114</v>
      </c>
      <c r="D80" s="2">
        <v>682.29</v>
      </c>
      <c r="E80" s="2">
        <v>518.16</v>
      </c>
      <c r="F80" s="2">
        <v>302.07</v>
      </c>
      <c r="G80" s="2">
        <v>123.87</v>
      </c>
      <c r="H80" s="2">
        <v>152.32</v>
      </c>
      <c r="I80" s="2">
        <v>222.05</v>
      </c>
    </row>
    <row r="81" spans="1:9" hidden="1" x14ac:dyDescent="0.3">
      <c r="A81" t="s">
        <v>356</v>
      </c>
      <c r="B81" t="s">
        <v>92</v>
      </c>
      <c r="C81" t="s">
        <v>115</v>
      </c>
      <c r="D81" s="2">
        <v>682.29</v>
      </c>
      <c r="E81" s="2">
        <v>518.16</v>
      </c>
      <c r="F81" s="2">
        <v>302.07</v>
      </c>
      <c r="G81" s="2">
        <v>123.87</v>
      </c>
      <c r="H81" s="2">
        <v>152.32</v>
      </c>
      <c r="I81" s="2">
        <v>222.05</v>
      </c>
    </row>
    <row r="82" spans="1:9" hidden="1" x14ac:dyDescent="0.3">
      <c r="A82" t="s">
        <v>356</v>
      </c>
      <c r="B82" t="s">
        <v>92</v>
      </c>
      <c r="C82" t="s">
        <v>116</v>
      </c>
      <c r="D82" s="2">
        <v>4719.33</v>
      </c>
      <c r="E82" s="2">
        <v>2784.87</v>
      </c>
      <c r="F82" s="2">
        <v>2258.1</v>
      </c>
      <c r="G82" s="2">
        <v>1871.3</v>
      </c>
      <c r="H82" s="2">
        <v>1271.51</v>
      </c>
      <c r="I82" s="2">
        <v>1060.7</v>
      </c>
    </row>
    <row r="83" spans="1:9" hidden="1" x14ac:dyDescent="0.3">
      <c r="A83" t="s">
        <v>356</v>
      </c>
      <c r="B83" t="s">
        <v>92</v>
      </c>
      <c r="C83" t="s">
        <v>117</v>
      </c>
      <c r="D83" s="2">
        <v>1131.7</v>
      </c>
      <c r="E83" s="2">
        <v>521.79999999999995</v>
      </c>
      <c r="F83" s="2">
        <v>365.53</v>
      </c>
      <c r="G83" s="2">
        <v>455.23</v>
      </c>
      <c r="H83" s="2">
        <v>252.06</v>
      </c>
      <c r="I83" s="2">
        <v>231.26</v>
      </c>
    </row>
    <row r="84" spans="1:9" hidden="1" x14ac:dyDescent="0.3">
      <c r="A84" t="s">
        <v>356</v>
      </c>
      <c r="B84" t="s">
        <v>92</v>
      </c>
      <c r="C84" t="s">
        <v>118</v>
      </c>
      <c r="D84" s="2">
        <v>656.85</v>
      </c>
      <c r="E84" s="2">
        <v>521.79999999999995</v>
      </c>
      <c r="F84" s="2">
        <v>365.53</v>
      </c>
      <c r="G84" s="2">
        <v>343.23</v>
      </c>
      <c r="H84" s="2">
        <v>252.06</v>
      </c>
      <c r="I84" s="2">
        <v>231.26</v>
      </c>
    </row>
    <row r="85" spans="1:9" hidden="1" x14ac:dyDescent="0.3">
      <c r="A85" t="s">
        <v>356</v>
      </c>
      <c r="B85" t="s">
        <v>92</v>
      </c>
      <c r="C85" t="s">
        <v>147</v>
      </c>
      <c r="D85" s="2">
        <v>474.86</v>
      </c>
      <c r="E85" s="2">
        <v>0</v>
      </c>
      <c r="F85" s="2">
        <v>0</v>
      </c>
      <c r="G85" s="2">
        <v>112</v>
      </c>
      <c r="H85" s="2">
        <v>0</v>
      </c>
      <c r="I85" s="2">
        <v>0</v>
      </c>
    </row>
    <row r="86" spans="1:9" hidden="1" x14ac:dyDescent="0.3">
      <c r="A86" t="s">
        <v>356</v>
      </c>
      <c r="B86" t="s">
        <v>92</v>
      </c>
      <c r="C86" t="s">
        <v>121</v>
      </c>
      <c r="D86" s="2">
        <v>3587.62</v>
      </c>
      <c r="E86" s="2">
        <v>2263.0700000000002</v>
      </c>
      <c r="F86" s="2">
        <v>1892.57</v>
      </c>
      <c r="G86" s="2">
        <v>1416.07</v>
      </c>
      <c r="H86" s="2">
        <v>1019.46</v>
      </c>
      <c r="I86" s="2">
        <v>829.44</v>
      </c>
    </row>
    <row r="87" spans="1:9" hidden="1" x14ac:dyDescent="0.3">
      <c r="A87" t="s">
        <v>356</v>
      </c>
      <c r="B87" t="s">
        <v>92</v>
      </c>
      <c r="C87" t="s">
        <v>122</v>
      </c>
      <c r="D87" s="2">
        <v>1539.23</v>
      </c>
      <c r="E87" s="2">
        <v>2039.53</v>
      </c>
      <c r="F87" s="2">
        <v>1255.98</v>
      </c>
      <c r="G87" s="2">
        <v>962.39</v>
      </c>
      <c r="H87" s="2">
        <v>761.47</v>
      </c>
      <c r="I87" s="2">
        <v>402.59</v>
      </c>
    </row>
    <row r="88" spans="1:9" hidden="1" x14ac:dyDescent="0.3">
      <c r="A88" t="s">
        <v>356</v>
      </c>
      <c r="B88" t="s">
        <v>92</v>
      </c>
      <c r="C88" t="s">
        <v>149</v>
      </c>
      <c r="D88" s="2">
        <v>528.9</v>
      </c>
      <c r="E88" s="2">
        <v>1410.05</v>
      </c>
      <c r="F88" s="2">
        <v>811.93</v>
      </c>
      <c r="G88" s="2">
        <v>0</v>
      </c>
      <c r="H88" s="2">
        <v>588.77</v>
      </c>
      <c r="I88" s="2">
        <v>276.33999999999997</v>
      </c>
    </row>
    <row r="89" spans="1:9" hidden="1" x14ac:dyDescent="0.3">
      <c r="A89" t="s">
        <v>356</v>
      </c>
      <c r="B89" t="s">
        <v>92</v>
      </c>
      <c r="C89" t="s">
        <v>123</v>
      </c>
      <c r="D89" s="2">
        <v>90.32</v>
      </c>
      <c r="E89" s="2">
        <v>9.57</v>
      </c>
      <c r="F89" s="2">
        <v>7.11</v>
      </c>
      <c r="G89" s="2">
        <v>14.2</v>
      </c>
      <c r="H89" s="2">
        <v>0</v>
      </c>
      <c r="I89" s="2">
        <v>0</v>
      </c>
    </row>
    <row r="90" spans="1:9" hidden="1" x14ac:dyDescent="0.3">
      <c r="A90" t="s">
        <v>356</v>
      </c>
      <c r="B90" t="s">
        <v>92</v>
      </c>
      <c r="C90" t="s">
        <v>152</v>
      </c>
      <c r="D90" s="2">
        <v>920.01</v>
      </c>
      <c r="E90" s="2">
        <v>619.9</v>
      </c>
      <c r="F90" s="2">
        <v>436.94</v>
      </c>
      <c r="G90" s="2">
        <v>299.33</v>
      </c>
      <c r="H90" s="2">
        <v>172.69</v>
      </c>
      <c r="I90" s="2">
        <v>126.24</v>
      </c>
    </row>
    <row r="91" spans="1:9" hidden="1" x14ac:dyDescent="0.3">
      <c r="A91" t="s">
        <v>356</v>
      </c>
      <c r="B91" t="s">
        <v>92</v>
      </c>
      <c r="C91" t="s">
        <v>153</v>
      </c>
      <c r="D91" s="2">
        <v>17.09</v>
      </c>
      <c r="E91" s="2">
        <v>55.28</v>
      </c>
      <c r="F91" s="2">
        <v>15.49</v>
      </c>
      <c r="G91" s="2">
        <v>7.0000000000000007E-2</v>
      </c>
      <c r="H91" s="2">
        <v>36.450000000000003</v>
      </c>
      <c r="I91" s="2">
        <v>9.41</v>
      </c>
    </row>
    <row r="92" spans="1:9" hidden="1" x14ac:dyDescent="0.3">
      <c r="A92" t="s">
        <v>356</v>
      </c>
      <c r="B92" t="s">
        <v>92</v>
      </c>
      <c r="C92" t="s">
        <v>125</v>
      </c>
      <c r="D92" s="2">
        <v>2031.3</v>
      </c>
      <c r="E92" s="2">
        <v>168.26</v>
      </c>
      <c r="F92" s="2">
        <v>621.09</v>
      </c>
      <c r="G92" s="2">
        <v>453.61</v>
      </c>
      <c r="H92" s="2">
        <v>221.54</v>
      </c>
      <c r="I92" s="2">
        <v>417.45</v>
      </c>
    </row>
    <row r="93" spans="1:9" hidden="1" x14ac:dyDescent="0.3">
      <c r="A93" t="s">
        <v>356</v>
      </c>
      <c r="B93" t="s">
        <v>92</v>
      </c>
      <c r="C93" t="s">
        <v>126</v>
      </c>
      <c r="D93" s="2">
        <v>4719.33</v>
      </c>
      <c r="E93" s="2">
        <v>2784.87</v>
      </c>
      <c r="F93" s="2">
        <v>2258.1</v>
      </c>
      <c r="G93" s="2">
        <v>1871.3</v>
      </c>
      <c r="H93" s="2">
        <v>1271.51</v>
      </c>
      <c r="I93" s="2">
        <v>1060.7</v>
      </c>
    </row>
    <row r="94" spans="1:9" hidden="1" x14ac:dyDescent="0.3">
      <c r="A94" t="s">
        <v>356</v>
      </c>
      <c r="B94" t="s">
        <v>92</v>
      </c>
      <c r="C94" t="s">
        <v>127</v>
      </c>
      <c r="D94" s="2">
        <v>2304.5100000000002</v>
      </c>
      <c r="E94" s="2">
        <v>1941.91</v>
      </c>
      <c r="F94" s="2">
        <v>1453.3</v>
      </c>
      <c r="G94" s="2">
        <v>1153.26</v>
      </c>
      <c r="H94" s="2">
        <v>1026.83</v>
      </c>
      <c r="I94" s="2">
        <v>765.66</v>
      </c>
    </row>
    <row r="95" spans="1:9" hidden="1" x14ac:dyDescent="0.3">
      <c r="A95" t="s">
        <v>356</v>
      </c>
      <c r="B95" t="s">
        <v>92</v>
      </c>
      <c r="C95" t="s">
        <v>128</v>
      </c>
      <c r="D95" s="2">
        <v>2304.5100000000002</v>
      </c>
      <c r="E95" s="2">
        <v>1941.91</v>
      </c>
      <c r="F95" s="2">
        <v>1453.3</v>
      </c>
      <c r="G95" s="2">
        <v>1153.26</v>
      </c>
      <c r="H95" s="2">
        <v>1026.83</v>
      </c>
      <c r="I95" s="2">
        <v>765.66</v>
      </c>
    </row>
    <row r="96" spans="1:9" hidden="1" x14ac:dyDescent="0.3">
      <c r="A96" t="s">
        <v>356</v>
      </c>
      <c r="B96" t="s">
        <v>92</v>
      </c>
      <c r="C96" t="s">
        <v>129</v>
      </c>
      <c r="D96" s="2">
        <v>20</v>
      </c>
      <c r="E96" s="2">
        <v>20</v>
      </c>
      <c r="F96" s="2">
        <v>20</v>
      </c>
      <c r="G96" s="2">
        <v>20</v>
      </c>
      <c r="H96" s="2">
        <v>20</v>
      </c>
      <c r="I96" s="2">
        <v>20</v>
      </c>
    </row>
    <row r="97" spans="1:9" hidden="1" x14ac:dyDescent="0.3">
      <c r="A97" t="s">
        <v>356</v>
      </c>
      <c r="B97" t="s">
        <v>92</v>
      </c>
      <c r="C97" t="s">
        <v>130</v>
      </c>
      <c r="D97" s="2">
        <v>80</v>
      </c>
      <c r="E97" s="2">
        <v>80</v>
      </c>
      <c r="F97" s="2">
        <v>80</v>
      </c>
      <c r="G97" s="2">
        <v>80</v>
      </c>
      <c r="H97" s="2">
        <v>80</v>
      </c>
      <c r="I97" s="2">
        <v>65.48</v>
      </c>
    </row>
    <row r="98" spans="1:9" hidden="1" x14ac:dyDescent="0.3">
      <c r="A98" t="s">
        <v>356</v>
      </c>
      <c r="B98" t="s">
        <v>92</v>
      </c>
      <c r="C98" t="s">
        <v>131</v>
      </c>
      <c r="D98" s="2">
        <v>1522.22</v>
      </c>
      <c r="E98" s="2">
        <v>1323.76</v>
      </c>
      <c r="F98" s="2">
        <v>1051.23</v>
      </c>
      <c r="G98" s="2">
        <v>929.39</v>
      </c>
      <c r="H98" s="2">
        <v>774.51</v>
      </c>
      <c r="I98" s="2">
        <v>458.12</v>
      </c>
    </row>
    <row r="99" spans="1:9" hidden="1" x14ac:dyDescent="0.3">
      <c r="A99" t="s">
        <v>356</v>
      </c>
      <c r="B99" t="s">
        <v>92</v>
      </c>
      <c r="C99" t="s">
        <v>132</v>
      </c>
      <c r="D99" s="2">
        <v>682.29</v>
      </c>
      <c r="E99" s="2">
        <v>518.16</v>
      </c>
      <c r="F99" s="2">
        <v>302.07</v>
      </c>
      <c r="G99" s="2">
        <v>123.87</v>
      </c>
      <c r="H99" s="2">
        <v>152.32</v>
      </c>
      <c r="I99" s="2">
        <v>222.05</v>
      </c>
    </row>
    <row r="100" spans="1:9" hidden="1" x14ac:dyDescent="0.3">
      <c r="A100" t="s">
        <v>356</v>
      </c>
      <c r="B100" t="s">
        <v>92</v>
      </c>
      <c r="C100" t="s">
        <v>133</v>
      </c>
      <c r="D100" s="2">
        <v>2414.8200000000002</v>
      </c>
      <c r="E100" s="2">
        <v>842.96</v>
      </c>
      <c r="F100" s="2">
        <v>804.8</v>
      </c>
      <c r="G100" s="2">
        <v>718.04</v>
      </c>
      <c r="H100" s="2">
        <v>244.68</v>
      </c>
      <c r="I100" s="2">
        <v>295.05</v>
      </c>
    </row>
    <row r="101" spans="1:9" hidden="1" x14ac:dyDescent="0.3">
      <c r="A101" t="s">
        <v>356</v>
      </c>
      <c r="B101" t="s">
        <v>92</v>
      </c>
      <c r="C101" t="s">
        <v>137</v>
      </c>
      <c r="D101" s="2">
        <v>2414.8200000000002</v>
      </c>
      <c r="E101" s="2">
        <v>842.96</v>
      </c>
      <c r="F101" s="2">
        <v>804.8</v>
      </c>
      <c r="G101" s="2">
        <v>718.04</v>
      </c>
      <c r="H101" s="2">
        <v>244.68</v>
      </c>
      <c r="I101" s="2">
        <v>295.05</v>
      </c>
    </row>
    <row r="102" spans="1:9" hidden="1" x14ac:dyDescent="0.3">
      <c r="A102" t="s">
        <v>356</v>
      </c>
      <c r="B102" t="s">
        <v>92</v>
      </c>
      <c r="C102" t="s">
        <v>155</v>
      </c>
      <c r="D102" s="2">
        <v>0</v>
      </c>
      <c r="E102" s="2">
        <v>93.25</v>
      </c>
      <c r="F102" s="2">
        <v>0</v>
      </c>
      <c r="G102" s="2">
        <v>0</v>
      </c>
      <c r="H102" s="2">
        <v>0</v>
      </c>
      <c r="I102" s="2">
        <v>0</v>
      </c>
    </row>
    <row r="103" spans="1:9" hidden="1" x14ac:dyDescent="0.3">
      <c r="A103" t="s">
        <v>356</v>
      </c>
      <c r="B103" t="s">
        <v>92</v>
      </c>
      <c r="C103" t="s">
        <v>138</v>
      </c>
      <c r="D103" s="2">
        <v>1297.57</v>
      </c>
      <c r="E103" s="2">
        <v>537.78</v>
      </c>
      <c r="F103" s="2">
        <v>445.59</v>
      </c>
      <c r="G103" s="2">
        <v>535.94000000000005</v>
      </c>
      <c r="H103" s="2">
        <v>93.43</v>
      </c>
      <c r="I103" s="2">
        <v>89.93</v>
      </c>
    </row>
    <row r="104" spans="1:9" hidden="1" x14ac:dyDescent="0.3">
      <c r="A104" t="s">
        <v>356</v>
      </c>
      <c r="B104" t="s">
        <v>92</v>
      </c>
      <c r="C104" t="s">
        <v>139</v>
      </c>
      <c r="D104" s="2">
        <v>0</v>
      </c>
      <c r="E104" s="2">
        <v>0</v>
      </c>
      <c r="F104" s="2">
        <v>170.41</v>
      </c>
      <c r="G104" s="2">
        <v>0</v>
      </c>
      <c r="H104" s="2">
        <v>0</v>
      </c>
      <c r="I104" s="2">
        <v>0</v>
      </c>
    </row>
    <row r="105" spans="1:9" hidden="1" x14ac:dyDescent="0.3">
      <c r="A105" t="s">
        <v>356</v>
      </c>
      <c r="B105" t="s">
        <v>92</v>
      </c>
      <c r="C105" t="s">
        <v>140</v>
      </c>
      <c r="D105" s="2">
        <v>1297.57</v>
      </c>
      <c r="E105" s="2">
        <v>537.78</v>
      </c>
      <c r="F105" s="2">
        <v>275.19</v>
      </c>
      <c r="G105" s="2">
        <v>0</v>
      </c>
      <c r="H105" s="2">
        <v>93.43</v>
      </c>
      <c r="I105" s="2">
        <v>89.93</v>
      </c>
    </row>
    <row r="106" spans="1:9" hidden="1" x14ac:dyDescent="0.3">
      <c r="A106" t="s">
        <v>356</v>
      </c>
      <c r="B106" t="s">
        <v>92</v>
      </c>
      <c r="C106" t="s">
        <v>135</v>
      </c>
      <c r="D106" s="2">
        <v>613.39</v>
      </c>
      <c r="E106" s="2">
        <v>188.78</v>
      </c>
      <c r="F106" s="2">
        <v>148.11000000000001</v>
      </c>
      <c r="G106" s="2">
        <v>52.61</v>
      </c>
      <c r="H106" s="2">
        <v>47.48</v>
      </c>
      <c r="I106" s="2">
        <v>69.17</v>
      </c>
    </row>
    <row r="107" spans="1:9" hidden="1" x14ac:dyDescent="0.3">
      <c r="A107" t="s">
        <v>356</v>
      </c>
      <c r="B107" t="s">
        <v>92</v>
      </c>
      <c r="C107" t="s">
        <v>141</v>
      </c>
      <c r="D107" s="2">
        <v>64.67</v>
      </c>
      <c r="E107" s="2">
        <v>7.51</v>
      </c>
      <c r="F107" s="2">
        <v>1.08</v>
      </c>
      <c r="G107" s="2">
        <v>0</v>
      </c>
      <c r="H107" s="2">
        <v>0</v>
      </c>
      <c r="I107" s="2">
        <v>0</v>
      </c>
    </row>
    <row r="108" spans="1:9" hidden="1" x14ac:dyDescent="0.3">
      <c r="A108" t="s">
        <v>356</v>
      </c>
      <c r="B108" t="s">
        <v>92</v>
      </c>
      <c r="C108" t="s">
        <v>157</v>
      </c>
      <c r="D108" s="2">
        <v>439.2</v>
      </c>
      <c r="E108" s="2">
        <v>15.63</v>
      </c>
      <c r="F108" s="2">
        <v>210.01</v>
      </c>
      <c r="G108" s="2">
        <v>129.49</v>
      </c>
      <c r="H108" s="2">
        <v>103.77</v>
      </c>
      <c r="I108" s="2">
        <v>135.94999999999999</v>
      </c>
    </row>
    <row r="109" spans="1:9" hidden="1" x14ac:dyDescent="0.3">
      <c r="A109" t="s">
        <v>355</v>
      </c>
      <c r="B109" t="s">
        <v>92</v>
      </c>
      <c r="C109" t="s">
        <v>99</v>
      </c>
      <c r="D109" s="2">
        <v>28774.39</v>
      </c>
      <c r="E109" s="2">
        <v>24820.23</v>
      </c>
      <c r="F109" s="2">
        <v>19475.88</v>
      </c>
      <c r="G109" s="2">
        <v>13875.26</v>
      </c>
      <c r="H109" s="2">
        <v>12840.8</v>
      </c>
      <c r="I109" s="2">
        <v>14284.72</v>
      </c>
    </row>
    <row r="110" spans="1:9" hidden="1" x14ac:dyDescent="0.3">
      <c r="A110" t="s">
        <v>355</v>
      </c>
      <c r="B110" t="s">
        <v>92</v>
      </c>
      <c r="C110" t="s">
        <v>142</v>
      </c>
      <c r="D110" s="2">
        <v>28774.39</v>
      </c>
      <c r="E110" s="2">
        <v>24820.23</v>
      </c>
      <c r="F110" s="2">
        <v>19475.88</v>
      </c>
      <c r="G110" s="2">
        <v>13875.26</v>
      </c>
      <c r="H110" s="2">
        <v>12840.8</v>
      </c>
      <c r="I110" s="2">
        <v>14284.72</v>
      </c>
    </row>
    <row r="111" spans="1:9" hidden="1" x14ac:dyDescent="0.3">
      <c r="A111" t="s">
        <v>355</v>
      </c>
      <c r="B111" t="s">
        <v>92</v>
      </c>
      <c r="C111" t="s">
        <v>102</v>
      </c>
      <c r="D111" s="2">
        <v>-263.68</v>
      </c>
      <c r="E111" s="2">
        <v>-449.78</v>
      </c>
      <c r="F111" s="2">
        <v>-322.49</v>
      </c>
      <c r="G111" s="2">
        <v>-140.44</v>
      </c>
      <c r="H111" s="2">
        <v>-140.07</v>
      </c>
      <c r="I111" s="2">
        <v>-142.52000000000001</v>
      </c>
    </row>
    <row r="112" spans="1:9" hidden="1" x14ac:dyDescent="0.3">
      <c r="A112" t="s">
        <v>355</v>
      </c>
      <c r="B112" t="s">
        <v>92</v>
      </c>
      <c r="C112" t="s">
        <v>143</v>
      </c>
      <c r="D112" s="2">
        <v>-2614.04</v>
      </c>
      <c r="E112" s="2">
        <v>-1679.78</v>
      </c>
      <c r="F112" s="2">
        <v>-1492.05</v>
      </c>
      <c r="G112" s="2">
        <v>-1053.93</v>
      </c>
      <c r="H112" s="2">
        <v>-1153.22</v>
      </c>
      <c r="I112" s="2">
        <v>-1225.6300000000001</v>
      </c>
    </row>
    <row r="113" spans="1:9" hidden="1" x14ac:dyDescent="0.3">
      <c r="A113" t="s">
        <v>355</v>
      </c>
      <c r="B113" t="s">
        <v>92</v>
      </c>
      <c r="C113" t="s">
        <v>144</v>
      </c>
      <c r="D113" s="2">
        <v>-1.48</v>
      </c>
      <c r="E113" s="2">
        <v>-1.93</v>
      </c>
      <c r="F113" s="2">
        <v>-0.34</v>
      </c>
      <c r="G113" s="2">
        <v>-2.2799999999999998</v>
      </c>
      <c r="H113" s="2">
        <v>-0.85</v>
      </c>
      <c r="I113" s="2">
        <v>-9.76</v>
      </c>
    </row>
    <row r="114" spans="1:9" hidden="1" x14ac:dyDescent="0.3">
      <c r="A114" t="s">
        <v>355</v>
      </c>
      <c r="B114" t="s">
        <v>92</v>
      </c>
      <c r="C114" t="s">
        <v>145</v>
      </c>
      <c r="D114" s="2">
        <v>-67.8</v>
      </c>
      <c r="E114" s="2">
        <v>-262.75</v>
      </c>
      <c r="F114" s="2">
        <v>-217.08</v>
      </c>
      <c r="G114" s="2">
        <v>-160.01</v>
      </c>
      <c r="H114" s="2">
        <v>-141.76</v>
      </c>
      <c r="I114" s="2">
        <v>-147.02000000000001</v>
      </c>
    </row>
    <row r="115" spans="1:9" hidden="1" x14ac:dyDescent="0.3">
      <c r="A115" t="s">
        <v>355</v>
      </c>
      <c r="B115" t="s">
        <v>92</v>
      </c>
      <c r="C115" t="s">
        <v>100</v>
      </c>
      <c r="D115" s="2">
        <v>-21612.81</v>
      </c>
      <c r="E115" s="2">
        <v>-18757.52</v>
      </c>
      <c r="F115" s="2">
        <v>-15744.15</v>
      </c>
      <c r="G115" s="2">
        <v>-10467.18</v>
      </c>
      <c r="H115" s="2">
        <v>-9636.09</v>
      </c>
      <c r="I115" s="2">
        <v>-11351.23</v>
      </c>
    </row>
    <row r="116" spans="1:9" hidden="1" x14ac:dyDescent="0.3">
      <c r="A116" t="s">
        <v>355</v>
      </c>
      <c r="B116" t="s">
        <v>92</v>
      </c>
      <c r="C116" t="s">
        <v>103</v>
      </c>
      <c r="D116" s="2">
        <v>-8.19</v>
      </c>
      <c r="E116" s="2">
        <v>-34.4</v>
      </c>
      <c r="F116" s="2">
        <v>-52.71</v>
      </c>
      <c r="G116" s="2">
        <v>-846.39</v>
      </c>
      <c r="H116" s="2">
        <v>-580.76</v>
      </c>
      <c r="I116" s="2">
        <v>-85.43</v>
      </c>
    </row>
    <row r="117" spans="1:9" hidden="1" x14ac:dyDescent="0.3">
      <c r="A117" t="s">
        <v>355</v>
      </c>
      <c r="B117" t="s">
        <v>92</v>
      </c>
      <c r="C117" t="s">
        <v>104</v>
      </c>
      <c r="D117" s="2">
        <v>4206.3999999999996</v>
      </c>
      <c r="E117" s="2">
        <v>3634.07</v>
      </c>
      <c r="F117" s="2">
        <v>1647.07</v>
      </c>
      <c r="G117" s="2">
        <v>1205.04</v>
      </c>
      <c r="H117" s="2">
        <v>1188.05</v>
      </c>
      <c r="I117" s="2">
        <v>1323.13</v>
      </c>
    </row>
    <row r="118" spans="1:9" hidden="1" x14ac:dyDescent="0.3">
      <c r="A118" t="s">
        <v>355</v>
      </c>
      <c r="B118" t="s">
        <v>92</v>
      </c>
      <c r="C118" t="s">
        <v>105</v>
      </c>
      <c r="D118" s="2">
        <v>4214.59</v>
      </c>
      <c r="E118" s="2">
        <v>3668.47</v>
      </c>
      <c r="F118" s="2">
        <v>1699.78</v>
      </c>
      <c r="G118" s="2">
        <v>2051.4299999999998</v>
      </c>
      <c r="H118" s="2">
        <v>1768.81</v>
      </c>
      <c r="I118" s="2">
        <v>1408.56</v>
      </c>
    </row>
    <row r="119" spans="1:9" hidden="1" x14ac:dyDescent="0.3">
      <c r="A119" t="s">
        <v>355</v>
      </c>
      <c r="B119" t="s">
        <v>92</v>
      </c>
      <c r="C119" t="s">
        <v>106</v>
      </c>
      <c r="D119" s="2">
        <v>-3413.8</v>
      </c>
      <c r="E119" s="2">
        <v>-2172.85</v>
      </c>
      <c r="F119" s="2">
        <v>-699.01</v>
      </c>
      <c r="G119" s="2">
        <v>-580.16</v>
      </c>
      <c r="H119" s="2">
        <v>-674.35</v>
      </c>
      <c r="I119" s="2">
        <v>-740.59</v>
      </c>
    </row>
    <row r="120" spans="1:9" hidden="1" x14ac:dyDescent="0.3">
      <c r="A120" t="s">
        <v>355</v>
      </c>
      <c r="B120" t="s">
        <v>92</v>
      </c>
      <c r="C120" t="s">
        <v>107</v>
      </c>
      <c r="D120" s="2">
        <v>-3413.8</v>
      </c>
      <c r="E120" s="2">
        <v>-2172.85</v>
      </c>
      <c r="F120" s="2">
        <v>-699.01</v>
      </c>
      <c r="G120" s="2">
        <v>-580.16</v>
      </c>
      <c r="H120" s="2">
        <v>-674.35</v>
      </c>
      <c r="I120" s="2">
        <v>-740.59</v>
      </c>
    </row>
    <row r="121" spans="1:9" hidden="1" x14ac:dyDescent="0.3">
      <c r="A121" t="s">
        <v>355</v>
      </c>
      <c r="B121" t="s">
        <v>92</v>
      </c>
      <c r="C121" t="s">
        <v>146</v>
      </c>
      <c r="D121" s="2">
        <v>-3413.8</v>
      </c>
      <c r="E121" s="2">
        <v>-2172.85</v>
      </c>
      <c r="F121" s="2">
        <v>-699.01</v>
      </c>
      <c r="G121" s="2">
        <v>-580.16</v>
      </c>
      <c r="H121" s="2">
        <v>-674.35</v>
      </c>
      <c r="I121" s="2">
        <v>-740.59</v>
      </c>
    </row>
    <row r="122" spans="1:9" hidden="1" x14ac:dyDescent="0.3">
      <c r="A122" t="s">
        <v>355</v>
      </c>
      <c r="B122" t="s">
        <v>92</v>
      </c>
      <c r="C122" t="s">
        <v>109</v>
      </c>
      <c r="D122" s="2">
        <v>92.71</v>
      </c>
      <c r="E122" s="2">
        <v>177</v>
      </c>
      <c r="F122" s="2">
        <v>395.89</v>
      </c>
      <c r="G122" s="2">
        <v>441.07</v>
      </c>
      <c r="H122" s="2">
        <v>200.43</v>
      </c>
      <c r="I122" s="2">
        <v>78.59</v>
      </c>
    </row>
    <row r="123" spans="1:9" hidden="1" x14ac:dyDescent="0.3">
      <c r="A123" t="s">
        <v>355</v>
      </c>
      <c r="B123" t="s">
        <v>92</v>
      </c>
      <c r="C123" t="s">
        <v>110</v>
      </c>
      <c r="D123" s="2">
        <v>140.22999999999999</v>
      </c>
      <c r="E123" s="2">
        <v>226.96</v>
      </c>
      <c r="F123" s="2">
        <v>453.64</v>
      </c>
      <c r="G123" s="2">
        <v>487.92</v>
      </c>
      <c r="H123" s="2">
        <v>231.38</v>
      </c>
      <c r="I123" s="2">
        <v>131.4</v>
      </c>
    </row>
    <row r="124" spans="1:9" hidden="1" x14ac:dyDescent="0.3">
      <c r="A124" t="s">
        <v>355</v>
      </c>
      <c r="B124" t="s">
        <v>92</v>
      </c>
      <c r="C124" t="s">
        <v>111</v>
      </c>
      <c r="D124" s="2">
        <v>-47.51</v>
      </c>
      <c r="E124" s="2">
        <v>-49.96</v>
      </c>
      <c r="F124" s="2">
        <v>-57.75</v>
      </c>
      <c r="G124" s="2">
        <v>-46.85</v>
      </c>
      <c r="H124" s="2">
        <v>-30.95</v>
      </c>
      <c r="I124" s="2">
        <v>-52.81</v>
      </c>
    </row>
    <row r="125" spans="1:9" hidden="1" x14ac:dyDescent="0.3">
      <c r="A125" t="s">
        <v>355</v>
      </c>
      <c r="B125" t="s">
        <v>92</v>
      </c>
      <c r="C125" t="s">
        <v>112</v>
      </c>
      <c r="D125" s="2">
        <v>885.31</v>
      </c>
      <c r="E125" s="2">
        <v>1638.22</v>
      </c>
      <c r="F125" s="2">
        <v>1343.95</v>
      </c>
      <c r="G125" s="2">
        <v>1065.95</v>
      </c>
      <c r="H125" s="2">
        <v>714.13</v>
      </c>
      <c r="I125" s="2">
        <v>661.13</v>
      </c>
    </row>
    <row r="126" spans="1:9" hidden="1" x14ac:dyDescent="0.3">
      <c r="A126" t="s">
        <v>355</v>
      </c>
      <c r="B126" t="s">
        <v>92</v>
      </c>
      <c r="C126" t="s">
        <v>113</v>
      </c>
      <c r="D126" s="2">
        <v>0</v>
      </c>
      <c r="E126" s="2">
        <v>-589.65</v>
      </c>
      <c r="F126" s="2">
        <v>-540.4</v>
      </c>
      <c r="G126" s="2">
        <v>-387.25</v>
      </c>
      <c r="H126" s="2">
        <v>-240.49</v>
      </c>
      <c r="I126" s="2">
        <v>-234.1</v>
      </c>
    </row>
    <row r="127" spans="1:9" hidden="1" x14ac:dyDescent="0.3">
      <c r="A127" t="s">
        <v>355</v>
      </c>
      <c r="B127" t="s">
        <v>92</v>
      </c>
      <c r="C127" t="s">
        <v>114</v>
      </c>
      <c r="D127" s="2">
        <v>885.31</v>
      </c>
      <c r="E127" s="2">
        <v>1048.57</v>
      </c>
      <c r="F127" s="2">
        <v>803.55</v>
      </c>
      <c r="G127" s="2">
        <v>678.7</v>
      </c>
      <c r="H127" s="2">
        <v>473.64</v>
      </c>
      <c r="I127" s="2">
        <v>427.03</v>
      </c>
    </row>
    <row r="128" spans="1:9" hidden="1" x14ac:dyDescent="0.3">
      <c r="A128" t="s">
        <v>355</v>
      </c>
      <c r="B128" t="s">
        <v>92</v>
      </c>
      <c r="C128" t="s">
        <v>115</v>
      </c>
      <c r="D128" s="2">
        <v>885.31</v>
      </c>
      <c r="E128" s="2">
        <v>1048.57</v>
      </c>
      <c r="F128" s="2">
        <v>803.55</v>
      </c>
      <c r="G128" s="2">
        <v>678.7</v>
      </c>
      <c r="H128" s="2">
        <v>473.64</v>
      </c>
      <c r="I128" s="2">
        <v>427.03</v>
      </c>
    </row>
    <row r="129" spans="1:9" hidden="1" x14ac:dyDescent="0.3">
      <c r="A129" t="s">
        <v>355</v>
      </c>
      <c r="B129" t="s">
        <v>92</v>
      </c>
      <c r="C129" t="s">
        <v>116</v>
      </c>
      <c r="D129" s="2">
        <v>28320.51</v>
      </c>
      <c r="E129" s="2">
        <v>22551.61</v>
      </c>
      <c r="F129" s="2">
        <v>14929.85</v>
      </c>
      <c r="G129" s="2">
        <v>12831.34</v>
      </c>
      <c r="H129" s="2">
        <v>12788.47</v>
      </c>
      <c r="I129" s="2">
        <v>12320.18</v>
      </c>
    </row>
    <row r="130" spans="1:9" hidden="1" x14ac:dyDescent="0.3">
      <c r="A130" t="s">
        <v>355</v>
      </c>
      <c r="B130" t="s">
        <v>92</v>
      </c>
      <c r="C130" t="s">
        <v>117</v>
      </c>
      <c r="D130" s="2">
        <v>8963.1299999999992</v>
      </c>
      <c r="E130" s="2">
        <v>8998.34</v>
      </c>
      <c r="F130" s="2">
        <v>5099.41</v>
      </c>
      <c r="G130" s="2">
        <v>3274.64</v>
      </c>
      <c r="H130" s="2">
        <v>3471.94</v>
      </c>
      <c r="I130" s="2">
        <v>3786.85</v>
      </c>
    </row>
    <row r="131" spans="1:9" hidden="1" x14ac:dyDescent="0.3">
      <c r="A131" t="s">
        <v>355</v>
      </c>
      <c r="B131" t="s">
        <v>92</v>
      </c>
      <c r="C131" t="s">
        <v>118</v>
      </c>
      <c r="D131" s="2">
        <v>8963.1299999999992</v>
      </c>
      <c r="E131" s="2">
        <v>8998.34</v>
      </c>
      <c r="F131" s="2">
        <v>5099.41</v>
      </c>
      <c r="G131" s="2">
        <v>3274.64</v>
      </c>
      <c r="H131" s="2">
        <v>3471.94</v>
      </c>
      <c r="I131" s="2">
        <v>3786.85</v>
      </c>
    </row>
    <row r="132" spans="1:9" hidden="1" x14ac:dyDescent="0.3">
      <c r="A132" t="s">
        <v>355</v>
      </c>
      <c r="B132" t="s">
        <v>92</v>
      </c>
      <c r="C132" t="s">
        <v>121</v>
      </c>
      <c r="D132" s="2">
        <v>19357.38</v>
      </c>
      <c r="E132" s="2">
        <v>13553.27</v>
      </c>
      <c r="F132" s="2">
        <v>9830.44</v>
      </c>
      <c r="G132" s="2">
        <v>9556.7099999999991</v>
      </c>
      <c r="H132" s="2">
        <v>9316.5300000000007</v>
      </c>
      <c r="I132" s="2">
        <v>8533.33</v>
      </c>
    </row>
    <row r="133" spans="1:9" hidden="1" x14ac:dyDescent="0.3">
      <c r="A133" t="s">
        <v>355</v>
      </c>
      <c r="B133" t="s">
        <v>92</v>
      </c>
      <c r="C133" t="s">
        <v>163</v>
      </c>
      <c r="D133" s="2">
        <v>1509.68</v>
      </c>
      <c r="E133" s="2">
        <v>685.65</v>
      </c>
      <c r="F133" s="2">
        <v>471.17</v>
      </c>
      <c r="G133" s="2">
        <v>430.42</v>
      </c>
      <c r="H133" s="2">
        <v>236.46</v>
      </c>
      <c r="I133" s="2">
        <v>111.37</v>
      </c>
    </row>
    <row r="134" spans="1:9" hidden="1" x14ac:dyDescent="0.3">
      <c r="A134" t="s">
        <v>355</v>
      </c>
      <c r="B134" t="s">
        <v>92</v>
      </c>
      <c r="C134" t="s">
        <v>164</v>
      </c>
      <c r="D134" s="2">
        <v>1509.68</v>
      </c>
      <c r="E134" s="2">
        <v>685.65</v>
      </c>
      <c r="F134" s="2">
        <v>471.17</v>
      </c>
      <c r="G134" s="2">
        <v>430.42</v>
      </c>
      <c r="H134" s="2">
        <v>236.46</v>
      </c>
      <c r="I134" s="2">
        <v>111.37</v>
      </c>
    </row>
    <row r="135" spans="1:9" hidden="1" x14ac:dyDescent="0.3">
      <c r="A135" t="s">
        <v>355</v>
      </c>
      <c r="B135" t="s">
        <v>92</v>
      </c>
      <c r="C135" t="s">
        <v>122</v>
      </c>
      <c r="D135" s="2">
        <v>15739.95</v>
      </c>
      <c r="E135" s="2">
        <v>11112.75</v>
      </c>
      <c r="F135" s="2">
        <v>8430.59</v>
      </c>
      <c r="G135" s="2">
        <v>7785.03</v>
      </c>
      <c r="H135" s="2">
        <v>5485.11</v>
      </c>
      <c r="I135" s="2">
        <v>8206.73</v>
      </c>
    </row>
    <row r="136" spans="1:9" hidden="1" x14ac:dyDescent="0.3">
      <c r="A136" t="s">
        <v>355</v>
      </c>
      <c r="B136" t="s">
        <v>92</v>
      </c>
      <c r="C136" t="s">
        <v>149</v>
      </c>
      <c r="D136" s="2">
        <v>12636.5</v>
      </c>
      <c r="E136" s="2">
        <v>8708.83</v>
      </c>
      <c r="F136" s="2">
        <v>7193.63</v>
      </c>
      <c r="G136" s="2">
        <v>0</v>
      </c>
      <c r="H136" s="2">
        <v>4943.75</v>
      </c>
      <c r="I136" s="2">
        <v>7377.11</v>
      </c>
    </row>
    <row r="137" spans="1:9" hidden="1" x14ac:dyDescent="0.3">
      <c r="A137" t="s">
        <v>355</v>
      </c>
      <c r="B137" t="s">
        <v>92</v>
      </c>
      <c r="C137" t="s">
        <v>123</v>
      </c>
      <c r="D137" s="2">
        <v>1399.55</v>
      </c>
      <c r="E137" s="2">
        <v>1185.04</v>
      </c>
      <c r="F137" s="2">
        <v>350.01</v>
      </c>
      <c r="G137" s="2">
        <v>317.3</v>
      </c>
      <c r="H137" s="2">
        <v>160.13</v>
      </c>
      <c r="I137" s="2">
        <v>94.42</v>
      </c>
    </row>
    <row r="138" spans="1:9" hidden="1" x14ac:dyDescent="0.3">
      <c r="A138" t="s">
        <v>355</v>
      </c>
      <c r="B138" t="s">
        <v>92</v>
      </c>
      <c r="C138" t="s">
        <v>151</v>
      </c>
      <c r="D138" s="2">
        <v>-636.57000000000005</v>
      </c>
      <c r="E138" s="2">
        <v>-636.57000000000005</v>
      </c>
      <c r="F138" s="2">
        <v>-636.57000000000005</v>
      </c>
      <c r="G138" s="2">
        <v>-1416.57</v>
      </c>
      <c r="H138" s="2">
        <v>-598.84</v>
      </c>
      <c r="I138" s="2">
        <v>-111.92</v>
      </c>
    </row>
    <row r="139" spans="1:9" hidden="1" x14ac:dyDescent="0.3">
      <c r="A139" t="s">
        <v>355</v>
      </c>
      <c r="B139" t="s">
        <v>92</v>
      </c>
      <c r="C139" t="s">
        <v>152</v>
      </c>
      <c r="D139" s="2">
        <v>2340.4699999999998</v>
      </c>
      <c r="E139" s="2">
        <v>1855.45</v>
      </c>
      <c r="F139" s="2">
        <v>1523.52</v>
      </c>
      <c r="G139" s="2">
        <v>1164.03</v>
      </c>
      <c r="H139" s="2">
        <v>980.07</v>
      </c>
      <c r="I139" s="2">
        <v>847.13</v>
      </c>
    </row>
    <row r="140" spans="1:9" hidden="1" x14ac:dyDescent="0.3">
      <c r="A140" t="s">
        <v>355</v>
      </c>
      <c r="B140" t="s">
        <v>92</v>
      </c>
      <c r="C140" t="s">
        <v>153</v>
      </c>
      <c r="D140" s="2">
        <v>862.34</v>
      </c>
      <c r="E140" s="2">
        <v>960.53</v>
      </c>
      <c r="F140" s="2">
        <v>85.86</v>
      </c>
      <c r="G140" s="2">
        <v>113.17</v>
      </c>
      <c r="H140" s="2">
        <v>1.31</v>
      </c>
      <c r="I140" s="2">
        <v>33.14</v>
      </c>
    </row>
    <row r="141" spans="1:9" hidden="1" x14ac:dyDescent="0.3">
      <c r="A141" t="s">
        <v>355</v>
      </c>
      <c r="B141" t="s">
        <v>92</v>
      </c>
      <c r="C141" t="s">
        <v>124</v>
      </c>
      <c r="D141" s="2">
        <v>480.16</v>
      </c>
      <c r="E141" s="2">
        <v>240</v>
      </c>
      <c r="F141" s="2">
        <v>0</v>
      </c>
      <c r="G141" s="2">
        <v>0</v>
      </c>
      <c r="H141" s="2">
        <v>0</v>
      </c>
      <c r="I141" s="2">
        <v>0</v>
      </c>
    </row>
    <row r="142" spans="1:9" hidden="1" x14ac:dyDescent="0.3">
      <c r="A142" t="s">
        <v>355</v>
      </c>
      <c r="B142" t="s">
        <v>92</v>
      </c>
      <c r="C142" t="s">
        <v>125</v>
      </c>
      <c r="D142" s="2">
        <v>765.25</v>
      </c>
      <c r="E142" s="2">
        <v>554.34</v>
      </c>
      <c r="F142" s="2">
        <v>842.82</v>
      </c>
      <c r="G142" s="2">
        <v>1228.08</v>
      </c>
      <c r="H142" s="2">
        <v>3593.66</v>
      </c>
      <c r="I142" s="2">
        <v>182.08</v>
      </c>
    </row>
    <row r="143" spans="1:9" hidden="1" x14ac:dyDescent="0.3">
      <c r="A143" t="s">
        <v>355</v>
      </c>
      <c r="B143" t="s">
        <v>92</v>
      </c>
      <c r="C143" t="s">
        <v>126</v>
      </c>
      <c r="D143" s="2">
        <v>28320.51</v>
      </c>
      <c r="E143" s="2">
        <v>22551.61</v>
      </c>
      <c r="F143" s="2">
        <v>14929.85</v>
      </c>
      <c r="G143" s="2">
        <v>12831.34</v>
      </c>
      <c r="H143" s="2">
        <v>12788.47</v>
      </c>
      <c r="I143" s="2">
        <v>12320.18</v>
      </c>
    </row>
    <row r="144" spans="1:9" hidden="1" x14ac:dyDescent="0.3">
      <c r="A144" t="s">
        <v>355</v>
      </c>
      <c r="B144" t="s">
        <v>92</v>
      </c>
      <c r="C144" t="s">
        <v>127</v>
      </c>
      <c r="D144" s="2">
        <v>7217.53</v>
      </c>
      <c r="E144" s="2">
        <v>6123.63</v>
      </c>
      <c r="F144" s="2">
        <v>5021.4399999999996</v>
      </c>
      <c r="G144" s="2">
        <v>4317.8999999999996</v>
      </c>
      <c r="H144" s="2">
        <v>3639.2</v>
      </c>
      <c r="I144" s="2">
        <v>3165.56</v>
      </c>
    </row>
    <row r="145" spans="1:9" hidden="1" x14ac:dyDescent="0.3">
      <c r="A145" t="s">
        <v>355</v>
      </c>
      <c r="B145" t="s">
        <v>92</v>
      </c>
      <c r="C145" t="s">
        <v>128</v>
      </c>
      <c r="D145" s="2">
        <v>7217.53</v>
      </c>
      <c r="E145" s="2">
        <v>6123.63</v>
      </c>
      <c r="F145" s="2">
        <v>5021.4399999999996</v>
      </c>
      <c r="G145" s="2">
        <v>4317.8999999999996</v>
      </c>
      <c r="H145" s="2">
        <v>3639.2</v>
      </c>
      <c r="I145" s="2">
        <v>3165.56</v>
      </c>
    </row>
    <row r="146" spans="1:9" hidden="1" x14ac:dyDescent="0.3">
      <c r="A146" t="s">
        <v>355</v>
      </c>
      <c r="B146" t="s">
        <v>92</v>
      </c>
      <c r="C146" t="s">
        <v>129</v>
      </c>
      <c r="D146" s="2">
        <v>1639.5</v>
      </c>
      <c r="E146" s="2">
        <v>2561.7199999999998</v>
      </c>
      <c r="F146" s="2">
        <v>1061.72</v>
      </c>
      <c r="G146" s="2">
        <v>1061.7</v>
      </c>
      <c r="H146" s="2">
        <v>1061.7</v>
      </c>
      <c r="I146" s="2">
        <v>650</v>
      </c>
    </row>
    <row r="147" spans="1:9" hidden="1" x14ac:dyDescent="0.3">
      <c r="A147" t="s">
        <v>355</v>
      </c>
      <c r="B147" t="s">
        <v>92</v>
      </c>
      <c r="C147" t="s">
        <v>130</v>
      </c>
      <c r="D147" s="2">
        <v>578.70000000000005</v>
      </c>
      <c r="E147" s="2">
        <v>452.98</v>
      </c>
      <c r="F147" s="2">
        <v>367.26</v>
      </c>
      <c r="G147" s="2">
        <v>252.03</v>
      </c>
      <c r="H147" s="2">
        <v>252.03</v>
      </c>
      <c r="I147" s="2">
        <v>209.33</v>
      </c>
    </row>
    <row r="148" spans="1:9" hidden="1" x14ac:dyDescent="0.3">
      <c r="A148" t="s">
        <v>355</v>
      </c>
      <c r="B148" t="s">
        <v>92</v>
      </c>
      <c r="C148" t="s">
        <v>131</v>
      </c>
      <c r="D148" s="2">
        <v>4227.41</v>
      </c>
      <c r="E148" s="2">
        <v>2173.75</v>
      </c>
      <c r="F148" s="2">
        <v>2902.3</v>
      </c>
      <c r="G148" s="2">
        <v>2438.86</v>
      </c>
      <c r="H148" s="2">
        <v>1965.22</v>
      </c>
      <c r="I148" s="2">
        <v>1992.59</v>
      </c>
    </row>
    <row r="149" spans="1:9" hidden="1" x14ac:dyDescent="0.3">
      <c r="A149" t="s">
        <v>355</v>
      </c>
      <c r="B149" t="s">
        <v>92</v>
      </c>
      <c r="C149" t="s">
        <v>132</v>
      </c>
      <c r="D149" s="2">
        <v>885.31</v>
      </c>
      <c r="E149" s="2">
        <v>1048.57</v>
      </c>
      <c r="F149" s="2">
        <v>803.55</v>
      </c>
      <c r="G149" s="2">
        <v>678.7</v>
      </c>
      <c r="H149" s="2">
        <v>473.64</v>
      </c>
      <c r="I149" s="2">
        <v>427.03</v>
      </c>
    </row>
    <row r="150" spans="1:9" hidden="1" x14ac:dyDescent="0.3">
      <c r="A150" t="s">
        <v>355</v>
      </c>
      <c r="B150" t="s">
        <v>92</v>
      </c>
      <c r="C150" t="s">
        <v>159</v>
      </c>
      <c r="D150" s="2">
        <v>-113.39</v>
      </c>
      <c r="E150" s="2">
        <v>-113.39</v>
      </c>
      <c r="F150" s="2">
        <v>-113.39</v>
      </c>
      <c r="G150" s="2">
        <v>-113.39</v>
      </c>
      <c r="H150" s="2">
        <v>-113.39</v>
      </c>
      <c r="I150" s="2">
        <v>-113.39</v>
      </c>
    </row>
    <row r="151" spans="1:9" hidden="1" x14ac:dyDescent="0.3">
      <c r="A151" t="s">
        <v>355</v>
      </c>
      <c r="B151" t="s">
        <v>92</v>
      </c>
      <c r="C151" t="s">
        <v>133</v>
      </c>
      <c r="D151" s="2">
        <v>21102.98</v>
      </c>
      <c r="E151" s="2">
        <v>16427.97</v>
      </c>
      <c r="F151" s="2">
        <v>9908.41</v>
      </c>
      <c r="G151" s="2">
        <v>8513.44</v>
      </c>
      <c r="H151" s="2">
        <v>9149.27</v>
      </c>
      <c r="I151" s="2">
        <v>9154.6200000000008</v>
      </c>
    </row>
    <row r="152" spans="1:9" hidden="1" x14ac:dyDescent="0.3">
      <c r="A152" t="s">
        <v>355</v>
      </c>
      <c r="B152" t="s">
        <v>92</v>
      </c>
      <c r="C152" t="s">
        <v>134</v>
      </c>
      <c r="D152" s="2">
        <v>1755</v>
      </c>
      <c r="E152" s="2">
        <v>0</v>
      </c>
      <c r="F152" s="2">
        <v>0.15</v>
      </c>
      <c r="G152" s="2">
        <v>0</v>
      </c>
      <c r="H152" s="2">
        <v>739.37</v>
      </c>
      <c r="I152" s="2">
        <v>572.02</v>
      </c>
    </row>
    <row r="153" spans="1:9" hidden="1" x14ac:dyDescent="0.3">
      <c r="A153" t="s">
        <v>355</v>
      </c>
      <c r="B153" t="s">
        <v>92</v>
      </c>
      <c r="C153" t="s">
        <v>160</v>
      </c>
      <c r="D153" s="2">
        <v>1755</v>
      </c>
      <c r="E153" s="2">
        <v>0</v>
      </c>
      <c r="F153" s="2">
        <v>0.15</v>
      </c>
      <c r="G153" s="2">
        <v>0</v>
      </c>
      <c r="H153" s="2">
        <v>739.37</v>
      </c>
      <c r="I153" s="2">
        <v>572.02</v>
      </c>
    </row>
    <row r="154" spans="1:9" hidden="1" x14ac:dyDescent="0.3">
      <c r="A154" t="s">
        <v>355</v>
      </c>
      <c r="B154" t="s">
        <v>92</v>
      </c>
      <c r="C154" t="s">
        <v>137</v>
      </c>
      <c r="D154" s="2">
        <v>19347.98</v>
      </c>
      <c r="E154" s="2">
        <v>16427.97</v>
      </c>
      <c r="F154" s="2">
        <v>9908.26</v>
      </c>
      <c r="G154" s="2">
        <v>8513.44</v>
      </c>
      <c r="H154" s="2">
        <v>8409.9</v>
      </c>
      <c r="I154" s="2">
        <v>8582.6</v>
      </c>
    </row>
    <row r="155" spans="1:9" hidden="1" x14ac:dyDescent="0.3">
      <c r="A155" t="s">
        <v>355</v>
      </c>
      <c r="B155" t="s">
        <v>92</v>
      </c>
      <c r="C155" t="s">
        <v>155</v>
      </c>
      <c r="D155" s="2">
        <v>9242.2999999999993</v>
      </c>
      <c r="E155" s="2">
        <v>8937.73</v>
      </c>
      <c r="F155" s="2">
        <v>4291.5200000000004</v>
      </c>
      <c r="G155" s="2">
        <v>0</v>
      </c>
      <c r="H155" s="2">
        <v>4423.62</v>
      </c>
      <c r="I155" s="2">
        <v>2344.48</v>
      </c>
    </row>
    <row r="156" spans="1:9" hidden="1" x14ac:dyDescent="0.3">
      <c r="A156" t="s">
        <v>355</v>
      </c>
      <c r="B156" t="s">
        <v>92</v>
      </c>
      <c r="C156" t="s">
        <v>138</v>
      </c>
      <c r="D156" s="2">
        <v>9360.02</v>
      </c>
      <c r="E156" s="2">
        <v>6191.03</v>
      </c>
      <c r="F156" s="2">
        <v>4404.1400000000003</v>
      </c>
      <c r="G156" s="2">
        <v>7592.83</v>
      </c>
      <c r="H156" s="2">
        <v>3379.6</v>
      </c>
      <c r="I156" s="2">
        <v>5615.29</v>
      </c>
    </row>
    <row r="157" spans="1:9" hidden="1" x14ac:dyDescent="0.3">
      <c r="A157" t="s">
        <v>355</v>
      </c>
      <c r="B157" t="s">
        <v>92</v>
      </c>
      <c r="C157" t="s">
        <v>139</v>
      </c>
      <c r="D157" s="2">
        <v>5911.64</v>
      </c>
      <c r="E157" s="2">
        <v>4609.88</v>
      </c>
      <c r="F157" s="2">
        <v>3142.68</v>
      </c>
      <c r="G157" s="2">
        <v>0</v>
      </c>
      <c r="H157" s="2">
        <v>2721.97</v>
      </c>
      <c r="I157" s="2">
        <v>4621.4399999999996</v>
      </c>
    </row>
    <row r="158" spans="1:9" hidden="1" x14ac:dyDescent="0.3">
      <c r="A158" t="s">
        <v>355</v>
      </c>
      <c r="B158" t="s">
        <v>92</v>
      </c>
      <c r="C158" t="s">
        <v>140</v>
      </c>
      <c r="D158" s="2">
        <v>3448.38</v>
      </c>
      <c r="E158" s="2">
        <v>1581.15</v>
      </c>
      <c r="F158" s="2">
        <v>1261.46</v>
      </c>
      <c r="G158" s="2">
        <v>0</v>
      </c>
      <c r="H158" s="2">
        <v>657.63</v>
      </c>
      <c r="I158" s="2">
        <v>993.86</v>
      </c>
    </row>
    <row r="159" spans="1:9" hidden="1" x14ac:dyDescent="0.3">
      <c r="A159" t="s">
        <v>355</v>
      </c>
      <c r="B159" t="s">
        <v>92</v>
      </c>
      <c r="C159" t="s">
        <v>135</v>
      </c>
      <c r="D159" s="2">
        <v>525.79</v>
      </c>
      <c r="E159" s="2">
        <v>309.33999999999997</v>
      </c>
      <c r="F159" s="2">
        <v>227.03</v>
      </c>
      <c r="G159" s="2">
        <v>142.53</v>
      </c>
      <c r="H159" s="2">
        <v>120.62</v>
      </c>
      <c r="I159" s="2">
        <v>153.5</v>
      </c>
    </row>
    <row r="160" spans="1:9" hidden="1" x14ac:dyDescent="0.3">
      <c r="A160" t="s">
        <v>355</v>
      </c>
      <c r="B160" t="s">
        <v>92</v>
      </c>
      <c r="C160" t="s">
        <v>141</v>
      </c>
      <c r="D160" s="2">
        <v>161.62</v>
      </c>
      <c r="E160" s="2">
        <v>146.66</v>
      </c>
      <c r="F160" s="2">
        <v>146.63999999999999</v>
      </c>
      <c r="G160" s="2">
        <v>172.11</v>
      </c>
      <c r="H160" s="2">
        <v>91.1</v>
      </c>
      <c r="I160" s="2">
        <v>78.23</v>
      </c>
    </row>
    <row r="161" spans="1:9" hidden="1" x14ac:dyDescent="0.3">
      <c r="A161" t="s">
        <v>355</v>
      </c>
      <c r="B161" t="s">
        <v>92</v>
      </c>
      <c r="C161" t="s">
        <v>157</v>
      </c>
      <c r="D161" s="2">
        <v>58.24</v>
      </c>
      <c r="E161" s="2">
        <v>843.21</v>
      </c>
      <c r="F161" s="2">
        <v>838.93</v>
      </c>
      <c r="G161" s="2">
        <v>605.98</v>
      </c>
      <c r="H161" s="2">
        <v>394.96</v>
      </c>
      <c r="I161" s="2">
        <v>391.11</v>
      </c>
    </row>
    <row r="162" spans="1:9" hidden="1" x14ac:dyDescent="0.3">
      <c r="A162" t="s">
        <v>354</v>
      </c>
      <c r="B162" t="s">
        <v>92</v>
      </c>
      <c r="C162" t="s">
        <v>99</v>
      </c>
      <c r="D162" s="2">
        <v>85376.41</v>
      </c>
      <c r="E162" s="2">
        <v>76332.42</v>
      </c>
      <c r="F162" s="2">
        <v>62926.74</v>
      </c>
      <c r="G162" s="2">
        <v>60026.51</v>
      </c>
      <c r="H162" s="2">
        <v>48315.3</v>
      </c>
      <c r="I162" s="2">
        <v>45416.39</v>
      </c>
    </row>
    <row r="163" spans="1:9" hidden="1" x14ac:dyDescent="0.3">
      <c r="A163" t="s">
        <v>354</v>
      </c>
      <c r="B163" t="s">
        <v>92</v>
      </c>
      <c r="C163" t="s">
        <v>142</v>
      </c>
      <c r="D163" s="2">
        <v>85376.41</v>
      </c>
      <c r="E163" s="2">
        <v>76332.42</v>
      </c>
      <c r="F163" s="2">
        <v>62926.74</v>
      </c>
      <c r="G163" s="2">
        <v>60026.51</v>
      </c>
      <c r="H163" s="2">
        <v>48315.3</v>
      </c>
      <c r="I163" s="2">
        <v>45416.39</v>
      </c>
    </row>
    <row r="164" spans="1:9" hidden="1" x14ac:dyDescent="0.3">
      <c r="A164" t="s">
        <v>354</v>
      </c>
      <c r="B164" t="s">
        <v>92</v>
      </c>
      <c r="C164" t="s">
        <v>101</v>
      </c>
      <c r="D164" s="2">
        <v>-3503.71</v>
      </c>
      <c r="E164" s="2">
        <v>-2739.38</v>
      </c>
      <c r="F164" s="2">
        <v>-2624.47</v>
      </c>
      <c r="G164" s="2">
        <v>-2321.3200000000002</v>
      </c>
      <c r="H164" s="2">
        <v>-1930.59</v>
      </c>
      <c r="I164" s="2">
        <v>-3575.25</v>
      </c>
    </row>
    <row r="165" spans="1:9" hidden="1" x14ac:dyDescent="0.3">
      <c r="A165" t="s">
        <v>354</v>
      </c>
      <c r="B165" t="s">
        <v>92</v>
      </c>
      <c r="C165" t="s">
        <v>102</v>
      </c>
      <c r="D165" s="2">
        <v>-911.02</v>
      </c>
      <c r="E165" s="2">
        <v>-811.55</v>
      </c>
      <c r="F165" s="2">
        <v>-4141.3599999999997</v>
      </c>
      <c r="G165" s="2">
        <v>-2978.68</v>
      </c>
      <c r="H165" s="2">
        <v>-703.69</v>
      </c>
      <c r="I165" s="2">
        <v>-456.97</v>
      </c>
    </row>
    <row r="166" spans="1:9" hidden="1" x14ac:dyDescent="0.3">
      <c r="A166" t="s">
        <v>354</v>
      </c>
      <c r="B166" t="s">
        <v>92</v>
      </c>
      <c r="C166" t="s">
        <v>143</v>
      </c>
      <c r="D166" s="2">
        <v>-10452.98</v>
      </c>
      <c r="E166" s="2">
        <v>-9230.15</v>
      </c>
      <c r="F166" s="2">
        <v>-8166.07</v>
      </c>
      <c r="G166" s="2">
        <v>-7298.27</v>
      </c>
      <c r="H166" s="2">
        <v>-6244.3</v>
      </c>
      <c r="I166" s="2">
        <v>-6008.03</v>
      </c>
    </row>
    <row r="167" spans="1:9" hidden="1" x14ac:dyDescent="0.3">
      <c r="A167" t="s">
        <v>354</v>
      </c>
      <c r="B167" t="s">
        <v>92</v>
      </c>
      <c r="C167" t="s">
        <v>144</v>
      </c>
      <c r="D167" s="2">
        <v>-9.6</v>
      </c>
      <c r="E167" s="2">
        <v>-10.37</v>
      </c>
      <c r="F167" s="2">
        <v>-8.2799999999999994</v>
      </c>
      <c r="G167" s="2">
        <v>-3.77</v>
      </c>
      <c r="H167" s="2">
        <v>-10.029999999999999</v>
      </c>
      <c r="I167" s="2">
        <v>-17.64</v>
      </c>
    </row>
    <row r="168" spans="1:9" hidden="1" x14ac:dyDescent="0.3">
      <c r="A168" t="s">
        <v>354</v>
      </c>
      <c r="B168" t="s">
        <v>92</v>
      </c>
      <c r="C168" t="s">
        <v>145</v>
      </c>
      <c r="D168" s="2">
        <v>-138.34</v>
      </c>
      <c r="E168" s="2">
        <v>-123.15</v>
      </c>
      <c r="F168" s="2">
        <v>-140.28</v>
      </c>
      <c r="G168" s="2">
        <v>-108.2</v>
      </c>
      <c r="H168" s="2">
        <v>-127.76</v>
      </c>
      <c r="I168" s="2">
        <v>-57.08</v>
      </c>
    </row>
    <row r="169" spans="1:9" hidden="1" x14ac:dyDescent="0.3">
      <c r="A169" t="s">
        <v>354</v>
      </c>
      <c r="B169" t="s">
        <v>92</v>
      </c>
      <c r="C169" t="s">
        <v>100</v>
      </c>
      <c r="D169" s="2">
        <v>-57145.14</v>
      </c>
      <c r="E169" s="2">
        <v>-55053.23</v>
      </c>
      <c r="F169" s="2">
        <v>-46917.83</v>
      </c>
      <c r="G169" s="2">
        <v>-44127</v>
      </c>
      <c r="H169" s="2">
        <v>-36724.78</v>
      </c>
      <c r="I169" s="2">
        <v>-31419.68</v>
      </c>
    </row>
    <row r="170" spans="1:9" hidden="1" x14ac:dyDescent="0.3">
      <c r="A170" t="s">
        <v>354</v>
      </c>
      <c r="B170" t="s">
        <v>92</v>
      </c>
      <c r="C170" t="s">
        <v>103</v>
      </c>
      <c r="D170" s="2">
        <v>-1455.06</v>
      </c>
      <c r="E170" s="2">
        <v>-1405.9</v>
      </c>
      <c r="F170" s="2">
        <v>-1035.6300000000001</v>
      </c>
      <c r="G170" s="2">
        <v>-797.82</v>
      </c>
      <c r="H170" s="2">
        <v>-680.16</v>
      </c>
      <c r="I170" s="2">
        <v>-1311.24</v>
      </c>
    </row>
    <row r="171" spans="1:9" hidden="1" x14ac:dyDescent="0.3">
      <c r="A171" t="s">
        <v>354</v>
      </c>
      <c r="B171" t="s">
        <v>92</v>
      </c>
      <c r="C171" t="s">
        <v>104</v>
      </c>
      <c r="D171" s="2">
        <v>11760.56</v>
      </c>
      <c r="E171" s="2">
        <v>6958.69</v>
      </c>
      <c r="F171" s="2">
        <v>-107.18</v>
      </c>
      <c r="G171" s="2">
        <v>2391.4499999999998</v>
      </c>
      <c r="H171" s="2">
        <v>1893.98</v>
      </c>
      <c r="I171" s="2">
        <v>2570.48</v>
      </c>
    </row>
    <row r="172" spans="1:9" hidden="1" x14ac:dyDescent="0.3">
      <c r="A172" t="s">
        <v>354</v>
      </c>
      <c r="B172" t="s">
        <v>92</v>
      </c>
      <c r="C172" t="s">
        <v>105</v>
      </c>
      <c r="D172" s="2">
        <v>13215.62</v>
      </c>
      <c r="E172" s="2">
        <v>8364.59</v>
      </c>
      <c r="F172" s="2">
        <v>928.45</v>
      </c>
      <c r="G172" s="2">
        <v>3189.27</v>
      </c>
      <c r="H172" s="2">
        <v>2574.14</v>
      </c>
      <c r="I172" s="2">
        <v>3881.72</v>
      </c>
    </row>
    <row r="173" spans="1:9" hidden="1" x14ac:dyDescent="0.3">
      <c r="A173" t="s">
        <v>354</v>
      </c>
      <c r="B173" t="s">
        <v>92</v>
      </c>
      <c r="C173" t="s">
        <v>106</v>
      </c>
      <c r="D173" s="2">
        <v>-2904.4</v>
      </c>
      <c r="E173" s="2">
        <v>-3478.17</v>
      </c>
      <c r="F173" s="2">
        <v>-1494.48</v>
      </c>
      <c r="G173" s="2">
        <v>-995.58</v>
      </c>
      <c r="H173" s="2">
        <v>-751.35</v>
      </c>
      <c r="I173" s="2">
        <v>-1682.03</v>
      </c>
    </row>
    <row r="174" spans="1:9" hidden="1" x14ac:dyDescent="0.3">
      <c r="A174" t="s">
        <v>354</v>
      </c>
      <c r="B174" t="s">
        <v>92</v>
      </c>
      <c r="C174" t="s">
        <v>107</v>
      </c>
      <c r="D174" s="2">
        <v>-2904.4</v>
      </c>
      <c r="E174" s="2">
        <v>-3478.17</v>
      </c>
      <c r="F174" s="2">
        <v>-1494.48</v>
      </c>
      <c r="G174" s="2">
        <v>-995.58</v>
      </c>
      <c r="H174" s="2">
        <v>-751.35</v>
      </c>
      <c r="I174" s="2">
        <v>-1682.03</v>
      </c>
    </row>
    <row r="175" spans="1:9" hidden="1" x14ac:dyDescent="0.3">
      <c r="A175" t="s">
        <v>354</v>
      </c>
      <c r="B175" t="s">
        <v>92</v>
      </c>
      <c r="C175" t="s">
        <v>146</v>
      </c>
      <c r="D175" s="2">
        <v>-2280.6</v>
      </c>
      <c r="E175" s="2">
        <v>-2669.58</v>
      </c>
      <c r="F175" s="2">
        <v>-1494.48</v>
      </c>
      <c r="G175" s="2">
        <v>-995.58</v>
      </c>
      <c r="H175" s="2">
        <v>-751.35</v>
      </c>
      <c r="I175" s="2">
        <v>-1099.6600000000001</v>
      </c>
    </row>
    <row r="176" spans="1:9" hidden="1" x14ac:dyDescent="0.3">
      <c r="A176" t="s">
        <v>354</v>
      </c>
      <c r="B176" t="s">
        <v>92</v>
      </c>
      <c r="C176" t="s">
        <v>158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-582.37</v>
      </c>
    </row>
    <row r="177" spans="1:9" hidden="1" x14ac:dyDescent="0.3">
      <c r="A177" t="s">
        <v>354</v>
      </c>
      <c r="B177" t="s">
        <v>92</v>
      </c>
      <c r="C177" t="s">
        <v>108</v>
      </c>
      <c r="D177" s="2">
        <v>-623.79999999999995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</row>
    <row r="178" spans="1:9" hidden="1" x14ac:dyDescent="0.3">
      <c r="A178" t="s">
        <v>354</v>
      </c>
      <c r="B178" t="s">
        <v>92</v>
      </c>
      <c r="C178" t="s">
        <v>109</v>
      </c>
      <c r="D178" s="2">
        <v>-2517.3000000000002</v>
      </c>
      <c r="E178" s="2">
        <v>-59.32</v>
      </c>
      <c r="F178" s="2">
        <v>7389.27</v>
      </c>
      <c r="G178" s="2">
        <v>-282.33999999999997</v>
      </c>
      <c r="H178" s="2">
        <v>643.92999999999995</v>
      </c>
      <c r="I178" s="2">
        <v>554.13</v>
      </c>
    </row>
    <row r="179" spans="1:9" hidden="1" x14ac:dyDescent="0.3">
      <c r="A179" t="s">
        <v>354</v>
      </c>
      <c r="B179" t="s">
        <v>92</v>
      </c>
      <c r="C179" t="s">
        <v>110</v>
      </c>
      <c r="D179" s="2">
        <v>957.54</v>
      </c>
      <c r="E179" s="2">
        <v>2209.58</v>
      </c>
      <c r="F179" s="2">
        <v>8601.43</v>
      </c>
      <c r="G179" s="2">
        <v>1515.39</v>
      </c>
      <c r="H179" s="2">
        <v>6249.62</v>
      </c>
      <c r="I179" s="2">
        <v>1919.96</v>
      </c>
    </row>
    <row r="180" spans="1:9" hidden="1" x14ac:dyDescent="0.3">
      <c r="A180" t="s">
        <v>354</v>
      </c>
      <c r="B180" t="s">
        <v>92</v>
      </c>
      <c r="C180" t="s">
        <v>111</v>
      </c>
      <c r="D180" s="2">
        <v>-3474.84</v>
      </c>
      <c r="E180" s="2">
        <v>-2268.9</v>
      </c>
      <c r="F180" s="2">
        <v>-1212.1600000000001</v>
      </c>
      <c r="G180" s="2">
        <v>-1797.73</v>
      </c>
      <c r="H180" s="2">
        <v>-5605.7</v>
      </c>
      <c r="I180" s="2">
        <v>-1365.84</v>
      </c>
    </row>
    <row r="181" spans="1:9" hidden="1" x14ac:dyDescent="0.3">
      <c r="A181" t="s">
        <v>354</v>
      </c>
      <c r="B181" t="s">
        <v>92</v>
      </c>
      <c r="C181" t="s">
        <v>112</v>
      </c>
      <c r="D181" s="2">
        <v>6338.86</v>
      </c>
      <c r="E181" s="2">
        <v>3421.2</v>
      </c>
      <c r="F181" s="2">
        <v>5787.62</v>
      </c>
      <c r="G181" s="2">
        <v>1113.53</v>
      </c>
      <c r="H181" s="2">
        <v>1786.56</v>
      </c>
      <c r="I181" s="2">
        <v>1442.58</v>
      </c>
    </row>
    <row r="182" spans="1:9" hidden="1" x14ac:dyDescent="0.3">
      <c r="A182" t="s">
        <v>354</v>
      </c>
      <c r="B182" t="s">
        <v>92</v>
      </c>
      <c r="C182" t="s">
        <v>113</v>
      </c>
      <c r="D182" s="2">
        <v>-2373.29</v>
      </c>
      <c r="E182" s="2">
        <v>-1658.3</v>
      </c>
      <c r="F182" s="2">
        <v>-1386.23</v>
      </c>
      <c r="G182" s="2">
        <v>-1130.52</v>
      </c>
      <c r="H182" s="2">
        <v>-419.42</v>
      </c>
      <c r="I182" s="2">
        <v>-984.57</v>
      </c>
    </row>
    <row r="183" spans="1:9" hidden="1" x14ac:dyDescent="0.3">
      <c r="A183" t="s">
        <v>354</v>
      </c>
      <c r="B183" t="s">
        <v>92</v>
      </c>
      <c r="C183" t="s">
        <v>114</v>
      </c>
      <c r="D183" s="2">
        <v>3965.58</v>
      </c>
      <c r="E183" s="2">
        <v>1762.9</v>
      </c>
      <c r="F183" s="2">
        <v>4401.3900000000003</v>
      </c>
      <c r="G183" s="2">
        <v>-16.989999999999998</v>
      </c>
      <c r="H183" s="2">
        <v>1367.14</v>
      </c>
      <c r="I183" s="2">
        <v>458.01</v>
      </c>
    </row>
    <row r="184" spans="1:9" hidden="1" x14ac:dyDescent="0.3">
      <c r="A184" t="s">
        <v>354</v>
      </c>
      <c r="B184" t="s">
        <v>92</v>
      </c>
      <c r="C184" t="s">
        <v>115</v>
      </c>
      <c r="D184" s="2">
        <v>3965.58</v>
      </c>
      <c r="E184" s="2">
        <v>1762.9</v>
      </c>
      <c r="F184" s="2">
        <v>4401.3900000000003</v>
      </c>
      <c r="G184" s="2">
        <v>-16.989999999999998</v>
      </c>
      <c r="H184" s="2">
        <v>1367.14</v>
      </c>
      <c r="I184" s="2">
        <v>458.01</v>
      </c>
    </row>
    <row r="185" spans="1:9" hidden="1" x14ac:dyDescent="0.3">
      <c r="A185" t="s">
        <v>354</v>
      </c>
      <c r="B185" t="s">
        <v>92</v>
      </c>
      <c r="C185" t="s">
        <v>116</v>
      </c>
      <c r="D185" s="2">
        <v>64042.26</v>
      </c>
      <c r="E185" s="2">
        <v>54946.58</v>
      </c>
      <c r="F185" s="2">
        <v>53446.97</v>
      </c>
      <c r="G185" s="2">
        <v>48764.55</v>
      </c>
      <c r="H185" s="2">
        <v>49987.89</v>
      </c>
      <c r="I185" s="2">
        <v>43785.73</v>
      </c>
    </row>
    <row r="186" spans="1:9" hidden="1" x14ac:dyDescent="0.3">
      <c r="A186" t="s">
        <v>354</v>
      </c>
      <c r="B186" t="s">
        <v>92</v>
      </c>
      <c r="C186" t="s">
        <v>117</v>
      </c>
      <c r="D186" s="2">
        <v>26792.55</v>
      </c>
      <c r="E186" s="2">
        <v>21711.919999999998</v>
      </c>
      <c r="F186" s="2">
        <v>22791.39</v>
      </c>
      <c r="G186" s="2">
        <v>14607.59</v>
      </c>
      <c r="H186" s="2">
        <v>14217.26</v>
      </c>
      <c r="I186" s="2">
        <v>12433.5</v>
      </c>
    </row>
    <row r="187" spans="1:9" hidden="1" x14ac:dyDescent="0.3">
      <c r="A187" t="s">
        <v>354</v>
      </c>
      <c r="B187" t="s">
        <v>92</v>
      </c>
      <c r="C187" t="s">
        <v>118</v>
      </c>
      <c r="D187" s="2">
        <v>18064</v>
      </c>
      <c r="E187" s="2">
        <v>12921.4</v>
      </c>
      <c r="F187" s="2">
        <v>12735.38</v>
      </c>
      <c r="G187" s="2">
        <v>12014.47</v>
      </c>
      <c r="H187" s="2">
        <v>12310.85</v>
      </c>
      <c r="I187" s="2">
        <v>10432.950000000001</v>
      </c>
    </row>
    <row r="188" spans="1:9" hidden="1" x14ac:dyDescent="0.3">
      <c r="A188" t="s">
        <v>354</v>
      </c>
      <c r="B188" t="s">
        <v>92</v>
      </c>
      <c r="C188" t="s">
        <v>147</v>
      </c>
      <c r="D188" s="2">
        <v>7922.98</v>
      </c>
      <c r="E188" s="2">
        <v>8170.09</v>
      </c>
      <c r="F188" s="2">
        <v>9199.1299999999992</v>
      </c>
      <c r="G188" s="2">
        <v>2300.17</v>
      </c>
      <c r="H188" s="2">
        <v>1176.28</v>
      </c>
      <c r="I188" s="2">
        <v>1745.79</v>
      </c>
    </row>
    <row r="189" spans="1:9" hidden="1" x14ac:dyDescent="0.3">
      <c r="A189" t="s">
        <v>354</v>
      </c>
      <c r="B189" t="s">
        <v>92</v>
      </c>
      <c r="C189" t="s">
        <v>148</v>
      </c>
      <c r="D189" s="2">
        <v>805.57</v>
      </c>
      <c r="E189" s="2">
        <v>620.42999999999995</v>
      </c>
      <c r="F189" s="2">
        <v>856.88</v>
      </c>
      <c r="G189" s="2">
        <v>292.95999999999998</v>
      </c>
      <c r="H189" s="2">
        <v>730.13</v>
      </c>
      <c r="I189" s="2">
        <v>160.19</v>
      </c>
    </row>
    <row r="190" spans="1:9" hidden="1" x14ac:dyDescent="0.3">
      <c r="A190" t="s">
        <v>354</v>
      </c>
      <c r="B190" t="s">
        <v>92</v>
      </c>
      <c r="C190" t="s">
        <v>120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94.57</v>
      </c>
    </row>
    <row r="191" spans="1:9" hidden="1" x14ac:dyDescent="0.3">
      <c r="A191" t="s">
        <v>354</v>
      </c>
      <c r="B191" t="s">
        <v>92</v>
      </c>
      <c r="C191" t="s">
        <v>121</v>
      </c>
      <c r="D191" s="2">
        <v>37249.71</v>
      </c>
      <c r="E191" s="2">
        <v>33234.660000000003</v>
      </c>
      <c r="F191" s="2">
        <v>30655.58</v>
      </c>
      <c r="G191" s="2">
        <v>34156.959999999999</v>
      </c>
      <c r="H191" s="2">
        <v>35770.639999999999</v>
      </c>
      <c r="I191" s="2">
        <v>31352.23</v>
      </c>
    </row>
    <row r="192" spans="1:9" hidden="1" x14ac:dyDescent="0.3">
      <c r="A192" t="s">
        <v>354</v>
      </c>
      <c r="B192" t="s">
        <v>92</v>
      </c>
      <c r="C192" t="s">
        <v>163</v>
      </c>
      <c r="D192" s="2">
        <v>2266.0300000000002</v>
      </c>
      <c r="E192" s="2">
        <v>2614.9299999999998</v>
      </c>
      <c r="F192" s="2">
        <v>4620.5</v>
      </c>
      <c r="G192" s="2">
        <v>3854.1</v>
      </c>
      <c r="H192" s="2">
        <v>3470.1</v>
      </c>
      <c r="I192" s="2">
        <v>1295.78</v>
      </c>
    </row>
    <row r="193" spans="1:9" hidden="1" x14ac:dyDescent="0.3">
      <c r="A193" t="s">
        <v>354</v>
      </c>
      <c r="B193" t="s">
        <v>92</v>
      </c>
      <c r="C193" t="s">
        <v>164</v>
      </c>
      <c r="D193" s="2">
        <v>2266.0300000000002</v>
      </c>
      <c r="E193" s="2">
        <v>2614.9299999999998</v>
      </c>
      <c r="F193" s="2">
        <v>4620.5</v>
      </c>
      <c r="G193" s="2">
        <v>3854.1</v>
      </c>
      <c r="H193" s="2">
        <v>3470.1</v>
      </c>
      <c r="I193" s="2">
        <v>1295.78</v>
      </c>
    </row>
    <row r="194" spans="1:9" hidden="1" x14ac:dyDescent="0.3">
      <c r="A194" t="s">
        <v>354</v>
      </c>
      <c r="B194" t="s">
        <v>92</v>
      </c>
      <c r="C194" t="s">
        <v>122</v>
      </c>
      <c r="D194" s="2">
        <v>32877.949999999997</v>
      </c>
      <c r="E194" s="2">
        <v>25526.33</v>
      </c>
      <c r="F194" s="2">
        <v>23463.68</v>
      </c>
      <c r="G194" s="2">
        <v>27821.32</v>
      </c>
      <c r="H194" s="2">
        <v>31214.09</v>
      </c>
      <c r="I194" s="2">
        <v>27932.25</v>
      </c>
    </row>
    <row r="195" spans="1:9" hidden="1" x14ac:dyDescent="0.3">
      <c r="A195" t="s">
        <v>354</v>
      </c>
      <c r="B195" t="s">
        <v>92</v>
      </c>
      <c r="C195" t="s">
        <v>149</v>
      </c>
      <c r="D195" s="2">
        <v>37531.980000000003</v>
      </c>
      <c r="E195" s="2">
        <v>27552.47</v>
      </c>
      <c r="F195" s="2">
        <v>25595</v>
      </c>
      <c r="G195" s="2">
        <v>0</v>
      </c>
      <c r="H195" s="2">
        <v>34904.910000000003</v>
      </c>
      <c r="I195" s="2">
        <v>24814.68</v>
      </c>
    </row>
    <row r="196" spans="1:9" hidden="1" x14ac:dyDescent="0.3">
      <c r="A196" t="s">
        <v>354</v>
      </c>
      <c r="B196" t="s">
        <v>92</v>
      </c>
      <c r="C196" t="s">
        <v>123</v>
      </c>
      <c r="D196" s="2">
        <v>77.150000000000006</v>
      </c>
      <c r="E196" s="2">
        <v>95.74</v>
      </c>
      <c r="F196" s="2">
        <v>102.82</v>
      </c>
      <c r="G196" s="2">
        <v>117.34</v>
      </c>
      <c r="H196" s="2">
        <v>1132.76</v>
      </c>
      <c r="I196" s="2">
        <v>1108.72</v>
      </c>
    </row>
    <row r="197" spans="1:9" hidden="1" x14ac:dyDescent="0.3">
      <c r="A197" t="s">
        <v>354</v>
      </c>
      <c r="B197" t="s">
        <v>92</v>
      </c>
      <c r="C197" t="s">
        <v>151</v>
      </c>
      <c r="D197" s="2">
        <v>-8205.9599999999991</v>
      </c>
      <c r="E197" s="2">
        <v>-5570.8</v>
      </c>
      <c r="F197" s="2">
        <v>-5530.79</v>
      </c>
      <c r="G197" s="2">
        <v>-8147.62</v>
      </c>
      <c r="H197" s="2">
        <v>-7153.9</v>
      </c>
      <c r="I197" s="2">
        <v>-54.74</v>
      </c>
    </row>
    <row r="198" spans="1:9" hidden="1" x14ac:dyDescent="0.3">
      <c r="A198" t="s">
        <v>354</v>
      </c>
      <c r="B198" t="s">
        <v>92</v>
      </c>
      <c r="C198" t="s">
        <v>152</v>
      </c>
      <c r="D198" s="2">
        <v>3474.78</v>
      </c>
      <c r="E198" s="2">
        <v>3448.92</v>
      </c>
      <c r="F198" s="2">
        <v>3296.64</v>
      </c>
      <c r="G198" s="2">
        <v>3746.61</v>
      </c>
      <c r="H198" s="2">
        <v>2330.31</v>
      </c>
      <c r="I198" s="2">
        <v>2063.59</v>
      </c>
    </row>
    <row r="199" spans="1:9" hidden="1" x14ac:dyDescent="0.3">
      <c r="A199" t="s">
        <v>354</v>
      </c>
      <c r="B199" t="s">
        <v>92</v>
      </c>
      <c r="C199" t="s">
        <v>153</v>
      </c>
      <c r="D199" s="2">
        <v>110.67</v>
      </c>
      <c r="E199" s="2">
        <v>145.44</v>
      </c>
      <c r="F199" s="2">
        <v>17.899999999999999</v>
      </c>
      <c r="G199" s="2">
        <v>92.23</v>
      </c>
      <c r="H199" s="2">
        <v>14.4</v>
      </c>
      <c r="I199" s="2">
        <v>41.2</v>
      </c>
    </row>
    <row r="200" spans="1:9" hidden="1" x14ac:dyDescent="0.3">
      <c r="A200" t="s">
        <v>354</v>
      </c>
      <c r="B200" t="s">
        <v>92</v>
      </c>
      <c r="C200" t="s">
        <v>124</v>
      </c>
      <c r="D200" s="2">
        <v>7.68</v>
      </c>
      <c r="E200" s="2">
        <v>7.68</v>
      </c>
      <c r="F200" s="2">
        <v>7.68</v>
      </c>
      <c r="G200" s="2">
        <v>7.68</v>
      </c>
      <c r="H200" s="2">
        <v>64.680000000000007</v>
      </c>
      <c r="I200" s="2">
        <v>1138.48</v>
      </c>
    </row>
    <row r="201" spans="1:9" hidden="1" x14ac:dyDescent="0.3">
      <c r="A201" t="s">
        <v>354</v>
      </c>
      <c r="B201" t="s">
        <v>92</v>
      </c>
      <c r="C201" t="s">
        <v>125</v>
      </c>
      <c r="D201" s="2">
        <v>1987.38</v>
      </c>
      <c r="E201" s="2">
        <v>4940.28</v>
      </c>
      <c r="F201" s="2">
        <v>2545.8200000000002</v>
      </c>
      <c r="G201" s="2">
        <v>2381.62</v>
      </c>
      <c r="H201" s="2">
        <v>1007.37</v>
      </c>
      <c r="I201" s="2">
        <v>944.51</v>
      </c>
    </row>
    <row r="202" spans="1:9" hidden="1" x14ac:dyDescent="0.3">
      <c r="A202" t="s">
        <v>354</v>
      </c>
      <c r="B202" t="s">
        <v>92</v>
      </c>
      <c r="C202" t="s">
        <v>126</v>
      </c>
      <c r="D202" s="2">
        <v>64042.26</v>
      </c>
      <c r="E202" s="2">
        <v>54946.58</v>
      </c>
      <c r="F202" s="2">
        <v>53446.97</v>
      </c>
      <c r="G202" s="2">
        <v>48764.55</v>
      </c>
      <c r="H202" s="2">
        <v>49987.89</v>
      </c>
      <c r="I202" s="2">
        <v>43785.73</v>
      </c>
    </row>
    <row r="203" spans="1:9" hidden="1" x14ac:dyDescent="0.3">
      <c r="A203" t="s">
        <v>354</v>
      </c>
      <c r="B203" t="s">
        <v>92</v>
      </c>
      <c r="C203" t="s">
        <v>127</v>
      </c>
      <c r="D203" s="2">
        <v>22640.75</v>
      </c>
      <c r="E203" s="2">
        <v>15778.2</v>
      </c>
      <c r="F203" s="2">
        <v>15086.94</v>
      </c>
      <c r="G203" s="2">
        <v>10697.3</v>
      </c>
      <c r="H203" s="2">
        <v>9493.92</v>
      </c>
      <c r="I203" s="2">
        <v>6621.18</v>
      </c>
    </row>
    <row r="204" spans="1:9" hidden="1" x14ac:dyDescent="0.3">
      <c r="A204" t="s">
        <v>354</v>
      </c>
      <c r="B204" t="s">
        <v>92</v>
      </c>
      <c r="C204" t="s">
        <v>128</v>
      </c>
      <c r="D204" s="2">
        <v>22640.75</v>
      </c>
      <c r="E204" s="2">
        <v>15778.2</v>
      </c>
      <c r="F204" s="2">
        <v>15086.94</v>
      </c>
      <c r="G204" s="2">
        <v>10697.3</v>
      </c>
      <c r="H204" s="2">
        <v>9493.92</v>
      </c>
      <c r="I204" s="2">
        <v>6621.18</v>
      </c>
    </row>
    <row r="205" spans="1:9" hidden="1" x14ac:dyDescent="0.3">
      <c r="A205" t="s">
        <v>354</v>
      </c>
      <c r="B205" t="s">
        <v>92</v>
      </c>
      <c r="C205" t="s">
        <v>129</v>
      </c>
      <c r="D205" s="2">
        <v>3263.16</v>
      </c>
      <c r="E205" s="2">
        <v>3263.16</v>
      </c>
      <c r="F205" s="2">
        <v>3263.16</v>
      </c>
      <c r="G205" s="2">
        <v>3263.16</v>
      </c>
      <c r="H205" s="2">
        <v>3263.16</v>
      </c>
      <c r="I205" s="2">
        <v>2138</v>
      </c>
    </row>
    <row r="206" spans="1:9" hidden="1" x14ac:dyDescent="0.3">
      <c r="A206" t="s">
        <v>354</v>
      </c>
      <c r="B206" t="s">
        <v>92</v>
      </c>
      <c r="C206" t="s">
        <v>154</v>
      </c>
      <c r="D206" s="2">
        <v>12605.82</v>
      </c>
      <c r="E206" s="2">
        <v>9708.86</v>
      </c>
      <c r="F206" s="2">
        <v>10045.31</v>
      </c>
      <c r="G206" s="2">
        <v>9742.99</v>
      </c>
      <c r="H206" s="2">
        <v>8522.6200000000008</v>
      </c>
      <c r="I206" s="2">
        <v>6950.15</v>
      </c>
    </row>
    <row r="207" spans="1:9" hidden="1" x14ac:dyDescent="0.3">
      <c r="A207" t="s">
        <v>354</v>
      </c>
      <c r="B207" t="s">
        <v>92</v>
      </c>
      <c r="C207" t="s">
        <v>130</v>
      </c>
      <c r="D207" s="2">
        <v>1809.97</v>
      </c>
      <c r="E207" s="2">
        <v>1298.47</v>
      </c>
      <c r="F207" s="2">
        <v>984.41</v>
      </c>
      <c r="G207" s="2">
        <v>1298.47</v>
      </c>
      <c r="H207" s="2">
        <v>1161.75</v>
      </c>
      <c r="I207" s="2">
        <v>1031.4100000000001</v>
      </c>
    </row>
    <row r="208" spans="1:9" hidden="1" x14ac:dyDescent="0.3">
      <c r="A208" t="s">
        <v>354</v>
      </c>
      <c r="B208" t="s">
        <v>92</v>
      </c>
      <c r="C208" t="s">
        <v>131</v>
      </c>
      <c r="D208" s="2">
        <v>5129.82</v>
      </c>
      <c r="E208" s="2">
        <v>3878.43</v>
      </c>
      <c r="F208" s="2">
        <v>526.29</v>
      </c>
      <c r="G208" s="2">
        <v>543.28</v>
      </c>
      <c r="H208" s="2">
        <v>-687.14</v>
      </c>
      <c r="I208" s="2">
        <v>-675.63</v>
      </c>
    </row>
    <row r="209" spans="1:9" hidden="1" x14ac:dyDescent="0.3">
      <c r="A209" t="s">
        <v>354</v>
      </c>
      <c r="B209" t="s">
        <v>92</v>
      </c>
      <c r="C209" t="s">
        <v>132</v>
      </c>
      <c r="D209" s="2">
        <v>3965.58</v>
      </c>
      <c r="E209" s="2">
        <v>1762.9</v>
      </c>
      <c r="F209" s="2">
        <v>4401.3900000000003</v>
      </c>
      <c r="G209" s="2">
        <v>-16.989999999999998</v>
      </c>
      <c r="H209" s="2">
        <v>1367.14</v>
      </c>
      <c r="I209" s="2">
        <v>458.01</v>
      </c>
    </row>
    <row r="210" spans="1:9" hidden="1" x14ac:dyDescent="0.3">
      <c r="A210" t="s">
        <v>354</v>
      </c>
      <c r="B210" t="s">
        <v>92</v>
      </c>
      <c r="C210" t="s">
        <v>159</v>
      </c>
      <c r="D210" s="2">
        <v>-4133.6099999999997</v>
      </c>
      <c r="E210" s="2">
        <v>-4133.6099999999997</v>
      </c>
      <c r="F210" s="2">
        <v>-4133.6099999999997</v>
      </c>
      <c r="G210" s="2">
        <v>-4133.6099999999997</v>
      </c>
      <c r="H210" s="2">
        <v>-4133.6099999999997</v>
      </c>
      <c r="I210" s="2">
        <v>-3280.77</v>
      </c>
    </row>
    <row r="211" spans="1:9" hidden="1" x14ac:dyDescent="0.3">
      <c r="A211" t="s">
        <v>354</v>
      </c>
      <c r="B211" t="s">
        <v>92</v>
      </c>
      <c r="C211" t="s">
        <v>133</v>
      </c>
      <c r="D211" s="2">
        <v>41401.51</v>
      </c>
      <c r="E211" s="2">
        <v>39168.379999999997</v>
      </c>
      <c r="F211" s="2">
        <v>38360.03</v>
      </c>
      <c r="G211" s="2">
        <v>38067.25</v>
      </c>
      <c r="H211" s="2">
        <v>40493.980000000003</v>
      </c>
      <c r="I211" s="2">
        <v>37164.559999999998</v>
      </c>
    </row>
    <row r="212" spans="1:9" hidden="1" x14ac:dyDescent="0.3">
      <c r="A212" t="s">
        <v>354</v>
      </c>
      <c r="B212" t="s">
        <v>92</v>
      </c>
      <c r="C212" t="s">
        <v>134</v>
      </c>
      <c r="D212" s="2">
        <v>73.209999999999994</v>
      </c>
      <c r="E212" s="2">
        <v>209.69</v>
      </c>
      <c r="F212" s="2">
        <v>1086.25</v>
      </c>
      <c r="G212" s="2">
        <v>866.62</v>
      </c>
      <c r="H212" s="2">
        <v>3137.28</v>
      </c>
      <c r="I212" s="2">
        <v>1044.81</v>
      </c>
    </row>
    <row r="213" spans="1:9" hidden="1" x14ac:dyDescent="0.3">
      <c r="A213" t="s">
        <v>354</v>
      </c>
      <c r="B213" t="s">
        <v>92</v>
      </c>
      <c r="C213" t="s">
        <v>160</v>
      </c>
      <c r="D213" s="2">
        <v>73.209999999999994</v>
      </c>
      <c r="E213" s="2">
        <v>188</v>
      </c>
      <c r="F213" s="2">
        <v>719.9</v>
      </c>
      <c r="G213" s="2">
        <v>0</v>
      </c>
      <c r="H213" s="2">
        <v>2686.45</v>
      </c>
      <c r="I213" s="2">
        <v>593.98</v>
      </c>
    </row>
    <row r="214" spans="1:9" hidden="1" x14ac:dyDescent="0.3">
      <c r="A214" t="s">
        <v>354</v>
      </c>
      <c r="B214" t="s">
        <v>92</v>
      </c>
      <c r="C214" t="s">
        <v>135</v>
      </c>
      <c r="D214" s="2">
        <v>0</v>
      </c>
      <c r="E214" s="2">
        <v>21.69</v>
      </c>
      <c r="F214" s="2">
        <v>366.35</v>
      </c>
      <c r="G214" s="2">
        <v>866.62</v>
      </c>
      <c r="H214" s="2">
        <v>450.83</v>
      </c>
      <c r="I214" s="2">
        <v>450.83</v>
      </c>
    </row>
    <row r="215" spans="1:9" hidden="1" x14ac:dyDescent="0.3">
      <c r="A215" t="s">
        <v>354</v>
      </c>
      <c r="B215" t="s">
        <v>92</v>
      </c>
      <c r="C215" t="s">
        <v>137</v>
      </c>
      <c r="D215" s="2">
        <v>41328.300000000003</v>
      </c>
      <c r="E215" s="2">
        <v>38958.69</v>
      </c>
      <c r="F215" s="2">
        <v>37273.78</v>
      </c>
      <c r="G215" s="2">
        <v>37200.629999999997</v>
      </c>
      <c r="H215" s="2">
        <v>37356.699999999997</v>
      </c>
      <c r="I215" s="2">
        <v>36119.74</v>
      </c>
    </row>
    <row r="216" spans="1:9" hidden="1" x14ac:dyDescent="0.3">
      <c r="A216" t="s">
        <v>354</v>
      </c>
      <c r="B216" t="s">
        <v>92</v>
      </c>
      <c r="C216" t="s">
        <v>155</v>
      </c>
      <c r="D216" s="2">
        <v>9047.85</v>
      </c>
      <c r="E216" s="2">
        <v>4379.43</v>
      </c>
      <c r="F216" s="2">
        <v>4610.7700000000004</v>
      </c>
      <c r="G216" s="2">
        <v>0</v>
      </c>
      <c r="H216" s="2">
        <v>7483.28</v>
      </c>
      <c r="I216" s="2">
        <v>6592.46</v>
      </c>
    </row>
    <row r="217" spans="1:9" hidden="1" x14ac:dyDescent="0.3">
      <c r="A217" t="s">
        <v>354</v>
      </c>
      <c r="B217" t="s">
        <v>92</v>
      </c>
      <c r="C217" t="s">
        <v>138</v>
      </c>
      <c r="D217" s="2">
        <v>22981.63</v>
      </c>
      <c r="E217" s="2">
        <v>25197.93</v>
      </c>
      <c r="F217" s="2">
        <v>23720.639999999999</v>
      </c>
      <c r="G217" s="2">
        <v>26610.97</v>
      </c>
      <c r="H217" s="2">
        <v>18444.93</v>
      </c>
      <c r="I217" s="2">
        <v>20942.59</v>
      </c>
    </row>
    <row r="218" spans="1:9" hidden="1" x14ac:dyDescent="0.3">
      <c r="A218" t="s">
        <v>354</v>
      </c>
      <c r="B218" t="s">
        <v>92</v>
      </c>
      <c r="C218" t="s">
        <v>139</v>
      </c>
      <c r="D218" s="2">
        <v>14216.46</v>
      </c>
      <c r="E218" s="2">
        <v>15747.45</v>
      </c>
      <c r="F218" s="2">
        <v>15093.79</v>
      </c>
      <c r="G218" s="2">
        <v>0</v>
      </c>
      <c r="H218" s="2">
        <v>16112.27</v>
      </c>
      <c r="I218" s="2">
        <v>13026.58</v>
      </c>
    </row>
    <row r="219" spans="1:9" hidden="1" x14ac:dyDescent="0.3">
      <c r="A219" t="s">
        <v>354</v>
      </c>
      <c r="B219" t="s">
        <v>92</v>
      </c>
      <c r="C219" t="s">
        <v>156</v>
      </c>
      <c r="D219" s="2">
        <v>0</v>
      </c>
      <c r="E219" s="2">
        <v>0</v>
      </c>
      <c r="F219" s="2">
        <v>0</v>
      </c>
      <c r="G219" s="2">
        <v>0</v>
      </c>
      <c r="H219" s="2">
        <v>0</v>
      </c>
      <c r="I219" s="2">
        <v>5986.76</v>
      </c>
    </row>
    <row r="220" spans="1:9" hidden="1" x14ac:dyDescent="0.3">
      <c r="A220" t="s">
        <v>354</v>
      </c>
      <c r="B220" t="s">
        <v>92</v>
      </c>
      <c r="C220" t="s">
        <v>140</v>
      </c>
      <c r="D220" s="2">
        <v>8765.16</v>
      </c>
      <c r="E220" s="2">
        <v>9450.48</v>
      </c>
      <c r="F220" s="2">
        <v>8626.84</v>
      </c>
      <c r="G220" s="2">
        <v>0</v>
      </c>
      <c r="H220" s="2">
        <v>2332.67</v>
      </c>
      <c r="I220" s="2">
        <v>1929.24</v>
      </c>
    </row>
    <row r="221" spans="1:9" hidden="1" x14ac:dyDescent="0.3">
      <c r="A221" t="s">
        <v>354</v>
      </c>
      <c r="B221" t="s">
        <v>92</v>
      </c>
      <c r="C221" t="s">
        <v>135</v>
      </c>
      <c r="D221" s="2">
        <v>5984.23</v>
      </c>
      <c r="E221" s="2">
        <v>6531.29</v>
      </c>
      <c r="F221" s="2">
        <v>6032.1</v>
      </c>
      <c r="G221" s="2">
        <v>8039.49</v>
      </c>
      <c r="H221" s="2">
        <v>7967.76</v>
      </c>
      <c r="I221" s="2">
        <v>6444.38</v>
      </c>
    </row>
    <row r="222" spans="1:9" hidden="1" x14ac:dyDescent="0.3">
      <c r="A222" t="s">
        <v>354</v>
      </c>
      <c r="B222" t="s">
        <v>92</v>
      </c>
      <c r="C222" t="s">
        <v>141</v>
      </c>
      <c r="D222" s="2">
        <v>131.41</v>
      </c>
      <c r="E222" s="2">
        <v>6.89</v>
      </c>
      <c r="F222" s="2">
        <v>13.56</v>
      </c>
      <c r="G222" s="2">
        <v>290.95</v>
      </c>
      <c r="H222" s="2">
        <v>1218.82</v>
      </c>
      <c r="I222" s="2">
        <v>11.59</v>
      </c>
    </row>
    <row r="223" spans="1:9" hidden="1" x14ac:dyDescent="0.3">
      <c r="A223" t="s">
        <v>354</v>
      </c>
      <c r="B223" t="s">
        <v>92</v>
      </c>
      <c r="C223" t="s">
        <v>157</v>
      </c>
      <c r="D223" s="2">
        <v>3183.18</v>
      </c>
      <c r="E223" s="2">
        <v>2843.15</v>
      </c>
      <c r="F223" s="2">
        <v>2896.71</v>
      </c>
      <c r="G223" s="2">
        <v>2259.23</v>
      </c>
      <c r="H223" s="2">
        <v>2241.89</v>
      </c>
      <c r="I223" s="2">
        <v>2128.7199999999998</v>
      </c>
    </row>
    <row r="224" spans="1:9" hidden="1" x14ac:dyDescent="0.3">
      <c r="A224" t="s">
        <v>353</v>
      </c>
      <c r="B224" t="s">
        <v>92</v>
      </c>
      <c r="C224" t="s">
        <v>99</v>
      </c>
      <c r="D224" s="2">
        <v>906554.73</v>
      </c>
      <c r="E224" s="2">
        <v>835545</v>
      </c>
      <c r="F224" s="2">
        <v>750660.87</v>
      </c>
      <c r="G224" s="2">
        <v>629104.27</v>
      </c>
      <c r="H224" s="2">
        <v>490168.21</v>
      </c>
      <c r="I224" s="2">
        <v>481910.73</v>
      </c>
    </row>
    <row r="225" spans="1:9" hidden="1" x14ac:dyDescent="0.3">
      <c r="A225" t="s">
        <v>353</v>
      </c>
      <c r="B225" t="s">
        <v>92</v>
      </c>
      <c r="C225" t="s">
        <v>142</v>
      </c>
      <c r="D225" s="2">
        <v>906554.73</v>
      </c>
      <c r="E225" s="2">
        <v>835545</v>
      </c>
      <c r="F225" s="2">
        <v>750660.87</v>
      </c>
      <c r="G225" s="2">
        <v>629104.27</v>
      </c>
      <c r="H225" s="2">
        <v>490168.21</v>
      </c>
      <c r="I225" s="2">
        <v>481910.73</v>
      </c>
    </row>
    <row r="226" spans="1:9" hidden="1" x14ac:dyDescent="0.3">
      <c r="A226" t="s">
        <v>353</v>
      </c>
      <c r="B226" t="s">
        <v>92</v>
      </c>
      <c r="C226" t="s">
        <v>102</v>
      </c>
      <c r="D226" s="2">
        <v>-27486.76</v>
      </c>
      <c r="E226" s="2">
        <v>-25342.18</v>
      </c>
      <c r="F226" s="2">
        <v>-31176.67</v>
      </c>
      <c r="G226" s="2">
        <v>-17785.59</v>
      </c>
      <c r="H226" s="2">
        <v>-68261.399999999994</v>
      </c>
      <c r="I226" s="2">
        <v>-20740.07</v>
      </c>
    </row>
    <row r="227" spans="1:9" hidden="1" x14ac:dyDescent="0.3">
      <c r="A227" t="s">
        <v>353</v>
      </c>
      <c r="B227" t="s">
        <v>92</v>
      </c>
      <c r="C227" t="s">
        <v>143</v>
      </c>
      <c r="D227" s="2">
        <v>-70562.23</v>
      </c>
      <c r="E227" s="2">
        <v>-52621.91</v>
      </c>
      <c r="F227" s="2">
        <v>-39682.35</v>
      </c>
      <c r="G227" s="2">
        <v>-37403.61</v>
      </c>
      <c r="H227" s="2">
        <v>-37668.94</v>
      </c>
      <c r="I227" s="2">
        <v>-33763.56</v>
      </c>
    </row>
    <row r="228" spans="1:9" hidden="1" x14ac:dyDescent="0.3">
      <c r="A228" t="s">
        <v>353</v>
      </c>
      <c r="B228" t="s">
        <v>92</v>
      </c>
      <c r="C228" t="s">
        <v>144</v>
      </c>
      <c r="D228" s="2">
        <v>-279.51</v>
      </c>
      <c r="E228" s="2">
        <v>-206.35</v>
      </c>
      <c r="F228" s="2">
        <v>-169.98</v>
      </c>
      <c r="G228" s="2">
        <v>-110.04</v>
      </c>
      <c r="H228" s="2">
        <v>-39.32</v>
      </c>
      <c r="I228" s="2">
        <v>-144.09</v>
      </c>
    </row>
    <row r="229" spans="1:9" hidden="1" x14ac:dyDescent="0.3">
      <c r="A229" t="s">
        <v>353</v>
      </c>
      <c r="B229" t="s">
        <v>92</v>
      </c>
      <c r="C229" t="s">
        <v>145</v>
      </c>
      <c r="D229" s="2">
        <v>-6309.65</v>
      </c>
      <c r="E229" s="2">
        <v>-5454.34</v>
      </c>
      <c r="F229" s="2">
        <v>-4301.8999999999996</v>
      </c>
      <c r="G229" s="2">
        <v>-3718.48</v>
      </c>
      <c r="H229" s="2">
        <v>-4217.47</v>
      </c>
      <c r="I229" s="2">
        <v>-3439.7</v>
      </c>
    </row>
    <row r="230" spans="1:9" hidden="1" x14ac:dyDescent="0.3">
      <c r="A230" t="s">
        <v>353</v>
      </c>
      <c r="B230" t="s">
        <v>92</v>
      </c>
      <c r="C230" t="s">
        <v>100</v>
      </c>
      <c r="D230" s="2">
        <v>-709169.35</v>
      </c>
      <c r="E230" s="2">
        <v>-679087</v>
      </c>
      <c r="F230" s="2">
        <v>-606316.59</v>
      </c>
      <c r="G230" s="2">
        <v>-451373.63</v>
      </c>
      <c r="H230" s="2">
        <v>-444376.52</v>
      </c>
      <c r="I230" s="2">
        <v>-380455.76</v>
      </c>
    </row>
    <row r="231" spans="1:9" hidden="1" x14ac:dyDescent="0.3">
      <c r="A231" t="s">
        <v>353</v>
      </c>
      <c r="B231" t="s">
        <v>92</v>
      </c>
      <c r="C231" t="s">
        <v>103</v>
      </c>
      <c r="D231" s="2">
        <v>-16291.76</v>
      </c>
      <c r="E231" s="2">
        <v>-16230.05</v>
      </c>
      <c r="F231" s="2">
        <v>-11450.44</v>
      </c>
      <c r="G231" s="2">
        <v>-17269.36</v>
      </c>
      <c r="H231" s="2">
        <v>-13510.87</v>
      </c>
      <c r="I231" s="2">
        <v>-11273.42</v>
      </c>
    </row>
    <row r="232" spans="1:9" hidden="1" x14ac:dyDescent="0.3">
      <c r="A232" t="s">
        <v>353</v>
      </c>
      <c r="B232" t="s">
        <v>92</v>
      </c>
      <c r="C232" t="s">
        <v>104</v>
      </c>
      <c r="D232" s="2">
        <v>75214.53</v>
      </c>
      <c r="E232" s="2">
        <v>56603.199999999997</v>
      </c>
      <c r="F232" s="2">
        <v>57562.94</v>
      </c>
      <c r="G232" s="2">
        <v>101443.56</v>
      </c>
      <c r="H232" s="2">
        <v>-77906.31</v>
      </c>
      <c r="I232" s="2">
        <v>32094.14</v>
      </c>
    </row>
    <row r="233" spans="1:9" hidden="1" x14ac:dyDescent="0.3">
      <c r="A233" t="s">
        <v>353</v>
      </c>
      <c r="B233" t="s">
        <v>92</v>
      </c>
      <c r="C233" t="s">
        <v>105</v>
      </c>
      <c r="D233" s="2">
        <v>91506.29</v>
      </c>
      <c r="E233" s="2">
        <v>72833.25</v>
      </c>
      <c r="F233" s="2">
        <v>69013.38</v>
      </c>
      <c r="G233" s="2">
        <v>118712.92</v>
      </c>
      <c r="H233" s="2">
        <v>-64395.44</v>
      </c>
      <c r="I233" s="2">
        <v>43367.56</v>
      </c>
    </row>
    <row r="234" spans="1:9" hidden="1" x14ac:dyDescent="0.3">
      <c r="A234" t="s">
        <v>353</v>
      </c>
      <c r="B234" t="s">
        <v>92</v>
      </c>
      <c r="C234" t="s">
        <v>106</v>
      </c>
      <c r="D234" s="2">
        <v>-68611.539999999994</v>
      </c>
      <c r="E234" s="2">
        <v>-68528.92</v>
      </c>
      <c r="F234" s="2">
        <v>-39416.35</v>
      </c>
      <c r="G234" s="2">
        <v>-24963.64</v>
      </c>
      <c r="H234" s="2">
        <v>-55293.56</v>
      </c>
      <c r="I234" s="2">
        <v>-35066.06</v>
      </c>
    </row>
    <row r="235" spans="1:9" hidden="1" x14ac:dyDescent="0.3">
      <c r="A235" t="s">
        <v>353</v>
      </c>
      <c r="B235" t="s">
        <v>92</v>
      </c>
      <c r="C235" t="s">
        <v>107</v>
      </c>
      <c r="D235" s="2">
        <v>-68611.539999999994</v>
      </c>
      <c r="E235" s="2">
        <v>-68528.92</v>
      </c>
      <c r="F235" s="2">
        <v>-39416.35</v>
      </c>
      <c r="G235" s="2">
        <v>-24963.64</v>
      </c>
      <c r="H235" s="2">
        <v>-55293.56</v>
      </c>
      <c r="I235" s="2">
        <v>-35066.06</v>
      </c>
    </row>
    <row r="236" spans="1:9" hidden="1" x14ac:dyDescent="0.3">
      <c r="A236" t="s">
        <v>353</v>
      </c>
      <c r="B236" t="s">
        <v>92</v>
      </c>
      <c r="C236" t="s">
        <v>146</v>
      </c>
      <c r="D236" s="2">
        <v>-68611.539999999994</v>
      </c>
      <c r="E236" s="2">
        <v>-68528.92</v>
      </c>
      <c r="F236" s="2">
        <v>-39416.35</v>
      </c>
      <c r="G236" s="2">
        <v>-24963.64</v>
      </c>
      <c r="H236" s="2">
        <v>-55293.56</v>
      </c>
      <c r="I236" s="2">
        <v>-35066.06</v>
      </c>
    </row>
    <row r="237" spans="1:9" hidden="1" x14ac:dyDescent="0.3">
      <c r="A237" t="s">
        <v>353</v>
      </c>
      <c r="B237" t="s">
        <v>92</v>
      </c>
      <c r="C237" t="s">
        <v>109</v>
      </c>
      <c r="D237" s="2">
        <v>51614.51</v>
      </c>
      <c r="E237" s="2">
        <v>52318.76</v>
      </c>
      <c r="F237" s="2">
        <v>58471.03</v>
      </c>
      <c r="G237" s="2">
        <v>7850.4</v>
      </c>
      <c r="H237" s="2">
        <v>9464.06</v>
      </c>
      <c r="I237" s="2">
        <v>11728.22</v>
      </c>
    </row>
    <row r="238" spans="1:9" hidden="1" x14ac:dyDescent="0.3">
      <c r="A238" t="s">
        <v>353</v>
      </c>
      <c r="B238" t="s">
        <v>92</v>
      </c>
      <c r="C238" t="s">
        <v>110</v>
      </c>
      <c r="D238" s="2">
        <v>66221.83</v>
      </c>
      <c r="E238" s="2">
        <v>67573.960000000006</v>
      </c>
      <c r="F238" s="2">
        <v>73225.87</v>
      </c>
      <c r="G238" s="2">
        <v>21221.11</v>
      </c>
      <c r="H238" s="2">
        <v>18164.82</v>
      </c>
      <c r="I238" s="2">
        <v>16543.169999999998</v>
      </c>
    </row>
    <row r="239" spans="1:9" hidden="1" x14ac:dyDescent="0.3">
      <c r="A239" t="s">
        <v>353</v>
      </c>
      <c r="B239" t="s">
        <v>92</v>
      </c>
      <c r="C239" t="s">
        <v>111</v>
      </c>
      <c r="D239" s="2">
        <v>-14607.32</v>
      </c>
      <c r="E239" s="2">
        <v>-15255.2</v>
      </c>
      <c r="F239" s="2">
        <v>-14754.84</v>
      </c>
      <c r="G239" s="2">
        <v>-13370.71</v>
      </c>
      <c r="H239" s="2">
        <v>-8700.76</v>
      </c>
      <c r="I239" s="2">
        <v>-4814.95</v>
      </c>
    </row>
    <row r="240" spans="1:9" hidden="1" x14ac:dyDescent="0.3">
      <c r="A240" t="s">
        <v>353</v>
      </c>
      <c r="B240" t="s">
        <v>92</v>
      </c>
      <c r="C240" t="s">
        <v>112</v>
      </c>
      <c r="D240" s="2">
        <v>58217.5</v>
      </c>
      <c r="E240" s="2">
        <v>40393.71</v>
      </c>
      <c r="F240" s="2">
        <v>76617.62</v>
      </c>
      <c r="G240" s="2">
        <v>84330.32</v>
      </c>
      <c r="H240" s="2">
        <v>-123735.81</v>
      </c>
      <c r="I240" s="2">
        <v>8756.2999999999993</v>
      </c>
    </row>
    <row r="241" spans="1:9" hidden="1" x14ac:dyDescent="0.3">
      <c r="A241" t="s">
        <v>353</v>
      </c>
      <c r="B241" t="s">
        <v>92</v>
      </c>
      <c r="C241" t="s">
        <v>113</v>
      </c>
      <c r="D241" s="2">
        <v>-19457.48</v>
      </c>
      <c r="E241" s="2">
        <v>-12457.03</v>
      </c>
      <c r="F241" s="2">
        <v>-37104.550000000003</v>
      </c>
      <c r="G241" s="2">
        <v>-24057.72</v>
      </c>
      <c r="H241" s="2">
        <v>18870.400000000001</v>
      </c>
      <c r="I241" s="2">
        <v>-6484.85</v>
      </c>
    </row>
    <row r="242" spans="1:9" hidden="1" x14ac:dyDescent="0.3">
      <c r="A242" t="s">
        <v>353</v>
      </c>
      <c r="B242" t="s">
        <v>92</v>
      </c>
      <c r="C242" t="s">
        <v>114</v>
      </c>
      <c r="D242" s="2">
        <v>38760.019999999997</v>
      </c>
      <c r="E242" s="2">
        <v>27936.67</v>
      </c>
      <c r="F242" s="2">
        <v>39513.07</v>
      </c>
      <c r="G242" s="2">
        <v>60272.6</v>
      </c>
      <c r="H242" s="2">
        <v>-104865.41</v>
      </c>
      <c r="I242" s="2">
        <v>2271.44</v>
      </c>
    </row>
    <row r="243" spans="1:9" hidden="1" x14ac:dyDescent="0.3">
      <c r="A243" t="s">
        <v>353</v>
      </c>
      <c r="B243" t="s">
        <v>92</v>
      </c>
      <c r="C243" t="s">
        <v>115</v>
      </c>
      <c r="D243" s="2">
        <v>38760.019999999997</v>
      </c>
      <c r="E243" s="2">
        <v>27936.67</v>
      </c>
      <c r="F243" s="2">
        <v>39513.07</v>
      </c>
      <c r="G243" s="2">
        <v>60272.6</v>
      </c>
      <c r="H243" s="2">
        <v>-104865.41</v>
      </c>
      <c r="I243" s="2">
        <v>2271.44</v>
      </c>
    </row>
    <row r="244" spans="1:9" hidden="1" x14ac:dyDescent="0.3">
      <c r="A244" t="s">
        <v>353</v>
      </c>
      <c r="B244" t="s">
        <v>92</v>
      </c>
      <c r="C244" t="s">
        <v>116</v>
      </c>
      <c r="D244" s="2">
        <v>1233441.32</v>
      </c>
      <c r="E244" s="2">
        <v>1171850</v>
      </c>
      <c r="F244" s="2">
        <v>1056937.68</v>
      </c>
      <c r="G244" s="2">
        <v>1002279.21</v>
      </c>
      <c r="H244" s="2">
        <v>941330.2</v>
      </c>
      <c r="I244" s="2">
        <v>954235.1</v>
      </c>
    </row>
    <row r="245" spans="1:9" hidden="1" x14ac:dyDescent="0.3">
      <c r="A245" t="s">
        <v>353</v>
      </c>
      <c r="B245" t="s">
        <v>92</v>
      </c>
      <c r="C245" t="s">
        <v>117</v>
      </c>
      <c r="D245" s="2">
        <v>645716.46</v>
      </c>
      <c r="E245" s="2">
        <v>644713.02</v>
      </c>
      <c r="F245" s="2">
        <v>660052.88</v>
      </c>
      <c r="G245" s="2">
        <v>652399.53</v>
      </c>
      <c r="H245" s="2">
        <v>645244.86</v>
      </c>
      <c r="I245" s="2">
        <v>645972.56999999995</v>
      </c>
    </row>
    <row r="246" spans="1:9" hidden="1" x14ac:dyDescent="0.3">
      <c r="A246" t="s">
        <v>353</v>
      </c>
      <c r="B246" t="s">
        <v>92</v>
      </c>
      <c r="C246" t="s">
        <v>118</v>
      </c>
      <c r="D246" s="2">
        <v>610457.61</v>
      </c>
      <c r="E246" s="2">
        <v>610702</v>
      </c>
      <c r="F246" s="2">
        <v>624973.84</v>
      </c>
      <c r="G246" s="2">
        <v>617594.81000000006</v>
      </c>
      <c r="H246" s="2">
        <v>615821.82999999996</v>
      </c>
      <c r="I246" s="2">
        <v>632807.94999999995</v>
      </c>
    </row>
    <row r="247" spans="1:9" hidden="1" x14ac:dyDescent="0.3">
      <c r="A247" t="s">
        <v>353</v>
      </c>
      <c r="B247" t="s">
        <v>92</v>
      </c>
      <c r="C247" t="s">
        <v>147</v>
      </c>
      <c r="D247" s="2">
        <v>1893.91</v>
      </c>
      <c r="E247" s="2">
        <v>2461.13</v>
      </c>
      <c r="F247" s="2">
        <v>3942.63</v>
      </c>
      <c r="G247" s="2">
        <v>4038.23</v>
      </c>
      <c r="H247" s="2">
        <v>1650.04</v>
      </c>
      <c r="I247" s="2">
        <v>945.02</v>
      </c>
    </row>
    <row r="248" spans="1:9" hidden="1" x14ac:dyDescent="0.3">
      <c r="A248" t="s">
        <v>353</v>
      </c>
      <c r="B248" t="s">
        <v>92</v>
      </c>
      <c r="C248" t="s">
        <v>119</v>
      </c>
      <c r="D248" s="2">
        <v>0</v>
      </c>
      <c r="E248" s="2">
        <v>0</v>
      </c>
      <c r="F248" s="2">
        <v>0</v>
      </c>
      <c r="G248" s="2">
        <v>0</v>
      </c>
      <c r="H248" s="2">
        <v>0</v>
      </c>
      <c r="I248" s="2">
        <v>31.5</v>
      </c>
    </row>
    <row r="249" spans="1:9" hidden="1" x14ac:dyDescent="0.3">
      <c r="A249" t="s">
        <v>353</v>
      </c>
      <c r="B249" t="s">
        <v>92</v>
      </c>
      <c r="C249" t="s">
        <v>150</v>
      </c>
      <c r="D249" s="2">
        <v>0</v>
      </c>
      <c r="E249" s="2">
        <v>0</v>
      </c>
      <c r="F249" s="2">
        <v>0</v>
      </c>
      <c r="G249" s="2">
        <v>0</v>
      </c>
      <c r="H249" s="2">
        <v>0</v>
      </c>
      <c r="I249" s="2">
        <v>31.5</v>
      </c>
    </row>
    <row r="250" spans="1:9" hidden="1" x14ac:dyDescent="0.3">
      <c r="A250" t="s">
        <v>353</v>
      </c>
      <c r="B250" t="s">
        <v>92</v>
      </c>
      <c r="C250" t="s">
        <v>161</v>
      </c>
      <c r="D250" s="2">
        <v>0</v>
      </c>
      <c r="E250" s="2">
        <v>0</v>
      </c>
      <c r="F250" s="2">
        <v>0</v>
      </c>
      <c r="G250" s="2">
        <v>0</v>
      </c>
      <c r="H250" s="2">
        <v>0</v>
      </c>
      <c r="I250" s="2">
        <v>3635.91</v>
      </c>
    </row>
    <row r="251" spans="1:9" hidden="1" x14ac:dyDescent="0.3">
      <c r="A251" t="s">
        <v>353</v>
      </c>
      <c r="B251" t="s">
        <v>92</v>
      </c>
      <c r="C251" t="s">
        <v>162</v>
      </c>
      <c r="D251" s="2">
        <v>0</v>
      </c>
      <c r="E251" s="2">
        <v>0</v>
      </c>
      <c r="F251" s="2">
        <v>0</v>
      </c>
      <c r="G251" s="2">
        <v>0</v>
      </c>
      <c r="H251" s="2">
        <v>0</v>
      </c>
      <c r="I251" s="2">
        <v>3635.91</v>
      </c>
    </row>
    <row r="252" spans="1:9" hidden="1" x14ac:dyDescent="0.3">
      <c r="A252" t="s">
        <v>353</v>
      </c>
      <c r="B252" t="s">
        <v>92</v>
      </c>
      <c r="C252" t="s">
        <v>148</v>
      </c>
      <c r="D252" s="2">
        <v>33261.06</v>
      </c>
      <c r="E252" s="2">
        <v>31446.01</v>
      </c>
      <c r="F252" s="2">
        <v>31032.54</v>
      </c>
      <c r="G252" s="2">
        <v>30662.62</v>
      </c>
      <c r="H252" s="2">
        <v>27669.119999999999</v>
      </c>
      <c r="I252" s="2">
        <v>8448.31</v>
      </c>
    </row>
    <row r="253" spans="1:9" hidden="1" x14ac:dyDescent="0.3">
      <c r="A253" t="s">
        <v>353</v>
      </c>
      <c r="B253" t="s">
        <v>92</v>
      </c>
      <c r="C253" t="s">
        <v>120</v>
      </c>
      <c r="D253" s="2">
        <v>103.88</v>
      </c>
      <c r="E253" s="2">
        <v>103.88</v>
      </c>
      <c r="F253" s="2">
        <v>103.88</v>
      </c>
      <c r="G253" s="2">
        <v>103.88</v>
      </c>
      <c r="H253" s="2">
        <v>103.88</v>
      </c>
      <c r="I253" s="2">
        <v>103.88</v>
      </c>
    </row>
    <row r="254" spans="1:9" hidden="1" x14ac:dyDescent="0.3">
      <c r="A254" t="s">
        <v>353</v>
      </c>
      <c r="B254" t="s">
        <v>92</v>
      </c>
      <c r="C254" t="s">
        <v>121</v>
      </c>
      <c r="D254" s="2">
        <v>587724.86</v>
      </c>
      <c r="E254" s="2">
        <v>527138.9</v>
      </c>
      <c r="F254" s="2">
        <v>396884.8</v>
      </c>
      <c r="G254" s="2">
        <v>349879.68</v>
      </c>
      <c r="H254" s="2">
        <v>296085.34000000003</v>
      </c>
      <c r="I254" s="2">
        <v>308262.53000000003</v>
      </c>
    </row>
    <row r="255" spans="1:9" hidden="1" x14ac:dyDescent="0.3">
      <c r="A255" t="s">
        <v>353</v>
      </c>
      <c r="B255" t="s">
        <v>92</v>
      </c>
      <c r="C255" t="s">
        <v>163</v>
      </c>
      <c r="D255" s="2">
        <v>14094.53</v>
      </c>
      <c r="E255" s="2">
        <v>16667.97</v>
      </c>
      <c r="F255" s="2">
        <v>16474.16</v>
      </c>
      <c r="G255" s="2">
        <v>14791.96</v>
      </c>
      <c r="H255" s="2">
        <v>18354.16</v>
      </c>
      <c r="I255" s="2">
        <v>10602.7</v>
      </c>
    </row>
    <row r="256" spans="1:9" hidden="1" x14ac:dyDescent="0.3">
      <c r="A256" t="s">
        <v>353</v>
      </c>
      <c r="B256" t="s">
        <v>92</v>
      </c>
      <c r="C256" t="s">
        <v>164</v>
      </c>
      <c r="D256" s="2">
        <v>14094.53</v>
      </c>
      <c r="E256" s="2">
        <v>16667.97</v>
      </c>
      <c r="F256" s="2">
        <v>16474.16</v>
      </c>
      <c r="G256" s="2">
        <v>14791.96</v>
      </c>
      <c r="H256" s="2">
        <v>18354.16</v>
      </c>
      <c r="I256" s="2">
        <v>10602.7</v>
      </c>
    </row>
    <row r="257" spans="1:9" hidden="1" x14ac:dyDescent="0.3">
      <c r="A257" t="s">
        <v>353</v>
      </c>
      <c r="B257" t="s">
        <v>92</v>
      </c>
      <c r="C257" t="s">
        <v>122</v>
      </c>
      <c r="D257" s="2">
        <v>557546.19999999995</v>
      </c>
      <c r="E257" s="2">
        <v>478261.4</v>
      </c>
      <c r="F257" s="2">
        <v>333118.89</v>
      </c>
      <c r="G257" s="2">
        <v>289700.53000000003</v>
      </c>
      <c r="H257" s="2">
        <v>259675.71</v>
      </c>
      <c r="I257" s="2">
        <v>274294.03999999998</v>
      </c>
    </row>
    <row r="258" spans="1:9" hidden="1" x14ac:dyDescent="0.3">
      <c r="A258" t="s">
        <v>353</v>
      </c>
      <c r="B258" t="s">
        <v>92</v>
      </c>
      <c r="C258" t="s">
        <v>149</v>
      </c>
      <c r="D258" s="2">
        <v>632891.05000000005</v>
      </c>
      <c r="E258" s="2">
        <v>538934</v>
      </c>
      <c r="F258" s="2">
        <v>414126.42</v>
      </c>
      <c r="G258" s="2">
        <v>0</v>
      </c>
      <c r="H258" s="2">
        <v>332529.03000000003</v>
      </c>
      <c r="I258" s="2">
        <v>287632.82</v>
      </c>
    </row>
    <row r="259" spans="1:9" hidden="1" x14ac:dyDescent="0.3">
      <c r="A259" t="s">
        <v>353</v>
      </c>
      <c r="B259" t="s">
        <v>92</v>
      </c>
      <c r="C259" t="s">
        <v>123</v>
      </c>
      <c r="D259" s="2">
        <v>12807.32</v>
      </c>
      <c r="E259" s="2">
        <v>13694.49</v>
      </c>
      <c r="F259" s="2">
        <v>12661.91</v>
      </c>
      <c r="G259" s="2">
        <v>6701.76</v>
      </c>
      <c r="H259" s="2">
        <v>6364.1</v>
      </c>
      <c r="I259" s="2">
        <v>5051.18</v>
      </c>
    </row>
    <row r="260" spans="1:9" hidden="1" x14ac:dyDescent="0.3">
      <c r="A260" t="s">
        <v>353</v>
      </c>
      <c r="B260" t="s">
        <v>92</v>
      </c>
      <c r="C260" t="s">
        <v>151</v>
      </c>
      <c r="D260" s="2">
        <v>-98606.27</v>
      </c>
      <c r="E260" s="2">
        <v>-91433.46</v>
      </c>
      <c r="F260" s="2">
        <v>-93882.81</v>
      </c>
      <c r="G260" s="2">
        <v>-91361.2</v>
      </c>
      <c r="H260" s="2">
        <v>-92823.99</v>
      </c>
      <c r="I260" s="2">
        <v>-26558.21</v>
      </c>
    </row>
    <row r="261" spans="1:9" hidden="1" x14ac:dyDescent="0.3">
      <c r="A261" t="s">
        <v>353</v>
      </c>
      <c r="B261" t="s">
        <v>92</v>
      </c>
      <c r="C261" t="s">
        <v>152</v>
      </c>
      <c r="D261" s="2">
        <v>10454.11</v>
      </c>
      <c r="E261" s="2">
        <v>17067.2</v>
      </c>
      <c r="F261" s="2">
        <v>213.37</v>
      </c>
      <c r="G261" s="2">
        <v>43.33</v>
      </c>
      <c r="H261" s="2">
        <v>13606.56</v>
      </c>
      <c r="I261" s="2">
        <v>8168.25</v>
      </c>
    </row>
    <row r="262" spans="1:9" hidden="1" x14ac:dyDescent="0.3">
      <c r="A262" t="s">
        <v>353</v>
      </c>
      <c r="B262" t="s">
        <v>92</v>
      </c>
      <c r="C262" t="s">
        <v>153</v>
      </c>
      <c r="D262" s="2">
        <v>3083.06</v>
      </c>
      <c r="E262" s="2">
        <v>2384.6</v>
      </c>
      <c r="F262" s="2">
        <v>1982.93</v>
      </c>
      <c r="G262" s="2">
        <v>4428.1099999999997</v>
      </c>
      <c r="H262" s="2">
        <v>2738.54</v>
      </c>
      <c r="I262" s="2">
        <v>2753.52</v>
      </c>
    </row>
    <row r="263" spans="1:9" hidden="1" x14ac:dyDescent="0.3">
      <c r="A263" t="s">
        <v>353</v>
      </c>
      <c r="B263" t="s">
        <v>92</v>
      </c>
      <c r="C263" t="s">
        <v>124</v>
      </c>
      <c r="D263" s="2">
        <v>8139.39</v>
      </c>
      <c r="E263" s="2">
        <v>6309.96</v>
      </c>
      <c r="F263" s="2">
        <v>3756.16</v>
      </c>
      <c r="G263" s="2">
        <v>4206.16</v>
      </c>
      <c r="H263" s="2">
        <v>2504.16</v>
      </c>
      <c r="I263" s="2">
        <v>2461.0100000000002</v>
      </c>
    </row>
    <row r="264" spans="1:9" hidden="1" x14ac:dyDescent="0.3">
      <c r="A264" t="s">
        <v>353</v>
      </c>
      <c r="B264" t="s">
        <v>92</v>
      </c>
      <c r="C264" t="s">
        <v>125</v>
      </c>
      <c r="D264" s="2">
        <v>4861.68</v>
      </c>
      <c r="E264" s="2">
        <v>23514.98</v>
      </c>
      <c r="F264" s="2">
        <v>41552.660000000003</v>
      </c>
      <c r="G264" s="2">
        <v>36752.910000000003</v>
      </c>
      <c r="H264" s="2">
        <v>12812.77</v>
      </c>
      <c r="I264" s="2">
        <v>18151.259999999998</v>
      </c>
    </row>
    <row r="265" spans="1:9" hidden="1" x14ac:dyDescent="0.3">
      <c r="A265" t="s">
        <v>353</v>
      </c>
      <c r="B265" t="s">
        <v>92</v>
      </c>
      <c r="C265" t="s">
        <v>126</v>
      </c>
      <c r="D265" s="2">
        <v>1233441.32</v>
      </c>
      <c r="E265" s="2">
        <v>1171852</v>
      </c>
      <c r="F265" s="2">
        <v>1056937.68</v>
      </c>
      <c r="G265" s="2">
        <v>1002279.21</v>
      </c>
      <c r="H265" s="2">
        <v>941330.2</v>
      </c>
      <c r="I265" s="2">
        <v>954235.1</v>
      </c>
    </row>
    <row r="266" spans="1:9" hidden="1" x14ac:dyDescent="0.3">
      <c r="A266" t="s">
        <v>353</v>
      </c>
      <c r="B266" t="s">
        <v>92</v>
      </c>
      <c r="C266" t="s">
        <v>127</v>
      </c>
      <c r="D266" s="2">
        <v>391389.03</v>
      </c>
      <c r="E266" s="2">
        <v>352883</v>
      </c>
      <c r="F266" s="2">
        <v>326219.61</v>
      </c>
      <c r="G266" s="2">
        <v>289757.5</v>
      </c>
      <c r="H266" s="2">
        <v>208517.6</v>
      </c>
      <c r="I266" s="2">
        <v>314954.96000000002</v>
      </c>
    </row>
    <row r="267" spans="1:9" hidden="1" x14ac:dyDescent="0.3">
      <c r="A267" t="s">
        <v>353</v>
      </c>
      <c r="B267" t="s">
        <v>92</v>
      </c>
      <c r="C267" t="s">
        <v>128</v>
      </c>
      <c r="D267" s="2">
        <v>391389.03</v>
      </c>
      <c r="E267" s="2">
        <v>352883</v>
      </c>
      <c r="F267" s="2">
        <v>326219.61</v>
      </c>
      <c r="G267" s="2">
        <v>289757.5</v>
      </c>
      <c r="H267" s="2">
        <v>208517.6</v>
      </c>
      <c r="I267" s="2">
        <v>314954.96000000002</v>
      </c>
    </row>
    <row r="268" spans="1:9" hidden="1" x14ac:dyDescent="0.3">
      <c r="A268" t="s">
        <v>353</v>
      </c>
      <c r="B268" t="s">
        <v>92</v>
      </c>
      <c r="C268" t="s">
        <v>129</v>
      </c>
      <c r="D268" s="2">
        <v>823.62</v>
      </c>
      <c r="E268" s="2">
        <v>823.62</v>
      </c>
      <c r="F268" s="2">
        <v>823.62</v>
      </c>
      <c r="G268" s="2">
        <v>823.62</v>
      </c>
      <c r="H268" s="2">
        <v>823.62</v>
      </c>
      <c r="I268" s="2">
        <v>823.62</v>
      </c>
    </row>
    <row r="269" spans="1:9" hidden="1" x14ac:dyDescent="0.3">
      <c r="A269" t="s">
        <v>353</v>
      </c>
      <c r="B269" t="s">
        <v>92</v>
      </c>
      <c r="C269" t="s">
        <v>154</v>
      </c>
      <c r="D269" s="2">
        <v>48283.42</v>
      </c>
      <c r="E269" s="2">
        <v>48283.42</v>
      </c>
      <c r="F269" s="2">
        <v>48283.42</v>
      </c>
      <c r="G269" s="2">
        <v>48283.42</v>
      </c>
      <c r="H269" s="2">
        <v>48283.42</v>
      </c>
      <c r="I269" s="2">
        <v>48283.42</v>
      </c>
    </row>
    <row r="270" spans="1:9" hidden="1" x14ac:dyDescent="0.3">
      <c r="A270" t="s">
        <v>353</v>
      </c>
      <c r="B270" t="s">
        <v>92</v>
      </c>
      <c r="C270" t="s">
        <v>130</v>
      </c>
      <c r="D270" s="2">
        <v>4539.6400000000003</v>
      </c>
      <c r="E270" s="2">
        <v>4539.6400000000003</v>
      </c>
      <c r="F270" s="2">
        <v>87828.28</v>
      </c>
      <c r="G270" s="2">
        <v>90788.85</v>
      </c>
      <c r="H270" s="2">
        <v>90788.85</v>
      </c>
      <c r="I270" s="2">
        <v>88517.4</v>
      </c>
    </row>
    <row r="271" spans="1:9" hidden="1" x14ac:dyDescent="0.3">
      <c r="A271" t="s">
        <v>353</v>
      </c>
      <c r="B271" t="s">
        <v>92</v>
      </c>
      <c r="C271" t="s">
        <v>131</v>
      </c>
      <c r="D271" s="2">
        <v>105745.9</v>
      </c>
      <c r="E271" s="2">
        <v>77809.23</v>
      </c>
      <c r="F271" s="2">
        <v>-44992.480000000003</v>
      </c>
      <c r="G271" s="2">
        <v>-106100.02</v>
      </c>
      <c r="H271" s="2">
        <v>-28602.080000000002</v>
      </c>
      <c r="I271" s="2">
        <v>-17683.12</v>
      </c>
    </row>
    <row r="272" spans="1:9" hidden="1" x14ac:dyDescent="0.3">
      <c r="A272" t="s">
        <v>353</v>
      </c>
      <c r="B272" t="s">
        <v>92</v>
      </c>
      <c r="C272" t="s">
        <v>132</v>
      </c>
      <c r="D272" s="2">
        <v>38760.019999999997</v>
      </c>
      <c r="E272" s="2">
        <v>27936.67</v>
      </c>
      <c r="F272" s="2">
        <v>39513.07</v>
      </c>
      <c r="G272" s="2">
        <v>60272.6</v>
      </c>
      <c r="H272" s="2">
        <v>-104865.41</v>
      </c>
      <c r="I272" s="2">
        <v>2271.44</v>
      </c>
    </row>
    <row r="273" spans="1:9" hidden="1" x14ac:dyDescent="0.3">
      <c r="A273" t="s">
        <v>353</v>
      </c>
      <c r="B273" t="s">
        <v>92</v>
      </c>
      <c r="C273" t="s">
        <v>159</v>
      </c>
      <c r="D273" s="2">
        <v>193236.43</v>
      </c>
      <c r="E273" s="2">
        <v>193490.78</v>
      </c>
      <c r="F273" s="2">
        <v>194763.69</v>
      </c>
      <c r="G273" s="2">
        <v>195689.03</v>
      </c>
      <c r="H273" s="2">
        <v>202089.2</v>
      </c>
      <c r="I273" s="2">
        <v>192742.19</v>
      </c>
    </row>
    <row r="274" spans="1:9" hidden="1" x14ac:dyDescent="0.3">
      <c r="A274" t="s">
        <v>353</v>
      </c>
      <c r="B274" t="s">
        <v>92</v>
      </c>
      <c r="C274" t="s">
        <v>133</v>
      </c>
      <c r="D274" s="2">
        <v>842052.28</v>
      </c>
      <c r="E274" s="2">
        <v>818969</v>
      </c>
      <c r="F274" s="2">
        <v>730718.08</v>
      </c>
      <c r="G274" s="2">
        <v>712521.71</v>
      </c>
      <c r="H274" s="2">
        <v>732812.6</v>
      </c>
      <c r="I274" s="2">
        <v>639280.15</v>
      </c>
    </row>
    <row r="275" spans="1:9" hidden="1" x14ac:dyDescent="0.3">
      <c r="A275" t="s">
        <v>353</v>
      </c>
      <c r="B275" t="s">
        <v>92</v>
      </c>
      <c r="C275" t="s">
        <v>134</v>
      </c>
      <c r="D275" s="2">
        <v>8625.39</v>
      </c>
      <c r="E275" s="2">
        <v>8894.07</v>
      </c>
      <c r="F275" s="2">
        <v>10768.02</v>
      </c>
      <c r="G275" s="2">
        <v>7299.69</v>
      </c>
      <c r="H275" s="2">
        <v>5858.17</v>
      </c>
      <c r="I275" s="2">
        <v>26524.37</v>
      </c>
    </row>
    <row r="276" spans="1:9" hidden="1" x14ac:dyDescent="0.3">
      <c r="A276" t="s">
        <v>353</v>
      </c>
      <c r="B276" t="s">
        <v>92</v>
      </c>
      <c r="C276" t="s">
        <v>160</v>
      </c>
      <c r="D276" s="2">
        <v>0</v>
      </c>
      <c r="E276" s="2">
        <v>0</v>
      </c>
      <c r="F276" s="2">
        <v>0</v>
      </c>
      <c r="G276" s="2">
        <v>0</v>
      </c>
      <c r="H276" s="2">
        <v>0</v>
      </c>
      <c r="I276" s="2">
        <v>20457.849999999999</v>
      </c>
    </row>
    <row r="277" spans="1:9" hidden="1" x14ac:dyDescent="0.3">
      <c r="A277" t="s">
        <v>353</v>
      </c>
      <c r="B277" t="s">
        <v>92</v>
      </c>
      <c r="C277" t="s">
        <v>135</v>
      </c>
      <c r="D277" s="2">
        <v>6947.84</v>
      </c>
      <c r="E277" s="2">
        <v>6448.29</v>
      </c>
      <c r="F277" s="2">
        <v>8661.67</v>
      </c>
      <c r="G277" s="2">
        <v>6146.64</v>
      </c>
      <c r="H277" s="2">
        <v>4995.63</v>
      </c>
      <c r="I277" s="2">
        <v>5218.25</v>
      </c>
    </row>
    <row r="278" spans="1:9" hidden="1" x14ac:dyDescent="0.3">
      <c r="A278" t="s">
        <v>353</v>
      </c>
      <c r="B278" t="s">
        <v>92</v>
      </c>
      <c r="C278" t="s">
        <v>136</v>
      </c>
      <c r="D278" s="2">
        <v>1677.55</v>
      </c>
      <c r="E278" s="2">
        <v>2445.7800000000002</v>
      </c>
      <c r="F278" s="2">
        <v>2106.34</v>
      </c>
      <c r="G278" s="2">
        <v>1153.05</v>
      </c>
      <c r="H278" s="2">
        <v>862.55</v>
      </c>
      <c r="I278" s="2">
        <v>848.27</v>
      </c>
    </row>
    <row r="279" spans="1:9" hidden="1" x14ac:dyDescent="0.3">
      <c r="A279" t="s">
        <v>353</v>
      </c>
      <c r="B279" t="s">
        <v>92</v>
      </c>
      <c r="C279" t="s">
        <v>137</v>
      </c>
      <c r="D279" s="2">
        <v>833426.9</v>
      </c>
      <c r="E279" s="2">
        <v>810074.97</v>
      </c>
      <c r="F279" s="2">
        <v>719950.06</v>
      </c>
      <c r="G279" s="2">
        <v>705222.02</v>
      </c>
      <c r="H279" s="2">
        <v>726954.43</v>
      </c>
      <c r="I279" s="2">
        <v>612755.78</v>
      </c>
    </row>
    <row r="280" spans="1:9" hidden="1" x14ac:dyDescent="0.3">
      <c r="A280" t="s">
        <v>353</v>
      </c>
      <c r="B280" t="s">
        <v>92</v>
      </c>
      <c r="C280" t="s">
        <v>155</v>
      </c>
      <c r="D280" s="2">
        <v>427321.41</v>
      </c>
      <c r="E280" s="2">
        <v>430825</v>
      </c>
      <c r="F280" s="2">
        <v>401985.1</v>
      </c>
      <c r="G280" s="2">
        <v>0</v>
      </c>
      <c r="H280" s="2">
        <v>399572.93</v>
      </c>
      <c r="I280" s="2">
        <v>354249.09</v>
      </c>
    </row>
    <row r="281" spans="1:9" hidden="1" x14ac:dyDescent="0.3">
      <c r="A281" t="s">
        <v>353</v>
      </c>
      <c r="B281" t="s">
        <v>92</v>
      </c>
      <c r="C281" t="s">
        <v>138</v>
      </c>
      <c r="D281" s="2">
        <v>199929.74</v>
      </c>
      <c r="E281" s="2">
        <v>175961</v>
      </c>
      <c r="F281" s="2">
        <v>119633.88</v>
      </c>
      <c r="G281" s="2">
        <v>515487.22</v>
      </c>
      <c r="H281" s="2">
        <v>107992.34</v>
      </c>
      <c r="I281" s="2">
        <v>82843.789999999994</v>
      </c>
    </row>
    <row r="282" spans="1:9" hidden="1" x14ac:dyDescent="0.3">
      <c r="A282" t="s">
        <v>353</v>
      </c>
      <c r="B282" t="s">
        <v>92</v>
      </c>
      <c r="C282" t="s">
        <v>139</v>
      </c>
      <c r="D282" s="2">
        <v>115788.22</v>
      </c>
      <c r="E282" s="2">
        <v>103373</v>
      </c>
      <c r="F282" s="2">
        <v>60264.03</v>
      </c>
      <c r="G282" s="2">
        <v>0</v>
      </c>
      <c r="H282" s="2">
        <v>71116</v>
      </c>
      <c r="I282" s="2">
        <v>53130.559999999998</v>
      </c>
    </row>
    <row r="283" spans="1:9" hidden="1" x14ac:dyDescent="0.3">
      <c r="A283" t="s">
        <v>353</v>
      </c>
      <c r="B283" t="s">
        <v>92</v>
      </c>
      <c r="C283" t="s">
        <v>140</v>
      </c>
      <c r="D283" s="2">
        <v>84141.52</v>
      </c>
      <c r="E283" s="2">
        <v>72587.44</v>
      </c>
      <c r="F283" s="2">
        <v>59369.85</v>
      </c>
      <c r="G283" s="2">
        <v>0</v>
      </c>
      <c r="H283" s="2">
        <v>36876.33</v>
      </c>
      <c r="I283" s="2">
        <v>29713.22</v>
      </c>
    </row>
    <row r="284" spans="1:9" hidden="1" x14ac:dyDescent="0.3">
      <c r="A284" t="s">
        <v>353</v>
      </c>
      <c r="B284" t="s">
        <v>92</v>
      </c>
      <c r="C284" t="s">
        <v>135</v>
      </c>
      <c r="D284" s="2">
        <v>31341.360000000001</v>
      </c>
      <c r="E284" s="2">
        <v>29316.560000000001</v>
      </c>
      <c r="F284" s="2">
        <v>23804.85</v>
      </c>
      <c r="G284" s="2">
        <v>25033.83</v>
      </c>
      <c r="H284" s="2">
        <v>59948.65</v>
      </c>
      <c r="I284" s="2">
        <v>14748.74</v>
      </c>
    </row>
    <row r="285" spans="1:9" hidden="1" x14ac:dyDescent="0.3">
      <c r="A285" t="s">
        <v>353</v>
      </c>
      <c r="B285" t="s">
        <v>92</v>
      </c>
      <c r="C285" t="s">
        <v>141</v>
      </c>
      <c r="D285" s="2">
        <v>79916.42</v>
      </c>
      <c r="E285" s="2">
        <v>78323.8</v>
      </c>
      <c r="F285" s="2">
        <v>70352.73</v>
      </c>
      <c r="G285" s="2">
        <v>69438.87</v>
      </c>
      <c r="H285" s="2">
        <v>80820.09</v>
      </c>
      <c r="I285" s="2">
        <v>81309.820000000007</v>
      </c>
    </row>
    <row r="286" spans="1:9" hidden="1" x14ac:dyDescent="0.3">
      <c r="A286" t="s">
        <v>353</v>
      </c>
      <c r="B286" t="s">
        <v>92</v>
      </c>
      <c r="C286" t="s">
        <v>157</v>
      </c>
      <c r="D286" s="2">
        <v>94917.97</v>
      </c>
      <c r="E286" s="2">
        <v>95648.61</v>
      </c>
      <c r="F286" s="2">
        <v>104173.51</v>
      </c>
      <c r="G286" s="2">
        <v>95262.080000000002</v>
      </c>
      <c r="H286" s="2">
        <v>78620.42</v>
      </c>
      <c r="I286" s="2">
        <v>79604.33</v>
      </c>
    </row>
    <row r="287" spans="1:9" hidden="1" x14ac:dyDescent="0.3">
      <c r="A287" t="s">
        <v>352</v>
      </c>
      <c r="B287" t="s">
        <v>92</v>
      </c>
      <c r="C287" t="s">
        <v>99</v>
      </c>
      <c r="D287" s="2">
        <v>516.91</v>
      </c>
      <c r="E287" s="2">
        <v>547.20000000000005</v>
      </c>
      <c r="F287" s="2">
        <v>0</v>
      </c>
      <c r="G287" s="2">
        <v>0</v>
      </c>
      <c r="H287" s="2">
        <v>0</v>
      </c>
      <c r="I287" s="2">
        <v>0</v>
      </c>
    </row>
    <row r="288" spans="1:9" hidden="1" x14ac:dyDescent="0.3">
      <c r="A288" t="s">
        <v>352</v>
      </c>
      <c r="B288" t="s">
        <v>92</v>
      </c>
      <c r="C288" t="s">
        <v>142</v>
      </c>
      <c r="D288" s="2">
        <v>516.91</v>
      </c>
      <c r="E288" s="2">
        <v>547.20000000000005</v>
      </c>
      <c r="F288" s="2">
        <v>0</v>
      </c>
      <c r="G288" s="2">
        <v>0</v>
      </c>
      <c r="H288" s="2">
        <v>0</v>
      </c>
      <c r="I288" s="2">
        <v>0</v>
      </c>
    </row>
    <row r="289" spans="1:9" hidden="1" x14ac:dyDescent="0.3">
      <c r="A289" t="s">
        <v>352</v>
      </c>
      <c r="B289" t="s">
        <v>92</v>
      </c>
      <c r="C289" t="s">
        <v>101</v>
      </c>
      <c r="D289" s="2">
        <v>-28.3</v>
      </c>
      <c r="E289" s="2">
        <v>-264.2</v>
      </c>
      <c r="F289" s="2">
        <v>0</v>
      </c>
      <c r="G289" s="2">
        <v>0</v>
      </c>
      <c r="H289" s="2">
        <v>0</v>
      </c>
      <c r="I289" s="2">
        <v>0</v>
      </c>
    </row>
    <row r="290" spans="1:9" hidden="1" x14ac:dyDescent="0.3">
      <c r="A290" t="s">
        <v>352</v>
      </c>
      <c r="B290" t="s">
        <v>92</v>
      </c>
      <c r="C290" t="s">
        <v>102</v>
      </c>
      <c r="D290" s="2">
        <v>-84.49</v>
      </c>
      <c r="E290" s="2">
        <v>0</v>
      </c>
      <c r="F290" s="2">
        <v>0</v>
      </c>
      <c r="G290" s="2">
        <v>0</v>
      </c>
      <c r="H290" s="2">
        <v>0</v>
      </c>
      <c r="I290" s="2">
        <v>0</v>
      </c>
    </row>
    <row r="291" spans="1:9" hidden="1" x14ac:dyDescent="0.3">
      <c r="A291" t="s">
        <v>352</v>
      </c>
      <c r="B291" t="s">
        <v>92</v>
      </c>
      <c r="C291" t="s">
        <v>143</v>
      </c>
      <c r="D291" s="2">
        <v>-83.58</v>
      </c>
      <c r="E291" s="2">
        <v>0</v>
      </c>
      <c r="F291" s="2">
        <v>0</v>
      </c>
      <c r="G291" s="2">
        <v>0</v>
      </c>
      <c r="H291" s="2">
        <v>0</v>
      </c>
      <c r="I291" s="2">
        <v>0</v>
      </c>
    </row>
    <row r="292" spans="1:9" hidden="1" x14ac:dyDescent="0.3">
      <c r="A292" t="s">
        <v>352</v>
      </c>
      <c r="B292" t="s">
        <v>92</v>
      </c>
      <c r="C292" t="s">
        <v>100</v>
      </c>
      <c r="D292" s="2">
        <v>-117.26</v>
      </c>
      <c r="E292" s="2">
        <v>-92.15</v>
      </c>
      <c r="F292" s="2">
        <v>0</v>
      </c>
      <c r="G292" s="2">
        <v>0</v>
      </c>
      <c r="H292" s="2">
        <v>0</v>
      </c>
      <c r="I292" s="2">
        <v>0</v>
      </c>
    </row>
    <row r="293" spans="1:9" hidden="1" x14ac:dyDescent="0.3">
      <c r="A293" t="s">
        <v>352</v>
      </c>
      <c r="B293" t="s">
        <v>92</v>
      </c>
      <c r="C293" t="s">
        <v>103</v>
      </c>
      <c r="D293" s="2">
        <v>-46.69</v>
      </c>
      <c r="E293" s="2">
        <v>0</v>
      </c>
      <c r="F293" s="2">
        <v>0</v>
      </c>
      <c r="G293" s="2">
        <v>0</v>
      </c>
      <c r="H293" s="2">
        <v>0</v>
      </c>
      <c r="I293" s="2">
        <v>0</v>
      </c>
    </row>
    <row r="294" spans="1:9" hidden="1" x14ac:dyDescent="0.3">
      <c r="A294" t="s">
        <v>352</v>
      </c>
      <c r="B294" t="s">
        <v>92</v>
      </c>
      <c r="C294" t="s">
        <v>104</v>
      </c>
      <c r="D294" s="2">
        <v>156.59</v>
      </c>
      <c r="E294" s="2">
        <v>190.84</v>
      </c>
      <c r="F294" s="2">
        <v>0</v>
      </c>
      <c r="G294" s="2">
        <v>0</v>
      </c>
      <c r="H294" s="2">
        <v>0</v>
      </c>
      <c r="I294" s="2">
        <v>0</v>
      </c>
    </row>
    <row r="295" spans="1:9" hidden="1" x14ac:dyDescent="0.3">
      <c r="A295" t="s">
        <v>352</v>
      </c>
      <c r="B295" t="s">
        <v>92</v>
      </c>
      <c r="C295" t="s">
        <v>105</v>
      </c>
      <c r="D295" s="2">
        <v>203.28</v>
      </c>
      <c r="E295" s="2">
        <v>0</v>
      </c>
      <c r="F295" s="2">
        <v>0</v>
      </c>
      <c r="G295" s="2">
        <v>0</v>
      </c>
      <c r="H295" s="2">
        <v>0</v>
      </c>
      <c r="I295" s="2">
        <v>0</v>
      </c>
    </row>
    <row r="296" spans="1:9" hidden="1" x14ac:dyDescent="0.3">
      <c r="A296" t="s">
        <v>352</v>
      </c>
      <c r="B296" t="s">
        <v>92</v>
      </c>
      <c r="C296" t="s">
        <v>106</v>
      </c>
      <c r="D296" s="2">
        <v>-2.67</v>
      </c>
      <c r="E296" s="2">
        <v>0</v>
      </c>
      <c r="F296" s="2">
        <v>0</v>
      </c>
      <c r="G296" s="2">
        <v>0</v>
      </c>
      <c r="H296" s="2">
        <v>0</v>
      </c>
      <c r="I296" s="2">
        <v>0</v>
      </c>
    </row>
    <row r="297" spans="1:9" hidden="1" x14ac:dyDescent="0.3">
      <c r="A297" t="s">
        <v>352</v>
      </c>
      <c r="B297" t="s">
        <v>92</v>
      </c>
      <c r="C297" t="s">
        <v>107</v>
      </c>
      <c r="D297" s="2">
        <v>-2.67</v>
      </c>
      <c r="E297" s="2">
        <v>0</v>
      </c>
      <c r="F297" s="2">
        <v>0</v>
      </c>
      <c r="G297" s="2">
        <v>0</v>
      </c>
      <c r="H297" s="2">
        <v>0</v>
      </c>
      <c r="I297" s="2">
        <v>0</v>
      </c>
    </row>
    <row r="298" spans="1:9" hidden="1" x14ac:dyDescent="0.3">
      <c r="A298" t="s">
        <v>352</v>
      </c>
      <c r="B298" t="s">
        <v>92</v>
      </c>
      <c r="C298" t="s">
        <v>146</v>
      </c>
      <c r="D298" s="2">
        <v>-2.67</v>
      </c>
      <c r="E298" s="2">
        <v>0</v>
      </c>
      <c r="F298" s="2">
        <v>0</v>
      </c>
      <c r="G298" s="2">
        <v>0</v>
      </c>
      <c r="H298" s="2">
        <v>0</v>
      </c>
      <c r="I298" s="2">
        <v>0</v>
      </c>
    </row>
    <row r="299" spans="1:9" hidden="1" x14ac:dyDescent="0.3">
      <c r="A299" t="s">
        <v>352</v>
      </c>
      <c r="B299" t="s">
        <v>92</v>
      </c>
      <c r="C299" t="s">
        <v>109</v>
      </c>
      <c r="D299" s="2">
        <v>-12.16</v>
      </c>
      <c r="E299" s="2">
        <v>-1.25</v>
      </c>
      <c r="F299" s="2">
        <v>0</v>
      </c>
      <c r="G299" s="2">
        <v>0</v>
      </c>
      <c r="H299" s="2">
        <v>0</v>
      </c>
      <c r="I299" s="2">
        <v>0</v>
      </c>
    </row>
    <row r="300" spans="1:9" hidden="1" x14ac:dyDescent="0.3">
      <c r="A300" t="s">
        <v>352</v>
      </c>
      <c r="B300" t="s">
        <v>92</v>
      </c>
      <c r="C300" t="s">
        <v>110</v>
      </c>
      <c r="D300" s="2">
        <v>0.01</v>
      </c>
      <c r="E300" s="2">
        <v>0</v>
      </c>
      <c r="F300" s="2">
        <v>0</v>
      </c>
      <c r="G300" s="2">
        <v>0</v>
      </c>
      <c r="H300" s="2">
        <v>0</v>
      </c>
      <c r="I300" s="2">
        <v>0</v>
      </c>
    </row>
    <row r="301" spans="1:9" hidden="1" x14ac:dyDescent="0.3">
      <c r="A301" t="s">
        <v>352</v>
      </c>
      <c r="B301" t="s">
        <v>92</v>
      </c>
      <c r="C301" t="s">
        <v>111</v>
      </c>
      <c r="D301" s="2">
        <v>-12.17</v>
      </c>
      <c r="E301" s="2">
        <v>-1.25</v>
      </c>
      <c r="F301" s="2">
        <v>0</v>
      </c>
      <c r="G301" s="2">
        <v>0</v>
      </c>
      <c r="H301" s="2">
        <v>0</v>
      </c>
      <c r="I301" s="2">
        <v>0</v>
      </c>
    </row>
    <row r="302" spans="1:9" hidden="1" x14ac:dyDescent="0.3">
      <c r="A302" t="s">
        <v>352</v>
      </c>
      <c r="B302" t="s">
        <v>92</v>
      </c>
      <c r="C302" t="s">
        <v>112</v>
      </c>
      <c r="D302" s="2">
        <v>141.75</v>
      </c>
      <c r="E302" s="2">
        <v>134.87</v>
      </c>
      <c r="F302" s="2">
        <v>0</v>
      </c>
      <c r="G302" s="2">
        <v>0</v>
      </c>
      <c r="H302" s="2">
        <v>0</v>
      </c>
      <c r="I302" s="2">
        <v>0</v>
      </c>
    </row>
    <row r="303" spans="1:9" hidden="1" x14ac:dyDescent="0.3">
      <c r="A303" t="s">
        <v>352</v>
      </c>
      <c r="B303" t="s">
        <v>92</v>
      </c>
      <c r="C303" t="s">
        <v>113</v>
      </c>
      <c r="D303" s="2">
        <v>-37.729999999999997</v>
      </c>
      <c r="E303" s="2">
        <v>27.36</v>
      </c>
      <c r="F303" s="2">
        <v>0</v>
      </c>
      <c r="G303" s="2">
        <v>0</v>
      </c>
      <c r="H303" s="2">
        <v>0</v>
      </c>
      <c r="I303" s="2">
        <v>0</v>
      </c>
    </row>
    <row r="304" spans="1:9" hidden="1" x14ac:dyDescent="0.3">
      <c r="A304" t="s">
        <v>352</v>
      </c>
      <c r="B304" t="s">
        <v>92</v>
      </c>
      <c r="C304" t="s">
        <v>114</v>
      </c>
      <c r="D304" s="2">
        <v>104.02</v>
      </c>
      <c r="E304" s="2">
        <v>162.22999999999999</v>
      </c>
      <c r="F304" s="2">
        <v>0</v>
      </c>
      <c r="G304" s="2">
        <v>0</v>
      </c>
      <c r="H304" s="2">
        <v>0</v>
      </c>
      <c r="I304" s="2">
        <v>0</v>
      </c>
    </row>
    <row r="305" spans="1:9" hidden="1" x14ac:dyDescent="0.3">
      <c r="A305" t="s">
        <v>352</v>
      </c>
      <c r="B305" t="s">
        <v>92</v>
      </c>
      <c r="C305" t="s">
        <v>115</v>
      </c>
      <c r="D305" s="2">
        <v>104.02</v>
      </c>
      <c r="E305" s="2">
        <v>162.22999999999999</v>
      </c>
      <c r="F305" s="2">
        <v>0</v>
      </c>
      <c r="G305" s="2">
        <v>0</v>
      </c>
      <c r="H305" s="2">
        <v>0</v>
      </c>
      <c r="I305" s="2">
        <v>0</v>
      </c>
    </row>
    <row r="306" spans="1:9" hidden="1" x14ac:dyDescent="0.3">
      <c r="A306" t="s">
        <v>352</v>
      </c>
      <c r="B306" t="s">
        <v>92</v>
      </c>
      <c r="C306" t="s">
        <v>116</v>
      </c>
      <c r="D306" s="2">
        <v>497.19</v>
      </c>
      <c r="E306" s="2">
        <v>585.77</v>
      </c>
      <c r="F306" s="2">
        <v>0</v>
      </c>
      <c r="G306" s="2">
        <v>0</v>
      </c>
      <c r="H306" s="2">
        <v>0</v>
      </c>
      <c r="I306" s="2">
        <v>0</v>
      </c>
    </row>
    <row r="307" spans="1:9" hidden="1" x14ac:dyDescent="0.3">
      <c r="A307" t="s">
        <v>352</v>
      </c>
      <c r="B307" t="s">
        <v>92</v>
      </c>
      <c r="C307" t="s">
        <v>117</v>
      </c>
      <c r="D307" s="2">
        <v>366.66</v>
      </c>
      <c r="E307" s="2">
        <v>405.56</v>
      </c>
      <c r="F307" s="2">
        <v>0</v>
      </c>
      <c r="G307" s="2">
        <v>0</v>
      </c>
      <c r="H307" s="2">
        <v>0</v>
      </c>
      <c r="I307" s="2">
        <v>0</v>
      </c>
    </row>
    <row r="308" spans="1:9" hidden="1" x14ac:dyDescent="0.3">
      <c r="A308" t="s">
        <v>352</v>
      </c>
      <c r="B308" t="s">
        <v>92</v>
      </c>
      <c r="C308" t="s">
        <v>118</v>
      </c>
      <c r="D308" s="2">
        <v>366.66</v>
      </c>
      <c r="E308" s="2">
        <v>405.56</v>
      </c>
      <c r="F308" s="2">
        <v>0</v>
      </c>
      <c r="G308" s="2">
        <v>0</v>
      </c>
      <c r="H308" s="2">
        <v>0</v>
      </c>
      <c r="I308" s="2">
        <v>0</v>
      </c>
    </row>
    <row r="309" spans="1:9" hidden="1" x14ac:dyDescent="0.3">
      <c r="A309" t="s">
        <v>352</v>
      </c>
      <c r="B309" t="s">
        <v>92</v>
      </c>
      <c r="C309" t="s">
        <v>121</v>
      </c>
      <c r="D309" s="2">
        <v>130.53</v>
      </c>
      <c r="E309" s="2">
        <v>180.21</v>
      </c>
      <c r="F309" s="2">
        <v>0</v>
      </c>
      <c r="G309" s="2">
        <v>0</v>
      </c>
      <c r="H309" s="2">
        <v>0</v>
      </c>
      <c r="I309" s="2">
        <v>0</v>
      </c>
    </row>
    <row r="310" spans="1:9" hidden="1" x14ac:dyDescent="0.3">
      <c r="A310" t="s">
        <v>352</v>
      </c>
      <c r="B310" t="s">
        <v>92</v>
      </c>
      <c r="C310" t="s">
        <v>163</v>
      </c>
      <c r="D310" s="2">
        <v>14.88</v>
      </c>
      <c r="E310" s="2">
        <v>0</v>
      </c>
      <c r="F310" s="2">
        <v>0</v>
      </c>
      <c r="G310" s="2">
        <v>0</v>
      </c>
      <c r="H310" s="2">
        <v>0</v>
      </c>
      <c r="I310" s="2">
        <v>0</v>
      </c>
    </row>
    <row r="311" spans="1:9" hidden="1" x14ac:dyDescent="0.3">
      <c r="A311" t="s">
        <v>352</v>
      </c>
      <c r="B311" t="s">
        <v>92</v>
      </c>
      <c r="C311" t="s">
        <v>164</v>
      </c>
      <c r="D311" s="2">
        <v>14.88</v>
      </c>
      <c r="E311" s="2">
        <v>0</v>
      </c>
      <c r="F311" s="2">
        <v>0</v>
      </c>
      <c r="G311" s="2">
        <v>0</v>
      </c>
      <c r="H311" s="2">
        <v>0</v>
      </c>
      <c r="I311" s="2">
        <v>0</v>
      </c>
    </row>
    <row r="312" spans="1:9" hidden="1" x14ac:dyDescent="0.3">
      <c r="A312" t="s">
        <v>352</v>
      </c>
      <c r="B312" t="s">
        <v>92</v>
      </c>
      <c r="C312" t="s">
        <v>122</v>
      </c>
      <c r="D312" s="2">
        <v>109.3</v>
      </c>
      <c r="E312" s="2">
        <v>0</v>
      </c>
      <c r="F312" s="2">
        <v>0</v>
      </c>
      <c r="G312" s="2">
        <v>0</v>
      </c>
      <c r="H312" s="2">
        <v>0</v>
      </c>
      <c r="I312" s="2">
        <v>0</v>
      </c>
    </row>
    <row r="313" spans="1:9" hidden="1" x14ac:dyDescent="0.3">
      <c r="A313" t="s">
        <v>352</v>
      </c>
      <c r="B313" t="s">
        <v>92</v>
      </c>
      <c r="C313" t="s">
        <v>149</v>
      </c>
      <c r="D313" s="2">
        <v>88.72</v>
      </c>
      <c r="E313" s="2">
        <v>0</v>
      </c>
      <c r="F313" s="2">
        <v>0</v>
      </c>
      <c r="G313" s="2">
        <v>0</v>
      </c>
      <c r="H313" s="2">
        <v>0</v>
      </c>
      <c r="I313" s="2">
        <v>0</v>
      </c>
    </row>
    <row r="314" spans="1:9" hidden="1" x14ac:dyDescent="0.3">
      <c r="A314" t="s">
        <v>352</v>
      </c>
      <c r="B314" t="s">
        <v>92</v>
      </c>
      <c r="C314" t="s">
        <v>152</v>
      </c>
      <c r="D314" s="2">
        <v>20.58</v>
      </c>
      <c r="E314" s="2">
        <v>0</v>
      </c>
      <c r="F314" s="2">
        <v>0</v>
      </c>
      <c r="G314" s="2">
        <v>0</v>
      </c>
      <c r="H314" s="2">
        <v>0</v>
      </c>
      <c r="I314" s="2">
        <v>0</v>
      </c>
    </row>
    <row r="315" spans="1:9" hidden="1" x14ac:dyDescent="0.3">
      <c r="A315" t="s">
        <v>352</v>
      </c>
      <c r="B315" t="s">
        <v>92</v>
      </c>
      <c r="C315" t="s">
        <v>125</v>
      </c>
      <c r="D315" s="2">
        <v>6.36</v>
      </c>
      <c r="E315" s="2">
        <v>0</v>
      </c>
      <c r="F315" s="2">
        <v>0</v>
      </c>
      <c r="G315" s="2">
        <v>0</v>
      </c>
      <c r="H315" s="2">
        <v>0</v>
      </c>
      <c r="I315" s="2">
        <v>0</v>
      </c>
    </row>
    <row r="316" spans="1:9" hidden="1" x14ac:dyDescent="0.3">
      <c r="A316" t="s">
        <v>352</v>
      </c>
      <c r="B316" t="s">
        <v>92</v>
      </c>
      <c r="C316" t="s">
        <v>126</v>
      </c>
      <c r="D316" s="2">
        <v>497.19</v>
      </c>
      <c r="E316" s="2">
        <v>585.77</v>
      </c>
      <c r="F316" s="2">
        <v>0</v>
      </c>
      <c r="G316" s="2">
        <v>0</v>
      </c>
      <c r="H316" s="2">
        <v>0</v>
      </c>
      <c r="I316" s="2">
        <v>0</v>
      </c>
    </row>
    <row r="317" spans="1:9" hidden="1" x14ac:dyDescent="0.3">
      <c r="A317" t="s">
        <v>352</v>
      </c>
      <c r="B317" t="s">
        <v>92</v>
      </c>
      <c r="C317" t="s">
        <v>127</v>
      </c>
      <c r="D317" s="2">
        <v>310.52999999999997</v>
      </c>
      <c r="E317" s="2">
        <v>206.51</v>
      </c>
      <c r="F317" s="2">
        <v>0</v>
      </c>
      <c r="G317" s="2">
        <v>0</v>
      </c>
      <c r="H317" s="2">
        <v>0</v>
      </c>
      <c r="I317" s="2">
        <v>0</v>
      </c>
    </row>
    <row r="318" spans="1:9" hidden="1" x14ac:dyDescent="0.3">
      <c r="A318" t="s">
        <v>352</v>
      </c>
      <c r="B318" t="s">
        <v>92</v>
      </c>
      <c r="C318" t="s">
        <v>128</v>
      </c>
      <c r="D318" s="2">
        <v>310.52999999999997</v>
      </c>
      <c r="E318" s="2">
        <v>0</v>
      </c>
      <c r="F318" s="2">
        <v>0</v>
      </c>
      <c r="G318" s="2">
        <v>0</v>
      </c>
      <c r="H318" s="2">
        <v>0</v>
      </c>
      <c r="I318" s="2">
        <v>0</v>
      </c>
    </row>
    <row r="319" spans="1:9" hidden="1" x14ac:dyDescent="0.3">
      <c r="A319" t="s">
        <v>352</v>
      </c>
      <c r="B319" t="s">
        <v>92</v>
      </c>
      <c r="C319" t="s">
        <v>129</v>
      </c>
      <c r="D319" s="2">
        <v>6</v>
      </c>
      <c r="E319" s="2">
        <v>0</v>
      </c>
      <c r="F319" s="2">
        <v>0</v>
      </c>
      <c r="G319" s="2">
        <v>0</v>
      </c>
      <c r="H319" s="2">
        <v>0</v>
      </c>
      <c r="I319" s="2">
        <v>0</v>
      </c>
    </row>
    <row r="320" spans="1:9" hidden="1" x14ac:dyDescent="0.3">
      <c r="A320" t="s">
        <v>352</v>
      </c>
      <c r="B320" t="s">
        <v>92</v>
      </c>
      <c r="C320" t="s">
        <v>131</v>
      </c>
      <c r="D320" s="2">
        <v>200.51</v>
      </c>
      <c r="E320" s="2">
        <v>0</v>
      </c>
      <c r="F320" s="2">
        <v>0</v>
      </c>
      <c r="G320" s="2">
        <v>0</v>
      </c>
      <c r="H320" s="2">
        <v>0</v>
      </c>
      <c r="I320" s="2">
        <v>0</v>
      </c>
    </row>
    <row r="321" spans="1:9" hidden="1" x14ac:dyDescent="0.3">
      <c r="A321" t="s">
        <v>352</v>
      </c>
      <c r="B321" t="s">
        <v>92</v>
      </c>
      <c r="C321" t="s">
        <v>132</v>
      </c>
      <c r="D321" s="2">
        <v>104.02</v>
      </c>
      <c r="E321" s="2">
        <v>0</v>
      </c>
      <c r="F321" s="2">
        <v>0</v>
      </c>
      <c r="G321" s="2">
        <v>0</v>
      </c>
      <c r="H321" s="2">
        <v>0</v>
      </c>
      <c r="I321" s="2">
        <v>0</v>
      </c>
    </row>
    <row r="322" spans="1:9" hidden="1" x14ac:dyDescent="0.3">
      <c r="A322" t="s">
        <v>352</v>
      </c>
      <c r="B322" t="s">
        <v>92</v>
      </c>
      <c r="C322" t="s">
        <v>133</v>
      </c>
      <c r="D322" s="2">
        <v>186.66</v>
      </c>
      <c r="E322" s="2">
        <v>379.26</v>
      </c>
      <c r="F322" s="2">
        <v>0</v>
      </c>
      <c r="G322" s="2">
        <v>0</v>
      </c>
      <c r="H322" s="2">
        <v>0</v>
      </c>
      <c r="I322" s="2">
        <v>0</v>
      </c>
    </row>
    <row r="323" spans="1:9" hidden="1" x14ac:dyDescent="0.3">
      <c r="A323" t="s">
        <v>352</v>
      </c>
      <c r="B323" t="s">
        <v>92</v>
      </c>
      <c r="C323" t="s">
        <v>134</v>
      </c>
      <c r="D323" s="2">
        <v>0</v>
      </c>
      <c r="E323" s="2">
        <v>368.03</v>
      </c>
      <c r="F323" s="2">
        <v>0</v>
      </c>
      <c r="G323" s="2">
        <v>0</v>
      </c>
      <c r="H323" s="2">
        <v>0</v>
      </c>
      <c r="I323" s="2">
        <v>0</v>
      </c>
    </row>
    <row r="324" spans="1:9" hidden="1" x14ac:dyDescent="0.3">
      <c r="A324" t="s">
        <v>352</v>
      </c>
      <c r="B324" t="s">
        <v>92</v>
      </c>
      <c r="C324" t="s">
        <v>137</v>
      </c>
      <c r="D324" s="2">
        <v>186.66</v>
      </c>
      <c r="E324" s="2">
        <v>11.24</v>
      </c>
      <c r="F324" s="2">
        <v>0</v>
      </c>
      <c r="G324" s="2">
        <v>0</v>
      </c>
      <c r="H324" s="2">
        <v>0</v>
      </c>
      <c r="I324" s="2">
        <v>0</v>
      </c>
    </row>
    <row r="325" spans="1:9" hidden="1" x14ac:dyDescent="0.3">
      <c r="A325" t="s">
        <v>352</v>
      </c>
      <c r="B325" t="s">
        <v>92</v>
      </c>
      <c r="C325" t="s">
        <v>138</v>
      </c>
      <c r="D325" s="2">
        <v>167.24</v>
      </c>
      <c r="E325" s="2">
        <v>0</v>
      </c>
      <c r="F325" s="2">
        <v>0</v>
      </c>
      <c r="G325" s="2">
        <v>0</v>
      </c>
      <c r="H325" s="2">
        <v>0</v>
      </c>
      <c r="I325" s="2">
        <v>0</v>
      </c>
    </row>
    <row r="326" spans="1:9" hidden="1" x14ac:dyDescent="0.3">
      <c r="A326" t="s">
        <v>352</v>
      </c>
      <c r="B326" t="s">
        <v>92</v>
      </c>
      <c r="C326" t="s">
        <v>156</v>
      </c>
      <c r="D326" s="2">
        <v>153.79</v>
      </c>
      <c r="E326" s="2">
        <v>0</v>
      </c>
      <c r="F326" s="2">
        <v>0</v>
      </c>
      <c r="G326" s="2">
        <v>0</v>
      </c>
      <c r="H326" s="2">
        <v>0</v>
      </c>
      <c r="I326" s="2">
        <v>0</v>
      </c>
    </row>
    <row r="327" spans="1:9" hidden="1" x14ac:dyDescent="0.3">
      <c r="A327" t="s">
        <v>352</v>
      </c>
      <c r="B327" t="s">
        <v>92</v>
      </c>
      <c r="C327" t="s">
        <v>140</v>
      </c>
      <c r="D327" s="2">
        <v>13.45</v>
      </c>
      <c r="E327" s="2">
        <v>0</v>
      </c>
      <c r="F327" s="2">
        <v>0</v>
      </c>
      <c r="G327" s="2">
        <v>0</v>
      </c>
      <c r="H327" s="2">
        <v>0</v>
      </c>
      <c r="I327" s="2">
        <v>0</v>
      </c>
    </row>
    <row r="328" spans="1:9" hidden="1" x14ac:dyDescent="0.3">
      <c r="A328" t="s">
        <v>352</v>
      </c>
      <c r="B328" t="s">
        <v>92</v>
      </c>
      <c r="C328" t="s">
        <v>135</v>
      </c>
      <c r="D328" s="2">
        <v>4.67</v>
      </c>
      <c r="E328" s="2">
        <v>0</v>
      </c>
      <c r="F328" s="2">
        <v>0</v>
      </c>
      <c r="G328" s="2">
        <v>0</v>
      </c>
      <c r="H328" s="2">
        <v>0</v>
      </c>
      <c r="I328" s="2">
        <v>0</v>
      </c>
    </row>
    <row r="329" spans="1:9" hidden="1" x14ac:dyDescent="0.3">
      <c r="A329" t="s">
        <v>352</v>
      </c>
      <c r="B329" t="s">
        <v>92</v>
      </c>
      <c r="C329" t="s">
        <v>157</v>
      </c>
      <c r="D329" s="2">
        <v>14.75</v>
      </c>
      <c r="E329" s="2">
        <v>0</v>
      </c>
      <c r="F329" s="2">
        <v>0</v>
      </c>
      <c r="G329" s="2">
        <v>0</v>
      </c>
      <c r="H329" s="2">
        <v>0</v>
      </c>
      <c r="I329" s="2">
        <v>0</v>
      </c>
    </row>
    <row r="330" spans="1:9" x14ac:dyDescent="0.3">
      <c r="A330" t="s">
        <v>351</v>
      </c>
      <c r="B330" t="s">
        <v>92</v>
      </c>
      <c r="C330" t="s">
        <v>99</v>
      </c>
      <c r="D330" s="2">
        <v>1578955.38</v>
      </c>
      <c r="E330" s="2">
        <v>1413930</v>
      </c>
      <c r="F330" s="2">
        <v>1257208.3999999999</v>
      </c>
      <c r="G330" s="2">
        <v>1121760.25</v>
      </c>
      <c r="H330" s="2">
        <v>800647.43</v>
      </c>
      <c r="I330" s="2">
        <v>819883.76</v>
      </c>
    </row>
    <row r="331" spans="1:9" x14ac:dyDescent="0.3">
      <c r="A331" t="s">
        <v>351</v>
      </c>
      <c r="B331" t="s">
        <v>92</v>
      </c>
      <c r="C331" t="s">
        <v>142</v>
      </c>
      <c r="D331" s="2">
        <v>1578955.38</v>
      </c>
      <c r="E331" s="2">
        <v>1413930</v>
      </c>
      <c r="F331" s="2">
        <v>1257208.3999999999</v>
      </c>
      <c r="G331" s="2">
        <v>1121760.25</v>
      </c>
      <c r="H331" s="2">
        <v>800647.43</v>
      </c>
      <c r="I331" s="2">
        <v>819883.76</v>
      </c>
    </row>
    <row r="332" spans="1:9" x14ac:dyDescent="0.3">
      <c r="A332" t="s">
        <v>351</v>
      </c>
      <c r="B332" t="s">
        <v>92</v>
      </c>
      <c r="C332" t="s">
        <v>102</v>
      </c>
      <c r="D332" s="2">
        <v>-18117.689999999999</v>
      </c>
      <c r="E332" s="2">
        <v>-14822.37</v>
      </c>
      <c r="F332" s="2">
        <v>-12392.43</v>
      </c>
      <c r="G332" s="2">
        <v>-13117.14</v>
      </c>
      <c r="H332" s="2">
        <v>-10529.36</v>
      </c>
      <c r="I332" s="2">
        <v>-9482.73</v>
      </c>
    </row>
    <row r="333" spans="1:9" x14ac:dyDescent="0.3">
      <c r="A333" t="s">
        <v>351</v>
      </c>
      <c r="B333" t="s">
        <v>92</v>
      </c>
      <c r="C333" t="s">
        <v>143</v>
      </c>
      <c r="D333" s="2">
        <v>-55703.74</v>
      </c>
      <c r="E333" s="2">
        <v>-58495.27</v>
      </c>
      <c r="F333" s="2">
        <v>-55500.93</v>
      </c>
      <c r="G333" s="2">
        <v>-43724.45</v>
      </c>
      <c r="H333" s="2">
        <v>-37674.370000000003</v>
      </c>
      <c r="I333" s="2">
        <v>-34804.94</v>
      </c>
    </row>
    <row r="334" spans="1:9" x14ac:dyDescent="0.3">
      <c r="A334" t="s">
        <v>351</v>
      </c>
      <c r="B334" t="s">
        <v>92</v>
      </c>
      <c r="C334" t="s">
        <v>144</v>
      </c>
      <c r="D334" s="2">
        <v>-196.28</v>
      </c>
      <c r="E334" s="2">
        <v>-112.11</v>
      </c>
      <c r="F334" s="2">
        <v>-130.44</v>
      </c>
      <c r="G334" s="2">
        <v>-28.94</v>
      </c>
      <c r="H334" s="2">
        <v>-36.68</v>
      </c>
      <c r="I334" s="2">
        <v>-270.75</v>
      </c>
    </row>
    <row r="335" spans="1:9" x14ac:dyDescent="0.3">
      <c r="A335" t="s">
        <v>351</v>
      </c>
      <c r="B335" t="s">
        <v>92</v>
      </c>
      <c r="C335" t="s">
        <v>145</v>
      </c>
      <c r="D335" s="2">
        <v>-1379.27</v>
      </c>
      <c r="E335" s="2">
        <v>-1549.28</v>
      </c>
      <c r="F335" s="2">
        <v>-3443.77</v>
      </c>
      <c r="G335" s="2">
        <v>-1286.82</v>
      </c>
      <c r="H335" s="2">
        <v>-868.98</v>
      </c>
      <c r="I335" s="2">
        <v>-871.49</v>
      </c>
    </row>
    <row r="336" spans="1:9" x14ac:dyDescent="0.3">
      <c r="A336" t="s">
        <v>351</v>
      </c>
      <c r="B336" t="s">
        <v>92</v>
      </c>
      <c r="C336" t="s">
        <v>100</v>
      </c>
      <c r="D336" s="2">
        <v>-1320826.6499999999</v>
      </c>
      <c r="E336" s="2">
        <v>-1204905.8899999999</v>
      </c>
      <c r="F336" s="2">
        <v>-1055699.06</v>
      </c>
      <c r="G336" s="2">
        <v>-932494.04</v>
      </c>
      <c r="H336" s="2">
        <v>-704328.79</v>
      </c>
      <c r="I336" s="2">
        <v>-662727.17000000004</v>
      </c>
    </row>
    <row r="337" spans="1:9" x14ac:dyDescent="0.3">
      <c r="A337" t="s">
        <v>351</v>
      </c>
      <c r="B337" t="s">
        <v>92</v>
      </c>
      <c r="C337" t="s">
        <v>103</v>
      </c>
      <c r="D337" s="2">
        <v>-141154.74</v>
      </c>
      <c r="E337" s="2">
        <v>-65010.66</v>
      </c>
      <c r="F337" s="2">
        <v>-42391.94</v>
      </c>
      <c r="G337" s="2">
        <v>-20036.54</v>
      </c>
      <c r="H337" s="2">
        <v>-17065.21</v>
      </c>
      <c r="I337" s="2">
        <v>-19737</v>
      </c>
    </row>
    <row r="338" spans="1:9" x14ac:dyDescent="0.3">
      <c r="A338" t="s">
        <v>351</v>
      </c>
      <c r="B338" t="s">
        <v>92</v>
      </c>
      <c r="C338" t="s">
        <v>104</v>
      </c>
      <c r="D338" s="2">
        <v>41573.839999999997</v>
      </c>
      <c r="E338" s="2">
        <v>69034.75</v>
      </c>
      <c r="F338" s="2">
        <v>87439.66</v>
      </c>
      <c r="G338" s="2">
        <v>102997.61</v>
      </c>
      <c r="H338" s="2">
        <v>26958.48</v>
      </c>
      <c r="I338" s="2">
        <v>91989.67</v>
      </c>
    </row>
    <row r="339" spans="1:9" x14ac:dyDescent="0.3">
      <c r="A339" t="s">
        <v>351</v>
      </c>
      <c r="B339" t="s">
        <v>92</v>
      </c>
      <c r="C339" t="s">
        <v>105</v>
      </c>
      <c r="D339" s="2">
        <v>182728.58</v>
      </c>
      <c r="E339" s="2">
        <v>134045.41</v>
      </c>
      <c r="F339" s="2">
        <v>129831.61</v>
      </c>
      <c r="G339" s="2">
        <v>123034.15</v>
      </c>
      <c r="H339" s="2">
        <v>44023.69</v>
      </c>
      <c r="I339" s="2">
        <v>111726.67</v>
      </c>
    </row>
    <row r="340" spans="1:9" x14ac:dyDescent="0.3">
      <c r="A340" t="s">
        <v>351</v>
      </c>
      <c r="B340" t="s">
        <v>92</v>
      </c>
      <c r="C340" t="s">
        <v>106</v>
      </c>
      <c r="D340" s="2">
        <v>-82806.69</v>
      </c>
      <c r="E340" s="2">
        <v>-96519.19</v>
      </c>
      <c r="F340" s="2">
        <v>-29163.919999999998</v>
      </c>
      <c r="G340" s="2">
        <v>-13178.6</v>
      </c>
      <c r="H340" s="2">
        <v>-24771.08</v>
      </c>
      <c r="I340" s="2">
        <v>-18535.14</v>
      </c>
    </row>
    <row r="341" spans="1:9" x14ac:dyDescent="0.3">
      <c r="A341" t="s">
        <v>351</v>
      </c>
      <c r="B341" t="s">
        <v>92</v>
      </c>
      <c r="C341" t="s">
        <v>107</v>
      </c>
      <c r="D341" s="2">
        <v>-82806.69</v>
      </c>
      <c r="E341" s="2">
        <v>-96519.19</v>
      </c>
      <c r="F341" s="2">
        <v>-29163.919999999998</v>
      </c>
      <c r="G341" s="2">
        <v>-13178.6</v>
      </c>
      <c r="H341" s="2">
        <v>-24771.08</v>
      </c>
      <c r="I341" s="2">
        <v>-18535.14</v>
      </c>
    </row>
    <row r="342" spans="1:9" x14ac:dyDescent="0.3">
      <c r="A342" t="s">
        <v>351</v>
      </c>
      <c r="B342" t="s">
        <v>92</v>
      </c>
      <c r="C342" t="s">
        <v>146</v>
      </c>
      <c r="D342" s="2">
        <v>-82806.69</v>
      </c>
      <c r="E342" s="2">
        <v>-96519.19</v>
      </c>
      <c r="F342" s="2">
        <v>-29163.919999999998</v>
      </c>
      <c r="G342" s="2">
        <v>-13178.6</v>
      </c>
      <c r="H342" s="2">
        <v>-24771.08</v>
      </c>
      <c r="I342" s="2">
        <v>-18535.14</v>
      </c>
    </row>
    <row r="343" spans="1:9" x14ac:dyDescent="0.3">
      <c r="A343" t="s">
        <v>351</v>
      </c>
      <c r="B343" t="s">
        <v>92</v>
      </c>
      <c r="C343" t="s">
        <v>109</v>
      </c>
      <c r="D343" s="2">
        <v>42431.37</v>
      </c>
      <c r="E343" s="2">
        <v>17085.75</v>
      </c>
      <c r="F343" s="2">
        <v>48627.96</v>
      </c>
      <c r="G343" s="2">
        <v>18971.84</v>
      </c>
      <c r="H343" s="2">
        <v>23993.01</v>
      </c>
      <c r="I343" s="2">
        <v>2627.06</v>
      </c>
    </row>
    <row r="344" spans="1:9" x14ac:dyDescent="0.3">
      <c r="A344" t="s">
        <v>351</v>
      </c>
      <c r="B344" t="s">
        <v>92</v>
      </c>
      <c r="C344" t="s">
        <v>110</v>
      </c>
      <c r="D344" s="2">
        <v>72230.720000000001</v>
      </c>
      <c r="E344" s="2">
        <v>42501.93</v>
      </c>
      <c r="F344" s="2">
        <v>71867.31</v>
      </c>
      <c r="G344" s="2">
        <v>34317.93</v>
      </c>
      <c r="H344" s="2">
        <v>43838.14</v>
      </c>
      <c r="I344" s="2">
        <v>27204.68</v>
      </c>
    </row>
    <row r="345" spans="1:9" x14ac:dyDescent="0.3">
      <c r="A345" t="s">
        <v>351</v>
      </c>
      <c r="B345" t="s">
        <v>92</v>
      </c>
      <c r="C345" t="s">
        <v>111</v>
      </c>
      <c r="D345" s="2">
        <v>-29799.35</v>
      </c>
      <c r="E345" s="2">
        <v>-25416.19</v>
      </c>
      <c r="F345" s="2">
        <v>-23239.34</v>
      </c>
      <c r="G345" s="2">
        <v>-15346.09</v>
      </c>
      <c r="H345" s="2">
        <v>-19845.13</v>
      </c>
      <c r="I345" s="2">
        <v>-24577.62</v>
      </c>
    </row>
    <row r="346" spans="1:9" x14ac:dyDescent="0.3">
      <c r="A346" t="s">
        <v>351</v>
      </c>
      <c r="B346" t="s">
        <v>92</v>
      </c>
      <c r="C346" t="s">
        <v>112</v>
      </c>
      <c r="D346" s="2">
        <v>1198.52</v>
      </c>
      <c r="E346" s="2">
        <v>-10395.959999999999</v>
      </c>
      <c r="F346" s="2">
        <v>106903.7</v>
      </c>
      <c r="G346" s="2">
        <v>108790.85</v>
      </c>
      <c r="H346" s="2">
        <v>26180.41</v>
      </c>
      <c r="I346" s="2">
        <v>76081.59</v>
      </c>
    </row>
    <row r="347" spans="1:9" x14ac:dyDescent="0.3">
      <c r="A347" t="s">
        <v>351</v>
      </c>
      <c r="B347" t="s">
        <v>92</v>
      </c>
      <c r="C347" t="s">
        <v>113</v>
      </c>
      <c r="D347" s="2">
        <v>-142.71</v>
      </c>
      <c r="E347" s="2">
        <v>-70.87</v>
      </c>
      <c r="F347" s="2">
        <v>-427.21</v>
      </c>
      <c r="G347" s="2">
        <v>-67.84</v>
      </c>
      <c r="H347" s="2">
        <v>-121.88</v>
      </c>
      <c r="I347" s="2">
        <v>-4.2300000000000004</v>
      </c>
    </row>
    <row r="348" spans="1:9" x14ac:dyDescent="0.3">
      <c r="A348" t="s">
        <v>351</v>
      </c>
      <c r="B348" t="s">
        <v>92</v>
      </c>
      <c r="C348" t="s">
        <v>114</v>
      </c>
      <c r="D348" s="2">
        <v>1055.81</v>
      </c>
      <c r="E348" s="2">
        <v>-10466.83</v>
      </c>
      <c r="F348" s="2">
        <v>106476.49</v>
      </c>
      <c r="G348" s="2">
        <v>108723.01</v>
      </c>
      <c r="H348" s="2">
        <v>26058.53</v>
      </c>
      <c r="I348" s="2">
        <v>76077.36</v>
      </c>
    </row>
    <row r="349" spans="1:9" x14ac:dyDescent="0.3">
      <c r="A349" t="s">
        <v>351</v>
      </c>
      <c r="B349" t="s">
        <v>92</v>
      </c>
      <c r="C349" t="s">
        <v>115</v>
      </c>
      <c r="D349" s="2">
        <v>1055.81</v>
      </c>
      <c r="E349" s="2">
        <v>-10466.83</v>
      </c>
      <c r="F349" s="2">
        <v>106476.49</v>
      </c>
      <c r="G349" s="2">
        <v>108723.01</v>
      </c>
      <c r="H349" s="2">
        <v>26058.53</v>
      </c>
      <c r="I349" s="2">
        <v>76077.36</v>
      </c>
    </row>
    <row r="350" spans="1:9" x14ac:dyDescent="0.3">
      <c r="A350" t="s">
        <v>351</v>
      </c>
      <c r="B350" t="s">
        <v>92</v>
      </c>
      <c r="C350" t="s">
        <v>116</v>
      </c>
      <c r="D350" s="2">
        <v>2009805.05</v>
      </c>
      <c r="E350" s="2">
        <v>1725030</v>
      </c>
      <c r="F350" s="2">
        <v>1614797.5</v>
      </c>
      <c r="G350" s="2">
        <v>1501112.62</v>
      </c>
      <c r="H350" s="2">
        <v>1390032.31</v>
      </c>
      <c r="I350" s="2">
        <v>918093.28</v>
      </c>
    </row>
    <row r="351" spans="1:9" x14ac:dyDescent="0.3">
      <c r="A351" t="s">
        <v>351</v>
      </c>
      <c r="B351" t="s">
        <v>92</v>
      </c>
      <c r="C351" t="s">
        <v>117</v>
      </c>
      <c r="D351" s="2">
        <v>1095192.49</v>
      </c>
      <c r="E351" s="2">
        <v>1040968.08</v>
      </c>
      <c r="F351" s="2">
        <v>968871.1</v>
      </c>
      <c r="G351" s="2">
        <v>739175.15</v>
      </c>
      <c r="H351" s="2">
        <v>708254.13</v>
      </c>
      <c r="I351" s="2">
        <v>461127.44</v>
      </c>
    </row>
    <row r="352" spans="1:9" x14ac:dyDescent="0.3">
      <c r="A352" t="s">
        <v>351</v>
      </c>
      <c r="B352" t="s">
        <v>92</v>
      </c>
      <c r="C352" t="s">
        <v>118</v>
      </c>
      <c r="D352" s="2">
        <v>1039862.58</v>
      </c>
      <c r="E352" s="2">
        <v>848918</v>
      </c>
      <c r="F352" s="2">
        <v>782317.63</v>
      </c>
      <c r="G352" s="2">
        <v>707491.82</v>
      </c>
      <c r="H352" s="2">
        <v>675230.37</v>
      </c>
      <c r="I352" s="2">
        <v>425184.33</v>
      </c>
    </row>
    <row r="353" spans="1:9" x14ac:dyDescent="0.3">
      <c r="A353" t="s">
        <v>351</v>
      </c>
      <c r="B353" t="s">
        <v>92</v>
      </c>
      <c r="C353" t="s">
        <v>147</v>
      </c>
      <c r="D353" s="2">
        <v>29921.439999999999</v>
      </c>
      <c r="E353" s="2">
        <v>31650.05</v>
      </c>
      <c r="F353" s="2">
        <v>30834.07</v>
      </c>
      <c r="G353" s="2">
        <v>25544.73</v>
      </c>
      <c r="H353" s="2">
        <v>27136.09</v>
      </c>
      <c r="I353" s="2">
        <v>21566.04</v>
      </c>
    </row>
    <row r="354" spans="1:9" x14ac:dyDescent="0.3">
      <c r="A354" t="s">
        <v>351</v>
      </c>
      <c r="B354" t="s">
        <v>92</v>
      </c>
      <c r="C354" t="s">
        <v>161</v>
      </c>
      <c r="D354" s="2">
        <v>3525.8</v>
      </c>
      <c r="E354" s="2">
        <v>3525.8</v>
      </c>
      <c r="F354" s="2">
        <v>3525.8</v>
      </c>
      <c r="G354" s="2">
        <v>3525.8</v>
      </c>
      <c r="H354" s="2">
        <v>3525.8</v>
      </c>
      <c r="I354" s="2">
        <v>2644.35</v>
      </c>
    </row>
    <row r="355" spans="1:9" x14ac:dyDescent="0.3">
      <c r="A355" t="s">
        <v>351</v>
      </c>
      <c r="B355" t="s">
        <v>92</v>
      </c>
      <c r="C355" t="s">
        <v>162</v>
      </c>
      <c r="D355" s="2">
        <v>3525.8</v>
      </c>
      <c r="E355" s="2">
        <v>3525.8</v>
      </c>
      <c r="F355" s="2">
        <v>3525.8</v>
      </c>
      <c r="G355" s="2">
        <v>3525.8</v>
      </c>
      <c r="H355" s="2">
        <v>3525.8</v>
      </c>
      <c r="I355" s="2">
        <v>2644.35</v>
      </c>
    </row>
    <row r="356" spans="1:9" x14ac:dyDescent="0.3">
      <c r="A356" t="s">
        <v>351</v>
      </c>
      <c r="B356" t="s">
        <v>92</v>
      </c>
      <c r="C356" t="s">
        <v>120</v>
      </c>
      <c r="D356" s="2">
        <v>21882.67</v>
      </c>
      <c r="E356" s="2">
        <v>156874.23000000001</v>
      </c>
      <c r="F356" s="2">
        <v>152193.60000000001</v>
      </c>
      <c r="G356" s="2">
        <v>2612.81</v>
      </c>
      <c r="H356" s="2">
        <v>2361.87</v>
      </c>
      <c r="I356" s="2">
        <v>11732.72</v>
      </c>
    </row>
    <row r="357" spans="1:9" x14ac:dyDescent="0.3">
      <c r="A357" t="s">
        <v>351</v>
      </c>
      <c r="B357" t="s">
        <v>92</v>
      </c>
      <c r="C357" t="s">
        <v>121</v>
      </c>
      <c r="D357" s="2">
        <v>914612.56</v>
      </c>
      <c r="E357" s="2">
        <v>684056.22</v>
      </c>
      <c r="F357" s="2">
        <v>645926.40000000002</v>
      </c>
      <c r="G357" s="2">
        <v>606731.44999999995</v>
      </c>
      <c r="H357" s="2">
        <v>520398.09</v>
      </c>
      <c r="I357" s="2">
        <v>456965.84</v>
      </c>
    </row>
    <row r="358" spans="1:9" x14ac:dyDescent="0.3">
      <c r="A358" t="s">
        <v>351</v>
      </c>
      <c r="B358" t="s">
        <v>92</v>
      </c>
      <c r="C358" t="s">
        <v>163</v>
      </c>
      <c r="D358" s="2">
        <v>27281.96</v>
      </c>
      <c r="E358" s="2">
        <v>24057.87</v>
      </c>
      <c r="F358" s="2">
        <v>24783.89</v>
      </c>
      <c r="G358" s="2">
        <v>22405.78</v>
      </c>
      <c r="H358" s="2">
        <v>22168.35</v>
      </c>
      <c r="I358" s="2">
        <v>13171.54</v>
      </c>
    </row>
    <row r="359" spans="1:9" x14ac:dyDescent="0.3">
      <c r="A359" t="s">
        <v>351</v>
      </c>
      <c r="B359" t="s">
        <v>92</v>
      </c>
      <c r="C359" t="s">
        <v>164</v>
      </c>
      <c r="D359" s="2">
        <v>27281.96</v>
      </c>
      <c r="E359" s="2">
        <v>24057.87</v>
      </c>
      <c r="F359" s="2">
        <v>24783.89</v>
      </c>
      <c r="G359" s="2">
        <v>22405.78</v>
      </c>
      <c r="H359" s="2">
        <v>22168.35</v>
      </c>
      <c r="I359" s="2">
        <v>13171.54</v>
      </c>
    </row>
    <row r="360" spans="1:9" x14ac:dyDescent="0.3">
      <c r="A360" t="s">
        <v>351</v>
      </c>
      <c r="B360" t="s">
        <v>92</v>
      </c>
      <c r="C360" t="s">
        <v>122</v>
      </c>
      <c r="D360" s="2">
        <v>629564.42000000004</v>
      </c>
      <c r="E360" s="2">
        <v>502347.49</v>
      </c>
      <c r="F360" s="2">
        <v>384004.92</v>
      </c>
      <c r="G360" s="2">
        <v>363791.44</v>
      </c>
      <c r="H360" s="2">
        <v>317164.17</v>
      </c>
      <c r="I360" s="2">
        <v>274313.31</v>
      </c>
    </row>
    <row r="361" spans="1:9" x14ac:dyDescent="0.3">
      <c r="A361" t="s">
        <v>351</v>
      </c>
      <c r="B361" t="s">
        <v>92</v>
      </c>
      <c r="C361" t="s">
        <v>149</v>
      </c>
      <c r="D361" s="2">
        <v>866549.86</v>
      </c>
      <c r="E361" s="2">
        <v>622972</v>
      </c>
      <c r="F361" s="2">
        <v>458015.48</v>
      </c>
      <c r="G361" s="2">
        <v>417977.46</v>
      </c>
      <c r="H361" s="2">
        <v>363988.83</v>
      </c>
      <c r="I361" s="2">
        <v>316802.81</v>
      </c>
    </row>
    <row r="362" spans="1:9" x14ac:dyDescent="0.3">
      <c r="A362" t="s">
        <v>351</v>
      </c>
      <c r="B362" t="s">
        <v>92</v>
      </c>
      <c r="C362" t="s">
        <v>123</v>
      </c>
      <c r="D362" s="2">
        <v>43895.16</v>
      </c>
      <c r="E362" s="2">
        <v>36066.410000000003</v>
      </c>
      <c r="F362" s="2">
        <v>34662.67</v>
      </c>
      <c r="G362" s="2">
        <v>28672.16</v>
      </c>
      <c r="H362" s="2">
        <v>23642.87</v>
      </c>
      <c r="I362" s="2">
        <v>17287.54</v>
      </c>
    </row>
    <row r="363" spans="1:9" x14ac:dyDescent="0.3">
      <c r="A363" t="s">
        <v>351</v>
      </c>
      <c r="B363" t="s">
        <v>92</v>
      </c>
      <c r="C363" t="s">
        <v>151</v>
      </c>
      <c r="D363" s="2">
        <v>-280880.59999999998</v>
      </c>
      <c r="E363" s="2">
        <v>-156691</v>
      </c>
      <c r="F363" s="2">
        <v>-108781.28</v>
      </c>
      <c r="G363" s="2">
        <v>-82873.2</v>
      </c>
      <c r="H363" s="2">
        <v>-70486.990000000005</v>
      </c>
      <c r="I363" s="2">
        <v>-59818.27</v>
      </c>
    </row>
    <row r="364" spans="1:9" x14ac:dyDescent="0.3">
      <c r="A364" t="s">
        <v>351</v>
      </c>
      <c r="B364" t="s">
        <v>92</v>
      </c>
      <c r="C364" t="s">
        <v>152</v>
      </c>
      <c r="D364" s="2">
        <v>0</v>
      </c>
      <c r="E364" s="2">
        <v>0</v>
      </c>
      <c r="F364" s="2">
        <v>108.05</v>
      </c>
      <c r="G364" s="2">
        <v>15.02</v>
      </c>
      <c r="H364" s="2">
        <v>19.46</v>
      </c>
      <c r="I364" s="2">
        <v>41.23</v>
      </c>
    </row>
    <row r="365" spans="1:9" x14ac:dyDescent="0.3">
      <c r="A365" t="s">
        <v>351</v>
      </c>
      <c r="B365" t="s">
        <v>92</v>
      </c>
      <c r="C365" t="s">
        <v>153</v>
      </c>
      <c r="D365" s="2">
        <v>9545.2800000000007</v>
      </c>
      <c r="E365" s="2">
        <v>14719.51</v>
      </c>
      <c r="F365" s="2">
        <v>19171.939999999999</v>
      </c>
      <c r="G365" s="2">
        <v>17413.63</v>
      </c>
      <c r="H365" s="2">
        <v>16457.29</v>
      </c>
      <c r="I365" s="2">
        <v>13878.97</v>
      </c>
    </row>
    <row r="366" spans="1:9" x14ac:dyDescent="0.3">
      <c r="A366" t="s">
        <v>351</v>
      </c>
      <c r="B366" t="s">
        <v>92</v>
      </c>
      <c r="C366" t="s">
        <v>124</v>
      </c>
      <c r="D366" s="2">
        <v>423.09</v>
      </c>
      <c r="E366" s="2">
        <v>589.34</v>
      </c>
      <c r="F366" s="2">
        <v>609.34</v>
      </c>
      <c r="G366" s="2">
        <v>676.84</v>
      </c>
      <c r="H366" s="2">
        <v>565.59</v>
      </c>
      <c r="I366" s="2">
        <v>833.09</v>
      </c>
    </row>
    <row r="367" spans="1:9" x14ac:dyDescent="0.3">
      <c r="A367" t="s">
        <v>351</v>
      </c>
      <c r="B367" t="s">
        <v>92</v>
      </c>
      <c r="C367" t="s">
        <v>125</v>
      </c>
      <c r="D367" s="2">
        <v>247797.8</v>
      </c>
      <c r="E367" s="2">
        <v>142342</v>
      </c>
      <c r="F367" s="2">
        <v>217356.3</v>
      </c>
      <c r="G367" s="2">
        <v>202443.76</v>
      </c>
      <c r="H367" s="2">
        <v>164042.69</v>
      </c>
      <c r="I367" s="2">
        <v>154768.93</v>
      </c>
    </row>
    <row r="368" spans="1:9" x14ac:dyDescent="0.3">
      <c r="A368" t="s">
        <v>351</v>
      </c>
      <c r="B368" t="s">
        <v>92</v>
      </c>
      <c r="C368" t="s">
        <v>126</v>
      </c>
      <c r="D368" s="2">
        <v>2009805.05</v>
      </c>
      <c r="E368" s="2">
        <v>1725026</v>
      </c>
      <c r="F368" s="2">
        <v>1614797.5</v>
      </c>
      <c r="G368" s="2">
        <v>1501112.62</v>
      </c>
      <c r="H368" s="2">
        <v>1390032.31</v>
      </c>
      <c r="I368" s="2">
        <v>918093.28</v>
      </c>
    </row>
    <row r="369" spans="1:9" x14ac:dyDescent="0.3">
      <c r="A369" t="s">
        <v>351</v>
      </c>
      <c r="B369" t="s">
        <v>92</v>
      </c>
      <c r="C369" t="s">
        <v>127</v>
      </c>
      <c r="D369" s="2">
        <v>974233.41</v>
      </c>
      <c r="E369" s="2">
        <v>973178</v>
      </c>
      <c r="F369" s="2">
        <v>983644.43</v>
      </c>
      <c r="G369" s="2">
        <v>877167.94</v>
      </c>
      <c r="H369" s="2">
        <v>768444.92</v>
      </c>
      <c r="I369" s="2">
        <v>559509.37</v>
      </c>
    </row>
    <row r="370" spans="1:9" x14ac:dyDescent="0.3">
      <c r="A370" t="s">
        <v>351</v>
      </c>
      <c r="B370" t="s">
        <v>92</v>
      </c>
      <c r="C370" t="s">
        <v>128</v>
      </c>
      <c r="D370" s="2">
        <v>974233.41</v>
      </c>
      <c r="E370" s="2">
        <v>973178</v>
      </c>
      <c r="F370" s="2">
        <v>983644.43</v>
      </c>
      <c r="G370" s="2">
        <v>877167.94</v>
      </c>
      <c r="H370" s="2">
        <v>768444.92</v>
      </c>
      <c r="I370" s="2">
        <v>559509.37</v>
      </c>
    </row>
    <row r="371" spans="1:9" x14ac:dyDescent="0.3">
      <c r="A371" t="s">
        <v>351</v>
      </c>
      <c r="B371" t="s">
        <v>92</v>
      </c>
      <c r="C371" t="s">
        <v>154</v>
      </c>
      <c r="D371" s="2">
        <v>17443.439999999999</v>
      </c>
      <c r="E371" s="2">
        <v>17443.439999999999</v>
      </c>
      <c r="F371" s="2">
        <v>17443.439999999999</v>
      </c>
      <c r="G371" s="2">
        <v>17443.439999999999</v>
      </c>
      <c r="H371" s="2">
        <v>17443.439999999999</v>
      </c>
      <c r="I371" s="2">
        <v>17443.439999999999</v>
      </c>
    </row>
    <row r="372" spans="1:9" x14ac:dyDescent="0.3">
      <c r="A372" t="s">
        <v>351</v>
      </c>
      <c r="B372" t="s">
        <v>92</v>
      </c>
      <c r="C372" t="s">
        <v>131</v>
      </c>
      <c r="D372" s="2">
        <v>659835.91</v>
      </c>
      <c r="E372" s="2">
        <v>670303</v>
      </c>
      <c r="F372" s="2">
        <v>563826.25</v>
      </c>
      <c r="G372" s="2">
        <v>445874.69</v>
      </c>
      <c r="H372" s="2">
        <v>415107.92</v>
      </c>
      <c r="I372" s="2">
        <v>343885.52</v>
      </c>
    </row>
    <row r="373" spans="1:9" x14ac:dyDescent="0.3">
      <c r="A373" t="s">
        <v>351</v>
      </c>
      <c r="B373" t="s">
        <v>92</v>
      </c>
      <c r="C373" t="s">
        <v>132</v>
      </c>
      <c r="D373" s="2">
        <v>1055.81</v>
      </c>
      <c r="E373" s="2">
        <v>-10466.83</v>
      </c>
      <c r="F373" s="2">
        <v>106476.49</v>
      </c>
      <c r="G373" s="2">
        <v>108723.01</v>
      </c>
      <c r="H373" s="2">
        <v>26058.53</v>
      </c>
      <c r="I373" s="2">
        <v>76077.36</v>
      </c>
    </row>
    <row r="374" spans="1:9" x14ac:dyDescent="0.3">
      <c r="A374" t="s">
        <v>351</v>
      </c>
      <c r="B374" t="s">
        <v>92</v>
      </c>
      <c r="C374" t="s">
        <v>159</v>
      </c>
      <c r="D374" s="2">
        <v>295898.25</v>
      </c>
      <c r="E374" s="2">
        <v>295898</v>
      </c>
      <c r="F374" s="2">
        <v>295898.25</v>
      </c>
      <c r="G374" s="2">
        <v>305126.78999999998</v>
      </c>
      <c r="H374" s="2">
        <v>309835.03000000003</v>
      </c>
      <c r="I374" s="2">
        <v>122103.06</v>
      </c>
    </row>
    <row r="375" spans="1:9" x14ac:dyDescent="0.3">
      <c r="A375" t="s">
        <v>351</v>
      </c>
      <c r="B375" t="s">
        <v>92</v>
      </c>
      <c r="C375" t="s">
        <v>133</v>
      </c>
      <c r="D375" s="2">
        <v>1035571.64</v>
      </c>
      <c r="E375" s="2">
        <v>751848</v>
      </c>
      <c r="F375" s="2">
        <v>631153.06999999995</v>
      </c>
      <c r="G375" s="2">
        <v>623944.68000000005</v>
      </c>
      <c r="H375" s="2">
        <v>621587.39</v>
      </c>
      <c r="I375" s="2">
        <v>358583.91</v>
      </c>
    </row>
    <row r="376" spans="1:9" x14ac:dyDescent="0.3">
      <c r="A376" t="s">
        <v>351</v>
      </c>
      <c r="B376" t="s">
        <v>92</v>
      </c>
      <c r="C376" t="s">
        <v>134</v>
      </c>
      <c r="D376" s="2">
        <v>499.98</v>
      </c>
      <c r="E376" s="2">
        <v>608.57000000000005</v>
      </c>
      <c r="F376" s="2">
        <v>571.78</v>
      </c>
      <c r="G376" s="2">
        <v>859.08</v>
      </c>
      <c r="H376" s="2">
        <v>257.39999999999998</v>
      </c>
      <c r="I376" s="2">
        <v>742.62</v>
      </c>
    </row>
    <row r="377" spans="1:9" x14ac:dyDescent="0.3">
      <c r="A377" t="s">
        <v>351</v>
      </c>
      <c r="B377" t="s">
        <v>92</v>
      </c>
      <c r="C377" t="s">
        <v>135</v>
      </c>
      <c r="D377" s="2">
        <v>499.98</v>
      </c>
      <c r="E377" s="2">
        <v>608.57000000000005</v>
      </c>
      <c r="F377" s="2">
        <v>571.78</v>
      </c>
      <c r="G377" s="2">
        <v>859.08</v>
      </c>
      <c r="H377" s="2">
        <v>257.39999999999998</v>
      </c>
      <c r="I377" s="2">
        <v>742.62</v>
      </c>
    </row>
    <row r="378" spans="1:9" x14ac:dyDescent="0.3">
      <c r="A378" t="s">
        <v>351</v>
      </c>
      <c r="B378" t="s">
        <v>92</v>
      </c>
      <c r="C378" t="s">
        <v>137</v>
      </c>
      <c r="D378" s="2">
        <v>1035071.66</v>
      </c>
      <c r="E378" s="2">
        <v>751238.66</v>
      </c>
      <c r="F378" s="2">
        <v>630581.28</v>
      </c>
      <c r="G378" s="2">
        <v>623085.6</v>
      </c>
      <c r="H378" s="2">
        <v>621329.99</v>
      </c>
      <c r="I378" s="2">
        <v>357841.29</v>
      </c>
    </row>
    <row r="379" spans="1:9" x14ac:dyDescent="0.3">
      <c r="A379" t="s">
        <v>351</v>
      </c>
      <c r="B379" t="s">
        <v>92</v>
      </c>
      <c r="C379" t="s">
        <v>155</v>
      </c>
      <c r="D379" s="2">
        <v>526559.24</v>
      </c>
      <c r="E379" s="2">
        <v>352668.68</v>
      </c>
      <c r="F379" s="2">
        <v>314205.67</v>
      </c>
      <c r="G379" s="2">
        <v>341302.3</v>
      </c>
      <c r="H379" s="2">
        <v>364843.88</v>
      </c>
      <c r="I379" s="2">
        <v>171398.7</v>
      </c>
    </row>
    <row r="380" spans="1:9" x14ac:dyDescent="0.3">
      <c r="A380" t="s">
        <v>351</v>
      </c>
      <c r="B380" t="s">
        <v>92</v>
      </c>
      <c r="C380" t="s">
        <v>138</v>
      </c>
      <c r="D380" s="2">
        <v>359452.82</v>
      </c>
      <c r="E380" s="2">
        <v>282150.32</v>
      </c>
      <c r="F380" s="2">
        <v>214104.42</v>
      </c>
      <c r="G380" s="2">
        <v>201384.35</v>
      </c>
      <c r="H380" s="2">
        <v>164498.35</v>
      </c>
      <c r="I380" s="2">
        <v>114338.35</v>
      </c>
    </row>
    <row r="381" spans="1:9" x14ac:dyDescent="0.3">
      <c r="A381" t="s">
        <v>351</v>
      </c>
      <c r="B381" t="s">
        <v>92</v>
      </c>
      <c r="C381" t="s">
        <v>139</v>
      </c>
      <c r="D381" s="2">
        <v>173657.25</v>
      </c>
      <c r="E381" s="2">
        <v>117115</v>
      </c>
      <c r="F381" s="2">
        <v>103455.32</v>
      </c>
      <c r="G381" s="2">
        <v>96971.96</v>
      </c>
      <c r="H381" s="2">
        <v>78183.600000000006</v>
      </c>
      <c r="I381" s="2">
        <v>47240.25</v>
      </c>
    </row>
    <row r="382" spans="1:9" x14ac:dyDescent="0.3">
      <c r="A382" t="s">
        <v>351</v>
      </c>
      <c r="B382" t="s">
        <v>92</v>
      </c>
      <c r="C382" t="s">
        <v>140</v>
      </c>
      <c r="D382" s="2">
        <v>185795.57</v>
      </c>
      <c r="E382" s="2">
        <v>165035.91</v>
      </c>
      <c r="F382" s="2">
        <v>110649.1</v>
      </c>
      <c r="G382" s="2">
        <v>96891.82</v>
      </c>
      <c r="H382" s="2">
        <v>86314.74</v>
      </c>
      <c r="I382" s="2">
        <v>67098.100000000006</v>
      </c>
    </row>
    <row r="383" spans="1:9" x14ac:dyDescent="0.3">
      <c r="A383" t="s">
        <v>351</v>
      </c>
      <c r="B383" t="s">
        <v>92</v>
      </c>
      <c r="C383" t="s">
        <v>135</v>
      </c>
      <c r="D383" s="2">
        <v>132398.29999999999</v>
      </c>
      <c r="E383" s="2">
        <v>98534.52</v>
      </c>
      <c r="F383" s="2">
        <v>83218.240000000005</v>
      </c>
      <c r="G383" s="2">
        <v>64940.04</v>
      </c>
      <c r="H383" s="2">
        <v>74865.13</v>
      </c>
      <c r="I383" s="2">
        <v>52276.25</v>
      </c>
    </row>
    <row r="384" spans="1:9" x14ac:dyDescent="0.3">
      <c r="A384" t="s">
        <v>351</v>
      </c>
      <c r="B384" t="s">
        <v>92</v>
      </c>
      <c r="C384" t="s">
        <v>141</v>
      </c>
      <c r="D384" s="2">
        <v>13372.36</v>
      </c>
      <c r="E384" s="2">
        <v>14406.14</v>
      </c>
      <c r="F384" s="2">
        <v>15639.4</v>
      </c>
      <c r="G384" s="2">
        <v>12315.96</v>
      </c>
      <c r="H384" s="2">
        <v>14451.64</v>
      </c>
      <c r="I384" s="2">
        <v>16900.599999999999</v>
      </c>
    </row>
    <row r="385" spans="1:9" x14ac:dyDescent="0.3">
      <c r="A385" t="s">
        <v>351</v>
      </c>
      <c r="B385" t="s">
        <v>92</v>
      </c>
      <c r="C385" t="s">
        <v>157</v>
      </c>
      <c r="D385" s="2">
        <v>3288.93</v>
      </c>
      <c r="E385" s="2">
        <v>3479.01</v>
      </c>
      <c r="F385" s="2">
        <v>3413.55</v>
      </c>
      <c r="G385" s="2">
        <v>3142.95</v>
      </c>
      <c r="H385" s="2">
        <v>2670.99</v>
      </c>
      <c r="I385" s="2">
        <v>2927.39</v>
      </c>
    </row>
    <row r="386" spans="1:9" hidden="1" x14ac:dyDescent="0.3">
      <c r="A386" t="s">
        <v>350</v>
      </c>
      <c r="B386" t="s">
        <v>92</v>
      </c>
      <c r="C386" t="s">
        <v>99</v>
      </c>
      <c r="D386" s="2">
        <v>684113.91</v>
      </c>
      <c r="E386" s="2">
        <v>555748.36</v>
      </c>
      <c r="F386" s="2">
        <v>454890.5</v>
      </c>
      <c r="G386" s="2">
        <v>448230.04</v>
      </c>
      <c r="H386" s="2">
        <v>457239.7</v>
      </c>
      <c r="I386" s="2">
        <v>416262.95</v>
      </c>
    </row>
    <row r="387" spans="1:9" hidden="1" x14ac:dyDescent="0.3">
      <c r="A387" t="s">
        <v>350</v>
      </c>
      <c r="B387" t="s">
        <v>92</v>
      </c>
      <c r="C387" t="s">
        <v>142</v>
      </c>
      <c r="D387" s="2">
        <v>612596.31999999995</v>
      </c>
      <c r="E387" s="2">
        <v>465155.69</v>
      </c>
      <c r="F387" s="2">
        <v>402006.36</v>
      </c>
      <c r="G387" s="2">
        <v>348651.75</v>
      </c>
      <c r="H387" s="2">
        <v>352508.69</v>
      </c>
      <c r="I387" s="2">
        <v>352935.02</v>
      </c>
    </row>
    <row r="388" spans="1:9" hidden="1" x14ac:dyDescent="0.3">
      <c r="A388" t="s">
        <v>350</v>
      </c>
      <c r="B388" t="s">
        <v>92</v>
      </c>
      <c r="C388" t="s">
        <v>102</v>
      </c>
      <c r="D388" s="2">
        <v>-86385.24</v>
      </c>
      <c r="E388" s="2">
        <v>-74915.3</v>
      </c>
      <c r="F388" s="2">
        <v>-70598.240000000005</v>
      </c>
      <c r="G388" s="2">
        <v>-70176.34</v>
      </c>
      <c r="H388" s="2">
        <v>-65977.759999999995</v>
      </c>
      <c r="I388" s="2">
        <v>-65156.91</v>
      </c>
    </row>
    <row r="389" spans="1:9" hidden="1" x14ac:dyDescent="0.3">
      <c r="A389" t="s">
        <v>350</v>
      </c>
      <c r="B389" t="s">
        <v>92</v>
      </c>
      <c r="C389" t="s">
        <v>143</v>
      </c>
      <c r="D389" s="2">
        <v>0</v>
      </c>
      <c r="E389" s="2">
        <v>0</v>
      </c>
      <c r="F389" s="2">
        <v>0</v>
      </c>
      <c r="G389" s="2">
        <v>0</v>
      </c>
      <c r="H389" s="2">
        <v>0</v>
      </c>
      <c r="I389" s="2">
        <v>0</v>
      </c>
    </row>
    <row r="390" spans="1:9" hidden="1" x14ac:dyDescent="0.3">
      <c r="A390" t="s">
        <v>350</v>
      </c>
      <c r="B390" t="s">
        <v>92</v>
      </c>
      <c r="C390" t="s">
        <v>144</v>
      </c>
      <c r="D390" s="2">
        <v>0</v>
      </c>
      <c r="E390" s="2">
        <v>0</v>
      </c>
      <c r="F390" s="2">
        <v>0</v>
      </c>
      <c r="G390" s="2">
        <v>0</v>
      </c>
      <c r="H390" s="2">
        <v>0</v>
      </c>
      <c r="I390" s="2">
        <v>0</v>
      </c>
    </row>
    <row r="391" spans="1:9" hidden="1" x14ac:dyDescent="0.3">
      <c r="A391" t="s">
        <v>350</v>
      </c>
      <c r="B391" t="s">
        <v>92</v>
      </c>
      <c r="C391" t="s">
        <v>145</v>
      </c>
      <c r="D391" s="2">
        <v>0</v>
      </c>
      <c r="E391" s="2">
        <v>0</v>
      </c>
      <c r="F391" s="2">
        <v>0</v>
      </c>
      <c r="G391" s="2">
        <v>0</v>
      </c>
      <c r="H391" s="2">
        <v>0</v>
      </c>
      <c r="I391" s="2">
        <v>0</v>
      </c>
    </row>
    <row r="392" spans="1:9" hidden="1" x14ac:dyDescent="0.3">
      <c r="A392" t="s">
        <v>350</v>
      </c>
      <c r="B392" t="s">
        <v>92</v>
      </c>
      <c r="C392" t="s">
        <v>100</v>
      </c>
      <c r="D392" s="2">
        <v>0</v>
      </c>
      <c r="E392" s="2">
        <v>0</v>
      </c>
      <c r="F392" s="2">
        <v>0</v>
      </c>
      <c r="G392" s="2">
        <v>0</v>
      </c>
      <c r="H392" s="2">
        <v>0</v>
      </c>
      <c r="I392" s="2">
        <v>0</v>
      </c>
    </row>
    <row r="393" spans="1:9" hidden="1" x14ac:dyDescent="0.3">
      <c r="A393" t="s">
        <v>350</v>
      </c>
      <c r="B393" t="s">
        <v>92</v>
      </c>
      <c r="C393" t="s">
        <v>103</v>
      </c>
      <c r="D393" s="2">
        <v>-28311.19</v>
      </c>
      <c r="E393" s="2">
        <v>-24379.57</v>
      </c>
      <c r="F393" s="2">
        <v>-25747.32</v>
      </c>
      <c r="G393" s="2">
        <v>-25986.92</v>
      </c>
      <c r="H393" s="2">
        <v>-22435.279999999999</v>
      </c>
      <c r="I393" s="2">
        <v>-19052.099999999999</v>
      </c>
    </row>
    <row r="394" spans="1:9" hidden="1" x14ac:dyDescent="0.3">
      <c r="A394" t="s">
        <v>350</v>
      </c>
      <c r="B394" t="s">
        <v>92</v>
      </c>
      <c r="C394" t="s">
        <v>104</v>
      </c>
      <c r="D394" s="2">
        <v>127129.35</v>
      </c>
      <c r="E394" s="2">
        <v>99834.15</v>
      </c>
      <c r="F394" s="2">
        <v>34083.279999999999</v>
      </c>
      <c r="G394" s="2">
        <v>53847.71</v>
      </c>
      <c r="H394" s="2">
        <v>62307.79</v>
      </c>
      <c r="I394" s="2">
        <v>77946.69</v>
      </c>
    </row>
    <row r="395" spans="1:9" hidden="1" x14ac:dyDescent="0.3">
      <c r="A395" t="s">
        <v>350</v>
      </c>
      <c r="B395" t="s">
        <v>92</v>
      </c>
      <c r="C395" t="s">
        <v>105</v>
      </c>
      <c r="D395" s="2">
        <v>155440.54</v>
      </c>
      <c r="E395" s="2">
        <v>124213.72</v>
      </c>
      <c r="F395" s="2">
        <v>59830.6</v>
      </c>
      <c r="G395" s="2">
        <v>79834.63</v>
      </c>
      <c r="H395" s="2">
        <v>84743.07</v>
      </c>
      <c r="I395" s="2">
        <v>96998.79</v>
      </c>
    </row>
    <row r="396" spans="1:9" hidden="1" x14ac:dyDescent="0.3">
      <c r="A396" t="s">
        <v>350</v>
      </c>
      <c r="B396" t="s">
        <v>92</v>
      </c>
      <c r="C396" t="s">
        <v>106</v>
      </c>
      <c r="D396" s="2">
        <v>5576.1</v>
      </c>
      <c r="E396" s="2">
        <v>10686.6</v>
      </c>
      <c r="F396" s="2">
        <v>4332.12</v>
      </c>
      <c r="G396" s="2">
        <v>-2814.83</v>
      </c>
      <c r="H396" s="2">
        <v>4301.7299999999996</v>
      </c>
      <c r="I396" s="2">
        <v>2893.27</v>
      </c>
    </row>
    <row r="397" spans="1:9" hidden="1" x14ac:dyDescent="0.3">
      <c r="A397" t="s">
        <v>350</v>
      </c>
      <c r="B397" t="s">
        <v>92</v>
      </c>
      <c r="C397" t="s">
        <v>107</v>
      </c>
      <c r="D397" s="2">
        <v>-2595.9499999999998</v>
      </c>
      <c r="E397" s="2">
        <v>-3804.85</v>
      </c>
      <c r="F397" s="2">
        <v>-3881.94</v>
      </c>
      <c r="G397" s="2">
        <v>-4197.6000000000004</v>
      </c>
      <c r="H397" s="2">
        <v>-1917.48</v>
      </c>
      <c r="I397" s="2">
        <v>-1022.67</v>
      </c>
    </row>
    <row r="398" spans="1:9" hidden="1" x14ac:dyDescent="0.3">
      <c r="A398" t="s">
        <v>350</v>
      </c>
      <c r="B398" t="s">
        <v>92</v>
      </c>
      <c r="C398" t="s">
        <v>146</v>
      </c>
      <c r="D398" s="2">
        <v>0</v>
      </c>
      <c r="E398" s="2">
        <v>0</v>
      </c>
      <c r="F398" s="2">
        <v>0</v>
      </c>
      <c r="G398" s="2">
        <v>0</v>
      </c>
      <c r="H398" s="2">
        <v>0</v>
      </c>
      <c r="I398" s="2">
        <v>0</v>
      </c>
    </row>
    <row r="399" spans="1:9" hidden="1" x14ac:dyDescent="0.3">
      <c r="A399" t="s">
        <v>350</v>
      </c>
      <c r="B399" t="s">
        <v>92</v>
      </c>
      <c r="C399" t="s">
        <v>109</v>
      </c>
      <c r="D399" s="2">
        <v>-18096.560000000001</v>
      </c>
      <c r="E399" s="2">
        <v>-17234.349999999999</v>
      </c>
      <c r="F399" s="2">
        <v>-20028.39</v>
      </c>
      <c r="G399" s="2">
        <v>-12564.76</v>
      </c>
      <c r="H399" s="2">
        <v>-27564.67</v>
      </c>
      <c r="I399" s="2">
        <v>28667.05</v>
      </c>
    </row>
    <row r="400" spans="1:9" hidden="1" x14ac:dyDescent="0.3">
      <c r="A400" t="s">
        <v>350</v>
      </c>
      <c r="B400" t="s">
        <v>92</v>
      </c>
      <c r="C400" t="s">
        <v>110</v>
      </c>
      <c r="D400" s="2">
        <v>18724.009999999998</v>
      </c>
      <c r="E400" s="2">
        <v>13500.83</v>
      </c>
      <c r="F400" s="2">
        <v>17053.5</v>
      </c>
      <c r="G400" s="2">
        <v>15734.2</v>
      </c>
      <c r="H400" s="2">
        <v>14245.08</v>
      </c>
      <c r="I400" s="2">
        <v>45590.64</v>
      </c>
    </row>
    <row r="401" spans="1:9" hidden="1" x14ac:dyDescent="0.3">
      <c r="A401" t="s">
        <v>350</v>
      </c>
      <c r="B401" t="s">
        <v>92</v>
      </c>
      <c r="C401" t="s">
        <v>111</v>
      </c>
      <c r="D401" s="2">
        <v>-36820.57</v>
      </c>
      <c r="E401" s="2">
        <v>-30735.18</v>
      </c>
      <c r="F401" s="2">
        <v>-37081.879999999997</v>
      </c>
      <c r="G401" s="2">
        <v>-28298.959999999999</v>
      </c>
      <c r="H401" s="2">
        <v>-41809.74</v>
      </c>
      <c r="I401" s="2">
        <v>-16923.59</v>
      </c>
    </row>
    <row r="402" spans="1:9" hidden="1" x14ac:dyDescent="0.3">
      <c r="A402" t="s">
        <v>350</v>
      </c>
      <c r="B402" t="s">
        <v>92</v>
      </c>
      <c r="C402" t="s">
        <v>112</v>
      </c>
      <c r="D402" s="2">
        <v>119932.86</v>
      </c>
      <c r="E402" s="2">
        <v>98706.11</v>
      </c>
      <c r="F402" s="2">
        <v>18387.009999999998</v>
      </c>
      <c r="G402" s="2">
        <v>38468.120000000003</v>
      </c>
      <c r="H402" s="2">
        <v>39044.85</v>
      </c>
      <c r="I402" s="2">
        <v>109507.01</v>
      </c>
    </row>
    <row r="403" spans="1:9" hidden="1" x14ac:dyDescent="0.3">
      <c r="A403" t="s">
        <v>350</v>
      </c>
      <c r="B403" t="s">
        <v>92</v>
      </c>
      <c r="C403" t="s">
        <v>113</v>
      </c>
      <c r="D403" s="2">
        <v>0</v>
      </c>
      <c r="E403" s="2">
        <v>0</v>
      </c>
      <c r="F403" s="2">
        <v>0</v>
      </c>
      <c r="G403" s="2">
        <v>0</v>
      </c>
      <c r="H403" s="2">
        <v>0</v>
      </c>
      <c r="I403" s="2">
        <v>0</v>
      </c>
    </row>
    <row r="404" spans="1:9" hidden="1" x14ac:dyDescent="0.3">
      <c r="A404" t="s">
        <v>350</v>
      </c>
      <c r="B404" t="s">
        <v>92</v>
      </c>
      <c r="C404" t="s">
        <v>114</v>
      </c>
      <c r="D404" s="2">
        <v>119932.86</v>
      </c>
      <c r="E404" s="2">
        <v>98706.11</v>
      </c>
      <c r="F404" s="2">
        <v>18387.009999999998</v>
      </c>
      <c r="G404" s="2">
        <v>38468.120000000003</v>
      </c>
      <c r="H404" s="2">
        <v>39044.85</v>
      </c>
      <c r="I404" s="2">
        <v>109507.01</v>
      </c>
    </row>
    <row r="405" spans="1:9" hidden="1" x14ac:dyDescent="0.3">
      <c r="A405" t="s">
        <v>350</v>
      </c>
      <c r="B405" t="s">
        <v>92</v>
      </c>
      <c r="C405" t="s">
        <v>115</v>
      </c>
      <c r="D405" s="2">
        <v>119932.86</v>
      </c>
      <c r="E405" s="2">
        <v>98706.11</v>
      </c>
      <c r="F405" s="2">
        <v>18387.009999999998</v>
      </c>
      <c r="G405" s="2">
        <v>38468.120000000003</v>
      </c>
      <c r="H405" s="2">
        <v>39044.85</v>
      </c>
      <c r="I405" s="2">
        <v>109507.01</v>
      </c>
    </row>
    <row r="406" spans="1:9" hidden="1" x14ac:dyDescent="0.3">
      <c r="A406" t="s">
        <v>350</v>
      </c>
      <c r="B406" t="s">
        <v>92</v>
      </c>
      <c r="C406" t="s">
        <v>116</v>
      </c>
      <c r="D406" s="2">
        <v>1309615.44</v>
      </c>
      <c r="E406" s="2">
        <v>1168328.81</v>
      </c>
      <c r="F406" s="2">
        <v>1090160.72</v>
      </c>
      <c r="G406" s="2">
        <v>1069740.92</v>
      </c>
      <c r="H406" s="2">
        <v>1021412.31</v>
      </c>
      <c r="I406" s="2">
        <v>926837.57</v>
      </c>
    </row>
    <row r="407" spans="1:9" hidden="1" x14ac:dyDescent="0.3">
      <c r="A407" t="s">
        <v>350</v>
      </c>
      <c r="B407" t="s">
        <v>92</v>
      </c>
      <c r="C407" t="s">
        <v>117</v>
      </c>
      <c r="D407" s="2">
        <v>928981.52</v>
      </c>
      <c r="E407" s="2">
        <v>830557.31</v>
      </c>
      <c r="F407" s="2">
        <v>891016.26</v>
      </c>
      <c r="G407" s="2">
        <v>713621.58</v>
      </c>
      <c r="H407" s="2">
        <v>691735.4</v>
      </c>
      <c r="I407" s="2">
        <v>654797.73</v>
      </c>
    </row>
    <row r="408" spans="1:9" hidden="1" x14ac:dyDescent="0.3">
      <c r="A408" t="s">
        <v>350</v>
      </c>
      <c r="B408" t="s">
        <v>92</v>
      </c>
      <c r="C408" t="s">
        <v>118</v>
      </c>
      <c r="D408" s="2">
        <v>696708.03</v>
      </c>
      <c r="E408" s="2">
        <v>607151.6</v>
      </c>
      <c r="F408" s="2">
        <v>586319.35999999999</v>
      </c>
      <c r="G408" s="2">
        <v>573827.94999999995</v>
      </c>
      <c r="H408" s="2">
        <v>579557.6</v>
      </c>
      <c r="I408" s="2">
        <v>538329.66</v>
      </c>
    </row>
    <row r="409" spans="1:9" hidden="1" x14ac:dyDescent="0.3">
      <c r="A409" t="s">
        <v>350</v>
      </c>
      <c r="B409" t="s">
        <v>92</v>
      </c>
      <c r="C409" t="s">
        <v>147</v>
      </c>
      <c r="D409" s="2">
        <v>0</v>
      </c>
      <c r="E409" s="2">
        <v>0</v>
      </c>
      <c r="F409" s="2">
        <v>0</v>
      </c>
      <c r="G409" s="2">
        <v>0</v>
      </c>
      <c r="H409" s="2">
        <v>0</v>
      </c>
      <c r="I409" s="2">
        <v>0</v>
      </c>
    </row>
    <row r="410" spans="1:9" hidden="1" x14ac:dyDescent="0.3">
      <c r="A410" t="s">
        <v>350</v>
      </c>
      <c r="B410" t="s">
        <v>92</v>
      </c>
      <c r="C410" t="s">
        <v>148</v>
      </c>
      <c r="D410" s="2">
        <v>0</v>
      </c>
      <c r="E410" s="2">
        <v>0</v>
      </c>
      <c r="F410" s="2">
        <v>0</v>
      </c>
      <c r="G410" s="2">
        <v>0</v>
      </c>
      <c r="H410" s="2">
        <v>0</v>
      </c>
      <c r="I410" s="2">
        <v>0</v>
      </c>
    </row>
    <row r="411" spans="1:9" hidden="1" x14ac:dyDescent="0.3">
      <c r="A411" t="s">
        <v>350</v>
      </c>
      <c r="B411" t="s">
        <v>92</v>
      </c>
      <c r="C411" t="s">
        <v>120</v>
      </c>
      <c r="D411" s="2">
        <v>94226.44</v>
      </c>
      <c r="E411" s="2">
        <v>124301.38</v>
      </c>
      <c r="F411" s="2">
        <v>78182.7</v>
      </c>
      <c r="G411" s="2">
        <v>59525.1</v>
      </c>
      <c r="H411" s="2">
        <v>59481.01</v>
      </c>
      <c r="I411" s="2">
        <v>56019.13</v>
      </c>
    </row>
    <row r="412" spans="1:9" hidden="1" x14ac:dyDescent="0.3">
      <c r="A412" t="s">
        <v>350</v>
      </c>
      <c r="B412" t="s">
        <v>92</v>
      </c>
      <c r="C412" t="s">
        <v>121</v>
      </c>
      <c r="D412" s="2">
        <v>380633.92</v>
      </c>
      <c r="E412" s="2">
        <v>337771.5</v>
      </c>
      <c r="F412" s="2">
        <v>199144.47</v>
      </c>
      <c r="G412" s="2">
        <v>356119.33</v>
      </c>
      <c r="H412" s="2">
        <v>329676.92</v>
      </c>
      <c r="I412" s="2">
        <v>272039.84000000003</v>
      </c>
    </row>
    <row r="413" spans="1:9" hidden="1" x14ac:dyDescent="0.3">
      <c r="A413" t="s">
        <v>350</v>
      </c>
      <c r="B413" t="s">
        <v>92</v>
      </c>
      <c r="C413" t="s">
        <v>163</v>
      </c>
      <c r="D413" s="2">
        <v>11625.25</v>
      </c>
      <c r="E413" s="2">
        <v>7504.14</v>
      </c>
      <c r="F413" s="2">
        <v>6349.38</v>
      </c>
      <c r="G413" s="2">
        <v>14435.86</v>
      </c>
      <c r="H413" s="2">
        <v>10328.89</v>
      </c>
      <c r="I413" s="2">
        <v>8437.48</v>
      </c>
    </row>
    <row r="414" spans="1:9" hidden="1" x14ac:dyDescent="0.3">
      <c r="A414" t="s">
        <v>350</v>
      </c>
      <c r="B414" t="s">
        <v>92</v>
      </c>
      <c r="C414" t="s">
        <v>164</v>
      </c>
      <c r="D414" s="2">
        <v>0</v>
      </c>
      <c r="E414" s="2">
        <v>0</v>
      </c>
      <c r="F414" s="2">
        <v>0</v>
      </c>
      <c r="G414" s="2">
        <v>0</v>
      </c>
      <c r="H414" s="2">
        <v>0</v>
      </c>
      <c r="I414" s="2">
        <v>0</v>
      </c>
    </row>
    <row r="415" spans="1:9" hidden="1" x14ac:dyDescent="0.3">
      <c r="A415" t="s">
        <v>350</v>
      </c>
      <c r="B415" t="s">
        <v>92</v>
      </c>
      <c r="C415" t="s">
        <v>122</v>
      </c>
      <c r="D415" s="2">
        <v>336566.2</v>
      </c>
      <c r="E415" s="2">
        <v>295631.21000000002</v>
      </c>
      <c r="F415" s="2">
        <v>111615.39</v>
      </c>
      <c r="G415" s="2">
        <v>233343.23</v>
      </c>
      <c r="H415" s="2">
        <v>260591.54</v>
      </c>
      <c r="I415" s="2">
        <v>218731.39</v>
      </c>
    </row>
    <row r="416" spans="1:9" hidden="1" x14ac:dyDescent="0.3">
      <c r="A416" t="s">
        <v>350</v>
      </c>
      <c r="B416" t="s">
        <v>92</v>
      </c>
      <c r="C416" t="s">
        <v>149</v>
      </c>
      <c r="D416" s="2">
        <v>0</v>
      </c>
      <c r="E416" s="2">
        <v>0</v>
      </c>
      <c r="F416" s="2">
        <v>0.24</v>
      </c>
      <c r="G416" s="2">
        <v>0</v>
      </c>
      <c r="H416" s="2">
        <v>1.77</v>
      </c>
      <c r="I416" s="2">
        <v>1.39</v>
      </c>
    </row>
    <row r="417" spans="1:9" hidden="1" x14ac:dyDescent="0.3">
      <c r="A417" t="s">
        <v>350</v>
      </c>
      <c r="B417" t="s">
        <v>92</v>
      </c>
      <c r="C417" t="s">
        <v>150</v>
      </c>
      <c r="D417" s="2">
        <v>0</v>
      </c>
      <c r="E417" s="2">
        <v>0</v>
      </c>
      <c r="F417" s="2">
        <v>0</v>
      </c>
      <c r="G417" s="2">
        <v>0</v>
      </c>
      <c r="H417" s="2">
        <v>0</v>
      </c>
      <c r="I417" s="2">
        <v>0</v>
      </c>
    </row>
    <row r="418" spans="1:9" hidden="1" x14ac:dyDescent="0.3">
      <c r="A418" t="s">
        <v>350</v>
      </c>
      <c r="B418" t="s">
        <v>92</v>
      </c>
      <c r="C418" t="s">
        <v>123</v>
      </c>
      <c r="D418" s="2">
        <v>336566.2</v>
      </c>
      <c r="E418" s="2">
        <v>295631.21000000002</v>
      </c>
      <c r="F418" s="2">
        <v>111615.15</v>
      </c>
      <c r="G418" s="2">
        <v>233343.23</v>
      </c>
      <c r="H418" s="2">
        <v>260589.77</v>
      </c>
      <c r="I418" s="2">
        <v>218730</v>
      </c>
    </row>
    <row r="419" spans="1:9" hidden="1" x14ac:dyDescent="0.3">
      <c r="A419" t="s">
        <v>350</v>
      </c>
      <c r="B419" t="s">
        <v>92</v>
      </c>
      <c r="C419" t="s">
        <v>151</v>
      </c>
      <c r="D419" s="2">
        <v>0</v>
      </c>
      <c r="E419" s="2">
        <v>0</v>
      </c>
      <c r="F419" s="2">
        <v>0</v>
      </c>
      <c r="G419" s="2">
        <v>0</v>
      </c>
      <c r="H419" s="2">
        <v>0</v>
      </c>
      <c r="I419" s="2">
        <v>0</v>
      </c>
    </row>
    <row r="420" spans="1:9" hidden="1" x14ac:dyDescent="0.3">
      <c r="A420" t="s">
        <v>350</v>
      </c>
      <c r="B420" t="s">
        <v>92</v>
      </c>
      <c r="C420" t="s">
        <v>152</v>
      </c>
      <c r="D420" s="2">
        <v>0</v>
      </c>
      <c r="E420" s="2">
        <v>0</v>
      </c>
      <c r="F420" s="2">
        <v>0</v>
      </c>
      <c r="G420" s="2">
        <v>0</v>
      </c>
      <c r="H420" s="2">
        <v>0</v>
      </c>
      <c r="I420" s="2">
        <v>0</v>
      </c>
    </row>
    <row r="421" spans="1:9" hidden="1" x14ac:dyDescent="0.3">
      <c r="A421" t="s">
        <v>350</v>
      </c>
      <c r="B421" t="s">
        <v>92</v>
      </c>
      <c r="C421" t="s">
        <v>153</v>
      </c>
      <c r="D421" s="2">
        <v>0</v>
      </c>
      <c r="E421" s="2">
        <v>0</v>
      </c>
      <c r="F421" s="2">
        <v>0</v>
      </c>
      <c r="G421" s="2">
        <v>0</v>
      </c>
      <c r="H421" s="2">
        <v>0</v>
      </c>
      <c r="I421" s="2">
        <v>0</v>
      </c>
    </row>
    <row r="422" spans="1:9" hidden="1" x14ac:dyDescent="0.3">
      <c r="A422" t="s">
        <v>350</v>
      </c>
      <c r="B422" t="s">
        <v>92</v>
      </c>
      <c r="C422" t="s">
        <v>124</v>
      </c>
      <c r="D422" s="2">
        <v>0</v>
      </c>
      <c r="E422" s="2">
        <v>0</v>
      </c>
      <c r="F422" s="2">
        <v>0</v>
      </c>
      <c r="G422" s="2">
        <v>0</v>
      </c>
      <c r="H422" s="2">
        <v>0</v>
      </c>
      <c r="I422" s="2">
        <v>0</v>
      </c>
    </row>
    <row r="423" spans="1:9" hidden="1" x14ac:dyDescent="0.3">
      <c r="A423" t="s">
        <v>350</v>
      </c>
      <c r="B423" t="s">
        <v>92</v>
      </c>
      <c r="C423" t="s">
        <v>125</v>
      </c>
      <c r="D423" s="2">
        <v>32442.47</v>
      </c>
      <c r="E423" s="2">
        <v>34636.14</v>
      </c>
      <c r="F423" s="2">
        <v>81179.7</v>
      </c>
      <c r="G423" s="2">
        <v>108340.24</v>
      </c>
      <c r="H423" s="2">
        <v>58756.480000000003</v>
      </c>
      <c r="I423" s="2">
        <v>44870.97</v>
      </c>
    </row>
    <row r="424" spans="1:9" hidden="1" x14ac:dyDescent="0.3">
      <c r="A424" t="s">
        <v>350</v>
      </c>
      <c r="B424" t="s">
        <v>92</v>
      </c>
      <c r="C424" t="s">
        <v>126</v>
      </c>
      <c r="D424" s="2">
        <v>1309615.44</v>
      </c>
      <c r="E424" s="2">
        <v>1168328.81</v>
      </c>
      <c r="F424" s="2">
        <v>1090160.72</v>
      </c>
      <c r="G424" s="2">
        <v>1069740.92</v>
      </c>
      <c r="H424" s="2">
        <v>1021412.31</v>
      </c>
      <c r="I424" s="2">
        <v>926837.57</v>
      </c>
    </row>
    <row r="425" spans="1:9" hidden="1" x14ac:dyDescent="0.3">
      <c r="A425" t="s">
        <v>350</v>
      </c>
      <c r="B425" t="s">
        <v>92</v>
      </c>
      <c r="C425" t="s">
        <v>127</v>
      </c>
      <c r="D425" s="2">
        <v>989146.27</v>
      </c>
      <c r="E425" s="2">
        <v>869208.8</v>
      </c>
      <c r="F425" s="2">
        <v>770502.69</v>
      </c>
      <c r="G425" s="2">
        <v>752115.68</v>
      </c>
      <c r="H425" s="2">
        <v>700250.29</v>
      </c>
      <c r="I425" s="2">
        <v>661205.43000000005</v>
      </c>
    </row>
    <row r="426" spans="1:9" hidden="1" x14ac:dyDescent="0.3">
      <c r="A426" t="s">
        <v>350</v>
      </c>
      <c r="B426" t="s">
        <v>92</v>
      </c>
      <c r="C426" t="s">
        <v>128</v>
      </c>
      <c r="D426" s="2">
        <v>989146.27</v>
      </c>
      <c r="E426" s="2">
        <v>869208.8</v>
      </c>
      <c r="F426" s="2">
        <v>770502.69</v>
      </c>
      <c r="G426" s="2">
        <v>752115.68</v>
      </c>
      <c r="H426" s="2">
        <v>700250.29</v>
      </c>
      <c r="I426" s="2">
        <v>661205.43000000005</v>
      </c>
    </row>
    <row r="427" spans="1:9" hidden="1" x14ac:dyDescent="0.3">
      <c r="A427" t="s">
        <v>350</v>
      </c>
      <c r="B427" t="s">
        <v>92</v>
      </c>
      <c r="C427" t="s">
        <v>129</v>
      </c>
      <c r="D427" s="2">
        <v>321621.09999999998</v>
      </c>
      <c r="E427" s="2">
        <v>321621.09999999998</v>
      </c>
      <c r="F427" s="2">
        <v>321621.09999999998</v>
      </c>
      <c r="G427" s="2">
        <v>321621.09999999998</v>
      </c>
      <c r="H427" s="2">
        <v>321621.09999999998</v>
      </c>
      <c r="I427" s="2">
        <v>321621.09999999998</v>
      </c>
    </row>
    <row r="428" spans="1:9" hidden="1" x14ac:dyDescent="0.3">
      <c r="A428" t="s">
        <v>350</v>
      </c>
      <c r="B428" t="s">
        <v>92</v>
      </c>
      <c r="C428" t="s">
        <v>130</v>
      </c>
      <c r="D428" s="2">
        <v>0</v>
      </c>
      <c r="E428" s="2">
        <v>0</v>
      </c>
      <c r="F428" s="2">
        <v>0</v>
      </c>
      <c r="G428" s="2">
        <v>0</v>
      </c>
      <c r="H428" s="2">
        <v>0</v>
      </c>
      <c r="I428" s="2">
        <v>0</v>
      </c>
    </row>
    <row r="429" spans="1:9" hidden="1" x14ac:dyDescent="0.3">
      <c r="A429" t="s">
        <v>350</v>
      </c>
      <c r="B429" t="s">
        <v>92</v>
      </c>
      <c r="C429" t="s">
        <v>131</v>
      </c>
      <c r="D429" s="2">
        <v>547592.31000000006</v>
      </c>
      <c r="E429" s="2">
        <v>448881.6</v>
      </c>
      <c r="F429" s="2">
        <v>430494.58</v>
      </c>
      <c r="G429" s="2">
        <v>392026.46</v>
      </c>
      <c r="H429" s="2">
        <v>339584.34</v>
      </c>
      <c r="I429" s="2">
        <v>230077.32</v>
      </c>
    </row>
    <row r="430" spans="1:9" hidden="1" x14ac:dyDescent="0.3">
      <c r="A430" t="s">
        <v>350</v>
      </c>
      <c r="B430" t="s">
        <v>92</v>
      </c>
      <c r="C430" t="s">
        <v>132</v>
      </c>
      <c r="D430" s="2">
        <v>119932.86</v>
      </c>
      <c r="E430" s="2">
        <v>98706.11</v>
      </c>
      <c r="F430" s="2">
        <v>18387.009999999998</v>
      </c>
      <c r="G430" s="2">
        <v>38468.120000000003</v>
      </c>
      <c r="H430" s="2">
        <v>39044.85</v>
      </c>
      <c r="I430" s="2">
        <v>109507.01</v>
      </c>
    </row>
    <row r="431" spans="1:9" hidden="1" x14ac:dyDescent="0.3">
      <c r="A431" t="s">
        <v>350</v>
      </c>
      <c r="B431" t="s">
        <v>92</v>
      </c>
      <c r="C431" t="s">
        <v>159</v>
      </c>
      <c r="D431" s="2">
        <v>0</v>
      </c>
      <c r="E431" s="2">
        <v>0</v>
      </c>
      <c r="F431" s="2">
        <v>0</v>
      </c>
      <c r="G431" s="2">
        <v>0</v>
      </c>
      <c r="H431" s="2">
        <v>0</v>
      </c>
      <c r="I431" s="2">
        <v>0</v>
      </c>
    </row>
    <row r="432" spans="1:9" hidden="1" x14ac:dyDescent="0.3">
      <c r="A432" t="s">
        <v>350</v>
      </c>
      <c r="B432" t="s">
        <v>92</v>
      </c>
      <c r="C432" t="s">
        <v>133</v>
      </c>
      <c r="D432" s="2">
        <v>320469.17</v>
      </c>
      <c r="E432" s="2">
        <v>299120.01</v>
      </c>
      <c r="F432" s="2">
        <v>319658.03000000003</v>
      </c>
      <c r="G432" s="2">
        <v>317625.24</v>
      </c>
      <c r="H432" s="2">
        <v>321162.03000000003</v>
      </c>
      <c r="I432" s="2">
        <v>265632.13</v>
      </c>
    </row>
    <row r="433" spans="1:9" hidden="1" x14ac:dyDescent="0.3">
      <c r="A433" t="s">
        <v>350</v>
      </c>
      <c r="B433" t="s">
        <v>92</v>
      </c>
      <c r="C433" t="s">
        <v>134</v>
      </c>
      <c r="D433" s="2">
        <v>127401.09</v>
      </c>
      <c r="E433" s="2">
        <v>134207.54</v>
      </c>
      <c r="F433" s="2">
        <v>131874.28</v>
      </c>
      <c r="G433" s="2">
        <v>139203.69</v>
      </c>
      <c r="H433" s="2">
        <v>151386.66</v>
      </c>
      <c r="I433" s="2">
        <v>121317.85</v>
      </c>
    </row>
    <row r="434" spans="1:9" hidden="1" x14ac:dyDescent="0.3">
      <c r="A434" t="s">
        <v>350</v>
      </c>
      <c r="B434" t="s">
        <v>92</v>
      </c>
      <c r="C434" t="s">
        <v>160</v>
      </c>
      <c r="D434" s="2">
        <v>97983.24</v>
      </c>
      <c r="E434" s="2">
        <v>92208.5</v>
      </c>
      <c r="F434" s="2">
        <v>91807.11</v>
      </c>
      <c r="G434" s="2">
        <v>93937.42</v>
      </c>
      <c r="H434" s="2">
        <v>95547.83</v>
      </c>
      <c r="I434" s="2">
        <v>63077.41</v>
      </c>
    </row>
    <row r="435" spans="1:9" hidden="1" x14ac:dyDescent="0.3">
      <c r="A435" t="s">
        <v>350</v>
      </c>
      <c r="B435" t="s">
        <v>92</v>
      </c>
      <c r="C435" t="s">
        <v>135</v>
      </c>
      <c r="D435" s="2">
        <v>28374.080000000002</v>
      </c>
      <c r="E435" s="2">
        <v>41900.120000000003</v>
      </c>
      <c r="F435" s="2">
        <v>38372.78</v>
      </c>
      <c r="G435" s="2">
        <v>39270.980000000003</v>
      </c>
      <c r="H435" s="2">
        <v>52326.32</v>
      </c>
      <c r="I435" s="2">
        <v>53802.73</v>
      </c>
    </row>
    <row r="436" spans="1:9" hidden="1" x14ac:dyDescent="0.3">
      <c r="A436" t="s">
        <v>350</v>
      </c>
      <c r="B436" t="s">
        <v>92</v>
      </c>
      <c r="C436" t="s">
        <v>137</v>
      </c>
      <c r="D436" s="2">
        <v>193068.08</v>
      </c>
      <c r="E436" s="2">
        <v>164912.47</v>
      </c>
      <c r="F436" s="2">
        <v>187783.75</v>
      </c>
      <c r="G436" s="2">
        <v>178421.55</v>
      </c>
      <c r="H436" s="2">
        <v>169775.35999999999</v>
      </c>
      <c r="I436" s="2">
        <v>144314.28</v>
      </c>
    </row>
    <row r="437" spans="1:9" hidden="1" x14ac:dyDescent="0.3">
      <c r="A437" t="s">
        <v>350</v>
      </c>
      <c r="B437" t="s">
        <v>92</v>
      </c>
      <c r="C437" t="s">
        <v>155</v>
      </c>
      <c r="D437" s="2">
        <v>0</v>
      </c>
      <c r="E437" s="2">
        <v>0</v>
      </c>
      <c r="F437" s="2">
        <v>0</v>
      </c>
      <c r="G437" s="2">
        <v>0</v>
      </c>
      <c r="H437" s="2">
        <v>0</v>
      </c>
      <c r="I437" s="2">
        <v>0</v>
      </c>
    </row>
    <row r="438" spans="1:9" hidden="1" x14ac:dyDescent="0.3">
      <c r="A438" t="s">
        <v>350</v>
      </c>
      <c r="B438" t="s">
        <v>92</v>
      </c>
      <c r="C438" t="s">
        <v>138</v>
      </c>
      <c r="D438" s="2">
        <v>184931.72</v>
      </c>
      <c r="E438" s="2">
        <v>142482.21</v>
      </c>
      <c r="F438" s="2">
        <v>152427.84</v>
      </c>
      <c r="G438" s="2">
        <v>146949.74</v>
      </c>
      <c r="H438" s="2">
        <v>144603.29999999999</v>
      </c>
      <c r="I438" s="2">
        <v>140854.31</v>
      </c>
    </row>
    <row r="439" spans="1:9" hidden="1" x14ac:dyDescent="0.3">
      <c r="A439" t="s">
        <v>350</v>
      </c>
      <c r="B439" t="s">
        <v>92</v>
      </c>
      <c r="C439" t="s">
        <v>139</v>
      </c>
      <c r="D439" s="2">
        <v>178289.8</v>
      </c>
      <c r="E439" s="2">
        <v>136365.12</v>
      </c>
      <c r="F439" s="2">
        <v>146820.66</v>
      </c>
      <c r="G439" s="2">
        <v>140817.18</v>
      </c>
      <c r="H439" s="2">
        <v>139434.65</v>
      </c>
      <c r="I439" s="2">
        <v>127167.63</v>
      </c>
    </row>
    <row r="440" spans="1:9" hidden="1" x14ac:dyDescent="0.3">
      <c r="A440" t="s">
        <v>350</v>
      </c>
      <c r="B440" t="s">
        <v>92</v>
      </c>
      <c r="C440" t="s">
        <v>156</v>
      </c>
      <c r="D440" s="2">
        <v>0</v>
      </c>
      <c r="E440" s="2">
        <v>0</v>
      </c>
      <c r="F440" s="2">
        <v>0</v>
      </c>
      <c r="G440" s="2">
        <v>0</v>
      </c>
      <c r="H440" s="2">
        <v>0</v>
      </c>
      <c r="I440" s="2">
        <v>0</v>
      </c>
    </row>
    <row r="441" spans="1:9" hidden="1" x14ac:dyDescent="0.3">
      <c r="A441" t="s">
        <v>350</v>
      </c>
      <c r="B441" t="s">
        <v>92</v>
      </c>
      <c r="C441" t="s">
        <v>140</v>
      </c>
      <c r="D441" s="2">
        <v>6641.92</v>
      </c>
      <c r="E441" s="2">
        <v>6117.09</v>
      </c>
      <c r="F441" s="2">
        <v>5607.18</v>
      </c>
      <c r="G441" s="2">
        <v>6132.56</v>
      </c>
      <c r="H441" s="2">
        <v>5168.6499999999996</v>
      </c>
      <c r="I441" s="2">
        <v>13686.68</v>
      </c>
    </row>
    <row r="442" spans="1:9" hidden="1" x14ac:dyDescent="0.3">
      <c r="A442" t="s">
        <v>350</v>
      </c>
      <c r="B442" t="s">
        <v>92</v>
      </c>
      <c r="C442" t="s">
        <v>141</v>
      </c>
      <c r="D442" s="2">
        <v>0</v>
      </c>
      <c r="E442" s="2">
        <v>2430.2600000000002</v>
      </c>
      <c r="F442" s="2">
        <v>207.9</v>
      </c>
      <c r="G442" s="2">
        <v>0</v>
      </c>
      <c r="H442" s="2">
        <v>4538.2700000000004</v>
      </c>
      <c r="I442" s="2">
        <v>1.92</v>
      </c>
    </row>
    <row r="443" spans="1:9" hidden="1" x14ac:dyDescent="0.3">
      <c r="A443" t="s">
        <v>350</v>
      </c>
      <c r="B443" t="s">
        <v>92</v>
      </c>
      <c r="C443" t="s">
        <v>157</v>
      </c>
      <c r="D443" s="2">
        <v>0</v>
      </c>
      <c r="E443" s="2">
        <v>0</v>
      </c>
      <c r="F443" s="2">
        <v>0</v>
      </c>
      <c r="G443" s="2">
        <v>0</v>
      </c>
      <c r="H443" s="2">
        <v>0</v>
      </c>
      <c r="I443" s="2">
        <v>0</v>
      </c>
    </row>
    <row r="444" spans="1:9" hidden="1" x14ac:dyDescent="0.3">
      <c r="A444" t="s">
        <v>350</v>
      </c>
      <c r="B444" t="s">
        <v>92</v>
      </c>
      <c r="C444" t="s">
        <v>101</v>
      </c>
      <c r="D444" s="2">
        <v>0</v>
      </c>
      <c r="E444" s="2">
        <v>0</v>
      </c>
      <c r="F444" s="2">
        <v>0</v>
      </c>
      <c r="G444" s="2">
        <v>0</v>
      </c>
      <c r="H444" s="2">
        <v>0</v>
      </c>
      <c r="I444" s="2">
        <v>0</v>
      </c>
    </row>
    <row r="445" spans="1:9" hidden="1" x14ac:dyDescent="0.3">
      <c r="A445" t="s">
        <v>350</v>
      </c>
      <c r="B445" t="s">
        <v>92</v>
      </c>
      <c r="C445" t="s">
        <v>158</v>
      </c>
      <c r="D445" s="2">
        <v>0</v>
      </c>
      <c r="E445" s="2">
        <v>0</v>
      </c>
      <c r="F445" s="2">
        <v>0</v>
      </c>
      <c r="G445" s="2">
        <v>0</v>
      </c>
      <c r="H445" s="2">
        <v>0</v>
      </c>
      <c r="I445" s="2">
        <v>0</v>
      </c>
    </row>
    <row r="446" spans="1:9" hidden="1" x14ac:dyDescent="0.3">
      <c r="A446" t="s">
        <v>350</v>
      </c>
      <c r="B446" t="s">
        <v>92</v>
      </c>
      <c r="C446" t="s">
        <v>108</v>
      </c>
      <c r="D446" s="2">
        <v>-2595.9499999999998</v>
      </c>
      <c r="E446" s="2">
        <v>-3804.85</v>
      </c>
      <c r="F446" s="2">
        <v>-3881.94</v>
      </c>
      <c r="G446" s="2">
        <v>-4197.6000000000004</v>
      </c>
      <c r="H446" s="2">
        <v>-1917.48</v>
      </c>
      <c r="I446" s="2">
        <v>-1022.67</v>
      </c>
    </row>
    <row r="447" spans="1:9" hidden="1" x14ac:dyDescent="0.3">
      <c r="A447" t="s">
        <v>350</v>
      </c>
      <c r="B447" t="s">
        <v>92</v>
      </c>
      <c r="C447" t="s">
        <v>154</v>
      </c>
      <c r="D447" s="2">
        <v>0</v>
      </c>
      <c r="E447" s="2">
        <v>0</v>
      </c>
      <c r="F447" s="2">
        <v>0</v>
      </c>
      <c r="G447" s="2">
        <v>0</v>
      </c>
      <c r="H447" s="2">
        <v>0</v>
      </c>
      <c r="I447" s="2">
        <v>0</v>
      </c>
    </row>
    <row r="448" spans="1:9" hidden="1" x14ac:dyDescent="0.3">
      <c r="A448" t="s">
        <v>350</v>
      </c>
      <c r="B448" t="s">
        <v>92</v>
      </c>
      <c r="C448" t="s">
        <v>119</v>
      </c>
      <c r="D448" s="2">
        <v>138047.04000000001</v>
      </c>
      <c r="E448" s="2">
        <v>99104.34</v>
      </c>
      <c r="F448" s="2">
        <v>226514.2</v>
      </c>
      <c r="G448" s="2">
        <v>80268.53</v>
      </c>
      <c r="H448" s="2">
        <v>52696.78</v>
      </c>
      <c r="I448" s="2">
        <v>60448.93</v>
      </c>
    </row>
    <row r="449" spans="1:9" hidden="1" x14ac:dyDescent="0.3">
      <c r="A449" t="s">
        <v>350</v>
      </c>
      <c r="B449" t="s">
        <v>92</v>
      </c>
      <c r="C449" t="s">
        <v>161</v>
      </c>
      <c r="D449" s="2">
        <v>0</v>
      </c>
      <c r="E449" s="2">
        <v>0</v>
      </c>
      <c r="F449" s="2">
        <v>0</v>
      </c>
      <c r="G449" s="2">
        <v>0</v>
      </c>
      <c r="H449" s="2">
        <v>0</v>
      </c>
      <c r="I449" s="2">
        <v>0</v>
      </c>
    </row>
    <row r="450" spans="1:9" hidden="1" x14ac:dyDescent="0.3">
      <c r="A450" t="s">
        <v>350</v>
      </c>
      <c r="B450" t="s">
        <v>92</v>
      </c>
      <c r="C450" t="s">
        <v>162</v>
      </c>
      <c r="D450" s="2">
        <v>0</v>
      </c>
      <c r="E450" s="2">
        <v>0</v>
      </c>
      <c r="F450" s="2">
        <v>0</v>
      </c>
      <c r="G450" s="2">
        <v>0</v>
      </c>
      <c r="H450" s="2">
        <v>0</v>
      </c>
      <c r="I450" s="2">
        <v>0</v>
      </c>
    </row>
    <row r="451" spans="1:9" hidden="1" x14ac:dyDescent="0.3">
      <c r="A451" t="s">
        <v>350</v>
      </c>
      <c r="B451" t="s">
        <v>92</v>
      </c>
      <c r="C451" t="s">
        <v>136</v>
      </c>
      <c r="D451" s="2">
        <v>1043.78</v>
      </c>
      <c r="E451" s="2">
        <v>98.91</v>
      </c>
      <c r="F451" s="2">
        <v>265.81</v>
      </c>
      <c r="G451" s="2">
        <v>3138.14</v>
      </c>
      <c r="H451" s="2">
        <v>271.73</v>
      </c>
      <c r="I451" s="2">
        <v>449.6</v>
      </c>
    </row>
    <row r="452" spans="1:9" hidden="1" x14ac:dyDescent="0.3">
      <c r="A452" t="s">
        <v>349</v>
      </c>
      <c r="B452" t="s">
        <v>92</v>
      </c>
      <c r="C452" t="s">
        <v>99</v>
      </c>
      <c r="D452" s="2">
        <v>679878.78</v>
      </c>
      <c r="E452" s="2">
        <v>488088</v>
      </c>
      <c r="F452" s="2">
        <v>370099.5</v>
      </c>
      <c r="G452" s="2">
        <v>319515.21000000002</v>
      </c>
      <c r="H452" s="2">
        <v>255307.71</v>
      </c>
      <c r="I452" s="2">
        <v>249958.64</v>
      </c>
    </row>
    <row r="453" spans="1:9" hidden="1" x14ac:dyDescent="0.3">
      <c r="A453" t="s">
        <v>349</v>
      </c>
      <c r="B453" t="s">
        <v>92</v>
      </c>
      <c r="C453" t="s">
        <v>142</v>
      </c>
      <c r="D453" s="2">
        <v>679878.78</v>
      </c>
      <c r="E453" s="2">
        <v>488088</v>
      </c>
      <c r="F453" s="2">
        <v>370099.5</v>
      </c>
      <c r="G453" s="2">
        <v>319515.21000000002</v>
      </c>
      <c r="H453" s="2">
        <v>255307.71</v>
      </c>
      <c r="I453" s="2">
        <v>249958.64</v>
      </c>
    </row>
    <row r="454" spans="1:9" hidden="1" x14ac:dyDescent="0.3">
      <c r="A454" t="s">
        <v>349</v>
      </c>
      <c r="B454" t="s">
        <v>92</v>
      </c>
      <c r="C454" t="s">
        <v>102</v>
      </c>
      <c r="D454" s="2">
        <v>-25647.47</v>
      </c>
      <c r="E454" s="2">
        <v>-15598.44</v>
      </c>
      <c r="F454" s="2">
        <v>-13967.66</v>
      </c>
      <c r="G454" s="2">
        <v>-10651.35</v>
      </c>
      <c r="H454" s="2">
        <v>-6511.67</v>
      </c>
      <c r="I454" s="2">
        <v>-6889.83</v>
      </c>
    </row>
    <row r="455" spans="1:9" hidden="1" x14ac:dyDescent="0.3">
      <c r="A455" t="s">
        <v>349</v>
      </c>
      <c r="B455" t="s">
        <v>92</v>
      </c>
      <c r="C455" t="s">
        <v>143</v>
      </c>
      <c r="D455" s="2">
        <v>-40125.96</v>
      </c>
      <c r="E455" s="2">
        <v>-26908.75</v>
      </c>
      <c r="F455" s="2">
        <v>-20996.45</v>
      </c>
      <c r="G455" s="2">
        <v>-17736.62</v>
      </c>
      <c r="H455" s="2">
        <v>-16742.060000000001</v>
      </c>
      <c r="I455" s="2">
        <v>-14763.97</v>
      </c>
    </row>
    <row r="456" spans="1:9" hidden="1" x14ac:dyDescent="0.3">
      <c r="A456" t="s">
        <v>349</v>
      </c>
      <c r="B456" t="s">
        <v>92</v>
      </c>
      <c r="C456" t="s">
        <v>144</v>
      </c>
      <c r="D456" s="2">
        <v>-244.83</v>
      </c>
      <c r="E456" s="2">
        <v>-135.94999999999999</v>
      </c>
      <c r="F456" s="2">
        <v>-98.91</v>
      </c>
      <c r="G456" s="2">
        <v>-11.61</v>
      </c>
      <c r="H456" s="2">
        <v>-69.77</v>
      </c>
      <c r="I456" s="2">
        <v>-214.01</v>
      </c>
    </row>
    <row r="457" spans="1:9" hidden="1" x14ac:dyDescent="0.3">
      <c r="A457" t="s">
        <v>349</v>
      </c>
      <c r="B457" t="s">
        <v>92</v>
      </c>
      <c r="C457" t="s">
        <v>145</v>
      </c>
      <c r="D457" s="2">
        <v>-2529.44</v>
      </c>
      <c r="E457" s="2">
        <v>-1859.7</v>
      </c>
      <c r="F457" s="2">
        <v>-1618.89</v>
      </c>
      <c r="G457" s="2">
        <v>-1272.68</v>
      </c>
      <c r="H457" s="2">
        <v>-1028.71</v>
      </c>
      <c r="I457" s="2">
        <v>-965.15</v>
      </c>
    </row>
    <row r="458" spans="1:9" hidden="1" x14ac:dyDescent="0.3">
      <c r="A458" t="s">
        <v>349</v>
      </c>
      <c r="B458" t="s">
        <v>92</v>
      </c>
      <c r="C458" t="s">
        <v>100</v>
      </c>
      <c r="D458" s="2">
        <v>-429049.66</v>
      </c>
      <c r="E458" s="2">
        <v>-330520</v>
      </c>
      <c r="F458" s="2">
        <v>-261390.91</v>
      </c>
      <c r="G458" s="2">
        <v>-222855.27</v>
      </c>
      <c r="H458" s="2">
        <v>-182535.69</v>
      </c>
      <c r="I458" s="2">
        <v>-176542.56</v>
      </c>
    </row>
    <row r="459" spans="1:9" hidden="1" x14ac:dyDescent="0.3">
      <c r="A459" t="s">
        <v>349</v>
      </c>
      <c r="B459" t="s">
        <v>92</v>
      </c>
      <c r="C459" t="s">
        <v>103</v>
      </c>
      <c r="D459" s="2">
        <v>-2530.83</v>
      </c>
      <c r="E459" s="2">
        <v>-2222.11</v>
      </c>
      <c r="F459" s="2">
        <v>-1691.54</v>
      </c>
      <c r="G459" s="2">
        <v>-1492.72</v>
      </c>
      <c r="H459" s="2">
        <v>-1213.8800000000001</v>
      </c>
      <c r="I459" s="2">
        <v>-1241.51</v>
      </c>
    </row>
    <row r="460" spans="1:9" hidden="1" x14ac:dyDescent="0.3">
      <c r="A460" t="s">
        <v>349</v>
      </c>
      <c r="B460" t="s">
        <v>92</v>
      </c>
      <c r="C460" t="s">
        <v>104</v>
      </c>
      <c r="D460" s="2">
        <v>175059.22</v>
      </c>
      <c r="E460" s="2">
        <v>110416.81</v>
      </c>
      <c r="F460" s="2">
        <v>70072.19</v>
      </c>
      <c r="G460" s="2">
        <v>65309.599999999999</v>
      </c>
      <c r="H460" s="2">
        <v>47006.44</v>
      </c>
      <c r="I460" s="2">
        <v>49262.87</v>
      </c>
    </row>
    <row r="461" spans="1:9" hidden="1" x14ac:dyDescent="0.3">
      <c r="A461" t="s">
        <v>349</v>
      </c>
      <c r="B461" t="s">
        <v>92</v>
      </c>
      <c r="C461" t="s">
        <v>105</v>
      </c>
      <c r="D461" s="2">
        <v>177590.05</v>
      </c>
      <c r="E461" s="2">
        <v>112638.92</v>
      </c>
      <c r="F461" s="2">
        <v>71763.740000000005</v>
      </c>
      <c r="G461" s="2">
        <v>66802.320000000007</v>
      </c>
      <c r="H461" s="2">
        <v>48220.32</v>
      </c>
      <c r="I461" s="2">
        <v>50504.37</v>
      </c>
    </row>
    <row r="462" spans="1:9" hidden="1" x14ac:dyDescent="0.3">
      <c r="A462" t="s">
        <v>349</v>
      </c>
      <c r="B462" t="s">
        <v>92</v>
      </c>
      <c r="C462" t="s">
        <v>106</v>
      </c>
      <c r="D462" s="2">
        <v>-22949.57</v>
      </c>
      <c r="E462" s="2">
        <v>-26274.94</v>
      </c>
      <c r="F462" s="2">
        <v>-15800.36</v>
      </c>
      <c r="G462" s="2">
        <v>-6016.34</v>
      </c>
      <c r="H462" s="2">
        <v>-4724.4799999999996</v>
      </c>
      <c r="I462" s="2">
        <v>-4948.83</v>
      </c>
    </row>
    <row r="463" spans="1:9" hidden="1" x14ac:dyDescent="0.3">
      <c r="A463" t="s">
        <v>349</v>
      </c>
      <c r="B463" t="s">
        <v>92</v>
      </c>
      <c r="C463" t="s">
        <v>107</v>
      </c>
      <c r="D463" s="2">
        <v>-22949.57</v>
      </c>
      <c r="E463" s="2">
        <v>-26274.94</v>
      </c>
      <c r="F463" s="2">
        <v>-15800.36</v>
      </c>
      <c r="G463" s="2">
        <v>-6016.34</v>
      </c>
      <c r="H463" s="2">
        <v>-4724.4799999999996</v>
      </c>
      <c r="I463" s="2">
        <v>-4948.83</v>
      </c>
    </row>
    <row r="464" spans="1:9" hidden="1" x14ac:dyDescent="0.3">
      <c r="A464" t="s">
        <v>349</v>
      </c>
      <c r="B464" t="s">
        <v>92</v>
      </c>
      <c r="C464" t="s">
        <v>146</v>
      </c>
      <c r="D464" s="2">
        <v>-22949.57</v>
      </c>
      <c r="E464" s="2">
        <v>-26274.94</v>
      </c>
      <c r="F464" s="2">
        <v>-15800.36</v>
      </c>
      <c r="G464" s="2">
        <v>-6016.34</v>
      </c>
      <c r="H464" s="2">
        <v>-4724.4799999999996</v>
      </c>
      <c r="I464" s="2">
        <v>-4948.83</v>
      </c>
    </row>
    <row r="465" spans="1:9" hidden="1" x14ac:dyDescent="0.3">
      <c r="A465" t="s">
        <v>349</v>
      </c>
      <c r="B465" t="s">
        <v>92</v>
      </c>
      <c r="C465" t="s">
        <v>109</v>
      </c>
      <c r="D465" s="2">
        <v>-1686.21</v>
      </c>
      <c r="E465" s="2">
        <v>7774.47</v>
      </c>
      <c r="F465" s="2">
        <v>16009.44</v>
      </c>
      <c r="G465" s="2">
        <v>3265.35</v>
      </c>
      <c r="H465" s="2">
        <v>4568.43</v>
      </c>
      <c r="I465" s="2">
        <v>668.15</v>
      </c>
    </row>
    <row r="466" spans="1:9" hidden="1" x14ac:dyDescent="0.3">
      <c r="A466" t="s">
        <v>349</v>
      </c>
      <c r="B466" t="s">
        <v>92</v>
      </c>
      <c r="C466" t="s">
        <v>110</v>
      </c>
      <c r="D466" s="2">
        <v>21058.83</v>
      </c>
      <c r="E466" s="2">
        <v>23018.35</v>
      </c>
      <c r="F466" s="2">
        <v>24339.33</v>
      </c>
      <c r="G466" s="2">
        <v>7954.71</v>
      </c>
      <c r="H466" s="2">
        <v>9666.8799999999992</v>
      </c>
      <c r="I466" s="2">
        <v>11614.19</v>
      </c>
    </row>
    <row r="467" spans="1:9" hidden="1" x14ac:dyDescent="0.3">
      <c r="A467" t="s">
        <v>349</v>
      </c>
      <c r="B467" t="s">
        <v>92</v>
      </c>
      <c r="C467" t="s">
        <v>111</v>
      </c>
      <c r="D467" s="2">
        <v>-22745.040000000001</v>
      </c>
      <c r="E467" s="2">
        <v>-15243.88</v>
      </c>
      <c r="F467" s="2">
        <v>-8329.89</v>
      </c>
      <c r="G467" s="2">
        <v>-4689.37</v>
      </c>
      <c r="H467" s="2">
        <v>-5098.45</v>
      </c>
      <c r="I467" s="2">
        <v>-10946.05</v>
      </c>
    </row>
    <row r="468" spans="1:9" hidden="1" x14ac:dyDescent="0.3">
      <c r="A468" t="s">
        <v>349</v>
      </c>
      <c r="B468" t="s">
        <v>92</v>
      </c>
      <c r="C468" t="s">
        <v>112</v>
      </c>
      <c r="D468" s="2">
        <v>150423.44</v>
      </c>
      <c r="E468" s="2">
        <v>91916.6</v>
      </c>
      <c r="F468" s="2">
        <v>70281.279999999999</v>
      </c>
      <c r="G468" s="2">
        <v>62558.61</v>
      </c>
      <c r="H468" s="2">
        <v>46850.39</v>
      </c>
      <c r="I468" s="2">
        <v>44982.19</v>
      </c>
    </row>
    <row r="469" spans="1:9" hidden="1" x14ac:dyDescent="0.3">
      <c r="A469" t="s">
        <v>349</v>
      </c>
      <c r="B469" t="s">
        <v>92</v>
      </c>
      <c r="C469" t="s">
        <v>113</v>
      </c>
      <c r="D469" s="2">
        <v>-55106.41</v>
      </c>
      <c r="E469" s="2">
        <v>-33520.910000000003</v>
      </c>
      <c r="F469" s="2">
        <v>-26350.42</v>
      </c>
      <c r="G469" s="2">
        <v>-21759.3</v>
      </c>
      <c r="H469" s="2">
        <v>-13771.11</v>
      </c>
      <c r="I469" s="2">
        <v>-13226.47</v>
      </c>
    </row>
    <row r="470" spans="1:9" hidden="1" x14ac:dyDescent="0.3">
      <c r="A470" t="s">
        <v>349</v>
      </c>
      <c r="B470" t="s">
        <v>92</v>
      </c>
      <c r="C470" t="s">
        <v>114</v>
      </c>
      <c r="D470" s="2">
        <v>95317.03</v>
      </c>
      <c r="E470" s="2">
        <v>58395.69</v>
      </c>
      <c r="F470" s="2">
        <v>43930.85</v>
      </c>
      <c r="G470" s="2">
        <v>40799.31</v>
      </c>
      <c r="H470" s="2">
        <v>33079.279999999999</v>
      </c>
      <c r="I470" s="2">
        <v>31755.72</v>
      </c>
    </row>
    <row r="471" spans="1:9" hidden="1" x14ac:dyDescent="0.3">
      <c r="A471" t="s">
        <v>349</v>
      </c>
      <c r="B471" t="s">
        <v>92</v>
      </c>
      <c r="C471" t="s">
        <v>115</v>
      </c>
      <c r="D471" s="2">
        <v>95317.03</v>
      </c>
      <c r="E471" s="2">
        <v>58395.69</v>
      </c>
      <c r="F471" s="2">
        <v>43930.85</v>
      </c>
      <c r="G471" s="2">
        <v>40799.31</v>
      </c>
      <c r="H471" s="2">
        <v>33079.279999999999</v>
      </c>
      <c r="I471" s="2">
        <v>31755.72</v>
      </c>
    </row>
    <row r="472" spans="1:9" hidden="1" x14ac:dyDescent="0.3">
      <c r="A472" t="s">
        <v>349</v>
      </c>
      <c r="B472" t="s">
        <v>92</v>
      </c>
      <c r="C472" t="s">
        <v>116</v>
      </c>
      <c r="D472" s="2">
        <v>654800.09</v>
      </c>
      <c r="E472" s="2">
        <v>519898</v>
      </c>
      <c r="F472" s="2">
        <v>421850.4</v>
      </c>
      <c r="G472" s="2">
        <v>413111.6</v>
      </c>
      <c r="H472" s="2">
        <v>329069.87</v>
      </c>
      <c r="I472" s="2">
        <v>292147.78999999998</v>
      </c>
    </row>
    <row r="473" spans="1:9" hidden="1" x14ac:dyDescent="0.3">
      <c r="A473" t="s">
        <v>349</v>
      </c>
      <c r="B473" t="s">
        <v>92</v>
      </c>
      <c r="C473" t="s">
        <v>117</v>
      </c>
      <c r="D473" s="2">
        <v>248434.79</v>
      </c>
      <c r="E473" s="2">
        <v>225291.66</v>
      </c>
      <c r="F473" s="2">
        <v>184988.14</v>
      </c>
      <c r="G473" s="2">
        <v>167224.26</v>
      </c>
      <c r="H473" s="2">
        <v>130964.31</v>
      </c>
      <c r="I473" s="2">
        <v>117086.43</v>
      </c>
    </row>
    <row r="474" spans="1:9" hidden="1" x14ac:dyDescent="0.3">
      <c r="A474" t="s">
        <v>349</v>
      </c>
      <c r="B474" t="s">
        <v>92</v>
      </c>
      <c r="C474" t="s">
        <v>118</v>
      </c>
      <c r="D474" s="2">
        <v>242857.38</v>
      </c>
      <c r="E474" s="2">
        <v>221640</v>
      </c>
      <c r="F474" s="2">
        <v>183758.56</v>
      </c>
      <c r="G474" s="2">
        <v>166259.69</v>
      </c>
      <c r="H474" s="2">
        <v>130512.25</v>
      </c>
      <c r="I474" s="2">
        <v>116303.79</v>
      </c>
    </row>
    <row r="475" spans="1:9" hidden="1" x14ac:dyDescent="0.3">
      <c r="A475" t="s">
        <v>349</v>
      </c>
      <c r="B475" t="s">
        <v>92</v>
      </c>
      <c r="C475" t="s">
        <v>147</v>
      </c>
      <c r="D475" s="2">
        <v>3537.61</v>
      </c>
      <c r="E475" s="2">
        <v>2571.15</v>
      </c>
      <c r="F475" s="2">
        <v>12.61</v>
      </c>
      <c r="G475" s="2">
        <v>16.3</v>
      </c>
      <c r="H475" s="2">
        <v>38.07</v>
      </c>
      <c r="I475" s="2">
        <v>207.9</v>
      </c>
    </row>
    <row r="476" spans="1:9" hidden="1" x14ac:dyDescent="0.3">
      <c r="A476" t="s">
        <v>349</v>
      </c>
      <c r="B476" t="s">
        <v>92</v>
      </c>
      <c r="C476" t="s">
        <v>148</v>
      </c>
      <c r="D476" s="2">
        <v>0</v>
      </c>
      <c r="E476" s="2">
        <v>0</v>
      </c>
      <c r="F476" s="2">
        <v>0</v>
      </c>
      <c r="G476" s="2">
        <v>0</v>
      </c>
      <c r="H476" s="2">
        <v>0</v>
      </c>
      <c r="I476" s="2">
        <v>0</v>
      </c>
    </row>
    <row r="477" spans="1:9" hidden="1" x14ac:dyDescent="0.3">
      <c r="A477" t="s">
        <v>349</v>
      </c>
      <c r="B477" t="s">
        <v>92</v>
      </c>
      <c r="C477" t="s">
        <v>120</v>
      </c>
      <c r="D477" s="2">
        <v>2039.8</v>
      </c>
      <c r="E477" s="2">
        <v>1080.51</v>
      </c>
      <c r="F477" s="2">
        <v>1216.97</v>
      </c>
      <c r="G477" s="2">
        <v>948.28</v>
      </c>
      <c r="H477" s="2">
        <v>413.99</v>
      </c>
      <c r="I477" s="2">
        <v>574.74</v>
      </c>
    </row>
    <row r="478" spans="1:9" hidden="1" x14ac:dyDescent="0.3">
      <c r="A478" t="s">
        <v>349</v>
      </c>
      <c r="B478" t="s">
        <v>92</v>
      </c>
      <c r="C478" t="s">
        <v>121</v>
      </c>
      <c r="D478" s="2">
        <v>406365.3</v>
      </c>
      <c r="E478" s="2">
        <v>294606.98</v>
      </c>
      <c r="F478" s="2">
        <v>236862.26</v>
      </c>
      <c r="G478" s="2">
        <v>245887.34</v>
      </c>
      <c r="H478" s="2">
        <v>198105.56</v>
      </c>
      <c r="I478" s="2">
        <v>175061.36</v>
      </c>
    </row>
    <row r="479" spans="1:9" hidden="1" x14ac:dyDescent="0.3">
      <c r="A479" t="s">
        <v>349</v>
      </c>
      <c r="B479" t="s">
        <v>92</v>
      </c>
      <c r="C479" t="s">
        <v>163</v>
      </c>
      <c r="D479" s="2">
        <v>15775.5</v>
      </c>
      <c r="E479" s="2">
        <v>17207.55</v>
      </c>
      <c r="F479" s="2">
        <v>10760.73</v>
      </c>
      <c r="G479" s="2">
        <v>8055.56</v>
      </c>
      <c r="H479" s="2">
        <v>9857.83</v>
      </c>
      <c r="I479" s="2">
        <v>10478.959999999999</v>
      </c>
    </row>
    <row r="480" spans="1:9" hidden="1" x14ac:dyDescent="0.3">
      <c r="A480" t="s">
        <v>349</v>
      </c>
      <c r="B480" t="s">
        <v>92</v>
      </c>
      <c r="C480" t="s">
        <v>164</v>
      </c>
      <c r="D480" s="2">
        <v>15775.5</v>
      </c>
      <c r="E480" s="2">
        <v>17207.55</v>
      </c>
      <c r="F480" s="2">
        <v>10760.73</v>
      </c>
      <c r="G480" s="2">
        <v>8055.56</v>
      </c>
      <c r="H480" s="2">
        <v>9857.83</v>
      </c>
      <c r="I480" s="2">
        <v>10478.959999999999</v>
      </c>
    </row>
    <row r="481" spans="1:9" hidden="1" x14ac:dyDescent="0.3">
      <c r="A481" t="s">
        <v>349</v>
      </c>
      <c r="B481" t="s">
        <v>92</v>
      </c>
      <c r="C481" t="s">
        <v>122</v>
      </c>
      <c r="D481" s="2">
        <v>370926.75</v>
      </c>
      <c r="E481" s="2">
        <v>248181.11</v>
      </c>
      <c r="F481" s="2">
        <v>175833.96</v>
      </c>
      <c r="G481" s="2">
        <v>191875.16</v>
      </c>
      <c r="H481" s="2">
        <v>143920.89000000001</v>
      </c>
      <c r="I481" s="2">
        <v>147381.82999999999</v>
      </c>
    </row>
    <row r="482" spans="1:9" hidden="1" x14ac:dyDescent="0.3">
      <c r="A482" t="s">
        <v>349</v>
      </c>
      <c r="B482" t="s">
        <v>92</v>
      </c>
      <c r="C482" t="s">
        <v>149</v>
      </c>
      <c r="D482" s="2">
        <v>387689.25</v>
      </c>
      <c r="E482" s="2">
        <v>260070</v>
      </c>
      <c r="F482" s="2">
        <v>184669.14</v>
      </c>
      <c r="G482" s="2">
        <v>0</v>
      </c>
      <c r="H482" s="2">
        <v>146997.13</v>
      </c>
      <c r="I482" s="2">
        <v>138849.4</v>
      </c>
    </row>
    <row r="483" spans="1:9" hidden="1" x14ac:dyDescent="0.3">
      <c r="A483" t="s">
        <v>349</v>
      </c>
      <c r="B483" t="s">
        <v>92</v>
      </c>
      <c r="C483" t="s">
        <v>150</v>
      </c>
      <c r="D483" s="2">
        <v>0</v>
      </c>
      <c r="E483" s="2">
        <v>0</v>
      </c>
      <c r="F483" s="2">
        <v>0</v>
      </c>
      <c r="G483" s="2">
        <v>0</v>
      </c>
      <c r="H483" s="2">
        <v>0</v>
      </c>
      <c r="I483" s="2">
        <v>12788.45</v>
      </c>
    </row>
    <row r="484" spans="1:9" hidden="1" x14ac:dyDescent="0.3">
      <c r="A484" t="s">
        <v>349</v>
      </c>
      <c r="B484" t="s">
        <v>92</v>
      </c>
      <c r="C484" t="s">
        <v>123</v>
      </c>
      <c r="D484" s="2">
        <v>4320.3500000000004</v>
      </c>
      <c r="E484" s="2">
        <v>265.38</v>
      </c>
      <c r="F484" s="2">
        <v>494.51</v>
      </c>
      <c r="G484" s="2">
        <v>1250.06</v>
      </c>
      <c r="H484" s="2">
        <v>1705.46</v>
      </c>
      <c r="I484" s="2">
        <v>2446.12</v>
      </c>
    </row>
    <row r="485" spans="1:9" hidden="1" x14ac:dyDescent="0.3">
      <c r="A485" t="s">
        <v>349</v>
      </c>
      <c r="B485" t="s">
        <v>92</v>
      </c>
      <c r="C485" t="s">
        <v>151</v>
      </c>
      <c r="D485" s="2">
        <v>-21082.85</v>
      </c>
      <c r="E485" s="2">
        <v>-12153.88</v>
      </c>
      <c r="F485" s="2">
        <v>-9329.69</v>
      </c>
      <c r="G485" s="2">
        <v>-9136.06</v>
      </c>
      <c r="H485" s="2">
        <v>-7108.38</v>
      </c>
      <c r="I485" s="2">
        <v>-7337.73</v>
      </c>
    </row>
    <row r="486" spans="1:9" hidden="1" x14ac:dyDescent="0.3">
      <c r="A486" t="s">
        <v>349</v>
      </c>
      <c r="B486" t="s">
        <v>92</v>
      </c>
      <c r="C486" t="s">
        <v>152</v>
      </c>
      <c r="D486" s="2">
        <v>0</v>
      </c>
      <c r="E486" s="2">
        <v>0</v>
      </c>
      <c r="F486" s="2">
        <v>0</v>
      </c>
      <c r="G486" s="2">
        <v>0</v>
      </c>
      <c r="H486" s="2">
        <v>2326.6799999999998</v>
      </c>
      <c r="I486" s="2">
        <v>635.59</v>
      </c>
    </row>
    <row r="487" spans="1:9" hidden="1" x14ac:dyDescent="0.3">
      <c r="A487" t="s">
        <v>349</v>
      </c>
      <c r="B487" t="s">
        <v>92</v>
      </c>
      <c r="C487" t="s">
        <v>153</v>
      </c>
      <c r="D487" s="2">
        <v>6644.22</v>
      </c>
      <c r="E487" s="2">
        <v>8235.89</v>
      </c>
      <c r="F487" s="2">
        <v>7320.51</v>
      </c>
      <c r="G487" s="2">
        <v>2706.12</v>
      </c>
      <c r="H487" s="2">
        <v>1920.56</v>
      </c>
      <c r="I487" s="2">
        <v>991.69</v>
      </c>
    </row>
    <row r="488" spans="1:9" hidden="1" x14ac:dyDescent="0.3">
      <c r="A488" t="s">
        <v>349</v>
      </c>
      <c r="B488" t="s">
        <v>92</v>
      </c>
      <c r="C488" t="s">
        <v>124</v>
      </c>
      <c r="D488" s="2">
        <v>2841.94</v>
      </c>
      <c r="E488" s="2">
        <v>11852.24</v>
      </c>
      <c r="F488" s="2">
        <v>16918.25</v>
      </c>
      <c r="G488" s="2">
        <v>8872.84</v>
      </c>
      <c r="H488" s="2">
        <v>23222.89</v>
      </c>
      <c r="I488" s="2">
        <v>5021.3100000000004</v>
      </c>
    </row>
    <row r="489" spans="1:9" hidden="1" x14ac:dyDescent="0.3">
      <c r="A489" t="s">
        <v>349</v>
      </c>
      <c r="B489" t="s">
        <v>92</v>
      </c>
      <c r="C489" t="s">
        <v>125</v>
      </c>
      <c r="D489" s="2">
        <v>10176.879999999999</v>
      </c>
      <c r="E489" s="2">
        <v>9130.19</v>
      </c>
      <c r="F489" s="2">
        <v>26028.81</v>
      </c>
      <c r="G489" s="2">
        <v>34377.660000000003</v>
      </c>
      <c r="H489" s="2">
        <v>19183.38</v>
      </c>
      <c r="I489" s="2">
        <v>11187.57</v>
      </c>
    </row>
    <row r="490" spans="1:9" hidden="1" x14ac:dyDescent="0.3">
      <c r="A490" t="s">
        <v>349</v>
      </c>
      <c r="B490" t="s">
        <v>92</v>
      </c>
      <c r="C490" t="s">
        <v>126</v>
      </c>
      <c r="D490" s="2">
        <v>654800.09</v>
      </c>
      <c r="E490" s="2">
        <v>519899</v>
      </c>
      <c r="F490" s="2">
        <v>421850.4</v>
      </c>
      <c r="G490" s="2">
        <v>413111.6</v>
      </c>
      <c r="H490" s="2">
        <v>329069.87</v>
      </c>
      <c r="I490" s="2">
        <v>292147.78999999998</v>
      </c>
    </row>
    <row r="491" spans="1:9" hidden="1" x14ac:dyDescent="0.3">
      <c r="A491" t="s">
        <v>349</v>
      </c>
      <c r="B491" t="s">
        <v>92</v>
      </c>
      <c r="C491" t="s">
        <v>127</v>
      </c>
      <c r="D491" s="2">
        <v>309688.05</v>
      </c>
      <c r="E491" s="2">
        <v>245700</v>
      </c>
      <c r="F491" s="2">
        <v>187322.8</v>
      </c>
      <c r="G491" s="2">
        <v>228248.15</v>
      </c>
      <c r="H491" s="2">
        <v>187448.84</v>
      </c>
      <c r="I491" s="2">
        <v>154557.16</v>
      </c>
    </row>
    <row r="492" spans="1:9" hidden="1" x14ac:dyDescent="0.3">
      <c r="A492" t="s">
        <v>349</v>
      </c>
      <c r="B492" t="s">
        <v>92</v>
      </c>
      <c r="C492" t="s">
        <v>128</v>
      </c>
      <c r="D492" s="2">
        <v>309688.05</v>
      </c>
      <c r="E492" s="2">
        <v>245700</v>
      </c>
      <c r="F492" s="2">
        <v>187322.8</v>
      </c>
      <c r="G492" s="2">
        <v>228248.15</v>
      </c>
      <c r="H492" s="2">
        <v>187448.84</v>
      </c>
      <c r="I492" s="2">
        <v>154557.16</v>
      </c>
    </row>
    <row r="493" spans="1:9" hidden="1" x14ac:dyDescent="0.3">
      <c r="A493" t="s">
        <v>349</v>
      </c>
      <c r="B493" t="s">
        <v>92</v>
      </c>
      <c r="C493" t="s">
        <v>129</v>
      </c>
      <c r="D493" s="2">
        <v>699.99</v>
      </c>
      <c r="E493" s="2">
        <v>699.99</v>
      </c>
      <c r="F493" s="2">
        <v>699.99</v>
      </c>
      <c r="G493" s="2">
        <v>699.99</v>
      </c>
      <c r="H493" s="2">
        <v>699.99</v>
      </c>
      <c r="I493" s="2">
        <v>699.99</v>
      </c>
    </row>
    <row r="494" spans="1:9" hidden="1" x14ac:dyDescent="0.3">
      <c r="A494" t="s">
        <v>349</v>
      </c>
      <c r="B494" t="s">
        <v>92</v>
      </c>
      <c r="C494" t="s">
        <v>130</v>
      </c>
      <c r="D494" s="2">
        <v>177526.21</v>
      </c>
      <c r="E494" s="2">
        <v>149307</v>
      </c>
      <c r="F494" s="2">
        <v>103532.47</v>
      </c>
      <c r="G494" s="2">
        <v>149287.89000000001</v>
      </c>
      <c r="H494" s="2">
        <v>116208.62</v>
      </c>
      <c r="I494" s="2">
        <v>79969.149999999994</v>
      </c>
    </row>
    <row r="495" spans="1:9" hidden="1" x14ac:dyDescent="0.3">
      <c r="A495" t="s">
        <v>349</v>
      </c>
      <c r="B495" t="s">
        <v>92</v>
      </c>
      <c r="C495" t="s">
        <v>131</v>
      </c>
      <c r="D495" s="2">
        <v>0</v>
      </c>
      <c r="E495" s="2">
        <v>0</v>
      </c>
      <c r="F495" s="2">
        <v>0</v>
      </c>
      <c r="G495" s="2">
        <v>0</v>
      </c>
      <c r="H495" s="2">
        <v>33827.089999999997</v>
      </c>
      <c r="I495" s="2">
        <v>0</v>
      </c>
    </row>
    <row r="496" spans="1:9" hidden="1" x14ac:dyDescent="0.3">
      <c r="A496" t="s">
        <v>349</v>
      </c>
      <c r="B496" t="s">
        <v>92</v>
      </c>
      <c r="C496" t="s">
        <v>132</v>
      </c>
      <c r="D496" s="2">
        <v>95317.03</v>
      </c>
      <c r="E496" s="2">
        <v>58395.69</v>
      </c>
      <c r="F496" s="2">
        <v>43930.85</v>
      </c>
      <c r="G496" s="2">
        <v>40799.31</v>
      </c>
      <c r="H496" s="2">
        <v>33079.279999999999</v>
      </c>
      <c r="I496" s="2">
        <v>31755.72</v>
      </c>
    </row>
    <row r="497" spans="1:9" hidden="1" x14ac:dyDescent="0.3">
      <c r="A497" t="s">
        <v>349</v>
      </c>
      <c r="B497" t="s">
        <v>92</v>
      </c>
      <c r="C497" t="s">
        <v>159</v>
      </c>
      <c r="D497" s="2">
        <v>32510.95</v>
      </c>
      <c r="E497" s="2">
        <v>33663.32</v>
      </c>
      <c r="F497" s="2">
        <v>35525.620000000003</v>
      </c>
      <c r="G497" s="2">
        <v>33827.089999999997</v>
      </c>
      <c r="H497" s="2">
        <v>0</v>
      </c>
      <c r="I497" s="2">
        <v>38498.43</v>
      </c>
    </row>
    <row r="498" spans="1:9" hidden="1" x14ac:dyDescent="0.3">
      <c r="A498" t="s">
        <v>349</v>
      </c>
      <c r="B498" t="s">
        <v>92</v>
      </c>
      <c r="C498" t="s">
        <v>133</v>
      </c>
      <c r="D498" s="2">
        <v>345112.05</v>
      </c>
      <c r="E498" s="2">
        <v>274199</v>
      </c>
      <c r="F498" s="2">
        <v>234527.6</v>
      </c>
      <c r="G498" s="2">
        <v>184863.45</v>
      </c>
      <c r="H498" s="2">
        <v>141621.03</v>
      </c>
      <c r="I498" s="2">
        <v>137590.64000000001</v>
      </c>
    </row>
    <row r="499" spans="1:9" hidden="1" x14ac:dyDescent="0.3">
      <c r="A499" t="s">
        <v>349</v>
      </c>
      <c r="B499" t="s">
        <v>92</v>
      </c>
      <c r="C499" t="s">
        <v>134</v>
      </c>
      <c r="D499" s="2">
        <v>11081.71</v>
      </c>
      <c r="E499" s="2">
        <v>8498.5400000000009</v>
      </c>
      <c r="F499" s="2">
        <v>6420.71</v>
      </c>
      <c r="G499" s="2">
        <v>6798.48</v>
      </c>
      <c r="H499" s="2">
        <v>6848.06</v>
      </c>
      <c r="I499" s="2">
        <v>4208.93</v>
      </c>
    </row>
    <row r="500" spans="1:9" hidden="1" x14ac:dyDescent="0.3">
      <c r="A500" t="s">
        <v>349</v>
      </c>
      <c r="B500" t="s">
        <v>92</v>
      </c>
      <c r="C500" t="s">
        <v>160</v>
      </c>
      <c r="D500" s="2">
        <v>0</v>
      </c>
      <c r="E500" s="2">
        <v>0</v>
      </c>
      <c r="F500" s="2">
        <v>0</v>
      </c>
      <c r="G500" s="2">
        <v>0</v>
      </c>
      <c r="H500" s="2">
        <v>0</v>
      </c>
      <c r="I500" s="2">
        <v>0</v>
      </c>
    </row>
    <row r="501" spans="1:9" hidden="1" x14ac:dyDescent="0.3">
      <c r="A501" t="s">
        <v>349</v>
      </c>
      <c r="B501" t="s">
        <v>92</v>
      </c>
      <c r="C501" t="s">
        <v>135</v>
      </c>
      <c r="D501" s="2">
        <v>9970.1299999999992</v>
      </c>
      <c r="E501" s="2">
        <v>7787.93</v>
      </c>
      <c r="F501" s="2">
        <v>5926.91</v>
      </c>
      <c r="G501" s="2">
        <v>5098.3599999999997</v>
      </c>
      <c r="H501" s="2">
        <v>4451.8900000000003</v>
      </c>
      <c r="I501" s="2">
        <v>4412.57</v>
      </c>
    </row>
    <row r="502" spans="1:9" hidden="1" x14ac:dyDescent="0.3">
      <c r="A502" t="s">
        <v>349</v>
      </c>
      <c r="B502" t="s">
        <v>92</v>
      </c>
      <c r="C502" t="s">
        <v>137</v>
      </c>
      <c r="D502" s="2">
        <v>334030.33</v>
      </c>
      <c r="E502" s="2">
        <v>265700.53000000003</v>
      </c>
      <c r="F502" s="2">
        <v>228106.89</v>
      </c>
      <c r="G502" s="2">
        <v>178064.97</v>
      </c>
      <c r="H502" s="2">
        <v>134772.97</v>
      </c>
      <c r="I502" s="2">
        <v>133381.71</v>
      </c>
    </row>
    <row r="503" spans="1:9" hidden="1" x14ac:dyDescent="0.3">
      <c r="A503" t="s">
        <v>349</v>
      </c>
      <c r="B503" t="s">
        <v>92</v>
      </c>
      <c r="C503" t="s">
        <v>155</v>
      </c>
      <c r="D503" s="2">
        <v>151521.17000000001</v>
      </c>
      <c r="E503" s="2">
        <v>128419</v>
      </c>
      <c r="F503" s="2">
        <v>109151.23</v>
      </c>
      <c r="G503" s="2">
        <v>0</v>
      </c>
      <c r="H503" s="2">
        <v>59676.77</v>
      </c>
      <c r="I503" s="2">
        <v>50115.5</v>
      </c>
    </row>
    <row r="504" spans="1:9" hidden="1" x14ac:dyDescent="0.3">
      <c r="A504" t="s">
        <v>349</v>
      </c>
      <c r="B504" t="s">
        <v>92</v>
      </c>
      <c r="C504" t="s">
        <v>138</v>
      </c>
      <c r="D504" s="2">
        <v>134100.71</v>
      </c>
      <c r="E504" s="2">
        <v>103788</v>
      </c>
      <c r="F504" s="2">
        <v>85727.49</v>
      </c>
      <c r="G504" s="2">
        <v>149311.28</v>
      </c>
      <c r="H504" s="2">
        <v>52174.84</v>
      </c>
      <c r="I504" s="2">
        <v>58205.36</v>
      </c>
    </row>
    <row r="505" spans="1:9" hidden="1" x14ac:dyDescent="0.3">
      <c r="A505" t="s">
        <v>349</v>
      </c>
      <c r="B505" t="s">
        <v>92</v>
      </c>
      <c r="C505" t="s">
        <v>139</v>
      </c>
      <c r="D505" s="2">
        <v>93396.62</v>
      </c>
      <c r="E505" s="2">
        <v>66813.850000000006</v>
      </c>
      <c r="F505" s="2">
        <v>42645.26</v>
      </c>
      <c r="G505" s="2">
        <v>0</v>
      </c>
      <c r="H505" s="2">
        <v>31227.03</v>
      </c>
      <c r="I505" s="2">
        <v>34616.18</v>
      </c>
    </row>
    <row r="506" spans="1:9" hidden="1" x14ac:dyDescent="0.3">
      <c r="A506" t="s">
        <v>349</v>
      </c>
      <c r="B506" t="s">
        <v>92</v>
      </c>
      <c r="C506" t="s">
        <v>156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3816.95</v>
      </c>
    </row>
    <row r="507" spans="1:9" hidden="1" x14ac:dyDescent="0.3">
      <c r="A507" t="s">
        <v>349</v>
      </c>
      <c r="B507" t="s">
        <v>92</v>
      </c>
      <c r="C507" t="s">
        <v>140</v>
      </c>
      <c r="D507" s="2">
        <v>40704.080000000002</v>
      </c>
      <c r="E507" s="2">
        <v>36974.199999999997</v>
      </c>
      <c r="F507" s="2">
        <v>43082.23</v>
      </c>
      <c r="G507" s="2">
        <v>0</v>
      </c>
      <c r="H507" s="2">
        <v>20947.810000000001</v>
      </c>
      <c r="I507" s="2">
        <v>19772.23</v>
      </c>
    </row>
    <row r="508" spans="1:9" hidden="1" x14ac:dyDescent="0.3">
      <c r="A508" t="s">
        <v>349</v>
      </c>
      <c r="B508" t="s">
        <v>92</v>
      </c>
      <c r="C508" t="s">
        <v>141</v>
      </c>
      <c r="D508" s="2">
        <v>1354.58</v>
      </c>
      <c r="E508" s="2">
        <v>1506.94</v>
      </c>
      <c r="F508" s="2">
        <v>3172.13</v>
      </c>
      <c r="G508" s="2">
        <v>2826.26</v>
      </c>
      <c r="H508" s="2">
        <v>2390.0500000000002</v>
      </c>
      <c r="I508" s="2">
        <v>3083.59</v>
      </c>
    </row>
    <row r="509" spans="1:9" hidden="1" x14ac:dyDescent="0.3">
      <c r="A509" t="s">
        <v>349</v>
      </c>
      <c r="B509" t="s">
        <v>92</v>
      </c>
      <c r="C509" t="s">
        <v>157</v>
      </c>
      <c r="D509" s="2">
        <v>37083.75</v>
      </c>
      <c r="E509" s="2">
        <v>24198.66</v>
      </c>
      <c r="F509" s="2">
        <v>24129.119999999999</v>
      </c>
      <c r="G509" s="2">
        <v>20829.07</v>
      </c>
      <c r="H509" s="2">
        <v>16079.42</v>
      </c>
      <c r="I509" s="2">
        <v>17564.689999999999</v>
      </c>
    </row>
    <row r="510" spans="1:9" hidden="1" x14ac:dyDescent="0.3">
      <c r="A510" t="s">
        <v>349</v>
      </c>
      <c r="B510" t="s">
        <v>92</v>
      </c>
      <c r="C510" t="s">
        <v>101</v>
      </c>
      <c r="D510" s="2">
        <v>-677.21</v>
      </c>
      <c r="E510" s="2">
        <v>-426.24</v>
      </c>
      <c r="F510" s="2">
        <v>-262.93</v>
      </c>
      <c r="G510" s="2">
        <v>-185.37</v>
      </c>
      <c r="H510" s="2">
        <v>-199.5</v>
      </c>
      <c r="I510" s="2">
        <v>-78.75</v>
      </c>
    </row>
    <row r="511" spans="1:9" hidden="1" x14ac:dyDescent="0.3">
      <c r="A511" t="s">
        <v>349</v>
      </c>
      <c r="B511" t="s">
        <v>92</v>
      </c>
      <c r="C511" t="s">
        <v>158</v>
      </c>
      <c r="D511" s="2">
        <v>0</v>
      </c>
      <c r="E511" s="2">
        <v>0</v>
      </c>
      <c r="F511" s="2">
        <v>0</v>
      </c>
      <c r="G511" s="2">
        <v>0</v>
      </c>
      <c r="H511" s="2">
        <v>0</v>
      </c>
      <c r="I511" s="2">
        <v>0</v>
      </c>
    </row>
    <row r="512" spans="1:9" hidden="1" x14ac:dyDescent="0.3">
      <c r="A512" t="s">
        <v>349</v>
      </c>
      <c r="B512" t="s">
        <v>92</v>
      </c>
      <c r="C512" t="s">
        <v>108</v>
      </c>
      <c r="D512" s="2">
        <v>0</v>
      </c>
      <c r="E512" s="2">
        <v>0</v>
      </c>
      <c r="F512" s="2">
        <v>0</v>
      </c>
      <c r="G512" s="2">
        <v>0</v>
      </c>
      <c r="H512" s="2">
        <v>0</v>
      </c>
      <c r="I512" s="2">
        <v>0</v>
      </c>
    </row>
    <row r="513" spans="1:9" hidden="1" x14ac:dyDescent="0.3">
      <c r="A513" t="s">
        <v>349</v>
      </c>
      <c r="B513" t="s">
        <v>92</v>
      </c>
      <c r="C513" t="s">
        <v>154</v>
      </c>
      <c r="D513" s="2">
        <v>3633.87</v>
      </c>
      <c r="E513" s="2">
        <v>3633.87</v>
      </c>
      <c r="F513" s="2">
        <v>3633.87</v>
      </c>
      <c r="G513" s="2">
        <v>3633.87</v>
      </c>
      <c r="H513" s="2">
        <v>3633.87</v>
      </c>
      <c r="I513" s="2">
        <v>3633.87</v>
      </c>
    </row>
    <row r="514" spans="1:9" hidden="1" x14ac:dyDescent="0.3">
      <c r="A514" t="s">
        <v>349</v>
      </c>
      <c r="B514" t="s">
        <v>92</v>
      </c>
      <c r="C514" t="s">
        <v>119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</row>
    <row r="515" spans="1:9" hidden="1" x14ac:dyDescent="0.3">
      <c r="A515" t="s">
        <v>349</v>
      </c>
      <c r="B515" t="s">
        <v>92</v>
      </c>
      <c r="C515" t="s">
        <v>161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</row>
    <row r="516" spans="1:9" hidden="1" x14ac:dyDescent="0.3">
      <c r="A516" t="s">
        <v>349</v>
      </c>
      <c r="B516" t="s">
        <v>92</v>
      </c>
      <c r="C516" t="s">
        <v>162</v>
      </c>
      <c r="D516" s="2">
        <v>0</v>
      </c>
      <c r="E516" s="2">
        <v>0</v>
      </c>
      <c r="F516" s="2">
        <v>0</v>
      </c>
      <c r="G516" s="2">
        <v>0</v>
      </c>
      <c r="H516" s="2">
        <v>0</v>
      </c>
      <c r="I516" s="2">
        <v>0</v>
      </c>
    </row>
    <row r="517" spans="1:9" hidden="1" x14ac:dyDescent="0.3">
      <c r="A517" t="s">
        <v>349</v>
      </c>
      <c r="B517" t="s">
        <v>92</v>
      </c>
      <c r="C517" t="s">
        <v>136</v>
      </c>
      <c r="D517" s="2">
        <v>9.57</v>
      </c>
      <c r="E517" s="2">
        <v>8</v>
      </c>
      <c r="F517" s="2">
        <v>5.17</v>
      </c>
      <c r="G517" s="2">
        <v>1.63</v>
      </c>
      <c r="H517" s="2">
        <v>1.51</v>
      </c>
      <c r="I517" s="2">
        <v>3.34</v>
      </c>
    </row>
  </sheetData>
  <autoFilter ref="A1:I517" xr:uid="{57DCE8B5-6A1A-4F6E-8111-2257A55D428E}">
    <filterColumn colId="0">
      <filters>
        <filter val="Valle de lili.xlsx"/>
      </filters>
    </filterColumn>
  </autoFilter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7BE20-A93A-452D-AA78-303EE6F765C0}">
  <dimension ref="A1:J26"/>
  <sheetViews>
    <sheetView workbookViewId="0">
      <selection activeCell="C19" sqref="C19"/>
    </sheetView>
  </sheetViews>
  <sheetFormatPr baseColWidth="10" defaultRowHeight="14.4" x14ac:dyDescent="0.3"/>
  <cols>
    <col min="2" max="2" width="18.21875" bestFit="1" customWidth="1"/>
    <col min="3" max="10" width="14.33203125" bestFit="1" customWidth="1"/>
  </cols>
  <sheetData>
    <row r="1" spans="1:10" x14ac:dyDescent="0.3">
      <c r="A1" t="s">
        <v>1661</v>
      </c>
      <c r="B1" t="s">
        <v>369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</row>
    <row r="2" spans="1:10" x14ac:dyDescent="0.3">
      <c r="A2" t="s">
        <v>6</v>
      </c>
      <c r="B2" t="s">
        <v>1649</v>
      </c>
      <c r="C2" s="46">
        <v>2514348</v>
      </c>
      <c r="D2" s="46">
        <v>2649121.2000000002</v>
      </c>
      <c r="E2" s="46">
        <v>2786342.4</v>
      </c>
      <c r="F2" s="46">
        <v>3323890.8</v>
      </c>
      <c r="G2" s="46">
        <v>3863354.4</v>
      </c>
      <c r="H2" s="46">
        <v>4327347.5999999996</v>
      </c>
      <c r="I2" s="46">
        <v>4559295.5999999996</v>
      </c>
      <c r="J2" s="46">
        <v>4971095.7300000004</v>
      </c>
    </row>
    <row r="3" spans="1:10" x14ac:dyDescent="0.3">
      <c r="A3" t="s">
        <v>6</v>
      </c>
      <c r="B3" t="s">
        <v>1650</v>
      </c>
      <c r="C3" s="46">
        <v>807364.8</v>
      </c>
      <c r="D3" s="46">
        <v>850640.4</v>
      </c>
      <c r="E3" s="46">
        <v>894700.8</v>
      </c>
      <c r="F3" s="46">
        <v>955926</v>
      </c>
      <c r="G3" s="46">
        <v>1111071.6000000001</v>
      </c>
      <c r="H3" s="46">
        <v>1244512.8</v>
      </c>
      <c r="I3" s="46">
        <v>1311220.8</v>
      </c>
      <c r="J3" s="46">
        <v>1429650.37</v>
      </c>
    </row>
    <row r="4" spans="1:10" x14ac:dyDescent="0.3">
      <c r="A4" t="s">
        <v>6</v>
      </c>
      <c r="B4" t="s">
        <v>1651</v>
      </c>
      <c r="C4" s="46">
        <v>282027.59999999998</v>
      </c>
      <c r="D4" s="46">
        <v>297144</v>
      </c>
      <c r="E4" s="46">
        <v>312534</v>
      </c>
      <c r="F4" s="46">
        <v>385455.6</v>
      </c>
      <c r="G4" s="46">
        <v>448012.79999999999</v>
      </c>
      <c r="H4" s="46">
        <v>501818.4</v>
      </c>
      <c r="I4" s="46">
        <v>528717.6</v>
      </c>
      <c r="J4" s="46">
        <v>576471.92000000004</v>
      </c>
    </row>
    <row r="5" spans="1:10" x14ac:dyDescent="0.3">
      <c r="A5" t="s">
        <v>6</v>
      </c>
      <c r="B5" t="s">
        <v>1659</v>
      </c>
      <c r="C5" s="46">
        <v>346793.4</v>
      </c>
      <c r="D5" s="46">
        <v>365382</v>
      </c>
      <c r="E5" s="46">
        <v>384309</v>
      </c>
      <c r="F5" s="46">
        <v>477851.4</v>
      </c>
      <c r="G5" s="46">
        <v>555408</v>
      </c>
      <c r="H5" s="46">
        <v>622112.39999999991</v>
      </c>
      <c r="I5" s="46">
        <v>655454.73499999999</v>
      </c>
      <c r="J5" s="46">
        <v>714659.29499999993</v>
      </c>
    </row>
    <row r="6" spans="1:10" x14ac:dyDescent="0.3">
      <c r="A6" t="s">
        <v>6</v>
      </c>
      <c r="B6" t="s">
        <v>1660</v>
      </c>
      <c r="C6" s="46">
        <v>682869.6</v>
      </c>
      <c r="D6" s="46">
        <v>719472.6</v>
      </c>
      <c r="E6" s="46">
        <v>756739.8</v>
      </c>
      <c r="F6" s="46">
        <v>913332.60000000009</v>
      </c>
      <c r="G6" s="46">
        <v>1061566.2</v>
      </c>
      <c r="H6" s="46">
        <v>1189062</v>
      </c>
      <c r="I6" s="46">
        <v>1252799.4849999999</v>
      </c>
      <c r="J6" s="46">
        <v>1366302.895</v>
      </c>
    </row>
    <row r="7" spans="1:10" x14ac:dyDescent="0.3">
      <c r="A7" t="s">
        <v>6</v>
      </c>
      <c r="B7" t="s">
        <v>1652</v>
      </c>
      <c r="C7" s="46">
        <v>877762.8</v>
      </c>
      <c r="D7" s="46">
        <v>924814.8</v>
      </c>
      <c r="E7" s="46">
        <v>972716.4</v>
      </c>
      <c r="F7" s="46">
        <v>1209272.3999999999</v>
      </c>
      <c r="G7" s="46">
        <v>1405537.2</v>
      </c>
      <c r="H7" s="46">
        <v>1574341.2</v>
      </c>
      <c r="I7" s="46">
        <v>1658330.46</v>
      </c>
      <c r="J7" s="46">
        <v>1808837.31</v>
      </c>
    </row>
    <row r="8" spans="1:10" x14ac:dyDescent="0.3">
      <c r="A8" t="s">
        <v>6</v>
      </c>
      <c r="B8" t="s">
        <v>1653</v>
      </c>
      <c r="C8" s="46">
        <v>1119549.6000000001</v>
      </c>
      <c r="D8" s="46">
        <v>1179558</v>
      </c>
      <c r="E8" s="46">
        <v>1240657.2</v>
      </c>
      <c r="F8" s="46">
        <v>1530280.8</v>
      </c>
      <c r="G8" s="46">
        <v>1778644.8</v>
      </c>
      <c r="H8" s="46">
        <v>1992261.6</v>
      </c>
      <c r="I8" s="46">
        <v>2098047</v>
      </c>
      <c r="J8" s="46">
        <v>2288362.2000000002</v>
      </c>
    </row>
    <row r="9" spans="1:10" x14ac:dyDescent="0.3">
      <c r="A9" t="s">
        <v>6</v>
      </c>
      <c r="B9" t="s">
        <v>1654</v>
      </c>
      <c r="C9" s="46">
        <v>1368536.4</v>
      </c>
      <c r="D9" s="46">
        <v>1441893.6</v>
      </c>
      <c r="E9" s="46">
        <v>1516579.2</v>
      </c>
      <c r="F9" s="46">
        <v>1811581.2</v>
      </c>
      <c r="G9" s="46">
        <v>2105596.7999999998</v>
      </c>
      <c r="H9" s="46">
        <v>2358482.4</v>
      </c>
      <c r="I9" s="46">
        <v>2485789.8199999998</v>
      </c>
      <c r="J9" s="46">
        <v>2712933.7</v>
      </c>
    </row>
    <row r="10" spans="1:10" x14ac:dyDescent="0.3">
      <c r="A10" t="s">
        <v>6</v>
      </c>
      <c r="B10" t="s">
        <v>1655</v>
      </c>
      <c r="C10" s="46">
        <v>1761289.2</v>
      </c>
      <c r="D10" s="46">
        <v>1855695.6</v>
      </c>
      <c r="E10" s="46">
        <v>1951819.2</v>
      </c>
      <c r="F10" s="46">
        <v>2326147.2000000002</v>
      </c>
      <c r="G10" s="46">
        <v>2703679.2</v>
      </c>
      <c r="H10" s="46">
        <v>3028392</v>
      </c>
      <c r="I10" s="46">
        <v>3190849.22</v>
      </c>
      <c r="J10" s="46">
        <v>3478291.68</v>
      </c>
    </row>
    <row r="11" spans="1:10" x14ac:dyDescent="0.3">
      <c r="A11" t="s">
        <v>6</v>
      </c>
      <c r="B11" t="s">
        <v>1656</v>
      </c>
      <c r="C11" s="46">
        <v>2190895.2000000002</v>
      </c>
      <c r="D11" s="46">
        <v>2308330.7999999998</v>
      </c>
      <c r="E11" s="46">
        <v>2427897.6</v>
      </c>
      <c r="F11" s="46">
        <v>2881425.6</v>
      </c>
      <c r="G11" s="46">
        <v>3349076.4</v>
      </c>
      <c r="H11" s="46">
        <v>3751300.8</v>
      </c>
      <c r="I11" s="46">
        <v>3949753.4</v>
      </c>
      <c r="J11" s="46">
        <v>4309030.9400000004</v>
      </c>
    </row>
    <row r="12" spans="1:10" x14ac:dyDescent="0.3">
      <c r="A12" t="s">
        <v>6</v>
      </c>
      <c r="B12" t="s">
        <v>1657</v>
      </c>
      <c r="C12" s="46">
        <v>2629054.7999999998</v>
      </c>
      <c r="D12" s="46">
        <v>2769976.8</v>
      </c>
      <c r="E12" s="46">
        <v>2913458.4</v>
      </c>
      <c r="F12" s="46">
        <v>3484173.6</v>
      </c>
      <c r="G12" s="46">
        <v>4049650.8</v>
      </c>
      <c r="H12" s="46">
        <v>4536018</v>
      </c>
      <c r="I12" s="46">
        <v>4776850.71</v>
      </c>
      <c r="J12" s="46">
        <v>5210723.13</v>
      </c>
    </row>
    <row r="13" spans="1:10" x14ac:dyDescent="0.3">
      <c r="A13" t="s">
        <v>6</v>
      </c>
      <c r="B13" t="s">
        <v>1658</v>
      </c>
      <c r="C13" s="46">
        <v>3303752.4</v>
      </c>
      <c r="D13" s="46">
        <v>3480836.4</v>
      </c>
      <c r="E13" s="46">
        <v>3661138.8</v>
      </c>
      <c r="F13" s="46">
        <v>4346816.4000000004</v>
      </c>
      <c r="G13" s="46">
        <v>5052297.5999999996</v>
      </c>
      <c r="H13" s="46">
        <v>5659084.7999999998</v>
      </c>
      <c r="I13" s="46">
        <v>5962321.9500000002</v>
      </c>
      <c r="J13" s="46">
        <v>6500446.9800000004</v>
      </c>
    </row>
    <row r="14" spans="1:10" x14ac:dyDescent="0.3">
      <c r="A14" t="s">
        <v>24</v>
      </c>
      <c r="B14" s="2" t="s">
        <v>1649</v>
      </c>
      <c r="C14" s="46">
        <v>2177276.4</v>
      </c>
      <c r="D14" s="46">
        <v>2293974</v>
      </c>
      <c r="E14" s="46">
        <v>2412799.2000000002</v>
      </c>
      <c r="F14" s="46">
        <v>2668078.7999999998</v>
      </c>
      <c r="G14" s="46">
        <v>3101108.4</v>
      </c>
      <c r="H14" s="46">
        <v>3473553.6</v>
      </c>
      <c r="I14" s="46">
        <v>3659739.21</v>
      </c>
      <c r="J14" s="46">
        <v>4263434.5199999996</v>
      </c>
    </row>
    <row r="15" spans="1:10" x14ac:dyDescent="0.3">
      <c r="A15" t="s">
        <v>24</v>
      </c>
      <c r="B15" t="s">
        <v>1650</v>
      </c>
      <c r="C15" s="46">
        <v>643953.6</v>
      </c>
      <c r="D15" s="46">
        <v>678470.4</v>
      </c>
      <c r="E15" s="46">
        <v>713613.6</v>
      </c>
      <c r="F15" s="46">
        <v>789116.4</v>
      </c>
      <c r="G15" s="46">
        <v>917190</v>
      </c>
      <c r="H15" s="46">
        <v>1027342.8</v>
      </c>
      <c r="I15" s="46">
        <v>1082411.48</v>
      </c>
      <c r="J15" s="46">
        <v>1260961.56</v>
      </c>
    </row>
    <row r="16" spans="1:10" x14ac:dyDescent="0.3">
      <c r="A16" t="s">
        <v>24</v>
      </c>
      <c r="B16" t="s">
        <v>1651</v>
      </c>
      <c r="C16" s="46">
        <v>257220</v>
      </c>
      <c r="D16" s="46">
        <v>271008</v>
      </c>
      <c r="E16" s="46">
        <v>285044.40000000002</v>
      </c>
      <c r="F16" s="46">
        <v>315201.59999999998</v>
      </c>
      <c r="G16" s="46">
        <v>366361.2</v>
      </c>
      <c r="H16" s="46">
        <v>410360.4</v>
      </c>
      <c r="I16" s="46">
        <v>432355.83</v>
      </c>
      <c r="J16" s="46">
        <v>503675.44</v>
      </c>
    </row>
    <row r="17" spans="1:10" x14ac:dyDescent="0.3">
      <c r="A17" t="s">
        <v>24</v>
      </c>
      <c r="B17" t="s">
        <v>1659</v>
      </c>
      <c r="C17" s="46">
        <v>402640.2</v>
      </c>
      <c r="D17" s="46">
        <v>424220.4</v>
      </c>
      <c r="E17" s="46">
        <v>446194.8</v>
      </c>
      <c r="F17" s="46">
        <v>493401.59999999998</v>
      </c>
      <c r="G17" s="46">
        <v>573483.60000000009</v>
      </c>
      <c r="H17" s="46">
        <v>642357</v>
      </c>
      <c r="I17" s="46">
        <v>676788.39500000002</v>
      </c>
      <c r="J17" s="46">
        <v>788428.58499999996</v>
      </c>
    </row>
    <row r="18" spans="1:10" x14ac:dyDescent="0.3">
      <c r="A18" t="s">
        <v>24</v>
      </c>
      <c r="B18" t="s">
        <v>1660</v>
      </c>
      <c r="C18" s="46">
        <v>652260.6</v>
      </c>
      <c r="D18" s="46">
        <v>687222</v>
      </c>
      <c r="E18" s="46">
        <v>722818.8</v>
      </c>
      <c r="F18" s="46">
        <v>799293.60000000009</v>
      </c>
      <c r="G18" s="46">
        <v>929021.4</v>
      </c>
      <c r="H18" s="46">
        <v>1040596.2</v>
      </c>
      <c r="I18" s="46">
        <v>1096457.6300000001</v>
      </c>
      <c r="J18" s="46">
        <v>1277896.6600000001</v>
      </c>
    </row>
    <row r="19" spans="1:10" x14ac:dyDescent="0.3">
      <c r="A19" t="s">
        <v>24</v>
      </c>
      <c r="B19" t="s">
        <v>1652</v>
      </c>
      <c r="C19" s="46">
        <v>816930</v>
      </c>
      <c r="D19" s="46">
        <v>860716.8</v>
      </c>
      <c r="E19" s="46">
        <v>905302.8</v>
      </c>
      <c r="F19" s="46">
        <v>1001084.4</v>
      </c>
      <c r="G19" s="46">
        <v>1163559.6000000001</v>
      </c>
      <c r="H19" s="46">
        <v>1303304.3999999999</v>
      </c>
      <c r="I19" s="46">
        <v>1373520.16</v>
      </c>
      <c r="J19" s="46">
        <v>1599677.79</v>
      </c>
    </row>
    <row r="20" spans="1:10" x14ac:dyDescent="0.3">
      <c r="A20" t="s">
        <v>24</v>
      </c>
      <c r="B20" t="s">
        <v>1653</v>
      </c>
      <c r="C20" s="46">
        <v>1021399.2</v>
      </c>
      <c r="D20" s="46">
        <v>1076144.3999999999</v>
      </c>
      <c r="E20" s="46">
        <v>1131890.3999999999</v>
      </c>
      <c r="F20" s="46">
        <v>1251644.3999999999</v>
      </c>
      <c r="G20" s="46">
        <v>1454788.8</v>
      </c>
      <c r="H20" s="46">
        <v>1629507.6</v>
      </c>
      <c r="I20" s="46">
        <v>1717179.37</v>
      </c>
      <c r="J20" s="46">
        <v>1999044.16</v>
      </c>
    </row>
    <row r="21" spans="1:10" x14ac:dyDescent="0.3">
      <c r="A21" t="s">
        <v>24</v>
      </c>
      <c r="B21" t="s">
        <v>1654</v>
      </c>
      <c r="C21" s="46">
        <v>1239094.8</v>
      </c>
      <c r="D21" s="46">
        <v>1305507.6000000001</v>
      </c>
      <c r="E21" s="46">
        <v>1373133.6</v>
      </c>
      <c r="F21" s="46">
        <v>1518415.2</v>
      </c>
      <c r="G21" s="46">
        <v>1764853.2</v>
      </c>
      <c r="H21" s="46">
        <v>1976814</v>
      </c>
      <c r="I21" s="46">
        <v>2083391.56</v>
      </c>
      <c r="J21" s="46">
        <v>2426167.5299999998</v>
      </c>
    </row>
    <row r="22" spans="1:10" x14ac:dyDescent="0.3">
      <c r="A22" t="s">
        <v>24</v>
      </c>
      <c r="B22" t="s">
        <v>1655</v>
      </c>
      <c r="C22" s="46">
        <v>1532530.8</v>
      </c>
      <c r="D22" s="46">
        <v>1614672</v>
      </c>
      <c r="E22" s="46">
        <v>1698314.4</v>
      </c>
      <c r="F22" s="46">
        <v>1877997.6</v>
      </c>
      <c r="G22" s="46">
        <v>2182798.7999999998</v>
      </c>
      <c r="H22" s="46">
        <v>2444950.7999999998</v>
      </c>
      <c r="I22" s="46">
        <v>2576411.33</v>
      </c>
      <c r="J22" s="46">
        <v>3001198.64</v>
      </c>
    </row>
    <row r="23" spans="1:10" x14ac:dyDescent="0.3">
      <c r="A23" t="s">
        <v>24</v>
      </c>
      <c r="B23" t="s">
        <v>1656</v>
      </c>
      <c r="C23" s="46">
        <v>1899428.4</v>
      </c>
      <c r="D23" s="46">
        <v>2001232.8</v>
      </c>
      <c r="E23" s="46">
        <v>2104898.4</v>
      </c>
      <c r="F23" s="46">
        <v>2327598</v>
      </c>
      <c r="G23" s="46">
        <v>2705367.6</v>
      </c>
      <c r="H23" s="46">
        <v>3030282</v>
      </c>
      <c r="I23" s="46">
        <v>3192959.22</v>
      </c>
      <c r="J23" s="46">
        <v>3719870.38</v>
      </c>
    </row>
    <row r="24" spans="1:10" x14ac:dyDescent="0.3">
      <c r="A24" t="s">
        <v>24</v>
      </c>
      <c r="B24" t="s">
        <v>1657</v>
      </c>
      <c r="C24" s="46">
        <v>2316632.4</v>
      </c>
      <c r="D24" s="46">
        <v>2440800</v>
      </c>
      <c r="E24" s="46">
        <v>2567232</v>
      </c>
      <c r="F24" s="46">
        <v>2838848.4</v>
      </c>
      <c r="G24" s="46">
        <v>3299598</v>
      </c>
      <c r="H24" s="46">
        <v>3695878.8</v>
      </c>
      <c r="I24" s="46">
        <v>3894864.97</v>
      </c>
      <c r="J24" s="46">
        <v>4535683.33</v>
      </c>
    </row>
    <row r="25" spans="1:10" x14ac:dyDescent="0.3">
      <c r="A25" t="s">
        <v>24</v>
      </c>
      <c r="B25" t="s">
        <v>1658</v>
      </c>
      <c r="C25" s="46">
        <v>2879650.8</v>
      </c>
      <c r="D25" s="46">
        <v>3033993.6</v>
      </c>
      <c r="E25" s="46">
        <v>3191155.2</v>
      </c>
      <c r="F25" s="46">
        <v>3528781.2</v>
      </c>
      <c r="G25" s="46">
        <v>4101508.8</v>
      </c>
      <c r="H25" s="46">
        <v>4594096.8</v>
      </c>
      <c r="I25" s="46">
        <v>4841355.2</v>
      </c>
      <c r="J25" s="46">
        <v>5637556.6799999997</v>
      </c>
    </row>
    <row r="26" spans="1:10" x14ac:dyDescent="0.3">
      <c r="C26" s="2"/>
      <c r="D26" s="2"/>
      <c r="E26" s="2"/>
      <c r="F26" s="2"/>
      <c r="G26" s="2"/>
      <c r="H26" s="2"/>
      <c r="I26" s="2"/>
      <c r="J26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0C5D-7F1E-42AB-A694-DFA019719E55}">
  <dimension ref="A1:F2"/>
  <sheetViews>
    <sheetView workbookViewId="0">
      <selection activeCell="G7" sqref="G7"/>
    </sheetView>
  </sheetViews>
  <sheetFormatPr baseColWidth="10" defaultRowHeight="14.4" x14ac:dyDescent="0.3"/>
  <sheetData>
    <row r="1" spans="1:6" x14ac:dyDescent="0.3">
      <c r="A1">
        <v>2025</v>
      </c>
      <c r="B1">
        <v>2024</v>
      </c>
      <c r="C1">
        <v>2023</v>
      </c>
      <c r="D1">
        <v>2022</v>
      </c>
      <c r="E1">
        <v>2021</v>
      </c>
      <c r="F1">
        <v>2020</v>
      </c>
    </row>
    <row r="2" spans="1:6" x14ac:dyDescent="0.3">
      <c r="A2">
        <v>5.0999999999999997E-2</v>
      </c>
      <c r="B2">
        <v>5.1999999999999998E-2</v>
      </c>
      <c r="C2">
        <v>9.2799999999999994E-2</v>
      </c>
      <c r="D2">
        <v>0.13120000000000001</v>
      </c>
      <c r="E2">
        <v>5.62E-2</v>
      </c>
      <c r="F2">
        <v>1.61E-2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A81A6-8AFB-423B-93D7-9EDA3BA5C866}">
  <dimension ref="A1:H649"/>
  <sheetViews>
    <sheetView topLeftCell="C1" workbookViewId="0">
      <selection activeCell="I9" sqref="I9"/>
    </sheetView>
  </sheetViews>
  <sheetFormatPr baseColWidth="10" defaultRowHeight="14.4" x14ac:dyDescent="0.3"/>
  <cols>
    <col min="1" max="1" width="38.33203125" bestFit="1" customWidth="1"/>
    <col min="2" max="2" width="44.88671875" bestFit="1" customWidth="1"/>
    <col min="3" max="3" width="11" bestFit="1" customWidth="1"/>
    <col min="4" max="4" width="42.109375" bestFit="1" customWidth="1"/>
    <col min="5" max="5" width="16.33203125" bestFit="1" customWidth="1"/>
    <col min="7" max="7" width="53.21875" bestFit="1" customWidth="1"/>
  </cols>
  <sheetData>
    <row r="1" spans="1:8" x14ac:dyDescent="0.3">
      <c r="A1" t="s">
        <v>218</v>
      </c>
      <c r="B1" t="s">
        <v>348</v>
      </c>
      <c r="C1" t="s">
        <v>347</v>
      </c>
      <c r="D1" t="s">
        <v>346</v>
      </c>
      <c r="E1" t="s">
        <v>345</v>
      </c>
      <c r="G1" t="s">
        <v>346</v>
      </c>
      <c r="H1" t="str" cm="1">
        <f t="array" ref="H1:H5">_xlfn.UNIQUE(A2:A649)</f>
        <v>ANGIOGRAFIA DE OCCIDENTE S.A.</v>
      </c>
    </row>
    <row r="2" spans="1:8" x14ac:dyDescent="0.3">
      <c r="A2" t="s">
        <v>210</v>
      </c>
      <c r="B2" t="s">
        <v>221</v>
      </c>
      <c r="C2">
        <v>714</v>
      </c>
      <c r="D2" t="s">
        <v>267</v>
      </c>
      <c r="E2" t="s">
        <v>222</v>
      </c>
      <c r="G2" t="s">
        <v>267</v>
      </c>
      <c r="H2" t="str">
        <v>CLINICA DE OCCIDENTE</v>
      </c>
    </row>
    <row r="3" spans="1:8" x14ac:dyDescent="0.3">
      <c r="A3" t="s">
        <v>210</v>
      </c>
      <c r="B3" t="s">
        <v>221</v>
      </c>
      <c r="C3">
        <v>742</v>
      </c>
      <c r="D3" t="s">
        <v>224</v>
      </c>
      <c r="E3" t="s">
        <v>222</v>
      </c>
      <c r="G3" t="s">
        <v>224</v>
      </c>
      <c r="H3" t="str">
        <v>CLÍNICA IMBANACO S.A.S.</v>
      </c>
    </row>
    <row r="4" spans="1:8" x14ac:dyDescent="0.3">
      <c r="A4" t="s">
        <v>210</v>
      </c>
      <c r="B4" t="s">
        <v>221</v>
      </c>
      <c r="C4">
        <v>743</v>
      </c>
      <c r="D4" t="s">
        <v>306</v>
      </c>
      <c r="E4" t="s">
        <v>264</v>
      </c>
      <c r="G4" t="s">
        <v>306</v>
      </c>
      <c r="H4" t="str">
        <v>DIME CLINICA NEUROCARDIOVASCULAR S.A</v>
      </c>
    </row>
    <row r="5" spans="1:8" x14ac:dyDescent="0.3">
      <c r="A5" t="s">
        <v>210</v>
      </c>
      <c r="B5" t="s">
        <v>169</v>
      </c>
      <c r="C5">
        <v>361</v>
      </c>
      <c r="D5" t="s">
        <v>325</v>
      </c>
      <c r="E5" t="s">
        <v>222</v>
      </c>
      <c r="G5" t="s">
        <v>325</v>
      </c>
      <c r="H5" t="str">
        <v>FUNDACION VALLE DEL LILI</v>
      </c>
    </row>
    <row r="6" spans="1:8" x14ac:dyDescent="0.3">
      <c r="A6" t="s">
        <v>210</v>
      </c>
      <c r="B6" t="s">
        <v>221</v>
      </c>
      <c r="C6">
        <v>714</v>
      </c>
      <c r="D6" t="s">
        <v>267</v>
      </c>
      <c r="E6" t="s">
        <v>264</v>
      </c>
      <c r="G6" t="s">
        <v>257</v>
      </c>
    </row>
    <row r="7" spans="1:8" x14ac:dyDescent="0.3">
      <c r="A7" t="s">
        <v>210</v>
      </c>
      <c r="B7" t="s">
        <v>221</v>
      </c>
      <c r="C7">
        <v>742</v>
      </c>
      <c r="D7" t="s">
        <v>224</v>
      </c>
      <c r="E7" t="s">
        <v>222</v>
      </c>
      <c r="G7" t="s">
        <v>253</v>
      </c>
    </row>
    <row r="8" spans="1:8" x14ac:dyDescent="0.3">
      <c r="A8" t="s">
        <v>210</v>
      </c>
      <c r="B8" t="s">
        <v>221</v>
      </c>
      <c r="C8">
        <v>743</v>
      </c>
      <c r="D8" t="s">
        <v>306</v>
      </c>
      <c r="E8" t="s">
        <v>264</v>
      </c>
      <c r="G8" t="s">
        <v>338</v>
      </c>
    </row>
    <row r="9" spans="1:8" x14ac:dyDescent="0.3">
      <c r="A9" t="s">
        <v>210</v>
      </c>
      <c r="B9" t="s">
        <v>169</v>
      </c>
      <c r="C9">
        <v>312</v>
      </c>
      <c r="D9" t="s">
        <v>257</v>
      </c>
      <c r="E9" t="s">
        <v>238</v>
      </c>
      <c r="G9" t="s">
        <v>337</v>
      </c>
    </row>
    <row r="10" spans="1:8" x14ac:dyDescent="0.3">
      <c r="A10" t="s">
        <v>210</v>
      </c>
      <c r="B10" t="s">
        <v>169</v>
      </c>
      <c r="C10">
        <v>320</v>
      </c>
      <c r="D10" t="s">
        <v>253</v>
      </c>
      <c r="E10" t="s">
        <v>222</v>
      </c>
      <c r="G10" t="s">
        <v>240</v>
      </c>
    </row>
    <row r="11" spans="1:8" x14ac:dyDescent="0.3">
      <c r="A11" t="s">
        <v>210</v>
      </c>
      <c r="B11" t="s">
        <v>169</v>
      </c>
      <c r="C11">
        <v>328</v>
      </c>
      <c r="D11" t="s">
        <v>338</v>
      </c>
      <c r="E11" t="s">
        <v>238</v>
      </c>
      <c r="G11" t="s">
        <v>239</v>
      </c>
    </row>
    <row r="12" spans="1:8" x14ac:dyDescent="0.3">
      <c r="A12" t="s">
        <v>210</v>
      </c>
      <c r="B12" t="s">
        <v>169</v>
      </c>
      <c r="C12">
        <v>334</v>
      </c>
      <c r="D12" t="s">
        <v>337</v>
      </c>
      <c r="E12" t="s">
        <v>238</v>
      </c>
      <c r="G12" t="s">
        <v>339</v>
      </c>
    </row>
    <row r="13" spans="1:8" x14ac:dyDescent="0.3">
      <c r="A13" t="s">
        <v>210</v>
      </c>
      <c r="B13" t="s">
        <v>169</v>
      </c>
      <c r="C13">
        <v>342</v>
      </c>
      <c r="D13" t="s">
        <v>240</v>
      </c>
      <c r="E13" t="s">
        <v>222</v>
      </c>
      <c r="G13" t="s">
        <v>220</v>
      </c>
    </row>
    <row r="14" spans="1:8" x14ac:dyDescent="0.3">
      <c r="A14" t="s">
        <v>210</v>
      </c>
      <c r="B14" t="s">
        <v>169</v>
      </c>
      <c r="C14">
        <v>344</v>
      </c>
      <c r="D14" t="s">
        <v>239</v>
      </c>
      <c r="E14" t="s">
        <v>238</v>
      </c>
      <c r="G14" t="s">
        <v>260</v>
      </c>
    </row>
    <row r="15" spans="1:8" x14ac:dyDescent="0.3">
      <c r="A15" t="s">
        <v>210</v>
      </c>
      <c r="B15" t="s">
        <v>221</v>
      </c>
      <c r="C15">
        <v>748</v>
      </c>
      <c r="D15" t="s">
        <v>339</v>
      </c>
      <c r="E15" t="s">
        <v>219</v>
      </c>
      <c r="G15" t="s">
        <v>249</v>
      </c>
    </row>
    <row r="16" spans="1:8" x14ac:dyDescent="0.3">
      <c r="A16" t="s">
        <v>210</v>
      </c>
      <c r="B16" t="s">
        <v>221</v>
      </c>
      <c r="C16">
        <v>749</v>
      </c>
      <c r="D16" t="s">
        <v>220</v>
      </c>
      <c r="E16" t="s">
        <v>219</v>
      </c>
      <c r="G16" t="s">
        <v>248</v>
      </c>
    </row>
    <row r="17" spans="1:7" x14ac:dyDescent="0.3">
      <c r="A17" t="s">
        <v>210</v>
      </c>
      <c r="B17" t="s">
        <v>221</v>
      </c>
      <c r="C17">
        <v>714</v>
      </c>
      <c r="D17" t="s">
        <v>267</v>
      </c>
      <c r="E17" t="s">
        <v>222</v>
      </c>
      <c r="G17" t="s">
        <v>245</v>
      </c>
    </row>
    <row r="18" spans="1:7" x14ac:dyDescent="0.3">
      <c r="A18" t="s">
        <v>210</v>
      </c>
      <c r="B18" t="s">
        <v>221</v>
      </c>
      <c r="C18">
        <v>742</v>
      </c>
      <c r="D18" t="s">
        <v>224</v>
      </c>
      <c r="E18" t="s">
        <v>222</v>
      </c>
      <c r="G18" t="s">
        <v>313</v>
      </c>
    </row>
    <row r="19" spans="1:7" x14ac:dyDescent="0.3">
      <c r="A19" t="s">
        <v>210</v>
      </c>
      <c r="B19" t="s">
        <v>221</v>
      </c>
      <c r="C19">
        <v>743</v>
      </c>
      <c r="D19" t="s">
        <v>306</v>
      </c>
      <c r="E19" t="s">
        <v>264</v>
      </c>
      <c r="G19" t="s">
        <v>228</v>
      </c>
    </row>
    <row r="20" spans="1:7" x14ac:dyDescent="0.3">
      <c r="A20" t="s">
        <v>210</v>
      </c>
      <c r="B20" t="s">
        <v>169</v>
      </c>
      <c r="C20">
        <v>308</v>
      </c>
      <c r="D20" t="s">
        <v>260</v>
      </c>
      <c r="E20" t="s">
        <v>222</v>
      </c>
      <c r="G20" t="s">
        <v>265</v>
      </c>
    </row>
    <row r="21" spans="1:7" x14ac:dyDescent="0.3">
      <c r="A21" t="s">
        <v>210</v>
      </c>
      <c r="B21" t="s">
        <v>169</v>
      </c>
      <c r="C21">
        <v>312</v>
      </c>
      <c r="D21" t="s">
        <v>257</v>
      </c>
      <c r="E21" t="s">
        <v>238</v>
      </c>
      <c r="G21" t="s">
        <v>223</v>
      </c>
    </row>
    <row r="22" spans="1:7" x14ac:dyDescent="0.3">
      <c r="A22" t="s">
        <v>210</v>
      </c>
      <c r="B22" t="s">
        <v>169</v>
      </c>
      <c r="C22">
        <v>320</v>
      </c>
      <c r="D22" t="s">
        <v>253</v>
      </c>
      <c r="E22" t="s">
        <v>222</v>
      </c>
      <c r="G22" t="s">
        <v>254</v>
      </c>
    </row>
    <row r="23" spans="1:7" x14ac:dyDescent="0.3">
      <c r="A23" t="s">
        <v>210</v>
      </c>
      <c r="B23" t="s">
        <v>169</v>
      </c>
      <c r="C23">
        <v>328</v>
      </c>
      <c r="D23" t="s">
        <v>338</v>
      </c>
      <c r="E23" t="s">
        <v>238</v>
      </c>
      <c r="G23" t="s">
        <v>261</v>
      </c>
    </row>
    <row r="24" spans="1:7" x14ac:dyDescent="0.3">
      <c r="A24" t="s">
        <v>210</v>
      </c>
      <c r="B24" t="s">
        <v>169</v>
      </c>
      <c r="C24">
        <v>329</v>
      </c>
      <c r="D24" t="s">
        <v>249</v>
      </c>
      <c r="E24" t="s">
        <v>222</v>
      </c>
      <c r="G24" t="s">
        <v>234</v>
      </c>
    </row>
    <row r="25" spans="1:7" x14ac:dyDescent="0.3">
      <c r="A25" t="s">
        <v>210</v>
      </c>
      <c r="B25" t="s">
        <v>169</v>
      </c>
      <c r="C25">
        <v>330</v>
      </c>
      <c r="D25" t="s">
        <v>248</v>
      </c>
      <c r="E25" t="s">
        <v>222</v>
      </c>
      <c r="G25" t="s">
        <v>231</v>
      </c>
    </row>
    <row r="26" spans="1:7" x14ac:dyDescent="0.3">
      <c r="A26" t="s">
        <v>210</v>
      </c>
      <c r="B26" t="s">
        <v>169</v>
      </c>
      <c r="C26">
        <v>333</v>
      </c>
      <c r="D26" t="s">
        <v>245</v>
      </c>
      <c r="E26" t="s">
        <v>238</v>
      </c>
      <c r="G26" t="s">
        <v>230</v>
      </c>
    </row>
    <row r="27" spans="1:7" x14ac:dyDescent="0.3">
      <c r="A27" t="s">
        <v>210</v>
      </c>
      <c r="B27" t="s">
        <v>169</v>
      </c>
      <c r="C27">
        <v>334</v>
      </c>
      <c r="D27" t="s">
        <v>337</v>
      </c>
      <c r="E27" t="s">
        <v>238</v>
      </c>
      <c r="G27" t="s">
        <v>250</v>
      </c>
    </row>
    <row r="28" spans="1:7" x14ac:dyDescent="0.3">
      <c r="A28" t="s">
        <v>210</v>
      </c>
      <c r="B28" t="s">
        <v>169</v>
      </c>
      <c r="C28">
        <v>342</v>
      </c>
      <c r="D28" t="s">
        <v>240</v>
      </c>
      <c r="E28" t="s">
        <v>222</v>
      </c>
      <c r="G28" t="s">
        <v>227</v>
      </c>
    </row>
    <row r="29" spans="1:7" x14ac:dyDescent="0.3">
      <c r="A29" t="s">
        <v>210</v>
      </c>
      <c r="B29" t="s">
        <v>169</v>
      </c>
      <c r="C29">
        <v>344</v>
      </c>
      <c r="D29" t="s">
        <v>239</v>
      </c>
      <c r="E29" t="s">
        <v>238</v>
      </c>
      <c r="G29" t="s">
        <v>266</v>
      </c>
    </row>
    <row r="30" spans="1:7" x14ac:dyDescent="0.3">
      <c r="A30" t="s">
        <v>210</v>
      </c>
      <c r="B30" t="s">
        <v>169</v>
      </c>
      <c r="C30">
        <v>420</v>
      </c>
      <c r="D30" t="s">
        <v>313</v>
      </c>
      <c r="E30" t="s">
        <v>238</v>
      </c>
      <c r="G30" t="s">
        <v>226</v>
      </c>
    </row>
    <row r="31" spans="1:7" x14ac:dyDescent="0.3">
      <c r="A31" t="s">
        <v>210</v>
      </c>
      <c r="B31" t="s">
        <v>221</v>
      </c>
      <c r="C31">
        <v>712</v>
      </c>
      <c r="D31" t="s">
        <v>228</v>
      </c>
      <c r="E31" t="s">
        <v>219</v>
      </c>
      <c r="G31" t="s">
        <v>225</v>
      </c>
    </row>
    <row r="32" spans="1:7" x14ac:dyDescent="0.3">
      <c r="A32" t="s">
        <v>210</v>
      </c>
      <c r="B32" t="s">
        <v>221</v>
      </c>
      <c r="C32">
        <v>744</v>
      </c>
      <c r="D32" t="s">
        <v>265</v>
      </c>
      <c r="E32" t="s">
        <v>222</v>
      </c>
      <c r="G32" t="s">
        <v>335</v>
      </c>
    </row>
    <row r="33" spans="1:7" x14ac:dyDescent="0.3">
      <c r="A33" t="s">
        <v>210</v>
      </c>
      <c r="B33" t="s">
        <v>221</v>
      </c>
      <c r="C33">
        <v>745</v>
      </c>
      <c r="D33" t="s">
        <v>223</v>
      </c>
      <c r="E33" t="s">
        <v>222</v>
      </c>
      <c r="G33" t="s">
        <v>334</v>
      </c>
    </row>
    <row r="34" spans="1:7" x14ac:dyDescent="0.3">
      <c r="A34" t="s">
        <v>210</v>
      </c>
      <c r="B34" t="s">
        <v>221</v>
      </c>
      <c r="C34">
        <v>748</v>
      </c>
      <c r="D34" t="s">
        <v>339</v>
      </c>
      <c r="E34" t="s">
        <v>219</v>
      </c>
      <c r="G34" t="s">
        <v>296</v>
      </c>
    </row>
    <row r="35" spans="1:7" x14ac:dyDescent="0.3">
      <c r="A35" t="s">
        <v>210</v>
      </c>
      <c r="B35" t="s">
        <v>221</v>
      </c>
      <c r="C35">
        <v>749</v>
      </c>
      <c r="D35" t="s">
        <v>220</v>
      </c>
      <c r="E35" t="s">
        <v>219</v>
      </c>
      <c r="G35" t="s">
        <v>333</v>
      </c>
    </row>
    <row r="36" spans="1:7" x14ac:dyDescent="0.3">
      <c r="A36" t="s">
        <v>210</v>
      </c>
      <c r="B36" t="s">
        <v>169</v>
      </c>
      <c r="C36">
        <v>308</v>
      </c>
      <c r="D36" t="s">
        <v>260</v>
      </c>
      <c r="E36" t="s">
        <v>222</v>
      </c>
      <c r="G36" t="s">
        <v>332</v>
      </c>
    </row>
    <row r="37" spans="1:7" x14ac:dyDescent="0.3">
      <c r="A37" t="s">
        <v>210</v>
      </c>
      <c r="B37" t="s">
        <v>169</v>
      </c>
      <c r="C37">
        <v>312</v>
      </c>
      <c r="D37" t="s">
        <v>257</v>
      </c>
      <c r="E37" t="s">
        <v>238</v>
      </c>
      <c r="G37" t="s">
        <v>295</v>
      </c>
    </row>
    <row r="38" spans="1:7" x14ac:dyDescent="0.3">
      <c r="A38" t="s">
        <v>210</v>
      </c>
      <c r="B38" t="s">
        <v>169</v>
      </c>
      <c r="C38">
        <v>318</v>
      </c>
      <c r="D38" t="s">
        <v>254</v>
      </c>
      <c r="E38" t="s">
        <v>222</v>
      </c>
      <c r="G38" t="s">
        <v>331</v>
      </c>
    </row>
    <row r="39" spans="1:7" x14ac:dyDescent="0.3">
      <c r="A39" t="s">
        <v>210</v>
      </c>
      <c r="B39" t="s">
        <v>169</v>
      </c>
      <c r="C39">
        <v>320</v>
      </c>
      <c r="D39" t="s">
        <v>253</v>
      </c>
      <c r="E39" t="s">
        <v>222</v>
      </c>
      <c r="G39" t="s">
        <v>293</v>
      </c>
    </row>
    <row r="40" spans="1:7" x14ac:dyDescent="0.3">
      <c r="A40" t="s">
        <v>210</v>
      </c>
      <c r="B40" t="s">
        <v>169</v>
      </c>
      <c r="C40">
        <v>328</v>
      </c>
      <c r="D40" t="s">
        <v>338</v>
      </c>
      <c r="E40" t="s">
        <v>238</v>
      </c>
      <c r="G40" t="s">
        <v>330</v>
      </c>
    </row>
    <row r="41" spans="1:7" x14ac:dyDescent="0.3">
      <c r="A41" t="s">
        <v>210</v>
      </c>
      <c r="B41" t="s">
        <v>169</v>
      </c>
      <c r="C41">
        <v>329</v>
      </c>
      <c r="D41" t="s">
        <v>249</v>
      </c>
      <c r="E41" t="s">
        <v>222</v>
      </c>
      <c r="G41" t="s">
        <v>336</v>
      </c>
    </row>
    <row r="42" spans="1:7" x14ac:dyDescent="0.3">
      <c r="A42" t="s">
        <v>210</v>
      </c>
      <c r="B42" t="s">
        <v>169</v>
      </c>
      <c r="C42">
        <v>333</v>
      </c>
      <c r="D42" t="s">
        <v>245</v>
      </c>
      <c r="E42" t="s">
        <v>238</v>
      </c>
      <c r="G42" t="s">
        <v>292</v>
      </c>
    </row>
    <row r="43" spans="1:7" x14ac:dyDescent="0.3">
      <c r="A43" t="s">
        <v>210</v>
      </c>
      <c r="B43" t="s">
        <v>169</v>
      </c>
      <c r="C43">
        <v>334</v>
      </c>
      <c r="D43" t="s">
        <v>337</v>
      </c>
      <c r="E43" t="s">
        <v>238</v>
      </c>
      <c r="G43" t="s">
        <v>328</v>
      </c>
    </row>
    <row r="44" spans="1:7" x14ac:dyDescent="0.3">
      <c r="A44" t="s">
        <v>210</v>
      </c>
      <c r="B44" t="s">
        <v>169</v>
      </c>
      <c r="C44">
        <v>342</v>
      </c>
      <c r="D44" t="s">
        <v>240</v>
      </c>
      <c r="E44" t="s">
        <v>222</v>
      </c>
      <c r="G44" t="s">
        <v>277</v>
      </c>
    </row>
    <row r="45" spans="1:7" x14ac:dyDescent="0.3">
      <c r="A45" t="s">
        <v>210</v>
      </c>
      <c r="B45" t="s">
        <v>169</v>
      </c>
      <c r="C45">
        <v>344</v>
      </c>
      <c r="D45" t="s">
        <v>239</v>
      </c>
      <c r="E45" t="s">
        <v>238</v>
      </c>
      <c r="G45" t="s">
        <v>291</v>
      </c>
    </row>
    <row r="46" spans="1:7" x14ac:dyDescent="0.3">
      <c r="A46" t="s">
        <v>210</v>
      </c>
      <c r="B46" t="s">
        <v>169</v>
      </c>
      <c r="C46">
        <v>420</v>
      </c>
      <c r="D46" t="s">
        <v>313</v>
      </c>
      <c r="E46" t="s">
        <v>238</v>
      </c>
      <c r="G46" t="s">
        <v>290</v>
      </c>
    </row>
    <row r="47" spans="1:7" x14ac:dyDescent="0.3">
      <c r="A47" t="s">
        <v>210</v>
      </c>
      <c r="B47" t="s">
        <v>221</v>
      </c>
      <c r="C47">
        <v>748</v>
      </c>
      <c r="D47" t="s">
        <v>339</v>
      </c>
      <c r="E47" t="s">
        <v>219</v>
      </c>
      <c r="G47" t="s">
        <v>289</v>
      </c>
    </row>
    <row r="48" spans="1:7" x14ac:dyDescent="0.3">
      <c r="A48" t="s">
        <v>210</v>
      </c>
      <c r="B48" t="s">
        <v>221</v>
      </c>
      <c r="C48">
        <v>749</v>
      </c>
      <c r="D48" t="s">
        <v>220</v>
      </c>
      <c r="E48" t="s">
        <v>219</v>
      </c>
      <c r="G48" t="s">
        <v>287</v>
      </c>
    </row>
    <row r="49" spans="1:7" x14ac:dyDescent="0.3">
      <c r="A49" t="s">
        <v>210</v>
      </c>
      <c r="B49" t="s">
        <v>169</v>
      </c>
      <c r="C49">
        <v>302</v>
      </c>
      <c r="D49" t="s">
        <v>261</v>
      </c>
      <c r="E49" t="s">
        <v>222</v>
      </c>
      <c r="G49" t="s">
        <v>274</v>
      </c>
    </row>
    <row r="50" spans="1:7" x14ac:dyDescent="0.3">
      <c r="A50" t="s">
        <v>210</v>
      </c>
      <c r="B50" t="s">
        <v>169</v>
      </c>
      <c r="C50">
        <v>328</v>
      </c>
      <c r="D50" t="s">
        <v>338</v>
      </c>
      <c r="E50" t="s">
        <v>238</v>
      </c>
      <c r="G50" t="s">
        <v>327</v>
      </c>
    </row>
    <row r="51" spans="1:7" x14ac:dyDescent="0.3">
      <c r="A51" t="s">
        <v>210</v>
      </c>
      <c r="B51" t="s">
        <v>169</v>
      </c>
      <c r="C51">
        <v>356</v>
      </c>
      <c r="D51" t="s">
        <v>234</v>
      </c>
      <c r="E51" t="s">
        <v>222</v>
      </c>
      <c r="G51" t="s">
        <v>286</v>
      </c>
    </row>
    <row r="52" spans="1:7" x14ac:dyDescent="0.3">
      <c r="A52" t="s">
        <v>210</v>
      </c>
      <c r="B52" t="s">
        <v>169</v>
      </c>
      <c r="C52">
        <v>372</v>
      </c>
      <c r="D52" t="s">
        <v>231</v>
      </c>
      <c r="E52" t="s">
        <v>222</v>
      </c>
      <c r="G52" t="s">
        <v>285</v>
      </c>
    </row>
    <row r="53" spans="1:7" x14ac:dyDescent="0.3">
      <c r="A53" t="s">
        <v>210</v>
      </c>
      <c r="B53" t="s">
        <v>169</v>
      </c>
      <c r="C53">
        <v>387</v>
      </c>
      <c r="D53" t="s">
        <v>230</v>
      </c>
      <c r="E53" t="s">
        <v>222</v>
      </c>
      <c r="G53" t="s">
        <v>284</v>
      </c>
    </row>
    <row r="54" spans="1:7" x14ac:dyDescent="0.3">
      <c r="A54" t="s">
        <v>210</v>
      </c>
      <c r="B54" t="s">
        <v>169</v>
      </c>
      <c r="C54">
        <v>308</v>
      </c>
      <c r="D54" t="s">
        <v>260</v>
      </c>
      <c r="E54" t="s">
        <v>222</v>
      </c>
      <c r="G54" t="s">
        <v>283</v>
      </c>
    </row>
    <row r="55" spans="1:7" x14ac:dyDescent="0.3">
      <c r="A55" t="s">
        <v>210</v>
      </c>
      <c r="B55" t="s">
        <v>169</v>
      </c>
      <c r="C55">
        <v>312</v>
      </c>
      <c r="D55" t="s">
        <v>257</v>
      </c>
      <c r="E55" t="s">
        <v>238</v>
      </c>
      <c r="G55" t="s">
        <v>324</v>
      </c>
    </row>
    <row r="56" spans="1:7" x14ac:dyDescent="0.3">
      <c r="A56" t="s">
        <v>210</v>
      </c>
      <c r="B56" t="s">
        <v>169</v>
      </c>
      <c r="C56">
        <v>320</v>
      </c>
      <c r="D56" t="s">
        <v>253</v>
      </c>
      <c r="E56" t="s">
        <v>222</v>
      </c>
      <c r="G56" t="s">
        <v>323</v>
      </c>
    </row>
    <row r="57" spans="1:7" x14ac:dyDescent="0.3">
      <c r="A57" t="s">
        <v>210</v>
      </c>
      <c r="B57" t="s">
        <v>169</v>
      </c>
      <c r="C57">
        <v>328</v>
      </c>
      <c r="D57" t="s">
        <v>338</v>
      </c>
      <c r="E57" t="s">
        <v>238</v>
      </c>
      <c r="G57" t="s">
        <v>282</v>
      </c>
    </row>
    <row r="58" spans="1:7" x14ac:dyDescent="0.3">
      <c r="A58" t="s">
        <v>210</v>
      </c>
      <c r="B58" t="s">
        <v>169</v>
      </c>
      <c r="C58">
        <v>329</v>
      </c>
      <c r="D58" t="s">
        <v>249</v>
      </c>
      <c r="E58" t="s">
        <v>222</v>
      </c>
      <c r="G58" t="s">
        <v>281</v>
      </c>
    </row>
    <row r="59" spans="1:7" x14ac:dyDescent="0.3">
      <c r="A59" t="s">
        <v>210</v>
      </c>
      <c r="B59" t="s">
        <v>169</v>
      </c>
      <c r="C59">
        <v>333</v>
      </c>
      <c r="D59" t="s">
        <v>245</v>
      </c>
      <c r="E59" t="s">
        <v>238</v>
      </c>
      <c r="G59" t="s">
        <v>280</v>
      </c>
    </row>
    <row r="60" spans="1:7" x14ac:dyDescent="0.3">
      <c r="A60" t="s">
        <v>210</v>
      </c>
      <c r="B60" t="s">
        <v>169</v>
      </c>
      <c r="C60">
        <v>334</v>
      </c>
      <c r="D60" t="s">
        <v>337</v>
      </c>
      <c r="E60" t="s">
        <v>238</v>
      </c>
      <c r="G60" t="s">
        <v>278</v>
      </c>
    </row>
    <row r="61" spans="1:7" x14ac:dyDescent="0.3">
      <c r="A61" t="s">
        <v>210</v>
      </c>
      <c r="B61" t="s">
        <v>169</v>
      </c>
      <c r="C61">
        <v>342</v>
      </c>
      <c r="D61" t="s">
        <v>240</v>
      </c>
      <c r="E61" t="s">
        <v>222</v>
      </c>
      <c r="G61" t="s">
        <v>256</v>
      </c>
    </row>
    <row r="62" spans="1:7" x14ac:dyDescent="0.3">
      <c r="A62" t="s">
        <v>210</v>
      </c>
      <c r="B62" t="s">
        <v>169</v>
      </c>
      <c r="C62">
        <v>344</v>
      </c>
      <c r="D62" t="s">
        <v>239</v>
      </c>
      <c r="E62" t="s">
        <v>238</v>
      </c>
      <c r="G62" t="s">
        <v>247</v>
      </c>
    </row>
    <row r="63" spans="1:7" x14ac:dyDescent="0.3">
      <c r="A63" t="s">
        <v>210</v>
      </c>
      <c r="B63" t="s">
        <v>169</v>
      </c>
      <c r="C63">
        <v>420</v>
      </c>
      <c r="D63" t="s">
        <v>313</v>
      </c>
      <c r="E63" t="s">
        <v>238</v>
      </c>
      <c r="G63" t="s">
        <v>246</v>
      </c>
    </row>
    <row r="64" spans="1:7" x14ac:dyDescent="0.3">
      <c r="A64" t="s">
        <v>210</v>
      </c>
      <c r="B64" t="s">
        <v>221</v>
      </c>
      <c r="C64">
        <v>712</v>
      </c>
      <c r="D64" t="s">
        <v>228</v>
      </c>
      <c r="E64" t="s">
        <v>219</v>
      </c>
      <c r="G64" t="s">
        <v>242</v>
      </c>
    </row>
    <row r="65" spans="1:7" x14ac:dyDescent="0.3">
      <c r="A65" t="s">
        <v>210</v>
      </c>
      <c r="B65" t="s">
        <v>221</v>
      </c>
      <c r="C65">
        <v>748</v>
      </c>
      <c r="D65" t="s">
        <v>339</v>
      </c>
      <c r="E65" t="s">
        <v>219</v>
      </c>
      <c r="G65" t="s">
        <v>241</v>
      </c>
    </row>
    <row r="66" spans="1:7" x14ac:dyDescent="0.3">
      <c r="A66" t="s">
        <v>210</v>
      </c>
      <c r="B66" t="s">
        <v>221</v>
      </c>
      <c r="C66">
        <v>749</v>
      </c>
      <c r="D66" t="s">
        <v>220</v>
      </c>
      <c r="E66" t="s">
        <v>219</v>
      </c>
      <c r="G66" t="s">
        <v>236</v>
      </c>
    </row>
    <row r="67" spans="1:7" x14ac:dyDescent="0.3">
      <c r="A67" t="s">
        <v>203</v>
      </c>
      <c r="B67" t="s">
        <v>169</v>
      </c>
      <c r="C67">
        <v>327</v>
      </c>
      <c r="D67" t="s">
        <v>250</v>
      </c>
      <c r="E67" t="s">
        <v>222</v>
      </c>
      <c r="G67" t="s">
        <v>311</v>
      </c>
    </row>
    <row r="68" spans="1:7" x14ac:dyDescent="0.3">
      <c r="A68" t="s">
        <v>203</v>
      </c>
      <c r="B68" t="s">
        <v>221</v>
      </c>
      <c r="C68">
        <v>728</v>
      </c>
      <c r="D68" t="s">
        <v>227</v>
      </c>
      <c r="E68" t="s">
        <v>219</v>
      </c>
      <c r="G68" t="s">
        <v>268</v>
      </c>
    </row>
    <row r="69" spans="1:7" x14ac:dyDescent="0.3">
      <c r="A69" t="s">
        <v>203</v>
      </c>
      <c r="B69" t="s">
        <v>221</v>
      </c>
      <c r="C69">
        <v>729</v>
      </c>
      <c r="D69" t="s">
        <v>266</v>
      </c>
      <c r="E69" t="s">
        <v>219</v>
      </c>
      <c r="G69" t="s">
        <v>310</v>
      </c>
    </row>
    <row r="70" spans="1:7" x14ac:dyDescent="0.3">
      <c r="A70" t="s">
        <v>203</v>
      </c>
      <c r="B70" t="s">
        <v>221</v>
      </c>
      <c r="C70">
        <v>739</v>
      </c>
      <c r="D70" t="s">
        <v>226</v>
      </c>
      <c r="E70" t="s">
        <v>219</v>
      </c>
      <c r="G70" t="s">
        <v>309</v>
      </c>
    </row>
    <row r="71" spans="1:7" x14ac:dyDescent="0.3">
      <c r="A71" t="s">
        <v>203</v>
      </c>
      <c r="B71" t="s">
        <v>221</v>
      </c>
      <c r="C71">
        <v>740</v>
      </c>
      <c r="D71" t="s">
        <v>225</v>
      </c>
      <c r="E71" t="s">
        <v>219</v>
      </c>
      <c r="G71" t="s">
        <v>263</v>
      </c>
    </row>
    <row r="72" spans="1:7" x14ac:dyDescent="0.3">
      <c r="A72" t="s">
        <v>203</v>
      </c>
      <c r="B72" t="s">
        <v>294</v>
      </c>
      <c r="C72">
        <v>105</v>
      </c>
      <c r="D72" t="s">
        <v>335</v>
      </c>
      <c r="E72" t="s">
        <v>222</v>
      </c>
      <c r="G72" t="s">
        <v>262</v>
      </c>
    </row>
    <row r="73" spans="1:7" x14ac:dyDescent="0.3">
      <c r="A73" t="s">
        <v>203</v>
      </c>
      <c r="B73" t="s">
        <v>294</v>
      </c>
      <c r="C73">
        <v>106</v>
      </c>
      <c r="D73" t="s">
        <v>334</v>
      </c>
      <c r="E73" t="s">
        <v>222</v>
      </c>
      <c r="G73" t="s">
        <v>305</v>
      </c>
    </row>
    <row r="74" spans="1:7" x14ac:dyDescent="0.3">
      <c r="A74" t="s">
        <v>203</v>
      </c>
      <c r="B74" t="s">
        <v>294</v>
      </c>
      <c r="C74">
        <v>107</v>
      </c>
      <c r="D74" t="s">
        <v>296</v>
      </c>
      <c r="E74" t="s">
        <v>222</v>
      </c>
      <c r="G74" t="s">
        <v>304</v>
      </c>
    </row>
    <row r="75" spans="1:7" x14ac:dyDescent="0.3">
      <c r="A75" t="s">
        <v>203</v>
      </c>
      <c r="B75" t="s">
        <v>294</v>
      </c>
      <c r="C75">
        <v>108</v>
      </c>
      <c r="D75" t="s">
        <v>333</v>
      </c>
      <c r="E75" t="s">
        <v>264</v>
      </c>
      <c r="G75" t="s">
        <v>259</v>
      </c>
    </row>
    <row r="76" spans="1:7" x14ac:dyDescent="0.3">
      <c r="A76" t="s">
        <v>203</v>
      </c>
      <c r="B76" t="s">
        <v>294</v>
      </c>
      <c r="C76">
        <v>109</v>
      </c>
      <c r="D76" t="s">
        <v>332</v>
      </c>
      <c r="E76" t="s">
        <v>264</v>
      </c>
      <c r="G76" t="s">
        <v>258</v>
      </c>
    </row>
    <row r="77" spans="1:7" x14ac:dyDescent="0.3">
      <c r="A77" t="s">
        <v>203</v>
      </c>
      <c r="B77" t="s">
        <v>294</v>
      </c>
      <c r="C77">
        <v>110</v>
      </c>
      <c r="D77" t="s">
        <v>295</v>
      </c>
      <c r="E77" t="s">
        <v>264</v>
      </c>
      <c r="G77" t="s">
        <v>276</v>
      </c>
    </row>
    <row r="78" spans="1:7" x14ac:dyDescent="0.3">
      <c r="A78" t="s">
        <v>203</v>
      </c>
      <c r="B78" t="s">
        <v>294</v>
      </c>
      <c r="C78">
        <v>120</v>
      </c>
      <c r="D78" t="s">
        <v>331</v>
      </c>
      <c r="E78" t="s">
        <v>238</v>
      </c>
      <c r="G78" t="s">
        <v>237</v>
      </c>
    </row>
    <row r="79" spans="1:7" x14ac:dyDescent="0.3">
      <c r="A79" t="s">
        <v>203</v>
      </c>
      <c r="B79" t="s">
        <v>294</v>
      </c>
      <c r="C79">
        <v>129</v>
      </c>
      <c r="D79" t="s">
        <v>293</v>
      </c>
      <c r="E79" t="s">
        <v>264</v>
      </c>
      <c r="G79" t="s">
        <v>235</v>
      </c>
    </row>
    <row r="80" spans="1:7" x14ac:dyDescent="0.3">
      <c r="A80" t="s">
        <v>203</v>
      </c>
      <c r="B80" t="s">
        <v>294</v>
      </c>
      <c r="C80">
        <v>130</v>
      </c>
      <c r="D80" t="s">
        <v>330</v>
      </c>
      <c r="E80" t="s">
        <v>264</v>
      </c>
      <c r="G80" t="s">
        <v>233</v>
      </c>
    </row>
    <row r="81" spans="1:7" x14ac:dyDescent="0.3">
      <c r="A81" t="s">
        <v>203</v>
      </c>
      <c r="B81" t="s">
        <v>294</v>
      </c>
      <c r="C81">
        <v>134</v>
      </c>
      <c r="D81" t="s">
        <v>336</v>
      </c>
      <c r="E81" t="s">
        <v>238</v>
      </c>
      <c r="G81" t="s">
        <v>322</v>
      </c>
    </row>
    <row r="82" spans="1:7" x14ac:dyDescent="0.3">
      <c r="A82" t="s">
        <v>203</v>
      </c>
      <c r="B82" t="s">
        <v>279</v>
      </c>
      <c r="C82">
        <v>201</v>
      </c>
      <c r="D82" t="s">
        <v>292</v>
      </c>
      <c r="E82" t="s">
        <v>264</v>
      </c>
      <c r="G82" t="s">
        <v>232</v>
      </c>
    </row>
    <row r="83" spans="1:7" x14ac:dyDescent="0.3">
      <c r="A83" t="s">
        <v>203</v>
      </c>
      <c r="B83" t="s">
        <v>279</v>
      </c>
      <c r="C83">
        <v>202</v>
      </c>
      <c r="D83" t="s">
        <v>328</v>
      </c>
      <c r="E83" t="s">
        <v>264</v>
      </c>
      <c r="G83" t="s">
        <v>273</v>
      </c>
    </row>
    <row r="84" spans="1:7" x14ac:dyDescent="0.3">
      <c r="A84" t="s">
        <v>203</v>
      </c>
      <c r="B84" t="s">
        <v>279</v>
      </c>
      <c r="C84">
        <v>203</v>
      </c>
      <c r="D84" t="s">
        <v>277</v>
      </c>
      <c r="E84" t="s">
        <v>222</v>
      </c>
      <c r="G84" t="s">
        <v>272</v>
      </c>
    </row>
    <row r="85" spans="1:7" x14ac:dyDescent="0.3">
      <c r="A85" t="s">
        <v>203</v>
      </c>
      <c r="B85" t="s">
        <v>279</v>
      </c>
      <c r="C85">
        <v>204</v>
      </c>
      <c r="D85" t="s">
        <v>291</v>
      </c>
      <c r="E85" t="s">
        <v>222</v>
      </c>
      <c r="G85" t="s">
        <v>271</v>
      </c>
    </row>
    <row r="86" spans="1:7" x14ac:dyDescent="0.3">
      <c r="A86" t="s">
        <v>203</v>
      </c>
      <c r="B86" t="s">
        <v>279</v>
      </c>
      <c r="C86">
        <v>205</v>
      </c>
      <c r="D86" t="s">
        <v>290</v>
      </c>
      <c r="E86" t="s">
        <v>222</v>
      </c>
      <c r="G86" t="s">
        <v>270</v>
      </c>
    </row>
    <row r="87" spans="1:7" x14ac:dyDescent="0.3">
      <c r="A87" t="s">
        <v>203</v>
      </c>
      <c r="B87" t="s">
        <v>279</v>
      </c>
      <c r="C87">
        <v>207</v>
      </c>
      <c r="D87" t="s">
        <v>289</v>
      </c>
      <c r="E87" t="s">
        <v>264</v>
      </c>
      <c r="G87" t="s">
        <v>317</v>
      </c>
    </row>
    <row r="88" spans="1:7" x14ac:dyDescent="0.3">
      <c r="A88" t="s">
        <v>203</v>
      </c>
      <c r="B88" t="s">
        <v>279</v>
      </c>
      <c r="C88">
        <v>209</v>
      </c>
      <c r="D88" t="s">
        <v>287</v>
      </c>
      <c r="E88" t="s">
        <v>222</v>
      </c>
      <c r="G88" t="s">
        <v>315</v>
      </c>
    </row>
    <row r="89" spans="1:7" x14ac:dyDescent="0.3">
      <c r="A89" t="s">
        <v>203</v>
      </c>
      <c r="B89" t="s">
        <v>279</v>
      </c>
      <c r="C89">
        <v>210</v>
      </c>
      <c r="D89" t="s">
        <v>274</v>
      </c>
      <c r="E89" t="s">
        <v>264</v>
      </c>
      <c r="G89" t="s">
        <v>297</v>
      </c>
    </row>
    <row r="90" spans="1:7" x14ac:dyDescent="0.3">
      <c r="A90" t="s">
        <v>203</v>
      </c>
      <c r="B90" t="s">
        <v>279</v>
      </c>
      <c r="C90">
        <v>212</v>
      </c>
      <c r="D90" t="s">
        <v>327</v>
      </c>
      <c r="E90" t="s">
        <v>222</v>
      </c>
      <c r="G90" t="s">
        <v>300</v>
      </c>
    </row>
    <row r="91" spans="1:7" x14ac:dyDescent="0.3">
      <c r="A91" t="s">
        <v>203</v>
      </c>
      <c r="B91" t="s">
        <v>279</v>
      </c>
      <c r="C91">
        <v>214</v>
      </c>
      <c r="D91" t="s">
        <v>286</v>
      </c>
      <c r="E91" t="s">
        <v>264</v>
      </c>
      <c r="G91" t="s">
        <v>275</v>
      </c>
    </row>
    <row r="92" spans="1:7" x14ac:dyDescent="0.3">
      <c r="A92" t="s">
        <v>203</v>
      </c>
      <c r="B92" t="s">
        <v>279</v>
      </c>
      <c r="C92">
        <v>215</v>
      </c>
      <c r="D92" t="s">
        <v>285</v>
      </c>
      <c r="E92" t="s">
        <v>264</v>
      </c>
      <c r="G92" t="s">
        <v>318</v>
      </c>
    </row>
    <row r="93" spans="1:7" x14ac:dyDescent="0.3">
      <c r="A93" t="s">
        <v>203</v>
      </c>
      <c r="B93" t="s">
        <v>279</v>
      </c>
      <c r="C93">
        <v>217</v>
      </c>
      <c r="D93" t="s">
        <v>284</v>
      </c>
      <c r="E93" t="s">
        <v>264</v>
      </c>
      <c r="G93" t="s">
        <v>269</v>
      </c>
    </row>
    <row r="94" spans="1:7" x14ac:dyDescent="0.3">
      <c r="A94" t="s">
        <v>203</v>
      </c>
      <c r="B94" t="s">
        <v>279</v>
      </c>
      <c r="C94">
        <v>231</v>
      </c>
      <c r="D94" t="s">
        <v>283</v>
      </c>
      <c r="E94" t="s">
        <v>264</v>
      </c>
      <c r="G94" t="s">
        <v>312</v>
      </c>
    </row>
    <row r="95" spans="1:7" x14ac:dyDescent="0.3">
      <c r="A95" t="s">
        <v>203</v>
      </c>
      <c r="B95" t="s">
        <v>279</v>
      </c>
      <c r="C95">
        <v>232</v>
      </c>
      <c r="D95" t="s">
        <v>324</v>
      </c>
      <c r="E95" t="s">
        <v>264</v>
      </c>
      <c r="G95" t="s">
        <v>255</v>
      </c>
    </row>
    <row r="96" spans="1:7" x14ac:dyDescent="0.3">
      <c r="A96" t="s">
        <v>203</v>
      </c>
      <c r="B96" t="s">
        <v>279</v>
      </c>
      <c r="C96">
        <v>233</v>
      </c>
      <c r="D96" t="s">
        <v>323</v>
      </c>
      <c r="E96" t="s">
        <v>264</v>
      </c>
      <c r="G96" t="s">
        <v>344</v>
      </c>
    </row>
    <row r="97" spans="1:7" x14ac:dyDescent="0.3">
      <c r="A97" t="s">
        <v>203</v>
      </c>
      <c r="B97" t="s">
        <v>279</v>
      </c>
      <c r="C97">
        <v>234</v>
      </c>
      <c r="D97" t="s">
        <v>282</v>
      </c>
      <c r="E97" t="s">
        <v>264</v>
      </c>
      <c r="G97" t="s">
        <v>252</v>
      </c>
    </row>
    <row r="98" spans="1:7" x14ac:dyDescent="0.3">
      <c r="A98" t="s">
        <v>203</v>
      </c>
      <c r="B98" t="s">
        <v>279</v>
      </c>
      <c r="C98">
        <v>235</v>
      </c>
      <c r="D98" t="s">
        <v>281</v>
      </c>
      <c r="E98" t="s">
        <v>264</v>
      </c>
      <c r="G98" t="s">
        <v>251</v>
      </c>
    </row>
    <row r="99" spans="1:7" x14ac:dyDescent="0.3">
      <c r="A99" t="s">
        <v>203</v>
      </c>
      <c r="B99" t="s">
        <v>279</v>
      </c>
      <c r="C99">
        <v>237</v>
      </c>
      <c r="D99" t="s">
        <v>280</v>
      </c>
      <c r="E99" t="s">
        <v>264</v>
      </c>
      <c r="G99" t="s">
        <v>343</v>
      </c>
    </row>
    <row r="100" spans="1:7" x14ac:dyDescent="0.3">
      <c r="A100" t="s">
        <v>203</v>
      </c>
      <c r="B100" t="s">
        <v>279</v>
      </c>
      <c r="C100">
        <v>245</v>
      </c>
      <c r="D100" t="s">
        <v>230</v>
      </c>
      <c r="E100" t="s">
        <v>264</v>
      </c>
      <c r="G100" t="s">
        <v>299</v>
      </c>
    </row>
    <row r="101" spans="1:7" x14ac:dyDescent="0.3">
      <c r="A101" t="s">
        <v>203</v>
      </c>
      <c r="B101" t="s">
        <v>169</v>
      </c>
      <c r="C101">
        <v>301</v>
      </c>
      <c r="D101" t="s">
        <v>278</v>
      </c>
      <c r="E101" t="s">
        <v>222</v>
      </c>
      <c r="G101" t="s">
        <v>298</v>
      </c>
    </row>
    <row r="102" spans="1:7" x14ac:dyDescent="0.3">
      <c r="A102" t="s">
        <v>203</v>
      </c>
      <c r="B102" t="s">
        <v>169</v>
      </c>
      <c r="C102">
        <v>306</v>
      </c>
      <c r="D102" t="s">
        <v>327</v>
      </c>
      <c r="E102" t="s">
        <v>222</v>
      </c>
      <c r="G102" t="s">
        <v>319</v>
      </c>
    </row>
    <row r="103" spans="1:7" x14ac:dyDescent="0.3">
      <c r="A103" t="s">
        <v>203</v>
      </c>
      <c r="B103" t="s">
        <v>169</v>
      </c>
      <c r="C103">
        <v>308</v>
      </c>
      <c r="D103" t="s">
        <v>260</v>
      </c>
      <c r="E103" t="s">
        <v>222</v>
      </c>
      <c r="G103" t="s">
        <v>229</v>
      </c>
    </row>
    <row r="104" spans="1:7" x14ac:dyDescent="0.3">
      <c r="A104" t="s">
        <v>203</v>
      </c>
      <c r="B104" t="s">
        <v>169</v>
      </c>
      <c r="C104">
        <v>316</v>
      </c>
      <c r="D104" t="s">
        <v>256</v>
      </c>
      <c r="E104" t="s">
        <v>222</v>
      </c>
      <c r="G104" t="s">
        <v>288</v>
      </c>
    </row>
    <row r="105" spans="1:7" x14ac:dyDescent="0.3">
      <c r="A105" t="s">
        <v>203</v>
      </c>
      <c r="B105" t="s">
        <v>169</v>
      </c>
      <c r="C105">
        <v>320</v>
      </c>
      <c r="D105" t="s">
        <v>253</v>
      </c>
      <c r="E105" t="s">
        <v>222</v>
      </c>
      <c r="G105" t="s">
        <v>341</v>
      </c>
    </row>
    <row r="106" spans="1:7" x14ac:dyDescent="0.3">
      <c r="A106" t="s">
        <v>203</v>
      </c>
      <c r="B106" t="s">
        <v>169</v>
      </c>
      <c r="C106">
        <v>327</v>
      </c>
      <c r="D106" t="s">
        <v>250</v>
      </c>
      <c r="E106" t="s">
        <v>222</v>
      </c>
      <c r="G106" t="s">
        <v>321</v>
      </c>
    </row>
    <row r="107" spans="1:7" x14ac:dyDescent="0.3">
      <c r="A107" t="s">
        <v>203</v>
      </c>
      <c r="B107" t="s">
        <v>169</v>
      </c>
      <c r="C107">
        <v>329</v>
      </c>
      <c r="D107" t="s">
        <v>249</v>
      </c>
      <c r="E107" t="s">
        <v>222</v>
      </c>
      <c r="G107" t="s">
        <v>340</v>
      </c>
    </row>
    <row r="108" spans="1:7" x14ac:dyDescent="0.3">
      <c r="A108" t="s">
        <v>203</v>
      </c>
      <c r="B108" t="s">
        <v>169</v>
      </c>
      <c r="C108">
        <v>331</v>
      </c>
      <c r="D108" t="s">
        <v>247</v>
      </c>
      <c r="E108" t="s">
        <v>222</v>
      </c>
      <c r="G108" t="s">
        <v>316</v>
      </c>
    </row>
    <row r="109" spans="1:7" x14ac:dyDescent="0.3">
      <c r="A109" t="s">
        <v>203</v>
      </c>
      <c r="B109" t="s">
        <v>169</v>
      </c>
      <c r="C109">
        <v>332</v>
      </c>
      <c r="D109" t="s">
        <v>246</v>
      </c>
      <c r="E109" t="s">
        <v>222</v>
      </c>
      <c r="G109" t="s">
        <v>314</v>
      </c>
    </row>
    <row r="110" spans="1:7" x14ac:dyDescent="0.3">
      <c r="A110" t="s">
        <v>203</v>
      </c>
      <c r="B110" t="s">
        <v>169</v>
      </c>
      <c r="C110">
        <v>333</v>
      </c>
      <c r="D110" t="s">
        <v>245</v>
      </c>
      <c r="E110" t="s">
        <v>238</v>
      </c>
      <c r="G110" t="s">
        <v>329</v>
      </c>
    </row>
    <row r="111" spans="1:7" x14ac:dyDescent="0.3">
      <c r="A111" t="s">
        <v>203</v>
      </c>
      <c r="B111" t="s">
        <v>169</v>
      </c>
      <c r="C111">
        <v>339</v>
      </c>
      <c r="D111" t="s">
        <v>242</v>
      </c>
      <c r="E111" t="s">
        <v>222</v>
      </c>
      <c r="G111" t="s">
        <v>244</v>
      </c>
    </row>
    <row r="112" spans="1:7" x14ac:dyDescent="0.3">
      <c r="A112" t="s">
        <v>203</v>
      </c>
      <c r="B112" t="s">
        <v>169</v>
      </c>
      <c r="C112">
        <v>340</v>
      </c>
      <c r="D112" t="s">
        <v>241</v>
      </c>
      <c r="E112" t="s">
        <v>222</v>
      </c>
      <c r="G112" t="s">
        <v>243</v>
      </c>
    </row>
    <row r="113" spans="1:7" x14ac:dyDescent="0.3">
      <c r="A113" t="s">
        <v>203</v>
      </c>
      <c r="B113" t="s">
        <v>169</v>
      </c>
      <c r="C113">
        <v>348</v>
      </c>
      <c r="D113" t="s">
        <v>236</v>
      </c>
      <c r="E113" t="s">
        <v>222</v>
      </c>
      <c r="G113" t="s">
        <v>326</v>
      </c>
    </row>
    <row r="114" spans="1:7" x14ac:dyDescent="0.3">
      <c r="A114" t="s">
        <v>203</v>
      </c>
      <c r="B114" t="s">
        <v>169</v>
      </c>
      <c r="C114">
        <v>373</v>
      </c>
      <c r="D114" t="s">
        <v>274</v>
      </c>
      <c r="E114" t="s">
        <v>222</v>
      </c>
      <c r="G114" t="s">
        <v>320</v>
      </c>
    </row>
    <row r="115" spans="1:7" x14ac:dyDescent="0.3">
      <c r="A115" t="s">
        <v>203</v>
      </c>
      <c r="B115" t="s">
        <v>169</v>
      </c>
      <c r="C115">
        <v>383</v>
      </c>
      <c r="D115" t="s">
        <v>311</v>
      </c>
      <c r="E115" t="s">
        <v>222</v>
      </c>
      <c r="G115" t="s">
        <v>308</v>
      </c>
    </row>
    <row r="116" spans="1:7" x14ac:dyDescent="0.3">
      <c r="A116" t="s">
        <v>203</v>
      </c>
      <c r="B116" t="s">
        <v>221</v>
      </c>
      <c r="C116">
        <v>706</v>
      </c>
      <c r="D116" t="s">
        <v>268</v>
      </c>
      <c r="E116" t="s">
        <v>219</v>
      </c>
      <c r="G116" t="s">
        <v>307</v>
      </c>
    </row>
    <row r="117" spans="1:7" x14ac:dyDescent="0.3">
      <c r="A117" t="s">
        <v>203</v>
      </c>
      <c r="B117" t="s">
        <v>221</v>
      </c>
      <c r="C117">
        <v>714</v>
      </c>
      <c r="D117" t="s">
        <v>267</v>
      </c>
      <c r="E117" t="s">
        <v>264</v>
      </c>
      <c r="G117" t="s">
        <v>303</v>
      </c>
    </row>
    <row r="118" spans="1:7" x14ac:dyDescent="0.3">
      <c r="A118" t="s">
        <v>203</v>
      </c>
      <c r="B118" t="s">
        <v>221</v>
      </c>
      <c r="C118">
        <v>715</v>
      </c>
      <c r="D118" t="s">
        <v>311</v>
      </c>
      <c r="E118" t="s">
        <v>264</v>
      </c>
      <c r="G118" t="s">
        <v>301</v>
      </c>
    </row>
    <row r="119" spans="1:7" x14ac:dyDescent="0.3">
      <c r="A119" t="s">
        <v>203</v>
      </c>
      <c r="B119" t="s">
        <v>221</v>
      </c>
      <c r="C119">
        <v>717</v>
      </c>
      <c r="D119" t="s">
        <v>310</v>
      </c>
      <c r="E119" t="s">
        <v>219</v>
      </c>
      <c r="G119" t="s">
        <v>342</v>
      </c>
    </row>
    <row r="120" spans="1:7" x14ac:dyDescent="0.3">
      <c r="A120" t="s">
        <v>203</v>
      </c>
      <c r="B120" t="s">
        <v>221</v>
      </c>
      <c r="C120">
        <v>731</v>
      </c>
      <c r="D120" t="s">
        <v>309</v>
      </c>
      <c r="E120" t="s">
        <v>219</v>
      </c>
    </row>
    <row r="121" spans="1:7" x14ac:dyDescent="0.3">
      <c r="A121" t="s">
        <v>203</v>
      </c>
      <c r="B121" t="s">
        <v>221</v>
      </c>
      <c r="C121">
        <v>739</v>
      </c>
      <c r="D121" t="s">
        <v>226</v>
      </c>
      <c r="E121" t="s">
        <v>219</v>
      </c>
    </row>
    <row r="122" spans="1:7" x14ac:dyDescent="0.3">
      <c r="A122" t="s">
        <v>203</v>
      </c>
      <c r="B122" t="s">
        <v>221</v>
      </c>
      <c r="C122">
        <v>744</v>
      </c>
      <c r="D122" t="s">
        <v>265</v>
      </c>
      <c r="E122" t="s">
        <v>264</v>
      </c>
    </row>
    <row r="123" spans="1:7" x14ac:dyDescent="0.3">
      <c r="A123" t="s">
        <v>203</v>
      </c>
      <c r="B123" t="s">
        <v>221</v>
      </c>
      <c r="C123">
        <v>745</v>
      </c>
      <c r="D123" t="s">
        <v>223</v>
      </c>
      <c r="E123" t="s">
        <v>222</v>
      </c>
    </row>
    <row r="124" spans="1:7" x14ac:dyDescent="0.3">
      <c r="A124" t="s">
        <v>203</v>
      </c>
      <c r="B124" t="s">
        <v>221</v>
      </c>
      <c r="C124">
        <v>746</v>
      </c>
      <c r="D124" t="s">
        <v>263</v>
      </c>
      <c r="E124" t="s">
        <v>219</v>
      </c>
    </row>
    <row r="125" spans="1:7" x14ac:dyDescent="0.3">
      <c r="A125" t="s">
        <v>203</v>
      </c>
      <c r="B125" t="s">
        <v>221</v>
      </c>
      <c r="C125">
        <v>747</v>
      </c>
      <c r="D125" t="s">
        <v>262</v>
      </c>
      <c r="E125" t="s">
        <v>222</v>
      </c>
    </row>
    <row r="126" spans="1:7" x14ac:dyDescent="0.3">
      <c r="A126" t="s">
        <v>203</v>
      </c>
      <c r="B126" t="s">
        <v>302</v>
      </c>
      <c r="C126">
        <v>1101</v>
      </c>
      <c r="D126" t="s">
        <v>305</v>
      </c>
      <c r="E126" t="s">
        <v>264</v>
      </c>
    </row>
    <row r="127" spans="1:7" x14ac:dyDescent="0.3">
      <c r="A127" t="s">
        <v>203</v>
      </c>
      <c r="B127" t="s">
        <v>302</v>
      </c>
      <c r="C127">
        <v>1102</v>
      </c>
      <c r="D127" t="s">
        <v>304</v>
      </c>
      <c r="E127" t="s">
        <v>264</v>
      </c>
    </row>
    <row r="128" spans="1:7" x14ac:dyDescent="0.3">
      <c r="A128" t="s">
        <v>203</v>
      </c>
      <c r="B128" t="s">
        <v>169</v>
      </c>
      <c r="C128">
        <v>302</v>
      </c>
      <c r="D128" t="s">
        <v>261</v>
      </c>
      <c r="E128" t="s">
        <v>222</v>
      </c>
    </row>
    <row r="129" spans="1:5" x14ac:dyDescent="0.3">
      <c r="A129" t="s">
        <v>203</v>
      </c>
      <c r="B129" t="s">
        <v>169</v>
      </c>
      <c r="C129">
        <v>303</v>
      </c>
      <c r="D129" t="s">
        <v>328</v>
      </c>
      <c r="E129" t="s">
        <v>222</v>
      </c>
    </row>
    <row r="130" spans="1:5" x14ac:dyDescent="0.3">
      <c r="A130" t="s">
        <v>203</v>
      </c>
      <c r="B130" t="s">
        <v>169</v>
      </c>
      <c r="C130">
        <v>304</v>
      </c>
      <c r="D130" t="s">
        <v>277</v>
      </c>
      <c r="E130" t="s">
        <v>222</v>
      </c>
    </row>
    <row r="131" spans="1:5" x14ac:dyDescent="0.3">
      <c r="A131" t="s">
        <v>203</v>
      </c>
      <c r="B131" t="s">
        <v>169</v>
      </c>
      <c r="C131">
        <v>306</v>
      </c>
      <c r="D131" t="s">
        <v>327</v>
      </c>
      <c r="E131" t="s">
        <v>222</v>
      </c>
    </row>
    <row r="132" spans="1:5" x14ac:dyDescent="0.3">
      <c r="A132" t="s">
        <v>203</v>
      </c>
      <c r="B132" t="s">
        <v>169</v>
      </c>
      <c r="C132">
        <v>308</v>
      </c>
      <c r="D132" t="s">
        <v>260</v>
      </c>
      <c r="E132" t="s">
        <v>222</v>
      </c>
    </row>
    <row r="133" spans="1:5" x14ac:dyDescent="0.3">
      <c r="A133" t="s">
        <v>203</v>
      </c>
      <c r="B133" t="s">
        <v>169</v>
      </c>
      <c r="C133">
        <v>309</v>
      </c>
      <c r="D133" t="s">
        <v>259</v>
      </c>
      <c r="E133" t="s">
        <v>222</v>
      </c>
    </row>
    <row r="134" spans="1:5" x14ac:dyDescent="0.3">
      <c r="A134" t="s">
        <v>203</v>
      </c>
      <c r="B134" t="s">
        <v>169</v>
      </c>
      <c r="C134">
        <v>310</v>
      </c>
      <c r="D134" t="s">
        <v>258</v>
      </c>
      <c r="E134" t="s">
        <v>222</v>
      </c>
    </row>
    <row r="135" spans="1:5" x14ac:dyDescent="0.3">
      <c r="A135" t="s">
        <v>203</v>
      </c>
      <c r="B135" t="s">
        <v>169</v>
      </c>
      <c r="C135">
        <v>312</v>
      </c>
      <c r="D135" t="s">
        <v>257</v>
      </c>
      <c r="E135" t="s">
        <v>238</v>
      </c>
    </row>
    <row r="136" spans="1:5" x14ac:dyDescent="0.3">
      <c r="A136" t="s">
        <v>203</v>
      </c>
      <c r="B136" t="s">
        <v>169</v>
      </c>
      <c r="C136">
        <v>318</v>
      </c>
      <c r="D136" t="s">
        <v>254</v>
      </c>
      <c r="E136" t="s">
        <v>222</v>
      </c>
    </row>
    <row r="137" spans="1:5" x14ac:dyDescent="0.3">
      <c r="A137" t="s">
        <v>203</v>
      </c>
      <c r="B137" t="s">
        <v>169</v>
      </c>
      <c r="C137">
        <v>320</v>
      </c>
      <c r="D137" t="s">
        <v>253</v>
      </c>
      <c r="E137" t="s">
        <v>222</v>
      </c>
    </row>
    <row r="138" spans="1:5" x14ac:dyDescent="0.3">
      <c r="A138" t="s">
        <v>203</v>
      </c>
      <c r="B138" t="s">
        <v>169</v>
      </c>
      <c r="C138">
        <v>323</v>
      </c>
      <c r="D138" t="s">
        <v>276</v>
      </c>
      <c r="E138" t="s">
        <v>222</v>
      </c>
    </row>
    <row r="139" spans="1:5" x14ac:dyDescent="0.3">
      <c r="A139" t="s">
        <v>203</v>
      </c>
      <c r="B139" t="s">
        <v>169</v>
      </c>
      <c r="C139">
        <v>329</v>
      </c>
      <c r="D139" t="s">
        <v>249</v>
      </c>
      <c r="E139" t="s">
        <v>222</v>
      </c>
    </row>
    <row r="140" spans="1:5" x14ac:dyDescent="0.3">
      <c r="A140" t="s">
        <v>203</v>
      </c>
      <c r="B140" t="s">
        <v>169</v>
      </c>
      <c r="C140">
        <v>330</v>
      </c>
      <c r="D140" t="s">
        <v>248</v>
      </c>
      <c r="E140" t="s">
        <v>222</v>
      </c>
    </row>
    <row r="141" spans="1:5" x14ac:dyDescent="0.3">
      <c r="A141" t="s">
        <v>203</v>
      </c>
      <c r="B141" t="s">
        <v>169</v>
      </c>
      <c r="C141">
        <v>331</v>
      </c>
      <c r="D141" t="s">
        <v>247</v>
      </c>
      <c r="E141" t="s">
        <v>222</v>
      </c>
    </row>
    <row r="142" spans="1:5" x14ac:dyDescent="0.3">
      <c r="A142" t="s">
        <v>203</v>
      </c>
      <c r="B142" t="s">
        <v>169</v>
      </c>
      <c r="C142">
        <v>332</v>
      </c>
      <c r="D142" t="s">
        <v>246</v>
      </c>
      <c r="E142" t="s">
        <v>222</v>
      </c>
    </row>
    <row r="143" spans="1:5" x14ac:dyDescent="0.3">
      <c r="A143" t="s">
        <v>203</v>
      </c>
      <c r="B143" t="s">
        <v>169</v>
      </c>
      <c r="C143">
        <v>333</v>
      </c>
      <c r="D143" t="s">
        <v>245</v>
      </c>
      <c r="E143" t="s">
        <v>238</v>
      </c>
    </row>
    <row r="144" spans="1:5" x14ac:dyDescent="0.3">
      <c r="A144" t="s">
        <v>203</v>
      </c>
      <c r="B144" t="s">
        <v>169</v>
      </c>
      <c r="C144">
        <v>339</v>
      </c>
      <c r="D144" t="s">
        <v>242</v>
      </c>
      <c r="E144" t="s">
        <v>222</v>
      </c>
    </row>
    <row r="145" spans="1:5" x14ac:dyDescent="0.3">
      <c r="A145" t="s">
        <v>203</v>
      </c>
      <c r="B145" t="s">
        <v>169</v>
      </c>
      <c r="C145">
        <v>340</v>
      </c>
      <c r="D145" t="s">
        <v>241</v>
      </c>
      <c r="E145" t="s">
        <v>222</v>
      </c>
    </row>
    <row r="146" spans="1:5" x14ac:dyDescent="0.3">
      <c r="A146" t="s">
        <v>203</v>
      </c>
      <c r="B146" t="s">
        <v>169</v>
      </c>
      <c r="C146">
        <v>344</v>
      </c>
      <c r="D146" t="s">
        <v>239</v>
      </c>
      <c r="E146" t="s">
        <v>238</v>
      </c>
    </row>
    <row r="147" spans="1:5" x14ac:dyDescent="0.3">
      <c r="A147" t="s">
        <v>203</v>
      </c>
      <c r="B147" t="s">
        <v>169</v>
      </c>
      <c r="C147">
        <v>345</v>
      </c>
      <c r="D147" t="s">
        <v>237</v>
      </c>
      <c r="E147" t="s">
        <v>222</v>
      </c>
    </row>
    <row r="148" spans="1:5" x14ac:dyDescent="0.3">
      <c r="A148" t="s">
        <v>203</v>
      </c>
      <c r="B148" t="s">
        <v>169</v>
      </c>
      <c r="C148">
        <v>348</v>
      </c>
      <c r="D148" t="s">
        <v>236</v>
      </c>
      <c r="E148" t="s">
        <v>222</v>
      </c>
    </row>
    <row r="149" spans="1:5" x14ac:dyDescent="0.3">
      <c r="A149" t="s">
        <v>203</v>
      </c>
      <c r="B149" t="s">
        <v>169</v>
      </c>
      <c r="C149">
        <v>355</v>
      </c>
      <c r="D149" t="s">
        <v>235</v>
      </c>
      <c r="E149" t="s">
        <v>222</v>
      </c>
    </row>
    <row r="150" spans="1:5" x14ac:dyDescent="0.3">
      <c r="A150" t="s">
        <v>203</v>
      </c>
      <c r="B150" t="s">
        <v>169</v>
      </c>
      <c r="C150">
        <v>362</v>
      </c>
      <c r="D150" t="s">
        <v>292</v>
      </c>
      <c r="E150" t="s">
        <v>222</v>
      </c>
    </row>
    <row r="151" spans="1:5" x14ac:dyDescent="0.3">
      <c r="A151" t="s">
        <v>203</v>
      </c>
      <c r="B151" t="s">
        <v>169</v>
      </c>
      <c r="C151">
        <v>363</v>
      </c>
      <c r="D151" t="s">
        <v>233</v>
      </c>
      <c r="E151" t="s">
        <v>222</v>
      </c>
    </row>
    <row r="152" spans="1:5" x14ac:dyDescent="0.3">
      <c r="A152" t="s">
        <v>203</v>
      </c>
      <c r="B152" t="s">
        <v>169</v>
      </c>
      <c r="C152">
        <v>364</v>
      </c>
      <c r="D152" t="s">
        <v>324</v>
      </c>
      <c r="E152" t="s">
        <v>222</v>
      </c>
    </row>
    <row r="153" spans="1:5" x14ac:dyDescent="0.3">
      <c r="A153" t="s">
        <v>203</v>
      </c>
      <c r="B153" t="s">
        <v>169</v>
      </c>
      <c r="C153">
        <v>365</v>
      </c>
      <c r="D153" t="s">
        <v>323</v>
      </c>
      <c r="E153" t="s">
        <v>222</v>
      </c>
    </row>
    <row r="154" spans="1:5" x14ac:dyDescent="0.3">
      <c r="A154" t="s">
        <v>203</v>
      </c>
      <c r="B154" t="s">
        <v>169</v>
      </c>
      <c r="C154">
        <v>366</v>
      </c>
      <c r="D154" t="s">
        <v>282</v>
      </c>
      <c r="E154" t="s">
        <v>222</v>
      </c>
    </row>
    <row r="155" spans="1:5" x14ac:dyDescent="0.3">
      <c r="A155" t="s">
        <v>203</v>
      </c>
      <c r="B155" t="s">
        <v>169</v>
      </c>
      <c r="C155">
        <v>367</v>
      </c>
      <c r="D155" t="s">
        <v>281</v>
      </c>
      <c r="E155" t="s">
        <v>222</v>
      </c>
    </row>
    <row r="156" spans="1:5" x14ac:dyDescent="0.3">
      <c r="A156" t="s">
        <v>203</v>
      </c>
      <c r="B156" t="s">
        <v>169</v>
      </c>
      <c r="C156">
        <v>368</v>
      </c>
      <c r="D156" t="s">
        <v>322</v>
      </c>
      <c r="E156" t="s">
        <v>222</v>
      </c>
    </row>
    <row r="157" spans="1:5" x14ac:dyDescent="0.3">
      <c r="A157" t="s">
        <v>203</v>
      </c>
      <c r="B157" t="s">
        <v>169</v>
      </c>
      <c r="C157">
        <v>369</v>
      </c>
      <c r="D157" t="s">
        <v>232</v>
      </c>
      <c r="E157" t="s">
        <v>222</v>
      </c>
    </row>
    <row r="158" spans="1:5" x14ac:dyDescent="0.3">
      <c r="A158" t="s">
        <v>203</v>
      </c>
      <c r="B158" t="s">
        <v>169</v>
      </c>
      <c r="C158">
        <v>370</v>
      </c>
      <c r="D158" t="s">
        <v>280</v>
      </c>
      <c r="E158" t="s">
        <v>222</v>
      </c>
    </row>
    <row r="159" spans="1:5" x14ac:dyDescent="0.3">
      <c r="A159" t="s">
        <v>203</v>
      </c>
      <c r="B159" t="s">
        <v>169</v>
      </c>
      <c r="C159">
        <v>372</v>
      </c>
      <c r="D159" t="s">
        <v>231</v>
      </c>
      <c r="E159" t="s">
        <v>222</v>
      </c>
    </row>
    <row r="160" spans="1:5" x14ac:dyDescent="0.3">
      <c r="A160" t="s">
        <v>203</v>
      </c>
      <c r="B160" t="s">
        <v>169</v>
      </c>
      <c r="C160">
        <v>375</v>
      </c>
      <c r="D160" t="s">
        <v>273</v>
      </c>
      <c r="E160" t="s">
        <v>222</v>
      </c>
    </row>
    <row r="161" spans="1:5" x14ac:dyDescent="0.3">
      <c r="A161" t="s">
        <v>203</v>
      </c>
      <c r="B161" t="s">
        <v>169</v>
      </c>
      <c r="C161">
        <v>377</v>
      </c>
      <c r="D161" t="s">
        <v>272</v>
      </c>
      <c r="E161" t="s">
        <v>222</v>
      </c>
    </row>
    <row r="162" spans="1:5" x14ac:dyDescent="0.3">
      <c r="A162" t="s">
        <v>203</v>
      </c>
      <c r="B162" t="s">
        <v>169</v>
      </c>
      <c r="C162">
        <v>379</v>
      </c>
      <c r="D162" t="s">
        <v>271</v>
      </c>
      <c r="E162" t="s">
        <v>222</v>
      </c>
    </row>
    <row r="163" spans="1:5" x14ac:dyDescent="0.3">
      <c r="A163" t="s">
        <v>203</v>
      </c>
      <c r="B163" t="s">
        <v>169</v>
      </c>
      <c r="C163">
        <v>387</v>
      </c>
      <c r="D163" t="s">
        <v>230</v>
      </c>
      <c r="E163" t="s">
        <v>222</v>
      </c>
    </row>
    <row r="164" spans="1:5" x14ac:dyDescent="0.3">
      <c r="A164" t="s">
        <v>203</v>
      </c>
      <c r="B164" t="s">
        <v>169</v>
      </c>
      <c r="C164">
        <v>393</v>
      </c>
      <c r="D164" t="s">
        <v>270</v>
      </c>
      <c r="E164" t="s">
        <v>222</v>
      </c>
    </row>
    <row r="165" spans="1:5" x14ac:dyDescent="0.3">
      <c r="A165" t="s">
        <v>203</v>
      </c>
      <c r="B165" t="s">
        <v>169</v>
      </c>
      <c r="C165">
        <v>395</v>
      </c>
      <c r="D165" t="s">
        <v>317</v>
      </c>
      <c r="E165" t="s">
        <v>222</v>
      </c>
    </row>
    <row r="166" spans="1:5" x14ac:dyDescent="0.3">
      <c r="A166" t="s">
        <v>203</v>
      </c>
      <c r="B166" t="s">
        <v>169</v>
      </c>
      <c r="C166">
        <v>409</v>
      </c>
      <c r="D166" t="s">
        <v>315</v>
      </c>
      <c r="E166" t="s">
        <v>222</v>
      </c>
    </row>
    <row r="167" spans="1:5" x14ac:dyDescent="0.3">
      <c r="A167" t="s">
        <v>203</v>
      </c>
      <c r="B167" t="s">
        <v>169</v>
      </c>
      <c r="C167">
        <v>411</v>
      </c>
      <c r="D167" t="s">
        <v>290</v>
      </c>
      <c r="E167" t="s">
        <v>222</v>
      </c>
    </row>
    <row r="168" spans="1:5" x14ac:dyDescent="0.3">
      <c r="A168" t="s">
        <v>203</v>
      </c>
      <c r="B168" t="s">
        <v>221</v>
      </c>
      <c r="C168">
        <v>709</v>
      </c>
      <c r="D168" t="s">
        <v>297</v>
      </c>
      <c r="E168" t="s">
        <v>264</v>
      </c>
    </row>
    <row r="169" spans="1:5" x14ac:dyDescent="0.3">
      <c r="A169" t="s">
        <v>203</v>
      </c>
      <c r="B169" t="s">
        <v>169</v>
      </c>
      <c r="C169">
        <v>321</v>
      </c>
      <c r="D169" t="s">
        <v>300</v>
      </c>
      <c r="E169" t="s">
        <v>222</v>
      </c>
    </row>
    <row r="170" spans="1:5" x14ac:dyDescent="0.3">
      <c r="A170" t="s">
        <v>203</v>
      </c>
      <c r="B170" t="s">
        <v>169</v>
      </c>
      <c r="C170">
        <v>336</v>
      </c>
      <c r="D170" t="s">
        <v>275</v>
      </c>
      <c r="E170" t="s">
        <v>222</v>
      </c>
    </row>
    <row r="171" spans="1:5" x14ac:dyDescent="0.3">
      <c r="A171" t="s">
        <v>203</v>
      </c>
      <c r="B171" t="s">
        <v>169</v>
      </c>
      <c r="C171">
        <v>344</v>
      </c>
      <c r="D171" t="s">
        <v>239</v>
      </c>
      <c r="E171" t="s">
        <v>238</v>
      </c>
    </row>
    <row r="172" spans="1:5" x14ac:dyDescent="0.3">
      <c r="A172" t="s">
        <v>203</v>
      </c>
      <c r="B172" t="s">
        <v>169</v>
      </c>
      <c r="C172">
        <v>391</v>
      </c>
      <c r="D172" t="s">
        <v>318</v>
      </c>
      <c r="E172" t="s">
        <v>222</v>
      </c>
    </row>
    <row r="173" spans="1:5" x14ac:dyDescent="0.3">
      <c r="A173" t="s">
        <v>203</v>
      </c>
      <c r="B173" t="s">
        <v>169</v>
      </c>
      <c r="C173">
        <v>406</v>
      </c>
      <c r="D173" t="s">
        <v>269</v>
      </c>
      <c r="E173" t="s">
        <v>222</v>
      </c>
    </row>
    <row r="174" spans="1:5" x14ac:dyDescent="0.3">
      <c r="A174" t="s">
        <v>203</v>
      </c>
      <c r="B174" t="s">
        <v>169</v>
      </c>
      <c r="C174">
        <v>408</v>
      </c>
      <c r="D174" t="s">
        <v>312</v>
      </c>
      <c r="E174" t="s">
        <v>222</v>
      </c>
    </row>
    <row r="175" spans="1:5" x14ac:dyDescent="0.3">
      <c r="A175" t="s">
        <v>203</v>
      </c>
      <c r="B175" t="s">
        <v>221</v>
      </c>
      <c r="C175">
        <v>709</v>
      </c>
      <c r="D175" t="s">
        <v>297</v>
      </c>
      <c r="E175" t="s">
        <v>264</v>
      </c>
    </row>
    <row r="176" spans="1:5" x14ac:dyDescent="0.3">
      <c r="A176" t="s">
        <v>203</v>
      </c>
      <c r="B176" t="s">
        <v>221</v>
      </c>
      <c r="C176">
        <v>711</v>
      </c>
      <c r="D176" t="s">
        <v>312</v>
      </c>
      <c r="E176" t="s">
        <v>264</v>
      </c>
    </row>
    <row r="177" spans="1:5" x14ac:dyDescent="0.3">
      <c r="A177" t="s">
        <v>211</v>
      </c>
      <c r="B177" t="s">
        <v>169</v>
      </c>
      <c r="C177">
        <v>302</v>
      </c>
      <c r="D177" t="s">
        <v>261</v>
      </c>
      <c r="E177" t="s">
        <v>222</v>
      </c>
    </row>
    <row r="178" spans="1:5" x14ac:dyDescent="0.3">
      <c r="A178" t="s">
        <v>211</v>
      </c>
      <c r="B178" t="s">
        <v>169</v>
      </c>
      <c r="C178">
        <v>304</v>
      </c>
      <c r="D178" t="s">
        <v>277</v>
      </c>
      <c r="E178" t="s">
        <v>222</v>
      </c>
    </row>
    <row r="179" spans="1:5" x14ac:dyDescent="0.3">
      <c r="A179" t="s">
        <v>211</v>
      </c>
      <c r="B179" t="s">
        <v>169</v>
      </c>
      <c r="C179">
        <v>306</v>
      </c>
      <c r="D179" t="s">
        <v>327</v>
      </c>
      <c r="E179" t="s">
        <v>222</v>
      </c>
    </row>
    <row r="180" spans="1:5" x14ac:dyDescent="0.3">
      <c r="A180" t="s">
        <v>211</v>
      </c>
      <c r="B180" t="s">
        <v>169</v>
      </c>
      <c r="C180">
        <v>308</v>
      </c>
      <c r="D180" t="s">
        <v>260</v>
      </c>
      <c r="E180" t="s">
        <v>222</v>
      </c>
    </row>
    <row r="181" spans="1:5" x14ac:dyDescent="0.3">
      <c r="A181" t="s">
        <v>211</v>
      </c>
      <c r="B181" t="s">
        <v>169</v>
      </c>
      <c r="C181">
        <v>310</v>
      </c>
      <c r="D181" t="s">
        <v>258</v>
      </c>
      <c r="E181" t="s">
        <v>222</v>
      </c>
    </row>
    <row r="182" spans="1:5" x14ac:dyDescent="0.3">
      <c r="A182" t="s">
        <v>211</v>
      </c>
      <c r="B182" t="s">
        <v>169</v>
      </c>
      <c r="C182">
        <v>312</v>
      </c>
      <c r="D182" t="s">
        <v>257</v>
      </c>
      <c r="E182" t="s">
        <v>238</v>
      </c>
    </row>
    <row r="183" spans="1:5" x14ac:dyDescent="0.3">
      <c r="A183" t="s">
        <v>211</v>
      </c>
      <c r="B183" t="s">
        <v>169</v>
      </c>
      <c r="C183">
        <v>316</v>
      </c>
      <c r="D183" t="s">
        <v>256</v>
      </c>
      <c r="E183" t="s">
        <v>222</v>
      </c>
    </row>
    <row r="184" spans="1:5" x14ac:dyDescent="0.3">
      <c r="A184" t="s">
        <v>211</v>
      </c>
      <c r="B184" t="s">
        <v>169</v>
      </c>
      <c r="C184">
        <v>317</v>
      </c>
      <c r="D184" t="s">
        <v>255</v>
      </c>
      <c r="E184" t="s">
        <v>222</v>
      </c>
    </row>
    <row r="185" spans="1:5" x14ac:dyDescent="0.3">
      <c r="A185" t="s">
        <v>211</v>
      </c>
      <c r="B185" t="s">
        <v>169</v>
      </c>
      <c r="C185">
        <v>318</v>
      </c>
      <c r="D185" t="s">
        <v>254</v>
      </c>
      <c r="E185" t="s">
        <v>222</v>
      </c>
    </row>
    <row r="186" spans="1:5" x14ac:dyDescent="0.3">
      <c r="A186" t="s">
        <v>211</v>
      </c>
      <c r="B186" t="s">
        <v>169</v>
      </c>
      <c r="C186">
        <v>320</v>
      </c>
      <c r="D186" t="s">
        <v>253</v>
      </c>
      <c r="E186" t="s">
        <v>222</v>
      </c>
    </row>
    <row r="187" spans="1:5" x14ac:dyDescent="0.3">
      <c r="A187" t="s">
        <v>211</v>
      </c>
      <c r="B187" t="s">
        <v>169</v>
      </c>
      <c r="C187">
        <v>321</v>
      </c>
      <c r="D187" t="s">
        <v>300</v>
      </c>
      <c r="E187" t="s">
        <v>222</v>
      </c>
    </row>
    <row r="188" spans="1:5" x14ac:dyDescent="0.3">
      <c r="A188" t="s">
        <v>211</v>
      </c>
      <c r="B188" t="s">
        <v>169</v>
      </c>
      <c r="C188">
        <v>323</v>
      </c>
      <c r="D188" t="s">
        <v>276</v>
      </c>
      <c r="E188" t="s">
        <v>222</v>
      </c>
    </row>
    <row r="189" spans="1:5" x14ac:dyDescent="0.3">
      <c r="A189" t="s">
        <v>211</v>
      </c>
      <c r="B189" t="s">
        <v>169</v>
      </c>
      <c r="C189">
        <v>324</v>
      </c>
      <c r="D189" t="s">
        <v>344</v>
      </c>
      <c r="E189" t="s">
        <v>222</v>
      </c>
    </row>
    <row r="190" spans="1:5" x14ac:dyDescent="0.3">
      <c r="A190" t="s">
        <v>211</v>
      </c>
      <c r="B190" t="s">
        <v>169</v>
      </c>
      <c r="C190">
        <v>325</v>
      </c>
      <c r="D190" t="s">
        <v>252</v>
      </c>
      <c r="E190" t="s">
        <v>222</v>
      </c>
    </row>
    <row r="191" spans="1:5" x14ac:dyDescent="0.3">
      <c r="A191" t="s">
        <v>211</v>
      </c>
      <c r="B191" t="s">
        <v>169</v>
      </c>
      <c r="C191">
        <v>326</v>
      </c>
      <c r="D191" t="s">
        <v>251</v>
      </c>
      <c r="E191" t="s">
        <v>222</v>
      </c>
    </row>
    <row r="192" spans="1:5" x14ac:dyDescent="0.3">
      <c r="A192" t="s">
        <v>211</v>
      </c>
      <c r="B192" t="s">
        <v>169</v>
      </c>
      <c r="C192">
        <v>327</v>
      </c>
      <c r="D192" t="s">
        <v>250</v>
      </c>
      <c r="E192" t="s">
        <v>222</v>
      </c>
    </row>
    <row r="193" spans="1:5" x14ac:dyDescent="0.3">
      <c r="A193" t="s">
        <v>211</v>
      </c>
      <c r="B193" t="s">
        <v>169</v>
      </c>
      <c r="C193">
        <v>328</v>
      </c>
      <c r="D193" t="s">
        <v>338</v>
      </c>
      <c r="E193" t="s">
        <v>238</v>
      </c>
    </row>
    <row r="194" spans="1:5" x14ac:dyDescent="0.3">
      <c r="A194" t="s">
        <v>211</v>
      </c>
      <c r="B194" t="s">
        <v>169</v>
      </c>
      <c r="C194">
        <v>329</v>
      </c>
      <c r="D194" t="s">
        <v>249</v>
      </c>
      <c r="E194" t="s">
        <v>222</v>
      </c>
    </row>
    <row r="195" spans="1:5" x14ac:dyDescent="0.3">
      <c r="A195" t="s">
        <v>211</v>
      </c>
      <c r="B195" t="s">
        <v>169</v>
      </c>
      <c r="C195">
        <v>330</v>
      </c>
      <c r="D195" t="s">
        <v>248</v>
      </c>
      <c r="E195" t="s">
        <v>222</v>
      </c>
    </row>
    <row r="196" spans="1:5" x14ac:dyDescent="0.3">
      <c r="A196" t="s">
        <v>211</v>
      </c>
      <c r="B196" t="s">
        <v>169</v>
      </c>
      <c r="C196">
        <v>331</v>
      </c>
      <c r="D196" t="s">
        <v>247</v>
      </c>
      <c r="E196" t="s">
        <v>222</v>
      </c>
    </row>
    <row r="197" spans="1:5" x14ac:dyDescent="0.3">
      <c r="A197" t="s">
        <v>211</v>
      </c>
      <c r="B197" t="s">
        <v>169</v>
      </c>
      <c r="C197">
        <v>332</v>
      </c>
      <c r="D197" t="s">
        <v>246</v>
      </c>
      <c r="E197" t="s">
        <v>222</v>
      </c>
    </row>
    <row r="198" spans="1:5" x14ac:dyDescent="0.3">
      <c r="A198" t="s">
        <v>211</v>
      </c>
      <c r="B198" t="s">
        <v>169</v>
      </c>
      <c r="C198">
        <v>333</v>
      </c>
      <c r="D198" t="s">
        <v>245</v>
      </c>
      <c r="E198" t="s">
        <v>238</v>
      </c>
    </row>
    <row r="199" spans="1:5" x14ac:dyDescent="0.3">
      <c r="A199" t="s">
        <v>211</v>
      </c>
      <c r="B199" t="s">
        <v>169</v>
      </c>
      <c r="C199">
        <v>336</v>
      </c>
      <c r="D199" t="s">
        <v>275</v>
      </c>
      <c r="E199" t="s">
        <v>222</v>
      </c>
    </row>
    <row r="200" spans="1:5" x14ac:dyDescent="0.3">
      <c r="A200" t="s">
        <v>211</v>
      </c>
      <c r="B200" t="s">
        <v>169</v>
      </c>
      <c r="C200">
        <v>339</v>
      </c>
      <c r="D200" t="s">
        <v>242</v>
      </c>
      <c r="E200" t="s">
        <v>222</v>
      </c>
    </row>
    <row r="201" spans="1:5" x14ac:dyDescent="0.3">
      <c r="A201" t="s">
        <v>211</v>
      </c>
      <c r="B201" t="s">
        <v>169</v>
      </c>
      <c r="C201">
        <v>340</v>
      </c>
      <c r="D201" t="s">
        <v>241</v>
      </c>
      <c r="E201" t="s">
        <v>222</v>
      </c>
    </row>
    <row r="202" spans="1:5" x14ac:dyDescent="0.3">
      <c r="A202" t="s">
        <v>211</v>
      </c>
      <c r="B202" t="s">
        <v>169</v>
      </c>
      <c r="C202">
        <v>342</v>
      </c>
      <c r="D202" t="s">
        <v>240</v>
      </c>
      <c r="E202" t="s">
        <v>222</v>
      </c>
    </row>
    <row r="203" spans="1:5" x14ac:dyDescent="0.3">
      <c r="A203" t="s">
        <v>211</v>
      </c>
      <c r="B203" t="s">
        <v>169</v>
      </c>
      <c r="C203">
        <v>344</v>
      </c>
      <c r="D203" t="s">
        <v>239</v>
      </c>
      <c r="E203" t="s">
        <v>238</v>
      </c>
    </row>
    <row r="204" spans="1:5" x14ac:dyDescent="0.3">
      <c r="A204" t="s">
        <v>211</v>
      </c>
      <c r="B204" t="s">
        <v>169</v>
      </c>
      <c r="C204">
        <v>345</v>
      </c>
      <c r="D204" t="s">
        <v>237</v>
      </c>
      <c r="E204" t="s">
        <v>222</v>
      </c>
    </row>
    <row r="205" spans="1:5" x14ac:dyDescent="0.3">
      <c r="A205" t="s">
        <v>211</v>
      </c>
      <c r="B205" t="s">
        <v>169</v>
      </c>
      <c r="C205">
        <v>348</v>
      </c>
      <c r="D205" t="s">
        <v>236</v>
      </c>
      <c r="E205" t="s">
        <v>222</v>
      </c>
    </row>
    <row r="206" spans="1:5" x14ac:dyDescent="0.3">
      <c r="A206" t="s">
        <v>211</v>
      </c>
      <c r="B206" t="s">
        <v>169</v>
      </c>
      <c r="C206">
        <v>354</v>
      </c>
      <c r="D206" t="s">
        <v>343</v>
      </c>
      <c r="E206" t="s">
        <v>222</v>
      </c>
    </row>
    <row r="207" spans="1:5" x14ac:dyDescent="0.3">
      <c r="A207" t="s">
        <v>211</v>
      </c>
      <c r="B207" t="s">
        <v>169</v>
      </c>
      <c r="C207">
        <v>355</v>
      </c>
      <c r="D207" t="s">
        <v>235</v>
      </c>
      <c r="E207" t="s">
        <v>222</v>
      </c>
    </row>
    <row r="208" spans="1:5" x14ac:dyDescent="0.3">
      <c r="A208" t="s">
        <v>211</v>
      </c>
      <c r="B208" t="s">
        <v>169</v>
      </c>
      <c r="C208">
        <v>356</v>
      </c>
      <c r="D208" t="s">
        <v>234</v>
      </c>
      <c r="E208" t="s">
        <v>222</v>
      </c>
    </row>
    <row r="209" spans="1:5" x14ac:dyDescent="0.3">
      <c r="A209" t="s">
        <v>211</v>
      </c>
      <c r="B209" t="s">
        <v>169</v>
      </c>
      <c r="C209">
        <v>361</v>
      </c>
      <c r="D209" t="s">
        <v>325</v>
      </c>
      <c r="E209" t="s">
        <v>222</v>
      </c>
    </row>
    <row r="210" spans="1:5" x14ac:dyDescent="0.3">
      <c r="A210" t="s">
        <v>211</v>
      </c>
      <c r="B210" t="s">
        <v>169</v>
      </c>
      <c r="C210">
        <v>362</v>
      </c>
      <c r="D210" t="s">
        <v>292</v>
      </c>
      <c r="E210" t="s">
        <v>222</v>
      </c>
    </row>
    <row r="211" spans="1:5" x14ac:dyDescent="0.3">
      <c r="A211" t="s">
        <v>211</v>
      </c>
      <c r="B211" t="s">
        <v>169</v>
      </c>
      <c r="C211">
        <v>363</v>
      </c>
      <c r="D211" t="s">
        <v>233</v>
      </c>
      <c r="E211" t="s">
        <v>222</v>
      </c>
    </row>
    <row r="212" spans="1:5" x14ac:dyDescent="0.3">
      <c r="A212" t="s">
        <v>211</v>
      </c>
      <c r="B212" t="s">
        <v>169</v>
      </c>
      <c r="C212">
        <v>364</v>
      </c>
      <c r="D212" t="s">
        <v>324</v>
      </c>
      <c r="E212" t="s">
        <v>222</v>
      </c>
    </row>
    <row r="213" spans="1:5" x14ac:dyDescent="0.3">
      <c r="A213" t="s">
        <v>211</v>
      </c>
      <c r="B213" t="s">
        <v>169</v>
      </c>
      <c r="C213">
        <v>366</v>
      </c>
      <c r="D213" t="s">
        <v>282</v>
      </c>
      <c r="E213" t="s">
        <v>222</v>
      </c>
    </row>
    <row r="214" spans="1:5" x14ac:dyDescent="0.3">
      <c r="A214" t="s">
        <v>211</v>
      </c>
      <c r="B214" t="s">
        <v>169</v>
      </c>
      <c r="C214">
        <v>367</v>
      </c>
      <c r="D214" t="s">
        <v>281</v>
      </c>
      <c r="E214" t="s">
        <v>222</v>
      </c>
    </row>
    <row r="215" spans="1:5" x14ac:dyDescent="0.3">
      <c r="A215" t="s">
        <v>211</v>
      </c>
      <c r="B215" t="s">
        <v>169</v>
      </c>
      <c r="C215">
        <v>369</v>
      </c>
      <c r="D215" t="s">
        <v>232</v>
      </c>
      <c r="E215" t="s">
        <v>222</v>
      </c>
    </row>
    <row r="216" spans="1:5" x14ac:dyDescent="0.3">
      <c r="A216" t="s">
        <v>211</v>
      </c>
      <c r="B216" t="s">
        <v>169</v>
      </c>
      <c r="C216">
        <v>372</v>
      </c>
      <c r="D216" t="s">
        <v>231</v>
      </c>
      <c r="E216" t="s">
        <v>222</v>
      </c>
    </row>
    <row r="217" spans="1:5" x14ac:dyDescent="0.3">
      <c r="A217" t="s">
        <v>211</v>
      </c>
      <c r="B217" t="s">
        <v>169</v>
      </c>
      <c r="C217">
        <v>373</v>
      </c>
      <c r="D217" t="s">
        <v>274</v>
      </c>
      <c r="E217" t="s">
        <v>222</v>
      </c>
    </row>
    <row r="218" spans="1:5" x14ac:dyDescent="0.3">
      <c r="A218" t="s">
        <v>211</v>
      </c>
      <c r="B218" t="s">
        <v>169</v>
      </c>
      <c r="C218">
        <v>377</v>
      </c>
      <c r="D218" t="s">
        <v>272</v>
      </c>
      <c r="E218" t="s">
        <v>222</v>
      </c>
    </row>
    <row r="219" spans="1:5" x14ac:dyDescent="0.3">
      <c r="A219" t="s">
        <v>211</v>
      </c>
      <c r="B219" t="s">
        <v>169</v>
      </c>
      <c r="C219">
        <v>379</v>
      </c>
      <c r="D219" t="s">
        <v>271</v>
      </c>
      <c r="E219" t="s">
        <v>222</v>
      </c>
    </row>
    <row r="220" spans="1:5" x14ac:dyDescent="0.3">
      <c r="A220" t="s">
        <v>211</v>
      </c>
      <c r="B220" t="s">
        <v>169</v>
      </c>
      <c r="C220">
        <v>383</v>
      </c>
      <c r="D220" t="s">
        <v>311</v>
      </c>
      <c r="E220" t="s">
        <v>222</v>
      </c>
    </row>
    <row r="221" spans="1:5" x14ac:dyDescent="0.3">
      <c r="A221" t="s">
        <v>211</v>
      </c>
      <c r="B221" t="s">
        <v>169</v>
      </c>
      <c r="C221">
        <v>384</v>
      </c>
      <c r="D221" t="s">
        <v>299</v>
      </c>
      <c r="E221" t="s">
        <v>222</v>
      </c>
    </row>
    <row r="222" spans="1:5" x14ac:dyDescent="0.3">
      <c r="A222" t="s">
        <v>211</v>
      </c>
      <c r="B222" t="s">
        <v>169</v>
      </c>
      <c r="C222">
        <v>386</v>
      </c>
      <c r="D222" t="s">
        <v>298</v>
      </c>
      <c r="E222" t="s">
        <v>222</v>
      </c>
    </row>
    <row r="223" spans="1:5" x14ac:dyDescent="0.3">
      <c r="A223" t="s">
        <v>211</v>
      </c>
      <c r="B223" t="s">
        <v>169</v>
      </c>
      <c r="C223">
        <v>387</v>
      </c>
      <c r="D223" t="s">
        <v>230</v>
      </c>
      <c r="E223" t="s">
        <v>222</v>
      </c>
    </row>
    <row r="224" spans="1:5" x14ac:dyDescent="0.3">
      <c r="A224" t="s">
        <v>211</v>
      </c>
      <c r="B224" t="s">
        <v>169</v>
      </c>
      <c r="C224">
        <v>388</v>
      </c>
      <c r="D224" t="s">
        <v>319</v>
      </c>
      <c r="E224" t="s">
        <v>222</v>
      </c>
    </row>
    <row r="225" spans="1:5" x14ac:dyDescent="0.3">
      <c r="A225" t="s">
        <v>211</v>
      </c>
      <c r="B225" t="s">
        <v>169</v>
      </c>
      <c r="C225">
        <v>393</v>
      </c>
      <c r="D225" t="s">
        <v>270</v>
      </c>
      <c r="E225" t="s">
        <v>222</v>
      </c>
    </row>
    <row r="226" spans="1:5" x14ac:dyDescent="0.3">
      <c r="A226" t="s">
        <v>211</v>
      </c>
      <c r="B226" t="s">
        <v>169</v>
      </c>
      <c r="C226">
        <v>395</v>
      </c>
      <c r="D226" t="s">
        <v>317</v>
      </c>
      <c r="E226" t="s">
        <v>222</v>
      </c>
    </row>
    <row r="227" spans="1:5" x14ac:dyDescent="0.3">
      <c r="A227" t="s">
        <v>211</v>
      </c>
      <c r="B227" t="s">
        <v>169</v>
      </c>
      <c r="C227">
        <v>407</v>
      </c>
      <c r="D227" t="s">
        <v>229</v>
      </c>
      <c r="E227" t="s">
        <v>222</v>
      </c>
    </row>
    <row r="228" spans="1:5" x14ac:dyDescent="0.3">
      <c r="A228" t="s">
        <v>211</v>
      </c>
      <c r="B228" t="s">
        <v>169</v>
      </c>
      <c r="C228">
        <v>409</v>
      </c>
      <c r="D228" t="s">
        <v>315</v>
      </c>
      <c r="E228" t="s">
        <v>222</v>
      </c>
    </row>
    <row r="229" spans="1:5" x14ac:dyDescent="0.3">
      <c r="A229" t="s">
        <v>211</v>
      </c>
      <c r="B229" t="s">
        <v>221</v>
      </c>
      <c r="C229">
        <v>714</v>
      </c>
      <c r="D229" t="s">
        <v>267</v>
      </c>
      <c r="E229" t="s">
        <v>222</v>
      </c>
    </row>
    <row r="230" spans="1:5" x14ac:dyDescent="0.3">
      <c r="A230" t="s">
        <v>211</v>
      </c>
      <c r="B230" t="s">
        <v>221</v>
      </c>
      <c r="C230">
        <v>739</v>
      </c>
      <c r="D230" t="s">
        <v>226</v>
      </c>
      <c r="E230" t="s">
        <v>219</v>
      </c>
    </row>
    <row r="231" spans="1:5" x14ac:dyDescent="0.3">
      <c r="A231" t="s">
        <v>211</v>
      </c>
      <c r="B231" t="s">
        <v>221</v>
      </c>
      <c r="C231">
        <v>744</v>
      </c>
      <c r="D231" t="s">
        <v>265</v>
      </c>
      <c r="E231" t="s">
        <v>238</v>
      </c>
    </row>
    <row r="232" spans="1:5" x14ac:dyDescent="0.3">
      <c r="A232" t="s">
        <v>211</v>
      </c>
      <c r="B232" t="s">
        <v>221</v>
      </c>
      <c r="C232">
        <v>745</v>
      </c>
      <c r="D232" t="s">
        <v>223</v>
      </c>
      <c r="E232" t="s">
        <v>222</v>
      </c>
    </row>
    <row r="233" spans="1:5" x14ac:dyDescent="0.3">
      <c r="A233" t="s">
        <v>211</v>
      </c>
      <c r="B233" t="s">
        <v>294</v>
      </c>
      <c r="C233">
        <v>105</v>
      </c>
      <c r="D233" t="s">
        <v>335</v>
      </c>
      <c r="E233" t="s">
        <v>222</v>
      </c>
    </row>
    <row r="234" spans="1:5" x14ac:dyDescent="0.3">
      <c r="A234" t="s">
        <v>211</v>
      </c>
      <c r="B234" t="s">
        <v>294</v>
      </c>
      <c r="C234">
        <v>106</v>
      </c>
      <c r="D234" t="s">
        <v>334</v>
      </c>
      <c r="E234" t="s">
        <v>222</v>
      </c>
    </row>
    <row r="235" spans="1:5" x14ac:dyDescent="0.3">
      <c r="A235" t="s">
        <v>211</v>
      </c>
      <c r="B235" t="s">
        <v>294</v>
      </c>
      <c r="C235">
        <v>107</v>
      </c>
      <c r="D235" t="s">
        <v>296</v>
      </c>
      <c r="E235" t="s">
        <v>222</v>
      </c>
    </row>
    <row r="236" spans="1:5" x14ac:dyDescent="0.3">
      <c r="A236" t="s">
        <v>211</v>
      </c>
      <c r="B236" t="s">
        <v>294</v>
      </c>
      <c r="C236">
        <v>108</v>
      </c>
      <c r="D236" t="s">
        <v>333</v>
      </c>
      <c r="E236" t="s">
        <v>264</v>
      </c>
    </row>
    <row r="237" spans="1:5" x14ac:dyDescent="0.3">
      <c r="A237" t="s">
        <v>211</v>
      </c>
      <c r="B237" t="s">
        <v>294</v>
      </c>
      <c r="C237">
        <v>109</v>
      </c>
      <c r="D237" t="s">
        <v>332</v>
      </c>
      <c r="E237" t="s">
        <v>264</v>
      </c>
    </row>
    <row r="238" spans="1:5" x14ac:dyDescent="0.3">
      <c r="A238" t="s">
        <v>211</v>
      </c>
      <c r="B238" t="s">
        <v>294</v>
      </c>
      <c r="C238">
        <v>110</v>
      </c>
      <c r="D238" t="s">
        <v>295</v>
      </c>
      <c r="E238" t="s">
        <v>264</v>
      </c>
    </row>
    <row r="239" spans="1:5" x14ac:dyDescent="0.3">
      <c r="A239" t="s">
        <v>211</v>
      </c>
      <c r="B239" t="s">
        <v>294</v>
      </c>
      <c r="C239">
        <v>120</v>
      </c>
      <c r="D239" t="s">
        <v>331</v>
      </c>
      <c r="E239" t="s">
        <v>238</v>
      </c>
    </row>
    <row r="240" spans="1:5" x14ac:dyDescent="0.3">
      <c r="A240" t="s">
        <v>211</v>
      </c>
      <c r="B240" t="s">
        <v>294</v>
      </c>
      <c r="C240">
        <v>129</v>
      </c>
      <c r="D240" t="s">
        <v>293</v>
      </c>
      <c r="E240" t="s">
        <v>264</v>
      </c>
    </row>
    <row r="241" spans="1:5" x14ac:dyDescent="0.3">
      <c r="A241" t="s">
        <v>211</v>
      </c>
      <c r="B241" t="s">
        <v>294</v>
      </c>
      <c r="C241">
        <v>130</v>
      </c>
      <c r="D241" t="s">
        <v>330</v>
      </c>
      <c r="E241" t="s">
        <v>264</v>
      </c>
    </row>
    <row r="242" spans="1:5" x14ac:dyDescent="0.3">
      <c r="A242" t="s">
        <v>211</v>
      </c>
      <c r="B242" t="s">
        <v>279</v>
      </c>
      <c r="C242">
        <v>201</v>
      </c>
      <c r="D242" t="s">
        <v>292</v>
      </c>
      <c r="E242" t="s">
        <v>264</v>
      </c>
    </row>
    <row r="243" spans="1:5" x14ac:dyDescent="0.3">
      <c r="A243" t="s">
        <v>211</v>
      </c>
      <c r="B243" t="s">
        <v>279</v>
      </c>
      <c r="C243">
        <v>202</v>
      </c>
      <c r="D243" t="s">
        <v>328</v>
      </c>
      <c r="E243" t="s">
        <v>264</v>
      </c>
    </row>
    <row r="244" spans="1:5" x14ac:dyDescent="0.3">
      <c r="A244" t="s">
        <v>211</v>
      </c>
      <c r="B244" t="s">
        <v>279</v>
      </c>
      <c r="C244">
        <v>203</v>
      </c>
      <c r="D244" t="s">
        <v>277</v>
      </c>
      <c r="E244" t="s">
        <v>222</v>
      </c>
    </row>
    <row r="245" spans="1:5" x14ac:dyDescent="0.3">
      <c r="A245" t="s">
        <v>211</v>
      </c>
      <c r="B245" t="s">
        <v>279</v>
      </c>
      <c r="C245">
        <v>204</v>
      </c>
      <c r="D245" t="s">
        <v>291</v>
      </c>
      <c r="E245" t="s">
        <v>264</v>
      </c>
    </row>
    <row r="246" spans="1:5" x14ac:dyDescent="0.3">
      <c r="A246" t="s">
        <v>211</v>
      </c>
      <c r="B246" t="s">
        <v>279</v>
      </c>
      <c r="C246">
        <v>205</v>
      </c>
      <c r="D246" t="s">
        <v>290</v>
      </c>
      <c r="E246" t="s">
        <v>222</v>
      </c>
    </row>
    <row r="247" spans="1:5" x14ac:dyDescent="0.3">
      <c r="A247" t="s">
        <v>211</v>
      </c>
      <c r="B247" t="s">
        <v>279</v>
      </c>
      <c r="C247">
        <v>207</v>
      </c>
      <c r="D247" t="s">
        <v>289</v>
      </c>
      <c r="E247" t="s">
        <v>264</v>
      </c>
    </row>
    <row r="248" spans="1:5" x14ac:dyDescent="0.3">
      <c r="A248" t="s">
        <v>211</v>
      </c>
      <c r="B248" t="s">
        <v>279</v>
      </c>
      <c r="C248">
        <v>208</v>
      </c>
      <c r="D248" t="s">
        <v>288</v>
      </c>
      <c r="E248" t="s">
        <v>264</v>
      </c>
    </row>
    <row r="249" spans="1:5" x14ac:dyDescent="0.3">
      <c r="A249" t="s">
        <v>211</v>
      </c>
      <c r="B249" t="s">
        <v>279</v>
      </c>
      <c r="C249">
        <v>209</v>
      </c>
      <c r="D249" t="s">
        <v>287</v>
      </c>
      <c r="E249" t="s">
        <v>264</v>
      </c>
    </row>
    <row r="250" spans="1:5" x14ac:dyDescent="0.3">
      <c r="A250" t="s">
        <v>211</v>
      </c>
      <c r="B250" t="s">
        <v>279</v>
      </c>
      <c r="C250">
        <v>210</v>
      </c>
      <c r="D250" t="s">
        <v>274</v>
      </c>
      <c r="E250" t="s">
        <v>264</v>
      </c>
    </row>
    <row r="251" spans="1:5" x14ac:dyDescent="0.3">
      <c r="A251" t="s">
        <v>211</v>
      </c>
      <c r="B251" t="s">
        <v>279</v>
      </c>
      <c r="C251">
        <v>212</v>
      </c>
      <c r="D251" t="s">
        <v>327</v>
      </c>
      <c r="E251" t="s">
        <v>264</v>
      </c>
    </row>
    <row r="252" spans="1:5" x14ac:dyDescent="0.3">
      <c r="A252" t="s">
        <v>211</v>
      </c>
      <c r="B252" t="s">
        <v>279</v>
      </c>
      <c r="C252">
        <v>213</v>
      </c>
      <c r="D252" t="s">
        <v>232</v>
      </c>
      <c r="E252" t="s">
        <v>264</v>
      </c>
    </row>
    <row r="253" spans="1:5" x14ac:dyDescent="0.3">
      <c r="A253" t="s">
        <v>211</v>
      </c>
      <c r="B253" t="s">
        <v>279</v>
      </c>
      <c r="C253">
        <v>214</v>
      </c>
      <c r="D253" t="s">
        <v>286</v>
      </c>
      <c r="E253" t="s">
        <v>264</v>
      </c>
    </row>
    <row r="254" spans="1:5" x14ac:dyDescent="0.3">
      <c r="A254" t="s">
        <v>211</v>
      </c>
      <c r="B254" t="s">
        <v>279</v>
      </c>
      <c r="C254">
        <v>215</v>
      </c>
      <c r="D254" t="s">
        <v>285</v>
      </c>
      <c r="E254" t="s">
        <v>264</v>
      </c>
    </row>
    <row r="255" spans="1:5" x14ac:dyDescent="0.3">
      <c r="A255" t="s">
        <v>211</v>
      </c>
      <c r="B255" t="s">
        <v>279</v>
      </c>
      <c r="C255">
        <v>217</v>
      </c>
      <c r="D255" t="s">
        <v>284</v>
      </c>
      <c r="E255" t="s">
        <v>264</v>
      </c>
    </row>
    <row r="256" spans="1:5" x14ac:dyDescent="0.3">
      <c r="A256" t="s">
        <v>211</v>
      </c>
      <c r="B256" t="s">
        <v>279</v>
      </c>
      <c r="C256">
        <v>218</v>
      </c>
      <c r="D256" t="s">
        <v>341</v>
      </c>
      <c r="E256" t="s">
        <v>264</v>
      </c>
    </row>
    <row r="257" spans="1:5" x14ac:dyDescent="0.3">
      <c r="A257" t="s">
        <v>211</v>
      </c>
      <c r="B257" t="s">
        <v>279</v>
      </c>
      <c r="C257">
        <v>227</v>
      </c>
      <c r="D257" t="s">
        <v>321</v>
      </c>
      <c r="E257" t="s">
        <v>264</v>
      </c>
    </row>
    <row r="258" spans="1:5" x14ac:dyDescent="0.3">
      <c r="A258" t="s">
        <v>211</v>
      </c>
      <c r="B258" t="s">
        <v>279</v>
      </c>
      <c r="C258">
        <v>231</v>
      </c>
      <c r="D258" t="s">
        <v>283</v>
      </c>
      <c r="E258" t="s">
        <v>264</v>
      </c>
    </row>
    <row r="259" spans="1:5" x14ac:dyDescent="0.3">
      <c r="A259" t="s">
        <v>211</v>
      </c>
      <c r="B259" t="s">
        <v>279</v>
      </c>
      <c r="C259">
        <v>232</v>
      </c>
      <c r="D259" t="s">
        <v>324</v>
      </c>
      <c r="E259" t="s">
        <v>264</v>
      </c>
    </row>
    <row r="260" spans="1:5" x14ac:dyDescent="0.3">
      <c r="A260" t="s">
        <v>211</v>
      </c>
      <c r="B260" t="s">
        <v>279</v>
      </c>
      <c r="C260">
        <v>233</v>
      </c>
      <c r="D260" t="s">
        <v>323</v>
      </c>
      <c r="E260" t="s">
        <v>264</v>
      </c>
    </row>
    <row r="261" spans="1:5" x14ac:dyDescent="0.3">
      <c r="A261" t="s">
        <v>211</v>
      </c>
      <c r="B261" t="s">
        <v>279</v>
      </c>
      <c r="C261">
        <v>234</v>
      </c>
      <c r="D261" t="s">
        <v>282</v>
      </c>
      <c r="E261" t="s">
        <v>264</v>
      </c>
    </row>
    <row r="262" spans="1:5" x14ac:dyDescent="0.3">
      <c r="A262" t="s">
        <v>211</v>
      </c>
      <c r="B262" t="s">
        <v>279</v>
      </c>
      <c r="C262">
        <v>235</v>
      </c>
      <c r="D262" t="s">
        <v>281</v>
      </c>
      <c r="E262" t="s">
        <v>264</v>
      </c>
    </row>
    <row r="263" spans="1:5" x14ac:dyDescent="0.3">
      <c r="A263" t="s">
        <v>211</v>
      </c>
      <c r="B263" t="s">
        <v>279</v>
      </c>
      <c r="C263">
        <v>245</v>
      </c>
      <c r="D263" t="s">
        <v>230</v>
      </c>
      <c r="E263" t="s">
        <v>264</v>
      </c>
    </row>
    <row r="264" spans="1:5" x14ac:dyDescent="0.3">
      <c r="A264" t="s">
        <v>211</v>
      </c>
      <c r="B264" t="s">
        <v>169</v>
      </c>
      <c r="C264">
        <v>301</v>
      </c>
      <c r="D264" t="s">
        <v>278</v>
      </c>
      <c r="E264" t="s">
        <v>222</v>
      </c>
    </row>
    <row r="265" spans="1:5" x14ac:dyDescent="0.3">
      <c r="A265" t="s">
        <v>211</v>
      </c>
      <c r="B265" t="s">
        <v>169</v>
      </c>
      <c r="C265">
        <v>302</v>
      </c>
      <c r="D265" t="s">
        <v>261</v>
      </c>
      <c r="E265" t="s">
        <v>222</v>
      </c>
    </row>
    <row r="266" spans="1:5" x14ac:dyDescent="0.3">
      <c r="A266" t="s">
        <v>211</v>
      </c>
      <c r="B266" t="s">
        <v>169</v>
      </c>
      <c r="C266">
        <v>309</v>
      </c>
      <c r="D266" t="s">
        <v>259</v>
      </c>
      <c r="E266" t="s">
        <v>222</v>
      </c>
    </row>
    <row r="267" spans="1:5" x14ac:dyDescent="0.3">
      <c r="A267" t="s">
        <v>211</v>
      </c>
      <c r="B267" t="s">
        <v>169</v>
      </c>
      <c r="C267">
        <v>317</v>
      </c>
      <c r="D267" t="s">
        <v>255</v>
      </c>
      <c r="E267" t="s">
        <v>222</v>
      </c>
    </row>
    <row r="268" spans="1:5" x14ac:dyDescent="0.3">
      <c r="A268" t="s">
        <v>211</v>
      </c>
      <c r="B268" t="s">
        <v>169</v>
      </c>
      <c r="C268">
        <v>320</v>
      </c>
      <c r="D268" t="s">
        <v>253</v>
      </c>
      <c r="E268" t="s">
        <v>222</v>
      </c>
    </row>
    <row r="269" spans="1:5" x14ac:dyDescent="0.3">
      <c r="A269" t="s">
        <v>211</v>
      </c>
      <c r="B269" t="s">
        <v>169</v>
      </c>
      <c r="C269">
        <v>321</v>
      </c>
      <c r="D269" t="s">
        <v>300</v>
      </c>
      <c r="E269" t="s">
        <v>222</v>
      </c>
    </row>
    <row r="270" spans="1:5" x14ac:dyDescent="0.3">
      <c r="A270" t="s">
        <v>211</v>
      </c>
      <c r="B270" t="s">
        <v>169</v>
      </c>
      <c r="C270">
        <v>323</v>
      </c>
      <c r="D270" t="s">
        <v>276</v>
      </c>
      <c r="E270" t="s">
        <v>222</v>
      </c>
    </row>
    <row r="271" spans="1:5" x14ac:dyDescent="0.3">
      <c r="A271" t="s">
        <v>211</v>
      </c>
      <c r="B271" t="s">
        <v>169</v>
      </c>
      <c r="C271">
        <v>326</v>
      </c>
      <c r="D271" t="s">
        <v>251</v>
      </c>
      <c r="E271" t="s">
        <v>222</v>
      </c>
    </row>
    <row r="272" spans="1:5" x14ac:dyDescent="0.3">
      <c r="A272" t="s">
        <v>211</v>
      </c>
      <c r="B272" t="s">
        <v>169</v>
      </c>
      <c r="C272">
        <v>327</v>
      </c>
      <c r="D272" t="s">
        <v>250</v>
      </c>
      <c r="E272" t="s">
        <v>222</v>
      </c>
    </row>
    <row r="273" spans="1:5" x14ac:dyDescent="0.3">
      <c r="A273" t="s">
        <v>211</v>
      </c>
      <c r="B273" t="s">
        <v>169</v>
      </c>
      <c r="C273">
        <v>328</v>
      </c>
      <c r="D273" t="s">
        <v>338</v>
      </c>
      <c r="E273" t="s">
        <v>238</v>
      </c>
    </row>
    <row r="274" spans="1:5" x14ac:dyDescent="0.3">
      <c r="A274" t="s">
        <v>211</v>
      </c>
      <c r="B274" t="s">
        <v>169</v>
      </c>
      <c r="C274">
        <v>329</v>
      </c>
      <c r="D274" t="s">
        <v>249</v>
      </c>
      <c r="E274" t="s">
        <v>222</v>
      </c>
    </row>
    <row r="275" spans="1:5" x14ac:dyDescent="0.3">
      <c r="A275" t="s">
        <v>211</v>
      </c>
      <c r="B275" t="s">
        <v>169</v>
      </c>
      <c r="C275">
        <v>333</v>
      </c>
      <c r="D275" t="s">
        <v>245</v>
      </c>
      <c r="E275" t="s">
        <v>238</v>
      </c>
    </row>
    <row r="276" spans="1:5" x14ac:dyDescent="0.3">
      <c r="A276" t="s">
        <v>211</v>
      </c>
      <c r="B276" t="s">
        <v>169</v>
      </c>
      <c r="C276">
        <v>334</v>
      </c>
      <c r="D276" t="s">
        <v>337</v>
      </c>
      <c r="E276" t="s">
        <v>238</v>
      </c>
    </row>
    <row r="277" spans="1:5" x14ac:dyDescent="0.3">
      <c r="A277" t="s">
        <v>211</v>
      </c>
      <c r="B277" t="s">
        <v>169</v>
      </c>
      <c r="C277">
        <v>336</v>
      </c>
      <c r="D277" t="s">
        <v>275</v>
      </c>
      <c r="E277" t="s">
        <v>222</v>
      </c>
    </row>
    <row r="278" spans="1:5" x14ac:dyDescent="0.3">
      <c r="A278" t="s">
        <v>211</v>
      </c>
      <c r="B278" t="s">
        <v>169</v>
      </c>
      <c r="C278">
        <v>338</v>
      </c>
      <c r="D278" t="s">
        <v>340</v>
      </c>
      <c r="E278" t="s">
        <v>222</v>
      </c>
    </row>
    <row r="279" spans="1:5" x14ac:dyDescent="0.3">
      <c r="A279" t="s">
        <v>211</v>
      </c>
      <c r="B279" t="s">
        <v>169</v>
      </c>
      <c r="C279">
        <v>344</v>
      </c>
      <c r="D279" t="s">
        <v>239</v>
      </c>
      <c r="E279" t="s">
        <v>238</v>
      </c>
    </row>
    <row r="280" spans="1:5" x14ac:dyDescent="0.3">
      <c r="A280" t="s">
        <v>211</v>
      </c>
      <c r="B280" t="s">
        <v>169</v>
      </c>
      <c r="C280">
        <v>375</v>
      </c>
      <c r="D280" t="s">
        <v>273</v>
      </c>
      <c r="E280" t="s">
        <v>222</v>
      </c>
    </row>
    <row r="281" spans="1:5" x14ac:dyDescent="0.3">
      <c r="A281" t="s">
        <v>211</v>
      </c>
      <c r="B281" t="s">
        <v>169</v>
      </c>
      <c r="C281">
        <v>391</v>
      </c>
      <c r="D281" t="s">
        <v>318</v>
      </c>
      <c r="E281" t="s">
        <v>222</v>
      </c>
    </row>
    <row r="282" spans="1:5" x14ac:dyDescent="0.3">
      <c r="A282" t="s">
        <v>211</v>
      </c>
      <c r="B282" t="s">
        <v>169</v>
      </c>
      <c r="C282">
        <v>396</v>
      </c>
      <c r="D282" t="s">
        <v>316</v>
      </c>
      <c r="E282" t="s">
        <v>222</v>
      </c>
    </row>
    <row r="283" spans="1:5" x14ac:dyDescent="0.3">
      <c r="A283" t="s">
        <v>211</v>
      </c>
      <c r="B283" t="s">
        <v>169</v>
      </c>
      <c r="C283">
        <v>406</v>
      </c>
      <c r="D283" t="s">
        <v>269</v>
      </c>
      <c r="E283" t="s">
        <v>222</v>
      </c>
    </row>
    <row r="284" spans="1:5" x14ac:dyDescent="0.3">
      <c r="A284" t="s">
        <v>211</v>
      </c>
      <c r="B284" t="s">
        <v>169</v>
      </c>
      <c r="C284">
        <v>407</v>
      </c>
      <c r="D284" t="s">
        <v>229</v>
      </c>
      <c r="E284" t="s">
        <v>222</v>
      </c>
    </row>
    <row r="285" spans="1:5" x14ac:dyDescent="0.3">
      <c r="A285" t="s">
        <v>211</v>
      </c>
      <c r="B285" t="s">
        <v>169</v>
      </c>
      <c r="C285">
        <v>408</v>
      </c>
      <c r="D285" t="s">
        <v>312</v>
      </c>
      <c r="E285" t="s">
        <v>222</v>
      </c>
    </row>
    <row r="286" spans="1:5" x14ac:dyDescent="0.3">
      <c r="A286" t="s">
        <v>211</v>
      </c>
      <c r="B286" t="s">
        <v>169</v>
      </c>
      <c r="C286">
        <v>410</v>
      </c>
      <c r="D286" t="s">
        <v>314</v>
      </c>
      <c r="E286" t="s">
        <v>222</v>
      </c>
    </row>
    <row r="287" spans="1:5" x14ac:dyDescent="0.3">
      <c r="A287" t="s">
        <v>211</v>
      </c>
      <c r="B287" t="s">
        <v>169</v>
      </c>
      <c r="C287">
        <v>411</v>
      </c>
      <c r="D287" t="s">
        <v>290</v>
      </c>
      <c r="E287" t="s">
        <v>222</v>
      </c>
    </row>
    <row r="288" spans="1:5" x14ac:dyDescent="0.3">
      <c r="A288" t="s">
        <v>211</v>
      </c>
      <c r="B288" t="s">
        <v>221</v>
      </c>
      <c r="C288">
        <v>706</v>
      </c>
      <c r="D288" t="s">
        <v>268</v>
      </c>
      <c r="E288" t="s">
        <v>219</v>
      </c>
    </row>
    <row r="289" spans="1:5" x14ac:dyDescent="0.3">
      <c r="A289" t="s">
        <v>211</v>
      </c>
      <c r="B289" t="s">
        <v>221</v>
      </c>
      <c r="C289">
        <v>709</v>
      </c>
      <c r="D289" t="s">
        <v>297</v>
      </c>
      <c r="E289" t="s">
        <v>264</v>
      </c>
    </row>
    <row r="290" spans="1:5" x14ac:dyDescent="0.3">
      <c r="A290" t="s">
        <v>211</v>
      </c>
      <c r="B290" t="s">
        <v>221</v>
      </c>
      <c r="C290">
        <v>711</v>
      </c>
      <c r="D290" t="s">
        <v>312</v>
      </c>
      <c r="E290" t="s">
        <v>264</v>
      </c>
    </row>
    <row r="291" spans="1:5" x14ac:dyDescent="0.3">
      <c r="A291" t="s">
        <v>211</v>
      </c>
      <c r="B291" t="s">
        <v>221</v>
      </c>
      <c r="C291">
        <v>712</v>
      </c>
      <c r="D291" t="s">
        <v>228</v>
      </c>
      <c r="E291" t="s">
        <v>219</v>
      </c>
    </row>
    <row r="292" spans="1:5" x14ac:dyDescent="0.3">
      <c r="A292" t="s">
        <v>211</v>
      </c>
      <c r="B292" t="s">
        <v>221</v>
      </c>
      <c r="C292">
        <v>714</v>
      </c>
      <c r="D292" t="s">
        <v>267</v>
      </c>
      <c r="E292" t="s">
        <v>264</v>
      </c>
    </row>
    <row r="293" spans="1:5" x14ac:dyDescent="0.3">
      <c r="A293" t="s">
        <v>211</v>
      </c>
      <c r="B293" t="s">
        <v>221</v>
      </c>
      <c r="C293">
        <v>715</v>
      </c>
      <c r="D293" t="s">
        <v>311</v>
      </c>
      <c r="E293" t="s">
        <v>264</v>
      </c>
    </row>
    <row r="294" spans="1:5" x14ac:dyDescent="0.3">
      <c r="A294" t="s">
        <v>211</v>
      </c>
      <c r="B294" t="s">
        <v>221</v>
      </c>
      <c r="C294">
        <v>742</v>
      </c>
      <c r="D294" t="s">
        <v>224</v>
      </c>
      <c r="E294" t="s">
        <v>222</v>
      </c>
    </row>
    <row r="295" spans="1:5" x14ac:dyDescent="0.3">
      <c r="A295" t="s">
        <v>211</v>
      </c>
      <c r="B295" t="s">
        <v>221</v>
      </c>
      <c r="C295">
        <v>743</v>
      </c>
      <c r="D295" t="s">
        <v>306</v>
      </c>
      <c r="E295" t="s">
        <v>264</v>
      </c>
    </row>
    <row r="296" spans="1:5" x14ac:dyDescent="0.3">
      <c r="A296" t="s">
        <v>211</v>
      </c>
      <c r="B296" t="s">
        <v>221</v>
      </c>
      <c r="C296">
        <v>744</v>
      </c>
      <c r="D296" t="s">
        <v>265</v>
      </c>
      <c r="E296" t="s">
        <v>264</v>
      </c>
    </row>
    <row r="297" spans="1:5" x14ac:dyDescent="0.3">
      <c r="A297" t="s">
        <v>211</v>
      </c>
      <c r="B297" t="s">
        <v>221</v>
      </c>
      <c r="C297">
        <v>745</v>
      </c>
      <c r="D297" t="s">
        <v>223</v>
      </c>
      <c r="E297" t="s">
        <v>222</v>
      </c>
    </row>
    <row r="298" spans="1:5" x14ac:dyDescent="0.3">
      <c r="A298" t="s">
        <v>211</v>
      </c>
      <c r="B298" t="s">
        <v>221</v>
      </c>
      <c r="C298">
        <v>746</v>
      </c>
      <c r="D298" t="s">
        <v>263</v>
      </c>
      <c r="E298" t="s">
        <v>219</v>
      </c>
    </row>
    <row r="299" spans="1:5" x14ac:dyDescent="0.3">
      <c r="A299" t="s">
        <v>211</v>
      </c>
      <c r="B299" t="s">
        <v>221</v>
      </c>
      <c r="C299">
        <v>747</v>
      </c>
      <c r="D299" t="s">
        <v>262</v>
      </c>
      <c r="E299" t="s">
        <v>222</v>
      </c>
    </row>
    <row r="300" spans="1:5" x14ac:dyDescent="0.3">
      <c r="A300" t="s">
        <v>211</v>
      </c>
      <c r="B300" t="s">
        <v>221</v>
      </c>
      <c r="C300">
        <v>748</v>
      </c>
      <c r="D300" t="s">
        <v>339</v>
      </c>
      <c r="E300" t="s">
        <v>219</v>
      </c>
    </row>
    <row r="301" spans="1:5" x14ac:dyDescent="0.3">
      <c r="A301" t="s">
        <v>211</v>
      </c>
      <c r="B301" t="s">
        <v>221</v>
      </c>
      <c r="C301">
        <v>749</v>
      </c>
      <c r="D301" t="s">
        <v>220</v>
      </c>
      <c r="E301" t="s">
        <v>219</v>
      </c>
    </row>
    <row r="302" spans="1:5" x14ac:dyDescent="0.3">
      <c r="A302" t="s">
        <v>211</v>
      </c>
      <c r="B302" t="s">
        <v>302</v>
      </c>
      <c r="C302">
        <v>1101</v>
      </c>
      <c r="D302" t="s">
        <v>305</v>
      </c>
      <c r="E302" t="s">
        <v>264</v>
      </c>
    </row>
    <row r="303" spans="1:5" x14ac:dyDescent="0.3">
      <c r="A303" t="s">
        <v>211</v>
      </c>
      <c r="B303" t="s">
        <v>302</v>
      </c>
      <c r="C303">
        <v>1102</v>
      </c>
      <c r="D303" t="s">
        <v>304</v>
      </c>
      <c r="E303" t="s">
        <v>264</v>
      </c>
    </row>
    <row r="304" spans="1:5" x14ac:dyDescent="0.3">
      <c r="A304" t="s">
        <v>213</v>
      </c>
      <c r="B304" t="s">
        <v>294</v>
      </c>
      <c r="C304">
        <v>107</v>
      </c>
      <c r="D304" t="s">
        <v>296</v>
      </c>
      <c r="E304" t="s">
        <v>222</v>
      </c>
    </row>
    <row r="305" spans="1:5" x14ac:dyDescent="0.3">
      <c r="A305" t="s">
        <v>213</v>
      </c>
      <c r="B305" t="s">
        <v>294</v>
      </c>
      <c r="C305">
        <v>110</v>
      </c>
      <c r="D305" t="s">
        <v>295</v>
      </c>
      <c r="E305" t="s">
        <v>264</v>
      </c>
    </row>
    <row r="306" spans="1:5" x14ac:dyDescent="0.3">
      <c r="A306" t="s">
        <v>213</v>
      </c>
      <c r="B306" t="s">
        <v>294</v>
      </c>
      <c r="C306">
        <v>129</v>
      </c>
      <c r="D306" t="s">
        <v>293</v>
      </c>
      <c r="E306" t="s">
        <v>264</v>
      </c>
    </row>
    <row r="307" spans="1:5" x14ac:dyDescent="0.3">
      <c r="A307" t="s">
        <v>213</v>
      </c>
      <c r="B307" t="s">
        <v>279</v>
      </c>
      <c r="C307">
        <v>202</v>
      </c>
      <c r="D307" t="s">
        <v>328</v>
      </c>
      <c r="E307" t="s">
        <v>264</v>
      </c>
    </row>
    <row r="308" spans="1:5" x14ac:dyDescent="0.3">
      <c r="A308" t="s">
        <v>213</v>
      </c>
      <c r="B308" t="s">
        <v>279</v>
      </c>
      <c r="C308">
        <v>203</v>
      </c>
      <c r="D308" t="s">
        <v>277</v>
      </c>
      <c r="E308" t="s">
        <v>222</v>
      </c>
    </row>
    <row r="309" spans="1:5" x14ac:dyDescent="0.3">
      <c r="A309" t="s">
        <v>213</v>
      </c>
      <c r="B309" t="s">
        <v>279</v>
      </c>
      <c r="C309">
        <v>207</v>
      </c>
      <c r="D309" t="s">
        <v>289</v>
      </c>
      <c r="E309" t="s">
        <v>222</v>
      </c>
    </row>
    <row r="310" spans="1:5" x14ac:dyDescent="0.3">
      <c r="A310" t="s">
        <v>213</v>
      </c>
      <c r="B310" t="s">
        <v>279</v>
      </c>
      <c r="C310">
        <v>214</v>
      </c>
      <c r="D310" t="s">
        <v>286</v>
      </c>
      <c r="E310" t="s">
        <v>264</v>
      </c>
    </row>
    <row r="311" spans="1:5" x14ac:dyDescent="0.3">
      <c r="A311" t="s">
        <v>213</v>
      </c>
      <c r="B311" t="s">
        <v>279</v>
      </c>
      <c r="C311">
        <v>215</v>
      </c>
      <c r="D311" t="s">
        <v>285</v>
      </c>
      <c r="E311" t="s">
        <v>222</v>
      </c>
    </row>
    <row r="312" spans="1:5" x14ac:dyDescent="0.3">
      <c r="A312" t="s">
        <v>213</v>
      </c>
      <c r="B312" t="s">
        <v>279</v>
      </c>
      <c r="C312">
        <v>218</v>
      </c>
      <c r="D312" t="s">
        <v>341</v>
      </c>
      <c r="E312" t="s">
        <v>264</v>
      </c>
    </row>
    <row r="313" spans="1:5" x14ac:dyDescent="0.3">
      <c r="A313" t="s">
        <v>213</v>
      </c>
      <c r="B313" t="s">
        <v>279</v>
      </c>
      <c r="C313">
        <v>231</v>
      </c>
      <c r="D313" t="s">
        <v>283</v>
      </c>
      <c r="E313" t="s">
        <v>222</v>
      </c>
    </row>
    <row r="314" spans="1:5" x14ac:dyDescent="0.3">
      <c r="A314" t="s">
        <v>213</v>
      </c>
      <c r="B314" t="s">
        <v>279</v>
      </c>
      <c r="C314">
        <v>234</v>
      </c>
      <c r="D314" t="s">
        <v>282</v>
      </c>
      <c r="E314" t="s">
        <v>264</v>
      </c>
    </row>
    <row r="315" spans="1:5" x14ac:dyDescent="0.3">
      <c r="A315" t="s">
        <v>213</v>
      </c>
      <c r="B315" t="s">
        <v>279</v>
      </c>
      <c r="C315">
        <v>245</v>
      </c>
      <c r="D315" t="s">
        <v>230</v>
      </c>
      <c r="E315" t="s">
        <v>264</v>
      </c>
    </row>
    <row r="316" spans="1:5" x14ac:dyDescent="0.3">
      <c r="A316" t="s">
        <v>213</v>
      </c>
      <c r="B316" t="s">
        <v>169</v>
      </c>
      <c r="C316">
        <v>301</v>
      </c>
      <c r="D316" t="s">
        <v>278</v>
      </c>
      <c r="E316" t="s">
        <v>222</v>
      </c>
    </row>
    <row r="317" spans="1:5" x14ac:dyDescent="0.3">
      <c r="A317" t="s">
        <v>213</v>
      </c>
      <c r="B317" t="s">
        <v>169</v>
      </c>
      <c r="C317">
        <v>302</v>
      </c>
      <c r="D317" t="s">
        <v>261</v>
      </c>
      <c r="E317" t="s">
        <v>222</v>
      </c>
    </row>
    <row r="318" spans="1:5" x14ac:dyDescent="0.3">
      <c r="A318" t="s">
        <v>213</v>
      </c>
      <c r="B318" t="s">
        <v>169</v>
      </c>
      <c r="C318">
        <v>303</v>
      </c>
      <c r="D318" t="s">
        <v>328</v>
      </c>
      <c r="E318" t="s">
        <v>222</v>
      </c>
    </row>
    <row r="319" spans="1:5" x14ac:dyDescent="0.3">
      <c r="A319" t="s">
        <v>213</v>
      </c>
      <c r="B319" t="s">
        <v>169</v>
      </c>
      <c r="C319">
        <v>304</v>
      </c>
      <c r="D319" t="s">
        <v>277</v>
      </c>
      <c r="E319" t="s">
        <v>222</v>
      </c>
    </row>
    <row r="320" spans="1:5" x14ac:dyDescent="0.3">
      <c r="A320" t="s">
        <v>213</v>
      </c>
      <c r="B320" t="s">
        <v>169</v>
      </c>
      <c r="C320">
        <v>310</v>
      </c>
      <c r="D320" t="s">
        <v>258</v>
      </c>
      <c r="E320" t="s">
        <v>222</v>
      </c>
    </row>
    <row r="321" spans="1:5" x14ac:dyDescent="0.3">
      <c r="A321" t="s">
        <v>213</v>
      </c>
      <c r="B321" t="s">
        <v>169</v>
      </c>
      <c r="C321">
        <v>312</v>
      </c>
      <c r="D321" t="s">
        <v>257</v>
      </c>
      <c r="E321" t="s">
        <v>238</v>
      </c>
    </row>
    <row r="322" spans="1:5" x14ac:dyDescent="0.3">
      <c r="A322" t="s">
        <v>213</v>
      </c>
      <c r="B322" t="s">
        <v>169</v>
      </c>
      <c r="C322">
        <v>316</v>
      </c>
      <c r="D322" t="s">
        <v>256</v>
      </c>
      <c r="E322" t="s">
        <v>222</v>
      </c>
    </row>
    <row r="323" spans="1:5" x14ac:dyDescent="0.3">
      <c r="A323" t="s">
        <v>213</v>
      </c>
      <c r="B323" t="s">
        <v>169</v>
      </c>
      <c r="C323">
        <v>318</v>
      </c>
      <c r="D323" t="s">
        <v>254</v>
      </c>
      <c r="E323" t="s">
        <v>222</v>
      </c>
    </row>
    <row r="324" spans="1:5" x14ac:dyDescent="0.3">
      <c r="A324" t="s">
        <v>213</v>
      </c>
      <c r="B324" t="s">
        <v>169</v>
      </c>
      <c r="C324">
        <v>329</v>
      </c>
      <c r="D324" t="s">
        <v>249</v>
      </c>
      <c r="E324" t="s">
        <v>222</v>
      </c>
    </row>
    <row r="325" spans="1:5" x14ac:dyDescent="0.3">
      <c r="A325" t="s">
        <v>213</v>
      </c>
      <c r="B325" t="s">
        <v>169</v>
      </c>
      <c r="C325">
        <v>330</v>
      </c>
      <c r="D325" t="s">
        <v>248</v>
      </c>
      <c r="E325" t="s">
        <v>222</v>
      </c>
    </row>
    <row r="326" spans="1:5" x14ac:dyDescent="0.3">
      <c r="A326" t="s">
        <v>213</v>
      </c>
      <c r="B326" t="s">
        <v>169</v>
      </c>
      <c r="C326">
        <v>331</v>
      </c>
      <c r="D326" t="s">
        <v>247</v>
      </c>
      <c r="E326" t="s">
        <v>222</v>
      </c>
    </row>
    <row r="327" spans="1:5" x14ac:dyDescent="0.3">
      <c r="A327" t="s">
        <v>213</v>
      </c>
      <c r="B327" t="s">
        <v>169</v>
      </c>
      <c r="C327">
        <v>332</v>
      </c>
      <c r="D327" t="s">
        <v>246</v>
      </c>
      <c r="E327" t="s">
        <v>222</v>
      </c>
    </row>
    <row r="328" spans="1:5" x14ac:dyDescent="0.3">
      <c r="A328" t="s">
        <v>213</v>
      </c>
      <c r="B328" t="s">
        <v>169</v>
      </c>
      <c r="C328">
        <v>333</v>
      </c>
      <c r="D328" t="s">
        <v>245</v>
      </c>
      <c r="E328" t="s">
        <v>238</v>
      </c>
    </row>
    <row r="329" spans="1:5" x14ac:dyDescent="0.3">
      <c r="A329" t="s">
        <v>213</v>
      </c>
      <c r="B329" t="s">
        <v>169</v>
      </c>
      <c r="C329">
        <v>344</v>
      </c>
      <c r="D329" t="s">
        <v>239</v>
      </c>
      <c r="E329" t="s">
        <v>238</v>
      </c>
    </row>
    <row r="330" spans="1:5" x14ac:dyDescent="0.3">
      <c r="A330" t="s">
        <v>213</v>
      </c>
      <c r="B330" t="s">
        <v>169</v>
      </c>
      <c r="C330">
        <v>345</v>
      </c>
      <c r="D330" t="s">
        <v>237</v>
      </c>
      <c r="E330" t="s">
        <v>222</v>
      </c>
    </row>
    <row r="331" spans="1:5" x14ac:dyDescent="0.3">
      <c r="A331" t="s">
        <v>213</v>
      </c>
      <c r="B331" t="s">
        <v>169</v>
      </c>
      <c r="C331">
        <v>355</v>
      </c>
      <c r="D331" t="s">
        <v>235</v>
      </c>
      <c r="E331" t="s">
        <v>222</v>
      </c>
    </row>
    <row r="332" spans="1:5" x14ac:dyDescent="0.3">
      <c r="A332" t="s">
        <v>213</v>
      </c>
      <c r="B332" t="s">
        <v>169</v>
      </c>
      <c r="C332">
        <v>361</v>
      </c>
      <c r="D332" t="s">
        <v>325</v>
      </c>
      <c r="E332" t="s">
        <v>222</v>
      </c>
    </row>
    <row r="333" spans="1:5" x14ac:dyDescent="0.3">
      <c r="A333" t="s">
        <v>213</v>
      </c>
      <c r="B333" t="s">
        <v>169</v>
      </c>
      <c r="C333">
        <v>372</v>
      </c>
      <c r="D333" t="s">
        <v>231</v>
      </c>
      <c r="E333" t="s">
        <v>222</v>
      </c>
    </row>
    <row r="334" spans="1:5" x14ac:dyDescent="0.3">
      <c r="A334" t="s">
        <v>213</v>
      </c>
      <c r="B334" t="s">
        <v>169</v>
      </c>
      <c r="C334">
        <v>387</v>
      </c>
      <c r="D334" t="s">
        <v>230</v>
      </c>
      <c r="E334" t="s">
        <v>222</v>
      </c>
    </row>
    <row r="335" spans="1:5" x14ac:dyDescent="0.3">
      <c r="A335" t="s">
        <v>213</v>
      </c>
      <c r="B335" t="s">
        <v>221</v>
      </c>
      <c r="C335">
        <v>706</v>
      </c>
      <c r="D335" t="s">
        <v>268</v>
      </c>
      <c r="E335" t="s">
        <v>219</v>
      </c>
    </row>
    <row r="336" spans="1:5" x14ac:dyDescent="0.3">
      <c r="A336" t="s">
        <v>213</v>
      </c>
      <c r="B336" t="s">
        <v>221</v>
      </c>
      <c r="C336">
        <v>712</v>
      </c>
      <c r="D336" t="s">
        <v>228</v>
      </c>
      <c r="E336" t="s">
        <v>219</v>
      </c>
    </row>
    <row r="337" spans="1:5" x14ac:dyDescent="0.3">
      <c r="A337" t="s">
        <v>213</v>
      </c>
      <c r="B337" t="s">
        <v>221</v>
      </c>
      <c r="C337">
        <v>714</v>
      </c>
      <c r="D337" t="s">
        <v>267</v>
      </c>
      <c r="E337" t="s">
        <v>264</v>
      </c>
    </row>
    <row r="338" spans="1:5" x14ac:dyDescent="0.3">
      <c r="A338" t="s">
        <v>213</v>
      </c>
      <c r="B338" t="s">
        <v>221</v>
      </c>
      <c r="C338">
        <v>739</v>
      </c>
      <c r="D338" t="s">
        <v>226</v>
      </c>
      <c r="E338" t="s">
        <v>219</v>
      </c>
    </row>
    <row r="339" spans="1:5" x14ac:dyDescent="0.3">
      <c r="A339" t="s">
        <v>213</v>
      </c>
      <c r="B339" t="s">
        <v>221</v>
      </c>
      <c r="C339">
        <v>740</v>
      </c>
      <c r="D339" t="s">
        <v>225</v>
      </c>
      <c r="E339" t="s">
        <v>219</v>
      </c>
    </row>
    <row r="340" spans="1:5" x14ac:dyDescent="0.3">
      <c r="A340" t="s">
        <v>213</v>
      </c>
      <c r="B340" t="s">
        <v>221</v>
      </c>
      <c r="C340">
        <v>742</v>
      </c>
      <c r="D340" t="s">
        <v>224</v>
      </c>
      <c r="E340" t="s">
        <v>222</v>
      </c>
    </row>
    <row r="341" spans="1:5" x14ac:dyDescent="0.3">
      <c r="A341" t="s">
        <v>213</v>
      </c>
      <c r="B341" t="s">
        <v>221</v>
      </c>
      <c r="C341">
        <v>743</v>
      </c>
      <c r="D341" t="s">
        <v>306</v>
      </c>
      <c r="E341" t="s">
        <v>264</v>
      </c>
    </row>
    <row r="342" spans="1:5" x14ac:dyDescent="0.3">
      <c r="A342" t="s">
        <v>213</v>
      </c>
      <c r="B342" t="s">
        <v>221</v>
      </c>
      <c r="C342">
        <v>744</v>
      </c>
      <c r="D342" t="s">
        <v>265</v>
      </c>
      <c r="E342" t="s">
        <v>264</v>
      </c>
    </row>
    <row r="343" spans="1:5" x14ac:dyDescent="0.3">
      <c r="A343" t="s">
        <v>213</v>
      </c>
      <c r="B343" t="s">
        <v>221</v>
      </c>
      <c r="C343">
        <v>745</v>
      </c>
      <c r="D343" t="s">
        <v>223</v>
      </c>
      <c r="E343" t="s">
        <v>222</v>
      </c>
    </row>
    <row r="344" spans="1:5" x14ac:dyDescent="0.3">
      <c r="A344" t="s">
        <v>213</v>
      </c>
      <c r="B344" t="s">
        <v>221</v>
      </c>
      <c r="C344">
        <v>746</v>
      </c>
      <c r="D344" t="s">
        <v>263</v>
      </c>
      <c r="E344" t="s">
        <v>219</v>
      </c>
    </row>
    <row r="345" spans="1:5" x14ac:dyDescent="0.3">
      <c r="A345" t="s">
        <v>213</v>
      </c>
      <c r="B345" t="s">
        <v>302</v>
      </c>
      <c r="C345">
        <v>1102</v>
      </c>
      <c r="D345" t="s">
        <v>304</v>
      </c>
      <c r="E345" t="s">
        <v>264</v>
      </c>
    </row>
    <row r="346" spans="1:5" x14ac:dyDescent="0.3">
      <c r="A346" t="s">
        <v>168</v>
      </c>
      <c r="B346" t="s">
        <v>294</v>
      </c>
      <c r="C346">
        <v>105</v>
      </c>
      <c r="D346" t="s">
        <v>335</v>
      </c>
      <c r="E346" t="s">
        <v>222</v>
      </c>
    </row>
    <row r="347" spans="1:5" x14ac:dyDescent="0.3">
      <c r="A347" t="s">
        <v>168</v>
      </c>
      <c r="B347" t="s">
        <v>294</v>
      </c>
      <c r="C347">
        <v>106</v>
      </c>
      <c r="D347" t="s">
        <v>334</v>
      </c>
      <c r="E347" t="s">
        <v>222</v>
      </c>
    </row>
    <row r="348" spans="1:5" x14ac:dyDescent="0.3">
      <c r="A348" t="s">
        <v>168</v>
      </c>
      <c r="B348" t="s">
        <v>294</v>
      </c>
      <c r="C348">
        <v>107</v>
      </c>
      <c r="D348" t="s">
        <v>296</v>
      </c>
      <c r="E348" t="s">
        <v>222</v>
      </c>
    </row>
    <row r="349" spans="1:5" x14ac:dyDescent="0.3">
      <c r="A349" t="s">
        <v>168</v>
      </c>
      <c r="B349" t="s">
        <v>294</v>
      </c>
      <c r="C349">
        <v>108</v>
      </c>
      <c r="D349" t="s">
        <v>333</v>
      </c>
      <c r="E349" t="s">
        <v>264</v>
      </c>
    </row>
    <row r="350" spans="1:5" x14ac:dyDescent="0.3">
      <c r="A350" t="s">
        <v>168</v>
      </c>
      <c r="B350" t="s">
        <v>294</v>
      </c>
      <c r="C350">
        <v>109</v>
      </c>
      <c r="D350" t="s">
        <v>332</v>
      </c>
      <c r="E350" t="s">
        <v>264</v>
      </c>
    </row>
    <row r="351" spans="1:5" x14ac:dyDescent="0.3">
      <c r="A351" t="s">
        <v>168</v>
      </c>
      <c r="B351" t="s">
        <v>294</v>
      </c>
      <c r="C351">
        <v>110</v>
      </c>
      <c r="D351" t="s">
        <v>295</v>
      </c>
      <c r="E351" t="s">
        <v>264</v>
      </c>
    </row>
    <row r="352" spans="1:5" x14ac:dyDescent="0.3">
      <c r="A352" t="s">
        <v>168</v>
      </c>
      <c r="B352" t="s">
        <v>294</v>
      </c>
      <c r="C352">
        <v>120</v>
      </c>
      <c r="D352" t="s">
        <v>331</v>
      </c>
      <c r="E352" t="s">
        <v>238</v>
      </c>
    </row>
    <row r="353" spans="1:5" x14ac:dyDescent="0.3">
      <c r="A353" t="s">
        <v>168</v>
      </c>
      <c r="B353" t="s">
        <v>294</v>
      </c>
      <c r="C353">
        <v>129</v>
      </c>
      <c r="D353" t="s">
        <v>293</v>
      </c>
      <c r="E353" t="s">
        <v>264</v>
      </c>
    </row>
    <row r="354" spans="1:5" x14ac:dyDescent="0.3">
      <c r="A354" t="s">
        <v>168</v>
      </c>
      <c r="B354" t="s">
        <v>294</v>
      </c>
      <c r="C354">
        <v>130</v>
      </c>
      <c r="D354" t="s">
        <v>330</v>
      </c>
      <c r="E354" t="s">
        <v>264</v>
      </c>
    </row>
    <row r="355" spans="1:5" x14ac:dyDescent="0.3">
      <c r="A355" t="s">
        <v>168</v>
      </c>
      <c r="B355" t="s">
        <v>294</v>
      </c>
      <c r="C355">
        <v>131</v>
      </c>
      <c r="D355" t="s">
        <v>329</v>
      </c>
      <c r="E355" t="s">
        <v>264</v>
      </c>
    </row>
    <row r="356" spans="1:5" x14ac:dyDescent="0.3">
      <c r="A356" t="s">
        <v>168</v>
      </c>
      <c r="B356" t="s">
        <v>279</v>
      </c>
      <c r="C356">
        <v>201</v>
      </c>
      <c r="D356" t="s">
        <v>292</v>
      </c>
      <c r="E356" t="s">
        <v>264</v>
      </c>
    </row>
    <row r="357" spans="1:5" x14ac:dyDescent="0.3">
      <c r="A357" t="s">
        <v>168</v>
      </c>
      <c r="B357" t="s">
        <v>279</v>
      </c>
      <c r="C357">
        <v>202</v>
      </c>
      <c r="D357" t="s">
        <v>328</v>
      </c>
      <c r="E357" t="s">
        <v>264</v>
      </c>
    </row>
    <row r="358" spans="1:5" x14ac:dyDescent="0.3">
      <c r="A358" t="s">
        <v>168</v>
      </c>
      <c r="B358" t="s">
        <v>279</v>
      </c>
      <c r="C358">
        <v>203</v>
      </c>
      <c r="D358" t="s">
        <v>277</v>
      </c>
      <c r="E358" t="s">
        <v>222</v>
      </c>
    </row>
    <row r="359" spans="1:5" x14ac:dyDescent="0.3">
      <c r="A359" t="s">
        <v>168</v>
      </c>
      <c r="B359" t="s">
        <v>279</v>
      </c>
      <c r="C359">
        <v>204</v>
      </c>
      <c r="D359" t="s">
        <v>291</v>
      </c>
      <c r="E359" t="s">
        <v>222</v>
      </c>
    </row>
    <row r="360" spans="1:5" x14ac:dyDescent="0.3">
      <c r="A360" t="s">
        <v>168</v>
      </c>
      <c r="B360" t="s">
        <v>279</v>
      </c>
      <c r="C360">
        <v>205</v>
      </c>
      <c r="D360" t="s">
        <v>290</v>
      </c>
      <c r="E360" t="s">
        <v>222</v>
      </c>
    </row>
    <row r="361" spans="1:5" x14ac:dyDescent="0.3">
      <c r="A361" t="s">
        <v>168</v>
      </c>
      <c r="B361" t="s">
        <v>279</v>
      </c>
      <c r="C361">
        <v>207</v>
      </c>
      <c r="D361" t="s">
        <v>289</v>
      </c>
      <c r="E361" t="s">
        <v>264</v>
      </c>
    </row>
    <row r="362" spans="1:5" x14ac:dyDescent="0.3">
      <c r="A362" t="s">
        <v>168</v>
      </c>
      <c r="B362" t="s">
        <v>279</v>
      </c>
      <c r="C362">
        <v>208</v>
      </c>
      <c r="D362" t="s">
        <v>288</v>
      </c>
      <c r="E362" t="s">
        <v>264</v>
      </c>
    </row>
    <row r="363" spans="1:5" x14ac:dyDescent="0.3">
      <c r="A363" t="s">
        <v>168</v>
      </c>
      <c r="B363" t="s">
        <v>279</v>
      </c>
      <c r="C363">
        <v>209</v>
      </c>
      <c r="D363" t="s">
        <v>287</v>
      </c>
      <c r="E363" t="s">
        <v>264</v>
      </c>
    </row>
    <row r="364" spans="1:5" x14ac:dyDescent="0.3">
      <c r="A364" t="s">
        <v>168</v>
      </c>
      <c r="B364" t="s">
        <v>279</v>
      </c>
      <c r="C364">
        <v>210</v>
      </c>
      <c r="D364" t="s">
        <v>274</v>
      </c>
      <c r="E364" t="s">
        <v>264</v>
      </c>
    </row>
    <row r="365" spans="1:5" x14ac:dyDescent="0.3">
      <c r="A365" t="s">
        <v>168</v>
      </c>
      <c r="B365" t="s">
        <v>279</v>
      </c>
      <c r="C365">
        <v>211</v>
      </c>
      <c r="D365" t="s">
        <v>314</v>
      </c>
      <c r="E365" t="s">
        <v>222</v>
      </c>
    </row>
    <row r="366" spans="1:5" x14ac:dyDescent="0.3">
      <c r="A366" t="s">
        <v>168</v>
      </c>
      <c r="B366" t="s">
        <v>279</v>
      </c>
      <c r="C366">
        <v>212</v>
      </c>
      <c r="D366" t="s">
        <v>327</v>
      </c>
      <c r="E366" t="s">
        <v>264</v>
      </c>
    </row>
    <row r="367" spans="1:5" x14ac:dyDescent="0.3">
      <c r="A367" t="s">
        <v>168</v>
      </c>
      <c r="B367" t="s">
        <v>279</v>
      </c>
      <c r="C367">
        <v>213</v>
      </c>
      <c r="D367" t="s">
        <v>232</v>
      </c>
      <c r="E367" t="s">
        <v>264</v>
      </c>
    </row>
    <row r="368" spans="1:5" x14ac:dyDescent="0.3">
      <c r="A368" t="s">
        <v>168</v>
      </c>
      <c r="B368" t="s">
        <v>279</v>
      </c>
      <c r="C368">
        <v>214</v>
      </c>
      <c r="D368" t="s">
        <v>286</v>
      </c>
      <c r="E368" t="s">
        <v>264</v>
      </c>
    </row>
    <row r="369" spans="1:5" x14ac:dyDescent="0.3">
      <c r="A369" t="s">
        <v>168</v>
      </c>
      <c r="B369" t="s">
        <v>279</v>
      </c>
      <c r="C369">
        <v>215</v>
      </c>
      <c r="D369" t="s">
        <v>285</v>
      </c>
      <c r="E369" t="s">
        <v>264</v>
      </c>
    </row>
    <row r="370" spans="1:5" x14ac:dyDescent="0.3">
      <c r="A370" t="s">
        <v>168</v>
      </c>
      <c r="B370" t="s">
        <v>279</v>
      </c>
      <c r="C370">
        <v>217</v>
      </c>
      <c r="D370" t="s">
        <v>284</v>
      </c>
      <c r="E370" t="s">
        <v>264</v>
      </c>
    </row>
    <row r="371" spans="1:5" x14ac:dyDescent="0.3">
      <c r="A371" t="s">
        <v>168</v>
      </c>
      <c r="B371" t="s">
        <v>279</v>
      </c>
      <c r="C371">
        <v>227</v>
      </c>
      <c r="D371" t="s">
        <v>321</v>
      </c>
      <c r="E371" t="s">
        <v>264</v>
      </c>
    </row>
    <row r="372" spans="1:5" x14ac:dyDescent="0.3">
      <c r="A372" t="s">
        <v>168</v>
      </c>
      <c r="B372" t="s">
        <v>279</v>
      </c>
      <c r="C372">
        <v>231</v>
      </c>
      <c r="D372" t="s">
        <v>283</v>
      </c>
      <c r="E372" t="s">
        <v>264</v>
      </c>
    </row>
    <row r="373" spans="1:5" x14ac:dyDescent="0.3">
      <c r="A373" t="s">
        <v>168</v>
      </c>
      <c r="B373" t="s">
        <v>279</v>
      </c>
      <c r="C373">
        <v>232</v>
      </c>
      <c r="D373" t="s">
        <v>324</v>
      </c>
      <c r="E373" t="s">
        <v>264</v>
      </c>
    </row>
    <row r="374" spans="1:5" x14ac:dyDescent="0.3">
      <c r="A374" t="s">
        <v>168</v>
      </c>
      <c r="B374" t="s">
        <v>279</v>
      </c>
      <c r="C374">
        <v>233</v>
      </c>
      <c r="D374" t="s">
        <v>323</v>
      </c>
      <c r="E374" t="s">
        <v>264</v>
      </c>
    </row>
    <row r="375" spans="1:5" x14ac:dyDescent="0.3">
      <c r="A375" t="s">
        <v>168</v>
      </c>
      <c r="B375" t="s">
        <v>279</v>
      </c>
      <c r="C375">
        <v>234</v>
      </c>
      <c r="D375" t="s">
        <v>282</v>
      </c>
      <c r="E375" t="s">
        <v>264</v>
      </c>
    </row>
    <row r="376" spans="1:5" x14ac:dyDescent="0.3">
      <c r="A376" t="s">
        <v>168</v>
      </c>
      <c r="B376" t="s">
        <v>279</v>
      </c>
      <c r="C376">
        <v>235</v>
      </c>
      <c r="D376" t="s">
        <v>281</v>
      </c>
      <c r="E376" t="s">
        <v>264</v>
      </c>
    </row>
    <row r="377" spans="1:5" x14ac:dyDescent="0.3">
      <c r="A377" t="s">
        <v>168</v>
      </c>
      <c r="B377" t="s">
        <v>279</v>
      </c>
      <c r="C377">
        <v>237</v>
      </c>
      <c r="D377" t="s">
        <v>280</v>
      </c>
      <c r="E377" t="s">
        <v>264</v>
      </c>
    </row>
    <row r="378" spans="1:5" x14ac:dyDescent="0.3">
      <c r="A378" t="s">
        <v>168</v>
      </c>
      <c r="B378" t="s">
        <v>279</v>
      </c>
      <c r="C378">
        <v>245</v>
      </c>
      <c r="D378" t="s">
        <v>230</v>
      </c>
      <c r="E378" t="s">
        <v>264</v>
      </c>
    </row>
    <row r="379" spans="1:5" x14ac:dyDescent="0.3">
      <c r="A379" t="s">
        <v>168</v>
      </c>
      <c r="B379" t="s">
        <v>169</v>
      </c>
      <c r="C379">
        <v>301</v>
      </c>
      <c r="D379" t="s">
        <v>278</v>
      </c>
      <c r="E379" t="s">
        <v>222</v>
      </c>
    </row>
    <row r="380" spans="1:5" x14ac:dyDescent="0.3">
      <c r="A380" t="s">
        <v>168</v>
      </c>
      <c r="B380" t="s">
        <v>169</v>
      </c>
      <c r="C380">
        <v>302</v>
      </c>
      <c r="D380" t="s">
        <v>261</v>
      </c>
      <c r="E380" t="s">
        <v>222</v>
      </c>
    </row>
    <row r="381" spans="1:5" x14ac:dyDescent="0.3">
      <c r="A381" t="s">
        <v>168</v>
      </c>
      <c r="B381" t="s">
        <v>169</v>
      </c>
      <c r="C381">
        <v>303</v>
      </c>
      <c r="D381" t="s">
        <v>328</v>
      </c>
      <c r="E381" t="s">
        <v>222</v>
      </c>
    </row>
    <row r="382" spans="1:5" x14ac:dyDescent="0.3">
      <c r="A382" t="s">
        <v>168</v>
      </c>
      <c r="B382" t="s">
        <v>169</v>
      </c>
      <c r="C382">
        <v>304</v>
      </c>
      <c r="D382" t="s">
        <v>277</v>
      </c>
      <c r="E382" t="s">
        <v>222</v>
      </c>
    </row>
    <row r="383" spans="1:5" x14ac:dyDescent="0.3">
      <c r="A383" t="s">
        <v>168</v>
      </c>
      <c r="B383" t="s">
        <v>169</v>
      </c>
      <c r="C383">
        <v>306</v>
      </c>
      <c r="D383" t="s">
        <v>327</v>
      </c>
      <c r="E383" t="s">
        <v>222</v>
      </c>
    </row>
    <row r="384" spans="1:5" x14ac:dyDescent="0.3">
      <c r="A384" t="s">
        <v>168</v>
      </c>
      <c r="B384" t="s">
        <v>169</v>
      </c>
      <c r="C384">
        <v>308</v>
      </c>
      <c r="D384" t="s">
        <v>260</v>
      </c>
      <c r="E384" t="s">
        <v>222</v>
      </c>
    </row>
    <row r="385" spans="1:5" x14ac:dyDescent="0.3">
      <c r="A385" t="s">
        <v>168</v>
      </c>
      <c r="B385" t="s">
        <v>169</v>
      </c>
      <c r="C385">
        <v>309</v>
      </c>
      <c r="D385" t="s">
        <v>259</v>
      </c>
      <c r="E385" t="s">
        <v>222</v>
      </c>
    </row>
    <row r="386" spans="1:5" x14ac:dyDescent="0.3">
      <c r="A386" t="s">
        <v>168</v>
      </c>
      <c r="B386" t="s">
        <v>169</v>
      </c>
      <c r="C386">
        <v>310</v>
      </c>
      <c r="D386" t="s">
        <v>258</v>
      </c>
      <c r="E386" t="s">
        <v>222</v>
      </c>
    </row>
    <row r="387" spans="1:5" x14ac:dyDescent="0.3">
      <c r="A387" t="s">
        <v>168</v>
      </c>
      <c r="B387" t="s">
        <v>169</v>
      </c>
      <c r="C387">
        <v>312</v>
      </c>
      <c r="D387" t="s">
        <v>257</v>
      </c>
      <c r="E387" t="s">
        <v>238</v>
      </c>
    </row>
    <row r="388" spans="1:5" x14ac:dyDescent="0.3">
      <c r="A388" t="s">
        <v>168</v>
      </c>
      <c r="B388" t="s">
        <v>169</v>
      </c>
      <c r="C388">
        <v>316</v>
      </c>
      <c r="D388" t="s">
        <v>256</v>
      </c>
      <c r="E388" t="s">
        <v>222</v>
      </c>
    </row>
    <row r="389" spans="1:5" x14ac:dyDescent="0.3">
      <c r="A389" t="s">
        <v>168</v>
      </c>
      <c r="B389" t="s">
        <v>169</v>
      </c>
      <c r="C389">
        <v>317</v>
      </c>
      <c r="D389" t="s">
        <v>255</v>
      </c>
      <c r="E389" t="s">
        <v>222</v>
      </c>
    </row>
    <row r="390" spans="1:5" x14ac:dyDescent="0.3">
      <c r="A390" t="s">
        <v>168</v>
      </c>
      <c r="B390" t="s">
        <v>169</v>
      </c>
      <c r="C390">
        <v>318</v>
      </c>
      <c r="D390" t="s">
        <v>254</v>
      </c>
      <c r="E390" t="s">
        <v>222</v>
      </c>
    </row>
    <row r="391" spans="1:5" x14ac:dyDescent="0.3">
      <c r="A391" t="s">
        <v>168</v>
      </c>
      <c r="B391" t="s">
        <v>169</v>
      </c>
      <c r="C391">
        <v>320</v>
      </c>
      <c r="D391" t="s">
        <v>253</v>
      </c>
      <c r="E391" t="s">
        <v>222</v>
      </c>
    </row>
    <row r="392" spans="1:5" x14ac:dyDescent="0.3">
      <c r="A392" t="s">
        <v>168</v>
      </c>
      <c r="B392" t="s">
        <v>169</v>
      </c>
      <c r="C392">
        <v>321</v>
      </c>
      <c r="D392" t="s">
        <v>300</v>
      </c>
      <c r="E392" t="s">
        <v>222</v>
      </c>
    </row>
    <row r="393" spans="1:5" x14ac:dyDescent="0.3">
      <c r="A393" t="s">
        <v>168</v>
      </c>
      <c r="B393" t="s">
        <v>169</v>
      </c>
      <c r="C393">
        <v>323</v>
      </c>
      <c r="D393" t="s">
        <v>276</v>
      </c>
      <c r="E393" t="s">
        <v>222</v>
      </c>
    </row>
    <row r="394" spans="1:5" x14ac:dyDescent="0.3">
      <c r="A394" t="s">
        <v>168</v>
      </c>
      <c r="B394" t="s">
        <v>169</v>
      </c>
      <c r="C394">
        <v>325</v>
      </c>
      <c r="D394" t="s">
        <v>252</v>
      </c>
      <c r="E394" t="s">
        <v>222</v>
      </c>
    </row>
    <row r="395" spans="1:5" x14ac:dyDescent="0.3">
      <c r="A395" t="s">
        <v>168</v>
      </c>
      <c r="B395" t="s">
        <v>169</v>
      </c>
      <c r="C395">
        <v>326</v>
      </c>
      <c r="D395" t="s">
        <v>251</v>
      </c>
      <c r="E395" t="s">
        <v>222</v>
      </c>
    </row>
    <row r="396" spans="1:5" x14ac:dyDescent="0.3">
      <c r="A396" t="s">
        <v>168</v>
      </c>
      <c r="B396" t="s">
        <v>169</v>
      </c>
      <c r="C396">
        <v>327</v>
      </c>
      <c r="D396" t="s">
        <v>250</v>
      </c>
      <c r="E396" t="s">
        <v>222</v>
      </c>
    </row>
    <row r="397" spans="1:5" x14ac:dyDescent="0.3">
      <c r="A397" t="s">
        <v>168</v>
      </c>
      <c r="B397" t="s">
        <v>169</v>
      </c>
      <c r="C397">
        <v>329</v>
      </c>
      <c r="D397" t="s">
        <v>249</v>
      </c>
      <c r="E397" t="s">
        <v>222</v>
      </c>
    </row>
    <row r="398" spans="1:5" x14ac:dyDescent="0.3">
      <c r="A398" t="s">
        <v>168</v>
      </c>
      <c r="B398" t="s">
        <v>169</v>
      </c>
      <c r="C398">
        <v>330</v>
      </c>
      <c r="D398" t="s">
        <v>248</v>
      </c>
      <c r="E398" t="s">
        <v>222</v>
      </c>
    </row>
    <row r="399" spans="1:5" x14ac:dyDescent="0.3">
      <c r="A399" t="s">
        <v>168</v>
      </c>
      <c r="B399" t="s">
        <v>169</v>
      </c>
      <c r="C399">
        <v>331</v>
      </c>
      <c r="D399" t="s">
        <v>247</v>
      </c>
      <c r="E399" t="s">
        <v>222</v>
      </c>
    </row>
    <row r="400" spans="1:5" x14ac:dyDescent="0.3">
      <c r="A400" t="s">
        <v>168</v>
      </c>
      <c r="B400" t="s">
        <v>169</v>
      </c>
      <c r="C400">
        <v>332</v>
      </c>
      <c r="D400" t="s">
        <v>246</v>
      </c>
      <c r="E400" t="s">
        <v>222</v>
      </c>
    </row>
    <row r="401" spans="1:5" x14ac:dyDescent="0.3">
      <c r="A401" t="s">
        <v>168</v>
      </c>
      <c r="B401" t="s">
        <v>169</v>
      </c>
      <c r="C401">
        <v>333</v>
      </c>
      <c r="D401" t="s">
        <v>245</v>
      </c>
      <c r="E401" t="s">
        <v>238</v>
      </c>
    </row>
    <row r="402" spans="1:5" x14ac:dyDescent="0.3">
      <c r="A402" t="s">
        <v>168</v>
      </c>
      <c r="B402" t="s">
        <v>169</v>
      </c>
      <c r="C402">
        <v>335</v>
      </c>
      <c r="D402" t="s">
        <v>244</v>
      </c>
      <c r="E402" t="s">
        <v>222</v>
      </c>
    </row>
    <row r="403" spans="1:5" x14ac:dyDescent="0.3">
      <c r="A403" t="s">
        <v>168</v>
      </c>
      <c r="B403" t="s">
        <v>169</v>
      </c>
      <c r="C403">
        <v>336</v>
      </c>
      <c r="D403" t="s">
        <v>275</v>
      </c>
      <c r="E403" t="s">
        <v>222</v>
      </c>
    </row>
    <row r="404" spans="1:5" x14ac:dyDescent="0.3">
      <c r="A404" t="s">
        <v>168</v>
      </c>
      <c r="B404" t="s">
        <v>169</v>
      </c>
      <c r="C404">
        <v>337</v>
      </c>
      <c r="D404" t="s">
        <v>243</v>
      </c>
      <c r="E404" t="s">
        <v>238</v>
      </c>
    </row>
    <row r="405" spans="1:5" x14ac:dyDescent="0.3">
      <c r="A405" t="s">
        <v>168</v>
      </c>
      <c r="B405" t="s">
        <v>169</v>
      </c>
      <c r="C405">
        <v>339</v>
      </c>
      <c r="D405" t="s">
        <v>242</v>
      </c>
      <c r="E405" t="s">
        <v>222</v>
      </c>
    </row>
    <row r="406" spans="1:5" x14ac:dyDescent="0.3">
      <c r="A406" t="s">
        <v>168</v>
      </c>
      <c r="B406" t="s">
        <v>169</v>
      </c>
      <c r="C406">
        <v>340</v>
      </c>
      <c r="D406" t="s">
        <v>241</v>
      </c>
      <c r="E406" t="s">
        <v>222</v>
      </c>
    </row>
    <row r="407" spans="1:5" x14ac:dyDescent="0.3">
      <c r="A407" t="s">
        <v>168</v>
      </c>
      <c r="B407" t="s">
        <v>169</v>
      </c>
      <c r="C407">
        <v>342</v>
      </c>
      <c r="D407" t="s">
        <v>240</v>
      </c>
      <c r="E407" t="s">
        <v>222</v>
      </c>
    </row>
    <row r="408" spans="1:5" x14ac:dyDescent="0.3">
      <c r="A408" t="s">
        <v>168</v>
      </c>
      <c r="B408" t="s">
        <v>169</v>
      </c>
      <c r="C408">
        <v>344</v>
      </c>
      <c r="D408" t="s">
        <v>239</v>
      </c>
      <c r="E408" t="s">
        <v>238</v>
      </c>
    </row>
    <row r="409" spans="1:5" x14ac:dyDescent="0.3">
      <c r="A409" t="s">
        <v>168</v>
      </c>
      <c r="B409" t="s">
        <v>169</v>
      </c>
      <c r="C409">
        <v>345</v>
      </c>
      <c r="D409" t="s">
        <v>237</v>
      </c>
      <c r="E409" t="s">
        <v>222</v>
      </c>
    </row>
    <row r="410" spans="1:5" x14ac:dyDescent="0.3">
      <c r="A410" t="s">
        <v>168</v>
      </c>
      <c r="B410" t="s">
        <v>169</v>
      </c>
      <c r="C410">
        <v>347</v>
      </c>
      <c r="D410" t="s">
        <v>326</v>
      </c>
      <c r="E410" t="s">
        <v>222</v>
      </c>
    </row>
    <row r="411" spans="1:5" x14ac:dyDescent="0.3">
      <c r="A411" t="s">
        <v>168</v>
      </c>
      <c r="B411" t="s">
        <v>169</v>
      </c>
      <c r="C411">
        <v>348</v>
      </c>
      <c r="D411" t="s">
        <v>236</v>
      </c>
      <c r="E411" t="s">
        <v>222</v>
      </c>
    </row>
    <row r="412" spans="1:5" x14ac:dyDescent="0.3">
      <c r="A412" t="s">
        <v>168</v>
      </c>
      <c r="B412" t="s">
        <v>169</v>
      </c>
      <c r="C412">
        <v>355</v>
      </c>
      <c r="D412" t="s">
        <v>235</v>
      </c>
      <c r="E412" t="s">
        <v>222</v>
      </c>
    </row>
    <row r="413" spans="1:5" x14ac:dyDescent="0.3">
      <c r="A413" t="s">
        <v>168</v>
      </c>
      <c r="B413" t="s">
        <v>169</v>
      </c>
      <c r="C413">
        <v>356</v>
      </c>
      <c r="D413" t="s">
        <v>234</v>
      </c>
      <c r="E413" t="s">
        <v>222</v>
      </c>
    </row>
    <row r="414" spans="1:5" x14ac:dyDescent="0.3">
      <c r="A414" t="s">
        <v>168</v>
      </c>
      <c r="B414" t="s">
        <v>169</v>
      </c>
      <c r="C414">
        <v>361</v>
      </c>
      <c r="D414" t="s">
        <v>325</v>
      </c>
      <c r="E414" t="s">
        <v>222</v>
      </c>
    </row>
    <row r="415" spans="1:5" x14ac:dyDescent="0.3">
      <c r="A415" t="s">
        <v>168</v>
      </c>
      <c r="B415" t="s">
        <v>169</v>
      </c>
      <c r="C415">
        <v>362</v>
      </c>
      <c r="D415" t="s">
        <v>292</v>
      </c>
      <c r="E415" t="s">
        <v>222</v>
      </c>
    </row>
    <row r="416" spans="1:5" x14ac:dyDescent="0.3">
      <c r="A416" t="s">
        <v>168</v>
      </c>
      <c r="B416" t="s">
        <v>169</v>
      </c>
      <c r="C416">
        <v>363</v>
      </c>
      <c r="D416" t="s">
        <v>233</v>
      </c>
      <c r="E416" t="s">
        <v>222</v>
      </c>
    </row>
    <row r="417" spans="1:5" x14ac:dyDescent="0.3">
      <c r="A417" t="s">
        <v>168</v>
      </c>
      <c r="B417" t="s">
        <v>169</v>
      </c>
      <c r="C417">
        <v>364</v>
      </c>
      <c r="D417" t="s">
        <v>324</v>
      </c>
      <c r="E417" t="s">
        <v>222</v>
      </c>
    </row>
    <row r="418" spans="1:5" x14ac:dyDescent="0.3">
      <c r="A418" t="s">
        <v>168</v>
      </c>
      <c r="B418" t="s">
        <v>169</v>
      </c>
      <c r="C418">
        <v>365</v>
      </c>
      <c r="D418" t="s">
        <v>323</v>
      </c>
      <c r="E418" t="s">
        <v>222</v>
      </c>
    </row>
    <row r="419" spans="1:5" x14ac:dyDescent="0.3">
      <c r="A419" t="s">
        <v>168</v>
      </c>
      <c r="B419" t="s">
        <v>169</v>
      </c>
      <c r="C419">
        <v>366</v>
      </c>
      <c r="D419" t="s">
        <v>282</v>
      </c>
      <c r="E419" t="s">
        <v>222</v>
      </c>
    </row>
    <row r="420" spans="1:5" x14ac:dyDescent="0.3">
      <c r="A420" t="s">
        <v>168</v>
      </c>
      <c r="B420" t="s">
        <v>169</v>
      </c>
      <c r="C420">
        <v>367</v>
      </c>
      <c r="D420" t="s">
        <v>281</v>
      </c>
      <c r="E420" t="s">
        <v>222</v>
      </c>
    </row>
    <row r="421" spans="1:5" x14ac:dyDescent="0.3">
      <c r="A421" t="s">
        <v>168</v>
      </c>
      <c r="B421" t="s">
        <v>169</v>
      </c>
      <c r="C421">
        <v>368</v>
      </c>
      <c r="D421" t="s">
        <v>322</v>
      </c>
      <c r="E421" t="s">
        <v>222</v>
      </c>
    </row>
    <row r="422" spans="1:5" x14ac:dyDescent="0.3">
      <c r="A422" t="s">
        <v>168</v>
      </c>
      <c r="B422" t="s">
        <v>169</v>
      </c>
      <c r="C422">
        <v>369</v>
      </c>
      <c r="D422" t="s">
        <v>232</v>
      </c>
      <c r="E422" t="s">
        <v>222</v>
      </c>
    </row>
    <row r="423" spans="1:5" x14ac:dyDescent="0.3">
      <c r="A423" t="s">
        <v>168</v>
      </c>
      <c r="B423" t="s">
        <v>169</v>
      </c>
      <c r="C423">
        <v>370</v>
      </c>
      <c r="D423" t="s">
        <v>280</v>
      </c>
      <c r="E423" t="s">
        <v>222</v>
      </c>
    </row>
    <row r="424" spans="1:5" x14ac:dyDescent="0.3">
      <c r="A424" t="s">
        <v>168</v>
      </c>
      <c r="B424" t="s">
        <v>169</v>
      </c>
      <c r="C424">
        <v>372</v>
      </c>
      <c r="D424" t="s">
        <v>231</v>
      </c>
      <c r="E424" t="s">
        <v>222</v>
      </c>
    </row>
    <row r="425" spans="1:5" x14ac:dyDescent="0.3">
      <c r="A425" t="s">
        <v>168</v>
      </c>
      <c r="B425" t="s">
        <v>169</v>
      </c>
      <c r="C425">
        <v>373</v>
      </c>
      <c r="D425" t="s">
        <v>274</v>
      </c>
      <c r="E425" t="s">
        <v>222</v>
      </c>
    </row>
    <row r="426" spans="1:5" x14ac:dyDescent="0.3">
      <c r="A426" t="s">
        <v>168</v>
      </c>
      <c r="B426" t="s">
        <v>169</v>
      </c>
      <c r="C426">
        <v>374</v>
      </c>
      <c r="D426" t="s">
        <v>321</v>
      </c>
      <c r="E426" t="s">
        <v>222</v>
      </c>
    </row>
    <row r="427" spans="1:5" x14ac:dyDescent="0.3">
      <c r="A427" t="s">
        <v>168</v>
      </c>
      <c r="B427" t="s">
        <v>169</v>
      </c>
      <c r="C427">
        <v>375</v>
      </c>
      <c r="D427" t="s">
        <v>273</v>
      </c>
      <c r="E427" t="s">
        <v>222</v>
      </c>
    </row>
    <row r="428" spans="1:5" x14ac:dyDescent="0.3">
      <c r="A428" t="s">
        <v>168</v>
      </c>
      <c r="B428" t="s">
        <v>169</v>
      </c>
      <c r="C428">
        <v>377</v>
      </c>
      <c r="D428" t="s">
        <v>272</v>
      </c>
      <c r="E428" t="s">
        <v>222</v>
      </c>
    </row>
    <row r="429" spans="1:5" x14ac:dyDescent="0.3">
      <c r="A429" t="s">
        <v>168</v>
      </c>
      <c r="B429" t="s">
        <v>169</v>
      </c>
      <c r="C429">
        <v>379</v>
      </c>
      <c r="D429" t="s">
        <v>271</v>
      </c>
      <c r="E429" t="s">
        <v>222</v>
      </c>
    </row>
    <row r="430" spans="1:5" x14ac:dyDescent="0.3">
      <c r="A430" t="s">
        <v>168</v>
      </c>
      <c r="B430" t="s">
        <v>169</v>
      </c>
      <c r="C430">
        <v>383</v>
      </c>
      <c r="D430" t="s">
        <v>311</v>
      </c>
      <c r="E430" t="s">
        <v>222</v>
      </c>
    </row>
    <row r="431" spans="1:5" x14ac:dyDescent="0.3">
      <c r="A431" t="s">
        <v>168</v>
      </c>
      <c r="B431" t="s">
        <v>169</v>
      </c>
      <c r="C431">
        <v>384</v>
      </c>
      <c r="D431" t="s">
        <v>299</v>
      </c>
      <c r="E431" t="s">
        <v>222</v>
      </c>
    </row>
    <row r="432" spans="1:5" x14ac:dyDescent="0.3">
      <c r="A432" t="s">
        <v>168</v>
      </c>
      <c r="B432" t="s">
        <v>169</v>
      </c>
      <c r="C432">
        <v>385</v>
      </c>
      <c r="D432" t="s">
        <v>320</v>
      </c>
      <c r="E432" t="s">
        <v>222</v>
      </c>
    </row>
    <row r="433" spans="1:5" x14ac:dyDescent="0.3">
      <c r="A433" t="s">
        <v>168</v>
      </c>
      <c r="B433" t="s">
        <v>169</v>
      </c>
      <c r="C433">
        <v>386</v>
      </c>
      <c r="D433" t="s">
        <v>298</v>
      </c>
      <c r="E433" t="s">
        <v>222</v>
      </c>
    </row>
    <row r="434" spans="1:5" x14ac:dyDescent="0.3">
      <c r="A434" t="s">
        <v>168</v>
      </c>
      <c r="B434" t="s">
        <v>169</v>
      </c>
      <c r="C434">
        <v>387</v>
      </c>
      <c r="D434" t="s">
        <v>230</v>
      </c>
      <c r="E434" t="s">
        <v>222</v>
      </c>
    </row>
    <row r="435" spans="1:5" x14ac:dyDescent="0.3">
      <c r="A435" t="s">
        <v>168</v>
      </c>
      <c r="B435" t="s">
        <v>169</v>
      </c>
      <c r="C435">
        <v>388</v>
      </c>
      <c r="D435" t="s">
        <v>319</v>
      </c>
      <c r="E435" t="s">
        <v>222</v>
      </c>
    </row>
    <row r="436" spans="1:5" x14ac:dyDescent="0.3">
      <c r="A436" t="s">
        <v>168</v>
      </c>
      <c r="B436" t="s">
        <v>169</v>
      </c>
      <c r="C436">
        <v>391</v>
      </c>
      <c r="D436" t="s">
        <v>318</v>
      </c>
      <c r="E436" t="s">
        <v>222</v>
      </c>
    </row>
    <row r="437" spans="1:5" x14ac:dyDescent="0.3">
      <c r="A437" t="s">
        <v>168</v>
      </c>
      <c r="B437" t="s">
        <v>169</v>
      </c>
      <c r="C437">
        <v>393</v>
      </c>
      <c r="D437" t="s">
        <v>270</v>
      </c>
      <c r="E437" t="s">
        <v>222</v>
      </c>
    </row>
    <row r="438" spans="1:5" x14ac:dyDescent="0.3">
      <c r="A438" t="s">
        <v>168</v>
      </c>
      <c r="B438" t="s">
        <v>169</v>
      </c>
      <c r="C438">
        <v>395</v>
      </c>
      <c r="D438" t="s">
        <v>317</v>
      </c>
      <c r="E438" t="s">
        <v>222</v>
      </c>
    </row>
    <row r="439" spans="1:5" x14ac:dyDescent="0.3">
      <c r="A439" t="s">
        <v>168</v>
      </c>
      <c r="B439" t="s">
        <v>169</v>
      </c>
      <c r="C439">
        <v>396</v>
      </c>
      <c r="D439" t="s">
        <v>316</v>
      </c>
      <c r="E439" t="s">
        <v>222</v>
      </c>
    </row>
    <row r="440" spans="1:5" x14ac:dyDescent="0.3">
      <c r="A440" t="s">
        <v>168</v>
      </c>
      <c r="B440" t="s">
        <v>169</v>
      </c>
      <c r="C440">
        <v>406</v>
      </c>
      <c r="D440" t="s">
        <v>269</v>
      </c>
      <c r="E440" t="s">
        <v>222</v>
      </c>
    </row>
    <row r="441" spans="1:5" x14ac:dyDescent="0.3">
      <c r="A441" t="s">
        <v>168</v>
      </c>
      <c r="B441" t="s">
        <v>169</v>
      </c>
      <c r="C441">
        <v>407</v>
      </c>
      <c r="D441" t="s">
        <v>229</v>
      </c>
      <c r="E441" t="s">
        <v>222</v>
      </c>
    </row>
    <row r="442" spans="1:5" x14ac:dyDescent="0.3">
      <c r="A442" t="s">
        <v>168</v>
      </c>
      <c r="B442" t="s">
        <v>169</v>
      </c>
      <c r="C442">
        <v>408</v>
      </c>
      <c r="D442" t="s">
        <v>312</v>
      </c>
      <c r="E442" t="s">
        <v>222</v>
      </c>
    </row>
    <row r="443" spans="1:5" x14ac:dyDescent="0.3">
      <c r="A443" t="s">
        <v>168</v>
      </c>
      <c r="B443" t="s">
        <v>169</v>
      </c>
      <c r="C443">
        <v>409</v>
      </c>
      <c r="D443" t="s">
        <v>315</v>
      </c>
      <c r="E443" t="s">
        <v>222</v>
      </c>
    </row>
    <row r="444" spans="1:5" x14ac:dyDescent="0.3">
      <c r="A444" t="s">
        <v>168</v>
      </c>
      <c r="B444" t="s">
        <v>169</v>
      </c>
      <c r="C444">
        <v>410</v>
      </c>
      <c r="D444" t="s">
        <v>314</v>
      </c>
      <c r="E444" t="s">
        <v>222</v>
      </c>
    </row>
    <row r="445" spans="1:5" x14ac:dyDescent="0.3">
      <c r="A445" t="s">
        <v>168</v>
      </c>
      <c r="B445" t="s">
        <v>169</v>
      </c>
      <c r="C445">
        <v>411</v>
      </c>
      <c r="D445" t="s">
        <v>290</v>
      </c>
      <c r="E445" t="s">
        <v>222</v>
      </c>
    </row>
    <row r="446" spans="1:5" x14ac:dyDescent="0.3">
      <c r="A446" t="s">
        <v>168</v>
      </c>
      <c r="B446" t="s">
        <v>169</v>
      </c>
      <c r="C446">
        <v>420</v>
      </c>
      <c r="D446" t="s">
        <v>313</v>
      </c>
      <c r="E446" t="s">
        <v>238</v>
      </c>
    </row>
    <row r="447" spans="1:5" x14ac:dyDescent="0.3">
      <c r="A447" t="s">
        <v>168</v>
      </c>
      <c r="B447" t="s">
        <v>221</v>
      </c>
      <c r="C447">
        <v>706</v>
      </c>
      <c r="D447" t="s">
        <v>268</v>
      </c>
      <c r="E447" t="s">
        <v>219</v>
      </c>
    </row>
    <row r="448" spans="1:5" x14ac:dyDescent="0.3">
      <c r="A448" t="s">
        <v>168</v>
      </c>
      <c r="B448" t="s">
        <v>221</v>
      </c>
      <c r="C448">
        <v>709</v>
      </c>
      <c r="D448" t="s">
        <v>297</v>
      </c>
      <c r="E448" t="s">
        <v>264</v>
      </c>
    </row>
    <row r="449" spans="1:5" x14ac:dyDescent="0.3">
      <c r="A449" t="s">
        <v>168</v>
      </c>
      <c r="B449" t="s">
        <v>221</v>
      </c>
      <c r="C449">
        <v>711</v>
      </c>
      <c r="D449" t="s">
        <v>312</v>
      </c>
      <c r="E449" t="s">
        <v>264</v>
      </c>
    </row>
    <row r="450" spans="1:5" x14ac:dyDescent="0.3">
      <c r="A450" t="s">
        <v>168</v>
      </c>
      <c r="B450" t="s">
        <v>221</v>
      </c>
      <c r="C450">
        <v>712</v>
      </c>
      <c r="D450" t="s">
        <v>228</v>
      </c>
      <c r="E450" t="s">
        <v>219</v>
      </c>
    </row>
    <row r="451" spans="1:5" x14ac:dyDescent="0.3">
      <c r="A451" t="s">
        <v>168</v>
      </c>
      <c r="B451" t="s">
        <v>221</v>
      </c>
      <c r="C451">
        <v>714</v>
      </c>
      <c r="D451" t="s">
        <v>267</v>
      </c>
      <c r="E451" t="s">
        <v>264</v>
      </c>
    </row>
    <row r="452" spans="1:5" x14ac:dyDescent="0.3">
      <c r="A452" t="s">
        <v>168</v>
      </c>
      <c r="B452" t="s">
        <v>221</v>
      </c>
      <c r="C452">
        <v>715</v>
      </c>
      <c r="D452" t="s">
        <v>311</v>
      </c>
      <c r="E452" t="s">
        <v>264</v>
      </c>
    </row>
    <row r="453" spans="1:5" x14ac:dyDescent="0.3">
      <c r="A453" t="s">
        <v>168</v>
      </c>
      <c r="B453" t="s">
        <v>221</v>
      </c>
      <c r="C453">
        <v>717</v>
      </c>
      <c r="D453" t="s">
        <v>310</v>
      </c>
      <c r="E453" t="s">
        <v>219</v>
      </c>
    </row>
    <row r="454" spans="1:5" x14ac:dyDescent="0.3">
      <c r="A454" t="s">
        <v>168</v>
      </c>
      <c r="B454" t="s">
        <v>221</v>
      </c>
      <c r="C454">
        <v>728</v>
      </c>
      <c r="D454" t="s">
        <v>227</v>
      </c>
      <c r="E454" t="s">
        <v>219</v>
      </c>
    </row>
    <row r="455" spans="1:5" x14ac:dyDescent="0.3">
      <c r="A455" t="s">
        <v>168</v>
      </c>
      <c r="B455" t="s">
        <v>221</v>
      </c>
      <c r="C455">
        <v>729</v>
      </c>
      <c r="D455" t="s">
        <v>266</v>
      </c>
      <c r="E455" t="s">
        <v>219</v>
      </c>
    </row>
    <row r="456" spans="1:5" x14ac:dyDescent="0.3">
      <c r="A456" t="s">
        <v>168</v>
      </c>
      <c r="B456" t="s">
        <v>221</v>
      </c>
      <c r="C456">
        <v>731</v>
      </c>
      <c r="D456" t="s">
        <v>309</v>
      </c>
      <c r="E456" t="s">
        <v>219</v>
      </c>
    </row>
    <row r="457" spans="1:5" x14ac:dyDescent="0.3">
      <c r="A457" t="s">
        <v>168</v>
      </c>
      <c r="B457" t="s">
        <v>221</v>
      </c>
      <c r="C457">
        <v>733</v>
      </c>
      <c r="D457" t="s">
        <v>308</v>
      </c>
      <c r="E457" t="s">
        <v>264</v>
      </c>
    </row>
    <row r="458" spans="1:5" x14ac:dyDescent="0.3">
      <c r="A458" t="s">
        <v>168</v>
      </c>
      <c r="B458" t="s">
        <v>221</v>
      </c>
      <c r="C458">
        <v>734</v>
      </c>
      <c r="D458" t="s">
        <v>307</v>
      </c>
      <c r="E458" t="s">
        <v>222</v>
      </c>
    </row>
    <row r="459" spans="1:5" x14ac:dyDescent="0.3">
      <c r="A459" t="s">
        <v>168</v>
      </c>
      <c r="B459" t="s">
        <v>221</v>
      </c>
      <c r="C459">
        <v>739</v>
      </c>
      <c r="D459" t="s">
        <v>226</v>
      </c>
      <c r="E459" t="s">
        <v>219</v>
      </c>
    </row>
    <row r="460" spans="1:5" x14ac:dyDescent="0.3">
      <c r="A460" t="s">
        <v>168</v>
      </c>
      <c r="B460" t="s">
        <v>221</v>
      </c>
      <c r="C460">
        <v>740</v>
      </c>
      <c r="D460" t="s">
        <v>225</v>
      </c>
      <c r="E460" t="s">
        <v>219</v>
      </c>
    </row>
    <row r="461" spans="1:5" x14ac:dyDescent="0.3">
      <c r="A461" t="s">
        <v>168</v>
      </c>
      <c r="B461" t="s">
        <v>221</v>
      </c>
      <c r="C461">
        <v>742</v>
      </c>
      <c r="D461" t="s">
        <v>224</v>
      </c>
      <c r="E461" t="s">
        <v>222</v>
      </c>
    </row>
    <row r="462" spans="1:5" x14ac:dyDescent="0.3">
      <c r="A462" t="s">
        <v>168</v>
      </c>
      <c r="B462" t="s">
        <v>221</v>
      </c>
      <c r="C462">
        <v>743</v>
      </c>
      <c r="D462" t="s">
        <v>306</v>
      </c>
      <c r="E462" t="s">
        <v>264</v>
      </c>
    </row>
    <row r="463" spans="1:5" x14ac:dyDescent="0.3">
      <c r="A463" t="s">
        <v>168</v>
      </c>
      <c r="B463" t="s">
        <v>221</v>
      </c>
      <c r="C463">
        <v>744</v>
      </c>
      <c r="D463" t="s">
        <v>265</v>
      </c>
      <c r="E463" t="s">
        <v>264</v>
      </c>
    </row>
    <row r="464" spans="1:5" x14ac:dyDescent="0.3">
      <c r="A464" t="s">
        <v>168</v>
      </c>
      <c r="B464" t="s">
        <v>221</v>
      </c>
      <c r="C464">
        <v>745</v>
      </c>
      <c r="D464" t="s">
        <v>223</v>
      </c>
      <c r="E464" t="s">
        <v>222</v>
      </c>
    </row>
    <row r="465" spans="1:5" x14ac:dyDescent="0.3">
      <c r="A465" t="s">
        <v>168</v>
      </c>
      <c r="B465" t="s">
        <v>221</v>
      </c>
      <c r="C465">
        <v>746</v>
      </c>
      <c r="D465" t="s">
        <v>263</v>
      </c>
      <c r="E465" t="s">
        <v>219</v>
      </c>
    </row>
    <row r="466" spans="1:5" x14ac:dyDescent="0.3">
      <c r="A466" t="s">
        <v>168</v>
      </c>
      <c r="B466" t="s">
        <v>221</v>
      </c>
      <c r="C466">
        <v>747</v>
      </c>
      <c r="D466" t="s">
        <v>262</v>
      </c>
      <c r="E466" t="s">
        <v>222</v>
      </c>
    </row>
    <row r="467" spans="1:5" x14ac:dyDescent="0.3">
      <c r="A467" t="s">
        <v>168</v>
      </c>
      <c r="B467" t="s">
        <v>221</v>
      </c>
      <c r="C467">
        <v>749</v>
      </c>
      <c r="D467" t="s">
        <v>220</v>
      </c>
      <c r="E467" t="s">
        <v>219</v>
      </c>
    </row>
    <row r="468" spans="1:5" x14ac:dyDescent="0.3">
      <c r="A468" t="s">
        <v>168</v>
      </c>
      <c r="B468" t="s">
        <v>302</v>
      </c>
      <c r="C468">
        <v>1101</v>
      </c>
      <c r="D468" t="s">
        <v>305</v>
      </c>
      <c r="E468" t="s">
        <v>264</v>
      </c>
    </row>
    <row r="469" spans="1:5" x14ac:dyDescent="0.3">
      <c r="A469" t="s">
        <v>168</v>
      </c>
      <c r="B469" t="s">
        <v>302</v>
      </c>
      <c r="C469">
        <v>1102</v>
      </c>
      <c r="D469" t="s">
        <v>304</v>
      </c>
      <c r="E469" t="s">
        <v>264</v>
      </c>
    </row>
    <row r="470" spans="1:5" x14ac:dyDescent="0.3">
      <c r="A470" t="s">
        <v>168</v>
      </c>
      <c r="B470" t="s">
        <v>302</v>
      </c>
      <c r="C470">
        <v>1103</v>
      </c>
      <c r="D470" t="s">
        <v>303</v>
      </c>
      <c r="E470" t="s">
        <v>238</v>
      </c>
    </row>
    <row r="471" spans="1:5" x14ac:dyDescent="0.3">
      <c r="A471" t="s">
        <v>168</v>
      </c>
      <c r="B471" t="s">
        <v>302</v>
      </c>
      <c r="C471">
        <v>1104</v>
      </c>
      <c r="D471" t="s">
        <v>301</v>
      </c>
      <c r="E471" t="s">
        <v>222</v>
      </c>
    </row>
    <row r="472" spans="1:5" x14ac:dyDescent="0.3">
      <c r="A472" t="s">
        <v>168</v>
      </c>
      <c r="B472" t="s">
        <v>169</v>
      </c>
      <c r="C472">
        <v>302</v>
      </c>
      <c r="D472" t="s">
        <v>261</v>
      </c>
      <c r="E472" t="s">
        <v>222</v>
      </c>
    </row>
    <row r="473" spans="1:5" x14ac:dyDescent="0.3">
      <c r="A473" t="s">
        <v>168</v>
      </c>
      <c r="B473" t="s">
        <v>169</v>
      </c>
      <c r="C473">
        <v>308</v>
      </c>
      <c r="D473" t="s">
        <v>260</v>
      </c>
      <c r="E473" t="s">
        <v>222</v>
      </c>
    </row>
    <row r="474" spans="1:5" x14ac:dyDescent="0.3">
      <c r="A474" t="s">
        <v>168</v>
      </c>
      <c r="B474" t="s">
        <v>169</v>
      </c>
      <c r="C474">
        <v>309</v>
      </c>
      <c r="D474" t="s">
        <v>259</v>
      </c>
      <c r="E474" t="s">
        <v>222</v>
      </c>
    </row>
    <row r="475" spans="1:5" x14ac:dyDescent="0.3">
      <c r="A475" t="s">
        <v>168</v>
      </c>
      <c r="B475" t="s">
        <v>169</v>
      </c>
      <c r="C475">
        <v>310</v>
      </c>
      <c r="D475" t="s">
        <v>258</v>
      </c>
      <c r="E475" t="s">
        <v>222</v>
      </c>
    </row>
    <row r="476" spans="1:5" x14ac:dyDescent="0.3">
      <c r="A476" t="s">
        <v>168</v>
      </c>
      <c r="B476" t="s">
        <v>169</v>
      </c>
      <c r="C476">
        <v>312</v>
      </c>
      <c r="D476" t="s">
        <v>257</v>
      </c>
      <c r="E476" t="s">
        <v>238</v>
      </c>
    </row>
    <row r="477" spans="1:5" x14ac:dyDescent="0.3">
      <c r="A477" t="s">
        <v>168</v>
      </c>
      <c r="B477" t="s">
        <v>169</v>
      </c>
      <c r="C477">
        <v>316</v>
      </c>
      <c r="D477" t="s">
        <v>256</v>
      </c>
      <c r="E477" t="s">
        <v>222</v>
      </c>
    </row>
    <row r="478" spans="1:5" x14ac:dyDescent="0.3">
      <c r="A478" t="s">
        <v>168</v>
      </c>
      <c r="B478" t="s">
        <v>169</v>
      </c>
      <c r="C478">
        <v>317</v>
      </c>
      <c r="D478" t="s">
        <v>255</v>
      </c>
      <c r="E478" t="s">
        <v>222</v>
      </c>
    </row>
    <row r="479" spans="1:5" x14ac:dyDescent="0.3">
      <c r="A479" t="s">
        <v>168</v>
      </c>
      <c r="B479" t="s">
        <v>169</v>
      </c>
      <c r="C479">
        <v>318</v>
      </c>
      <c r="D479" t="s">
        <v>254</v>
      </c>
      <c r="E479" t="s">
        <v>222</v>
      </c>
    </row>
    <row r="480" spans="1:5" x14ac:dyDescent="0.3">
      <c r="A480" t="s">
        <v>168</v>
      </c>
      <c r="B480" t="s">
        <v>169</v>
      </c>
      <c r="C480">
        <v>320</v>
      </c>
      <c r="D480" t="s">
        <v>253</v>
      </c>
      <c r="E480" t="s">
        <v>222</v>
      </c>
    </row>
    <row r="481" spans="1:5" x14ac:dyDescent="0.3">
      <c r="A481" t="s">
        <v>168</v>
      </c>
      <c r="B481" t="s">
        <v>169</v>
      </c>
      <c r="C481">
        <v>325</v>
      </c>
      <c r="D481" t="s">
        <v>252</v>
      </c>
      <c r="E481" t="s">
        <v>222</v>
      </c>
    </row>
    <row r="482" spans="1:5" x14ac:dyDescent="0.3">
      <c r="A482" t="s">
        <v>168</v>
      </c>
      <c r="B482" t="s">
        <v>169</v>
      </c>
      <c r="C482">
        <v>326</v>
      </c>
      <c r="D482" t="s">
        <v>251</v>
      </c>
      <c r="E482" t="s">
        <v>222</v>
      </c>
    </row>
    <row r="483" spans="1:5" x14ac:dyDescent="0.3">
      <c r="A483" t="s">
        <v>168</v>
      </c>
      <c r="B483" t="s">
        <v>169</v>
      </c>
      <c r="C483">
        <v>327</v>
      </c>
      <c r="D483" t="s">
        <v>250</v>
      </c>
      <c r="E483" t="s">
        <v>222</v>
      </c>
    </row>
    <row r="484" spans="1:5" x14ac:dyDescent="0.3">
      <c r="A484" t="s">
        <v>168</v>
      </c>
      <c r="B484" t="s">
        <v>169</v>
      </c>
      <c r="C484">
        <v>329</v>
      </c>
      <c r="D484" t="s">
        <v>249</v>
      </c>
      <c r="E484" t="s">
        <v>222</v>
      </c>
    </row>
    <row r="485" spans="1:5" x14ac:dyDescent="0.3">
      <c r="A485" t="s">
        <v>168</v>
      </c>
      <c r="B485" t="s">
        <v>169</v>
      </c>
      <c r="C485">
        <v>330</v>
      </c>
      <c r="D485" t="s">
        <v>248</v>
      </c>
      <c r="E485" t="s">
        <v>222</v>
      </c>
    </row>
    <row r="486" spans="1:5" x14ac:dyDescent="0.3">
      <c r="A486" t="s">
        <v>168</v>
      </c>
      <c r="B486" t="s">
        <v>169</v>
      </c>
      <c r="C486">
        <v>331</v>
      </c>
      <c r="D486" t="s">
        <v>247</v>
      </c>
      <c r="E486" t="s">
        <v>222</v>
      </c>
    </row>
    <row r="487" spans="1:5" x14ac:dyDescent="0.3">
      <c r="A487" t="s">
        <v>168</v>
      </c>
      <c r="B487" t="s">
        <v>169</v>
      </c>
      <c r="C487">
        <v>332</v>
      </c>
      <c r="D487" t="s">
        <v>246</v>
      </c>
      <c r="E487" t="s">
        <v>222</v>
      </c>
    </row>
    <row r="488" spans="1:5" x14ac:dyDescent="0.3">
      <c r="A488" t="s">
        <v>168</v>
      </c>
      <c r="B488" t="s">
        <v>169</v>
      </c>
      <c r="C488">
        <v>333</v>
      </c>
      <c r="D488" t="s">
        <v>245</v>
      </c>
      <c r="E488" t="s">
        <v>238</v>
      </c>
    </row>
    <row r="489" spans="1:5" x14ac:dyDescent="0.3">
      <c r="A489" t="s">
        <v>168</v>
      </c>
      <c r="B489" t="s">
        <v>169</v>
      </c>
      <c r="C489">
        <v>335</v>
      </c>
      <c r="D489" t="s">
        <v>244</v>
      </c>
      <c r="E489" t="s">
        <v>222</v>
      </c>
    </row>
    <row r="490" spans="1:5" x14ac:dyDescent="0.3">
      <c r="A490" t="s">
        <v>168</v>
      </c>
      <c r="B490" t="s">
        <v>169</v>
      </c>
      <c r="C490">
        <v>337</v>
      </c>
      <c r="D490" t="s">
        <v>243</v>
      </c>
      <c r="E490" t="s">
        <v>238</v>
      </c>
    </row>
    <row r="491" spans="1:5" x14ac:dyDescent="0.3">
      <c r="A491" t="s">
        <v>168</v>
      </c>
      <c r="B491" t="s">
        <v>169</v>
      </c>
      <c r="C491">
        <v>339</v>
      </c>
      <c r="D491" t="s">
        <v>242</v>
      </c>
      <c r="E491" t="s">
        <v>222</v>
      </c>
    </row>
    <row r="492" spans="1:5" x14ac:dyDescent="0.3">
      <c r="A492" t="s">
        <v>168</v>
      </c>
      <c r="B492" t="s">
        <v>169</v>
      </c>
      <c r="C492">
        <v>340</v>
      </c>
      <c r="D492" t="s">
        <v>241</v>
      </c>
      <c r="E492" t="s">
        <v>222</v>
      </c>
    </row>
    <row r="493" spans="1:5" x14ac:dyDescent="0.3">
      <c r="A493" t="s">
        <v>168</v>
      </c>
      <c r="B493" t="s">
        <v>169</v>
      </c>
      <c r="C493">
        <v>342</v>
      </c>
      <c r="D493" t="s">
        <v>240</v>
      </c>
      <c r="E493" t="s">
        <v>222</v>
      </c>
    </row>
    <row r="494" spans="1:5" x14ac:dyDescent="0.3">
      <c r="A494" t="s">
        <v>168</v>
      </c>
      <c r="B494" t="s">
        <v>169</v>
      </c>
      <c r="C494">
        <v>344</v>
      </c>
      <c r="D494" t="s">
        <v>239</v>
      </c>
      <c r="E494" t="s">
        <v>238</v>
      </c>
    </row>
    <row r="495" spans="1:5" x14ac:dyDescent="0.3">
      <c r="A495" t="s">
        <v>168</v>
      </c>
      <c r="B495" t="s">
        <v>169</v>
      </c>
      <c r="C495">
        <v>345</v>
      </c>
      <c r="D495" t="s">
        <v>237</v>
      </c>
      <c r="E495" t="s">
        <v>222</v>
      </c>
    </row>
    <row r="496" spans="1:5" x14ac:dyDescent="0.3">
      <c r="A496" t="s">
        <v>168</v>
      </c>
      <c r="B496" t="s">
        <v>169</v>
      </c>
      <c r="C496">
        <v>348</v>
      </c>
      <c r="D496" t="s">
        <v>236</v>
      </c>
      <c r="E496" t="s">
        <v>222</v>
      </c>
    </row>
    <row r="497" spans="1:5" x14ac:dyDescent="0.3">
      <c r="A497" t="s">
        <v>168</v>
      </c>
      <c r="B497" t="s">
        <v>169</v>
      </c>
      <c r="C497">
        <v>355</v>
      </c>
      <c r="D497" t="s">
        <v>235</v>
      </c>
      <c r="E497" t="s">
        <v>222</v>
      </c>
    </row>
    <row r="498" spans="1:5" x14ac:dyDescent="0.3">
      <c r="A498" t="s">
        <v>168</v>
      </c>
      <c r="B498" t="s">
        <v>169</v>
      </c>
      <c r="C498">
        <v>356</v>
      </c>
      <c r="D498" t="s">
        <v>234</v>
      </c>
      <c r="E498" t="s">
        <v>222</v>
      </c>
    </row>
    <row r="499" spans="1:5" x14ac:dyDescent="0.3">
      <c r="A499" t="s">
        <v>168</v>
      </c>
      <c r="B499" t="s">
        <v>169</v>
      </c>
      <c r="C499">
        <v>363</v>
      </c>
      <c r="D499" t="s">
        <v>233</v>
      </c>
      <c r="E499" t="s">
        <v>222</v>
      </c>
    </row>
    <row r="500" spans="1:5" x14ac:dyDescent="0.3">
      <c r="A500" t="s">
        <v>168</v>
      </c>
      <c r="B500" t="s">
        <v>169</v>
      </c>
      <c r="C500">
        <v>369</v>
      </c>
      <c r="D500" t="s">
        <v>232</v>
      </c>
      <c r="E500" t="s">
        <v>222</v>
      </c>
    </row>
    <row r="501" spans="1:5" x14ac:dyDescent="0.3">
      <c r="A501" t="s">
        <v>168</v>
      </c>
      <c r="B501" t="s">
        <v>169</v>
      </c>
      <c r="C501">
        <v>372</v>
      </c>
      <c r="D501" t="s">
        <v>231</v>
      </c>
      <c r="E501" t="s">
        <v>222</v>
      </c>
    </row>
    <row r="502" spans="1:5" x14ac:dyDescent="0.3">
      <c r="A502" t="s">
        <v>168</v>
      </c>
      <c r="B502" t="s">
        <v>169</v>
      </c>
      <c r="C502">
        <v>387</v>
      </c>
      <c r="D502" t="s">
        <v>230</v>
      </c>
      <c r="E502" t="s">
        <v>222</v>
      </c>
    </row>
    <row r="503" spans="1:5" x14ac:dyDescent="0.3">
      <c r="A503" t="s">
        <v>168</v>
      </c>
      <c r="B503" t="s">
        <v>169</v>
      </c>
      <c r="C503">
        <v>407</v>
      </c>
      <c r="D503" t="s">
        <v>229</v>
      </c>
      <c r="E503" t="s">
        <v>222</v>
      </c>
    </row>
    <row r="504" spans="1:5" x14ac:dyDescent="0.3">
      <c r="A504" t="s">
        <v>168</v>
      </c>
      <c r="B504" t="s">
        <v>221</v>
      </c>
      <c r="C504">
        <v>712</v>
      </c>
      <c r="D504" t="s">
        <v>228</v>
      </c>
      <c r="E504" t="s">
        <v>219</v>
      </c>
    </row>
    <row r="505" spans="1:5" x14ac:dyDescent="0.3">
      <c r="A505" t="s">
        <v>168</v>
      </c>
      <c r="B505" t="s">
        <v>221</v>
      </c>
      <c r="C505">
        <v>728</v>
      </c>
      <c r="D505" t="s">
        <v>227</v>
      </c>
      <c r="E505" t="s">
        <v>219</v>
      </c>
    </row>
    <row r="506" spans="1:5" x14ac:dyDescent="0.3">
      <c r="A506" t="s">
        <v>168</v>
      </c>
      <c r="B506" t="s">
        <v>221</v>
      </c>
      <c r="C506">
        <v>739</v>
      </c>
      <c r="D506" t="s">
        <v>226</v>
      </c>
      <c r="E506" t="s">
        <v>219</v>
      </c>
    </row>
    <row r="507" spans="1:5" x14ac:dyDescent="0.3">
      <c r="A507" t="s">
        <v>168</v>
      </c>
      <c r="B507" t="s">
        <v>221</v>
      </c>
      <c r="C507">
        <v>740</v>
      </c>
      <c r="D507" t="s">
        <v>225</v>
      </c>
      <c r="E507" t="s">
        <v>219</v>
      </c>
    </row>
    <row r="508" spans="1:5" x14ac:dyDescent="0.3">
      <c r="A508" t="s">
        <v>168</v>
      </c>
      <c r="B508" t="s">
        <v>221</v>
      </c>
      <c r="C508">
        <v>742</v>
      </c>
      <c r="D508" t="s">
        <v>224</v>
      </c>
      <c r="E508" t="s">
        <v>222</v>
      </c>
    </row>
    <row r="509" spans="1:5" x14ac:dyDescent="0.3">
      <c r="A509" t="s">
        <v>168</v>
      </c>
      <c r="B509" t="s">
        <v>221</v>
      </c>
      <c r="C509">
        <v>745</v>
      </c>
      <c r="D509" t="s">
        <v>223</v>
      </c>
      <c r="E509" t="s">
        <v>222</v>
      </c>
    </row>
    <row r="510" spans="1:5" x14ac:dyDescent="0.3">
      <c r="A510" t="s">
        <v>168</v>
      </c>
      <c r="B510" t="s">
        <v>221</v>
      </c>
      <c r="C510">
        <v>749</v>
      </c>
      <c r="D510" t="s">
        <v>220</v>
      </c>
      <c r="E510" t="s">
        <v>219</v>
      </c>
    </row>
    <row r="511" spans="1:5" x14ac:dyDescent="0.3">
      <c r="A511" t="s">
        <v>168</v>
      </c>
      <c r="B511" t="s">
        <v>169</v>
      </c>
      <c r="C511">
        <v>301</v>
      </c>
      <c r="D511" t="s">
        <v>278</v>
      </c>
      <c r="E511" t="s">
        <v>222</v>
      </c>
    </row>
    <row r="512" spans="1:5" x14ac:dyDescent="0.3">
      <c r="A512" t="s">
        <v>168</v>
      </c>
      <c r="B512" t="s">
        <v>169</v>
      </c>
      <c r="C512">
        <v>302</v>
      </c>
      <c r="D512" t="s">
        <v>261</v>
      </c>
      <c r="E512" t="s">
        <v>222</v>
      </c>
    </row>
    <row r="513" spans="1:5" x14ac:dyDescent="0.3">
      <c r="A513" t="s">
        <v>168</v>
      </c>
      <c r="B513" t="s">
        <v>169</v>
      </c>
      <c r="C513">
        <v>304</v>
      </c>
      <c r="D513" t="s">
        <v>277</v>
      </c>
      <c r="E513" t="s">
        <v>222</v>
      </c>
    </row>
    <row r="514" spans="1:5" x14ac:dyDescent="0.3">
      <c r="A514" t="s">
        <v>168</v>
      </c>
      <c r="B514" t="s">
        <v>169</v>
      </c>
      <c r="C514">
        <v>308</v>
      </c>
      <c r="D514" t="s">
        <v>260</v>
      </c>
      <c r="E514" t="s">
        <v>222</v>
      </c>
    </row>
    <row r="515" spans="1:5" x14ac:dyDescent="0.3">
      <c r="A515" t="s">
        <v>168</v>
      </c>
      <c r="B515" t="s">
        <v>169</v>
      </c>
      <c r="C515">
        <v>310</v>
      </c>
      <c r="D515" t="s">
        <v>258</v>
      </c>
      <c r="E515" t="s">
        <v>222</v>
      </c>
    </row>
    <row r="516" spans="1:5" x14ac:dyDescent="0.3">
      <c r="A516" t="s">
        <v>168</v>
      </c>
      <c r="B516" t="s">
        <v>169</v>
      </c>
      <c r="C516">
        <v>316</v>
      </c>
      <c r="D516" t="s">
        <v>256</v>
      </c>
      <c r="E516" t="s">
        <v>222</v>
      </c>
    </row>
    <row r="517" spans="1:5" x14ac:dyDescent="0.3">
      <c r="A517" t="s">
        <v>168</v>
      </c>
      <c r="B517" t="s">
        <v>169</v>
      </c>
      <c r="C517">
        <v>320</v>
      </c>
      <c r="D517" t="s">
        <v>253</v>
      </c>
      <c r="E517" t="s">
        <v>222</v>
      </c>
    </row>
    <row r="518" spans="1:5" x14ac:dyDescent="0.3">
      <c r="A518" t="s">
        <v>168</v>
      </c>
      <c r="B518" t="s">
        <v>169</v>
      </c>
      <c r="C518">
        <v>321</v>
      </c>
      <c r="D518" t="s">
        <v>300</v>
      </c>
      <c r="E518" t="s">
        <v>222</v>
      </c>
    </row>
    <row r="519" spans="1:5" x14ac:dyDescent="0.3">
      <c r="A519" t="s">
        <v>168</v>
      </c>
      <c r="B519" t="s">
        <v>169</v>
      </c>
      <c r="C519">
        <v>323</v>
      </c>
      <c r="D519" t="s">
        <v>276</v>
      </c>
      <c r="E519" t="s">
        <v>222</v>
      </c>
    </row>
    <row r="520" spans="1:5" x14ac:dyDescent="0.3">
      <c r="A520" t="s">
        <v>168</v>
      </c>
      <c r="B520" t="s">
        <v>169</v>
      </c>
      <c r="C520">
        <v>327</v>
      </c>
      <c r="D520" t="s">
        <v>250</v>
      </c>
      <c r="E520" t="s">
        <v>222</v>
      </c>
    </row>
    <row r="521" spans="1:5" x14ac:dyDescent="0.3">
      <c r="A521" t="s">
        <v>168</v>
      </c>
      <c r="B521" t="s">
        <v>169</v>
      </c>
      <c r="C521">
        <v>329</v>
      </c>
      <c r="D521" t="s">
        <v>249</v>
      </c>
      <c r="E521" t="s">
        <v>222</v>
      </c>
    </row>
    <row r="522" spans="1:5" x14ac:dyDescent="0.3">
      <c r="A522" t="s">
        <v>168</v>
      </c>
      <c r="B522" t="s">
        <v>169</v>
      </c>
      <c r="C522">
        <v>330</v>
      </c>
      <c r="D522" t="s">
        <v>248</v>
      </c>
      <c r="E522" t="s">
        <v>222</v>
      </c>
    </row>
    <row r="523" spans="1:5" x14ac:dyDescent="0.3">
      <c r="A523" t="s">
        <v>168</v>
      </c>
      <c r="B523" t="s">
        <v>169</v>
      </c>
      <c r="C523">
        <v>331</v>
      </c>
      <c r="D523" t="s">
        <v>247</v>
      </c>
      <c r="E523" t="s">
        <v>222</v>
      </c>
    </row>
    <row r="524" spans="1:5" x14ac:dyDescent="0.3">
      <c r="A524" t="s">
        <v>168</v>
      </c>
      <c r="B524" t="s">
        <v>169</v>
      </c>
      <c r="C524">
        <v>332</v>
      </c>
      <c r="D524" t="s">
        <v>246</v>
      </c>
      <c r="E524" t="s">
        <v>222</v>
      </c>
    </row>
    <row r="525" spans="1:5" x14ac:dyDescent="0.3">
      <c r="A525" t="s">
        <v>168</v>
      </c>
      <c r="B525" t="s">
        <v>169</v>
      </c>
      <c r="C525">
        <v>333</v>
      </c>
      <c r="D525" t="s">
        <v>245</v>
      </c>
      <c r="E525" t="s">
        <v>238</v>
      </c>
    </row>
    <row r="526" spans="1:5" x14ac:dyDescent="0.3">
      <c r="A526" t="s">
        <v>168</v>
      </c>
      <c r="B526" t="s">
        <v>169</v>
      </c>
      <c r="C526">
        <v>336</v>
      </c>
      <c r="D526" t="s">
        <v>275</v>
      </c>
      <c r="E526" t="s">
        <v>222</v>
      </c>
    </row>
    <row r="527" spans="1:5" x14ac:dyDescent="0.3">
      <c r="A527" t="s">
        <v>168</v>
      </c>
      <c r="B527" t="s">
        <v>169</v>
      </c>
      <c r="C527">
        <v>339</v>
      </c>
      <c r="D527" t="s">
        <v>242</v>
      </c>
      <c r="E527" t="s">
        <v>222</v>
      </c>
    </row>
    <row r="528" spans="1:5" x14ac:dyDescent="0.3">
      <c r="A528" t="s">
        <v>168</v>
      </c>
      <c r="B528" t="s">
        <v>169</v>
      </c>
      <c r="C528">
        <v>340</v>
      </c>
      <c r="D528" t="s">
        <v>241</v>
      </c>
      <c r="E528" t="s">
        <v>222</v>
      </c>
    </row>
    <row r="529" spans="1:5" x14ac:dyDescent="0.3">
      <c r="A529" t="s">
        <v>168</v>
      </c>
      <c r="B529" t="s">
        <v>169</v>
      </c>
      <c r="C529">
        <v>342</v>
      </c>
      <c r="D529" t="s">
        <v>240</v>
      </c>
      <c r="E529" t="s">
        <v>222</v>
      </c>
    </row>
    <row r="530" spans="1:5" x14ac:dyDescent="0.3">
      <c r="A530" t="s">
        <v>168</v>
      </c>
      <c r="B530" t="s">
        <v>169</v>
      </c>
      <c r="C530">
        <v>344</v>
      </c>
      <c r="D530" t="s">
        <v>239</v>
      </c>
      <c r="E530" t="s">
        <v>238</v>
      </c>
    </row>
    <row r="531" spans="1:5" x14ac:dyDescent="0.3">
      <c r="A531" t="s">
        <v>168</v>
      </c>
      <c r="B531" t="s">
        <v>169</v>
      </c>
      <c r="C531">
        <v>345</v>
      </c>
      <c r="D531" t="s">
        <v>237</v>
      </c>
      <c r="E531" t="s">
        <v>222</v>
      </c>
    </row>
    <row r="532" spans="1:5" x14ac:dyDescent="0.3">
      <c r="A532" t="s">
        <v>168</v>
      </c>
      <c r="B532" t="s">
        <v>169</v>
      </c>
      <c r="C532">
        <v>348</v>
      </c>
      <c r="D532" t="s">
        <v>236</v>
      </c>
      <c r="E532" t="s">
        <v>222</v>
      </c>
    </row>
    <row r="533" spans="1:5" x14ac:dyDescent="0.3">
      <c r="A533" t="s">
        <v>168</v>
      </c>
      <c r="B533" t="s">
        <v>169</v>
      </c>
      <c r="C533">
        <v>355</v>
      </c>
      <c r="D533" t="s">
        <v>235</v>
      </c>
      <c r="E533" t="s">
        <v>222</v>
      </c>
    </row>
    <row r="534" spans="1:5" x14ac:dyDescent="0.3">
      <c r="A534" t="s">
        <v>168</v>
      </c>
      <c r="B534" t="s">
        <v>169</v>
      </c>
      <c r="C534">
        <v>356</v>
      </c>
      <c r="D534" t="s">
        <v>234</v>
      </c>
      <c r="E534" t="s">
        <v>222</v>
      </c>
    </row>
    <row r="535" spans="1:5" x14ac:dyDescent="0.3">
      <c r="A535" t="s">
        <v>168</v>
      </c>
      <c r="B535" t="s">
        <v>169</v>
      </c>
      <c r="C535">
        <v>366</v>
      </c>
      <c r="D535" t="s">
        <v>282</v>
      </c>
      <c r="E535" t="s">
        <v>222</v>
      </c>
    </row>
    <row r="536" spans="1:5" x14ac:dyDescent="0.3">
      <c r="A536" t="s">
        <v>168</v>
      </c>
      <c r="B536" t="s">
        <v>169</v>
      </c>
      <c r="C536">
        <v>369</v>
      </c>
      <c r="D536" t="s">
        <v>232</v>
      </c>
      <c r="E536" t="s">
        <v>222</v>
      </c>
    </row>
    <row r="537" spans="1:5" x14ac:dyDescent="0.3">
      <c r="A537" t="s">
        <v>168</v>
      </c>
      <c r="B537" t="s">
        <v>169</v>
      </c>
      <c r="C537">
        <v>373</v>
      </c>
      <c r="D537" t="s">
        <v>274</v>
      </c>
      <c r="E537" t="s">
        <v>222</v>
      </c>
    </row>
    <row r="538" spans="1:5" x14ac:dyDescent="0.3">
      <c r="A538" t="s">
        <v>168</v>
      </c>
      <c r="B538" t="s">
        <v>169</v>
      </c>
      <c r="C538">
        <v>377</v>
      </c>
      <c r="D538" t="s">
        <v>272</v>
      </c>
      <c r="E538" t="s">
        <v>222</v>
      </c>
    </row>
    <row r="539" spans="1:5" x14ac:dyDescent="0.3">
      <c r="A539" t="s">
        <v>168</v>
      </c>
      <c r="B539" t="s">
        <v>169</v>
      </c>
      <c r="C539">
        <v>379</v>
      </c>
      <c r="D539" t="s">
        <v>271</v>
      </c>
      <c r="E539" t="s">
        <v>222</v>
      </c>
    </row>
    <row r="540" spans="1:5" x14ac:dyDescent="0.3">
      <c r="A540" t="s">
        <v>168</v>
      </c>
      <c r="B540" t="s">
        <v>169</v>
      </c>
      <c r="C540">
        <v>384</v>
      </c>
      <c r="D540" t="s">
        <v>299</v>
      </c>
      <c r="E540" t="s">
        <v>222</v>
      </c>
    </row>
    <row r="541" spans="1:5" x14ac:dyDescent="0.3">
      <c r="A541" t="s">
        <v>168</v>
      </c>
      <c r="B541" t="s">
        <v>169</v>
      </c>
      <c r="C541">
        <v>386</v>
      </c>
      <c r="D541" t="s">
        <v>298</v>
      </c>
      <c r="E541" t="s">
        <v>222</v>
      </c>
    </row>
    <row r="542" spans="1:5" x14ac:dyDescent="0.3">
      <c r="A542" t="s">
        <v>168</v>
      </c>
      <c r="B542" t="s">
        <v>169</v>
      </c>
      <c r="C542">
        <v>406</v>
      </c>
      <c r="D542" t="s">
        <v>269</v>
      </c>
      <c r="E542" t="s">
        <v>222</v>
      </c>
    </row>
    <row r="543" spans="1:5" x14ac:dyDescent="0.3">
      <c r="A543" t="s">
        <v>168</v>
      </c>
      <c r="B543" t="s">
        <v>221</v>
      </c>
      <c r="C543">
        <v>709</v>
      </c>
      <c r="D543" t="s">
        <v>297</v>
      </c>
      <c r="E543" t="s">
        <v>264</v>
      </c>
    </row>
    <row r="544" spans="1:5" x14ac:dyDescent="0.3">
      <c r="A544" t="s">
        <v>168</v>
      </c>
      <c r="B544" t="s">
        <v>221</v>
      </c>
      <c r="C544">
        <v>712</v>
      </c>
      <c r="D544" t="s">
        <v>228</v>
      </c>
      <c r="E544" t="s">
        <v>219</v>
      </c>
    </row>
    <row r="545" spans="1:5" x14ac:dyDescent="0.3">
      <c r="A545" t="s">
        <v>168</v>
      </c>
      <c r="B545" t="s">
        <v>221</v>
      </c>
      <c r="C545">
        <v>714</v>
      </c>
      <c r="D545" t="s">
        <v>267</v>
      </c>
      <c r="E545" t="s">
        <v>264</v>
      </c>
    </row>
    <row r="546" spans="1:5" x14ac:dyDescent="0.3">
      <c r="A546" t="s">
        <v>168</v>
      </c>
      <c r="B546" t="s">
        <v>221</v>
      </c>
      <c r="C546">
        <v>728</v>
      </c>
      <c r="D546" t="s">
        <v>227</v>
      </c>
      <c r="E546" t="s">
        <v>219</v>
      </c>
    </row>
    <row r="547" spans="1:5" x14ac:dyDescent="0.3">
      <c r="A547" t="s">
        <v>168</v>
      </c>
      <c r="B547" t="s">
        <v>221</v>
      </c>
      <c r="C547">
        <v>739</v>
      </c>
      <c r="D547" t="s">
        <v>226</v>
      </c>
      <c r="E547" t="s">
        <v>219</v>
      </c>
    </row>
    <row r="548" spans="1:5" x14ac:dyDescent="0.3">
      <c r="A548" t="s">
        <v>168</v>
      </c>
      <c r="B548" t="s">
        <v>221</v>
      </c>
      <c r="C548">
        <v>740</v>
      </c>
      <c r="D548" t="s">
        <v>225</v>
      </c>
      <c r="E548" t="s">
        <v>219</v>
      </c>
    </row>
    <row r="549" spans="1:5" x14ac:dyDescent="0.3">
      <c r="A549" t="s">
        <v>168</v>
      </c>
      <c r="B549" t="s">
        <v>221</v>
      </c>
      <c r="C549">
        <v>742</v>
      </c>
      <c r="D549" t="s">
        <v>224</v>
      </c>
      <c r="E549" t="s">
        <v>222</v>
      </c>
    </row>
    <row r="550" spans="1:5" x14ac:dyDescent="0.3">
      <c r="A550" t="s">
        <v>168</v>
      </c>
      <c r="B550" t="s">
        <v>221</v>
      </c>
      <c r="C550">
        <v>744</v>
      </c>
      <c r="D550" t="s">
        <v>265</v>
      </c>
      <c r="E550" t="s">
        <v>222</v>
      </c>
    </row>
    <row r="551" spans="1:5" x14ac:dyDescent="0.3">
      <c r="A551" t="s">
        <v>168</v>
      </c>
      <c r="B551" t="s">
        <v>221</v>
      </c>
      <c r="C551">
        <v>745</v>
      </c>
      <c r="D551" t="s">
        <v>223</v>
      </c>
      <c r="E551" t="s">
        <v>222</v>
      </c>
    </row>
    <row r="552" spans="1:5" x14ac:dyDescent="0.3">
      <c r="A552" t="s">
        <v>168</v>
      </c>
      <c r="B552" t="s">
        <v>221</v>
      </c>
      <c r="C552">
        <v>749</v>
      </c>
      <c r="D552" t="s">
        <v>220</v>
      </c>
      <c r="E552" t="s">
        <v>219</v>
      </c>
    </row>
    <row r="553" spans="1:5" x14ac:dyDescent="0.3">
      <c r="A553" t="s">
        <v>168</v>
      </c>
      <c r="B553" t="s">
        <v>294</v>
      </c>
      <c r="C553">
        <v>107</v>
      </c>
      <c r="D553" t="s">
        <v>296</v>
      </c>
      <c r="E553" t="s">
        <v>222</v>
      </c>
    </row>
    <row r="554" spans="1:5" x14ac:dyDescent="0.3">
      <c r="A554" t="s">
        <v>168</v>
      </c>
      <c r="B554" t="s">
        <v>294</v>
      </c>
      <c r="C554">
        <v>110</v>
      </c>
      <c r="D554" t="s">
        <v>295</v>
      </c>
      <c r="E554" t="s">
        <v>264</v>
      </c>
    </row>
    <row r="555" spans="1:5" x14ac:dyDescent="0.3">
      <c r="A555" t="s">
        <v>168</v>
      </c>
      <c r="B555" t="s">
        <v>294</v>
      </c>
      <c r="C555">
        <v>129</v>
      </c>
      <c r="D555" t="s">
        <v>293</v>
      </c>
      <c r="E555" t="s">
        <v>264</v>
      </c>
    </row>
    <row r="556" spans="1:5" x14ac:dyDescent="0.3">
      <c r="A556" t="s">
        <v>168</v>
      </c>
      <c r="B556" t="s">
        <v>279</v>
      </c>
      <c r="C556">
        <v>201</v>
      </c>
      <c r="D556" t="s">
        <v>292</v>
      </c>
      <c r="E556" t="s">
        <v>264</v>
      </c>
    </row>
    <row r="557" spans="1:5" x14ac:dyDescent="0.3">
      <c r="A557" t="s">
        <v>168</v>
      </c>
      <c r="B557" t="s">
        <v>279</v>
      </c>
      <c r="C557">
        <v>203</v>
      </c>
      <c r="D557" t="s">
        <v>277</v>
      </c>
      <c r="E557" t="s">
        <v>222</v>
      </c>
    </row>
    <row r="558" spans="1:5" x14ac:dyDescent="0.3">
      <c r="A558" t="s">
        <v>168</v>
      </c>
      <c r="B558" t="s">
        <v>279</v>
      </c>
      <c r="C558">
        <v>204</v>
      </c>
      <c r="D558" t="s">
        <v>291</v>
      </c>
      <c r="E558" t="s">
        <v>264</v>
      </c>
    </row>
    <row r="559" spans="1:5" x14ac:dyDescent="0.3">
      <c r="A559" t="s">
        <v>168</v>
      </c>
      <c r="B559" t="s">
        <v>279</v>
      </c>
      <c r="C559">
        <v>205</v>
      </c>
      <c r="D559" t="s">
        <v>290</v>
      </c>
      <c r="E559" t="s">
        <v>222</v>
      </c>
    </row>
    <row r="560" spans="1:5" x14ac:dyDescent="0.3">
      <c r="A560" t="s">
        <v>168</v>
      </c>
      <c r="B560" t="s">
        <v>279</v>
      </c>
      <c r="C560">
        <v>207</v>
      </c>
      <c r="D560" t="s">
        <v>289</v>
      </c>
      <c r="E560" t="s">
        <v>264</v>
      </c>
    </row>
    <row r="561" spans="1:5" x14ac:dyDescent="0.3">
      <c r="A561" t="s">
        <v>168</v>
      </c>
      <c r="B561" t="s">
        <v>279</v>
      </c>
      <c r="C561">
        <v>208</v>
      </c>
      <c r="D561" t="s">
        <v>288</v>
      </c>
      <c r="E561" t="s">
        <v>222</v>
      </c>
    </row>
    <row r="562" spans="1:5" x14ac:dyDescent="0.3">
      <c r="A562" t="s">
        <v>168</v>
      </c>
      <c r="B562" t="s">
        <v>279</v>
      </c>
      <c r="C562">
        <v>209</v>
      </c>
      <c r="D562" t="s">
        <v>287</v>
      </c>
      <c r="E562" t="s">
        <v>264</v>
      </c>
    </row>
    <row r="563" spans="1:5" x14ac:dyDescent="0.3">
      <c r="A563" t="s">
        <v>168</v>
      </c>
      <c r="B563" t="s">
        <v>279</v>
      </c>
      <c r="C563">
        <v>210</v>
      </c>
      <c r="D563" t="s">
        <v>274</v>
      </c>
      <c r="E563" t="s">
        <v>264</v>
      </c>
    </row>
    <row r="564" spans="1:5" x14ac:dyDescent="0.3">
      <c r="A564" t="s">
        <v>168</v>
      </c>
      <c r="B564" t="s">
        <v>279</v>
      </c>
      <c r="C564">
        <v>213</v>
      </c>
      <c r="D564" t="s">
        <v>232</v>
      </c>
      <c r="E564" t="s">
        <v>222</v>
      </c>
    </row>
    <row r="565" spans="1:5" x14ac:dyDescent="0.3">
      <c r="A565" t="s">
        <v>168</v>
      </c>
      <c r="B565" t="s">
        <v>279</v>
      </c>
      <c r="C565">
        <v>214</v>
      </c>
      <c r="D565" t="s">
        <v>286</v>
      </c>
      <c r="E565" t="s">
        <v>264</v>
      </c>
    </row>
    <row r="566" spans="1:5" x14ac:dyDescent="0.3">
      <c r="A566" t="s">
        <v>168</v>
      </c>
      <c r="B566" t="s">
        <v>279</v>
      </c>
      <c r="C566">
        <v>215</v>
      </c>
      <c r="D566" t="s">
        <v>285</v>
      </c>
      <c r="E566" t="s">
        <v>264</v>
      </c>
    </row>
    <row r="567" spans="1:5" x14ac:dyDescent="0.3">
      <c r="A567" t="s">
        <v>168</v>
      </c>
      <c r="B567" t="s">
        <v>279</v>
      </c>
      <c r="C567">
        <v>217</v>
      </c>
      <c r="D567" t="s">
        <v>284</v>
      </c>
      <c r="E567" t="s">
        <v>264</v>
      </c>
    </row>
    <row r="568" spans="1:5" x14ac:dyDescent="0.3">
      <c r="A568" t="s">
        <v>168</v>
      </c>
      <c r="B568" t="s">
        <v>279</v>
      </c>
      <c r="C568">
        <v>231</v>
      </c>
      <c r="D568" t="s">
        <v>283</v>
      </c>
      <c r="E568" t="s">
        <v>264</v>
      </c>
    </row>
    <row r="569" spans="1:5" x14ac:dyDescent="0.3">
      <c r="A569" t="s">
        <v>168</v>
      </c>
      <c r="B569" t="s">
        <v>279</v>
      </c>
      <c r="C569">
        <v>234</v>
      </c>
      <c r="D569" t="s">
        <v>282</v>
      </c>
      <c r="E569" t="s">
        <v>264</v>
      </c>
    </row>
    <row r="570" spans="1:5" x14ac:dyDescent="0.3">
      <c r="A570" t="s">
        <v>168</v>
      </c>
      <c r="B570" t="s">
        <v>279</v>
      </c>
      <c r="C570">
        <v>235</v>
      </c>
      <c r="D570" t="s">
        <v>281</v>
      </c>
      <c r="E570" t="s">
        <v>264</v>
      </c>
    </row>
    <row r="571" spans="1:5" x14ac:dyDescent="0.3">
      <c r="A571" t="s">
        <v>168</v>
      </c>
      <c r="B571" t="s">
        <v>279</v>
      </c>
      <c r="C571">
        <v>237</v>
      </c>
      <c r="D571" t="s">
        <v>280</v>
      </c>
      <c r="E571" t="s">
        <v>264</v>
      </c>
    </row>
    <row r="572" spans="1:5" x14ac:dyDescent="0.3">
      <c r="A572" t="s">
        <v>168</v>
      </c>
      <c r="B572" t="s">
        <v>279</v>
      </c>
      <c r="C572">
        <v>245</v>
      </c>
      <c r="D572" t="s">
        <v>230</v>
      </c>
      <c r="E572" t="s">
        <v>264</v>
      </c>
    </row>
    <row r="573" spans="1:5" x14ac:dyDescent="0.3">
      <c r="A573" t="s">
        <v>168</v>
      </c>
      <c r="B573" t="s">
        <v>169</v>
      </c>
      <c r="C573">
        <v>301</v>
      </c>
      <c r="D573" t="s">
        <v>278</v>
      </c>
      <c r="E573" t="s">
        <v>222</v>
      </c>
    </row>
    <row r="574" spans="1:5" x14ac:dyDescent="0.3">
      <c r="A574" t="s">
        <v>168</v>
      </c>
      <c r="B574" t="s">
        <v>169</v>
      </c>
      <c r="C574">
        <v>302</v>
      </c>
      <c r="D574" t="s">
        <v>261</v>
      </c>
      <c r="E574" t="s">
        <v>222</v>
      </c>
    </row>
    <row r="575" spans="1:5" x14ac:dyDescent="0.3">
      <c r="A575" t="s">
        <v>168</v>
      </c>
      <c r="B575" t="s">
        <v>169</v>
      </c>
      <c r="C575">
        <v>304</v>
      </c>
      <c r="D575" t="s">
        <v>277</v>
      </c>
      <c r="E575" t="s">
        <v>222</v>
      </c>
    </row>
    <row r="576" spans="1:5" x14ac:dyDescent="0.3">
      <c r="A576" t="s">
        <v>168</v>
      </c>
      <c r="B576" t="s">
        <v>169</v>
      </c>
      <c r="C576">
        <v>308</v>
      </c>
      <c r="D576" t="s">
        <v>260</v>
      </c>
      <c r="E576" t="s">
        <v>222</v>
      </c>
    </row>
    <row r="577" spans="1:5" x14ac:dyDescent="0.3">
      <c r="A577" t="s">
        <v>168</v>
      </c>
      <c r="B577" t="s">
        <v>169</v>
      </c>
      <c r="C577">
        <v>309</v>
      </c>
      <c r="D577" t="s">
        <v>259</v>
      </c>
      <c r="E577" t="s">
        <v>222</v>
      </c>
    </row>
    <row r="578" spans="1:5" x14ac:dyDescent="0.3">
      <c r="A578" t="s">
        <v>168</v>
      </c>
      <c r="B578" t="s">
        <v>169</v>
      </c>
      <c r="C578">
        <v>310</v>
      </c>
      <c r="D578" t="s">
        <v>258</v>
      </c>
      <c r="E578" t="s">
        <v>222</v>
      </c>
    </row>
    <row r="579" spans="1:5" x14ac:dyDescent="0.3">
      <c r="A579" t="s">
        <v>168</v>
      </c>
      <c r="B579" t="s">
        <v>169</v>
      </c>
      <c r="C579">
        <v>316</v>
      </c>
      <c r="D579" t="s">
        <v>256</v>
      </c>
      <c r="E579" t="s">
        <v>222</v>
      </c>
    </row>
    <row r="580" spans="1:5" x14ac:dyDescent="0.3">
      <c r="A580" t="s">
        <v>168</v>
      </c>
      <c r="B580" t="s">
        <v>169</v>
      </c>
      <c r="C580">
        <v>323</v>
      </c>
      <c r="D580" t="s">
        <v>276</v>
      </c>
      <c r="E580" t="s">
        <v>222</v>
      </c>
    </row>
    <row r="581" spans="1:5" x14ac:dyDescent="0.3">
      <c r="A581" t="s">
        <v>168</v>
      </c>
      <c r="B581" t="s">
        <v>169</v>
      </c>
      <c r="C581">
        <v>325</v>
      </c>
      <c r="D581" t="s">
        <v>252</v>
      </c>
      <c r="E581" t="s">
        <v>222</v>
      </c>
    </row>
    <row r="582" spans="1:5" x14ac:dyDescent="0.3">
      <c r="A582" t="s">
        <v>168</v>
      </c>
      <c r="B582" t="s">
        <v>169</v>
      </c>
      <c r="C582">
        <v>329</v>
      </c>
      <c r="D582" t="s">
        <v>249</v>
      </c>
      <c r="E582" t="s">
        <v>222</v>
      </c>
    </row>
    <row r="583" spans="1:5" x14ac:dyDescent="0.3">
      <c r="A583" t="s">
        <v>168</v>
      </c>
      <c r="B583" t="s">
        <v>169</v>
      </c>
      <c r="C583">
        <v>331</v>
      </c>
      <c r="D583" t="s">
        <v>247</v>
      </c>
      <c r="E583" t="s">
        <v>222</v>
      </c>
    </row>
    <row r="584" spans="1:5" x14ac:dyDescent="0.3">
      <c r="A584" t="s">
        <v>168</v>
      </c>
      <c r="B584" t="s">
        <v>169</v>
      </c>
      <c r="C584">
        <v>332</v>
      </c>
      <c r="D584" t="s">
        <v>246</v>
      </c>
      <c r="E584" t="s">
        <v>222</v>
      </c>
    </row>
    <row r="585" spans="1:5" x14ac:dyDescent="0.3">
      <c r="A585" t="s">
        <v>168</v>
      </c>
      <c r="B585" t="s">
        <v>169</v>
      </c>
      <c r="C585">
        <v>333</v>
      </c>
      <c r="D585" t="s">
        <v>245</v>
      </c>
      <c r="E585" t="s">
        <v>238</v>
      </c>
    </row>
    <row r="586" spans="1:5" x14ac:dyDescent="0.3">
      <c r="A586" t="s">
        <v>168</v>
      </c>
      <c r="B586" t="s">
        <v>169</v>
      </c>
      <c r="C586">
        <v>336</v>
      </c>
      <c r="D586" t="s">
        <v>275</v>
      </c>
      <c r="E586" t="s">
        <v>222</v>
      </c>
    </row>
    <row r="587" spans="1:5" x14ac:dyDescent="0.3">
      <c r="A587" t="s">
        <v>168</v>
      </c>
      <c r="B587" t="s">
        <v>169</v>
      </c>
      <c r="C587">
        <v>344</v>
      </c>
      <c r="D587" t="s">
        <v>239</v>
      </c>
      <c r="E587" t="s">
        <v>238</v>
      </c>
    </row>
    <row r="588" spans="1:5" x14ac:dyDescent="0.3">
      <c r="A588" t="s">
        <v>168</v>
      </c>
      <c r="B588" t="s">
        <v>169</v>
      </c>
      <c r="C588">
        <v>348</v>
      </c>
      <c r="D588" t="s">
        <v>236</v>
      </c>
      <c r="E588" t="s">
        <v>222</v>
      </c>
    </row>
    <row r="589" spans="1:5" x14ac:dyDescent="0.3">
      <c r="A589" t="s">
        <v>168</v>
      </c>
      <c r="B589" t="s">
        <v>169</v>
      </c>
      <c r="C589">
        <v>356</v>
      </c>
      <c r="D589" t="s">
        <v>234</v>
      </c>
      <c r="E589" t="s">
        <v>222</v>
      </c>
    </row>
    <row r="590" spans="1:5" x14ac:dyDescent="0.3">
      <c r="A590" t="s">
        <v>168</v>
      </c>
      <c r="B590" t="s">
        <v>169</v>
      </c>
      <c r="C590">
        <v>373</v>
      </c>
      <c r="D590" t="s">
        <v>274</v>
      </c>
      <c r="E590" t="s">
        <v>222</v>
      </c>
    </row>
    <row r="591" spans="1:5" x14ac:dyDescent="0.3">
      <c r="A591" t="s">
        <v>168</v>
      </c>
      <c r="B591" t="s">
        <v>169</v>
      </c>
      <c r="C591">
        <v>375</v>
      </c>
      <c r="D591" t="s">
        <v>273</v>
      </c>
      <c r="E591" t="s">
        <v>222</v>
      </c>
    </row>
    <row r="592" spans="1:5" x14ac:dyDescent="0.3">
      <c r="A592" t="s">
        <v>168</v>
      </c>
      <c r="B592" t="s">
        <v>169</v>
      </c>
      <c r="C592">
        <v>377</v>
      </c>
      <c r="D592" t="s">
        <v>272</v>
      </c>
      <c r="E592" t="s">
        <v>222</v>
      </c>
    </row>
    <row r="593" spans="1:5" x14ac:dyDescent="0.3">
      <c r="A593" t="s">
        <v>168</v>
      </c>
      <c r="B593" t="s">
        <v>169</v>
      </c>
      <c r="C593">
        <v>379</v>
      </c>
      <c r="D593" t="s">
        <v>271</v>
      </c>
      <c r="E593" t="s">
        <v>222</v>
      </c>
    </row>
    <row r="594" spans="1:5" x14ac:dyDescent="0.3">
      <c r="A594" t="s">
        <v>168</v>
      </c>
      <c r="B594" t="s">
        <v>169</v>
      </c>
      <c r="C594">
        <v>387</v>
      </c>
      <c r="D594" t="s">
        <v>230</v>
      </c>
      <c r="E594" t="s">
        <v>222</v>
      </c>
    </row>
    <row r="595" spans="1:5" x14ac:dyDescent="0.3">
      <c r="A595" t="s">
        <v>168</v>
      </c>
      <c r="B595" t="s">
        <v>169</v>
      </c>
      <c r="C595">
        <v>393</v>
      </c>
      <c r="D595" t="s">
        <v>270</v>
      </c>
      <c r="E595" t="s">
        <v>222</v>
      </c>
    </row>
    <row r="596" spans="1:5" x14ac:dyDescent="0.3">
      <c r="A596" t="s">
        <v>168</v>
      </c>
      <c r="B596" t="s">
        <v>169</v>
      </c>
      <c r="C596">
        <v>406</v>
      </c>
      <c r="D596" t="s">
        <v>269</v>
      </c>
      <c r="E596" t="s">
        <v>222</v>
      </c>
    </row>
    <row r="597" spans="1:5" x14ac:dyDescent="0.3">
      <c r="A597" t="s">
        <v>168</v>
      </c>
      <c r="B597" t="s">
        <v>221</v>
      </c>
      <c r="C597">
        <v>706</v>
      </c>
      <c r="D597" t="s">
        <v>268</v>
      </c>
      <c r="E597" t="s">
        <v>219</v>
      </c>
    </row>
    <row r="598" spans="1:5" x14ac:dyDescent="0.3">
      <c r="A598" t="s">
        <v>168</v>
      </c>
      <c r="B598" t="s">
        <v>221</v>
      </c>
      <c r="C598">
        <v>712</v>
      </c>
      <c r="D598" t="s">
        <v>228</v>
      </c>
      <c r="E598" t="s">
        <v>219</v>
      </c>
    </row>
    <row r="599" spans="1:5" x14ac:dyDescent="0.3">
      <c r="A599" t="s">
        <v>168</v>
      </c>
      <c r="B599" t="s">
        <v>221</v>
      </c>
      <c r="C599">
        <v>714</v>
      </c>
      <c r="D599" t="s">
        <v>267</v>
      </c>
      <c r="E599" t="s">
        <v>264</v>
      </c>
    </row>
    <row r="600" spans="1:5" x14ac:dyDescent="0.3">
      <c r="A600" t="s">
        <v>168</v>
      </c>
      <c r="B600" t="s">
        <v>221</v>
      </c>
      <c r="C600">
        <v>729</v>
      </c>
      <c r="D600" t="s">
        <v>266</v>
      </c>
      <c r="E600" t="s">
        <v>219</v>
      </c>
    </row>
    <row r="601" spans="1:5" x14ac:dyDescent="0.3">
      <c r="A601" t="s">
        <v>168</v>
      </c>
      <c r="B601" t="s">
        <v>221</v>
      </c>
      <c r="C601">
        <v>740</v>
      </c>
      <c r="D601" t="s">
        <v>225</v>
      </c>
      <c r="E601" t="s">
        <v>219</v>
      </c>
    </row>
    <row r="602" spans="1:5" x14ac:dyDescent="0.3">
      <c r="A602" t="s">
        <v>168</v>
      </c>
      <c r="B602" t="s">
        <v>221</v>
      </c>
      <c r="C602">
        <v>744</v>
      </c>
      <c r="D602" t="s">
        <v>265</v>
      </c>
      <c r="E602" t="s">
        <v>264</v>
      </c>
    </row>
    <row r="603" spans="1:5" x14ac:dyDescent="0.3">
      <c r="A603" t="s">
        <v>168</v>
      </c>
      <c r="B603" t="s">
        <v>221</v>
      </c>
      <c r="C603">
        <v>745</v>
      </c>
      <c r="D603" t="s">
        <v>223</v>
      </c>
      <c r="E603" t="s">
        <v>222</v>
      </c>
    </row>
    <row r="604" spans="1:5" x14ac:dyDescent="0.3">
      <c r="A604" t="s">
        <v>168</v>
      </c>
      <c r="B604" t="s">
        <v>221</v>
      </c>
      <c r="C604">
        <v>746</v>
      </c>
      <c r="D604" t="s">
        <v>263</v>
      </c>
      <c r="E604" t="s">
        <v>219</v>
      </c>
    </row>
    <row r="605" spans="1:5" x14ac:dyDescent="0.3">
      <c r="A605" t="s">
        <v>168</v>
      </c>
      <c r="B605" t="s">
        <v>221</v>
      </c>
      <c r="C605">
        <v>747</v>
      </c>
      <c r="D605" t="s">
        <v>262</v>
      </c>
      <c r="E605" t="s">
        <v>222</v>
      </c>
    </row>
    <row r="606" spans="1:5" x14ac:dyDescent="0.3">
      <c r="A606" t="s">
        <v>210</v>
      </c>
      <c r="B606" t="s">
        <v>169</v>
      </c>
      <c r="C606">
        <v>308</v>
      </c>
      <c r="D606" t="s">
        <v>260</v>
      </c>
      <c r="E606" t="s">
        <v>222</v>
      </c>
    </row>
    <row r="607" spans="1:5" x14ac:dyDescent="0.3">
      <c r="A607" t="s">
        <v>210</v>
      </c>
      <c r="B607" t="s">
        <v>169</v>
      </c>
      <c r="C607">
        <v>312</v>
      </c>
      <c r="D607" t="s">
        <v>257</v>
      </c>
      <c r="E607" t="s">
        <v>238</v>
      </c>
    </row>
    <row r="608" spans="1:5" x14ac:dyDescent="0.3">
      <c r="A608" t="s">
        <v>210</v>
      </c>
      <c r="B608" t="s">
        <v>169</v>
      </c>
      <c r="C608">
        <v>320</v>
      </c>
      <c r="D608" t="s">
        <v>253</v>
      </c>
      <c r="E608" t="s">
        <v>222</v>
      </c>
    </row>
    <row r="609" spans="1:5" x14ac:dyDescent="0.3">
      <c r="A609" t="s">
        <v>210</v>
      </c>
      <c r="B609" t="s">
        <v>169</v>
      </c>
      <c r="C609">
        <v>328</v>
      </c>
      <c r="D609" t="s">
        <v>338</v>
      </c>
      <c r="E609" t="s">
        <v>238</v>
      </c>
    </row>
    <row r="610" spans="1:5" x14ac:dyDescent="0.3">
      <c r="A610" t="s">
        <v>210</v>
      </c>
      <c r="B610" t="s">
        <v>169</v>
      </c>
      <c r="C610">
        <v>329</v>
      </c>
      <c r="D610" t="s">
        <v>249</v>
      </c>
      <c r="E610" t="s">
        <v>222</v>
      </c>
    </row>
    <row r="611" spans="1:5" x14ac:dyDescent="0.3">
      <c r="A611" t="s">
        <v>210</v>
      </c>
      <c r="B611" t="s">
        <v>169</v>
      </c>
      <c r="C611">
        <v>333</v>
      </c>
      <c r="D611" t="s">
        <v>245</v>
      </c>
      <c r="E611" t="s">
        <v>238</v>
      </c>
    </row>
    <row r="612" spans="1:5" x14ac:dyDescent="0.3">
      <c r="A612" t="s">
        <v>210</v>
      </c>
      <c r="B612" t="s">
        <v>169</v>
      </c>
      <c r="C612">
        <v>334</v>
      </c>
      <c r="D612" t="s">
        <v>337</v>
      </c>
      <c r="E612" t="s">
        <v>238</v>
      </c>
    </row>
    <row r="613" spans="1:5" x14ac:dyDescent="0.3">
      <c r="A613" t="s">
        <v>210</v>
      </c>
      <c r="B613" t="s">
        <v>169</v>
      </c>
      <c r="C613">
        <v>342</v>
      </c>
      <c r="D613" t="s">
        <v>240</v>
      </c>
      <c r="E613" t="s">
        <v>222</v>
      </c>
    </row>
    <row r="614" spans="1:5" x14ac:dyDescent="0.3">
      <c r="A614" t="s">
        <v>210</v>
      </c>
      <c r="B614" t="s">
        <v>169</v>
      </c>
      <c r="C614">
        <v>372</v>
      </c>
      <c r="D614" t="s">
        <v>231</v>
      </c>
      <c r="E614" t="s">
        <v>222</v>
      </c>
    </row>
    <row r="615" spans="1:5" x14ac:dyDescent="0.3">
      <c r="A615" t="s">
        <v>210</v>
      </c>
      <c r="B615" t="s">
        <v>221</v>
      </c>
      <c r="C615">
        <v>729</v>
      </c>
      <c r="D615" t="s">
        <v>266</v>
      </c>
      <c r="E615" t="s">
        <v>219</v>
      </c>
    </row>
    <row r="616" spans="1:5" x14ac:dyDescent="0.3">
      <c r="A616" t="s">
        <v>210</v>
      </c>
      <c r="B616" t="s">
        <v>221</v>
      </c>
      <c r="C616">
        <v>749</v>
      </c>
      <c r="D616" t="s">
        <v>220</v>
      </c>
      <c r="E616" t="s">
        <v>219</v>
      </c>
    </row>
    <row r="617" spans="1:5" x14ac:dyDescent="0.3">
      <c r="A617" t="s">
        <v>210</v>
      </c>
      <c r="B617" t="s">
        <v>221</v>
      </c>
      <c r="C617">
        <v>712</v>
      </c>
      <c r="D617" t="s">
        <v>228</v>
      </c>
      <c r="E617" t="s">
        <v>219</v>
      </c>
    </row>
    <row r="618" spans="1:5" x14ac:dyDescent="0.3">
      <c r="A618" t="s">
        <v>211</v>
      </c>
      <c r="B618" t="s">
        <v>169</v>
      </c>
      <c r="C618">
        <v>335</v>
      </c>
      <c r="D618" t="s">
        <v>244</v>
      </c>
      <c r="E618" t="s">
        <v>222</v>
      </c>
    </row>
    <row r="619" spans="1:5" x14ac:dyDescent="0.3">
      <c r="A619" t="s">
        <v>211</v>
      </c>
      <c r="B619" t="s">
        <v>169</v>
      </c>
      <c r="C619">
        <v>337</v>
      </c>
      <c r="D619" t="s">
        <v>243</v>
      </c>
      <c r="E619" t="s">
        <v>238</v>
      </c>
    </row>
    <row r="620" spans="1:5" x14ac:dyDescent="0.3">
      <c r="A620" t="s">
        <v>211</v>
      </c>
      <c r="B620" t="s">
        <v>169</v>
      </c>
      <c r="C620">
        <v>390</v>
      </c>
      <c r="D620" t="s">
        <v>342</v>
      </c>
      <c r="E620" t="s">
        <v>222</v>
      </c>
    </row>
    <row r="621" spans="1:5" x14ac:dyDescent="0.3">
      <c r="A621" t="s">
        <v>211</v>
      </c>
      <c r="B621" t="s">
        <v>169</v>
      </c>
      <c r="C621">
        <v>420</v>
      </c>
      <c r="D621" t="s">
        <v>313</v>
      </c>
      <c r="E621" t="s">
        <v>238</v>
      </c>
    </row>
    <row r="622" spans="1:5" x14ac:dyDescent="0.3">
      <c r="A622" t="s">
        <v>211</v>
      </c>
      <c r="B622" t="s">
        <v>221</v>
      </c>
      <c r="C622">
        <v>706</v>
      </c>
      <c r="D622" t="s">
        <v>268</v>
      </c>
      <c r="E622" t="s">
        <v>219</v>
      </c>
    </row>
    <row r="623" spans="1:5" x14ac:dyDescent="0.3">
      <c r="A623" t="s">
        <v>211</v>
      </c>
      <c r="B623" t="s">
        <v>221</v>
      </c>
      <c r="C623">
        <v>712</v>
      </c>
      <c r="D623" t="s">
        <v>228</v>
      </c>
      <c r="E623" t="s">
        <v>219</v>
      </c>
    </row>
    <row r="624" spans="1:5" x14ac:dyDescent="0.3">
      <c r="A624" t="s">
        <v>211</v>
      </c>
      <c r="B624" t="s">
        <v>221</v>
      </c>
      <c r="C624">
        <v>740</v>
      </c>
      <c r="D624" t="s">
        <v>225</v>
      </c>
      <c r="E624" t="s">
        <v>219</v>
      </c>
    </row>
    <row r="625" spans="1:5" x14ac:dyDescent="0.3">
      <c r="A625" t="s">
        <v>211</v>
      </c>
      <c r="B625" t="s">
        <v>221</v>
      </c>
      <c r="C625">
        <v>745</v>
      </c>
      <c r="D625" t="s">
        <v>223</v>
      </c>
      <c r="E625" t="s">
        <v>222</v>
      </c>
    </row>
    <row r="626" spans="1:5" x14ac:dyDescent="0.3">
      <c r="A626" t="s">
        <v>211</v>
      </c>
      <c r="B626" t="s">
        <v>221</v>
      </c>
      <c r="C626">
        <v>749</v>
      </c>
      <c r="D626" t="s">
        <v>220</v>
      </c>
      <c r="E626" t="s">
        <v>219</v>
      </c>
    </row>
    <row r="627" spans="1:5" x14ac:dyDescent="0.3">
      <c r="A627" t="s">
        <v>211</v>
      </c>
      <c r="B627" t="s">
        <v>169</v>
      </c>
      <c r="C627">
        <v>301</v>
      </c>
      <c r="D627" t="s">
        <v>278</v>
      </c>
      <c r="E627" t="s">
        <v>222</v>
      </c>
    </row>
    <row r="628" spans="1:5" x14ac:dyDescent="0.3">
      <c r="A628" t="s">
        <v>211</v>
      </c>
      <c r="B628" t="s">
        <v>169</v>
      </c>
      <c r="C628">
        <v>420</v>
      </c>
      <c r="D628" t="s">
        <v>313</v>
      </c>
      <c r="E628" t="s">
        <v>238</v>
      </c>
    </row>
    <row r="629" spans="1:5" x14ac:dyDescent="0.3">
      <c r="A629" t="s">
        <v>211</v>
      </c>
      <c r="B629" t="s">
        <v>221</v>
      </c>
      <c r="C629">
        <v>712</v>
      </c>
      <c r="D629" t="s">
        <v>228</v>
      </c>
      <c r="E629" t="s">
        <v>219</v>
      </c>
    </row>
    <row r="630" spans="1:5" x14ac:dyDescent="0.3">
      <c r="A630" t="s">
        <v>211</v>
      </c>
      <c r="B630" t="s">
        <v>221</v>
      </c>
      <c r="C630">
        <v>744</v>
      </c>
      <c r="D630" t="s">
        <v>265</v>
      </c>
      <c r="E630" t="s">
        <v>238</v>
      </c>
    </row>
    <row r="631" spans="1:5" x14ac:dyDescent="0.3">
      <c r="A631" t="s">
        <v>211</v>
      </c>
      <c r="B631" t="s">
        <v>221</v>
      </c>
      <c r="C631">
        <v>745</v>
      </c>
      <c r="D631" t="s">
        <v>223</v>
      </c>
      <c r="E631" t="s">
        <v>222</v>
      </c>
    </row>
    <row r="632" spans="1:5" x14ac:dyDescent="0.3">
      <c r="A632" t="s">
        <v>211</v>
      </c>
      <c r="B632" t="s">
        <v>221</v>
      </c>
      <c r="C632">
        <v>749</v>
      </c>
      <c r="D632" t="s">
        <v>220</v>
      </c>
      <c r="E632" t="s">
        <v>219</v>
      </c>
    </row>
    <row r="633" spans="1:5" x14ac:dyDescent="0.3">
      <c r="A633" t="s">
        <v>211</v>
      </c>
      <c r="B633" t="s">
        <v>221</v>
      </c>
      <c r="C633">
        <v>739</v>
      </c>
      <c r="D633" t="s">
        <v>226</v>
      </c>
      <c r="E633" t="s">
        <v>219</v>
      </c>
    </row>
    <row r="634" spans="1:5" x14ac:dyDescent="0.3">
      <c r="A634" t="s">
        <v>211</v>
      </c>
      <c r="B634" t="s">
        <v>169</v>
      </c>
      <c r="C634">
        <v>304</v>
      </c>
      <c r="D634" t="s">
        <v>277</v>
      </c>
      <c r="E634" t="s">
        <v>222</v>
      </c>
    </row>
    <row r="635" spans="1:5" x14ac:dyDescent="0.3">
      <c r="A635" t="s">
        <v>211</v>
      </c>
      <c r="B635" t="s">
        <v>169</v>
      </c>
      <c r="C635">
        <v>308</v>
      </c>
      <c r="D635" t="s">
        <v>260</v>
      </c>
      <c r="E635" t="s">
        <v>222</v>
      </c>
    </row>
    <row r="636" spans="1:5" x14ac:dyDescent="0.3">
      <c r="A636" t="s">
        <v>211</v>
      </c>
      <c r="B636" t="s">
        <v>169</v>
      </c>
      <c r="C636">
        <v>310</v>
      </c>
      <c r="D636" t="s">
        <v>258</v>
      </c>
      <c r="E636" t="s">
        <v>222</v>
      </c>
    </row>
    <row r="637" spans="1:5" x14ac:dyDescent="0.3">
      <c r="A637" t="s">
        <v>211</v>
      </c>
      <c r="B637" t="s">
        <v>169</v>
      </c>
      <c r="C637">
        <v>317</v>
      </c>
      <c r="D637" t="s">
        <v>255</v>
      </c>
      <c r="E637" t="s">
        <v>222</v>
      </c>
    </row>
    <row r="638" spans="1:5" x14ac:dyDescent="0.3">
      <c r="A638" t="s">
        <v>211</v>
      </c>
      <c r="B638" t="s">
        <v>169</v>
      </c>
      <c r="C638">
        <v>329</v>
      </c>
      <c r="D638" t="s">
        <v>249</v>
      </c>
      <c r="E638" t="s">
        <v>222</v>
      </c>
    </row>
    <row r="639" spans="1:5" x14ac:dyDescent="0.3">
      <c r="A639" t="s">
        <v>211</v>
      </c>
      <c r="B639" t="s">
        <v>169</v>
      </c>
      <c r="C639">
        <v>344</v>
      </c>
      <c r="D639" t="s">
        <v>239</v>
      </c>
      <c r="E639" t="s">
        <v>238</v>
      </c>
    </row>
    <row r="640" spans="1:5" x14ac:dyDescent="0.3">
      <c r="A640" t="s">
        <v>211</v>
      </c>
      <c r="B640" t="s">
        <v>169</v>
      </c>
      <c r="C640">
        <v>388</v>
      </c>
      <c r="D640" t="s">
        <v>319</v>
      </c>
      <c r="E640" t="s">
        <v>222</v>
      </c>
    </row>
    <row r="641" spans="1:5" x14ac:dyDescent="0.3">
      <c r="A641" t="s">
        <v>211</v>
      </c>
      <c r="B641" t="s">
        <v>169</v>
      </c>
      <c r="C641">
        <v>407</v>
      </c>
      <c r="D641" t="s">
        <v>229</v>
      </c>
      <c r="E641" t="s">
        <v>222</v>
      </c>
    </row>
    <row r="642" spans="1:5" x14ac:dyDescent="0.3">
      <c r="A642" t="s">
        <v>211</v>
      </c>
      <c r="B642" t="s">
        <v>221</v>
      </c>
      <c r="C642">
        <v>739</v>
      </c>
      <c r="D642" t="s">
        <v>226</v>
      </c>
      <c r="E642" t="s">
        <v>219</v>
      </c>
    </row>
    <row r="643" spans="1:5" x14ac:dyDescent="0.3">
      <c r="A643" t="s">
        <v>211</v>
      </c>
      <c r="B643" t="s">
        <v>169</v>
      </c>
      <c r="C643">
        <v>420</v>
      </c>
      <c r="D643" t="s">
        <v>313</v>
      </c>
      <c r="E643" t="s">
        <v>238</v>
      </c>
    </row>
    <row r="644" spans="1:5" x14ac:dyDescent="0.3">
      <c r="A644" t="s">
        <v>211</v>
      </c>
      <c r="B644" t="s">
        <v>221</v>
      </c>
      <c r="C644">
        <v>712</v>
      </c>
      <c r="D644" t="s">
        <v>228</v>
      </c>
      <c r="E644" t="s">
        <v>219</v>
      </c>
    </row>
    <row r="645" spans="1:5" x14ac:dyDescent="0.3">
      <c r="A645" t="s">
        <v>211</v>
      </c>
      <c r="B645" t="s">
        <v>221</v>
      </c>
      <c r="C645">
        <v>744</v>
      </c>
      <c r="D645" t="s">
        <v>265</v>
      </c>
      <c r="E645" t="s">
        <v>222</v>
      </c>
    </row>
    <row r="646" spans="1:5" x14ac:dyDescent="0.3">
      <c r="A646" t="s">
        <v>211</v>
      </c>
      <c r="B646" t="s">
        <v>221</v>
      </c>
      <c r="C646">
        <v>745</v>
      </c>
      <c r="D646" t="s">
        <v>223</v>
      </c>
      <c r="E646" t="s">
        <v>222</v>
      </c>
    </row>
    <row r="647" spans="1:5" x14ac:dyDescent="0.3">
      <c r="A647" t="s">
        <v>211</v>
      </c>
      <c r="B647" t="s">
        <v>221</v>
      </c>
      <c r="C647">
        <v>749</v>
      </c>
      <c r="D647" t="s">
        <v>220</v>
      </c>
      <c r="E647" t="s">
        <v>219</v>
      </c>
    </row>
    <row r="648" spans="1:5" x14ac:dyDescent="0.3">
      <c r="A648" t="s">
        <v>203</v>
      </c>
      <c r="B648" t="s">
        <v>221</v>
      </c>
      <c r="C648">
        <v>712</v>
      </c>
      <c r="D648" t="s">
        <v>228</v>
      </c>
      <c r="E648" t="s">
        <v>219</v>
      </c>
    </row>
    <row r="649" spans="1:5" x14ac:dyDescent="0.3">
      <c r="A649" t="s">
        <v>203</v>
      </c>
      <c r="B649" t="s">
        <v>221</v>
      </c>
      <c r="C649">
        <v>749</v>
      </c>
      <c r="D649" t="s">
        <v>220</v>
      </c>
      <c r="E649" t="s">
        <v>219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583C6-4688-4B80-8437-CD8E174FBD73}">
  <dimension ref="A1:O6"/>
  <sheetViews>
    <sheetView workbookViewId="0">
      <selection activeCell="M11" sqref="M11"/>
    </sheetView>
  </sheetViews>
  <sheetFormatPr baseColWidth="10" defaultRowHeight="14.4" x14ac:dyDescent="0.3"/>
  <sheetData>
    <row r="1" spans="1:15" x14ac:dyDescent="0.3">
      <c r="A1" t="s">
        <v>358</v>
      </c>
      <c r="B1" t="s">
        <v>392</v>
      </c>
      <c r="C1" t="s">
        <v>393</v>
      </c>
      <c r="D1" t="s">
        <v>394</v>
      </c>
      <c r="E1" t="s">
        <v>382</v>
      </c>
      <c r="F1" t="s">
        <v>385</v>
      </c>
      <c r="G1" t="s">
        <v>391</v>
      </c>
      <c r="H1" t="s">
        <v>528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  <c r="O1" t="s">
        <v>535</v>
      </c>
    </row>
    <row r="2" spans="1:15" x14ac:dyDescent="0.3">
      <c r="A2" t="s">
        <v>210</v>
      </c>
      <c r="B2">
        <v>1</v>
      </c>
      <c r="C2">
        <v>1</v>
      </c>
      <c r="D2">
        <v>0</v>
      </c>
      <c r="E2">
        <v>1</v>
      </c>
      <c r="F2">
        <v>1</v>
      </c>
      <c r="G2">
        <v>0</v>
      </c>
      <c r="H2">
        <v>0</v>
      </c>
      <c r="I2">
        <v>1</v>
      </c>
      <c r="J2">
        <v>0</v>
      </c>
      <c r="K2">
        <v>0</v>
      </c>
      <c r="L2">
        <v>1</v>
      </c>
      <c r="M2">
        <v>0</v>
      </c>
      <c r="N2">
        <v>1</v>
      </c>
      <c r="O2">
        <v>1</v>
      </c>
    </row>
    <row r="3" spans="1:15" x14ac:dyDescent="0.3">
      <c r="A3" t="s">
        <v>203</v>
      </c>
      <c r="B3">
        <v>1</v>
      </c>
      <c r="C3">
        <v>1</v>
      </c>
      <c r="D3">
        <v>1</v>
      </c>
      <c r="E3">
        <v>0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0</v>
      </c>
      <c r="M3">
        <v>1</v>
      </c>
      <c r="N3">
        <v>1</v>
      </c>
      <c r="O3">
        <v>1</v>
      </c>
    </row>
    <row r="4" spans="1:15" x14ac:dyDescent="0.3">
      <c r="A4" t="s">
        <v>211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</row>
    <row r="5" spans="1:15" x14ac:dyDescent="0.3">
      <c r="A5" t="s">
        <v>1574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0</v>
      </c>
      <c r="K5">
        <v>1</v>
      </c>
      <c r="L5">
        <v>1</v>
      </c>
      <c r="M5">
        <v>1</v>
      </c>
      <c r="N5">
        <v>1</v>
      </c>
      <c r="O5">
        <v>1</v>
      </c>
    </row>
    <row r="6" spans="1:15" x14ac:dyDescent="0.3">
      <c r="A6" t="s">
        <v>168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26B1C-646D-4284-8A40-31B0B09EC649}">
  <sheetPr filterMode="1"/>
  <dimension ref="A1:E133"/>
  <sheetViews>
    <sheetView zoomScale="127" workbookViewId="0">
      <selection activeCell="D56" sqref="D56"/>
    </sheetView>
  </sheetViews>
  <sheetFormatPr baseColWidth="10" defaultRowHeight="14.4" x14ac:dyDescent="0.3"/>
  <cols>
    <col min="1" max="1" width="38.21875" bestFit="1" customWidth="1"/>
    <col min="2" max="2" width="15.44140625" bestFit="1" customWidth="1"/>
    <col min="3" max="3" width="11.33203125" bestFit="1" customWidth="1"/>
    <col min="4" max="4" width="29.33203125" bestFit="1" customWidth="1"/>
    <col min="5" max="5" width="8.21875" bestFit="1" customWidth="1"/>
  </cols>
  <sheetData>
    <row r="1" spans="1:5" ht="15" customHeight="1" x14ac:dyDescent="0.3">
      <c r="A1" t="s">
        <v>218</v>
      </c>
      <c r="B1" t="s">
        <v>217</v>
      </c>
      <c r="C1" t="s">
        <v>216</v>
      </c>
      <c r="D1" t="s">
        <v>215</v>
      </c>
      <c r="E1" t="s">
        <v>214</v>
      </c>
    </row>
    <row r="2" spans="1:5" ht="15" hidden="1" customHeight="1" x14ac:dyDescent="0.3">
      <c r="A2" t="s">
        <v>213</v>
      </c>
      <c r="B2" t="s">
        <v>173</v>
      </c>
      <c r="C2">
        <v>2</v>
      </c>
      <c r="D2" t="s">
        <v>175</v>
      </c>
      <c r="E2">
        <v>22</v>
      </c>
    </row>
    <row r="3" spans="1:5" ht="15" hidden="1" customHeight="1" x14ac:dyDescent="0.3">
      <c r="A3" t="s">
        <v>213</v>
      </c>
      <c r="B3" t="s">
        <v>173</v>
      </c>
      <c r="C3">
        <v>49</v>
      </c>
      <c r="D3" t="s">
        <v>174</v>
      </c>
      <c r="E3">
        <v>18</v>
      </c>
    </row>
    <row r="4" spans="1:5" ht="15" hidden="1" customHeight="1" x14ac:dyDescent="0.3">
      <c r="A4" t="s">
        <v>213</v>
      </c>
      <c r="B4" t="s">
        <v>173</v>
      </c>
      <c r="C4">
        <v>52</v>
      </c>
      <c r="D4" t="s">
        <v>172</v>
      </c>
      <c r="E4">
        <v>12</v>
      </c>
    </row>
    <row r="5" spans="1:5" ht="15" hidden="1" customHeight="1" x14ac:dyDescent="0.3">
      <c r="A5" t="s">
        <v>213</v>
      </c>
      <c r="B5" t="s">
        <v>186</v>
      </c>
      <c r="C5">
        <v>61</v>
      </c>
      <c r="D5" t="s">
        <v>187</v>
      </c>
      <c r="E5">
        <v>3</v>
      </c>
    </row>
    <row r="6" spans="1:5" ht="15" hidden="1" customHeight="1" x14ac:dyDescent="0.3">
      <c r="A6" t="s">
        <v>213</v>
      </c>
      <c r="B6" t="s">
        <v>186</v>
      </c>
      <c r="C6">
        <v>62</v>
      </c>
      <c r="D6" t="s">
        <v>185</v>
      </c>
      <c r="E6">
        <v>3</v>
      </c>
    </row>
    <row r="7" spans="1:5" ht="15" hidden="1" customHeight="1" x14ac:dyDescent="0.3">
      <c r="A7" t="s">
        <v>213</v>
      </c>
      <c r="B7" t="s">
        <v>170</v>
      </c>
      <c r="C7">
        <v>29</v>
      </c>
      <c r="D7" t="s">
        <v>184</v>
      </c>
      <c r="E7">
        <v>1</v>
      </c>
    </row>
    <row r="8" spans="1:5" ht="15" hidden="1" customHeight="1" x14ac:dyDescent="0.3">
      <c r="A8" t="s">
        <v>213</v>
      </c>
      <c r="B8" t="s">
        <v>170</v>
      </c>
      <c r="C8">
        <v>31</v>
      </c>
      <c r="D8" t="s">
        <v>169</v>
      </c>
      <c r="E8">
        <v>10</v>
      </c>
    </row>
    <row r="9" spans="1:5" ht="15" hidden="1" customHeight="1" x14ac:dyDescent="0.3">
      <c r="A9" t="s">
        <v>213</v>
      </c>
      <c r="B9" t="s">
        <v>167</v>
      </c>
      <c r="C9">
        <v>25</v>
      </c>
      <c r="D9" t="s">
        <v>166</v>
      </c>
      <c r="E9">
        <v>1</v>
      </c>
    </row>
    <row r="10" spans="1:5" ht="15" hidden="1" customHeight="1" x14ac:dyDescent="0.3">
      <c r="A10" t="s">
        <v>213</v>
      </c>
      <c r="B10" t="s">
        <v>167</v>
      </c>
      <c r="C10">
        <v>46</v>
      </c>
      <c r="D10" t="s">
        <v>171</v>
      </c>
      <c r="E10">
        <v>2</v>
      </c>
    </row>
    <row r="11" spans="1:5" ht="15" hidden="1" customHeight="1" x14ac:dyDescent="0.3">
      <c r="A11" t="s">
        <v>213</v>
      </c>
      <c r="B11" t="s">
        <v>177</v>
      </c>
      <c r="C11">
        <v>66</v>
      </c>
      <c r="D11" t="s">
        <v>180</v>
      </c>
      <c r="E11">
        <v>3</v>
      </c>
    </row>
    <row r="12" spans="1:5" ht="15" hidden="1" customHeight="1" x14ac:dyDescent="0.3">
      <c r="A12" t="s">
        <v>211</v>
      </c>
      <c r="B12" t="s">
        <v>170</v>
      </c>
      <c r="C12">
        <v>31</v>
      </c>
      <c r="D12" t="s">
        <v>169</v>
      </c>
      <c r="E12">
        <v>33</v>
      </c>
    </row>
    <row r="13" spans="1:5" ht="15" hidden="1" customHeight="1" x14ac:dyDescent="0.3">
      <c r="A13" t="s">
        <v>211</v>
      </c>
      <c r="B13" t="s">
        <v>167</v>
      </c>
      <c r="C13">
        <v>25</v>
      </c>
      <c r="D13" t="s">
        <v>166</v>
      </c>
      <c r="E13">
        <v>7</v>
      </c>
    </row>
    <row r="14" spans="1:5" ht="15" hidden="1" customHeight="1" x14ac:dyDescent="0.3">
      <c r="A14" t="s">
        <v>211</v>
      </c>
      <c r="B14" t="s">
        <v>170</v>
      </c>
      <c r="C14">
        <v>31</v>
      </c>
      <c r="D14" t="s">
        <v>169</v>
      </c>
      <c r="E14">
        <v>3</v>
      </c>
    </row>
    <row r="15" spans="1:5" ht="15" hidden="1" customHeight="1" x14ac:dyDescent="0.3">
      <c r="A15" t="s">
        <v>211</v>
      </c>
      <c r="B15" t="s">
        <v>167</v>
      </c>
      <c r="C15">
        <v>25</v>
      </c>
      <c r="D15" t="s">
        <v>166</v>
      </c>
      <c r="E15">
        <v>1</v>
      </c>
    </row>
    <row r="16" spans="1:5" ht="15" hidden="1" customHeight="1" x14ac:dyDescent="0.3">
      <c r="A16" t="s">
        <v>211</v>
      </c>
      <c r="B16" t="s">
        <v>170</v>
      </c>
      <c r="C16">
        <v>31</v>
      </c>
      <c r="D16" t="s">
        <v>169</v>
      </c>
      <c r="E16">
        <v>2</v>
      </c>
    </row>
    <row r="17" spans="1:5" ht="15" hidden="1" customHeight="1" x14ac:dyDescent="0.3">
      <c r="A17" t="s">
        <v>211</v>
      </c>
      <c r="B17" t="s">
        <v>170</v>
      </c>
      <c r="C17">
        <v>31</v>
      </c>
      <c r="D17" t="s">
        <v>169</v>
      </c>
      <c r="E17">
        <v>1</v>
      </c>
    </row>
    <row r="18" spans="1:5" ht="15" hidden="1" customHeight="1" x14ac:dyDescent="0.3">
      <c r="A18" t="s">
        <v>211</v>
      </c>
      <c r="B18" t="s">
        <v>170</v>
      </c>
      <c r="C18">
        <v>31</v>
      </c>
      <c r="D18" t="s">
        <v>169</v>
      </c>
      <c r="E18">
        <v>1</v>
      </c>
    </row>
    <row r="19" spans="1:5" ht="15" hidden="1" customHeight="1" x14ac:dyDescent="0.3">
      <c r="A19" t="s">
        <v>211</v>
      </c>
      <c r="B19" t="s">
        <v>170</v>
      </c>
      <c r="C19">
        <v>31</v>
      </c>
      <c r="D19" t="s">
        <v>169</v>
      </c>
      <c r="E19">
        <v>3</v>
      </c>
    </row>
    <row r="20" spans="1:5" ht="15" hidden="1" customHeight="1" x14ac:dyDescent="0.3">
      <c r="A20" t="s">
        <v>211</v>
      </c>
      <c r="B20" t="s">
        <v>173</v>
      </c>
      <c r="C20">
        <v>1</v>
      </c>
      <c r="D20" t="s">
        <v>199</v>
      </c>
      <c r="E20">
        <v>53</v>
      </c>
    </row>
    <row r="21" spans="1:5" ht="15" hidden="1" customHeight="1" x14ac:dyDescent="0.3">
      <c r="A21" t="s">
        <v>211</v>
      </c>
      <c r="B21" t="s">
        <v>173</v>
      </c>
      <c r="C21">
        <v>2</v>
      </c>
      <c r="D21" t="s">
        <v>175</v>
      </c>
      <c r="E21">
        <v>208</v>
      </c>
    </row>
    <row r="22" spans="1:5" ht="15" hidden="1" customHeight="1" x14ac:dyDescent="0.3">
      <c r="A22" t="s">
        <v>211</v>
      </c>
      <c r="B22" t="s">
        <v>173</v>
      </c>
      <c r="C22">
        <v>30</v>
      </c>
      <c r="D22" t="s">
        <v>198</v>
      </c>
      <c r="E22">
        <v>2</v>
      </c>
    </row>
    <row r="23" spans="1:5" ht="15" hidden="1" customHeight="1" x14ac:dyDescent="0.3">
      <c r="A23" t="s">
        <v>211</v>
      </c>
      <c r="B23" t="s">
        <v>173</v>
      </c>
      <c r="C23">
        <v>48</v>
      </c>
      <c r="D23" t="s">
        <v>194</v>
      </c>
      <c r="E23">
        <v>3</v>
      </c>
    </row>
    <row r="24" spans="1:5" ht="15" hidden="1" customHeight="1" x14ac:dyDescent="0.3">
      <c r="A24" t="s">
        <v>211</v>
      </c>
      <c r="B24" t="s">
        <v>173</v>
      </c>
      <c r="C24">
        <v>49</v>
      </c>
      <c r="D24" t="s">
        <v>174</v>
      </c>
      <c r="E24">
        <v>10</v>
      </c>
    </row>
    <row r="25" spans="1:5" ht="15" hidden="1" customHeight="1" x14ac:dyDescent="0.3">
      <c r="A25" t="s">
        <v>211</v>
      </c>
      <c r="B25" t="s">
        <v>173</v>
      </c>
      <c r="C25">
        <v>50</v>
      </c>
      <c r="D25" t="s">
        <v>193</v>
      </c>
      <c r="E25">
        <v>9</v>
      </c>
    </row>
    <row r="26" spans="1:5" ht="15" hidden="1" customHeight="1" x14ac:dyDescent="0.3">
      <c r="A26" t="s">
        <v>211</v>
      </c>
      <c r="B26" t="s">
        <v>173</v>
      </c>
      <c r="C26">
        <v>51</v>
      </c>
      <c r="D26" t="s">
        <v>192</v>
      </c>
      <c r="E26">
        <v>9</v>
      </c>
    </row>
    <row r="27" spans="1:5" ht="15" hidden="1" customHeight="1" x14ac:dyDescent="0.3">
      <c r="A27" t="s">
        <v>211</v>
      </c>
      <c r="B27" t="s">
        <v>173</v>
      </c>
      <c r="C27">
        <v>52</v>
      </c>
      <c r="D27" t="s">
        <v>172</v>
      </c>
      <c r="E27">
        <v>47</v>
      </c>
    </row>
    <row r="28" spans="1:5" ht="15" hidden="1" customHeight="1" x14ac:dyDescent="0.3">
      <c r="A28" t="s">
        <v>211</v>
      </c>
      <c r="B28" t="s">
        <v>173</v>
      </c>
      <c r="C28">
        <v>54</v>
      </c>
      <c r="D28" t="s">
        <v>208</v>
      </c>
      <c r="E28">
        <v>6</v>
      </c>
    </row>
    <row r="29" spans="1:5" ht="15" hidden="1" customHeight="1" x14ac:dyDescent="0.3">
      <c r="A29" t="s">
        <v>211</v>
      </c>
      <c r="B29" t="s">
        <v>173</v>
      </c>
      <c r="C29">
        <v>58</v>
      </c>
      <c r="D29" t="s">
        <v>190</v>
      </c>
      <c r="E29">
        <v>1</v>
      </c>
    </row>
    <row r="30" spans="1:5" ht="15" hidden="1" customHeight="1" x14ac:dyDescent="0.3">
      <c r="A30" t="s">
        <v>211</v>
      </c>
      <c r="B30" t="s">
        <v>173</v>
      </c>
      <c r="C30">
        <v>59</v>
      </c>
      <c r="D30" t="s">
        <v>204</v>
      </c>
      <c r="E30">
        <v>2</v>
      </c>
    </row>
    <row r="31" spans="1:5" ht="15" hidden="1" customHeight="1" x14ac:dyDescent="0.3">
      <c r="A31" t="s">
        <v>211</v>
      </c>
      <c r="B31" t="s">
        <v>173</v>
      </c>
      <c r="C31">
        <v>60</v>
      </c>
      <c r="D31" t="s">
        <v>212</v>
      </c>
      <c r="E31">
        <v>1</v>
      </c>
    </row>
    <row r="32" spans="1:5" ht="15" hidden="1" customHeight="1" x14ac:dyDescent="0.3">
      <c r="A32" t="s">
        <v>211</v>
      </c>
      <c r="B32" t="s">
        <v>173</v>
      </c>
      <c r="C32">
        <v>65</v>
      </c>
      <c r="D32" t="s">
        <v>189</v>
      </c>
      <c r="E32">
        <v>3</v>
      </c>
    </row>
    <row r="33" spans="1:5" ht="15" hidden="1" customHeight="1" x14ac:dyDescent="0.3">
      <c r="A33" t="s">
        <v>211</v>
      </c>
      <c r="B33" t="s">
        <v>186</v>
      </c>
      <c r="C33">
        <v>28</v>
      </c>
      <c r="D33" t="s">
        <v>188</v>
      </c>
      <c r="E33">
        <v>11</v>
      </c>
    </row>
    <row r="34" spans="1:5" ht="15" hidden="1" customHeight="1" x14ac:dyDescent="0.3">
      <c r="A34" t="s">
        <v>211</v>
      </c>
      <c r="B34" t="s">
        <v>186</v>
      </c>
      <c r="C34">
        <v>61</v>
      </c>
      <c r="D34" t="s">
        <v>187</v>
      </c>
      <c r="E34">
        <v>21</v>
      </c>
    </row>
    <row r="35" spans="1:5" ht="15" hidden="1" customHeight="1" x14ac:dyDescent="0.3">
      <c r="A35" t="s">
        <v>211</v>
      </c>
      <c r="B35" t="s">
        <v>186</v>
      </c>
      <c r="C35">
        <v>62</v>
      </c>
      <c r="D35" t="s">
        <v>185</v>
      </c>
      <c r="E35">
        <v>21</v>
      </c>
    </row>
    <row r="36" spans="1:5" ht="15" hidden="1" customHeight="1" x14ac:dyDescent="0.3">
      <c r="A36" t="s">
        <v>211</v>
      </c>
      <c r="B36" t="s">
        <v>170</v>
      </c>
      <c r="C36">
        <v>29</v>
      </c>
      <c r="D36" t="s">
        <v>184</v>
      </c>
      <c r="E36">
        <v>12</v>
      </c>
    </row>
    <row r="37" spans="1:5" ht="15" hidden="1" customHeight="1" x14ac:dyDescent="0.3">
      <c r="A37" t="s">
        <v>211</v>
      </c>
      <c r="B37" t="s">
        <v>170</v>
      </c>
      <c r="C37">
        <v>31</v>
      </c>
      <c r="D37" t="s">
        <v>169</v>
      </c>
      <c r="E37">
        <v>14</v>
      </c>
    </row>
    <row r="38" spans="1:5" ht="15" hidden="1" customHeight="1" x14ac:dyDescent="0.3">
      <c r="A38" t="s">
        <v>211</v>
      </c>
      <c r="B38" t="s">
        <v>167</v>
      </c>
      <c r="C38">
        <v>14</v>
      </c>
      <c r="D38" t="s">
        <v>183</v>
      </c>
      <c r="E38">
        <v>1</v>
      </c>
    </row>
    <row r="39" spans="1:5" ht="15" hidden="1" customHeight="1" x14ac:dyDescent="0.3">
      <c r="A39" t="s">
        <v>211</v>
      </c>
      <c r="B39" t="s">
        <v>167</v>
      </c>
      <c r="C39">
        <v>25</v>
      </c>
      <c r="D39" t="s">
        <v>166</v>
      </c>
      <c r="E39">
        <v>15</v>
      </c>
    </row>
    <row r="40" spans="1:5" ht="15" hidden="1" customHeight="1" x14ac:dyDescent="0.3">
      <c r="A40" t="s">
        <v>211</v>
      </c>
      <c r="B40" t="s">
        <v>167</v>
      </c>
      <c r="C40">
        <v>46</v>
      </c>
      <c r="D40" t="s">
        <v>171</v>
      </c>
      <c r="E40">
        <v>14</v>
      </c>
    </row>
    <row r="41" spans="1:5" ht="15" hidden="1" customHeight="1" x14ac:dyDescent="0.3">
      <c r="A41" t="s">
        <v>211</v>
      </c>
      <c r="B41" t="s">
        <v>167</v>
      </c>
      <c r="C41">
        <v>63</v>
      </c>
      <c r="D41" t="s">
        <v>182</v>
      </c>
      <c r="E41">
        <v>2</v>
      </c>
    </row>
    <row r="42" spans="1:5" ht="15" hidden="1" customHeight="1" x14ac:dyDescent="0.3">
      <c r="A42" t="s">
        <v>211</v>
      </c>
      <c r="B42" t="s">
        <v>177</v>
      </c>
      <c r="C42">
        <v>23</v>
      </c>
      <c r="D42" t="s">
        <v>176</v>
      </c>
      <c r="E42">
        <v>30</v>
      </c>
    </row>
    <row r="43" spans="1:5" ht="15" hidden="1" customHeight="1" x14ac:dyDescent="0.3">
      <c r="A43" t="s">
        <v>211</v>
      </c>
      <c r="B43" t="s">
        <v>177</v>
      </c>
      <c r="C43">
        <v>66</v>
      </c>
      <c r="D43" t="s">
        <v>180</v>
      </c>
      <c r="E43">
        <v>10</v>
      </c>
    </row>
    <row r="44" spans="1:5" ht="15" hidden="1" customHeight="1" x14ac:dyDescent="0.3">
      <c r="A44" t="s">
        <v>210</v>
      </c>
      <c r="B44" t="s">
        <v>170</v>
      </c>
      <c r="C44">
        <v>31</v>
      </c>
      <c r="D44" t="s">
        <v>169</v>
      </c>
      <c r="E44">
        <v>1</v>
      </c>
    </row>
    <row r="45" spans="1:5" ht="15" customHeight="1" x14ac:dyDescent="0.3">
      <c r="A45" t="s">
        <v>210</v>
      </c>
      <c r="B45" t="s">
        <v>167</v>
      </c>
      <c r="C45">
        <v>25</v>
      </c>
      <c r="D45" t="s">
        <v>166</v>
      </c>
      <c r="E45">
        <v>3</v>
      </c>
    </row>
    <row r="46" spans="1:5" ht="15" hidden="1" customHeight="1" x14ac:dyDescent="0.3">
      <c r="A46" t="s">
        <v>210</v>
      </c>
      <c r="B46" t="s">
        <v>170</v>
      </c>
      <c r="C46">
        <v>31</v>
      </c>
      <c r="D46" t="s">
        <v>169</v>
      </c>
      <c r="E46">
        <v>35</v>
      </c>
    </row>
    <row r="47" spans="1:5" ht="15" customHeight="1" x14ac:dyDescent="0.3">
      <c r="A47" t="s">
        <v>210</v>
      </c>
      <c r="B47" t="s">
        <v>167</v>
      </c>
      <c r="C47">
        <v>25</v>
      </c>
      <c r="D47" t="s">
        <v>166</v>
      </c>
      <c r="E47">
        <v>1</v>
      </c>
    </row>
    <row r="48" spans="1:5" ht="15" customHeight="1" x14ac:dyDescent="0.3">
      <c r="A48" t="s">
        <v>210</v>
      </c>
      <c r="B48" t="s">
        <v>167</v>
      </c>
      <c r="C48">
        <v>25</v>
      </c>
      <c r="D48" t="s">
        <v>166</v>
      </c>
      <c r="E48">
        <v>1</v>
      </c>
    </row>
    <row r="49" spans="1:5" ht="15" hidden="1" customHeight="1" x14ac:dyDescent="0.3">
      <c r="A49" t="s">
        <v>210</v>
      </c>
      <c r="B49" t="s">
        <v>170</v>
      </c>
      <c r="C49">
        <v>31</v>
      </c>
      <c r="D49" t="s">
        <v>169</v>
      </c>
      <c r="E49">
        <v>23</v>
      </c>
    </row>
    <row r="50" spans="1:5" ht="15" customHeight="1" x14ac:dyDescent="0.3">
      <c r="A50" t="s">
        <v>210</v>
      </c>
      <c r="B50" t="s">
        <v>167</v>
      </c>
      <c r="C50">
        <v>25</v>
      </c>
      <c r="D50" t="s">
        <v>166</v>
      </c>
      <c r="E50">
        <v>1</v>
      </c>
    </row>
    <row r="51" spans="1:5" ht="15" hidden="1" customHeight="1" x14ac:dyDescent="0.3">
      <c r="A51" t="s">
        <v>210</v>
      </c>
      <c r="B51" t="s">
        <v>170</v>
      </c>
      <c r="C51">
        <v>31</v>
      </c>
      <c r="D51" t="s">
        <v>169</v>
      </c>
      <c r="E51">
        <v>11</v>
      </c>
    </row>
    <row r="52" spans="1:5" ht="15" customHeight="1" x14ac:dyDescent="0.3">
      <c r="A52" t="s">
        <v>210</v>
      </c>
      <c r="B52" t="s">
        <v>167</v>
      </c>
      <c r="C52">
        <v>25</v>
      </c>
      <c r="D52" t="s">
        <v>166</v>
      </c>
      <c r="E52">
        <v>1</v>
      </c>
    </row>
    <row r="53" spans="1:5" ht="15" hidden="1" customHeight="1" x14ac:dyDescent="0.3">
      <c r="A53" t="s">
        <v>210</v>
      </c>
      <c r="B53" t="s">
        <v>170</v>
      </c>
      <c r="C53">
        <v>31</v>
      </c>
      <c r="D53" t="s">
        <v>169</v>
      </c>
      <c r="E53">
        <v>24</v>
      </c>
    </row>
    <row r="54" spans="1:5" ht="15" customHeight="1" x14ac:dyDescent="0.3">
      <c r="A54" t="s">
        <v>210</v>
      </c>
      <c r="B54" t="s">
        <v>167</v>
      </c>
      <c r="C54">
        <v>25</v>
      </c>
      <c r="D54" t="s">
        <v>166</v>
      </c>
      <c r="E54">
        <v>1</v>
      </c>
    </row>
    <row r="55" spans="1:5" ht="15" hidden="1" customHeight="1" x14ac:dyDescent="0.3">
      <c r="A55" t="s">
        <v>210</v>
      </c>
      <c r="B55" t="s">
        <v>170</v>
      </c>
      <c r="C55">
        <v>31</v>
      </c>
      <c r="D55" t="s">
        <v>169</v>
      </c>
      <c r="E55">
        <v>11</v>
      </c>
    </row>
    <row r="56" spans="1:5" ht="15" customHeight="1" x14ac:dyDescent="0.3">
      <c r="A56" t="s">
        <v>210</v>
      </c>
      <c r="B56" t="s">
        <v>167</v>
      </c>
      <c r="C56">
        <v>25</v>
      </c>
      <c r="D56" t="s">
        <v>166</v>
      </c>
      <c r="E56">
        <v>1</v>
      </c>
    </row>
    <row r="57" spans="1:5" ht="15" hidden="1" customHeight="1" x14ac:dyDescent="0.3">
      <c r="A57" t="s">
        <v>210</v>
      </c>
      <c r="B57" t="s">
        <v>170</v>
      </c>
      <c r="C57">
        <v>31</v>
      </c>
      <c r="D57" t="s">
        <v>169</v>
      </c>
      <c r="E57">
        <v>16</v>
      </c>
    </row>
    <row r="58" spans="1:5" ht="15" hidden="1" customHeight="1" x14ac:dyDescent="0.3">
      <c r="A58" t="s">
        <v>203</v>
      </c>
      <c r="B58" t="s">
        <v>173</v>
      </c>
      <c r="C58">
        <v>1</v>
      </c>
      <c r="D58" t="s">
        <v>199</v>
      </c>
      <c r="E58">
        <v>5</v>
      </c>
    </row>
    <row r="59" spans="1:5" ht="15" hidden="1" customHeight="1" x14ac:dyDescent="0.3">
      <c r="A59" t="s">
        <v>203</v>
      </c>
      <c r="B59" t="s">
        <v>173</v>
      </c>
      <c r="C59">
        <v>2</v>
      </c>
      <c r="D59" t="s">
        <v>175</v>
      </c>
      <c r="E59">
        <v>261</v>
      </c>
    </row>
    <row r="60" spans="1:5" ht="15" hidden="1" customHeight="1" x14ac:dyDescent="0.3">
      <c r="A60" t="s">
        <v>203</v>
      </c>
      <c r="B60" t="s">
        <v>173</v>
      </c>
      <c r="C60">
        <v>41</v>
      </c>
      <c r="D60" t="s">
        <v>209</v>
      </c>
      <c r="E60">
        <v>1</v>
      </c>
    </row>
    <row r="61" spans="1:5" ht="15" hidden="1" customHeight="1" x14ac:dyDescent="0.3">
      <c r="A61" t="s">
        <v>203</v>
      </c>
      <c r="B61" t="s">
        <v>173</v>
      </c>
      <c r="C61">
        <v>47</v>
      </c>
      <c r="D61" t="s">
        <v>195</v>
      </c>
      <c r="E61">
        <v>2</v>
      </c>
    </row>
    <row r="62" spans="1:5" ht="15" hidden="1" customHeight="1" x14ac:dyDescent="0.3">
      <c r="A62" t="s">
        <v>203</v>
      </c>
      <c r="B62" t="s">
        <v>173</v>
      </c>
      <c r="C62">
        <v>48</v>
      </c>
      <c r="D62" t="s">
        <v>194</v>
      </c>
      <c r="E62">
        <v>1</v>
      </c>
    </row>
    <row r="63" spans="1:5" ht="15" hidden="1" customHeight="1" x14ac:dyDescent="0.3">
      <c r="A63" t="s">
        <v>203</v>
      </c>
      <c r="B63" t="s">
        <v>173</v>
      </c>
      <c r="C63">
        <v>49</v>
      </c>
      <c r="D63" t="s">
        <v>174</v>
      </c>
      <c r="E63">
        <v>6</v>
      </c>
    </row>
    <row r="64" spans="1:5" ht="15" hidden="1" customHeight="1" x14ac:dyDescent="0.3">
      <c r="A64" t="s">
        <v>203</v>
      </c>
      <c r="B64" t="s">
        <v>173</v>
      </c>
      <c r="C64">
        <v>50</v>
      </c>
      <c r="D64" t="s">
        <v>193</v>
      </c>
      <c r="E64">
        <v>3</v>
      </c>
    </row>
    <row r="65" spans="1:5" ht="15" hidden="1" customHeight="1" x14ac:dyDescent="0.3">
      <c r="A65" t="s">
        <v>203</v>
      </c>
      <c r="B65" t="s">
        <v>173</v>
      </c>
      <c r="C65">
        <v>51</v>
      </c>
      <c r="D65" t="s">
        <v>192</v>
      </c>
      <c r="E65">
        <v>1</v>
      </c>
    </row>
    <row r="66" spans="1:5" ht="15" hidden="1" customHeight="1" x14ac:dyDescent="0.3">
      <c r="A66" t="s">
        <v>203</v>
      </c>
      <c r="B66" t="s">
        <v>173</v>
      </c>
      <c r="C66">
        <v>52</v>
      </c>
      <c r="D66" t="s">
        <v>172</v>
      </c>
      <c r="E66">
        <v>70</v>
      </c>
    </row>
    <row r="67" spans="1:5" ht="15" hidden="1" customHeight="1" x14ac:dyDescent="0.3">
      <c r="A67" t="s">
        <v>203</v>
      </c>
      <c r="B67" t="s">
        <v>173</v>
      </c>
      <c r="C67">
        <v>53</v>
      </c>
      <c r="D67" t="s">
        <v>191</v>
      </c>
      <c r="E67">
        <v>2</v>
      </c>
    </row>
    <row r="68" spans="1:5" ht="15" hidden="1" customHeight="1" x14ac:dyDescent="0.3">
      <c r="A68" t="s">
        <v>203</v>
      </c>
      <c r="B68" t="s">
        <v>173</v>
      </c>
      <c r="C68">
        <v>54</v>
      </c>
      <c r="D68" t="s">
        <v>208</v>
      </c>
      <c r="E68">
        <v>2</v>
      </c>
    </row>
    <row r="69" spans="1:5" ht="15" hidden="1" customHeight="1" x14ac:dyDescent="0.3">
      <c r="A69" t="s">
        <v>203</v>
      </c>
      <c r="B69" t="s">
        <v>173</v>
      </c>
      <c r="C69">
        <v>55</v>
      </c>
      <c r="D69" t="s">
        <v>207</v>
      </c>
      <c r="E69">
        <v>1</v>
      </c>
    </row>
    <row r="70" spans="1:5" ht="15" hidden="1" customHeight="1" x14ac:dyDescent="0.3">
      <c r="A70" t="s">
        <v>203</v>
      </c>
      <c r="B70" t="s">
        <v>173</v>
      </c>
      <c r="C70">
        <v>56</v>
      </c>
      <c r="D70" t="s">
        <v>206</v>
      </c>
      <c r="E70">
        <v>3</v>
      </c>
    </row>
    <row r="71" spans="1:5" ht="15" hidden="1" customHeight="1" x14ac:dyDescent="0.3">
      <c r="A71" t="s">
        <v>203</v>
      </c>
      <c r="B71" t="s">
        <v>173</v>
      </c>
      <c r="C71">
        <v>57</v>
      </c>
      <c r="D71" t="s">
        <v>205</v>
      </c>
      <c r="E71">
        <v>1</v>
      </c>
    </row>
    <row r="72" spans="1:5" ht="15" hidden="1" customHeight="1" x14ac:dyDescent="0.3">
      <c r="A72" t="s">
        <v>203</v>
      </c>
      <c r="B72" t="s">
        <v>173</v>
      </c>
      <c r="C72">
        <v>59</v>
      </c>
      <c r="D72" t="s">
        <v>204</v>
      </c>
      <c r="E72">
        <v>2</v>
      </c>
    </row>
    <row r="73" spans="1:5" ht="15" hidden="1" customHeight="1" x14ac:dyDescent="0.3">
      <c r="A73" t="s">
        <v>203</v>
      </c>
      <c r="B73" t="s">
        <v>173</v>
      </c>
      <c r="C73">
        <v>65</v>
      </c>
      <c r="D73" t="s">
        <v>189</v>
      </c>
      <c r="E73">
        <v>2</v>
      </c>
    </row>
    <row r="74" spans="1:5" ht="15" hidden="1" customHeight="1" x14ac:dyDescent="0.3">
      <c r="A74" t="s">
        <v>203</v>
      </c>
      <c r="B74" t="s">
        <v>186</v>
      </c>
      <c r="C74">
        <v>28</v>
      </c>
      <c r="D74" t="s">
        <v>188</v>
      </c>
      <c r="E74">
        <v>4</v>
      </c>
    </row>
    <row r="75" spans="1:5" ht="15" hidden="1" customHeight="1" x14ac:dyDescent="0.3">
      <c r="A75" t="s">
        <v>203</v>
      </c>
      <c r="B75" t="s">
        <v>186</v>
      </c>
      <c r="C75">
        <v>61</v>
      </c>
      <c r="D75" t="s">
        <v>187</v>
      </c>
      <c r="E75">
        <v>17</v>
      </c>
    </row>
    <row r="76" spans="1:5" ht="15" hidden="1" customHeight="1" x14ac:dyDescent="0.3">
      <c r="A76" t="s">
        <v>203</v>
      </c>
      <c r="B76" t="s">
        <v>186</v>
      </c>
      <c r="C76">
        <v>62</v>
      </c>
      <c r="D76" t="s">
        <v>185</v>
      </c>
      <c r="E76">
        <v>17</v>
      </c>
    </row>
    <row r="77" spans="1:5" ht="15" hidden="1" customHeight="1" x14ac:dyDescent="0.3">
      <c r="A77" t="s">
        <v>203</v>
      </c>
      <c r="B77" t="s">
        <v>170</v>
      </c>
      <c r="C77">
        <v>29</v>
      </c>
      <c r="D77" t="s">
        <v>184</v>
      </c>
      <c r="E77">
        <v>9</v>
      </c>
    </row>
    <row r="78" spans="1:5" ht="15" hidden="1" customHeight="1" x14ac:dyDescent="0.3">
      <c r="A78" t="s">
        <v>203</v>
      </c>
      <c r="B78" t="s">
        <v>170</v>
      </c>
      <c r="C78">
        <v>31</v>
      </c>
      <c r="D78" t="s">
        <v>169</v>
      </c>
      <c r="E78">
        <v>22</v>
      </c>
    </row>
    <row r="79" spans="1:5" ht="15" hidden="1" customHeight="1" x14ac:dyDescent="0.3">
      <c r="A79" t="s">
        <v>203</v>
      </c>
      <c r="B79" t="s">
        <v>167</v>
      </c>
      <c r="C79">
        <v>14</v>
      </c>
      <c r="D79" t="s">
        <v>183</v>
      </c>
      <c r="E79">
        <v>1</v>
      </c>
    </row>
    <row r="80" spans="1:5" ht="15" hidden="1" customHeight="1" x14ac:dyDescent="0.3">
      <c r="A80" t="s">
        <v>203</v>
      </c>
      <c r="B80" t="s">
        <v>167</v>
      </c>
      <c r="C80">
        <v>25</v>
      </c>
      <c r="D80" t="s">
        <v>166</v>
      </c>
      <c r="E80">
        <v>9</v>
      </c>
    </row>
    <row r="81" spans="1:5" ht="15" hidden="1" customHeight="1" x14ac:dyDescent="0.3">
      <c r="A81" t="s">
        <v>203</v>
      </c>
      <c r="B81" t="s">
        <v>167</v>
      </c>
      <c r="C81">
        <v>46</v>
      </c>
      <c r="D81" t="s">
        <v>171</v>
      </c>
      <c r="E81">
        <v>12</v>
      </c>
    </row>
    <row r="82" spans="1:5" ht="15" hidden="1" customHeight="1" x14ac:dyDescent="0.3">
      <c r="A82" t="s">
        <v>203</v>
      </c>
      <c r="B82" t="s">
        <v>177</v>
      </c>
      <c r="C82">
        <v>66</v>
      </c>
      <c r="D82" t="s">
        <v>180</v>
      </c>
      <c r="E82">
        <v>26</v>
      </c>
    </row>
    <row r="83" spans="1:5" ht="15" hidden="1" customHeight="1" x14ac:dyDescent="0.3">
      <c r="A83" t="s">
        <v>203</v>
      </c>
      <c r="B83" t="s">
        <v>170</v>
      </c>
      <c r="C83">
        <v>31</v>
      </c>
      <c r="D83" t="s">
        <v>169</v>
      </c>
      <c r="E83">
        <v>16</v>
      </c>
    </row>
    <row r="84" spans="1:5" ht="15" hidden="1" customHeight="1" x14ac:dyDescent="0.3">
      <c r="A84" t="s">
        <v>203</v>
      </c>
      <c r="B84" t="s">
        <v>167</v>
      </c>
      <c r="C84">
        <v>25</v>
      </c>
      <c r="D84" t="s">
        <v>166</v>
      </c>
      <c r="E84">
        <v>1</v>
      </c>
    </row>
    <row r="85" spans="1:5" ht="15" hidden="1" customHeight="1" x14ac:dyDescent="0.3">
      <c r="A85" t="s">
        <v>203</v>
      </c>
      <c r="B85" t="s">
        <v>177</v>
      </c>
      <c r="C85">
        <v>23</v>
      </c>
      <c r="D85" t="s">
        <v>176</v>
      </c>
      <c r="E85">
        <v>14</v>
      </c>
    </row>
    <row r="86" spans="1:5" ht="15" hidden="1" customHeight="1" x14ac:dyDescent="0.3">
      <c r="A86" t="s">
        <v>203</v>
      </c>
      <c r="B86" t="s">
        <v>170</v>
      </c>
      <c r="C86">
        <v>31</v>
      </c>
      <c r="D86" t="s">
        <v>169</v>
      </c>
      <c r="E86">
        <v>6</v>
      </c>
    </row>
    <row r="87" spans="1:5" ht="15" hidden="1" customHeight="1" x14ac:dyDescent="0.3">
      <c r="A87" t="s">
        <v>203</v>
      </c>
      <c r="B87" t="s">
        <v>167</v>
      </c>
      <c r="C87">
        <v>25</v>
      </c>
      <c r="D87" t="s">
        <v>166</v>
      </c>
      <c r="E87">
        <v>2</v>
      </c>
    </row>
    <row r="88" spans="1:5" ht="15" hidden="1" customHeight="1" x14ac:dyDescent="0.3">
      <c r="A88" t="s">
        <v>203</v>
      </c>
      <c r="B88" t="s">
        <v>167</v>
      </c>
      <c r="C88">
        <v>63</v>
      </c>
      <c r="D88" t="s">
        <v>182</v>
      </c>
      <c r="E88">
        <v>2</v>
      </c>
    </row>
    <row r="89" spans="1:5" ht="15" hidden="1" customHeight="1" x14ac:dyDescent="0.3">
      <c r="A89" t="s">
        <v>203</v>
      </c>
      <c r="B89" t="s">
        <v>177</v>
      </c>
      <c r="C89">
        <v>23</v>
      </c>
      <c r="D89" t="s">
        <v>176</v>
      </c>
      <c r="E89">
        <v>21</v>
      </c>
    </row>
    <row r="90" spans="1:5" ht="15" hidden="1" customHeight="1" x14ac:dyDescent="0.3">
      <c r="A90" t="s">
        <v>168</v>
      </c>
      <c r="B90" t="s">
        <v>201</v>
      </c>
      <c r="C90">
        <v>15</v>
      </c>
      <c r="D90" t="s">
        <v>202</v>
      </c>
      <c r="E90">
        <v>1</v>
      </c>
    </row>
    <row r="91" spans="1:5" ht="15" hidden="1" customHeight="1" x14ac:dyDescent="0.3">
      <c r="A91" t="s">
        <v>168</v>
      </c>
      <c r="B91" t="s">
        <v>201</v>
      </c>
      <c r="C91">
        <v>16</v>
      </c>
      <c r="D91" t="s">
        <v>200</v>
      </c>
      <c r="E91">
        <v>1</v>
      </c>
    </row>
    <row r="92" spans="1:5" ht="15" hidden="1" customHeight="1" x14ac:dyDescent="0.3">
      <c r="A92" t="s">
        <v>168</v>
      </c>
      <c r="B92" t="s">
        <v>201</v>
      </c>
      <c r="C92">
        <v>16</v>
      </c>
      <c r="D92" t="s">
        <v>200</v>
      </c>
      <c r="E92">
        <v>1</v>
      </c>
    </row>
    <row r="93" spans="1:5" ht="15" hidden="1" customHeight="1" x14ac:dyDescent="0.3">
      <c r="A93" t="s">
        <v>168</v>
      </c>
      <c r="B93" t="s">
        <v>173</v>
      </c>
      <c r="C93">
        <v>1</v>
      </c>
      <c r="D93" t="s">
        <v>199</v>
      </c>
      <c r="E93">
        <v>102</v>
      </c>
    </row>
    <row r="94" spans="1:5" ht="15" hidden="1" customHeight="1" x14ac:dyDescent="0.3">
      <c r="A94" t="s">
        <v>168</v>
      </c>
      <c r="B94" t="s">
        <v>173</v>
      </c>
      <c r="C94">
        <v>2</v>
      </c>
      <c r="D94" t="s">
        <v>175</v>
      </c>
      <c r="E94">
        <v>300</v>
      </c>
    </row>
    <row r="95" spans="1:5" ht="15" hidden="1" customHeight="1" x14ac:dyDescent="0.3">
      <c r="A95" t="s">
        <v>168</v>
      </c>
      <c r="B95" t="s">
        <v>173</v>
      </c>
      <c r="C95">
        <v>30</v>
      </c>
      <c r="D95" t="s">
        <v>198</v>
      </c>
      <c r="E95">
        <v>2</v>
      </c>
    </row>
    <row r="96" spans="1:5" ht="15" hidden="1" customHeight="1" x14ac:dyDescent="0.3">
      <c r="A96" t="s">
        <v>168</v>
      </c>
      <c r="B96" t="s">
        <v>173</v>
      </c>
      <c r="C96">
        <v>32</v>
      </c>
      <c r="D96" t="s">
        <v>197</v>
      </c>
      <c r="E96">
        <v>5</v>
      </c>
    </row>
    <row r="97" spans="1:5" ht="15" hidden="1" customHeight="1" x14ac:dyDescent="0.3">
      <c r="A97" t="s">
        <v>168</v>
      </c>
      <c r="B97" t="s">
        <v>173</v>
      </c>
      <c r="C97">
        <v>33</v>
      </c>
      <c r="D97" t="s">
        <v>196</v>
      </c>
      <c r="E97">
        <v>2</v>
      </c>
    </row>
    <row r="98" spans="1:5" ht="15" hidden="1" customHeight="1" x14ac:dyDescent="0.3">
      <c r="A98" t="s">
        <v>168</v>
      </c>
      <c r="B98" t="s">
        <v>173</v>
      </c>
      <c r="C98">
        <v>47</v>
      </c>
      <c r="D98" t="s">
        <v>195</v>
      </c>
      <c r="E98">
        <v>9</v>
      </c>
    </row>
    <row r="99" spans="1:5" ht="15" hidden="1" customHeight="1" x14ac:dyDescent="0.3">
      <c r="A99" t="s">
        <v>168</v>
      </c>
      <c r="B99" t="s">
        <v>173</v>
      </c>
      <c r="C99">
        <v>48</v>
      </c>
      <c r="D99" t="s">
        <v>194</v>
      </c>
      <c r="E99">
        <v>1</v>
      </c>
    </row>
    <row r="100" spans="1:5" ht="15" hidden="1" customHeight="1" x14ac:dyDescent="0.3">
      <c r="A100" t="s">
        <v>168</v>
      </c>
      <c r="B100" t="s">
        <v>173</v>
      </c>
      <c r="C100">
        <v>49</v>
      </c>
      <c r="D100" t="s">
        <v>174</v>
      </c>
      <c r="E100">
        <v>47</v>
      </c>
    </row>
    <row r="101" spans="1:5" ht="15" hidden="1" customHeight="1" x14ac:dyDescent="0.3">
      <c r="A101" t="s">
        <v>168</v>
      </c>
      <c r="B101" t="s">
        <v>173</v>
      </c>
      <c r="C101">
        <v>50</v>
      </c>
      <c r="D101" t="s">
        <v>193</v>
      </c>
      <c r="E101">
        <v>30</v>
      </c>
    </row>
    <row r="102" spans="1:5" ht="15" hidden="1" customHeight="1" x14ac:dyDescent="0.3">
      <c r="A102" t="s">
        <v>168</v>
      </c>
      <c r="B102" t="s">
        <v>173</v>
      </c>
      <c r="C102">
        <v>51</v>
      </c>
      <c r="D102" t="s">
        <v>192</v>
      </c>
      <c r="E102">
        <v>39</v>
      </c>
    </row>
    <row r="103" spans="1:5" ht="15" hidden="1" customHeight="1" x14ac:dyDescent="0.3">
      <c r="A103" t="s">
        <v>168</v>
      </c>
      <c r="B103" t="s">
        <v>173</v>
      </c>
      <c r="C103">
        <v>52</v>
      </c>
      <c r="D103" t="s">
        <v>172</v>
      </c>
      <c r="E103">
        <v>78</v>
      </c>
    </row>
    <row r="104" spans="1:5" ht="15" hidden="1" customHeight="1" x14ac:dyDescent="0.3">
      <c r="A104" t="s">
        <v>168</v>
      </c>
      <c r="B104" t="s">
        <v>173</v>
      </c>
      <c r="C104">
        <v>53</v>
      </c>
      <c r="D104" t="s">
        <v>191</v>
      </c>
      <c r="E104">
        <v>2</v>
      </c>
    </row>
    <row r="105" spans="1:5" ht="15" hidden="1" customHeight="1" x14ac:dyDescent="0.3">
      <c r="A105" t="s">
        <v>168</v>
      </c>
      <c r="B105" t="s">
        <v>173</v>
      </c>
      <c r="C105">
        <v>58</v>
      </c>
      <c r="D105" t="s">
        <v>190</v>
      </c>
      <c r="E105">
        <v>5</v>
      </c>
    </row>
    <row r="106" spans="1:5" ht="15" hidden="1" customHeight="1" x14ac:dyDescent="0.3">
      <c r="A106" t="s">
        <v>168</v>
      </c>
      <c r="B106" t="s">
        <v>173</v>
      </c>
      <c r="C106">
        <v>65</v>
      </c>
      <c r="D106" t="s">
        <v>189</v>
      </c>
      <c r="E106">
        <v>2</v>
      </c>
    </row>
    <row r="107" spans="1:5" ht="15" hidden="1" customHeight="1" x14ac:dyDescent="0.3">
      <c r="A107" t="s">
        <v>168</v>
      </c>
      <c r="B107" t="s">
        <v>186</v>
      </c>
      <c r="C107">
        <v>28</v>
      </c>
      <c r="D107" t="s">
        <v>188</v>
      </c>
      <c r="E107">
        <v>31</v>
      </c>
    </row>
    <row r="108" spans="1:5" ht="15" hidden="1" customHeight="1" x14ac:dyDescent="0.3">
      <c r="A108" t="s">
        <v>168</v>
      </c>
      <c r="B108" t="s">
        <v>186</v>
      </c>
      <c r="C108">
        <v>61</v>
      </c>
      <c r="D108" t="s">
        <v>187</v>
      </c>
      <c r="E108">
        <v>20</v>
      </c>
    </row>
    <row r="109" spans="1:5" ht="15" hidden="1" customHeight="1" x14ac:dyDescent="0.3">
      <c r="A109" t="s">
        <v>168</v>
      </c>
      <c r="B109" t="s">
        <v>186</v>
      </c>
      <c r="C109">
        <v>62</v>
      </c>
      <c r="D109" t="s">
        <v>185</v>
      </c>
      <c r="E109">
        <v>20</v>
      </c>
    </row>
    <row r="110" spans="1:5" ht="15" hidden="1" customHeight="1" x14ac:dyDescent="0.3">
      <c r="A110" t="s">
        <v>168</v>
      </c>
      <c r="B110" t="s">
        <v>170</v>
      </c>
      <c r="C110">
        <v>29</v>
      </c>
      <c r="D110" t="s">
        <v>184</v>
      </c>
      <c r="E110">
        <v>8</v>
      </c>
    </row>
    <row r="111" spans="1:5" ht="15" hidden="1" customHeight="1" x14ac:dyDescent="0.3">
      <c r="A111" t="s">
        <v>168</v>
      </c>
      <c r="B111" t="s">
        <v>170</v>
      </c>
      <c r="C111">
        <v>31</v>
      </c>
      <c r="D111" t="s">
        <v>169</v>
      </c>
      <c r="E111">
        <v>247</v>
      </c>
    </row>
    <row r="112" spans="1:5" ht="15" hidden="1" customHeight="1" x14ac:dyDescent="0.3">
      <c r="A112" t="s">
        <v>168</v>
      </c>
      <c r="B112" t="s">
        <v>167</v>
      </c>
      <c r="C112">
        <v>14</v>
      </c>
      <c r="D112" t="s">
        <v>183</v>
      </c>
      <c r="E112">
        <v>1</v>
      </c>
    </row>
    <row r="113" spans="1:5" ht="15" hidden="1" customHeight="1" x14ac:dyDescent="0.3">
      <c r="A113" t="s">
        <v>168</v>
      </c>
      <c r="B113" t="s">
        <v>167</v>
      </c>
      <c r="C113">
        <v>25</v>
      </c>
      <c r="D113" t="s">
        <v>166</v>
      </c>
      <c r="E113">
        <v>45</v>
      </c>
    </row>
    <row r="114" spans="1:5" ht="15" hidden="1" customHeight="1" x14ac:dyDescent="0.3">
      <c r="A114" t="s">
        <v>168</v>
      </c>
      <c r="B114" t="s">
        <v>167</v>
      </c>
      <c r="C114">
        <v>46</v>
      </c>
      <c r="D114" t="s">
        <v>171</v>
      </c>
      <c r="E114">
        <v>12</v>
      </c>
    </row>
    <row r="115" spans="1:5" ht="15" hidden="1" customHeight="1" x14ac:dyDescent="0.3">
      <c r="A115" t="s">
        <v>168</v>
      </c>
      <c r="B115" t="s">
        <v>167</v>
      </c>
      <c r="C115">
        <v>63</v>
      </c>
      <c r="D115" t="s">
        <v>182</v>
      </c>
      <c r="E115">
        <v>5</v>
      </c>
    </row>
    <row r="116" spans="1:5" ht="15" hidden="1" customHeight="1" x14ac:dyDescent="0.3">
      <c r="A116" t="s">
        <v>168</v>
      </c>
      <c r="B116" t="s">
        <v>177</v>
      </c>
      <c r="C116">
        <v>23</v>
      </c>
      <c r="D116" t="s">
        <v>176</v>
      </c>
      <c r="E116">
        <v>31</v>
      </c>
    </row>
    <row r="117" spans="1:5" ht="15" hidden="1" customHeight="1" x14ac:dyDescent="0.3">
      <c r="A117" t="s">
        <v>168</v>
      </c>
      <c r="B117" t="s">
        <v>177</v>
      </c>
      <c r="C117">
        <v>24</v>
      </c>
      <c r="D117" t="s">
        <v>181</v>
      </c>
      <c r="E117">
        <v>1</v>
      </c>
    </row>
    <row r="118" spans="1:5" ht="15" hidden="1" customHeight="1" x14ac:dyDescent="0.3">
      <c r="A118" t="s">
        <v>168</v>
      </c>
      <c r="B118" t="s">
        <v>177</v>
      </c>
      <c r="C118">
        <v>66</v>
      </c>
      <c r="D118" t="s">
        <v>180</v>
      </c>
      <c r="E118">
        <v>15</v>
      </c>
    </row>
    <row r="119" spans="1:5" ht="15" hidden="1" customHeight="1" x14ac:dyDescent="0.3">
      <c r="A119" t="s">
        <v>168</v>
      </c>
      <c r="B119" t="s">
        <v>179</v>
      </c>
      <c r="C119">
        <v>64</v>
      </c>
      <c r="D119" t="s">
        <v>178</v>
      </c>
      <c r="E119">
        <v>1</v>
      </c>
    </row>
    <row r="120" spans="1:5" ht="15" hidden="1" customHeight="1" x14ac:dyDescent="0.3">
      <c r="A120" t="s">
        <v>168</v>
      </c>
      <c r="B120" t="s">
        <v>179</v>
      </c>
      <c r="C120">
        <v>64</v>
      </c>
      <c r="D120" t="s">
        <v>178</v>
      </c>
      <c r="E120">
        <v>1</v>
      </c>
    </row>
    <row r="121" spans="1:5" ht="15" hidden="1" customHeight="1" x14ac:dyDescent="0.3">
      <c r="A121" t="s">
        <v>168</v>
      </c>
      <c r="B121" t="s">
        <v>179</v>
      </c>
      <c r="C121">
        <v>64</v>
      </c>
      <c r="D121" t="s">
        <v>178</v>
      </c>
      <c r="E121">
        <v>1</v>
      </c>
    </row>
    <row r="122" spans="1:5" ht="15" hidden="1" customHeight="1" x14ac:dyDescent="0.3">
      <c r="A122" t="s">
        <v>168</v>
      </c>
      <c r="B122" t="s">
        <v>179</v>
      </c>
      <c r="C122">
        <v>64</v>
      </c>
      <c r="D122" t="s">
        <v>178</v>
      </c>
      <c r="E122">
        <v>1</v>
      </c>
    </row>
    <row r="123" spans="1:5" ht="15" hidden="1" customHeight="1" x14ac:dyDescent="0.3">
      <c r="A123" t="s">
        <v>168</v>
      </c>
      <c r="B123" t="s">
        <v>170</v>
      </c>
      <c r="C123">
        <v>31</v>
      </c>
      <c r="D123" t="s">
        <v>169</v>
      </c>
      <c r="E123">
        <v>19</v>
      </c>
    </row>
    <row r="124" spans="1:5" ht="15" hidden="1" customHeight="1" x14ac:dyDescent="0.3">
      <c r="A124" t="s">
        <v>168</v>
      </c>
      <c r="B124" t="s">
        <v>167</v>
      </c>
      <c r="C124">
        <v>25</v>
      </c>
      <c r="D124" t="s">
        <v>166</v>
      </c>
      <c r="E124">
        <v>6</v>
      </c>
    </row>
    <row r="125" spans="1:5" ht="15" hidden="1" customHeight="1" x14ac:dyDescent="0.3">
      <c r="A125" t="s">
        <v>168</v>
      </c>
      <c r="B125" t="s">
        <v>177</v>
      </c>
      <c r="C125">
        <v>23</v>
      </c>
      <c r="D125" t="s">
        <v>176</v>
      </c>
      <c r="E125">
        <v>11</v>
      </c>
    </row>
    <row r="126" spans="1:5" ht="15" hidden="1" customHeight="1" x14ac:dyDescent="0.3">
      <c r="A126" t="s">
        <v>168</v>
      </c>
      <c r="B126" t="s">
        <v>173</v>
      </c>
      <c r="C126">
        <v>2</v>
      </c>
      <c r="D126" t="s">
        <v>175</v>
      </c>
      <c r="E126">
        <v>69</v>
      </c>
    </row>
    <row r="127" spans="1:5" ht="15" hidden="1" customHeight="1" x14ac:dyDescent="0.3">
      <c r="A127" t="s">
        <v>168</v>
      </c>
      <c r="B127" t="s">
        <v>173</v>
      </c>
      <c r="C127">
        <v>49</v>
      </c>
      <c r="D127" t="s">
        <v>174</v>
      </c>
      <c r="E127">
        <v>2</v>
      </c>
    </row>
    <row r="128" spans="1:5" ht="15" hidden="1" customHeight="1" x14ac:dyDescent="0.3">
      <c r="A128" t="s">
        <v>168</v>
      </c>
      <c r="B128" t="s">
        <v>173</v>
      </c>
      <c r="C128">
        <v>52</v>
      </c>
      <c r="D128" t="s">
        <v>172</v>
      </c>
      <c r="E128">
        <v>22</v>
      </c>
    </row>
    <row r="129" spans="1:5" ht="15" hidden="1" customHeight="1" x14ac:dyDescent="0.3">
      <c r="A129" t="s">
        <v>168</v>
      </c>
      <c r="B129" t="s">
        <v>170</v>
      </c>
      <c r="C129">
        <v>31</v>
      </c>
      <c r="D129" t="s">
        <v>169</v>
      </c>
      <c r="E129">
        <v>15</v>
      </c>
    </row>
    <row r="130" spans="1:5" ht="15" hidden="1" customHeight="1" x14ac:dyDescent="0.3">
      <c r="A130" t="s">
        <v>168</v>
      </c>
      <c r="B130" t="s">
        <v>167</v>
      </c>
      <c r="C130">
        <v>25</v>
      </c>
      <c r="D130" t="s">
        <v>166</v>
      </c>
      <c r="E130">
        <v>4</v>
      </c>
    </row>
    <row r="131" spans="1:5" ht="15" hidden="1" customHeight="1" x14ac:dyDescent="0.3">
      <c r="A131" t="s">
        <v>168</v>
      </c>
      <c r="B131" t="s">
        <v>167</v>
      </c>
      <c r="C131">
        <v>46</v>
      </c>
      <c r="D131" t="s">
        <v>171</v>
      </c>
      <c r="E131">
        <v>9</v>
      </c>
    </row>
    <row r="132" spans="1:5" ht="15" hidden="1" customHeight="1" x14ac:dyDescent="0.3">
      <c r="A132" t="s">
        <v>168</v>
      </c>
      <c r="B132" t="s">
        <v>170</v>
      </c>
      <c r="C132">
        <v>31</v>
      </c>
      <c r="D132" t="s">
        <v>169</v>
      </c>
      <c r="E132">
        <v>40</v>
      </c>
    </row>
    <row r="133" spans="1:5" ht="15" hidden="1" customHeight="1" x14ac:dyDescent="0.3">
      <c r="A133" t="s">
        <v>168</v>
      </c>
      <c r="B133" t="s">
        <v>167</v>
      </c>
      <c r="C133">
        <v>25</v>
      </c>
      <c r="D133" t="s">
        <v>166</v>
      </c>
      <c r="E133">
        <v>4</v>
      </c>
    </row>
  </sheetData>
  <autoFilter ref="A1:E133" xr:uid="{B9926B1C-646D-4284-8A40-31B0B09EC649}">
    <filterColumn colId="0">
      <filters>
        <filter val="ANGIOGRAFIA DE OCCIDENTE S.A."/>
      </filters>
    </filterColumn>
    <filterColumn colId="1">
      <filters>
        <filter val="SALAS"/>
      </filters>
    </filterColumn>
  </autoFilter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85C-5AFA-463C-B3B6-859FC5882F6C}">
  <dimension ref="A1:H43"/>
  <sheetViews>
    <sheetView tabSelected="1" topLeftCell="E1" workbookViewId="0">
      <selection activeCell="I1" sqref="I1:I1048576"/>
    </sheetView>
  </sheetViews>
  <sheetFormatPr baseColWidth="10" defaultRowHeight="14.4" x14ac:dyDescent="0.3"/>
  <cols>
    <col min="1" max="1" width="12.5546875" customWidth="1"/>
    <col min="3" max="3" width="21.44140625" customWidth="1"/>
    <col min="4" max="4" width="22.109375" customWidth="1"/>
    <col min="5" max="5" width="13.109375" customWidth="1"/>
    <col min="6" max="7" width="25.6640625" customWidth="1"/>
    <col min="8" max="8" width="18.21875" customWidth="1"/>
  </cols>
  <sheetData>
    <row r="1" spans="1:8" x14ac:dyDescent="0.3">
      <c r="A1" t="s">
        <v>1573</v>
      </c>
      <c r="B1" s="120" t="s">
        <v>380</v>
      </c>
      <c r="C1" s="122" t="s">
        <v>1721</v>
      </c>
      <c r="D1" s="120" t="s">
        <v>381</v>
      </c>
      <c r="E1" s="120" t="s">
        <v>525</v>
      </c>
      <c r="F1" s="120" t="s">
        <v>526</v>
      </c>
      <c r="G1" s="120" t="s">
        <v>1720</v>
      </c>
      <c r="H1" s="120" t="s">
        <v>527</v>
      </c>
    </row>
    <row r="2" spans="1:8" x14ac:dyDescent="0.3">
      <c r="A2">
        <v>1</v>
      </c>
      <c r="B2" s="63" t="s">
        <v>392</v>
      </c>
      <c r="C2" s="64">
        <v>181346.5</v>
      </c>
      <c r="D2" s="64">
        <v>41864</v>
      </c>
      <c r="E2" s="65">
        <v>0.69617853460604651</v>
      </c>
      <c r="F2" s="64">
        <v>65433.657979201547</v>
      </c>
      <c r="G2" s="121">
        <v>1.4601999999999999</v>
      </c>
      <c r="H2" s="65">
        <v>95546.227381230099</v>
      </c>
    </row>
    <row r="3" spans="1:8" x14ac:dyDescent="0.3">
      <c r="A3">
        <v>1</v>
      </c>
      <c r="B3" s="63" t="s">
        <v>393</v>
      </c>
      <c r="C3" s="64">
        <v>56657.26</v>
      </c>
      <c r="D3" s="64">
        <v>10233</v>
      </c>
      <c r="E3" s="65">
        <v>0.17016995376991387</v>
      </c>
      <c r="F3" s="64">
        <v>15994.234237081251</v>
      </c>
      <c r="G3" s="121">
        <v>2.3599000000000001</v>
      </c>
      <c r="H3" s="65">
        <v>37744.793376088048</v>
      </c>
    </row>
    <row r="4" spans="1:8" x14ac:dyDescent="0.3">
      <c r="A4">
        <v>1</v>
      </c>
      <c r="B4" s="63" t="s">
        <v>394</v>
      </c>
      <c r="C4" s="64">
        <v>100991.61</v>
      </c>
      <c r="D4" s="64">
        <v>1387</v>
      </c>
      <c r="E4" s="65">
        <v>2.3065154488309442E-2</v>
      </c>
      <c r="F4" s="64">
        <v>2167.8884869375252</v>
      </c>
      <c r="G4" s="121">
        <v>1.4607000000000001</v>
      </c>
      <c r="H4" s="65">
        <v>3166.6347128696434</v>
      </c>
    </row>
    <row r="5" spans="1:8" x14ac:dyDescent="0.3">
      <c r="A5">
        <v>1</v>
      </c>
      <c r="B5" s="63" t="s">
        <v>382</v>
      </c>
      <c r="C5" s="64">
        <v>6587568.6799999997</v>
      </c>
      <c r="D5" s="64">
        <v>1680</v>
      </c>
      <c r="E5" s="65">
        <v>2.7937606013237103E-2</v>
      </c>
      <c r="F5" s="64">
        <v>2625.8490685328347</v>
      </c>
      <c r="G5" s="121">
        <v>1.0899000000000001</v>
      </c>
      <c r="H5" s="65">
        <v>2861.912899793937</v>
      </c>
    </row>
    <row r="6" spans="1:8" x14ac:dyDescent="0.3">
      <c r="A6">
        <v>1</v>
      </c>
      <c r="B6" s="63" t="s">
        <v>385</v>
      </c>
      <c r="C6" s="64">
        <v>21956046.530000001</v>
      </c>
      <c r="D6" s="64">
        <v>539</v>
      </c>
      <c r="E6" s="65">
        <v>8.9633152625802383E-3</v>
      </c>
      <c r="F6" s="64">
        <v>842.45990948761789</v>
      </c>
      <c r="G6" s="121">
        <v>1.0871999999999999</v>
      </c>
      <c r="H6" s="65">
        <v>915.92241359493812</v>
      </c>
    </row>
    <row r="7" spans="1:8" x14ac:dyDescent="0.3">
      <c r="A7">
        <v>1</v>
      </c>
      <c r="B7" s="63" t="s">
        <v>391</v>
      </c>
      <c r="C7" s="64">
        <v>20836529.93</v>
      </c>
      <c r="D7" s="64">
        <v>164</v>
      </c>
      <c r="E7" s="65">
        <v>2.7272424917683838E-3</v>
      </c>
      <c r="F7" s="64">
        <v>256.33288526153865</v>
      </c>
      <c r="G7" s="121">
        <v>1.0914999999999999</v>
      </c>
      <c r="H7" s="65">
        <v>279.78734426296944</v>
      </c>
    </row>
    <row r="8" spans="1:8" x14ac:dyDescent="0.3">
      <c r="A8">
        <v>1</v>
      </c>
      <c r="B8" s="63" t="s">
        <v>528</v>
      </c>
      <c r="C8" s="64">
        <v>32246.06</v>
      </c>
      <c r="D8" s="64">
        <v>185</v>
      </c>
      <c r="E8" s="65">
        <v>3.0764625669338478E-3</v>
      </c>
      <c r="F8" s="64">
        <v>289.15599861819908</v>
      </c>
      <c r="G8" s="121">
        <v>15.1351</v>
      </c>
      <c r="H8" s="66">
        <v>4376.4049546863043</v>
      </c>
    </row>
    <row r="9" spans="1:8" x14ac:dyDescent="0.3">
      <c r="A9">
        <v>1</v>
      </c>
      <c r="B9" s="63" t="s">
        <v>529</v>
      </c>
      <c r="C9" s="64">
        <v>171638.88</v>
      </c>
      <c r="D9" s="64">
        <v>639</v>
      </c>
      <c r="E9" s="65">
        <v>1.0626268001463398E-2</v>
      </c>
      <c r="F9" s="64">
        <v>998.76044928123895</v>
      </c>
      <c r="G9" s="121">
        <v>1.1706000000000001</v>
      </c>
      <c r="H9" s="65">
        <v>1169.1489819286185</v>
      </c>
    </row>
    <row r="10" spans="1:8" x14ac:dyDescent="0.3">
      <c r="A10">
        <v>1</v>
      </c>
      <c r="B10" s="63" t="s">
        <v>530</v>
      </c>
      <c r="C10" s="64">
        <v>60365.95</v>
      </c>
      <c r="D10" s="64">
        <v>246</v>
      </c>
      <c r="E10" s="65">
        <v>4.0908637376525763E-3</v>
      </c>
      <c r="F10" s="64">
        <v>384.49932789230803</v>
      </c>
      <c r="G10" s="121">
        <v>16.8049</v>
      </c>
      <c r="H10" s="65">
        <v>6461.4727552974473</v>
      </c>
    </row>
    <row r="11" spans="1:8" x14ac:dyDescent="0.3">
      <c r="A11">
        <v>1</v>
      </c>
      <c r="B11" s="63" t="s">
        <v>531</v>
      </c>
      <c r="C11" s="64">
        <v>17702.939999999999</v>
      </c>
      <c r="D11" s="64">
        <v>1203</v>
      </c>
      <c r="E11" s="65">
        <v>2.0005321448764424E-2</v>
      </c>
      <c r="F11" s="64">
        <v>1880.2954937172619</v>
      </c>
      <c r="G11" s="121">
        <v>41.391500000000001</v>
      </c>
      <c r="H11" s="65">
        <v>77828.250928198046</v>
      </c>
    </row>
    <row r="12" spans="1:8" x14ac:dyDescent="0.3">
      <c r="A12">
        <v>1</v>
      </c>
      <c r="B12" s="63" t="s">
        <v>532</v>
      </c>
      <c r="C12" s="64">
        <v>38083518.271500006</v>
      </c>
      <c r="D12" s="64">
        <v>150</v>
      </c>
      <c r="E12" s="65">
        <v>2.4944291083247414E-3</v>
      </c>
      <c r="F12" s="64">
        <v>234.4508096904317</v>
      </c>
      <c r="G12" s="121">
        <v>1.02</v>
      </c>
      <c r="H12" s="65">
        <v>239.13982588424034</v>
      </c>
    </row>
    <row r="13" spans="1:8" x14ac:dyDescent="0.3">
      <c r="A13">
        <v>1</v>
      </c>
      <c r="B13" s="63" t="s">
        <v>533</v>
      </c>
      <c r="C13" s="64">
        <v>1161355.638</v>
      </c>
      <c r="D13" s="64">
        <v>909</v>
      </c>
      <c r="E13" s="65">
        <v>1.5116240396447933E-2</v>
      </c>
      <c r="F13" s="64">
        <v>1420.7719067240159</v>
      </c>
      <c r="G13" s="121">
        <v>7.6260000000000003</v>
      </c>
      <c r="H13" s="65">
        <v>10834.806560677345</v>
      </c>
    </row>
    <row r="14" spans="1:8" x14ac:dyDescent="0.3">
      <c r="A14">
        <v>1</v>
      </c>
      <c r="B14" s="63" t="s">
        <v>534</v>
      </c>
      <c r="C14" s="64">
        <v>22050034.718599997</v>
      </c>
      <c r="D14" s="64">
        <v>87</v>
      </c>
      <c r="E14" s="65">
        <v>1.4467688828283501E-3</v>
      </c>
      <c r="F14" s="64">
        <v>135.98146962045038</v>
      </c>
      <c r="G14" s="121">
        <v>1.4022999999999999</v>
      </c>
      <c r="H14" s="65">
        <v>190.68681484875756</v>
      </c>
    </row>
    <row r="15" spans="1:8" x14ac:dyDescent="0.3">
      <c r="A15">
        <v>1</v>
      </c>
      <c r="B15" s="63" t="s">
        <v>535</v>
      </c>
      <c r="C15" s="64">
        <v>61342.3</v>
      </c>
      <c r="D15" s="64">
        <v>848</v>
      </c>
      <c r="E15" s="65">
        <v>1.4101839225729204E-2</v>
      </c>
      <c r="F15" s="64">
        <v>1325.4285774499072</v>
      </c>
      <c r="G15" s="121">
        <v>2.8573</v>
      </c>
      <c r="H15" s="65">
        <v>3787.1470743476198</v>
      </c>
    </row>
    <row r="16" spans="1:8" x14ac:dyDescent="0.3">
      <c r="A16">
        <v>2</v>
      </c>
      <c r="B16" s="63" t="s">
        <v>392</v>
      </c>
      <c r="C16" s="64">
        <v>175596.1</v>
      </c>
      <c r="D16" s="67">
        <v>1882</v>
      </c>
      <c r="E16" s="65">
        <v>0.18000956480153038</v>
      </c>
      <c r="F16" s="64">
        <v>16919.056981372712</v>
      </c>
      <c r="G16" s="121">
        <v>1.5037</v>
      </c>
      <c r="H16" s="65">
        <v>25441.185982890147</v>
      </c>
    </row>
    <row r="17" spans="1:8" x14ac:dyDescent="0.3">
      <c r="A17">
        <v>2</v>
      </c>
      <c r="B17" s="63" t="s">
        <v>393</v>
      </c>
      <c r="C17" s="64">
        <v>63623.83</v>
      </c>
      <c r="D17" s="67">
        <v>1639</v>
      </c>
      <c r="E17" s="65">
        <v>0.15676709708273553</v>
      </c>
      <c r="F17" s="64">
        <v>14734.502865286864</v>
      </c>
      <c r="G17" s="121">
        <v>2.1916000000000002</v>
      </c>
      <c r="H17" s="65">
        <v>32292.136479562694</v>
      </c>
    </row>
    <row r="18" spans="1:8" x14ac:dyDescent="0.3">
      <c r="A18">
        <v>2</v>
      </c>
      <c r="B18" s="63" t="s">
        <v>394</v>
      </c>
      <c r="C18" s="64">
        <v>135917.75</v>
      </c>
      <c r="D18" s="67">
        <v>523</v>
      </c>
      <c r="E18" s="65">
        <v>5.0023912003825922E-2</v>
      </c>
      <c r="F18" s="64">
        <v>4701.7358136333314</v>
      </c>
      <c r="G18" s="121">
        <v>1.1874</v>
      </c>
      <c r="H18" s="65">
        <v>5582.8411051082176</v>
      </c>
    </row>
    <row r="19" spans="1:8" x14ac:dyDescent="0.3">
      <c r="A19">
        <v>2</v>
      </c>
      <c r="B19" s="63" t="s">
        <v>382</v>
      </c>
      <c r="C19" s="64">
        <v>4658989.91</v>
      </c>
      <c r="D19" s="67">
        <v>1241</v>
      </c>
      <c r="E19" s="65">
        <v>0.11869918699186992</v>
      </c>
      <c r="F19" s="64">
        <v>11156.508880915801</v>
      </c>
      <c r="G19" s="121">
        <v>0.98150000000000004</v>
      </c>
      <c r="H19" s="65">
        <v>10950.113466618859</v>
      </c>
    </row>
    <row r="20" spans="1:8" x14ac:dyDescent="0.3">
      <c r="A20">
        <v>2</v>
      </c>
      <c r="B20" s="63" t="s">
        <v>385</v>
      </c>
      <c r="C20" s="64">
        <v>36882053.770000003</v>
      </c>
      <c r="D20" s="64">
        <v>296</v>
      </c>
      <c r="E20" s="65">
        <v>2.8311812529890006E-2</v>
      </c>
      <c r="F20" s="64">
        <v>2661.0206516930516</v>
      </c>
      <c r="G20" s="121">
        <v>1.0946</v>
      </c>
      <c r="H20" s="65">
        <v>2912.7532053432142</v>
      </c>
    </row>
    <row r="21" spans="1:8" x14ac:dyDescent="0.3">
      <c r="A21">
        <v>2</v>
      </c>
      <c r="B21" s="63" t="s">
        <v>391</v>
      </c>
      <c r="C21" s="64">
        <v>28734049</v>
      </c>
      <c r="D21" s="64">
        <v>187</v>
      </c>
      <c r="E21" s="65">
        <v>1.7886178861788619E-2</v>
      </c>
      <c r="F21" s="64">
        <v>1681.1177765763537</v>
      </c>
      <c r="G21" s="121">
        <v>1.1444000000000001</v>
      </c>
      <c r="H21" s="65">
        <v>1923.8711835139793</v>
      </c>
    </row>
    <row r="22" spans="1:8" x14ac:dyDescent="0.3">
      <c r="A22">
        <v>2</v>
      </c>
      <c r="B22" s="63" t="s">
        <v>528</v>
      </c>
      <c r="C22" s="64">
        <v>42479.49</v>
      </c>
      <c r="D22" s="64">
        <v>928</v>
      </c>
      <c r="E22" s="65">
        <v>8.8761358201817311E-2</v>
      </c>
      <c r="F22" s="64">
        <v>8342.6593404430805</v>
      </c>
      <c r="G22" s="121">
        <v>12.8567</v>
      </c>
      <c r="H22" s="65">
        <v>107259.06834227455</v>
      </c>
    </row>
    <row r="23" spans="1:8" x14ac:dyDescent="0.3">
      <c r="A23">
        <v>2</v>
      </c>
      <c r="B23" s="63" t="s">
        <v>529</v>
      </c>
      <c r="C23" s="64">
        <v>158348.60999999999</v>
      </c>
      <c r="D23" s="64">
        <v>316</v>
      </c>
      <c r="E23" s="65">
        <v>3.0224772835963653E-2</v>
      </c>
      <c r="F23" s="64">
        <v>2840.8193443750142</v>
      </c>
      <c r="G23" s="121">
        <v>1.7372999999999998</v>
      </c>
      <c r="H23" s="65">
        <v>4935.3554469827113</v>
      </c>
    </row>
    <row r="24" spans="1:8" x14ac:dyDescent="0.3">
      <c r="A24">
        <v>2</v>
      </c>
      <c r="B24" s="63" t="s">
        <v>530</v>
      </c>
      <c r="C24" s="64">
        <v>60365.95</v>
      </c>
      <c r="D24" s="64">
        <v>246</v>
      </c>
      <c r="E24" s="65">
        <v>2.3529411764705882E-2</v>
      </c>
      <c r="F24" s="64">
        <v>2211.5239199881444</v>
      </c>
      <c r="G24" s="121">
        <v>16.8049</v>
      </c>
      <c r="H24" s="65">
        <v>37164.43832300877</v>
      </c>
    </row>
    <row r="25" spans="1:8" x14ac:dyDescent="0.3">
      <c r="A25">
        <v>2</v>
      </c>
      <c r="B25" s="63" t="s">
        <v>531</v>
      </c>
      <c r="C25" s="64">
        <v>17702.939999999999</v>
      </c>
      <c r="D25" s="64">
        <v>1203</v>
      </c>
      <c r="E25" s="65">
        <v>0.11506456241032999</v>
      </c>
      <c r="F25" s="64">
        <v>10814.891364820071</v>
      </c>
      <c r="G25" s="121">
        <v>41.391500000000001</v>
      </c>
      <c r="H25" s="65">
        <v>447644.57592694997</v>
      </c>
    </row>
    <row r="26" spans="1:8" x14ac:dyDescent="0.3">
      <c r="A26">
        <v>2</v>
      </c>
      <c r="B26" s="63" t="s">
        <v>532</v>
      </c>
      <c r="C26" s="64">
        <v>66813189.950000003</v>
      </c>
      <c r="D26" s="64">
        <v>150</v>
      </c>
      <c r="E26" s="65">
        <v>1.4347202295552367E-2</v>
      </c>
      <c r="F26" s="64">
        <v>1348.4901951147222</v>
      </c>
      <c r="G26" s="121">
        <v>1.02</v>
      </c>
      <c r="H26" s="65">
        <v>1375.4599990170166</v>
      </c>
    </row>
    <row r="27" spans="1:8" x14ac:dyDescent="0.3">
      <c r="A27">
        <v>2</v>
      </c>
      <c r="B27" s="63" t="s">
        <v>533</v>
      </c>
      <c r="C27" s="64">
        <v>1935592.73</v>
      </c>
      <c r="D27" s="64">
        <v>909</v>
      </c>
      <c r="E27" s="65">
        <v>8.6944045911047346E-2</v>
      </c>
      <c r="F27" s="64">
        <v>8171.8505823952155</v>
      </c>
      <c r="G27" s="121">
        <v>7.6260000000000003</v>
      </c>
      <c r="H27" s="65">
        <v>62318.532541345914</v>
      </c>
    </row>
    <row r="28" spans="1:8" x14ac:dyDescent="0.3">
      <c r="A28">
        <v>2</v>
      </c>
      <c r="B28" s="63" t="s">
        <v>534</v>
      </c>
      <c r="C28" s="64">
        <v>32910499.579999998</v>
      </c>
      <c r="D28" s="64">
        <v>87</v>
      </c>
      <c r="E28" s="65">
        <v>8.3213773314203734E-3</v>
      </c>
      <c r="F28" s="64">
        <v>782.12431316653885</v>
      </c>
      <c r="G28" s="121">
        <v>1.4022999999999999</v>
      </c>
      <c r="H28" s="65">
        <v>1096.7729243534372</v>
      </c>
    </row>
    <row r="29" spans="1:8" x14ac:dyDescent="0.3">
      <c r="A29">
        <v>2</v>
      </c>
      <c r="B29" s="63" t="s">
        <v>535</v>
      </c>
      <c r="C29" s="64">
        <v>61342.3</v>
      </c>
      <c r="D29" s="64">
        <v>848</v>
      </c>
      <c r="E29" s="65">
        <v>8.1109516977522722E-2</v>
      </c>
      <c r="F29" s="64">
        <v>7623.4645697152291</v>
      </c>
      <c r="G29" s="121">
        <v>2.8573</v>
      </c>
      <c r="H29" s="65">
        <v>21782.525315047325</v>
      </c>
    </row>
    <row r="30" spans="1:8" x14ac:dyDescent="0.3">
      <c r="A30">
        <v>3</v>
      </c>
      <c r="B30" s="63" t="s">
        <v>392</v>
      </c>
      <c r="C30" s="64">
        <v>298513.37</v>
      </c>
      <c r="D30" s="67">
        <v>1882</v>
      </c>
      <c r="E30" s="65">
        <v>0.18000956480153038</v>
      </c>
      <c r="F30" s="64">
        <v>16919.056981372712</v>
      </c>
      <c r="G30" s="121">
        <v>1.5037</v>
      </c>
      <c r="H30" s="65">
        <v>25441.185982890147</v>
      </c>
    </row>
    <row r="31" spans="1:8" x14ac:dyDescent="0.3">
      <c r="A31">
        <v>3</v>
      </c>
      <c r="B31" s="63" t="s">
        <v>393</v>
      </c>
      <c r="C31" s="64">
        <v>73167.40449999999</v>
      </c>
      <c r="D31" s="67">
        <v>1639</v>
      </c>
      <c r="E31" s="65">
        <v>0.15676709708273553</v>
      </c>
      <c r="F31" s="64">
        <v>14734.502865286864</v>
      </c>
      <c r="G31" s="121">
        <v>2.1916000000000002</v>
      </c>
      <c r="H31" s="65">
        <v>32292.136479562694</v>
      </c>
    </row>
    <row r="32" spans="1:8" x14ac:dyDescent="0.3">
      <c r="A32">
        <v>3</v>
      </c>
      <c r="B32" s="63" t="s">
        <v>394</v>
      </c>
      <c r="C32" s="64">
        <v>156305.41249999998</v>
      </c>
      <c r="D32" s="67">
        <v>523</v>
      </c>
      <c r="E32" s="65">
        <v>5.0023912003825922E-2</v>
      </c>
      <c r="F32" s="64">
        <v>4701.7358136333314</v>
      </c>
      <c r="G32" s="121">
        <v>1.1874</v>
      </c>
      <c r="H32" s="65">
        <v>5582.8411051082176</v>
      </c>
    </row>
    <row r="33" spans="1:8" x14ac:dyDescent="0.3">
      <c r="A33">
        <v>3</v>
      </c>
      <c r="B33" s="63" t="s">
        <v>382</v>
      </c>
      <c r="C33" s="64">
        <v>5031709.1028000005</v>
      </c>
      <c r="D33" s="67">
        <v>1241</v>
      </c>
      <c r="E33" s="65">
        <v>0.11869918699186992</v>
      </c>
      <c r="F33" s="64">
        <v>11156.508880915801</v>
      </c>
      <c r="G33" s="121">
        <v>0.98150000000000004</v>
      </c>
      <c r="H33" s="65">
        <v>10950.113466618859</v>
      </c>
    </row>
    <row r="34" spans="1:8" x14ac:dyDescent="0.3">
      <c r="A34">
        <v>3</v>
      </c>
      <c r="B34" s="63" t="s">
        <v>385</v>
      </c>
      <c r="C34" s="64">
        <v>39832618.071600005</v>
      </c>
      <c r="D34" s="64">
        <v>296</v>
      </c>
      <c r="E34" s="65">
        <v>2.8311812529890006E-2</v>
      </c>
      <c r="F34" s="64">
        <v>2661.0206516930516</v>
      </c>
      <c r="G34" s="121">
        <v>1.0946</v>
      </c>
      <c r="H34" s="65">
        <v>2912.7532053432142</v>
      </c>
    </row>
    <row r="35" spans="1:8" x14ac:dyDescent="0.3">
      <c r="A35">
        <v>3</v>
      </c>
      <c r="B35" s="63" t="s">
        <v>391</v>
      </c>
      <c r="C35" s="64">
        <v>31032772.920000002</v>
      </c>
      <c r="D35" s="64">
        <v>187</v>
      </c>
      <c r="E35" s="65">
        <v>1.7886178861788619E-2</v>
      </c>
      <c r="F35" s="64">
        <v>1681.1177765763537</v>
      </c>
      <c r="G35" s="121">
        <v>1.1444000000000001</v>
      </c>
      <c r="H35" s="65">
        <v>1923.8711835139793</v>
      </c>
    </row>
    <row r="36" spans="1:8" x14ac:dyDescent="0.3">
      <c r="A36">
        <v>3</v>
      </c>
      <c r="B36" s="63" t="s">
        <v>528</v>
      </c>
      <c r="C36" s="64">
        <v>63719.235000000001</v>
      </c>
      <c r="D36" s="64">
        <v>928</v>
      </c>
      <c r="E36" s="65">
        <v>8.8761358201817311E-2</v>
      </c>
      <c r="F36" s="64">
        <v>8342.6593404430805</v>
      </c>
      <c r="G36" s="121">
        <v>12.8567</v>
      </c>
      <c r="H36" s="65">
        <v>107259.06834227455</v>
      </c>
    </row>
    <row r="37" spans="1:8" x14ac:dyDescent="0.3">
      <c r="A37">
        <v>3</v>
      </c>
      <c r="B37" s="63" t="s">
        <v>529</v>
      </c>
      <c r="C37" s="64">
        <v>494047.66319999995</v>
      </c>
      <c r="D37" s="64">
        <v>316</v>
      </c>
      <c r="E37" s="65">
        <v>3.0224772835963653E-2</v>
      </c>
      <c r="F37" s="64">
        <v>2840.8193443750142</v>
      </c>
      <c r="G37" s="121">
        <v>1.7372999999999998</v>
      </c>
      <c r="H37" s="65">
        <v>4935.3554469827113</v>
      </c>
    </row>
    <row r="38" spans="1:8" x14ac:dyDescent="0.3">
      <c r="A38">
        <v>3</v>
      </c>
      <c r="B38" s="63" t="s">
        <v>530</v>
      </c>
      <c r="C38" s="64">
        <v>181097.84999999998</v>
      </c>
      <c r="D38" s="64">
        <v>246</v>
      </c>
      <c r="E38" s="65">
        <v>2.3529411764705882E-2</v>
      </c>
      <c r="F38" s="64">
        <v>2211.5239199881444</v>
      </c>
      <c r="G38" s="121">
        <v>16.8049</v>
      </c>
      <c r="H38" s="65">
        <v>37164.43832300877</v>
      </c>
    </row>
    <row r="39" spans="1:8" x14ac:dyDescent="0.3">
      <c r="A39">
        <v>3</v>
      </c>
      <c r="B39" s="63" t="s">
        <v>531</v>
      </c>
      <c r="C39" s="64">
        <v>53108.819999999992</v>
      </c>
      <c r="D39" s="64">
        <v>1203</v>
      </c>
      <c r="E39" s="65">
        <v>0.11506456241032999</v>
      </c>
      <c r="F39" s="64">
        <v>10814.891364820071</v>
      </c>
      <c r="G39" s="121">
        <v>41.391500000000001</v>
      </c>
      <c r="H39" s="65">
        <v>447644.57592694997</v>
      </c>
    </row>
    <row r="40" spans="1:8" x14ac:dyDescent="0.3">
      <c r="A40">
        <v>3</v>
      </c>
      <c r="B40" s="63" t="s">
        <v>532</v>
      </c>
      <c r="C40" s="64">
        <v>72158245.146000013</v>
      </c>
      <c r="D40" s="64">
        <v>150</v>
      </c>
      <c r="E40" s="65">
        <v>1.4347202295552367E-2</v>
      </c>
      <c r="F40" s="64">
        <v>1348.4901951147222</v>
      </c>
      <c r="G40" s="121">
        <v>1.02</v>
      </c>
      <c r="H40" s="65">
        <v>1375.4599990170166</v>
      </c>
    </row>
    <row r="41" spans="1:8" x14ac:dyDescent="0.3">
      <c r="A41">
        <v>3</v>
      </c>
      <c r="B41" s="63" t="s">
        <v>533</v>
      </c>
      <c r="C41" s="64">
        <v>1354914.9109999998</v>
      </c>
      <c r="D41" s="64">
        <v>909</v>
      </c>
      <c r="E41" s="65">
        <v>8.6944045911047346E-2</v>
      </c>
      <c r="F41" s="64">
        <v>8171.8505823952155</v>
      </c>
      <c r="G41" s="121">
        <v>7.6260000000000003</v>
      </c>
      <c r="H41" s="65">
        <v>62318.532541345914</v>
      </c>
    </row>
    <row r="42" spans="1:8" x14ac:dyDescent="0.3">
      <c r="A42">
        <v>3</v>
      </c>
      <c r="B42" s="63" t="s">
        <v>534</v>
      </c>
      <c r="C42" s="64">
        <v>35543339.546400003</v>
      </c>
      <c r="D42" s="64">
        <v>87</v>
      </c>
      <c r="E42" s="65">
        <v>8.3213773314203734E-3</v>
      </c>
      <c r="F42" s="64">
        <v>782.12431316653885</v>
      </c>
      <c r="G42" s="121">
        <v>1.4022999999999999</v>
      </c>
      <c r="H42" s="65">
        <v>1096.7729243534372</v>
      </c>
    </row>
    <row r="43" spans="1:8" x14ac:dyDescent="0.3">
      <c r="A43">
        <v>3</v>
      </c>
      <c r="B43" s="63" t="s">
        <v>535</v>
      </c>
      <c r="C43" s="64">
        <v>191387.97600000002</v>
      </c>
      <c r="D43" s="64">
        <v>848</v>
      </c>
      <c r="E43" s="65">
        <v>8.1109516977522722E-2</v>
      </c>
      <c r="F43" s="64">
        <v>7623.4645697152291</v>
      </c>
      <c r="G43" s="121">
        <v>2.8573</v>
      </c>
      <c r="H43" s="65">
        <v>21782.525315047325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5C1C8-DF14-4FF8-B590-A7520D83A618}">
  <dimension ref="A1:B108"/>
  <sheetViews>
    <sheetView workbookViewId="0">
      <selection activeCell="E26" sqref="E26"/>
    </sheetView>
  </sheetViews>
  <sheetFormatPr baseColWidth="10" defaultRowHeight="14.4" x14ac:dyDescent="0.3"/>
  <sheetData>
    <row r="1" spans="1:2" x14ac:dyDescent="0.3">
      <c r="A1" t="s">
        <v>1691</v>
      </c>
      <c r="B1" t="s">
        <v>1692</v>
      </c>
    </row>
    <row r="2" spans="1:2" x14ac:dyDescent="0.3">
      <c r="A2" s="93">
        <v>1</v>
      </c>
      <c r="B2">
        <v>806</v>
      </c>
    </row>
    <row r="3" spans="1:2" x14ac:dyDescent="0.3">
      <c r="A3" s="93">
        <v>2</v>
      </c>
      <c r="B3">
        <v>271</v>
      </c>
    </row>
    <row r="4" spans="1:2" x14ac:dyDescent="0.3">
      <c r="A4" s="93">
        <v>3</v>
      </c>
      <c r="B4">
        <v>306</v>
      </c>
    </row>
    <row r="5" spans="1:2" x14ac:dyDescent="0.3">
      <c r="A5" s="93">
        <v>4</v>
      </c>
      <c r="B5">
        <v>277</v>
      </c>
    </row>
    <row r="6" spans="1:2" x14ac:dyDescent="0.3">
      <c r="A6" s="93">
        <v>5</v>
      </c>
      <c r="B6">
        <v>367</v>
      </c>
    </row>
    <row r="7" spans="1:2" x14ac:dyDescent="0.3">
      <c r="A7" s="93">
        <v>6</v>
      </c>
      <c r="B7">
        <v>383</v>
      </c>
    </row>
    <row r="8" spans="1:2" x14ac:dyDescent="0.3">
      <c r="A8" s="93">
        <v>7</v>
      </c>
      <c r="B8">
        <v>454</v>
      </c>
    </row>
    <row r="9" spans="1:2" x14ac:dyDescent="0.3">
      <c r="A9" s="93">
        <v>8</v>
      </c>
      <c r="B9">
        <v>492</v>
      </c>
    </row>
    <row r="10" spans="1:2" x14ac:dyDescent="0.3">
      <c r="A10" s="93">
        <v>9</v>
      </c>
      <c r="B10">
        <v>468</v>
      </c>
    </row>
    <row r="11" spans="1:2" x14ac:dyDescent="0.3">
      <c r="A11" s="93">
        <v>10</v>
      </c>
      <c r="B11">
        <v>475</v>
      </c>
    </row>
    <row r="12" spans="1:2" x14ac:dyDescent="0.3">
      <c r="A12" s="93">
        <v>11</v>
      </c>
      <c r="B12">
        <v>533</v>
      </c>
    </row>
    <row r="13" spans="1:2" x14ac:dyDescent="0.3">
      <c r="A13" s="93">
        <v>12</v>
      </c>
      <c r="B13">
        <v>563</v>
      </c>
    </row>
    <row r="14" spans="1:2" x14ac:dyDescent="0.3">
      <c r="A14" s="93">
        <v>13</v>
      </c>
      <c r="B14">
        <v>625</v>
      </c>
    </row>
    <row r="15" spans="1:2" x14ac:dyDescent="0.3">
      <c r="A15" s="93">
        <v>14</v>
      </c>
      <c r="B15">
        <v>583</v>
      </c>
    </row>
    <row r="16" spans="1:2" x14ac:dyDescent="0.3">
      <c r="A16" s="93">
        <v>15</v>
      </c>
      <c r="B16">
        <v>585</v>
      </c>
    </row>
    <row r="17" spans="1:2" x14ac:dyDescent="0.3">
      <c r="A17" s="93">
        <v>16</v>
      </c>
      <c r="B17">
        <v>576</v>
      </c>
    </row>
    <row r="18" spans="1:2" x14ac:dyDescent="0.3">
      <c r="A18" s="93">
        <v>17</v>
      </c>
      <c r="B18">
        <v>509</v>
      </c>
    </row>
    <row r="19" spans="1:2" x14ac:dyDescent="0.3">
      <c r="A19" s="93">
        <v>18</v>
      </c>
      <c r="B19">
        <v>376</v>
      </c>
    </row>
    <row r="20" spans="1:2" x14ac:dyDescent="0.3">
      <c r="A20" s="93">
        <v>19</v>
      </c>
      <c r="B20">
        <v>323</v>
      </c>
    </row>
    <row r="21" spans="1:2" x14ac:dyDescent="0.3">
      <c r="A21" s="93">
        <v>20</v>
      </c>
      <c r="B21">
        <v>209</v>
      </c>
    </row>
    <row r="22" spans="1:2" x14ac:dyDescent="0.3">
      <c r="A22" s="93">
        <v>21</v>
      </c>
      <c r="B22">
        <v>412</v>
      </c>
    </row>
    <row r="23" spans="1:2" x14ac:dyDescent="0.3">
      <c r="A23" s="93">
        <v>22</v>
      </c>
      <c r="B23">
        <v>249</v>
      </c>
    </row>
    <row r="24" spans="1:2" x14ac:dyDescent="0.3">
      <c r="A24" s="93">
        <v>23</v>
      </c>
      <c r="B24">
        <v>230</v>
      </c>
    </row>
    <row r="25" spans="1:2" x14ac:dyDescent="0.3">
      <c r="A25" s="93">
        <v>24</v>
      </c>
      <c r="B25">
        <v>336</v>
      </c>
    </row>
    <row r="26" spans="1:2" x14ac:dyDescent="0.3">
      <c r="A26" s="93">
        <v>25</v>
      </c>
      <c r="B26">
        <v>263</v>
      </c>
    </row>
    <row r="27" spans="1:2" x14ac:dyDescent="0.3">
      <c r="A27" s="93">
        <v>26</v>
      </c>
      <c r="B27">
        <v>281</v>
      </c>
    </row>
    <row r="28" spans="1:2" x14ac:dyDescent="0.3">
      <c r="A28" s="93">
        <v>27</v>
      </c>
      <c r="B28">
        <v>315</v>
      </c>
    </row>
    <row r="29" spans="1:2" x14ac:dyDescent="0.3">
      <c r="A29" s="93">
        <v>28</v>
      </c>
      <c r="B29">
        <v>711</v>
      </c>
    </row>
    <row r="30" spans="1:2" x14ac:dyDescent="0.3">
      <c r="A30" s="93">
        <v>29</v>
      </c>
      <c r="B30">
        <v>306</v>
      </c>
    </row>
    <row r="31" spans="1:2" x14ac:dyDescent="0.3">
      <c r="A31" s="93">
        <v>30</v>
      </c>
      <c r="B31">
        <v>464</v>
      </c>
    </row>
    <row r="32" spans="1:2" x14ac:dyDescent="0.3">
      <c r="A32" s="93">
        <v>31</v>
      </c>
      <c r="B32">
        <v>571</v>
      </c>
    </row>
    <row r="33" spans="1:2" x14ac:dyDescent="0.3">
      <c r="A33" s="93">
        <v>32</v>
      </c>
      <c r="B33">
        <v>444</v>
      </c>
    </row>
    <row r="34" spans="1:2" x14ac:dyDescent="0.3">
      <c r="A34" s="93">
        <v>33</v>
      </c>
      <c r="B34">
        <v>510</v>
      </c>
    </row>
    <row r="35" spans="1:2" x14ac:dyDescent="0.3">
      <c r="A35" s="93">
        <v>34</v>
      </c>
      <c r="B35">
        <v>429</v>
      </c>
    </row>
    <row r="36" spans="1:2" x14ac:dyDescent="0.3">
      <c r="A36" s="93">
        <v>35</v>
      </c>
      <c r="B36">
        <v>534</v>
      </c>
    </row>
    <row r="37" spans="1:2" x14ac:dyDescent="0.3">
      <c r="A37" s="93">
        <v>36</v>
      </c>
      <c r="B37">
        <v>579</v>
      </c>
    </row>
    <row r="38" spans="1:2" x14ac:dyDescent="0.3">
      <c r="A38" s="93">
        <v>37</v>
      </c>
      <c r="B38">
        <v>392</v>
      </c>
    </row>
    <row r="39" spans="1:2" x14ac:dyDescent="0.3">
      <c r="A39" s="93">
        <v>38</v>
      </c>
      <c r="B39">
        <v>770</v>
      </c>
    </row>
    <row r="40" spans="1:2" x14ac:dyDescent="0.3">
      <c r="A40" s="93">
        <v>39</v>
      </c>
      <c r="B40">
        <v>784</v>
      </c>
    </row>
    <row r="41" spans="1:2" x14ac:dyDescent="0.3">
      <c r="A41" s="93">
        <v>40</v>
      </c>
      <c r="B41">
        <v>616</v>
      </c>
    </row>
    <row r="42" spans="1:2" x14ac:dyDescent="0.3">
      <c r="A42" s="93">
        <v>41</v>
      </c>
      <c r="B42">
        <v>717</v>
      </c>
    </row>
    <row r="43" spans="1:2" x14ac:dyDescent="0.3">
      <c r="A43" s="93">
        <v>42</v>
      </c>
      <c r="B43">
        <v>695</v>
      </c>
    </row>
    <row r="44" spans="1:2" x14ac:dyDescent="0.3">
      <c r="A44" s="93">
        <v>43</v>
      </c>
      <c r="B44">
        <v>831</v>
      </c>
    </row>
    <row r="45" spans="1:2" x14ac:dyDescent="0.3">
      <c r="A45" s="93">
        <v>44</v>
      </c>
      <c r="B45">
        <v>1299</v>
      </c>
    </row>
    <row r="46" spans="1:2" x14ac:dyDescent="0.3">
      <c r="A46" s="93">
        <v>45</v>
      </c>
      <c r="B46">
        <v>1298</v>
      </c>
    </row>
    <row r="47" spans="1:2" x14ac:dyDescent="0.3">
      <c r="A47" s="93">
        <v>46</v>
      </c>
      <c r="B47">
        <v>1458</v>
      </c>
    </row>
    <row r="48" spans="1:2" x14ac:dyDescent="0.3">
      <c r="A48" s="93">
        <v>47</v>
      </c>
      <c r="B48">
        <v>823</v>
      </c>
    </row>
    <row r="49" spans="1:2" x14ac:dyDescent="0.3">
      <c r="A49" s="93">
        <v>48</v>
      </c>
      <c r="B49">
        <v>1837</v>
      </c>
    </row>
    <row r="50" spans="1:2" x14ac:dyDescent="0.3">
      <c r="A50" s="93">
        <v>49</v>
      </c>
      <c r="B50">
        <v>1876</v>
      </c>
    </row>
    <row r="51" spans="1:2" x14ac:dyDescent="0.3">
      <c r="A51" s="93">
        <v>50</v>
      </c>
      <c r="B51">
        <v>1253</v>
      </c>
    </row>
    <row r="52" spans="1:2" x14ac:dyDescent="0.3">
      <c r="A52" s="93">
        <v>51</v>
      </c>
      <c r="B52">
        <v>1725</v>
      </c>
    </row>
    <row r="53" spans="1:2" x14ac:dyDescent="0.3">
      <c r="A53" s="93">
        <v>52</v>
      </c>
      <c r="B53">
        <v>1532</v>
      </c>
    </row>
    <row r="54" spans="1:2" x14ac:dyDescent="0.3">
      <c r="A54" s="93">
        <v>53</v>
      </c>
      <c r="B54">
        <v>2211</v>
      </c>
    </row>
    <row r="55" spans="1:2" x14ac:dyDescent="0.3">
      <c r="A55" s="93">
        <v>54</v>
      </c>
      <c r="B55">
        <v>1655</v>
      </c>
    </row>
    <row r="56" spans="1:2" x14ac:dyDescent="0.3">
      <c r="A56" s="93">
        <v>55</v>
      </c>
      <c r="B56">
        <v>2634</v>
      </c>
    </row>
    <row r="57" spans="1:2" x14ac:dyDescent="0.3">
      <c r="A57" s="93">
        <v>56</v>
      </c>
      <c r="B57">
        <v>1686</v>
      </c>
    </row>
    <row r="58" spans="1:2" x14ac:dyDescent="0.3">
      <c r="A58" s="93">
        <v>57</v>
      </c>
      <c r="B58">
        <v>3143</v>
      </c>
    </row>
    <row r="59" spans="1:2" x14ac:dyDescent="0.3">
      <c r="A59" s="93">
        <v>58</v>
      </c>
      <c r="B59">
        <v>2042</v>
      </c>
    </row>
    <row r="60" spans="1:2" x14ac:dyDescent="0.3">
      <c r="A60" s="93">
        <v>59</v>
      </c>
      <c r="B60">
        <v>3209</v>
      </c>
    </row>
    <row r="61" spans="1:2" x14ac:dyDescent="0.3">
      <c r="A61" s="93">
        <v>60</v>
      </c>
      <c r="B61">
        <v>3011</v>
      </c>
    </row>
    <row r="62" spans="1:2" x14ac:dyDescent="0.3">
      <c r="A62" s="93">
        <v>61</v>
      </c>
      <c r="B62">
        <v>2313</v>
      </c>
    </row>
    <row r="63" spans="1:2" x14ac:dyDescent="0.3">
      <c r="A63" s="93">
        <v>62</v>
      </c>
      <c r="B63">
        <v>2634</v>
      </c>
    </row>
    <row r="64" spans="1:2" x14ac:dyDescent="0.3">
      <c r="A64" s="93">
        <v>63</v>
      </c>
      <c r="B64">
        <v>3563</v>
      </c>
    </row>
    <row r="65" spans="1:2" x14ac:dyDescent="0.3">
      <c r="A65" s="93">
        <v>64</v>
      </c>
      <c r="B65">
        <v>3972</v>
      </c>
    </row>
    <row r="66" spans="1:2" x14ac:dyDescent="0.3">
      <c r="A66" s="93">
        <v>65</v>
      </c>
      <c r="B66">
        <v>5018</v>
      </c>
    </row>
    <row r="67" spans="1:2" x14ac:dyDescent="0.3">
      <c r="A67" s="93">
        <v>66</v>
      </c>
      <c r="B67">
        <v>4677</v>
      </c>
    </row>
    <row r="68" spans="1:2" x14ac:dyDescent="0.3">
      <c r="A68" s="93">
        <v>67</v>
      </c>
      <c r="B68">
        <v>3527</v>
      </c>
    </row>
    <row r="69" spans="1:2" x14ac:dyDescent="0.3">
      <c r="A69" s="93">
        <v>68</v>
      </c>
      <c r="B69">
        <v>5075</v>
      </c>
    </row>
    <row r="70" spans="1:2" x14ac:dyDescent="0.3">
      <c r="A70" s="93">
        <v>69</v>
      </c>
      <c r="B70">
        <v>4189</v>
      </c>
    </row>
    <row r="71" spans="1:2" x14ac:dyDescent="0.3">
      <c r="A71" s="93">
        <v>70</v>
      </c>
      <c r="B71">
        <v>4467</v>
      </c>
    </row>
    <row r="72" spans="1:2" x14ac:dyDescent="0.3">
      <c r="A72" s="93">
        <v>71</v>
      </c>
      <c r="B72">
        <v>4204</v>
      </c>
    </row>
    <row r="73" spans="1:2" x14ac:dyDescent="0.3">
      <c r="A73" s="93">
        <v>72</v>
      </c>
      <c r="B73">
        <v>3873</v>
      </c>
    </row>
    <row r="74" spans="1:2" x14ac:dyDescent="0.3">
      <c r="A74" s="93">
        <v>73</v>
      </c>
      <c r="B74">
        <v>3751</v>
      </c>
    </row>
    <row r="75" spans="1:2" x14ac:dyDescent="0.3">
      <c r="A75" s="93">
        <v>74</v>
      </c>
      <c r="B75">
        <v>3691</v>
      </c>
    </row>
    <row r="76" spans="1:2" x14ac:dyDescent="0.3">
      <c r="A76" s="93">
        <v>75</v>
      </c>
      <c r="B76">
        <v>4840</v>
      </c>
    </row>
    <row r="77" spans="1:2" x14ac:dyDescent="0.3">
      <c r="A77" s="93">
        <v>76</v>
      </c>
      <c r="B77">
        <v>3483</v>
      </c>
    </row>
    <row r="78" spans="1:2" x14ac:dyDescent="0.3">
      <c r="A78" s="93">
        <v>77</v>
      </c>
      <c r="B78">
        <v>3958</v>
      </c>
    </row>
    <row r="79" spans="1:2" x14ac:dyDescent="0.3">
      <c r="A79" s="93">
        <v>78</v>
      </c>
      <c r="B79">
        <v>3068</v>
      </c>
    </row>
    <row r="80" spans="1:2" x14ac:dyDescent="0.3">
      <c r="A80" s="93">
        <v>79</v>
      </c>
      <c r="B80">
        <v>4070</v>
      </c>
    </row>
    <row r="81" spans="1:2" x14ac:dyDescent="0.3">
      <c r="A81" s="93">
        <v>80</v>
      </c>
      <c r="B81">
        <v>2632</v>
      </c>
    </row>
    <row r="82" spans="1:2" x14ac:dyDescent="0.3">
      <c r="A82" s="93">
        <v>81</v>
      </c>
      <c r="B82">
        <v>2765</v>
      </c>
    </row>
    <row r="83" spans="1:2" x14ac:dyDescent="0.3">
      <c r="A83" s="93">
        <v>82</v>
      </c>
      <c r="B83">
        <v>2043</v>
      </c>
    </row>
    <row r="84" spans="1:2" x14ac:dyDescent="0.3">
      <c r="A84" s="93">
        <v>83</v>
      </c>
      <c r="B84">
        <v>1851</v>
      </c>
    </row>
    <row r="85" spans="1:2" x14ac:dyDescent="0.3">
      <c r="A85" s="93">
        <v>84</v>
      </c>
      <c r="B85">
        <v>1558</v>
      </c>
    </row>
    <row r="86" spans="1:2" x14ac:dyDescent="0.3">
      <c r="A86" s="93">
        <v>85</v>
      </c>
      <c r="B86">
        <v>1934</v>
      </c>
    </row>
    <row r="87" spans="1:2" x14ac:dyDescent="0.3">
      <c r="A87" s="93">
        <v>86</v>
      </c>
      <c r="B87">
        <v>1411</v>
      </c>
    </row>
    <row r="88" spans="1:2" x14ac:dyDescent="0.3">
      <c r="A88" s="93">
        <v>87</v>
      </c>
      <c r="B88">
        <v>1045</v>
      </c>
    </row>
    <row r="89" spans="1:2" x14ac:dyDescent="0.3">
      <c r="A89" s="93">
        <v>88</v>
      </c>
      <c r="B89">
        <v>688</v>
      </c>
    </row>
    <row r="90" spans="1:2" x14ac:dyDescent="0.3">
      <c r="A90" s="93">
        <v>89</v>
      </c>
      <c r="B90">
        <v>859</v>
      </c>
    </row>
    <row r="91" spans="1:2" x14ac:dyDescent="0.3">
      <c r="A91" s="93">
        <v>90</v>
      </c>
      <c r="B91">
        <v>671</v>
      </c>
    </row>
    <row r="92" spans="1:2" x14ac:dyDescent="0.3">
      <c r="A92" s="93">
        <v>91</v>
      </c>
      <c r="B92">
        <v>406</v>
      </c>
    </row>
    <row r="93" spans="1:2" x14ac:dyDescent="0.3">
      <c r="A93" s="93">
        <v>92</v>
      </c>
      <c r="B93">
        <v>325</v>
      </c>
    </row>
    <row r="94" spans="1:2" x14ac:dyDescent="0.3">
      <c r="A94" s="93">
        <v>93</v>
      </c>
      <c r="B94">
        <v>171</v>
      </c>
    </row>
    <row r="95" spans="1:2" x14ac:dyDescent="0.3">
      <c r="A95" s="93">
        <v>94</v>
      </c>
      <c r="B95">
        <v>225</v>
      </c>
    </row>
    <row r="96" spans="1:2" x14ac:dyDescent="0.3">
      <c r="A96" s="93">
        <v>95</v>
      </c>
      <c r="B96">
        <v>123</v>
      </c>
    </row>
    <row r="97" spans="1:2" x14ac:dyDescent="0.3">
      <c r="A97" s="93">
        <v>96</v>
      </c>
      <c r="B97">
        <v>48</v>
      </c>
    </row>
    <row r="98" spans="1:2" x14ac:dyDescent="0.3">
      <c r="A98" s="93">
        <v>97</v>
      </c>
      <c r="B98">
        <v>38</v>
      </c>
    </row>
    <row r="99" spans="1:2" x14ac:dyDescent="0.3">
      <c r="A99" s="93">
        <v>98</v>
      </c>
      <c r="B99">
        <v>52</v>
      </c>
    </row>
    <row r="100" spans="1:2" x14ac:dyDescent="0.3">
      <c r="A100" s="93">
        <v>99</v>
      </c>
      <c r="B100">
        <v>20</v>
      </c>
    </row>
    <row r="101" spans="1:2" x14ac:dyDescent="0.3">
      <c r="A101" s="93">
        <v>100</v>
      </c>
      <c r="B101">
        <v>42</v>
      </c>
    </row>
    <row r="102" spans="1:2" x14ac:dyDescent="0.3">
      <c r="A102" s="93">
        <v>101</v>
      </c>
      <c r="B102">
        <v>3</v>
      </c>
    </row>
    <row r="103" spans="1:2" x14ac:dyDescent="0.3">
      <c r="A103" s="93">
        <v>102</v>
      </c>
      <c r="B103">
        <v>3</v>
      </c>
    </row>
    <row r="104" spans="1:2" x14ac:dyDescent="0.3">
      <c r="A104" s="93">
        <v>103</v>
      </c>
      <c r="B104">
        <v>27</v>
      </c>
    </row>
    <row r="105" spans="1:2" x14ac:dyDescent="0.3">
      <c r="A105" s="93">
        <v>104</v>
      </c>
      <c r="B105">
        <v>4</v>
      </c>
    </row>
    <row r="106" spans="1:2" x14ac:dyDescent="0.3">
      <c r="A106" s="93">
        <v>105</v>
      </c>
      <c r="B106">
        <v>39</v>
      </c>
    </row>
    <row r="107" spans="1:2" x14ac:dyDescent="0.3">
      <c r="A107" s="93">
        <v>106</v>
      </c>
      <c r="B107">
        <v>1</v>
      </c>
    </row>
    <row r="108" spans="1:2" x14ac:dyDescent="0.3">
      <c r="A108" s="93">
        <v>111</v>
      </c>
      <c r="B108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F6657-5F62-4219-9967-5E2E301AEFE0}">
  <dimension ref="A1:J7"/>
  <sheetViews>
    <sheetView workbookViewId="0">
      <selection activeCell="H12" sqref="H12"/>
    </sheetView>
  </sheetViews>
  <sheetFormatPr baseColWidth="10" defaultRowHeight="14.4" x14ac:dyDescent="0.3"/>
  <sheetData>
    <row r="1" spans="1:10" x14ac:dyDescent="0.3">
      <c r="A1" s="94"/>
      <c r="B1" s="95" t="s">
        <v>1693</v>
      </c>
      <c r="C1" s="96" t="s">
        <v>1694</v>
      </c>
      <c r="D1" s="97" t="s">
        <v>1695</v>
      </c>
      <c r="E1" s="98" t="s">
        <v>1696</v>
      </c>
      <c r="F1" s="99" t="s">
        <v>1697</v>
      </c>
      <c r="G1" s="100" t="s">
        <v>1698</v>
      </c>
      <c r="H1" s="100" t="s">
        <v>1699</v>
      </c>
      <c r="I1" s="100" t="s">
        <v>1700</v>
      </c>
      <c r="J1" s="100" t="s">
        <v>1701</v>
      </c>
    </row>
    <row r="2" spans="1:10" ht="72" x14ac:dyDescent="0.3">
      <c r="A2" s="101" t="s">
        <v>430</v>
      </c>
      <c r="B2" s="101">
        <v>1</v>
      </c>
      <c r="C2" s="102" t="s">
        <v>1702</v>
      </c>
      <c r="D2" s="103">
        <v>193</v>
      </c>
      <c r="E2" s="104"/>
      <c r="F2" s="105">
        <f>495+41</f>
        <v>536</v>
      </c>
      <c r="G2" s="106">
        <f>+SUM(D2:F2)</f>
        <v>729</v>
      </c>
      <c r="H2" s="107">
        <v>21</v>
      </c>
      <c r="I2" s="107">
        <v>4</v>
      </c>
      <c r="J2" s="108" t="s">
        <v>1703</v>
      </c>
    </row>
    <row r="3" spans="1:10" ht="115.2" x14ac:dyDescent="0.3">
      <c r="A3" s="101" t="s">
        <v>425</v>
      </c>
      <c r="B3" s="101">
        <v>2</v>
      </c>
      <c r="C3" s="102" t="s">
        <v>1704</v>
      </c>
      <c r="D3" s="109">
        <v>67</v>
      </c>
      <c r="E3" s="110">
        <v>19</v>
      </c>
      <c r="F3" s="111">
        <v>265</v>
      </c>
      <c r="G3" s="106">
        <v>351</v>
      </c>
      <c r="H3" s="107">
        <v>19</v>
      </c>
      <c r="I3" s="107">
        <v>25</v>
      </c>
      <c r="J3" s="108" t="s">
        <v>1705</v>
      </c>
    </row>
    <row r="4" spans="1:10" ht="28.8" x14ac:dyDescent="0.3">
      <c r="A4" s="101" t="s">
        <v>429</v>
      </c>
      <c r="B4" s="101">
        <v>1</v>
      </c>
      <c r="C4" s="102" t="s">
        <v>1706</v>
      </c>
      <c r="D4" s="109">
        <v>0</v>
      </c>
      <c r="E4" s="110">
        <v>0</v>
      </c>
      <c r="F4" s="111">
        <v>0</v>
      </c>
      <c r="G4" s="106">
        <f>+D4+E4+F4</f>
        <v>0</v>
      </c>
      <c r="H4" s="107">
        <v>0</v>
      </c>
      <c r="I4" s="107">
        <v>10</v>
      </c>
      <c r="J4" s="112"/>
    </row>
    <row r="5" spans="1:10" ht="72" x14ac:dyDescent="0.3">
      <c r="A5" s="101" t="s">
        <v>1707</v>
      </c>
      <c r="B5" s="101">
        <v>1</v>
      </c>
      <c r="C5" s="102" t="s">
        <v>1708</v>
      </c>
      <c r="D5" s="109">
        <v>12</v>
      </c>
      <c r="E5" s="110">
        <v>18</v>
      </c>
      <c r="F5" s="111">
        <v>22</v>
      </c>
      <c r="G5" s="106">
        <f>+SUM(D5:F5)</f>
        <v>52</v>
      </c>
      <c r="H5" s="107">
        <v>2</v>
      </c>
      <c r="I5" s="107">
        <v>1</v>
      </c>
      <c r="J5" s="108" t="s">
        <v>1709</v>
      </c>
    </row>
    <row r="6" spans="1:10" x14ac:dyDescent="0.3">
      <c r="A6" s="107" t="s">
        <v>427</v>
      </c>
      <c r="B6" s="107"/>
      <c r="C6" s="113"/>
      <c r="D6" s="109">
        <v>0</v>
      </c>
      <c r="E6" s="110">
        <v>0</v>
      </c>
      <c r="F6" s="111">
        <v>0</v>
      </c>
      <c r="G6" s="106">
        <f>+SUM(D6:F6)</f>
        <v>0</v>
      </c>
      <c r="H6" s="107">
        <v>0</v>
      </c>
      <c r="I6" s="107">
        <v>1</v>
      </c>
      <c r="J6" s="112"/>
    </row>
    <row r="7" spans="1:10" ht="43.2" x14ac:dyDescent="0.3">
      <c r="A7" s="107" t="s">
        <v>428</v>
      </c>
      <c r="B7" s="107">
        <v>4</v>
      </c>
      <c r="C7" s="113" t="s">
        <v>1710</v>
      </c>
      <c r="D7" s="114">
        <v>4</v>
      </c>
      <c r="E7" s="115">
        <v>4</v>
      </c>
      <c r="F7" s="116">
        <v>5</v>
      </c>
      <c r="G7" s="106">
        <f>+SUM(D7:F7)</f>
        <v>13</v>
      </c>
      <c r="H7" s="107">
        <v>2</v>
      </c>
      <c r="I7" s="107">
        <v>4</v>
      </c>
      <c r="J7" s="112" t="s">
        <v>1711</v>
      </c>
    </row>
  </sheetData>
  <hyperlinks>
    <hyperlink ref="J2" r:id="rId1" xr:uid="{99EE97D5-5F9C-46B7-AC25-8E077CD2376F}"/>
    <hyperlink ref="J3" r:id="rId2" xr:uid="{0B79329B-1492-4D8B-8731-DD50D71E166B}"/>
    <hyperlink ref="J5" r:id="rId3" xr:uid="{1F7A38D2-68AB-4981-AEF3-828C8CCDB7E5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A6DD1-8A33-445D-B68B-109F0CA3AF75}">
  <dimension ref="A1:H5451"/>
  <sheetViews>
    <sheetView topLeftCell="B1" zoomScale="75" workbookViewId="0">
      <selection activeCell="B5150" sqref="B5150"/>
    </sheetView>
  </sheetViews>
  <sheetFormatPr baseColWidth="10" defaultRowHeight="14.4" x14ac:dyDescent="0.3"/>
  <cols>
    <col min="1" max="3" width="24" bestFit="1" customWidth="1"/>
    <col min="4" max="4" width="23.6640625" customWidth="1"/>
    <col min="5" max="5" width="30.88671875" customWidth="1"/>
    <col min="6" max="6" width="23.5546875" bestFit="1" customWidth="1"/>
    <col min="7" max="7" width="17.6640625" customWidth="1"/>
    <col min="8" max="8" width="25.6640625" bestFit="1" customWidth="1"/>
    <col min="9" max="9" width="15.77734375" bestFit="1" customWidth="1"/>
    <col min="10" max="10" width="16.5546875" bestFit="1" customWidth="1"/>
    <col min="11" max="11" width="13.33203125" bestFit="1" customWidth="1"/>
    <col min="12" max="12" width="18.21875" bestFit="1" customWidth="1"/>
    <col min="13" max="13" width="15.21875" bestFit="1" customWidth="1"/>
    <col min="14" max="14" width="18" bestFit="1" customWidth="1"/>
    <col min="15" max="15" width="15.44140625" bestFit="1" customWidth="1"/>
    <col min="16" max="16" width="23" bestFit="1" customWidth="1"/>
    <col min="17" max="17" width="16" bestFit="1" customWidth="1"/>
    <col min="18" max="18" width="14.5546875" bestFit="1" customWidth="1"/>
    <col min="19" max="19" width="15" bestFit="1" customWidth="1"/>
    <col min="20" max="20" width="14.5546875" bestFit="1" customWidth="1"/>
    <col min="21" max="21" width="9.88671875" bestFit="1" customWidth="1"/>
    <col min="22" max="22" width="26.77734375" bestFit="1" customWidth="1"/>
    <col min="23" max="23" width="12.109375" bestFit="1" customWidth="1"/>
    <col min="24" max="24" width="8.33203125" bestFit="1" customWidth="1"/>
    <col min="25" max="25" width="10.109375" bestFit="1" customWidth="1"/>
    <col min="26" max="26" width="11.88671875" bestFit="1" customWidth="1"/>
    <col min="27" max="27" width="17.21875" bestFit="1" customWidth="1"/>
    <col min="28" max="28" width="26.33203125" bestFit="1" customWidth="1"/>
    <col min="29" max="29" width="15.44140625" bestFit="1" customWidth="1"/>
    <col min="30" max="30" width="12.44140625" bestFit="1" customWidth="1"/>
    <col min="31" max="31" width="11.21875" bestFit="1" customWidth="1"/>
    <col min="32" max="32" width="17.88671875" bestFit="1" customWidth="1"/>
    <col min="33" max="33" width="22.77734375" bestFit="1" customWidth="1"/>
    <col min="34" max="34" width="16.5546875" bestFit="1" customWidth="1"/>
    <col min="35" max="35" width="16.33203125" bestFit="1" customWidth="1"/>
    <col min="36" max="36" width="12.44140625" bestFit="1" customWidth="1"/>
    <col min="37" max="105" width="3.33203125" bestFit="1" customWidth="1"/>
    <col min="106" max="721" width="4.44140625" bestFit="1" customWidth="1"/>
    <col min="722" max="2542" width="6.109375" bestFit="1" customWidth="1"/>
    <col min="2543" max="3282" width="7.21875" bestFit="1" customWidth="1"/>
    <col min="3283" max="3356" width="8.33203125" bestFit="1" customWidth="1"/>
    <col min="3357" max="3362" width="10.109375" bestFit="1" customWidth="1"/>
    <col min="3363" max="3363" width="12.44140625" bestFit="1" customWidth="1"/>
  </cols>
  <sheetData>
    <row r="1" spans="1:8" x14ac:dyDescent="0.3">
      <c r="A1" s="70" t="s">
        <v>43</v>
      </c>
      <c r="B1" s="70" t="s">
        <v>44</v>
      </c>
      <c r="C1" s="71" t="s">
        <v>1</v>
      </c>
      <c r="D1" s="71" t="s">
        <v>45</v>
      </c>
      <c r="E1" s="71" t="s">
        <v>46</v>
      </c>
      <c r="F1" s="71" t="s">
        <v>47</v>
      </c>
      <c r="G1" s="71" t="s">
        <v>4</v>
      </c>
      <c r="H1" s="71" t="s">
        <v>89</v>
      </c>
    </row>
    <row r="2" spans="1:8" hidden="1" x14ac:dyDescent="0.3">
      <c r="A2" t="s">
        <v>539</v>
      </c>
      <c r="B2" t="s">
        <v>540</v>
      </c>
      <c r="C2" t="s">
        <v>27</v>
      </c>
      <c r="D2" s="68"/>
      <c r="E2" s="68">
        <v>9</v>
      </c>
      <c r="F2" s="68"/>
      <c r="G2" s="68">
        <v>9</v>
      </c>
      <c r="H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" spans="1:8" hidden="1" x14ac:dyDescent="0.3">
      <c r="A3" t="s">
        <v>539</v>
      </c>
      <c r="B3" t="s">
        <v>541</v>
      </c>
      <c r="C3" t="s">
        <v>25</v>
      </c>
      <c r="D3" s="68">
        <v>42</v>
      </c>
      <c r="E3" s="68"/>
      <c r="F3" s="68">
        <v>1610</v>
      </c>
      <c r="G3" s="68">
        <v>1652</v>
      </c>
      <c r="H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" spans="1:8" hidden="1" x14ac:dyDescent="0.3">
      <c r="A4" t="s">
        <v>539</v>
      </c>
      <c r="B4" t="s">
        <v>541</v>
      </c>
      <c r="C4" t="s">
        <v>26</v>
      </c>
      <c r="D4" s="68">
        <v>93</v>
      </c>
      <c r="E4" s="68"/>
      <c r="F4" s="68">
        <v>59</v>
      </c>
      <c r="G4" s="68">
        <v>152</v>
      </c>
      <c r="H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" spans="1:8" hidden="1" x14ac:dyDescent="0.3">
      <c r="A5" t="s">
        <v>539</v>
      </c>
      <c r="B5" t="s">
        <v>541</v>
      </c>
      <c r="C5" t="s">
        <v>27</v>
      </c>
      <c r="D5" s="68"/>
      <c r="E5" s="68">
        <v>16</v>
      </c>
      <c r="F5" s="68"/>
      <c r="G5" s="68">
        <v>16</v>
      </c>
      <c r="H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" spans="1:8" hidden="1" x14ac:dyDescent="0.3">
      <c r="A6" t="s">
        <v>539</v>
      </c>
      <c r="B6" t="s">
        <v>542</v>
      </c>
      <c r="C6" t="s">
        <v>25</v>
      </c>
      <c r="D6" s="68">
        <v>141</v>
      </c>
      <c r="E6" s="68"/>
      <c r="F6" s="68">
        <v>2306</v>
      </c>
      <c r="G6" s="68">
        <v>2447</v>
      </c>
      <c r="H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" spans="1:8" hidden="1" x14ac:dyDescent="0.3">
      <c r="A7" t="s">
        <v>539</v>
      </c>
      <c r="B7" t="s">
        <v>542</v>
      </c>
      <c r="C7" t="s">
        <v>26</v>
      </c>
      <c r="D7" s="68">
        <v>53</v>
      </c>
      <c r="E7" s="68"/>
      <c r="F7" s="68">
        <v>45</v>
      </c>
      <c r="G7" s="68">
        <v>98</v>
      </c>
      <c r="H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" spans="1:8" hidden="1" x14ac:dyDescent="0.3">
      <c r="A8" t="s">
        <v>539</v>
      </c>
      <c r="B8" t="s">
        <v>542</v>
      </c>
      <c r="C8" t="s">
        <v>27</v>
      </c>
      <c r="D8" s="68"/>
      <c r="E8" s="68">
        <v>42</v>
      </c>
      <c r="F8" s="68"/>
      <c r="G8" s="68">
        <v>42</v>
      </c>
      <c r="H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" spans="1:8" hidden="1" x14ac:dyDescent="0.3">
      <c r="A9" t="s">
        <v>539</v>
      </c>
      <c r="B9" t="s">
        <v>543</v>
      </c>
      <c r="C9" t="s">
        <v>25</v>
      </c>
      <c r="D9" s="68">
        <v>76</v>
      </c>
      <c r="E9" s="68"/>
      <c r="F9" s="68">
        <v>3077</v>
      </c>
      <c r="G9" s="68">
        <v>3153</v>
      </c>
      <c r="H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" spans="1:8" hidden="1" x14ac:dyDescent="0.3">
      <c r="A10" t="s">
        <v>539</v>
      </c>
      <c r="B10" t="s">
        <v>543</v>
      </c>
      <c r="C10" t="s">
        <v>26</v>
      </c>
      <c r="D10" s="68">
        <v>60</v>
      </c>
      <c r="E10" s="68"/>
      <c r="F10" s="68">
        <v>114</v>
      </c>
      <c r="G10" s="68">
        <v>174</v>
      </c>
      <c r="H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" spans="1:8" hidden="1" x14ac:dyDescent="0.3">
      <c r="A11" t="s">
        <v>539</v>
      </c>
      <c r="B11" t="s">
        <v>543</v>
      </c>
      <c r="C11" t="s">
        <v>27</v>
      </c>
      <c r="D11" s="68"/>
      <c r="E11" s="68">
        <v>14</v>
      </c>
      <c r="F11" s="68"/>
      <c r="G11" s="68">
        <v>14</v>
      </c>
      <c r="H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" spans="1:8" hidden="1" x14ac:dyDescent="0.3">
      <c r="A12" t="s">
        <v>539</v>
      </c>
      <c r="B12" t="s">
        <v>48</v>
      </c>
      <c r="C12" t="s">
        <v>25</v>
      </c>
      <c r="D12" s="68">
        <v>8</v>
      </c>
      <c r="E12" s="68"/>
      <c r="F12" s="68">
        <v>152</v>
      </c>
      <c r="G12" s="68">
        <v>160</v>
      </c>
      <c r="H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" spans="1:8" hidden="1" x14ac:dyDescent="0.3">
      <c r="A13" t="s">
        <v>539</v>
      </c>
      <c r="B13" t="s">
        <v>48</v>
      </c>
      <c r="C13" t="s">
        <v>26</v>
      </c>
      <c r="D13" s="68">
        <v>8</v>
      </c>
      <c r="E13" s="68"/>
      <c r="F13" s="68">
        <v>4</v>
      </c>
      <c r="G13" s="68">
        <v>12</v>
      </c>
      <c r="H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" spans="1:8" hidden="1" x14ac:dyDescent="0.3">
      <c r="A14" t="s">
        <v>539</v>
      </c>
      <c r="B14" t="s">
        <v>544</v>
      </c>
      <c r="C14" t="s">
        <v>26</v>
      </c>
      <c r="D14" s="68">
        <v>6837</v>
      </c>
      <c r="E14" s="68"/>
      <c r="F14" s="68">
        <v>21854</v>
      </c>
      <c r="G14" s="68">
        <v>28691</v>
      </c>
      <c r="H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" spans="1:8" hidden="1" x14ac:dyDescent="0.3">
      <c r="A15" t="s">
        <v>539</v>
      </c>
      <c r="B15" t="s">
        <v>544</v>
      </c>
      <c r="C15" t="s">
        <v>25</v>
      </c>
      <c r="D15" s="68">
        <v>1685</v>
      </c>
      <c r="E15" s="68"/>
      <c r="F15" s="68">
        <v>14301</v>
      </c>
      <c r="G15" s="68">
        <v>15986</v>
      </c>
      <c r="H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" spans="1:8" hidden="1" x14ac:dyDescent="0.3">
      <c r="A16" t="s">
        <v>539</v>
      </c>
      <c r="B16" t="s">
        <v>544</v>
      </c>
      <c r="C16" t="s">
        <v>5</v>
      </c>
      <c r="D16" s="68">
        <v>7970</v>
      </c>
      <c r="E16" s="68"/>
      <c r="F16" s="68">
        <v>1611</v>
      </c>
      <c r="G16" s="68">
        <v>9581</v>
      </c>
      <c r="H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" spans="1:8" hidden="1" x14ac:dyDescent="0.3">
      <c r="A17" t="s">
        <v>539</v>
      </c>
      <c r="B17" t="s">
        <v>544</v>
      </c>
      <c r="C17" t="s">
        <v>27</v>
      </c>
      <c r="D17" s="68"/>
      <c r="E17" s="68">
        <v>1842</v>
      </c>
      <c r="F17" s="68"/>
      <c r="G17" s="68">
        <v>1842</v>
      </c>
      <c r="H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" spans="1:8" hidden="1" x14ac:dyDescent="0.3">
      <c r="A18" t="s">
        <v>539</v>
      </c>
      <c r="B18" t="s">
        <v>545</v>
      </c>
      <c r="C18" t="s">
        <v>25</v>
      </c>
      <c r="D18" s="68">
        <v>42</v>
      </c>
      <c r="E18" s="68"/>
      <c r="F18" s="68">
        <v>1039</v>
      </c>
      <c r="G18" s="68">
        <v>1081</v>
      </c>
      <c r="H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" spans="1:8" hidden="1" x14ac:dyDescent="0.3">
      <c r="A19" t="s">
        <v>539</v>
      </c>
      <c r="B19" t="s">
        <v>545</v>
      </c>
      <c r="C19" t="s">
        <v>26</v>
      </c>
      <c r="D19" s="68">
        <v>16</v>
      </c>
      <c r="E19" s="68"/>
      <c r="F19" s="68">
        <v>18</v>
      </c>
      <c r="G19" s="68">
        <v>34</v>
      </c>
      <c r="H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" spans="1:8" hidden="1" x14ac:dyDescent="0.3">
      <c r="A20" t="s">
        <v>539</v>
      </c>
      <c r="B20" t="s">
        <v>545</v>
      </c>
      <c r="C20" t="s">
        <v>27</v>
      </c>
      <c r="D20" s="68"/>
      <c r="E20" s="68">
        <v>9</v>
      </c>
      <c r="F20" s="68"/>
      <c r="G20" s="68">
        <v>9</v>
      </c>
      <c r="H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" spans="1:8" hidden="1" x14ac:dyDescent="0.3">
      <c r="A21" t="s">
        <v>539</v>
      </c>
      <c r="B21" t="s">
        <v>546</v>
      </c>
      <c r="C21" t="s">
        <v>25</v>
      </c>
      <c r="D21" s="68">
        <v>11</v>
      </c>
      <c r="E21" s="68"/>
      <c r="F21" s="68">
        <v>455</v>
      </c>
      <c r="G21" s="68">
        <v>466</v>
      </c>
      <c r="H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" spans="1:8" hidden="1" x14ac:dyDescent="0.3">
      <c r="A22" t="s">
        <v>539</v>
      </c>
      <c r="B22" t="s">
        <v>546</v>
      </c>
      <c r="C22" t="s">
        <v>26</v>
      </c>
      <c r="D22" s="68">
        <v>2</v>
      </c>
      <c r="E22" s="68"/>
      <c r="F22" s="68">
        <v>17</v>
      </c>
      <c r="G22" s="68">
        <v>19</v>
      </c>
      <c r="H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" spans="1:8" hidden="1" x14ac:dyDescent="0.3">
      <c r="A23" t="s">
        <v>539</v>
      </c>
      <c r="B23" t="s">
        <v>546</v>
      </c>
      <c r="C23" t="s">
        <v>27</v>
      </c>
      <c r="D23" s="68"/>
      <c r="E23" s="68">
        <v>8</v>
      </c>
      <c r="F23" s="68"/>
      <c r="G23" s="68">
        <v>8</v>
      </c>
      <c r="H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" spans="1:8" hidden="1" x14ac:dyDescent="0.3">
      <c r="A24" t="s">
        <v>539</v>
      </c>
      <c r="B24" t="s">
        <v>547</v>
      </c>
      <c r="C24" t="s">
        <v>25</v>
      </c>
      <c r="D24" s="68">
        <v>35</v>
      </c>
      <c r="E24" s="68"/>
      <c r="F24" s="68">
        <v>983</v>
      </c>
      <c r="G24" s="68">
        <v>1018</v>
      </c>
      <c r="H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" spans="1:8" hidden="1" x14ac:dyDescent="0.3">
      <c r="A25" t="s">
        <v>539</v>
      </c>
      <c r="B25" t="s">
        <v>547</v>
      </c>
      <c r="C25" t="s">
        <v>26</v>
      </c>
      <c r="D25" s="68">
        <v>7</v>
      </c>
      <c r="E25" s="68"/>
      <c r="F25" s="68">
        <v>18</v>
      </c>
      <c r="G25" s="68">
        <v>25</v>
      </c>
      <c r="H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" spans="1:8" hidden="1" x14ac:dyDescent="0.3">
      <c r="A26" t="s">
        <v>539</v>
      </c>
      <c r="B26" t="s">
        <v>547</v>
      </c>
      <c r="C26" t="s">
        <v>27</v>
      </c>
      <c r="D26" s="68"/>
      <c r="E26" s="68">
        <v>3</v>
      </c>
      <c r="F26" s="68"/>
      <c r="G26" s="68">
        <v>3</v>
      </c>
      <c r="H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" spans="1:8" hidden="1" x14ac:dyDescent="0.3">
      <c r="A27" t="s">
        <v>539</v>
      </c>
      <c r="B27" t="s">
        <v>548</v>
      </c>
      <c r="C27" t="s">
        <v>26</v>
      </c>
      <c r="D27" s="68">
        <v>605</v>
      </c>
      <c r="E27" s="68"/>
      <c r="F27" s="68">
        <v>4938</v>
      </c>
      <c r="G27" s="68">
        <v>5543</v>
      </c>
      <c r="H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" spans="1:8" hidden="1" x14ac:dyDescent="0.3">
      <c r="A28" t="s">
        <v>539</v>
      </c>
      <c r="B28" t="s">
        <v>548</v>
      </c>
      <c r="C28" t="s">
        <v>25</v>
      </c>
      <c r="D28" s="68">
        <v>75</v>
      </c>
      <c r="E28" s="68"/>
      <c r="F28" s="68">
        <v>1523</v>
      </c>
      <c r="G28" s="68">
        <v>1598</v>
      </c>
      <c r="H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" spans="1:8" hidden="1" x14ac:dyDescent="0.3">
      <c r="A29" t="s">
        <v>539</v>
      </c>
      <c r="B29" t="s">
        <v>548</v>
      </c>
      <c r="C29" t="s">
        <v>27</v>
      </c>
      <c r="D29" s="68"/>
      <c r="E29" s="68">
        <v>146</v>
      </c>
      <c r="F29" s="68"/>
      <c r="G29" s="68">
        <v>146</v>
      </c>
      <c r="H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" spans="1:8" hidden="1" x14ac:dyDescent="0.3">
      <c r="A30" t="s">
        <v>539</v>
      </c>
      <c r="B30" t="s">
        <v>549</v>
      </c>
      <c r="C30" t="s">
        <v>25</v>
      </c>
      <c r="D30" s="68">
        <v>32</v>
      </c>
      <c r="E30" s="68"/>
      <c r="F30" s="68">
        <v>1235</v>
      </c>
      <c r="G30" s="68">
        <v>1267</v>
      </c>
      <c r="H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" spans="1:8" hidden="1" x14ac:dyDescent="0.3">
      <c r="A31" t="s">
        <v>539</v>
      </c>
      <c r="B31" t="s">
        <v>549</v>
      </c>
      <c r="C31" t="s">
        <v>26</v>
      </c>
      <c r="D31" s="68">
        <v>10</v>
      </c>
      <c r="E31" s="68"/>
      <c r="F31" s="68">
        <v>33</v>
      </c>
      <c r="G31" s="68">
        <v>43</v>
      </c>
      <c r="H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" spans="1:8" hidden="1" x14ac:dyDescent="0.3">
      <c r="A32" t="s">
        <v>539</v>
      </c>
      <c r="B32" t="s">
        <v>549</v>
      </c>
      <c r="C32" t="s">
        <v>27</v>
      </c>
      <c r="D32" s="68"/>
      <c r="E32" s="68">
        <v>13</v>
      </c>
      <c r="F32" s="68"/>
      <c r="G32" s="68">
        <v>13</v>
      </c>
      <c r="H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" spans="1:8" hidden="1" x14ac:dyDescent="0.3">
      <c r="A33" t="s">
        <v>539</v>
      </c>
      <c r="B33" t="s">
        <v>550</v>
      </c>
      <c r="C33" t="s">
        <v>25</v>
      </c>
      <c r="D33" s="68">
        <v>72</v>
      </c>
      <c r="E33" s="68"/>
      <c r="F33" s="68">
        <v>2919</v>
      </c>
      <c r="G33" s="68">
        <v>2991</v>
      </c>
      <c r="H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" spans="1:8" hidden="1" x14ac:dyDescent="0.3">
      <c r="A34" t="s">
        <v>539</v>
      </c>
      <c r="B34" t="s">
        <v>550</v>
      </c>
      <c r="C34" t="s">
        <v>26</v>
      </c>
      <c r="D34" s="68">
        <v>49</v>
      </c>
      <c r="E34" s="68"/>
      <c r="F34" s="68">
        <v>90</v>
      </c>
      <c r="G34" s="68">
        <v>139</v>
      </c>
      <c r="H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" spans="1:8" hidden="1" x14ac:dyDescent="0.3">
      <c r="A35" t="s">
        <v>539</v>
      </c>
      <c r="B35" t="s">
        <v>550</v>
      </c>
      <c r="C35" t="s">
        <v>27</v>
      </c>
      <c r="D35" s="68"/>
      <c r="E35" s="68">
        <v>32</v>
      </c>
      <c r="F35" s="68"/>
      <c r="G35" s="68">
        <v>32</v>
      </c>
      <c r="H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" spans="1:8" hidden="1" x14ac:dyDescent="0.3">
      <c r="A36" t="s">
        <v>551</v>
      </c>
      <c r="B36" t="s">
        <v>552</v>
      </c>
      <c r="C36" t="s">
        <v>538</v>
      </c>
      <c r="D36" s="68">
        <v>950</v>
      </c>
      <c r="E36" s="68"/>
      <c r="F36" s="68">
        <v>8328</v>
      </c>
      <c r="G36" s="68">
        <v>9278</v>
      </c>
      <c r="H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" spans="1:8" hidden="1" x14ac:dyDescent="0.3">
      <c r="A37" t="s">
        <v>551</v>
      </c>
      <c r="B37" t="s">
        <v>552</v>
      </c>
      <c r="C37" t="s">
        <v>31</v>
      </c>
      <c r="D37" s="68">
        <v>348</v>
      </c>
      <c r="E37" s="68"/>
      <c r="F37" s="68">
        <v>2764</v>
      </c>
      <c r="G37" s="68">
        <v>3112</v>
      </c>
      <c r="H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" spans="1:8" hidden="1" x14ac:dyDescent="0.3">
      <c r="A38" t="s">
        <v>551</v>
      </c>
      <c r="B38" t="s">
        <v>552</v>
      </c>
      <c r="C38" t="s">
        <v>26</v>
      </c>
      <c r="D38" s="68">
        <v>2117</v>
      </c>
      <c r="E38" s="68"/>
      <c r="F38" s="68">
        <v>700</v>
      </c>
      <c r="G38" s="68">
        <v>2817</v>
      </c>
      <c r="H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" spans="1:8" hidden="1" x14ac:dyDescent="0.3">
      <c r="A39" t="s">
        <v>551</v>
      </c>
      <c r="B39" t="s">
        <v>552</v>
      </c>
      <c r="C39" t="s">
        <v>27</v>
      </c>
      <c r="D39" s="68"/>
      <c r="E39" s="68">
        <v>496</v>
      </c>
      <c r="F39" s="68"/>
      <c r="G39" s="68">
        <v>496</v>
      </c>
      <c r="H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" spans="1:8" hidden="1" x14ac:dyDescent="0.3">
      <c r="A40" t="s">
        <v>551</v>
      </c>
      <c r="B40" t="s">
        <v>552</v>
      </c>
      <c r="C40" t="s">
        <v>553</v>
      </c>
      <c r="D40" s="68">
        <v>1</v>
      </c>
      <c r="E40" s="68"/>
      <c r="F40" s="68"/>
      <c r="G40" s="68">
        <v>1</v>
      </c>
      <c r="H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" spans="1:8" hidden="1" x14ac:dyDescent="0.3">
      <c r="A41" t="s">
        <v>551</v>
      </c>
      <c r="B41" t="s">
        <v>554</v>
      </c>
      <c r="C41" t="s">
        <v>538</v>
      </c>
      <c r="D41" s="68">
        <v>166</v>
      </c>
      <c r="E41" s="68"/>
      <c r="F41" s="68">
        <v>1247</v>
      </c>
      <c r="G41" s="68">
        <v>1413</v>
      </c>
      <c r="H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" spans="1:8" hidden="1" x14ac:dyDescent="0.3">
      <c r="A42" t="s">
        <v>551</v>
      </c>
      <c r="B42" t="s">
        <v>554</v>
      </c>
      <c r="C42" t="s">
        <v>26</v>
      </c>
      <c r="D42" s="68">
        <v>179</v>
      </c>
      <c r="E42" s="68"/>
      <c r="F42" s="68">
        <v>100</v>
      </c>
      <c r="G42" s="68">
        <v>279</v>
      </c>
      <c r="H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" spans="1:8" hidden="1" x14ac:dyDescent="0.3">
      <c r="A43" t="s">
        <v>551</v>
      </c>
      <c r="B43" t="s">
        <v>554</v>
      </c>
      <c r="C43" t="s">
        <v>27</v>
      </c>
      <c r="D43" s="68"/>
      <c r="E43" s="68">
        <v>40</v>
      </c>
      <c r="F43" s="68"/>
      <c r="G43" s="68">
        <v>40</v>
      </c>
      <c r="H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" spans="1:8" hidden="1" x14ac:dyDescent="0.3">
      <c r="A44" t="s">
        <v>551</v>
      </c>
      <c r="B44" t="s">
        <v>555</v>
      </c>
      <c r="C44" t="s">
        <v>538</v>
      </c>
      <c r="D44" s="68">
        <v>287</v>
      </c>
      <c r="E44" s="68"/>
      <c r="F44" s="68">
        <v>2605</v>
      </c>
      <c r="G44" s="68">
        <v>2892</v>
      </c>
      <c r="H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" spans="1:8" hidden="1" x14ac:dyDescent="0.3">
      <c r="A45" t="s">
        <v>551</v>
      </c>
      <c r="B45" t="s">
        <v>555</v>
      </c>
      <c r="C45" t="s">
        <v>26</v>
      </c>
      <c r="D45" s="68">
        <v>298</v>
      </c>
      <c r="E45" s="68"/>
      <c r="F45" s="68">
        <v>184</v>
      </c>
      <c r="G45" s="68">
        <v>482</v>
      </c>
      <c r="H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" spans="1:8" hidden="1" x14ac:dyDescent="0.3">
      <c r="A46" t="s">
        <v>551</v>
      </c>
      <c r="B46" t="s">
        <v>555</v>
      </c>
      <c r="C46" t="s">
        <v>27</v>
      </c>
      <c r="D46" s="68"/>
      <c r="E46" s="68">
        <v>63</v>
      </c>
      <c r="F46" s="68"/>
      <c r="G46" s="68">
        <v>63</v>
      </c>
      <c r="H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" spans="1:8" hidden="1" x14ac:dyDescent="0.3">
      <c r="A47" t="s">
        <v>551</v>
      </c>
      <c r="B47" t="s">
        <v>556</v>
      </c>
      <c r="C47" t="s">
        <v>26</v>
      </c>
      <c r="D47" s="68">
        <v>5045</v>
      </c>
      <c r="E47" s="68"/>
      <c r="F47" s="68">
        <v>1370</v>
      </c>
      <c r="G47" s="68">
        <v>6415</v>
      </c>
      <c r="H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" spans="1:8" hidden="1" x14ac:dyDescent="0.3">
      <c r="A48" t="s">
        <v>551</v>
      </c>
      <c r="B48" t="s">
        <v>556</v>
      </c>
      <c r="C48" t="s">
        <v>31</v>
      </c>
      <c r="D48" s="68">
        <v>1309</v>
      </c>
      <c r="E48" s="68"/>
      <c r="F48" s="68">
        <v>4963</v>
      </c>
      <c r="G48" s="68">
        <v>6272</v>
      </c>
      <c r="H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" spans="1:8" hidden="1" x14ac:dyDescent="0.3">
      <c r="A49" t="s">
        <v>551</v>
      </c>
      <c r="B49" t="s">
        <v>556</v>
      </c>
      <c r="C49" t="s">
        <v>36</v>
      </c>
      <c r="D49" s="68">
        <v>4209</v>
      </c>
      <c r="E49" s="68"/>
      <c r="F49" s="68">
        <v>1162</v>
      </c>
      <c r="G49" s="68">
        <v>5371</v>
      </c>
      <c r="H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" spans="1:8" hidden="1" x14ac:dyDescent="0.3">
      <c r="A50" t="s">
        <v>551</v>
      </c>
      <c r="B50" t="s">
        <v>556</v>
      </c>
      <c r="C50" t="s">
        <v>34</v>
      </c>
      <c r="D50" s="68">
        <v>4137</v>
      </c>
      <c r="E50" s="68"/>
      <c r="F50" s="68">
        <v>570</v>
      </c>
      <c r="G50" s="68">
        <v>4707</v>
      </c>
      <c r="H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" spans="1:8" hidden="1" x14ac:dyDescent="0.3">
      <c r="A51" t="s">
        <v>551</v>
      </c>
      <c r="B51" t="s">
        <v>556</v>
      </c>
      <c r="C51" t="s">
        <v>538</v>
      </c>
      <c r="D51" s="68">
        <v>537</v>
      </c>
      <c r="E51" s="68"/>
      <c r="F51" s="68">
        <v>2956</v>
      </c>
      <c r="G51" s="68">
        <v>3493</v>
      </c>
      <c r="H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" spans="1:8" hidden="1" x14ac:dyDescent="0.3">
      <c r="A52" t="s">
        <v>551</v>
      </c>
      <c r="B52" t="s">
        <v>556</v>
      </c>
      <c r="C52" t="s">
        <v>27</v>
      </c>
      <c r="D52" s="68"/>
      <c r="E52" s="68">
        <v>524</v>
      </c>
      <c r="F52" s="68"/>
      <c r="G52" s="68">
        <v>524</v>
      </c>
      <c r="H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" spans="1:8" hidden="1" x14ac:dyDescent="0.3">
      <c r="A53" t="s">
        <v>551</v>
      </c>
      <c r="B53" t="s">
        <v>556</v>
      </c>
      <c r="C53" t="s">
        <v>35</v>
      </c>
      <c r="D53" s="68">
        <v>22</v>
      </c>
      <c r="E53" s="68"/>
      <c r="F53" s="68"/>
      <c r="G53" s="68">
        <v>22</v>
      </c>
      <c r="H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" spans="1:8" hidden="1" x14ac:dyDescent="0.3">
      <c r="A54" t="s">
        <v>551</v>
      </c>
      <c r="B54" t="s">
        <v>556</v>
      </c>
      <c r="C54" t="s">
        <v>553</v>
      </c>
      <c r="D54" s="68">
        <v>3</v>
      </c>
      <c r="E54" s="68"/>
      <c r="F54" s="68"/>
      <c r="G54" s="68">
        <v>3</v>
      </c>
      <c r="H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" spans="1:8" hidden="1" x14ac:dyDescent="0.3">
      <c r="A55" t="s">
        <v>551</v>
      </c>
      <c r="B55" t="s">
        <v>557</v>
      </c>
      <c r="C55" t="s">
        <v>31</v>
      </c>
      <c r="D55" s="68">
        <v>1185</v>
      </c>
      <c r="E55" s="68"/>
      <c r="F55" s="68">
        <v>12114</v>
      </c>
      <c r="G55" s="68">
        <v>13299</v>
      </c>
      <c r="H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6" spans="1:8" hidden="1" x14ac:dyDescent="0.3">
      <c r="A56" t="s">
        <v>551</v>
      </c>
      <c r="B56" t="s">
        <v>557</v>
      </c>
      <c r="C56" t="s">
        <v>538</v>
      </c>
      <c r="D56" s="68">
        <v>301</v>
      </c>
      <c r="E56" s="68"/>
      <c r="F56" s="68">
        <v>4994</v>
      </c>
      <c r="G56" s="68">
        <v>5295</v>
      </c>
      <c r="H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7" spans="1:8" hidden="1" x14ac:dyDescent="0.3">
      <c r="A57" t="s">
        <v>551</v>
      </c>
      <c r="B57" t="s">
        <v>557</v>
      </c>
      <c r="C57" t="s">
        <v>26</v>
      </c>
      <c r="D57" s="68">
        <v>1781</v>
      </c>
      <c r="E57" s="68"/>
      <c r="F57" s="68">
        <v>1201</v>
      </c>
      <c r="G57" s="68">
        <v>2982</v>
      </c>
      <c r="H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8" spans="1:8" hidden="1" x14ac:dyDescent="0.3">
      <c r="A58" t="s">
        <v>551</v>
      </c>
      <c r="B58" t="s">
        <v>557</v>
      </c>
      <c r="C58" t="s">
        <v>27</v>
      </c>
      <c r="D58" s="68"/>
      <c r="E58" s="68">
        <v>485</v>
      </c>
      <c r="F58" s="68"/>
      <c r="G58" s="68">
        <v>485</v>
      </c>
      <c r="H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9" spans="1:8" hidden="1" x14ac:dyDescent="0.3">
      <c r="A59" t="s">
        <v>551</v>
      </c>
      <c r="B59" t="s">
        <v>557</v>
      </c>
      <c r="C59" t="s">
        <v>553</v>
      </c>
      <c r="D59" s="68">
        <v>5</v>
      </c>
      <c r="E59" s="68"/>
      <c r="F59" s="68"/>
      <c r="G59" s="68">
        <v>5</v>
      </c>
      <c r="H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0" spans="1:8" hidden="1" x14ac:dyDescent="0.3">
      <c r="A60" t="s">
        <v>551</v>
      </c>
      <c r="B60" t="s">
        <v>557</v>
      </c>
      <c r="C60" t="s">
        <v>34</v>
      </c>
      <c r="D60" s="68">
        <v>1</v>
      </c>
      <c r="E60" s="68"/>
      <c r="F60" s="68"/>
      <c r="G60" s="68">
        <v>1</v>
      </c>
      <c r="H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1" spans="1:8" hidden="1" x14ac:dyDescent="0.3">
      <c r="A61" t="s">
        <v>551</v>
      </c>
      <c r="B61" t="s">
        <v>558</v>
      </c>
      <c r="C61" t="s">
        <v>538</v>
      </c>
      <c r="D61" s="68">
        <v>1664</v>
      </c>
      <c r="E61" s="68"/>
      <c r="F61" s="68">
        <v>21303</v>
      </c>
      <c r="G61" s="68">
        <v>22967</v>
      </c>
      <c r="H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" spans="1:8" hidden="1" x14ac:dyDescent="0.3">
      <c r="A62" t="s">
        <v>551</v>
      </c>
      <c r="B62" t="s">
        <v>558</v>
      </c>
      <c r="C62" t="s">
        <v>26</v>
      </c>
      <c r="D62" s="68">
        <v>5354</v>
      </c>
      <c r="E62" s="68"/>
      <c r="F62" s="68">
        <v>4088</v>
      </c>
      <c r="G62" s="68">
        <v>9442</v>
      </c>
      <c r="H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3" spans="1:8" hidden="1" x14ac:dyDescent="0.3">
      <c r="A63" t="s">
        <v>551</v>
      </c>
      <c r="B63" t="s">
        <v>558</v>
      </c>
      <c r="C63" t="s">
        <v>34</v>
      </c>
      <c r="D63" s="68">
        <v>4828</v>
      </c>
      <c r="E63" s="68"/>
      <c r="F63" s="68">
        <v>1962</v>
      </c>
      <c r="G63" s="68">
        <v>6790</v>
      </c>
      <c r="H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4" spans="1:8" hidden="1" x14ac:dyDescent="0.3">
      <c r="A64" t="s">
        <v>551</v>
      </c>
      <c r="B64" t="s">
        <v>558</v>
      </c>
      <c r="C64" t="s">
        <v>27</v>
      </c>
      <c r="D64" s="68"/>
      <c r="E64" s="68">
        <v>835</v>
      </c>
      <c r="F64" s="68"/>
      <c r="G64" s="68">
        <v>835</v>
      </c>
      <c r="H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" spans="1:8" hidden="1" x14ac:dyDescent="0.3">
      <c r="A65" t="s">
        <v>551</v>
      </c>
      <c r="B65" t="s">
        <v>558</v>
      </c>
      <c r="C65" t="s">
        <v>31</v>
      </c>
      <c r="D65" s="68">
        <v>1</v>
      </c>
      <c r="E65" s="68"/>
      <c r="F65" s="68"/>
      <c r="G65" s="68">
        <v>1</v>
      </c>
      <c r="H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6" spans="1:8" hidden="1" x14ac:dyDescent="0.3">
      <c r="A66" t="s">
        <v>551</v>
      </c>
      <c r="B66" t="s">
        <v>558</v>
      </c>
      <c r="C66" t="s">
        <v>36</v>
      </c>
      <c r="D66" s="68"/>
      <c r="E66" s="68"/>
      <c r="F66" s="68">
        <v>1</v>
      </c>
      <c r="G66" s="68">
        <v>1</v>
      </c>
      <c r="H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7" spans="1:8" hidden="1" x14ac:dyDescent="0.3">
      <c r="A67" t="s">
        <v>551</v>
      </c>
      <c r="B67" t="s">
        <v>559</v>
      </c>
      <c r="C67" t="s">
        <v>34</v>
      </c>
      <c r="D67" s="68">
        <v>307</v>
      </c>
      <c r="E67" s="68"/>
      <c r="F67" s="68">
        <v>933</v>
      </c>
      <c r="G67" s="68">
        <v>1240</v>
      </c>
      <c r="H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8" spans="1:8" hidden="1" x14ac:dyDescent="0.3">
      <c r="A68" t="s">
        <v>551</v>
      </c>
      <c r="B68" t="s">
        <v>559</v>
      </c>
      <c r="C68" t="s">
        <v>538</v>
      </c>
      <c r="D68" s="68">
        <v>86</v>
      </c>
      <c r="E68" s="68"/>
      <c r="F68" s="68">
        <v>1030</v>
      </c>
      <c r="G68" s="68">
        <v>1116</v>
      </c>
      <c r="H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9" spans="1:8" hidden="1" x14ac:dyDescent="0.3">
      <c r="A69" t="s">
        <v>551</v>
      </c>
      <c r="B69" t="s">
        <v>559</v>
      </c>
      <c r="C69" t="s">
        <v>26</v>
      </c>
      <c r="D69" s="68">
        <v>836</v>
      </c>
      <c r="E69" s="68"/>
      <c r="F69" s="68">
        <v>279</v>
      </c>
      <c r="G69" s="68">
        <v>1115</v>
      </c>
      <c r="H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0" spans="1:8" hidden="1" x14ac:dyDescent="0.3">
      <c r="A70" t="s">
        <v>551</v>
      </c>
      <c r="B70" t="s">
        <v>559</v>
      </c>
      <c r="C70" t="s">
        <v>27</v>
      </c>
      <c r="D70" s="68"/>
      <c r="E70" s="68">
        <v>109</v>
      </c>
      <c r="F70" s="68"/>
      <c r="G70" s="68">
        <v>109</v>
      </c>
      <c r="H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1" spans="1:8" hidden="1" x14ac:dyDescent="0.3">
      <c r="A71" t="s">
        <v>551</v>
      </c>
      <c r="B71" t="s">
        <v>560</v>
      </c>
      <c r="C71" t="s">
        <v>31</v>
      </c>
      <c r="D71" s="68">
        <v>563</v>
      </c>
      <c r="E71" s="68"/>
      <c r="F71" s="68">
        <v>7735</v>
      </c>
      <c r="G71" s="68">
        <v>8298</v>
      </c>
      <c r="H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2" spans="1:8" hidden="1" x14ac:dyDescent="0.3">
      <c r="A72" t="s">
        <v>551</v>
      </c>
      <c r="B72" t="s">
        <v>560</v>
      </c>
      <c r="C72" t="s">
        <v>26</v>
      </c>
      <c r="D72" s="68">
        <v>470</v>
      </c>
      <c r="E72" s="68"/>
      <c r="F72" s="68">
        <v>218</v>
      </c>
      <c r="G72" s="68">
        <v>688</v>
      </c>
      <c r="H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" spans="1:8" hidden="1" x14ac:dyDescent="0.3">
      <c r="A73" t="s">
        <v>551</v>
      </c>
      <c r="B73" t="s">
        <v>560</v>
      </c>
      <c r="C73" t="s">
        <v>538</v>
      </c>
      <c r="D73" s="68">
        <v>34</v>
      </c>
      <c r="E73" s="68"/>
      <c r="F73" s="68">
        <v>645</v>
      </c>
      <c r="G73" s="68">
        <v>679</v>
      </c>
      <c r="H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" spans="1:8" hidden="1" x14ac:dyDescent="0.3">
      <c r="A74" t="s">
        <v>551</v>
      </c>
      <c r="B74" t="s">
        <v>560</v>
      </c>
      <c r="C74" t="s">
        <v>27</v>
      </c>
      <c r="D74" s="68"/>
      <c r="E74" s="68">
        <v>178</v>
      </c>
      <c r="F74" s="68"/>
      <c r="G74" s="68">
        <v>178</v>
      </c>
      <c r="H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5" spans="1:8" hidden="1" x14ac:dyDescent="0.3">
      <c r="A75" t="s">
        <v>551</v>
      </c>
      <c r="B75" t="s">
        <v>560</v>
      </c>
      <c r="C75" t="s">
        <v>553</v>
      </c>
      <c r="D75" s="68">
        <v>1</v>
      </c>
      <c r="E75" s="68"/>
      <c r="F75" s="68"/>
      <c r="G75" s="68">
        <v>1</v>
      </c>
      <c r="H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6" spans="1:8" hidden="1" x14ac:dyDescent="0.3">
      <c r="A76" t="s">
        <v>551</v>
      </c>
      <c r="B76" t="s">
        <v>560</v>
      </c>
      <c r="C76" t="s">
        <v>34</v>
      </c>
      <c r="D76" s="68">
        <v>1</v>
      </c>
      <c r="E76" s="68"/>
      <c r="F76" s="68"/>
      <c r="G76" s="68">
        <v>1</v>
      </c>
      <c r="H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7" spans="1:8" hidden="1" x14ac:dyDescent="0.3">
      <c r="A77" t="s">
        <v>551</v>
      </c>
      <c r="B77" t="s">
        <v>561</v>
      </c>
      <c r="C77" t="s">
        <v>31</v>
      </c>
      <c r="D77" s="68">
        <v>863</v>
      </c>
      <c r="E77" s="68"/>
      <c r="F77" s="68">
        <v>12221</v>
      </c>
      <c r="G77" s="68">
        <v>13084</v>
      </c>
      <c r="H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8" spans="1:8" hidden="1" x14ac:dyDescent="0.3">
      <c r="A78" t="s">
        <v>551</v>
      </c>
      <c r="B78" t="s">
        <v>561</v>
      </c>
      <c r="C78" t="s">
        <v>538</v>
      </c>
      <c r="D78" s="68">
        <v>125</v>
      </c>
      <c r="E78" s="68"/>
      <c r="F78" s="68">
        <v>2963</v>
      </c>
      <c r="G78" s="68">
        <v>3088</v>
      </c>
      <c r="H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9" spans="1:8" hidden="1" x14ac:dyDescent="0.3">
      <c r="A79" t="s">
        <v>551</v>
      </c>
      <c r="B79" t="s">
        <v>561</v>
      </c>
      <c r="C79" t="s">
        <v>26</v>
      </c>
      <c r="D79" s="68">
        <v>531</v>
      </c>
      <c r="E79" s="68"/>
      <c r="F79" s="68">
        <v>394</v>
      </c>
      <c r="G79" s="68">
        <v>925</v>
      </c>
      <c r="H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0" spans="1:8" hidden="1" x14ac:dyDescent="0.3">
      <c r="A80" t="s">
        <v>551</v>
      </c>
      <c r="B80" t="s">
        <v>561</v>
      </c>
      <c r="C80" t="s">
        <v>27</v>
      </c>
      <c r="D80" s="68"/>
      <c r="E80" s="68">
        <v>319</v>
      </c>
      <c r="F80" s="68"/>
      <c r="G80" s="68">
        <v>319</v>
      </c>
      <c r="H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" spans="1:8" hidden="1" x14ac:dyDescent="0.3">
      <c r="A81" t="s">
        <v>551</v>
      </c>
      <c r="B81" t="s">
        <v>561</v>
      </c>
      <c r="C81" t="s">
        <v>5</v>
      </c>
      <c r="D81" s="68">
        <v>2</v>
      </c>
      <c r="E81" s="68"/>
      <c r="F81" s="68"/>
      <c r="G81" s="68">
        <v>2</v>
      </c>
      <c r="H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2" spans="1:8" hidden="1" x14ac:dyDescent="0.3">
      <c r="A82" t="s">
        <v>551</v>
      </c>
      <c r="B82" t="s">
        <v>562</v>
      </c>
      <c r="C82" t="s">
        <v>538</v>
      </c>
      <c r="D82" s="68">
        <v>330</v>
      </c>
      <c r="E82" s="68"/>
      <c r="F82" s="68">
        <v>5162</v>
      </c>
      <c r="G82" s="68">
        <v>5492</v>
      </c>
      <c r="H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3" spans="1:8" hidden="1" x14ac:dyDescent="0.3">
      <c r="A83" t="s">
        <v>551</v>
      </c>
      <c r="B83" t="s">
        <v>562</v>
      </c>
      <c r="C83" t="s">
        <v>26</v>
      </c>
      <c r="D83" s="68">
        <v>880</v>
      </c>
      <c r="E83" s="68"/>
      <c r="F83" s="68">
        <v>554</v>
      </c>
      <c r="G83" s="68">
        <v>1434</v>
      </c>
      <c r="H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4" spans="1:8" hidden="1" x14ac:dyDescent="0.3">
      <c r="A84" t="s">
        <v>551</v>
      </c>
      <c r="B84" t="s">
        <v>562</v>
      </c>
      <c r="C84" t="s">
        <v>27</v>
      </c>
      <c r="D84" s="68"/>
      <c r="E84" s="68">
        <v>102</v>
      </c>
      <c r="F84" s="68"/>
      <c r="G84" s="68">
        <v>102</v>
      </c>
      <c r="H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5" spans="1:8" hidden="1" x14ac:dyDescent="0.3">
      <c r="A85" t="s">
        <v>551</v>
      </c>
      <c r="B85" t="s">
        <v>563</v>
      </c>
      <c r="C85" t="s">
        <v>34</v>
      </c>
      <c r="D85" s="68">
        <v>43645</v>
      </c>
      <c r="E85" s="68"/>
      <c r="F85" s="68">
        <v>12731</v>
      </c>
      <c r="G85" s="68">
        <v>56376</v>
      </c>
      <c r="H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6" spans="1:8" hidden="1" x14ac:dyDescent="0.3">
      <c r="A86" t="s">
        <v>551</v>
      </c>
      <c r="B86" t="s">
        <v>563</v>
      </c>
      <c r="C86" t="s">
        <v>26</v>
      </c>
      <c r="D86" s="68">
        <v>32352</v>
      </c>
      <c r="E86" s="68"/>
      <c r="F86" s="68">
        <v>17933</v>
      </c>
      <c r="G86" s="68">
        <v>50285</v>
      </c>
      <c r="H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7" spans="1:8" hidden="1" x14ac:dyDescent="0.3">
      <c r="A87" t="s">
        <v>551</v>
      </c>
      <c r="B87" t="s">
        <v>563</v>
      </c>
      <c r="C87" t="s">
        <v>538</v>
      </c>
      <c r="D87" s="68">
        <v>2816</v>
      </c>
      <c r="E87" s="68"/>
      <c r="F87" s="68">
        <v>33939</v>
      </c>
      <c r="G87" s="68">
        <v>36755</v>
      </c>
      <c r="H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8" spans="1:8" hidden="1" x14ac:dyDescent="0.3">
      <c r="A88" t="s">
        <v>551</v>
      </c>
      <c r="B88" t="s">
        <v>563</v>
      </c>
      <c r="C88" t="s">
        <v>36</v>
      </c>
      <c r="D88" s="68">
        <v>2360</v>
      </c>
      <c r="E88" s="68"/>
      <c r="F88" s="68">
        <v>1542</v>
      </c>
      <c r="G88" s="68">
        <v>3902</v>
      </c>
      <c r="H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9" spans="1:8" hidden="1" x14ac:dyDescent="0.3">
      <c r="A89" t="s">
        <v>551</v>
      </c>
      <c r="B89" t="s">
        <v>563</v>
      </c>
      <c r="C89" t="s">
        <v>31</v>
      </c>
      <c r="D89" s="68">
        <v>485</v>
      </c>
      <c r="E89" s="68"/>
      <c r="F89" s="68">
        <v>3339</v>
      </c>
      <c r="G89" s="68">
        <v>3824</v>
      </c>
      <c r="H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0" spans="1:8" hidden="1" x14ac:dyDescent="0.3">
      <c r="A90" t="s">
        <v>551</v>
      </c>
      <c r="B90" t="s">
        <v>563</v>
      </c>
      <c r="C90" t="s">
        <v>27</v>
      </c>
      <c r="D90" s="68"/>
      <c r="E90" s="68">
        <v>2405</v>
      </c>
      <c r="F90" s="68"/>
      <c r="G90" s="68">
        <v>2405</v>
      </c>
      <c r="H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" spans="1:8" hidden="1" x14ac:dyDescent="0.3">
      <c r="A91" t="s">
        <v>551</v>
      </c>
      <c r="B91" t="s">
        <v>563</v>
      </c>
      <c r="C91" t="s">
        <v>32</v>
      </c>
      <c r="D91" s="68">
        <v>10</v>
      </c>
      <c r="E91" s="68"/>
      <c r="F91" s="68">
        <v>274</v>
      </c>
      <c r="G91" s="68">
        <v>284</v>
      </c>
      <c r="H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2" spans="1:8" hidden="1" x14ac:dyDescent="0.3">
      <c r="A92" t="s">
        <v>551</v>
      </c>
      <c r="B92" t="s">
        <v>563</v>
      </c>
      <c r="C92" t="s">
        <v>5</v>
      </c>
      <c r="D92" s="68">
        <v>1</v>
      </c>
      <c r="E92" s="68"/>
      <c r="F92" s="68"/>
      <c r="G92" s="68">
        <v>1</v>
      </c>
      <c r="H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3" spans="1:8" hidden="1" x14ac:dyDescent="0.3">
      <c r="A93" t="s">
        <v>551</v>
      </c>
      <c r="B93" t="s">
        <v>564</v>
      </c>
      <c r="C93" t="s">
        <v>538</v>
      </c>
      <c r="D93" s="68">
        <v>351</v>
      </c>
      <c r="E93" s="68"/>
      <c r="F93" s="68">
        <v>13532</v>
      </c>
      <c r="G93" s="68">
        <v>13883</v>
      </c>
      <c r="H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4" spans="1:8" hidden="1" x14ac:dyDescent="0.3">
      <c r="A94" t="s">
        <v>551</v>
      </c>
      <c r="B94" t="s">
        <v>564</v>
      </c>
      <c r="C94" t="s">
        <v>26</v>
      </c>
      <c r="D94" s="68">
        <v>2220</v>
      </c>
      <c r="E94" s="68"/>
      <c r="F94" s="68">
        <v>8576</v>
      </c>
      <c r="G94" s="68">
        <v>10796</v>
      </c>
      <c r="H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5" spans="1:8" hidden="1" x14ac:dyDescent="0.3">
      <c r="A95" t="s">
        <v>551</v>
      </c>
      <c r="B95" t="s">
        <v>564</v>
      </c>
      <c r="C95" t="s">
        <v>34</v>
      </c>
      <c r="D95" s="68">
        <v>1423</v>
      </c>
      <c r="E95" s="68"/>
      <c r="F95" s="68">
        <v>1130</v>
      </c>
      <c r="G95" s="68">
        <v>2553</v>
      </c>
      <c r="H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6" spans="1:8" hidden="1" x14ac:dyDescent="0.3">
      <c r="A96" t="s">
        <v>551</v>
      </c>
      <c r="B96" t="s">
        <v>564</v>
      </c>
      <c r="C96" t="s">
        <v>32</v>
      </c>
      <c r="D96" s="68">
        <v>54</v>
      </c>
      <c r="E96" s="68"/>
      <c r="F96" s="68">
        <v>1498</v>
      </c>
      <c r="G96" s="68">
        <v>1552</v>
      </c>
      <c r="H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7" spans="1:8" hidden="1" x14ac:dyDescent="0.3">
      <c r="A97" t="s">
        <v>551</v>
      </c>
      <c r="B97" t="s">
        <v>564</v>
      </c>
      <c r="C97" t="s">
        <v>27</v>
      </c>
      <c r="D97" s="68"/>
      <c r="E97" s="68">
        <v>671</v>
      </c>
      <c r="F97" s="68"/>
      <c r="G97" s="68">
        <v>671</v>
      </c>
      <c r="H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" spans="1:8" hidden="1" x14ac:dyDescent="0.3">
      <c r="A98" t="s">
        <v>551</v>
      </c>
      <c r="B98" t="s">
        <v>564</v>
      </c>
      <c r="C98" t="s">
        <v>36</v>
      </c>
      <c r="D98" s="68">
        <v>109</v>
      </c>
      <c r="E98" s="68"/>
      <c r="F98" s="68">
        <v>64</v>
      </c>
      <c r="G98" s="68">
        <v>173</v>
      </c>
      <c r="H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" spans="1:8" hidden="1" x14ac:dyDescent="0.3">
      <c r="A99" t="s">
        <v>551</v>
      </c>
      <c r="B99" t="s">
        <v>564</v>
      </c>
      <c r="C99" t="s">
        <v>30</v>
      </c>
      <c r="D99" s="68">
        <v>1</v>
      </c>
      <c r="E99" s="68"/>
      <c r="F99" s="68">
        <v>1</v>
      </c>
      <c r="G99" s="68">
        <v>2</v>
      </c>
      <c r="H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0" spans="1:8" hidden="1" x14ac:dyDescent="0.3">
      <c r="A100" t="s">
        <v>551</v>
      </c>
      <c r="B100" t="s">
        <v>49</v>
      </c>
      <c r="C100" t="s">
        <v>538</v>
      </c>
      <c r="D100" s="68">
        <v>298</v>
      </c>
      <c r="E100" s="68"/>
      <c r="F100" s="68">
        <v>5778</v>
      </c>
      <c r="G100" s="68">
        <v>6076</v>
      </c>
      <c r="H1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1" spans="1:8" hidden="1" x14ac:dyDescent="0.3">
      <c r="A101" t="s">
        <v>551</v>
      </c>
      <c r="B101" t="s">
        <v>49</v>
      </c>
      <c r="C101" t="s">
        <v>26</v>
      </c>
      <c r="D101" s="68">
        <v>367</v>
      </c>
      <c r="E101" s="68"/>
      <c r="F101" s="68">
        <v>146</v>
      </c>
      <c r="G101" s="68">
        <v>513</v>
      </c>
      <c r="H1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2" spans="1:8" hidden="1" x14ac:dyDescent="0.3">
      <c r="A102" t="s">
        <v>551</v>
      </c>
      <c r="B102" t="s">
        <v>49</v>
      </c>
      <c r="C102" t="s">
        <v>27</v>
      </c>
      <c r="D102" s="68"/>
      <c r="E102" s="68">
        <v>220</v>
      </c>
      <c r="F102" s="68"/>
      <c r="G102" s="68">
        <v>220</v>
      </c>
      <c r="H1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" spans="1:8" hidden="1" x14ac:dyDescent="0.3">
      <c r="A103" t="s">
        <v>551</v>
      </c>
      <c r="B103" t="s">
        <v>565</v>
      </c>
      <c r="C103" t="s">
        <v>31</v>
      </c>
      <c r="D103" s="68">
        <v>206</v>
      </c>
      <c r="E103" s="68"/>
      <c r="F103" s="68">
        <v>1602</v>
      </c>
      <c r="G103" s="68">
        <v>1808</v>
      </c>
      <c r="H1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4" spans="1:8" hidden="1" x14ac:dyDescent="0.3">
      <c r="A104" t="s">
        <v>551</v>
      </c>
      <c r="B104" t="s">
        <v>565</v>
      </c>
      <c r="C104" t="s">
        <v>538</v>
      </c>
      <c r="D104" s="68">
        <v>55</v>
      </c>
      <c r="E104" s="68"/>
      <c r="F104" s="68">
        <v>724</v>
      </c>
      <c r="G104" s="68">
        <v>779</v>
      </c>
      <c r="H1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5" spans="1:8" hidden="1" x14ac:dyDescent="0.3">
      <c r="A105" t="s">
        <v>551</v>
      </c>
      <c r="B105" t="s">
        <v>565</v>
      </c>
      <c r="C105" t="s">
        <v>26</v>
      </c>
      <c r="D105" s="68">
        <v>367</v>
      </c>
      <c r="E105" s="68"/>
      <c r="F105" s="68">
        <v>171</v>
      </c>
      <c r="G105" s="68">
        <v>538</v>
      </c>
      <c r="H1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6" spans="1:8" hidden="1" x14ac:dyDescent="0.3">
      <c r="A106" t="s">
        <v>551</v>
      </c>
      <c r="B106" t="s">
        <v>565</v>
      </c>
      <c r="C106" t="s">
        <v>27</v>
      </c>
      <c r="D106" s="68"/>
      <c r="E106" s="68">
        <v>119</v>
      </c>
      <c r="F106" s="68"/>
      <c r="G106" s="68">
        <v>119</v>
      </c>
      <c r="H1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7" spans="1:8" hidden="1" x14ac:dyDescent="0.3">
      <c r="A107" t="s">
        <v>551</v>
      </c>
      <c r="B107" t="s">
        <v>565</v>
      </c>
      <c r="C107" t="s">
        <v>36</v>
      </c>
      <c r="D107" s="68">
        <v>47</v>
      </c>
      <c r="E107" s="68"/>
      <c r="F107" s="68">
        <v>12</v>
      </c>
      <c r="G107" s="68">
        <v>59</v>
      </c>
      <c r="H1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8" spans="1:8" hidden="1" x14ac:dyDescent="0.3">
      <c r="A108" t="s">
        <v>551</v>
      </c>
      <c r="B108" t="s">
        <v>565</v>
      </c>
      <c r="C108" t="s">
        <v>5</v>
      </c>
      <c r="D108" s="68">
        <v>2</v>
      </c>
      <c r="E108" s="68"/>
      <c r="F108" s="68"/>
      <c r="G108" s="68">
        <v>2</v>
      </c>
      <c r="H1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9" spans="1:8" hidden="1" x14ac:dyDescent="0.3">
      <c r="A109" t="s">
        <v>551</v>
      </c>
      <c r="B109" t="s">
        <v>566</v>
      </c>
      <c r="C109" t="s">
        <v>34</v>
      </c>
      <c r="D109" s="68">
        <v>16539</v>
      </c>
      <c r="E109" s="68"/>
      <c r="F109" s="68">
        <v>3632</v>
      </c>
      <c r="G109" s="68">
        <v>20171</v>
      </c>
      <c r="H1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0" spans="1:8" hidden="1" x14ac:dyDescent="0.3">
      <c r="A110" t="s">
        <v>551</v>
      </c>
      <c r="B110" t="s">
        <v>566</v>
      </c>
      <c r="C110" t="s">
        <v>538</v>
      </c>
      <c r="D110" s="68">
        <v>2093</v>
      </c>
      <c r="E110" s="68"/>
      <c r="F110" s="68">
        <v>15954</v>
      </c>
      <c r="G110" s="68">
        <v>18047</v>
      </c>
      <c r="H1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1" spans="1:8" hidden="1" x14ac:dyDescent="0.3">
      <c r="A111" t="s">
        <v>551</v>
      </c>
      <c r="B111" t="s">
        <v>566</v>
      </c>
      <c r="C111" t="s">
        <v>26</v>
      </c>
      <c r="D111" s="68">
        <v>4924</v>
      </c>
      <c r="E111" s="68"/>
      <c r="F111" s="68">
        <v>1386</v>
      </c>
      <c r="G111" s="68">
        <v>6310</v>
      </c>
      <c r="H1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2" spans="1:8" hidden="1" x14ac:dyDescent="0.3">
      <c r="A112" t="s">
        <v>551</v>
      </c>
      <c r="B112" t="s">
        <v>566</v>
      </c>
      <c r="C112" t="s">
        <v>36</v>
      </c>
      <c r="D112" s="68">
        <v>1999</v>
      </c>
      <c r="E112" s="68"/>
      <c r="F112" s="68">
        <v>926</v>
      </c>
      <c r="G112" s="68">
        <v>2925</v>
      </c>
      <c r="H1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3" spans="1:8" hidden="1" x14ac:dyDescent="0.3">
      <c r="A113" t="s">
        <v>551</v>
      </c>
      <c r="B113" t="s">
        <v>566</v>
      </c>
      <c r="C113" t="s">
        <v>27</v>
      </c>
      <c r="D113" s="68"/>
      <c r="E113" s="68">
        <v>555</v>
      </c>
      <c r="F113" s="68"/>
      <c r="G113" s="68">
        <v>555</v>
      </c>
      <c r="H1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4" spans="1:8" hidden="1" x14ac:dyDescent="0.3">
      <c r="A114" t="s">
        <v>551</v>
      </c>
      <c r="B114" t="s">
        <v>566</v>
      </c>
      <c r="C114" t="s">
        <v>35</v>
      </c>
      <c r="D114" s="68">
        <v>53</v>
      </c>
      <c r="E114" s="68"/>
      <c r="F114" s="68"/>
      <c r="G114" s="68">
        <v>53</v>
      </c>
      <c r="H1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5" spans="1:8" hidden="1" x14ac:dyDescent="0.3">
      <c r="A115" t="s">
        <v>551</v>
      </c>
      <c r="B115" t="s">
        <v>566</v>
      </c>
      <c r="C115" t="s">
        <v>553</v>
      </c>
      <c r="D115" s="68">
        <v>19</v>
      </c>
      <c r="E115" s="68"/>
      <c r="F115" s="68"/>
      <c r="G115" s="68">
        <v>19</v>
      </c>
      <c r="H1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6" spans="1:8" hidden="1" x14ac:dyDescent="0.3">
      <c r="A116" t="s">
        <v>551</v>
      </c>
      <c r="B116" t="s">
        <v>567</v>
      </c>
      <c r="C116" t="s">
        <v>34</v>
      </c>
      <c r="D116" s="68">
        <v>240143</v>
      </c>
      <c r="E116" s="68"/>
      <c r="F116" s="68">
        <v>39407</v>
      </c>
      <c r="G116" s="68">
        <v>279550</v>
      </c>
      <c r="H1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7" spans="1:8" hidden="1" x14ac:dyDescent="0.3">
      <c r="A117" t="s">
        <v>551</v>
      </c>
      <c r="B117" t="s">
        <v>567</v>
      </c>
      <c r="C117" t="s">
        <v>538</v>
      </c>
      <c r="D117" s="68">
        <v>8341</v>
      </c>
      <c r="E117" s="68"/>
      <c r="F117" s="68">
        <v>84634</v>
      </c>
      <c r="G117" s="68">
        <v>92975</v>
      </c>
      <c r="H1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8" spans="1:8" hidden="1" x14ac:dyDescent="0.3">
      <c r="A118" t="s">
        <v>551</v>
      </c>
      <c r="B118" t="s">
        <v>567</v>
      </c>
      <c r="C118" t="s">
        <v>36</v>
      </c>
      <c r="D118" s="68">
        <v>53528</v>
      </c>
      <c r="E118" s="68"/>
      <c r="F118" s="68">
        <v>15664</v>
      </c>
      <c r="G118" s="68">
        <v>69192</v>
      </c>
      <c r="H1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" spans="1:8" hidden="1" x14ac:dyDescent="0.3">
      <c r="A119" t="s">
        <v>551</v>
      </c>
      <c r="B119" t="s">
        <v>567</v>
      </c>
      <c r="C119" t="s">
        <v>26</v>
      </c>
      <c r="D119" s="68">
        <v>41742</v>
      </c>
      <c r="E119" s="68"/>
      <c r="F119" s="68">
        <v>10380</v>
      </c>
      <c r="G119" s="68">
        <v>52122</v>
      </c>
      <c r="H1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0" spans="1:8" hidden="1" x14ac:dyDescent="0.3">
      <c r="A120" t="s">
        <v>551</v>
      </c>
      <c r="B120" t="s">
        <v>567</v>
      </c>
      <c r="C120" t="s">
        <v>5</v>
      </c>
      <c r="D120" s="68">
        <v>11040</v>
      </c>
      <c r="E120" s="68"/>
      <c r="F120" s="68">
        <v>2347</v>
      </c>
      <c r="G120" s="68">
        <v>13387</v>
      </c>
      <c r="H1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1" spans="1:8" hidden="1" x14ac:dyDescent="0.3">
      <c r="A121" t="s">
        <v>551</v>
      </c>
      <c r="B121" t="s">
        <v>567</v>
      </c>
      <c r="C121" t="s">
        <v>27</v>
      </c>
      <c r="D121" s="68"/>
      <c r="E121" s="68">
        <v>5624</v>
      </c>
      <c r="F121" s="68"/>
      <c r="G121" s="68">
        <v>5624</v>
      </c>
      <c r="H1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2" spans="1:8" hidden="1" x14ac:dyDescent="0.3">
      <c r="A122" t="s">
        <v>551</v>
      </c>
      <c r="B122" t="s">
        <v>567</v>
      </c>
      <c r="C122" t="s">
        <v>553</v>
      </c>
      <c r="D122" s="68">
        <v>529</v>
      </c>
      <c r="E122" s="68"/>
      <c r="F122" s="68"/>
      <c r="G122" s="68">
        <v>529</v>
      </c>
      <c r="H1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3" spans="1:8" hidden="1" x14ac:dyDescent="0.3">
      <c r="A123" t="s">
        <v>551</v>
      </c>
      <c r="B123" t="s">
        <v>567</v>
      </c>
      <c r="C123" t="s">
        <v>35</v>
      </c>
      <c r="D123" s="68">
        <v>511</v>
      </c>
      <c r="E123" s="68"/>
      <c r="F123" s="68"/>
      <c r="G123" s="68">
        <v>511</v>
      </c>
      <c r="H1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4" spans="1:8" hidden="1" x14ac:dyDescent="0.3">
      <c r="A124" t="s">
        <v>551</v>
      </c>
      <c r="B124" t="s">
        <v>568</v>
      </c>
      <c r="C124" t="s">
        <v>538</v>
      </c>
      <c r="D124" s="68">
        <v>330</v>
      </c>
      <c r="E124" s="68"/>
      <c r="F124" s="68">
        <v>2408</v>
      </c>
      <c r="G124" s="68">
        <v>2738</v>
      </c>
      <c r="H1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5" spans="1:8" hidden="1" x14ac:dyDescent="0.3">
      <c r="A125" t="s">
        <v>551</v>
      </c>
      <c r="B125" t="s">
        <v>568</v>
      </c>
      <c r="C125" t="s">
        <v>26</v>
      </c>
      <c r="D125" s="68">
        <v>700</v>
      </c>
      <c r="E125" s="68"/>
      <c r="F125" s="68">
        <v>204</v>
      </c>
      <c r="G125" s="68">
        <v>904</v>
      </c>
      <c r="H1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6" spans="1:8" hidden="1" x14ac:dyDescent="0.3">
      <c r="A126" t="s">
        <v>551</v>
      </c>
      <c r="B126" t="s">
        <v>568</v>
      </c>
      <c r="C126" t="s">
        <v>34</v>
      </c>
      <c r="D126" s="68">
        <v>194</v>
      </c>
      <c r="E126" s="68"/>
      <c r="F126" s="68">
        <v>59</v>
      </c>
      <c r="G126" s="68">
        <v>253</v>
      </c>
      <c r="H1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7" spans="1:8" hidden="1" x14ac:dyDescent="0.3">
      <c r="A127" t="s">
        <v>551</v>
      </c>
      <c r="B127" t="s">
        <v>568</v>
      </c>
      <c r="C127" t="s">
        <v>27</v>
      </c>
      <c r="D127" s="68"/>
      <c r="E127" s="68">
        <v>111</v>
      </c>
      <c r="F127" s="68"/>
      <c r="G127" s="68">
        <v>111</v>
      </c>
      <c r="H1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" spans="1:8" hidden="1" x14ac:dyDescent="0.3">
      <c r="A128" t="s">
        <v>551</v>
      </c>
      <c r="B128" t="s">
        <v>568</v>
      </c>
      <c r="C128" t="s">
        <v>36</v>
      </c>
      <c r="D128" s="68">
        <v>26</v>
      </c>
      <c r="E128" s="68"/>
      <c r="F128" s="68">
        <v>1</v>
      </c>
      <c r="G128" s="68">
        <v>27</v>
      </c>
      <c r="H1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9" spans="1:8" hidden="1" x14ac:dyDescent="0.3">
      <c r="A129" t="s">
        <v>551</v>
      </c>
      <c r="B129" t="s">
        <v>569</v>
      </c>
      <c r="C129" t="s">
        <v>538</v>
      </c>
      <c r="D129" s="68">
        <v>249</v>
      </c>
      <c r="E129" s="68"/>
      <c r="F129" s="68">
        <v>4396</v>
      </c>
      <c r="G129" s="68">
        <v>4645</v>
      </c>
      <c r="H1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0" spans="1:8" hidden="1" x14ac:dyDescent="0.3">
      <c r="A130" t="s">
        <v>551</v>
      </c>
      <c r="B130" t="s">
        <v>569</v>
      </c>
      <c r="C130" t="s">
        <v>34</v>
      </c>
      <c r="D130" s="68">
        <v>342</v>
      </c>
      <c r="E130" s="68"/>
      <c r="F130" s="68">
        <v>1547</v>
      </c>
      <c r="G130" s="68">
        <v>1889</v>
      </c>
      <c r="H1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1" spans="1:8" hidden="1" x14ac:dyDescent="0.3">
      <c r="A131" t="s">
        <v>551</v>
      </c>
      <c r="B131" t="s">
        <v>569</v>
      </c>
      <c r="C131" t="s">
        <v>26</v>
      </c>
      <c r="D131" s="68">
        <v>431</v>
      </c>
      <c r="E131" s="68"/>
      <c r="F131" s="68">
        <v>253</v>
      </c>
      <c r="G131" s="68">
        <v>684</v>
      </c>
      <c r="H1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2" spans="1:8" hidden="1" x14ac:dyDescent="0.3">
      <c r="A132" t="s">
        <v>551</v>
      </c>
      <c r="B132" t="s">
        <v>569</v>
      </c>
      <c r="C132" t="s">
        <v>27</v>
      </c>
      <c r="D132" s="68"/>
      <c r="E132" s="68">
        <v>174</v>
      </c>
      <c r="F132" s="68"/>
      <c r="G132" s="68">
        <v>174</v>
      </c>
      <c r="H1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3" spans="1:8" hidden="1" x14ac:dyDescent="0.3">
      <c r="A133" t="s">
        <v>551</v>
      </c>
      <c r="B133" t="s">
        <v>570</v>
      </c>
      <c r="C133" t="s">
        <v>538</v>
      </c>
      <c r="D133" s="68">
        <v>513</v>
      </c>
      <c r="E133" s="68"/>
      <c r="F133" s="68">
        <v>13544</v>
      </c>
      <c r="G133" s="68">
        <v>14057</v>
      </c>
      <c r="H1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4" spans="1:8" hidden="1" x14ac:dyDescent="0.3">
      <c r="A134" t="s">
        <v>551</v>
      </c>
      <c r="B134" t="s">
        <v>570</v>
      </c>
      <c r="C134" t="s">
        <v>26</v>
      </c>
      <c r="D134" s="68">
        <v>682</v>
      </c>
      <c r="E134" s="68"/>
      <c r="F134" s="68">
        <v>325</v>
      </c>
      <c r="G134" s="68">
        <v>1007</v>
      </c>
      <c r="H1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5" spans="1:8" hidden="1" x14ac:dyDescent="0.3">
      <c r="A135" t="s">
        <v>551</v>
      </c>
      <c r="B135" t="s">
        <v>570</v>
      </c>
      <c r="C135" t="s">
        <v>27</v>
      </c>
      <c r="D135" s="68"/>
      <c r="E135" s="68">
        <v>355</v>
      </c>
      <c r="F135" s="68"/>
      <c r="G135" s="68">
        <v>355</v>
      </c>
      <c r="H1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6" spans="1:8" hidden="1" x14ac:dyDescent="0.3">
      <c r="A136" t="s">
        <v>551</v>
      </c>
      <c r="B136" t="s">
        <v>570</v>
      </c>
      <c r="C136" t="s">
        <v>536</v>
      </c>
      <c r="D136" s="68">
        <v>1</v>
      </c>
      <c r="E136" s="68"/>
      <c r="F136" s="68"/>
      <c r="G136" s="68">
        <v>1</v>
      </c>
      <c r="H1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7" spans="1:8" hidden="1" x14ac:dyDescent="0.3">
      <c r="A137" t="s">
        <v>551</v>
      </c>
      <c r="B137" t="s">
        <v>571</v>
      </c>
      <c r="C137" t="s">
        <v>31</v>
      </c>
      <c r="D137" s="68">
        <v>384</v>
      </c>
      <c r="E137" s="68"/>
      <c r="F137" s="68">
        <v>3702</v>
      </c>
      <c r="G137" s="68">
        <v>4086</v>
      </c>
      <c r="H1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8" spans="1:8" hidden="1" x14ac:dyDescent="0.3">
      <c r="A138" t="s">
        <v>551</v>
      </c>
      <c r="B138" t="s">
        <v>571</v>
      </c>
      <c r="C138" t="s">
        <v>538</v>
      </c>
      <c r="D138" s="68">
        <v>75</v>
      </c>
      <c r="E138" s="68"/>
      <c r="F138" s="68">
        <v>1518</v>
      </c>
      <c r="G138" s="68">
        <v>1593</v>
      </c>
      <c r="H1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9" spans="1:8" hidden="1" x14ac:dyDescent="0.3">
      <c r="A139" t="s">
        <v>551</v>
      </c>
      <c r="B139" t="s">
        <v>571</v>
      </c>
      <c r="C139" t="s">
        <v>26</v>
      </c>
      <c r="D139" s="68">
        <v>188</v>
      </c>
      <c r="E139" s="68"/>
      <c r="F139" s="68">
        <v>192</v>
      </c>
      <c r="G139" s="68">
        <v>380</v>
      </c>
      <c r="H1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0" spans="1:8" hidden="1" x14ac:dyDescent="0.3">
      <c r="A140" t="s">
        <v>551</v>
      </c>
      <c r="B140" t="s">
        <v>571</v>
      </c>
      <c r="C140" t="s">
        <v>27</v>
      </c>
      <c r="D140" s="68"/>
      <c r="E140" s="68">
        <v>203</v>
      </c>
      <c r="F140" s="68"/>
      <c r="G140" s="68">
        <v>203</v>
      </c>
      <c r="H1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1" spans="1:8" hidden="1" x14ac:dyDescent="0.3">
      <c r="A141" t="s">
        <v>551</v>
      </c>
      <c r="B141" t="s">
        <v>572</v>
      </c>
      <c r="C141" t="s">
        <v>538</v>
      </c>
      <c r="D141" s="68">
        <v>537</v>
      </c>
      <c r="E141" s="68"/>
      <c r="F141" s="68">
        <v>4912</v>
      </c>
      <c r="G141" s="68">
        <v>5449</v>
      </c>
      <c r="H1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2" spans="1:8" hidden="1" x14ac:dyDescent="0.3">
      <c r="A142" t="s">
        <v>551</v>
      </c>
      <c r="B142" t="s">
        <v>572</v>
      </c>
      <c r="C142" t="s">
        <v>26</v>
      </c>
      <c r="D142" s="68">
        <v>1238</v>
      </c>
      <c r="E142" s="68"/>
      <c r="F142" s="68">
        <v>875</v>
      </c>
      <c r="G142" s="68">
        <v>2113</v>
      </c>
      <c r="H1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3" spans="1:8" hidden="1" x14ac:dyDescent="0.3">
      <c r="A143" t="s">
        <v>551</v>
      </c>
      <c r="B143" t="s">
        <v>572</v>
      </c>
      <c r="C143" t="s">
        <v>31</v>
      </c>
      <c r="D143" s="68">
        <v>39</v>
      </c>
      <c r="E143" s="68"/>
      <c r="F143" s="68">
        <v>658</v>
      </c>
      <c r="G143" s="68">
        <v>697</v>
      </c>
      <c r="H1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4" spans="1:8" hidden="1" x14ac:dyDescent="0.3">
      <c r="A144" t="s">
        <v>551</v>
      </c>
      <c r="B144" t="s">
        <v>572</v>
      </c>
      <c r="C144" t="s">
        <v>27</v>
      </c>
      <c r="D144" s="68"/>
      <c r="E144" s="68">
        <v>134</v>
      </c>
      <c r="F144" s="68"/>
      <c r="G144" s="68">
        <v>134</v>
      </c>
      <c r="H1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" spans="1:8" hidden="1" x14ac:dyDescent="0.3">
      <c r="A145" t="s">
        <v>551</v>
      </c>
      <c r="B145" t="s">
        <v>572</v>
      </c>
      <c r="C145" t="s">
        <v>553</v>
      </c>
      <c r="D145" s="68">
        <v>1</v>
      </c>
      <c r="E145" s="68"/>
      <c r="F145" s="68"/>
      <c r="G145" s="68">
        <v>1</v>
      </c>
      <c r="H1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6" spans="1:8" hidden="1" x14ac:dyDescent="0.3">
      <c r="A146" t="s">
        <v>551</v>
      </c>
      <c r="B146" t="s">
        <v>573</v>
      </c>
      <c r="C146" t="s">
        <v>31</v>
      </c>
      <c r="D146" s="68">
        <v>1052</v>
      </c>
      <c r="E146" s="68"/>
      <c r="F146" s="68">
        <v>19146</v>
      </c>
      <c r="G146" s="68">
        <v>20198</v>
      </c>
      <c r="H1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7" spans="1:8" hidden="1" x14ac:dyDescent="0.3">
      <c r="A147" t="s">
        <v>551</v>
      </c>
      <c r="B147" t="s">
        <v>573</v>
      </c>
      <c r="C147" t="s">
        <v>32</v>
      </c>
      <c r="D147" s="68">
        <v>28</v>
      </c>
      <c r="E147" s="68"/>
      <c r="F147" s="68">
        <v>2219</v>
      </c>
      <c r="G147" s="68">
        <v>2247</v>
      </c>
      <c r="H1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8" spans="1:8" hidden="1" x14ac:dyDescent="0.3">
      <c r="A148" t="s">
        <v>551</v>
      </c>
      <c r="B148" t="s">
        <v>573</v>
      </c>
      <c r="C148" t="s">
        <v>538</v>
      </c>
      <c r="D148" s="68">
        <v>53</v>
      </c>
      <c r="E148" s="68"/>
      <c r="F148" s="68">
        <v>1152</v>
      </c>
      <c r="G148" s="68">
        <v>1205</v>
      </c>
      <c r="H1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9" spans="1:8" hidden="1" x14ac:dyDescent="0.3">
      <c r="A149" t="s">
        <v>551</v>
      </c>
      <c r="B149" t="s">
        <v>573</v>
      </c>
      <c r="C149" t="s">
        <v>26</v>
      </c>
      <c r="D149" s="68">
        <v>302</v>
      </c>
      <c r="E149" s="68"/>
      <c r="F149" s="68">
        <v>280</v>
      </c>
      <c r="G149" s="68">
        <v>582</v>
      </c>
      <c r="H1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0" spans="1:8" hidden="1" x14ac:dyDescent="0.3">
      <c r="A150" t="s">
        <v>551</v>
      </c>
      <c r="B150" t="s">
        <v>573</v>
      </c>
      <c r="C150" t="s">
        <v>27</v>
      </c>
      <c r="D150" s="68"/>
      <c r="E150" s="68">
        <v>426</v>
      </c>
      <c r="F150" s="68"/>
      <c r="G150" s="68">
        <v>426</v>
      </c>
      <c r="H1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" spans="1:8" hidden="1" x14ac:dyDescent="0.3">
      <c r="A151" t="s">
        <v>551</v>
      </c>
      <c r="B151" t="s">
        <v>574</v>
      </c>
      <c r="C151" t="s">
        <v>538</v>
      </c>
      <c r="D151" s="68">
        <v>279</v>
      </c>
      <c r="E151" s="68"/>
      <c r="F151" s="68">
        <v>6613</v>
      </c>
      <c r="G151" s="68">
        <v>6892</v>
      </c>
      <c r="H1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2" spans="1:8" hidden="1" x14ac:dyDescent="0.3">
      <c r="A152" t="s">
        <v>551</v>
      </c>
      <c r="B152" t="s">
        <v>574</v>
      </c>
      <c r="C152" t="s">
        <v>26</v>
      </c>
      <c r="D152" s="68">
        <v>326</v>
      </c>
      <c r="E152" s="68"/>
      <c r="F152" s="68">
        <v>195</v>
      </c>
      <c r="G152" s="68">
        <v>521</v>
      </c>
      <c r="H1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" spans="1:8" hidden="1" x14ac:dyDescent="0.3">
      <c r="A153" t="s">
        <v>551</v>
      </c>
      <c r="B153" t="s">
        <v>574</v>
      </c>
      <c r="C153" t="s">
        <v>27</v>
      </c>
      <c r="D153" s="68"/>
      <c r="E153" s="68">
        <v>157</v>
      </c>
      <c r="F153" s="68"/>
      <c r="G153" s="68">
        <v>157</v>
      </c>
      <c r="H1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4" spans="1:8" hidden="1" x14ac:dyDescent="0.3">
      <c r="A154" t="s">
        <v>551</v>
      </c>
      <c r="B154" t="s">
        <v>575</v>
      </c>
      <c r="C154" t="s">
        <v>34</v>
      </c>
      <c r="D154" s="68">
        <v>60909</v>
      </c>
      <c r="E154" s="68"/>
      <c r="F154" s="68">
        <v>7295</v>
      </c>
      <c r="G154" s="68">
        <v>68204</v>
      </c>
      <c r="H1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5" spans="1:8" hidden="1" x14ac:dyDescent="0.3">
      <c r="A155" t="s">
        <v>551</v>
      </c>
      <c r="B155" t="s">
        <v>575</v>
      </c>
      <c r="C155" t="s">
        <v>538</v>
      </c>
      <c r="D155" s="68">
        <v>1907</v>
      </c>
      <c r="E155" s="68"/>
      <c r="F155" s="68">
        <v>12017</v>
      </c>
      <c r="G155" s="68">
        <v>13924</v>
      </c>
      <c r="H1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" spans="1:8" hidden="1" x14ac:dyDescent="0.3">
      <c r="A156" t="s">
        <v>551</v>
      </c>
      <c r="B156" t="s">
        <v>575</v>
      </c>
      <c r="C156" t="s">
        <v>26</v>
      </c>
      <c r="D156" s="68">
        <v>7019</v>
      </c>
      <c r="E156" s="68"/>
      <c r="F156" s="68">
        <v>1297</v>
      </c>
      <c r="G156" s="68">
        <v>8316</v>
      </c>
      <c r="H1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7" spans="1:8" hidden="1" x14ac:dyDescent="0.3">
      <c r="A157" t="s">
        <v>551</v>
      </c>
      <c r="B157" t="s">
        <v>575</v>
      </c>
      <c r="C157" t="s">
        <v>36</v>
      </c>
      <c r="D157" s="68">
        <v>3967</v>
      </c>
      <c r="E157" s="68"/>
      <c r="F157" s="68">
        <v>1130</v>
      </c>
      <c r="G157" s="68">
        <v>5097</v>
      </c>
      <c r="H1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8" spans="1:8" hidden="1" x14ac:dyDescent="0.3">
      <c r="A158" t="s">
        <v>551</v>
      </c>
      <c r="B158" t="s">
        <v>575</v>
      </c>
      <c r="C158" t="s">
        <v>27</v>
      </c>
      <c r="D158" s="68"/>
      <c r="E158" s="68">
        <v>816</v>
      </c>
      <c r="F158" s="68"/>
      <c r="G158" s="68">
        <v>816</v>
      </c>
      <c r="H1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9" spans="1:8" hidden="1" x14ac:dyDescent="0.3">
      <c r="A159" t="s">
        <v>551</v>
      </c>
      <c r="B159" t="s">
        <v>575</v>
      </c>
      <c r="C159" t="s">
        <v>553</v>
      </c>
      <c r="D159" s="68">
        <v>51</v>
      </c>
      <c r="E159" s="68"/>
      <c r="F159" s="68"/>
      <c r="G159" s="68">
        <v>51</v>
      </c>
      <c r="H1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0" spans="1:8" hidden="1" x14ac:dyDescent="0.3">
      <c r="A160" t="s">
        <v>551</v>
      </c>
      <c r="B160" t="s">
        <v>575</v>
      </c>
      <c r="C160" t="s">
        <v>35</v>
      </c>
      <c r="D160" s="68">
        <v>50</v>
      </c>
      <c r="E160" s="68"/>
      <c r="F160" s="68"/>
      <c r="G160" s="68">
        <v>50</v>
      </c>
      <c r="H1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1" spans="1:8" hidden="1" x14ac:dyDescent="0.3">
      <c r="A161" t="s">
        <v>551</v>
      </c>
      <c r="B161" t="s">
        <v>576</v>
      </c>
      <c r="C161" t="s">
        <v>538</v>
      </c>
      <c r="D161" s="68">
        <v>230</v>
      </c>
      <c r="E161" s="68"/>
      <c r="F161" s="68">
        <v>6185</v>
      </c>
      <c r="G161" s="68">
        <v>6415</v>
      </c>
      <c r="H1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" spans="1:8" hidden="1" x14ac:dyDescent="0.3">
      <c r="A162" t="s">
        <v>551</v>
      </c>
      <c r="B162" t="s">
        <v>576</v>
      </c>
      <c r="C162" t="s">
        <v>26</v>
      </c>
      <c r="D162" s="68">
        <v>251</v>
      </c>
      <c r="E162" s="68"/>
      <c r="F162" s="68">
        <v>152</v>
      </c>
      <c r="G162" s="68">
        <v>403</v>
      </c>
      <c r="H1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3" spans="1:8" hidden="1" x14ac:dyDescent="0.3">
      <c r="A163" t="s">
        <v>551</v>
      </c>
      <c r="B163" t="s">
        <v>576</v>
      </c>
      <c r="C163" t="s">
        <v>27</v>
      </c>
      <c r="D163" s="68"/>
      <c r="E163" s="68">
        <v>150</v>
      </c>
      <c r="F163" s="68"/>
      <c r="G163" s="68">
        <v>150</v>
      </c>
      <c r="H1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4" spans="1:8" hidden="1" x14ac:dyDescent="0.3">
      <c r="A164" t="s">
        <v>551</v>
      </c>
      <c r="B164" t="s">
        <v>577</v>
      </c>
      <c r="C164" t="s">
        <v>538</v>
      </c>
      <c r="D164" s="68">
        <v>846</v>
      </c>
      <c r="E164" s="68"/>
      <c r="F164" s="68">
        <v>10506</v>
      </c>
      <c r="G164" s="68">
        <v>11352</v>
      </c>
      <c r="H1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" spans="1:8" hidden="1" x14ac:dyDescent="0.3">
      <c r="A165" t="s">
        <v>551</v>
      </c>
      <c r="B165" t="s">
        <v>577</v>
      </c>
      <c r="C165" t="s">
        <v>26</v>
      </c>
      <c r="D165" s="68">
        <v>1416</v>
      </c>
      <c r="E165" s="68"/>
      <c r="F165" s="68">
        <v>758</v>
      </c>
      <c r="G165" s="68">
        <v>2174</v>
      </c>
      <c r="H1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6" spans="1:8" hidden="1" x14ac:dyDescent="0.3">
      <c r="A166" t="s">
        <v>551</v>
      </c>
      <c r="B166" t="s">
        <v>577</v>
      </c>
      <c r="C166" t="s">
        <v>27</v>
      </c>
      <c r="D166" s="68"/>
      <c r="E166" s="68">
        <v>352</v>
      </c>
      <c r="F166" s="68"/>
      <c r="G166" s="68">
        <v>352</v>
      </c>
      <c r="H1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7" spans="1:8" hidden="1" x14ac:dyDescent="0.3">
      <c r="A167" t="s">
        <v>551</v>
      </c>
      <c r="B167" t="s">
        <v>578</v>
      </c>
      <c r="C167" t="s">
        <v>538</v>
      </c>
      <c r="D167" s="68">
        <v>180</v>
      </c>
      <c r="E167" s="68"/>
      <c r="F167" s="68">
        <v>2719</v>
      </c>
      <c r="G167" s="68">
        <v>2899</v>
      </c>
      <c r="H1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8" spans="1:8" hidden="1" x14ac:dyDescent="0.3">
      <c r="A168" t="s">
        <v>551</v>
      </c>
      <c r="B168" t="s">
        <v>578</v>
      </c>
      <c r="C168" t="s">
        <v>26</v>
      </c>
      <c r="D168" s="68">
        <v>577</v>
      </c>
      <c r="E168" s="68"/>
      <c r="F168" s="68">
        <v>212</v>
      </c>
      <c r="G168" s="68">
        <v>789</v>
      </c>
      <c r="H1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9" spans="1:8" hidden="1" x14ac:dyDescent="0.3">
      <c r="A169" t="s">
        <v>551</v>
      </c>
      <c r="B169" t="s">
        <v>578</v>
      </c>
      <c r="C169" t="s">
        <v>27</v>
      </c>
      <c r="D169" s="68"/>
      <c r="E169" s="68">
        <v>83</v>
      </c>
      <c r="F169" s="68"/>
      <c r="G169" s="68">
        <v>83</v>
      </c>
      <c r="H1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0" spans="1:8" hidden="1" x14ac:dyDescent="0.3">
      <c r="A170" t="s">
        <v>551</v>
      </c>
      <c r="B170" t="s">
        <v>578</v>
      </c>
      <c r="C170" t="s">
        <v>35</v>
      </c>
      <c r="D170" s="68">
        <v>44</v>
      </c>
      <c r="E170" s="68"/>
      <c r="F170" s="68"/>
      <c r="G170" s="68">
        <v>44</v>
      </c>
      <c r="H1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" spans="1:8" hidden="1" x14ac:dyDescent="0.3">
      <c r="A171" t="s">
        <v>551</v>
      </c>
      <c r="B171" t="s">
        <v>579</v>
      </c>
      <c r="C171" t="s">
        <v>538</v>
      </c>
      <c r="D171" s="68">
        <v>288</v>
      </c>
      <c r="E171" s="68"/>
      <c r="F171" s="68">
        <v>3006</v>
      </c>
      <c r="G171" s="68">
        <v>3294</v>
      </c>
      <c r="H1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" spans="1:8" hidden="1" x14ac:dyDescent="0.3">
      <c r="A172" t="s">
        <v>551</v>
      </c>
      <c r="B172" t="s">
        <v>579</v>
      </c>
      <c r="C172" t="s">
        <v>26</v>
      </c>
      <c r="D172" s="68">
        <v>563</v>
      </c>
      <c r="E172" s="68"/>
      <c r="F172" s="68">
        <v>303</v>
      </c>
      <c r="G172" s="68">
        <v>866</v>
      </c>
      <c r="H1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3" spans="1:8" hidden="1" x14ac:dyDescent="0.3">
      <c r="A173" t="s">
        <v>551</v>
      </c>
      <c r="B173" t="s">
        <v>579</v>
      </c>
      <c r="C173" t="s">
        <v>27</v>
      </c>
      <c r="D173" s="68"/>
      <c r="E173" s="68">
        <v>128</v>
      </c>
      <c r="F173" s="68"/>
      <c r="G173" s="68">
        <v>128</v>
      </c>
      <c r="H1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4" spans="1:8" hidden="1" x14ac:dyDescent="0.3">
      <c r="A174" t="s">
        <v>551</v>
      </c>
      <c r="B174" t="s">
        <v>579</v>
      </c>
      <c r="C174" t="s">
        <v>553</v>
      </c>
      <c r="D174" s="68">
        <v>2</v>
      </c>
      <c r="E174" s="68"/>
      <c r="F174" s="68"/>
      <c r="G174" s="68">
        <v>2</v>
      </c>
      <c r="H1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5" spans="1:8" hidden="1" x14ac:dyDescent="0.3">
      <c r="A175" t="s">
        <v>551</v>
      </c>
      <c r="B175" t="s">
        <v>579</v>
      </c>
      <c r="C175" t="s">
        <v>36</v>
      </c>
      <c r="D175" s="68"/>
      <c r="E175" s="68"/>
      <c r="F175" s="68">
        <v>1</v>
      </c>
      <c r="G175" s="68">
        <v>1</v>
      </c>
      <c r="H1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6" spans="1:8" hidden="1" x14ac:dyDescent="0.3">
      <c r="A176" t="s">
        <v>551</v>
      </c>
      <c r="B176" t="s">
        <v>580</v>
      </c>
      <c r="C176" t="s">
        <v>538</v>
      </c>
      <c r="D176" s="68">
        <v>1416</v>
      </c>
      <c r="E176" s="68"/>
      <c r="F176" s="68">
        <v>19404</v>
      </c>
      <c r="G176" s="68">
        <v>20820</v>
      </c>
      <c r="H1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7" spans="1:8" hidden="1" x14ac:dyDescent="0.3">
      <c r="A177" t="s">
        <v>551</v>
      </c>
      <c r="B177" t="s">
        <v>580</v>
      </c>
      <c r="C177" t="s">
        <v>26</v>
      </c>
      <c r="D177" s="68">
        <v>11676</v>
      </c>
      <c r="E177" s="68"/>
      <c r="F177" s="68">
        <v>6916</v>
      </c>
      <c r="G177" s="68">
        <v>18592</v>
      </c>
      <c r="H1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" spans="1:8" hidden="1" x14ac:dyDescent="0.3">
      <c r="A178" t="s">
        <v>551</v>
      </c>
      <c r="B178" t="s">
        <v>580</v>
      </c>
      <c r="C178" t="s">
        <v>34</v>
      </c>
      <c r="D178" s="68">
        <v>13333</v>
      </c>
      <c r="E178" s="68"/>
      <c r="F178" s="68">
        <v>4457</v>
      </c>
      <c r="G178" s="68">
        <v>17790</v>
      </c>
      <c r="H1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9" spans="1:8" hidden="1" x14ac:dyDescent="0.3">
      <c r="A179" t="s">
        <v>551</v>
      </c>
      <c r="B179" t="s">
        <v>580</v>
      </c>
      <c r="C179" t="s">
        <v>31</v>
      </c>
      <c r="D179" s="68">
        <v>296</v>
      </c>
      <c r="E179" s="68"/>
      <c r="F179" s="68">
        <v>1845</v>
      </c>
      <c r="G179" s="68">
        <v>2141</v>
      </c>
      <c r="H1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0" spans="1:8" hidden="1" x14ac:dyDescent="0.3">
      <c r="A180" t="s">
        <v>551</v>
      </c>
      <c r="B180" t="s">
        <v>580</v>
      </c>
      <c r="C180" t="s">
        <v>27</v>
      </c>
      <c r="D180" s="68"/>
      <c r="E180" s="68">
        <v>657</v>
      </c>
      <c r="F180" s="68"/>
      <c r="G180" s="68">
        <v>657</v>
      </c>
      <c r="H1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1" spans="1:8" hidden="1" x14ac:dyDescent="0.3">
      <c r="A181" t="s">
        <v>551</v>
      </c>
      <c r="B181" t="s">
        <v>580</v>
      </c>
      <c r="C181" t="s">
        <v>36</v>
      </c>
      <c r="D181" s="68">
        <v>240</v>
      </c>
      <c r="E181" s="68"/>
      <c r="F181" s="68">
        <v>207</v>
      </c>
      <c r="G181" s="68">
        <v>447</v>
      </c>
      <c r="H1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2" spans="1:8" hidden="1" x14ac:dyDescent="0.3">
      <c r="A182" t="s">
        <v>551</v>
      </c>
      <c r="B182" t="s">
        <v>580</v>
      </c>
      <c r="C182" t="s">
        <v>32</v>
      </c>
      <c r="D182" s="68"/>
      <c r="E182" s="68"/>
      <c r="F182" s="68">
        <v>1</v>
      </c>
      <c r="G182" s="68">
        <v>1</v>
      </c>
      <c r="H1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3" spans="1:8" hidden="1" x14ac:dyDescent="0.3">
      <c r="A183" t="s">
        <v>551</v>
      </c>
      <c r="B183" t="s">
        <v>581</v>
      </c>
      <c r="C183" t="s">
        <v>538</v>
      </c>
      <c r="D183" s="68">
        <v>223</v>
      </c>
      <c r="E183" s="68"/>
      <c r="F183" s="68">
        <v>1327</v>
      </c>
      <c r="G183" s="68">
        <v>1550</v>
      </c>
      <c r="H1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4" spans="1:8" hidden="1" x14ac:dyDescent="0.3">
      <c r="A184" t="s">
        <v>551</v>
      </c>
      <c r="B184" t="s">
        <v>581</v>
      </c>
      <c r="C184" t="s">
        <v>26</v>
      </c>
      <c r="D184" s="68">
        <v>870</v>
      </c>
      <c r="E184" s="68"/>
      <c r="F184" s="68">
        <v>297</v>
      </c>
      <c r="G184" s="68">
        <v>1167</v>
      </c>
      <c r="H1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5" spans="1:8" hidden="1" x14ac:dyDescent="0.3">
      <c r="A185" t="s">
        <v>551</v>
      </c>
      <c r="B185" t="s">
        <v>581</v>
      </c>
      <c r="C185" t="s">
        <v>27</v>
      </c>
      <c r="D185" s="68"/>
      <c r="E185" s="68">
        <v>120</v>
      </c>
      <c r="F185" s="68"/>
      <c r="G185" s="68">
        <v>120</v>
      </c>
      <c r="H1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6" spans="1:8" hidden="1" x14ac:dyDescent="0.3">
      <c r="A186" t="s">
        <v>551</v>
      </c>
      <c r="B186" t="s">
        <v>581</v>
      </c>
      <c r="C186" t="s">
        <v>553</v>
      </c>
      <c r="D186" s="68">
        <v>25</v>
      </c>
      <c r="E186" s="68"/>
      <c r="F186" s="68"/>
      <c r="G186" s="68">
        <v>25</v>
      </c>
      <c r="H1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7" spans="1:8" hidden="1" x14ac:dyDescent="0.3">
      <c r="A187" t="s">
        <v>551</v>
      </c>
      <c r="B187" t="s">
        <v>582</v>
      </c>
      <c r="C187" t="s">
        <v>31</v>
      </c>
      <c r="D187" s="68">
        <v>9959</v>
      </c>
      <c r="E187" s="68"/>
      <c r="F187" s="68">
        <v>49029</v>
      </c>
      <c r="G187" s="68">
        <v>58988</v>
      </c>
      <c r="H1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" spans="1:8" hidden="1" x14ac:dyDescent="0.3">
      <c r="A188" t="s">
        <v>551</v>
      </c>
      <c r="B188" t="s">
        <v>582</v>
      </c>
      <c r="C188" t="s">
        <v>538</v>
      </c>
      <c r="D188" s="68">
        <v>1806</v>
      </c>
      <c r="E188" s="68"/>
      <c r="F188" s="68">
        <v>26459</v>
      </c>
      <c r="G188" s="68">
        <v>28265</v>
      </c>
      <c r="H1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9" spans="1:8" hidden="1" x14ac:dyDescent="0.3">
      <c r="A189" t="s">
        <v>551</v>
      </c>
      <c r="B189" t="s">
        <v>582</v>
      </c>
      <c r="C189" t="s">
        <v>26</v>
      </c>
      <c r="D189" s="68">
        <v>8556</v>
      </c>
      <c r="E189" s="68"/>
      <c r="F189" s="68">
        <v>5814</v>
      </c>
      <c r="G189" s="68">
        <v>14370</v>
      </c>
      <c r="H1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0" spans="1:8" hidden="1" x14ac:dyDescent="0.3">
      <c r="A190" t="s">
        <v>551</v>
      </c>
      <c r="B190" t="s">
        <v>582</v>
      </c>
      <c r="C190" t="s">
        <v>27</v>
      </c>
      <c r="D190" s="68"/>
      <c r="E190" s="68">
        <v>2107</v>
      </c>
      <c r="F190" s="68"/>
      <c r="G190" s="68">
        <v>2107</v>
      </c>
      <c r="H1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1" spans="1:8" hidden="1" x14ac:dyDescent="0.3">
      <c r="A191" t="s">
        <v>551</v>
      </c>
      <c r="B191" t="s">
        <v>582</v>
      </c>
      <c r="C191" t="s">
        <v>553</v>
      </c>
      <c r="D191" s="68">
        <v>3</v>
      </c>
      <c r="E191" s="68"/>
      <c r="F191" s="68"/>
      <c r="G191" s="68">
        <v>3</v>
      </c>
      <c r="H1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2" spans="1:8" hidden="1" x14ac:dyDescent="0.3">
      <c r="A192" t="s">
        <v>551</v>
      </c>
      <c r="B192" t="s">
        <v>582</v>
      </c>
      <c r="C192" t="s">
        <v>32</v>
      </c>
      <c r="D192" s="68">
        <v>1</v>
      </c>
      <c r="E192" s="68"/>
      <c r="F192" s="68"/>
      <c r="G192" s="68">
        <v>1</v>
      </c>
      <c r="H1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" spans="1:8" hidden="1" x14ac:dyDescent="0.3">
      <c r="A193" t="s">
        <v>551</v>
      </c>
      <c r="B193" t="s">
        <v>582</v>
      </c>
      <c r="C193" t="s">
        <v>34</v>
      </c>
      <c r="D193" s="68">
        <v>1</v>
      </c>
      <c r="E193" s="68"/>
      <c r="F193" s="68"/>
      <c r="G193" s="68">
        <v>1</v>
      </c>
      <c r="H1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4" spans="1:8" hidden="1" x14ac:dyDescent="0.3">
      <c r="A194" t="s">
        <v>551</v>
      </c>
      <c r="B194" t="s">
        <v>582</v>
      </c>
      <c r="C194" t="s">
        <v>5</v>
      </c>
      <c r="D194" s="68">
        <v>1</v>
      </c>
      <c r="E194" s="68"/>
      <c r="F194" s="68"/>
      <c r="G194" s="68">
        <v>1</v>
      </c>
      <c r="H1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5" spans="1:8" hidden="1" x14ac:dyDescent="0.3">
      <c r="A195" t="s">
        <v>551</v>
      </c>
      <c r="B195" t="s">
        <v>583</v>
      </c>
      <c r="C195" t="s">
        <v>26</v>
      </c>
      <c r="D195" s="68">
        <v>14345</v>
      </c>
      <c r="E195" s="68"/>
      <c r="F195" s="68">
        <v>11147</v>
      </c>
      <c r="G195" s="68">
        <v>25492</v>
      </c>
      <c r="H1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" spans="1:8" hidden="1" x14ac:dyDescent="0.3">
      <c r="A196" t="s">
        <v>551</v>
      </c>
      <c r="B196" t="s">
        <v>583</v>
      </c>
      <c r="C196" t="s">
        <v>34</v>
      </c>
      <c r="D196" s="68">
        <v>15465</v>
      </c>
      <c r="E196" s="68"/>
      <c r="F196" s="68">
        <v>6823</v>
      </c>
      <c r="G196" s="68">
        <v>22288</v>
      </c>
      <c r="H1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7" spans="1:8" hidden="1" x14ac:dyDescent="0.3">
      <c r="A197" t="s">
        <v>551</v>
      </c>
      <c r="B197" t="s">
        <v>583</v>
      </c>
      <c r="C197" t="s">
        <v>538</v>
      </c>
      <c r="D197" s="68">
        <v>1484</v>
      </c>
      <c r="E197" s="68"/>
      <c r="F197" s="68">
        <v>20598</v>
      </c>
      <c r="G197" s="68">
        <v>22082</v>
      </c>
      <c r="H1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8" spans="1:8" hidden="1" x14ac:dyDescent="0.3">
      <c r="A198" t="s">
        <v>551</v>
      </c>
      <c r="B198" t="s">
        <v>583</v>
      </c>
      <c r="C198" t="s">
        <v>32</v>
      </c>
      <c r="D198" s="68">
        <v>43</v>
      </c>
      <c r="E198" s="68"/>
      <c r="F198" s="68">
        <v>3449</v>
      </c>
      <c r="G198" s="68">
        <v>3492</v>
      </c>
      <c r="H1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9" spans="1:8" hidden="1" x14ac:dyDescent="0.3">
      <c r="A199" t="s">
        <v>551</v>
      </c>
      <c r="B199" t="s">
        <v>583</v>
      </c>
      <c r="C199" t="s">
        <v>31</v>
      </c>
      <c r="D199" s="68">
        <v>308</v>
      </c>
      <c r="E199" s="68"/>
      <c r="F199" s="68">
        <v>1661</v>
      </c>
      <c r="G199" s="68">
        <v>1969</v>
      </c>
      <c r="H1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0" spans="1:8" hidden="1" x14ac:dyDescent="0.3">
      <c r="A200" t="s">
        <v>551</v>
      </c>
      <c r="B200" t="s">
        <v>583</v>
      </c>
      <c r="C200" t="s">
        <v>27</v>
      </c>
      <c r="D200" s="68"/>
      <c r="E200" s="68">
        <v>960</v>
      </c>
      <c r="F200" s="68"/>
      <c r="G200" s="68">
        <v>960</v>
      </c>
      <c r="H2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1" spans="1:8" hidden="1" x14ac:dyDescent="0.3">
      <c r="A201" t="s">
        <v>551</v>
      </c>
      <c r="B201" t="s">
        <v>583</v>
      </c>
      <c r="C201" t="s">
        <v>36</v>
      </c>
      <c r="D201" s="68">
        <v>165</v>
      </c>
      <c r="E201" s="68"/>
      <c r="F201" s="68">
        <v>182</v>
      </c>
      <c r="G201" s="68">
        <v>347</v>
      </c>
      <c r="H2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2" spans="1:8" hidden="1" x14ac:dyDescent="0.3">
      <c r="A202" t="s">
        <v>551</v>
      </c>
      <c r="B202" t="s">
        <v>583</v>
      </c>
      <c r="C202" t="s">
        <v>30</v>
      </c>
      <c r="D202" s="68">
        <v>1</v>
      </c>
      <c r="E202" s="68"/>
      <c r="F202" s="68"/>
      <c r="G202" s="68">
        <v>1</v>
      </c>
      <c r="H2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3" spans="1:8" hidden="1" x14ac:dyDescent="0.3">
      <c r="A203" t="s">
        <v>551</v>
      </c>
      <c r="B203" t="s">
        <v>584</v>
      </c>
      <c r="C203" t="s">
        <v>538</v>
      </c>
      <c r="D203" s="68">
        <v>929</v>
      </c>
      <c r="E203" s="68"/>
      <c r="F203" s="68">
        <v>5865</v>
      </c>
      <c r="G203" s="68">
        <v>6794</v>
      </c>
      <c r="H2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4" spans="1:8" hidden="1" x14ac:dyDescent="0.3">
      <c r="A204" t="s">
        <v>551</v>
      </c>
      <c r="B204" t="s">
        <v>584</v>
      </c>
      <c r="C204" t="s">
        <v>26</v>
      </c>
      <c r="D204" s="68">
        <v>2215</v>
      </c>
      <c r="E204" s="68"/>
      <c r="F204" s="68">
        <v>771</v>
      </c>
      <c r="G204" s="68">
        <v>2986</v>
      </c>
      <c r="H2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" spans="1:8" hidden="1" x14ac:dyDescent="0.3">
      <c r="A205" t="s">
        <v>551</v>
      </c>
      <c r="B205" t="s">
        <v>584</v>
      </c>
      <c r="C205" t="s">
        <v>27</v>
      </c>
      <c r="D205" s="68"/>
      <c r="E205" s="68">
        <v>237</v>
      </c>
      <c r="F205" s="68"/>
      <c r="G205" s="68">
        <v>237</v>
      </c>
      <c r="H2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6" spans="1:8" hidden="1" x14ac:dyDescent="0.3">
      <c r="A206" t="s">
        <v>551</v>
      </c>
      <c r="B206" t="s">
        <v>584</v>
      </c>
      <c r="C206" t="s">
        <v>35</v>
      </c>
      <c r="D206" s="68">
        <v>84</v>
      </c>
      <c r="E206" s="68"/>
      <c r="F206" s="68"/>
      <c r="G206" s="68">
        <v>84</v>
      </c>
      <c r="H2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7" spans="1:8" hidden="1" x14ac:dyDescent="0.3">
      <c r="A207" t="s">
        <v>551</v>
      </c>
      <c r="B207" t="s">
        <v>584</v>
      </c>
      <c r="C207" t="s">
        <v>5</v>
      </c>
      <c r="D207" s="68">
        <v>1</v>
      </c>
      <c r="E207" s="68"/>
      <c r="F207" s="68"/>
      <c r="G207" s="68">
        <v>1</v>
      </c>
      <c r="H2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" spans="1:8" hidden="1" x14ac:dyDescent="0.3">
      <c r="A208" t="s">
        <v>551</v>
      </c>
      <c r="B208" t="s">
        <v>584</v>
      </c>
      <c r="C208" t="s">
        <v>553</v>
      </c>
      <c r="D208" s="68">
        <v>1</v>
      </c>
      <c r="E208" s="68"/>
      <c r="F208" s="68"/>
      <c r="G208" s="68">
        <v>1</v>
      </c>
      <c r="H2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9" spans="1:8" hidden="1" x14ac:dyDescent="0.3">
      <c r="A209" t="s">
        <v>551</v>
      </c>
      <c r="B209" t="s">
        <v>585</v>
      </c>
      <c r="C209" t="s">
        <v>31</v>
      </c>
      <c r="D209" s="68">
        <v>2462</v>
      </c>
      <c r="E209" s="68"/>
      <c r="F209" s="68">
        <v>9116</v>
      </c>
      <c r="G209" s="68">
        <v>11578</v>
      </c>
      <c r="H2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" spans="1:8" hidden="1" x14ac:dyDescent="0.3">
      <c r="A210" t="s">
        <v>551</v>
      </c>
      <c r="B210" t="s">
        <v>585</v>
      </c>
      <c r="C210" t="s">
        <v>538</v>
      </c>
      <c r="D210" s="68">
        <v>764</v>
      </c>
      <c r="E210" s="68"/>
      <c r="F210" s="68">
        <v>7537</v>
      </c>
      <c r="G210" s="68">
        <v>8301</v>
      </c>
      <c r="H2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1" spans="1:8" hidden="1" x14ac:dyDescent="0.3">
      <c r="A211" t="s">
        <v>551</v>
      </c>
      <c r="B211" t="s">
        <v>585</v>
      </c>
      <c r="C211" t="s">
        <v>26</v>
      </c>
      <c r="D211" s="68">
        <v>3735</v>
      </c>
      <c r="E211" s="68"/>
      <c r="F211" s="68">
        <v>1490</v>
      </c>
      <c r="G211" s="68">
        <v>5225</v>
      </c>
      <c r="H2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2" spans="1:8" hidden="1" x14ac:dyDescent="0.3">
      <c r="A212" t="s">
        <v>551</v>
      </c>
      <c r="B212" t="s">
        <v>585</v>
      </c>
      <c r="C212" t="s">
        <v>27</v>
      </c>
      <c r="D212" s="68"/>
      <c r="E212" s="68">
        <v>602</v>
      </c>
      <c r="F212" s="68"/>
      <c r="G212" s="68">
        <v>602</v>
      </c>
      <c r="H2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3" spans="1:8" hidden="1" x14ac:dyDescent="0.3">
      <c r="A213" t="s">
        <v>551</v>
      </c>
      <c r="B213" t="s">
        <v>585</v>
      </c>
      <c r="C213" t="s">
        <v>34</v>
      </c>
      <c r="D213" s="68">
        <v>3</v>
      </c>
      <c r="E213" s="68"/>
      <c r="F213" s="68"/>
      <c r="G213" s="68">
        <v>3</v>
      </c>
      <c r="H2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" spans="1:8" hidden="1" x14ac:dyDescent="0.3">
      <c r="A214" t="s">
        <v>551</v>
      </c>
      <c r="B214" t="s">
        <v>586</v>
      </c>
      <c r="C214" t="s">
        <v>538</v>
      </c>
      <c r="D214" s="68">
        <v>680</v>
      </c>
      <c r="E214" s="68"/>
      <c r="F214" s="68">
        <v>8982</v>
      </c>
      <c r="G214" s="68">
        <v>9662</v>
      </c>
      <c r="H2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5" spans="1:8" hidden="1" x14ac:dyDescent="0.3">
      <c r="A215" t="s">
        <v>551</v>
      </c>
      <c r="B215" t="s">
        <v>586</v>
      </c>
      <c r="C215" t="s">
        <v>26</v>
      </c>
      <c r="D215" s="68">
        <v>1845</v>
      </c>
      <c r="E215" s="68"/>
      <c r="F215" s="68">
        <v>2252</v>
      </c>
      <c r="G215" s="68">
        <v>4097</v>
      </c>
      <c r="H2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6" spans="1:8" hidden="1" x14ac:dyDescent="0.3">
      <c r="A216" t="s">
        <v>551</v>
      </c>
      <c r="B216" t="s">
        <v>586</v>
      </c>
      <c r="C216" t="s">
        <v>34</v>
      </c>
      <c r="D216" s="68">
        <v>316</v>
      </c>
      <c r="E216" s="68"/>
      <c r="F216" s="68">
        <v>466</v>
      </c>
      <c r="G216" s="68">
        <v>782</v>
      </c>
      <c r="H2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7" spans="1:8" hidden="1" x14ac:dyDescent="0.3">
      <c r="A217" t="s">
        <v>551</v>
      </c>
      <c r="B217" t="s">
        <v>586</v>
      </c>
      <c r="C217" t="s">
        <v>27</v>
      </c>
      <c r="D217" s="68"/>
      <c r="E217" s="68">
        <v>320</v>
      </c>
      <c r="F217" s="68"/>
      <c r="G217" s="68">
        <v>320</v>
      </c>
      <c r="H2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" spans="1:8" hidden="1" x14ac:dyDescent="0.3">
      <c r="A218" t="s">
        <v>551</v>
      </c>
      <c r="B218" t="s">
        <v>586</v>
      </c>
      <c r="C218" t="s">
        <v>553</v>
      </c>
      <c r="D218" s="68">
        <v>9</v>
      </c>
      <c r="E218" s="68"/>
      <c r="F218" s="68"/>
      <c r="G218" s="68">
        <v>9</v>
      </c>
      <c r="H2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" spans="1:8" hidden="1" x14ac:dyDescent="0.3">
      <c r="A219" t="s">
        <v>551</v>
      </c>
      <c r="B219" t="s">
        <v>586</v>
      </c>
      <c r="C219" t="s">
        <v>587</v>
      </c>
      <c r="D219" s="68"/>
      <c r="E219" s="68"/>
      <c r="F219" s="68">
        <v>1</v>
      </c>
      <c r="G219" s="68">
        <v>1</v>
      </c>
      <c r="H2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0" spans="1:8" hidden="1" x14ac:dyDescent="0.3">
      <c r="A220" t="s">
        <v>551</v>
      </c>
      <c r="B220" t="s">
        <v>586</v>
      </c>
      <c r="C220" t="s">
        <v>588</v>
      </c>
      <c r="D220" s="68"/>
      <c r="E220" s="68"/>
      <c r="F220" s="68">
        <v>1</v>
      </c>
      <c r="G220" s="68">
        <v>1</v>
      </c>
      <c r="H2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1" spans="1:8" hidden="1" x14ac:dyDescent="0.3">
      <c r="A221" t="s">
        <v>551</v>
      </c>
      <c r="B221" t="s">
        <v>589</v>
      </c>
      <c r="C221" t="s">
        <v>538</v>
      </c>
      <c r="D221" s="68">
        <v>227</v>
      </c>
      <c r="E221" s="68"/>
      <c r="F221" s="68">
        <v>2118</v>
      </c>
      <c r="G221" s="68">
        <v>2345</v>
      </c>
      <c r="H2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2" spans="1:8" hidden="1" x14ac:dyDescent="0.3">
      <c r="A222" t="s">
        <v>551</v>
      </c>
      <c r="B222" t="s">
        <v>589</v>
      </c>
      <c r="C222" t="s">
        <v>26</v>
      </c>
      <c r="D222" s="68">
        <v>411</v>
      </c>
      <c r="E222" s="68"/>
      <c r="F222" s="68">
        <v>191</v>
      </c>
      <c r="G222" s="68">
        <v>602</v>
      </c>
      <c r="H2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" spans="1:8" hidden="1" x14ac:dyDescent="0.3">
      <c r="A223" t="s">
        <v>551</v>
      </c>
      <c r="B223" t="s">
        <v>589</v>
      </c>
      <c r="C223" t="s">
        <v>34</v>
      </c>
      <c r="D223" s="68">
        <v>223</v>
      </c>
      <c r="E223" s="68"/>
      <c r="F223" s="68">
        <v>366</v>
      </c>
      <c r="G223" s="68">
        <v>589</v>
      </c>
      <c r="H2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4" spans="1:8" hidden="1" x14ac:dyDescent="0.3">
      <c r="A224" t="s">
        <v>551</v>
      </c>
      <c r="B224" t="s">
        <v>589</v>
      </c>
      <c r="C224" t="s">
        <v>27</v>
      </c>
      <c r="D224" s="68"/>
      <c r="E224" s="68">
        <v>78</v>
      </c>
      <c r="F224" s="68"/>
      <c r="G224" s="68">
        <v>78</v>
      </c>
      <c r="H2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" spans="1:8" hidden="1" x14ac:dyDescent="0.3">
      <c r="A225" t="s">
        <v>551</v>
      </c>
      <c r="B225" t="s">
        <v>589</v>
      </c>
      <c r="C225" t="s">
        <v>36</v>
      </c>
      <c r="D225" s="68">
        <v>16</v>
      </c>
      <c r="E225" s="68"/>
      <c r="F225" s="68">
        <v>6</v>
      </c>
      <c r="G225" s="68">
        <v>22</v>
      </c>
      <c r="H2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6" spans="1:8" hidden="1" x14ac:dyDescent="0.3">
      <c r="A226" t="s">
        <v>551</v>
      </c>
      <c r="B226" t="s">
        <v>589</v>
      </c>
      <c r="C226" t="s">
        <v>553</v>
      </c>
      <c r="D226" s="68">
        <v>1</v>
      </c>
      <c r="E226" s="68"/>
      <c r="F226" s="68"/>
      <c r="G226" s="68">
        <v>1</v>
      </c>
      <c r="H2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7" spans="1:8" hidden="1" x14ac:dyDescent="0.3">
      <c r="A227" t="s">
        <v>551</v>
      </c>
      <c r="B227" t="s">
        <v>590</v>
      </c>
      <c r="C227" t="s">
        <v>538</v>
      </c>
      <c r="D227" s="68">
        <v>920</v>
      </c>
      <c r="E227" s="68"/>
      <c r="F227" s="68">
        <v>10518</v>
      </c>
      <c r="G227" s="68">
        <v>11438</v>
      </c>
      <c r="H2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8" spans="1:8" hidden="1" x14ac:dyDescent="0.3">
      <c r="A228" t="s">
        <v>551</v>
      </c>
      <c r="B228" t="s">
        <v>590</v>
      </c>
      <c r="C228" t="s">
        <v>26</v>
      </c>
      <c r="D228" s="68">
        <v>2162</v>
      </c>
      <c r="E228" s="68"/>
      <c r="F228" s="68">
        <v>896</v>
      </c>
      <c r="G228" s="68">
        <v>3058</v>
      </c>
      <c r="H2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9" spans="1:8" hidden="1" x14ac:dyDescent="0.3">
      <c r="A229" t="s">
        <v>551</v>
      </c>
      <c r="B229" t="s">
        <v>590</v>
      </c>
      <c r="C229" t="s">
        <v>36</v>
      </c>
      <c r="D229" s="68">
        <v>167</v>
      </c>
      <c r="E229" s="68"/>
      <c r="F229" s="68">
        <v>906</v>
      </c>
      <c r="G229" s="68">
        <v>1073</v>
      </c>
      <c r="H2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0" spans="1:8" hidden="1" x14ac:dyDescent="0.3">
      <c r="A230" t="s">
        <v>551</v>
      </c>
      <c r="B230" t="s">
        <v>590</v>
      </c>
      <c r="C230" t="s">
        <v>27</v>
      </c>
      <c r="D230" s="68"/>
      <c r="E230" s="68">
        <v>393</v>
      </c>
      <c r="F230" s="68"/>
      <c r="G230" s="68">
        <v>393</v>
      </c>
      <c r="H2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" spans="1:8" hidden="1" x14ac:dyDescent="0.3">
      <c r="A231" t="s">
        <v>551</v>
      </c>
      <c r="B231" t="s">
        <v>591</v>
      </c>
      <c r="C231" t="s">
        <v>34</v>
      </c>
      <c r="D231" s="68">
        <v>40976</v>
      </c>
      <c r="E231" s="68"/>
      <c r="F231" s="68">
        <v>6314</v>
      </c>
      <c r="G231" s="68">
        <v>47290</v>
      </c>
      <c r="H2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2" spans="1:8" hidden="1" x14ac:dyDescent="0.3">
      <c r="A232" t="s">
        <v>551</v>
      </c>
      <c r="B232" t="s">
        <v>591</v>
      </c>
      <c r="C232" t="s">
        <v>538</v>
      </c>
      <c r="D232" s="68">
        <v>1765</v>
      </c>
      <c r="E232" s="68"/>
      <c r="F232" s="68">
        <v>13232</v>
      </c>
      <c r="G232" s="68">
        <v>14997</v>
      </c>
      <c r="H2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3" spans="1:8" hidden="1" x14ac:dyDescent="0.3">
      <c r="A233" t="s">
        <v>551</v>
      </c>
      <c r="B233" t="s">
        <v>591</v>
      </c>
      <c r="C233" t="s">
        <v>26</v>
      </c>
      <c r="D233" s="68">
        <v>5980</v>
      </c>
      <c r="E233" s="68"/>
      <c r="F233" s="68">
        <v>1088</v>
      </c>
      <c r="G233" s="68">
        <v>7068</v>
      </c>
      <c r="H2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4" spans="1:8" hidden="1" x14ac:dyDescent="0.3">
      <c r="A234" t="s">
        <v>551</v>
      </c>
      <c r="B234" t="s">
        <v>591</v>
      </c>
      <c r="C234" t="s">
        <v>36</v>
      </c>
      <c r="D234" s="68">
        <v>1038</v>
      </c>
      <c r="E234" s="68"/>
      <c r="F234" s="68">
        <v>430</v>
      </c>
      <c r="G234" s="68">
        <v>1468</v>
      </c>
      <c r="H2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5" spans="1:8" hidden="1" x14ac:dyDescent="0.3">
      <c r="A235" t="s">
        <v>551</v>
      </c>
      <c r="B235" t="s">
        <v>591</v>
      </c>
      <c r="C235" t="s">
        <v>27</v>
      </c>
      <c r="D235" s="68"/>
      <c r="E235" s="68">
        <v>1045</v>
      </c>
      <c r="F235" s="68"/>
      <c r="G235" s="68">
        <v>1045</v>
      </c>
      <c r="H2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6" spans="1:8" hidden="1" x14ac:dyDescent="0.3">
      <c r="A236" t="s">
        <v>551</v>
      </c>
      <c r="B236" t="s">
        <v>591</v>
      </c>
      <c r="C236" t="s">
        <v>553</v>
      </c>
      <c r="D236" s="68">
        <v>131</v>
      </c>
      <c r="E236" s="68"/>
      <c r="F236" s="68"/>
      <c r="G236" s="68">
        <v>131</v>
      </c>
      <c r="H2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7" spans="1:8" hidden="1" x14ac:dyDescent="0.3">
      <c r="A237" t="s">
        <v>551</v>
      </c>
      <c r="B237" t="s">
        <v>591</v>
      </c>
      <c r="C237" t="s">
        <v>35</v>
      </c>
      <c r="D237" s="68">
        <v>61</v>
      </c>
      <c r="E237" s="68"/>
      <c r="F237" s="68"/>
      <c r="G237" s="68">
        <v>61</v>
      </c>
      <c r="H2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8" spans="1:8" hidden="1" x14ac:dyDescent="0.3">
      <c r="A238" t="s">
        <v>551</v>
      </c>
      <c r="B238" t="s">
        <v>592</v>
      </c>
      <c r="C238" t="s">
        <v>31</v>
      </c>
      <c r="D238" s="68">
        <v>1448</v>
      </c>
      <c r="E238" s="68"/>
      <c r="F238" s="68">
        <v>15096</v>
      </c>
      <c r="G238" s="68">
        <v>16544</v>
      </c>
      <c r="H2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9" spans="1:8" hidden="1" x14ac:dyDescent="0.3">
      <c r="A239" t="s">
        <v>551</v>
      </c>
      <c r="B239" t="s">
        <v>592</v>
      </c>
      <c r="C239" t="s">
        <v>32</v>
      </c>
      <c r="D239" s="68">
        <v>35</v>
      </c>
      <c r="E239" s="68"/>
      <c r="F239" s="68">
        <v>4583</v>
      </c>
      <c r="G239" s="68">
        <v>4618</v>
      </c>
      <c r="H2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0" spans="1:8" hidden="1" x14ac:dyDescent="0.3">
      <c r="A240" t="s">
        <v>551</v>
      </c>
      <c r="B240" t="s">
        <v>592</v>
      </c>
      <c r="C240" t="s">
        <v>538</v>
      </c>
      <c r="D240" s="68">
        <v>83</v>
      </c>
      <c r="E240" s="68"/>
      <c r="F240" s="68">
        <v>1509</v>
      </c>
      <c r="G240" s="68">
        <v>1592</v>
      </c>
      <c r="H2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1" spans="1:8" hidden="1" x14ac:dyDescent="0.3">
      <c r="A241" t="s">
        <v>551</v>
      </c>
      <c r="B241" t="s">
        <v>592</v>
      </c>
      <c r="C241" t="s">
        <v>26</v>
      </c>
      <c r="D241" s="68">
        <v>688</v>
      </c>
      <c r="E241" s="68"/>
      <c r="F241" s="68">
        <v>531</v>
      </c>
      <c r="G241" s="68">
        <v>1219</v>
      </c>
      <c r="H2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2" spans="1:8" hidden="1" x14ac:dyDescent="0.3">
      <c r="A242" t="s">
        <v>551</v>
      </c>
      <c r="B242" t="s">
        <v>592</v>
      </c>
      <c r="C242" t="s">
        <v>27</v>
      </c>
      <c r="D242" s="68"/>
      <c r="E242" s="68">
        <v>446</v>
      </c>
      <c r="F242" s="68"/>
      <c r="G242" s="68">
        <v>446</v>
      </c>
      <c r="H2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3" spans="1:8" hidden="1" x14ac:dyDescent="0.3">
      <c r="A243" t="s">
        <v>551</v>
      </c>
      <c r="B243" t="s">
        <v>593</v>
      </c>
      <c r="C243" t="s">
        <v>34</v>
      </c>
      <c r="D243" s="68">
        <v>10019</v>
      </c>
      <c r="E243" s="68"/>
      <c r="F243" s="68">
        <v>2871</v>
      </c>
      <c r="G243" s="68">
        <v>12890</v>
      </c>
      <c r="H2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" spans="1:8" hidden="1" x14ac:dyDescent="0.3">
      <c r="A244" t="s">
        <v>551</v>
      </c>
      <c r="B244" t="s">
        <v>593</v>
      </c>
      <c r="C244" t="s">
        <v>538</v>
      </c>
      <c r="D244" s="68">
        <v>820</v>
      </c>
      <c r="E244" s="68"/>
      <c r="F244" s="68">
        <v>5854</v>
      </c>
      <c r="G244" s="68">
        <v>6674</v>
      </c>
      <c r="H2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5" spans="1:8" hidden="1" x14ac:dyDescent="0.3">
      <c r="A245" t="s">
        <v>551</v>
      </c>
      <c r="B245" t="s">
        <v>593</v>
      </c>
      <c r="C245" t="s">
        <v>36</v>
      </c>
      <c r="D245" s="68">
        <v>1515</v>
      </c>
      <c r="E245" s="68"/>
      <c r="F245" s="68">
        <v>743</v>
      </c>
      <c r="G245" s="68">
        <v>2258</v>
      </c>
      <c r="H2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" spans="1:8" hidden="1" x14ac:dyDescent="0.3">
      <c r="A246" t="s">
        <v>551</v>
      </c>
      <c r="B246" t="s">
        <v>593</v>
      </c>
      <c r="C246" t="s">
        <v>26</v>
      </c>
      <c r="D246" s="68">
        <v>754</v>
      </c>
      <c r="E246" s="68"/>
      <c r="F246" s="68">
        <v>369</v>
      </c>
      <c r="G246" s="68">
        <v>1123</v>
      </c>
      <c r="H2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7" spans="1:8" hidden="1" x14ac:dyDescent="0.3">
      <c r="A247" t="s">
        <v>551</v>
      </c>
      <c r="B247" t="s">
        <v>593</v>
      </c>
      <c r="C247" t="s">
        <v>27</v>
      </c>
      <c r="D247" s="68"/>
      <c r="E247" s="68">
        <v>245</v>
      </c>
      <c r="F247" s="68"/>
      <c r="G247" s="68">
        <v>245</v>
      </c>
      <c r="H2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8" spans="1:8" hidden="1" x14ac:dyDescent="0.3">
      <c r="A248" t="s">
        <v>551</v>
      </c>
      <c r="B248" t="s">
        <v>593</v>
      </c>
      <c r="C248" t="s">
        <v>553</v>
      </c>
      <c r="D248" s="68">
        <v>5</v>
      </c>
      <c r="E248" s="68"/>
      <c r="F248" s="68"/>
      <c r="G248" s="68">
        <v>5</v>
      </c>
      <c r="H2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9" spans="1:8" hidden="1" x14ac:dyDescent="0.3">
      <c r="A249" t="s">
        <v>551</v>
      </c>
      <c r="B249" t="s">
        <v>594</v>
      </c>
      <c r="C249" t="s">
        <v>538</v>
      </c>
      <c r="D249" s="68">
        <v>559</v>
      </c>
      <c r="E249" s="68"/>
      <c r="F249" s="68">
        <v>6041</v>
      </c>
      <c r="G249" s="68">
        <v>6600</v>
      </c>
      <c r="H2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" spans="1:8" hidden="1" x14ac:dyDescent="0.3">
      <c r="A250" t="s">
        <v>551</v>
      </c>
      <c r="B250" t="s">
        <v>594</v>
      </c>
      <c r="C250" t="s">
        <v>26</v>
      </c>
      <c r="D250" s="68">
        <v>1144</v>
      </c>
      <c r="E250" s="68"/>
      <c r="F250" s="68">
        <v>406</v>
      </c>
      <c r="G250" s="68">
        <v>1550</v>
      </c>
      <c r="H2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1" spans="1:8" hidden="1" x14ac:dyDescent="0.3">
      <c r="A251" t="s">
        <v>551</v>
      </c>
      <c r="B251" t="s">
        <v>594</v>
      </c>
      <c r="C251" t="s">
        <v>27</v>
      </c>
      <c r="D251" s="68"/>
      <c r="E251" s="68">
        <v>268</v>
      </c>
      <c r="F251" s="68"/>
      <c r="G251" s="68">
        <v>268</v>
      </c>
      <c r="H2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2" spans="1:8" hidden="1" x14ac:dyDescent="0.3">
      <c r="A252" t="s">
        <v>551</v>
      </c>
      <c r="B252" t="s">
        <v>594</v>
      </c>
      <c r="C252" t="s">
        <v>553</v>
      </c>
      <c r="D252" s="68">
        <v>3</v>
      </c>
      <c r="E252" s="68"/>
      <c r="F252" s="68"/>
      <c r="G252" s="68">
        <v>3</v>
      </c>
      <c r="H2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3" spans="1:8" hidden="1" x14ac:dyDescent="0.3">
      <c r="A253" t="s">
        <v>551</v>
      </c>
      <c r="B253" t="s">
        <v>595</v>
      </c>
      <c r="C253" t="s">
        <v>31</v>
      </c>
      <c r="D253" s="68">
        <v>3965</v>
      </c>
      <c r="E253" s="68"/>
      <c r="F253" s="68">
        <v>41564</v>
      </c>
      <c r="G253" s="68">
        <v>45529</v>
      </c>
      <c r="H2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4" spans="1:8" hidden="1" x14ac:dyDescent="0.3">
      <c r="A254" t="s">
        <v>551</v>
      </c>
      <c r="B254" t="s">
        <v>595</v>
      </c>
      <c r="C254" t="s">
        <v>26</v>
      </c>
      <c r="D254" s="68">
        <v>4569</v>
      </c>
      <c r="E254" s="68"/>
      <c r="F254" s="68">
        <v>2070</v>
      </c>
      <c r="G254" s="68">
        <v>6639</v>
      </c>
      <c r="H2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5" spans="1:8" hidden="1" x14ac:dyDescent="0.3">
      <c r="A255" t="s">
        <v>551</v>
      </c>
      <c r="B255" t="s">
        <v>595</v>
      </c>
      <c r="C255" t="s">
        <v>538</v>
      </c>
      <c r="D255" s="68">
        <v>217</v>
      </c>
      <c r="E255" s="68"/>
      <c r="F255" s="68">
        <v>5418</v>
      </c>
      <c r="G255" s="68">
        <v>5635</v>
      </c>
      <c r="H2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6" spans="1:8" hidden="1" x14ac:dyDescent="0.3">
      <c r="A256" t="s">
        <v>551</v>
      </c>
      <c r="B256" t="s">
        <v>595</v>
      </c>
      <c r="C256" t="s">
        <v>27</v>
      </c>
      <c r="D256" s="68"/>
      <c r="E256" s="68">
        <v>800</v>
      </c>
      <c r="F256" s="68"/>
      <c r="G256" s="68">
        <v>800</v>
      </c>
      <c r="H2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7" spans="1:8" hidden="1" x14ac:dyDescent="0.3">
      <c r="A257" t="s">
        <v>551</v>
      </c>
      <c r="B257" t="s">
        <v>595</v>
      </c>
      <c r="C257" t="s">
        <v>32</v>
      </c>
      <c r="D257" s="68">
        <v>4</v>
      </c>
      <c r="E257" s="68"/>
      <c r="F257" s="68"/>
      <c r="G257" s="68">
        <v>4</v>
      </c>
      <c r="H2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8" spans="1:8" hidden="1" x14ac:dyDescent="0.3">
      <c r="A258" t="s">
        <v>551</v>
      </c>
      <c r="B258" t="s">
        <v>595</v>
      </c>
      <c r="C258" t="s">
        <v>5</v>
      </c>
      <c r="D258" s="68">
        <v>2</v>
      </c>
      <c r="E258" s="68"/>
      <c r="F258" s="68"/>
      <c r="G258" s="68">
        <v>2</v>
      </c>
      <c r="H2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9" spans="1:8" hidden="1" x14ac:dyDescent="0.3">
      <c r="A259" t="s">
        <v>551</v>
      </c>
      <c r="B259" t="s">
        <v>596</v>
      </c>
      <c r="C259" t="s">
        <v>34</v>
      </c>
      <c r="D259" s="68">
        <v>24658</v>
      </c>
      <c r="E259" s="68"/>
      <c r="F259" s="68">
        <v>4698</v>
      </c>
      <c r="G259" s="68">
        <v>29356</v>
      </c>
      <c r="H2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0" spans="1:8" hidden="1" x14ac:dyDescent="0.3">
      <c r="A260" t="s">
        <v>551</v>
      </c>
      <c r="B260" t="s">
        <v>596</v>
      </c>
      <c r="C260" t="s">
        <v>26</v>
      </c>
      <c r="D260" s="68">
        <v>12838</v>
      </c>
      <c r="E260" s="68"/>
      <c r="F260" s="68">
        <v>4403</v>
      </c>
      <c r="G260" s="68">
        <v>17241</v>
      </c>
      <c r="H2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1" spans="1:8" hidden="1" x14ac:dyDescent="0.3">
      <c r="A261" t="s">
        <v>551</v>
      </c>
      <c r="B261" t="s">
        <v>596</v>
      </c>
      <c r="C261" t="s">
        <v>538</v>
      </c>
      <c r="D261" s="68">
        <v>1990</v>
      </c>
      <c r="E261" s="68"/>
      <c r="F261" s="68">
        <v>11036</v>
      </c>
      <c r="G261" s="68">
        <v>13026</v>
      </c>
      <c r="H2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2" spans="1:8" hidden="1" x14ac:dyDescent="0.3">
      <c r="A262" t="s">
        <v>551</v>
      </c>
      <c r="B262" t="s">
        <v>596</v>
      </c>
      <c r="C262" t="s">
        <v>27</v>
      </c>
      <c r="D262" s="68"/>
      <c r="E262" s="68">
        <v>751</v>
      </c>
      <c r="F262" s="68"/>
      <c r="G262" s="68">
        <v>751</v>
      </c>
      <c r="H2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3" spans="1:8" hidden="1" x14ac:dyDescent="0.3">
      <c r="A263" t="s">
        <v>551</v>
      </c>
      <c r="B263" t="s">
        <v>596</v>
      </c>
      <c r="C263" t="s">
        <v>553</v>
      </c>
      <c r="D263" s="68">
        <v>12</v>
      </c>
      <c r="E263" s="68"/>
      <c r="F263" s="68"/>
      <c r="G263" s="68">
        <v>12</v>
      </c>
      <c r="H2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4" spans="1:8" hidden="1" x14ac:dyDescent="0.3">
      <c r="A264" t="s">
        <v>551</v>
      </c>
      <c r="B264" t="s">
        <v>596</v>
      </c>
      <c r="C264" t="s">
        <v>30</v>
      </c>
      <c r="D264" s="68">
        <v>1</v>
      </c>
      <c r="E264" s="68"/>
      <c r="F264" s="68">
        <v>1</v>
      </c>
      <c r="G264" s="68">
        <v>2</v>
      </c>
      <c r="H2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5" spans="1:8" hidden="1" x14ac:dyDescent="0.3">
      <c r="A265" t="s">
        <v>551</v>
      </c>
      <c r="B265" t="s">
        <v>597</v>
      </c>
      <c r="C265" t="s">
        <v>538</v>
      </c>
      <c r="D265" s="68">
        <v>1408</v>
      </c>
      <c r="E265" s="68"/>
      <c r="F265" s="68">
        <v>13526</v>
      </c>
      <c r="G265" s="68">
        <v>14934</v>
      </c>
      <c r="H2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6" spans="1:8" hidden="1" x14ac:dyDescent="0.3">
      <c r="A266" t="s">
        <v>551</v>
      </c>
      <c r="B266" t="s">
        <v>597</v>
      </c>
      <c r="C266" t="s">
        <v>34</v>
      </c>
      <c r="D266" s="68">
        <v>9269</v>
      </c>
      <c r="E266" s="68"/>
      <c r="F266" s="68">
        <v>1770</v>
      </c>
      <c r="G266" s="68">
        <v>11039</v>
      </c>
      <c r="H2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7" spans="1:8" hidden="1" x14ac:dyDescent="0.3">
      <c r="A267" t="s">
        <v>551</v>
      </c>
      <c r="B267" t="s">
        <v>597</v>
      </c>
      <c r="C267" t="s">
        <v>26</v>
      </c>
      <c r="D267" s="68">
        <v>6780</v>
      </c>
      <c r="E267" s="68"/>
      <c r="F267" s="68">
        <v>2953</v>
      </c>
      <c r="G267" s="68">
        <v>9733</v>
      </c>
      <c r="H2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8" spans="1:8" hidden="1" x14ac:dyDescent="0.3">
      <c r="A268" t="s">
        <v>551</v>
      </c>
      <c r="B268" t="s">
        <v>597</v>
      </c>
      <c r="C268" t="s">
        <v>36</v>
      </c>
      <c r="D268" s="68">
        <v>396</v>
      </c>
      <c r="E268" s="68"/>
      <c r="F268" s="68">
        <v>232</v>
      </c>
      <c r="G268" s="68">
        <v>628</v>
      </c>
      <c r="H2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" spans="1:8" hidden="1" x14ac:dyDescent="0.3">
      <c r="A269" t="s">
        <v>551</v>
      </c>
      <c r="B269" t="s">
        <v>597</v>
      </c>
      <c r="C269" t="s">
        <v>27</v>
      </c>
      <c r="D269" s="68"/>
      <c r="E269" s="68">
        <v>447</v>
      </c>
      <c r="F269" s="68"/>
      <c r="G269" s="68">
        <v>447</v>
      </c>
      <c r="H2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0" spans="1:8" hidden="1" x14ac:dyDescent="0.3">
      <c r="A270" t="s">
        <v>551</v>
      </c>
      <c r="B270" t="s">
        <v>597</v>
      </c>
      <c r="C270" t="s">
        <v>553</v>
      </c>
      <c r="D270" s="68">
        <v>3</v>
      </c>
      <c r="E270" s="68"/>
      <c r="F270" s="68"/>
      <c r="G270" s="68">
        <v>3</v>
      </c>
      <c r="H2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1" spans="1:8" hidden="1" x14ac:dyDescent="0.3">
      <c r="A271" t="s">
        <v>551</v>
      </c>
      <c r="B271" t="s">
        <v>597</v>
      </c>
      <c r="C271" t="s">
        <v>5</v>
      </c>
      <c r="D271" s="68">
        <v>3</v>
      </c>
      <c r="E271" s="68"/>
      <c r="F271" s="68"/>
      <c r="G271" s="68">
        <v>3</v>
      </c>
      <c r="H2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2" spans="1:8" hidden="1" x14ac:dyDescent="0.3">
      <c r="A272" t="s">
        <v>551</v>
      </c>
      <c r="B272" t="s">
        <v>597</v>
      </c>
      <c r="C272" t="s">
        <v>31</v>
      </c>
      <c r="D272" s="68">
        <v>1</v>
      </c>
      <c r="E272" s="68"/>
      <c r="F272" s="68"/>
      <c r="G272" s="68">
        <v>1</v>
      </c>
      <c r="H2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3" spans="1:8" hidden="1" x14ac:dyDescent="0.3">
      <c r="A273" t="s">
        <v>551</v>
      </c>
      <c r="B273" t="s">
        <v>598</v>
      </c>
      <c r="C273" t="s">
        <v>26</v>
      </c>
      <c r="D273" s="68">
        <v>3477</v>
      </c>
      <c r="E273" s="68"/>
      <c r="F273" s="68">
        <v>674</v>
      </c>
      <c r="G273" s="68">
        <v>4151</v>
      </c>
      <c r="H2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4" spans="1:8" hidden="1" x14ac:dyDescent="0.3">
      <c r="A274" t="s">
        <v>551</v>
      </c>
      <c r="B274" t="s">
        <v>598</v>
      </c>
      <c r="C274" t="s">
        <v>538</v>
      </c>
      <c r="D274" s="68">
        <v>843</v>
      </c>
      <c r="E274" s="68"/>
      <c r="F274" s="68">
        <v>2108</v>
      </c>
      <c r="G274" s="68">
        <v>2951</v>
      </c>
      <c r="H2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5" spans="1:8" hidden="1" x14ac:dyDescent="0.3">
      <c r="A275" t="s">
        <v>551</v>
      </c>
      <c r="B275" t="s">
        <v>598</v>
      </c>
      <c r="C275" t="s">
        <v>36</v>
      </c>
      <c r="D275" s="68">
        <v>2045</v>
      </c>
      <c r="E275" s="68"/>
      <c r="F275" s="68">
        <v>332</v>
      </c>
      <c r="G275" s="68">
        <v>2377</v>
      </c>
      <c r="H2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6" spans="1:8" hidden="1" x14ac:dyDescent="0.3">
      <c r="A276" t="s">
        <v>551</v>
      </c>
      <c r="B276" t="s">
        <v>598</v>
      </c>
      <c r="C276" t="s">
        <v>27</v>
      </c>
      <c r="D276" s="68"/>
      <c r="E276" s="68">
        <v>141</v>
      </c>
      <c r="F276" s="68"/>
      <c r="G276" s="68">
        <v>141</v>
      </c>
      <c r="H2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7" spans="1:8" hidden="1" x14ac:dyDescent="0.3">
      <c r="A277" t="s">
        <v>551</v>
      </c>
      <c r="B277" t="s">
        <v>598</v>
      </c>
      <c r="C277" t="s">
        <v>34</v>
      </c>
      <c r="D277" s="68">
        <v>1</v>
      </c>
      <c r="E277" s="68"/>
      <c r="F277" s="68"/>
      <c r="G277" s="68">
        <v>1</v>
      </c>
      <c r="H2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8" spans="1:8" hidden="1" x14ac:dyDescent="0.3">
      <c r="A278" t="s">
        <v>551</v>
      </c>
      <c r="B278" t="s">
        <v>598</v>
      </c>
      <c r="C278" t="s">
        <v>553</v>
      </c>
      <c r="D278" s="68">
        <v>1</v>
      </c>
      <c r="E278" s="68"/>
      <c r="F278" s="68"/>
      <c r="G278" s="68">
        <v>1</v>
      </c>
      <c r="H2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" spans="1:8" hidden="1" x14ac:dyDescent="0.3">
      <c r="A279" t="s">
        <v>551</v>
      </c>
      <c r="B279" t="s">
        <v>599</v>
      </c>
      <c r="C279" t="s">
        <v>34</v>
      </c>
      <c r="D279" s="68">
        <v>142827</v>
      </c>
      <c r="E279" s="68"/>
      <c r="F279" s="68">
        <v>11229</v>
      </c>
      <c r="G279" s="68">
        <v>154056</v>
      </c>
      <c r="H2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" spans="1:8" hidden="1" x14ac:dyDescent="0.3">
      <c r="A280" t="s">
        <v>551</v>
      </c>
      <c r="B280" t="s">
        <v>599</v>
      </c>
      <c r="C280" t="s">
        <v>26</v>
      </c>
      <c r="D280" s="68">
        <v>15223</v>
      </c>
      <c r="E280" s="68"/>
      <c r="F280" s="68">
        <v>1714</v>
      </c>
      <c r="G280" s="68">
        <v>16937</v>
      </c>
      <c r="H2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1" spans="1:8" hidden="1" x14ac:dyDescent="0.3">
      <c r="A281" t="s">
        <v>551</v>
      </c>
      <c r="B281" t="s">
        <v>599</v>
      </c>
      <c r="C281" t="s">
        <v>538</v>
      </c>
      <c r="D281" s="68">
        <v>2160</v>
      </c>
      <c r="E281" s="68"/>
      <c r="F281" s="68">
        <v>13882</v>
      </c>
      <c r="G281" s="68">
        <v>16042</v>
      </c>
      <c r="H2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2" spans="1:8" hidden="1" x14ac:dyDescent="0.3">
      <c r="A282" t="s">
        <v>551</v>
      </c>
      <c r="B282" t="s">
        <v>599</v>
      </c>
      <c r="C282" t="s">
        <v>36</v>
      </c>
      <c r="D282" s="68">
        <v>13167</v>
      </c>
      <c r="E282" s="68"/>
      <c r="F282" s="68">
        <v>2280</v>
      </c>
      <c r="G282" s="68">
        <v>15447</v>
      </c>
      <c r="H2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3" spans="1:8" hidden="1" x14ac:dyDescent="0.3">
      <c r="A283" t="s">
        <v>551</v>
      </c>
      <c r="B283" t="s">
        <v>599</v>
      </c>
      <c r="C283" t="s">
        <v>5</v>
      </c>
      <c r="D283" s="68">
        <v>12641</v>
      </c>
      <c r="E283" s="68"/>
      <c r="F283" s="68">
        <v>689</v>
      </c>
      <c r="G283" s="68">
        <v>13330</v>
      </c>
      <c r="H2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4" spans="1:8" hidden="1" x14ac:dyDescent="0.3">
      <c r="A284" t="s">
        <v>551</v>
      </c>
      <c r="B284" t="s">
        <v>599</v>
      </c>
      <c r="C284" t="s">
        <v>27</v>
      </c>
      <c r="D284" s="68"/>
      <c r="E284" s="68">
        <v>3292</v>
      </c>
      <c r="F284" s="68"/>
      <c r="G284" s="68">
        <v>3292</v>
      </c>
      <c r="H2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5" spans="1:8" hidden="1" x14ac:dyDescent="0.3">
      <c r="A285" t="s">
        <v>551</v>
      </c>
      <c r="B285" t="s">
        <v>599</v>
      </c>
      <c r="C285" t="s">
        <v>553</v>
      </c>
      <c r="D285" s="68">
        <v>689</v>
      </c>
      <c r="E285" s="68"/>
      <c r="F285" s="68"/>
      <c r="G285" s="68">
        <v>689</v>
      </c>
      <c r="H2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6" spans="1:8" hidden="1" x14ac:dyDescent="0.3">
      <c r="A286" t="s">
        <v>551</v>
      </c>
      <c r="B286" t="s">
        <v>599</v>
      </c>
      <c r="C286" t="s">
        <v>31</v>
      </c>
      <c r="D286" s="68">
        <v>2</v>
      </c>
      <c r="E286" s="68"/>
      <c r="F286" s="68"/>
      <c r="G286" s="68">
        <v>2</v>
      </c>
      <c r="H2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7" spans="1:8" hidden="1" x14ac:dyDescent="0.3">
      <c r="A287" t="s">
        <v>551</v>
      </c>
      <c r="B287" t="s">
        <v>600</v>
      </c>
      <c r="C287" t="s">
        <v>538</v>
      </c>
      <c r="D287" s="68">
        <v>952</v>
      </c>
      <c r="E287" s="68"/>
      <c r="F287" s="68">
        <v>6612</v>
      </c>
      <c r="G287" s="68">
        <v>7564</v>
      </c>
      <c r="H2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8" spans="1:8" hidden="1" x14ac:dyDescent="0.3">
      <c r="A288" t="s">
        <v>551</v>
      </c>
      <c r="B288" t="s">
        <v>600</v>
      </c>
      <c r="C288" t="s">
        <v>26</v>
      </c>
      <c r="D288" s="68">
        <v>4847</v>
      </c>
      <c r="E288" s="68"/>
      <c r="F288" s="68">
        <v>1222</v>
      </c>
      <c r="G288" s="68">
        <v>6069</v>
      </c>
      <c r="H2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9" spans="1:8" hidden="1" x14ac:dyDescent="0.3">
      <c r="A289" t="s">
        <v>551</v>
      </c>
      <c r="B289" t="s">
        <v>600</v>
      </c>
      <c r="C289" t="s">
        <v>27</v>
      </c>
      <c r="D289" s="68"/>
      <c r="E289" s="68">
        <v>560</v>
      </c>
      <c r="F289" s="68"/>
      <c r="G289" s="68">
        <v>560</v>
      </c>
      <c r="H2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0" spans="1:8" hidden="1" x14ac:dyDescent="0.3">
      <c r="A290" t="s">
        <v>551</v>
      </c>
      <c r="B290" t="s">
        <v>600</v>
      </c>
      <c r="C290" t="s">
        <v>35</v>
      </c>
      <c r="D290" s="68">
        <v>10</v>
      </c>
      <c r="E290" s="68"/>
      <c r="F290" s="68"/>
      <c r="G290" s="68">
        <v>10</v>
      </c>
      <c r="H2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1" spans="1:8" hidden="1" x14ac:dyDescent="0.3">
      <c r="A291" t="s">
        <v>551</v>
      </c>
      <c r="B291" t="s">
        <v>600</v>
      </c>
      <c r="C291" t="s">
        <v>553</v>
      </c>
      <c r="D291" s="68">
        <v>2</v>
      </c>
      <c r="E291" s="68"/>
      <c r="F291" s="68"/>
      <c r="G291" s="68">
        <v>2</v>
      </c>
      <c r="H2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2" spans="1:8" hidden="1" x14ac:dyDescent="0.3">
      <c r="A292" t="s">
        <v>551</v>
      </c>
      <c r="B292" t="s">
        <v>601</v>
      </c>
      <c r="C292" t="s">
        <v>31</v>
      </c>
      <c r="D292" s="68">
        <v>1417</v>
      </c>
      <c r="E292" s="68"/>
      <c r="F292" s="68">
        <v>13092</v>
      </c>
      <c r="G292" s="68">
        <v>14509</v>
      </c>
      <c r="H2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3" spans="1:8" hidden="1" x14ac:dyDescent="0.3">
      <c r="A293" t="s">
        <v>551</v>
      </c>
      <c r="B293" t="s">
        <v>601</v>
      </c>
      <c r="C293" t="s">
        <v>32</v>
      </c>
      <c r="D293" s="68">
        <v>12</v>
      </c>
      <c r="E293" s="68"/>
      <c r="F293" s="68">
        <v>2599</v>
      </c>
      <c r="G293" s="68">
        <v>2611</v>
      </c>
      <c r="H2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4" spans="1:8" hidden="1" x14ac:dyDescent="0.3">
      <c r="A294" t="s">
        <v>551</v>
      </c>
      <c r="B294" t="s">
        <v>601</v>
      </c>
      <c r="C294" t="s">
        <v>538</v>
      </c>
      <c r="D294" s="68">
        <v>173</v>
      </c>
      <c r="E294" s="68"/>
      <c r="F294" s="68">
        <v>2381</v>
      </c>
      <c r="G294" s="68">
        <v>2554</v>
      </c>
      <c r="H2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5" spans="1:8" hidden="1" x14ac:dyDescent="0.3">
      <c r="A295" t="s">
        <v>551</v>
      </c>
      <c r="B295" t="s">
        <v>601</v>
      </c>
      <c r="C295" t="s">
        <v>26</v>
      </c>
      <c r="D295" s="68">
        <v>1131</v>
      </c>
      <c r="E295" s="68"/>
      <c r="F295" s="68">
        <v>528</v>
      </c>
      <c r="G295" s="68">
        <v>1659</v>
      </c>
      <c r="H2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6" spans="1:8" hidden="1" x14ac:dyDescent="0.3">
      <c r="A296" t="s">
        <v>551</v>
      </c>
      <c r="B296" t="s">
        <v>601</v>
      </c>
      <c r="C296" t="s">
        <v>27</v>
      </c>
      <c r="D296" s="68"/>
      <c r="E296" s="68">
        <v>663</v>
      </c>
      <c r="F296" s="68"/>
      <c r="G296" s="68">
        <v>663</v>
      </c>
      <c r="H2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7" spans="1:8" hidden="1" x14ac:dyDescent="0.3">
      <c r="A297" t="s">
        <v>551</v>
      </c>
      <c r="B297" t="s">
        <v>602</v>
      </c>
      <c r="C297" t="s">
        <v>31</v>
      </c>
      <c r="D297" s="68">
        <v>218</v>
      </c>
      <c r="E297" s="68"/>
      <c r="F297" s="68">
        <v>2694</v>
      </c>
      <c r="G297" s="68">
        <v>2912</v>
      </c>
      <c r="H2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8" spans="1:8" hidden="1" x14ac:dyDescent="0.3">
      <c r="A298" t="s">
        <v>551</v>
      </c>
      <c r="B298" t="s">
        <v>602</v>
      </c>
      <c r="C298" t="s">
        <v>538</v>
      </c>
      <c r="D298" s="68">
        <v>70</v>
      </c>
      <c r="E298" s="68"/>
      <c r="F298" s="68">
        <v>1108</v>
      </c>
      <c r="G298" s="68">
        <v>1178</v>
      </c>
      <c r="H2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9" spans="1:8" hidden="1" x14ac:dyDescent="0.3">
      <c r="A299" t="s">
        <v>551</v>
      </c>
      <c r="B299" t="s">
        <v>602</v>
      </c>
      <c r="C299" t="s">
        <v>26</v>
      </c>
      <c r="D299" s="68">
        <v>600</v>
      </c>
      <c r="E299" s="68"/>
      <c r="F299" s="68">
        <v>436</v>
      </c>
      <c r="G299" s="68">
        <v>1036</v>
      </c>
      <c r="H2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0" spans="1:8" hidden="1" x14ac:dyDescent="0.3">
      <c r="A300" t="s">
        <v>551</v>
      </c>
      <c r="B300" t="s">
        <v>602</v>
      </c>
      <c r="C300" t="s">
        <v>27</v>
      </c>
      <c r="D300" s="68"/>
      <c r="E300" s="68">
        <v>98</v>
      </c>
      <c r="F300" s="68"/>
      <c r="G300" s="68">
        <v>98</v>
      </c>
      <c r="H3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1" spans="1:8" hidden="1" x14ac:dyDescent="0.3">
      <c r="A301" t="s">
        <v>551</v>
      </c>
      <c r="B301" t="s">
        <v>602</v>
      </c>
      <c r="C301" t="s">
        <v>36</v>
      </c>
      <c r="D301" s="68">
        <v>14</v>
      </c>
      <c r="E301" s="68"/>
      <c r="F301" s="68">
        <v>14</v>
      </c>
      <c r="G301" s="68">
        <v>28</v>
      </c>
      <c r="H3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2" spans="1:8" hidden="1" x14ac:dyDescent="0.3">
      <c r="A302" t="s">
        <v>551</v>
      </c>
      <c r="B302" t="s">
        <v>603</v>
      </c>
      <c r="C302" t="s">
        <v>34</v>
      </c>
      <c r="D302" s="68">
        <v>29654</v>
      </c>
      <c r="E302" s="68"/>
      <c r="F302" s="68">
        <v>4365</v>
      </c>
      <c r="G302" s="68">
        <v>34019</v>
      </c>
      <c r="H3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3" spans="1:8" hidden="1" x14ac:dyDescent="0.3">
      <c r="A303" t="s">
        <v>551</v>
      </c>
      <c r="B303" t="s">
        <v>603</v>
      </c>
      <c r="C303" t="s">
        <v>538</v>
      </c>
      <c r="D303" s="68">
        <v>1798</v>
      </c>
      <c r="E303" s="68"/>
      <c r="F303" s="68">
        <v>10981</v>
      </c>
      <c r="G303" s="68">
        <v>12779</v>
      </c>
      <c r="H3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4" spans="1:8" hidden="1" x14ac:dyDescent="0.3">
      <c r="A304" t="s">
        <v>551</v>
      </c>
      <c r="B304" t="s">
        <v>603</v>
      </c>
      <c r="C304" t="s">
        <v>26</v>
      </c>
      <c r="D304" s="68">
        <v>4266</v>
      </c>
      <c r="E304" s="68"/>
      <c r="F304" s="68">
        <v>904</v>
      </c>
      <c r="G304" s="68">
        <v>5170</v>
      </c>
      <c r="H3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5" spans="1:8" hidden="1" x14ac:dyDescent="0.3">
      <c r="A305" t="s">
        <v>551</v>
      </c>
      <c r="B305" t="s">
        <v>603</v>
      </c>
      <c r="C305" t="s">
        <v>36</v>
      </c>
      <c r="D305" s="68">
        <v>2231</v>
      </c>
      <c r="E305" s="68"/>
      <c r="F305" s="68">
        <v>742</v>
      </c>
      <c r="G305" s="68">
        <v>2973</v>
      </c>
      <c r="H3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6" spans="1:8" hidden="1" x14ac:dyDescent="0.3">
      <c r="A306" t="s">
        <v>551</v>
      </c>
      <c r="B306" t="s">
        <v>603</v>
      </c>
      <c r="C306" t="s">
        <v>27</v>
      </c>
      <c r="D306" s="68"/>
      <c r="E306" s="68">
        <v>473</v>
      </c>
      <c r="F306" s="68"/>
      <c r="G306" s="68">
        <v>473</v>
      </c>
      <c r="H3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7" spans="1:8" hidden="1" x14ac:dyDescent="0.3">
      <c r="A307" t="s">
        <v>551</v>
      </c>
      <c r="B307" t="s">
        <v>603</v>
      </c>
      <c r="C307" t="s">
        <v>553</v>
      </c>
      <c r="D307" s="68">
        <v>64</v>
      </c>
      <c r="E307" s="68"/>
      <c r="F307" s="68"/>
      <c r="G307" s="68">
        <v>64</v>
      </c>
      <c r="H3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8" spans="1:8" hidden="1" x14ac:dyDescent="0.3">
      <c r="A308" t="s">
        <v>551</v>
      </c>
      <c r="B308" t="s">
        <v>603</v>
      </c>
      <c r="C308" t="s">
        <v>35</v>
      </c>
      <c r="D308" s="68">
        <v>31</v>
      </c>
      <c r="E308" s="68"/>
      <c r="F308" s="68"/>
      <c r="G308" s="68">
        <v>31</v>
      </c>
      <c r="H3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9" spans="1:8" hidden="1" x14ac:dyDescent="0.3">
      <c r="A309" t="s">
        <v>551</v>
      </c>
      <c r="B309" t="s">
        <v>604</v>
      </c>
      <c r="C309" t="s">
        <v>538</v>
      </c>
      <c r="D309" s="68">
        <v>358</v>
      </c>
      <c r="E309" s="68"/>
      <c r="F309" s="68">
        <v>4003</v>
      </c>
      <c r="G309" s="68">
        <v>4361</v>
      </c>
      <c r="H3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0" spans="1:8" hidden="1" x14ac:dyDescent="0.3">
      <c r="A310" t="s">
        <v>551</v>
      </c>
      <c r="B310" t="s">
        <v>604</v>
      </c>
      <c r="C310" t="s">
        <v>26</v>
      </c>
      <c r="D310" s="68">
        <v>1591</v>
      </c>
      <c r="E310" s="68"/>
      <c r="F310" s="68">
        <v>655</v>
      </c>
      <c r="G310" s="68">
        <v>2246</v>
      </c>
      <c r="H3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1" spans="1:8" hidden="1" x14ac:dyDescent="0.3">
      <c r="A311" t="s">
        <v>551</v>
      </c>
      <c r="B311" t="s">
        <v>604</v>
      </c>
      <c r="C311" t="s">
        <v>27</v>
      </c>
      <c r="D311" s="68"/>
      <c r="E311" s="68">
        <v>157</v>
      </c>
      <c r="F311" s="68"/>
      <c r="G311" s="68">
        <v>157</v>
      </c>
      <c r="H3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2" spans="1:8" hidden="1" x14ac:dyDescent="0.3">
      <c r="A312" t="s">
        <v>551</v>
      </c>
      <c r="B312" t="s">
        <v>604</v>
      </c>
      <c r="C312" t="s">
        <v>553</v>
      </c>
      <c r="D312" s="68">
        <v>74</v>
      </c>
      <c r="E312" s="68"/>
      <c r="F312" s="68"/>
      <c r="G312" s="68">
        <v>74</v>
      </c>
      <c r="H3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3" spans="1:8" hidden="1" x14ac:dyDescent="0.3">
      <c r="A313" t="s">
        <v>551</v>
      </c>
      <c r="B313" t="s">
        <v>605</v>
      </c>
      <c r="C313" t="s">
        <v>538</v>
      </c>
      <c r="D313" s="68">
        <v>443</v>
      </c>
      <c r="E313" s="68"/>
      <c r="F313" s="68">
        <v>4458</v>
      </c>
      <c r="G313" s="68">
        <v>4901</v>
      </c>
      <c r="H3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4" spans="1:8" hidden="1" x14ac:dyDescent="0.3">
      <c r="A314" t="s">
        <v>551</v>
      </c>
      <c r="B314" t="s">
        <v>605</v>
      </c>
      <c r="C314" t="s">
        <v>34</v>
      </c>
      <c r="D314" s="68">
        <v>485</v>
      </c>
      <c r="E314" s="68"/>
      <c r="F314" s="68">
        <v>1593</v>
      </c>
      <c r="G314" s="68">
        <v>2078</v>
      </c>
      <c r="H3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5" spans="1:8" hidden="1" x14ac:dyDescent="0.3">
      <c r="A315" t="s">
        <v>551</v>
      </c>
      <c r="B315" t="s">
        <v>605</v>
      </c>
      <c r="C315" t="s">
        <v>26</v>
      </c>
      <c r="D315" s="68">
        <v>1014</v>
      </c>
      <c r="E315" s="68"/>
      <c r="F315" s="68">
        <v>512</v>
      </c>
      <c r="G315" s="68">
        <v>1526</v>
      </c>
      <c r="H3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6" spans="1:8" hidden="1" x14ac:dyDescent="0.3">
      <c r="A316" t="s">
        <v>551</v>
      </c>
      <c r="B316" t="s">
        <v>605</v>
      </c>
      <c r="C316" t="s">
        <v>27</v>
      </c>
      <c r="D316" s="68"/>
      <c r="E316" s="68">
        <v>220</v>
      </c>
      <c r="F316" s="68"/>
      <c r="G316" s="68">
        <v>220</v>
      </c>
      <c r="H3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7" spans="1:8" hidden="1" x14ac:dyDescent="0.3">
      <c r="A317" t="s">
        <v>551</v>
      </c>
      <c r="B317" t="s">
        <v>606</v>
      </c>
      <c r="C317" t="s">
        <v>538</v>
      </c>
      <c r="D317" s="68">
        <v>217</v>
      </c>
      <c r="E317" s="68"/>
      <c r="F317" s="68">
        <v>3396</v>
      </c>
      <c r="G317" s="68">
        <v>3613</v>
      </c>
      <c r="H3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8" spans="1:8" hidden="1" x14ac:dyDescent="0.3">
      <c r="A318" t="s">
        <v>551</v>
      </c>
      <c r="B318" t="s">
        <v>606</v>
      </c>
      <c r="C318" t="s">
        <v>26</v>
      </c>
      <c r="D318" s="68">
        <v>825</v>
      </c>
      <c r="E318" s="68"/>
      <c r="F318" s="68">
        <v>436</v>
      </c>
      <c r="G318" s="68">
        <v>1261</v>
      </c>
      <c r="H3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9" spans="1:8" hidden="1" x14ac:dyDescent="0.3">
      <c r="A319" t="s">
        <v>551</v>
      </c>
      <c r="B319" t="s">
        <v>606</v>
      </c>
      <c r="C319" t="s">
        <v>27</v>
      </c>
      <c r="D319" s="68"/>
      <c r="E319" s="68">
        <v>101</v>
      </c>
      <c r="F319" s="68"/>
      <c r="G319" s="68">
        <v>101</v>
      </c>
      <c r="H3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0" spans="1:8" hidden="1" x14ac:dyDescent="0.3">
      <c r="A320" t="s">
        <v>551</v>
      </c>
      <c r="B320" t="s">
        <v>606</v>
      </c>
      <c r="C320" t="s">
        <v>553</v>
      </c>
      <c r="D320" s="68">
        <v>16</v>
      </c>
      <c r="E320" s="68"/>
      <c r="F320" s="68"/>
      <c r="G320" s="68">
        <v>16</v>
      </c>
      <c r="H3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1" spans="1:8" hidden="1" x14ac:dyDescent="0.3">
      <c r="A321" t="s">
        <v>551</v>
      </c>
      <c r="B321" t="s">
        <v>607</v>
      </c>
      <c r="C321" t="s">
        <v>34</v>
      </c>
      <c r="D321" s="68">
        <v>24017</v>
      </c>
      <c r="E321" s="68"/>
      <c r="F321" s="68">
        <v>3682</v>
      </c>
      <c r="G321" s="68">
        <v>27699</v>
      </c>
      <c r="H3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2" spans="1:8" hidden="1" x14ac:dyDescent="0.3">
      <c r="A322" t="s">
        <v>551</v>
      </c>
      <c r="B322" t="s">
        <v>607</v>
      </c>
      <c r="C322" t="s">
        <v>538</v>
      </c>
      <c r="D322" s="68">
        <v>1793</v>
      </c>
      <c r="E322" s="68"/>
      <c r="F322" s="68">
        <v>11078</v>
      </c>
      <c r="G322" s="68">
        <v>12871</v>
      </c>
      <c r="H3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3" spans="1:8" hidden="1" x14ac:dyDescent="0.3">
      <c r="A323" t="s">
        <v>551</v>
      </c>
      <c r="B323" t="s">
        <v>607</v>
      </c>
      <c r="C323" t="s">
        <v>26</v>
      </c>
      <c r="D323" s="68">
        <v>7477</v>
      </c>
      <c r="E323" s="68"/>
      <c r="F323" s="68">
        <v>1753</v>
      </c>
      <c r="G323" s="68">
        <v>9230</v>
      </c>
      <c r="H3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4" spans="1:8" hidden="1" x14ac:dyDescent="0.3">
      <c r="A324" t="s">
        <v>551</v>
      </c>
      <c r="B324" t="s">
        <v>607</v>
      </c>
      <c r="C324" t="s">
        <v>36</v>
      </c>
      <c r="D324" s="68">
        <v>2629</v>
      </c>
      <c r="E324" s="68"/>
      <c r="F324" s="68">
        <v>816</v>
      </c>
      <c r="G324" s="68">
        <v>3445</v>
      </c>
      <c r="H3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5" spans="1:8" hidden="1" x14ac:dyDescent="0.3">
      <c r="A325" t="s">
        <v>551</v>
      </c>
      <c r="B325" t="s">
        <v>607</v>
      </c>
      <c r="C325" t="s">
        <v>27</v>
      </c>
      <c r="D325" s="68"/>
      <c r="E325" s="68">
        <v>512</v>
      </c>
      <c r="F325" s="68"/>
      <c r="G325" s="68">
        <v>512</v>
      </c>
      <c r="H3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6" spans="1:8" hidden="1" x14ac:dyDescent="0.3">
      <c r="A326" t="s">
        <v>551</v>
      </c>
      <c r="B326" t="s">
        <v>607</v>
      </c>
      <c r="C326" t="s">
        <v>553</v>
      </c>
      <c r="D326" s="68">
        <v>65</v>
      </c>
      <c r="E326" s="68"/>
      <c r="F326" s="68"/>
      <c r="G326" s="68">
        <v>65</v>
      </c>
      <c r="H3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7" spans="1:8" hidden="1" x14ac:dyDescent="0.3">
      <c r="A327" t="s">
        <v>551</v>
      </c>
      <c r="B327" t="s">
        <v>607</v>
      </c>
      <c r="C327" t="s">
        <v>5</v>
      </c>
      <c r="D327" s="68">
        <v>14</v>
      </c>
      <c r="E327" s="68"/>
      <c r="F327" s="68"/>
      <c r="G327" s="68">
        <v>14</v>
      </c>
      <c r="H3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8" spans="1:8" hidden="1" x14ac:dyDescent="0.3">
      <c r="A328" t="s">
        <v>551</v>
      </c>
      <c r="B328" t="s">
        <v>608</v>
      </c>
      <c r="C328" t="s">
        <v>538</v>
      </c>
      <c r="D328" s="68">
        <v>703</v>
      </c>
      <c r="E328" s="68"/>
      <c r="F328" s="68">
        <v>3536</v>
      </c>
      <c r="G328" s="68">
        <v>4239</v>
      </c>
      <c r="H3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9" spans="1:8" hidden="1" x14ac:dyDescent="0.3">
      <c r="A329" t="s">
        <v>551</v>
      </c>
      <c r="B329" t="s">
        <v>608</v>
      </c>
      <c r="C329" t="s">
        <v>26</v>
      </c>
      <c r="D329" s="68">
        <v>2047</v>
      </c>
      <c r="E329" s="68"/>
      <c r="F329" s="68">
        <v>718</v>
      </c>
      <c r="G329" s="68">
        <v>2765</v>
      </c>
      <c r="H3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0" spans="1:8" hidden="1" x14ac:dyDescent="0.3">
      <c r="A330" t="s">
        <v>551</v>
      </c>
      <c r="B330" t="s">
        <v>608</v>
      </c>
      <c r="C330" t="s">
        <v>27</v>
      </c>
      <c r="D330" s="68"/>
      <c r="E330" s="68">
        <v>105</v>
      </c>
      <c r="F330" s="68"/>
      <c r="G330" s="68">
        <v>105</v>
      </c>
      <c r="H3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1" spans="1:8" hidden="1" x14ac:dyDescent="0.3">
      <c r="A331" t="s">
        <v>551</v>
      </c>
      <c r="B331" t="s">
        <v>608</v>
      </c>
      <c r="C331" t="s">
        <v>553</v>
      </c>
      <c r="D331" s="68">
        <v>98</v>
      </c>
      <c r="E331" s="68"/>
      <c r="F331" s="68"/>
      <c r="G331" s="68">
        <v>98</v>
      </c>
      <c r="H3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2" spans="1:8" hidden="1" x14ac:dyDescent="0.3">
      <c r="A332" t="s">
        <v>551</v>
      </c>
      <c r="B332" t="s">
        <v>608</v>
      </c>
      <c r="C332" t="s">
        <v>5</v>
      </c>
      <c r="D332" s="68">
        <v>1</v>
      </c>
      <c r="E332" s="68"/>
      <c r="F332" s="68"/>
      <c r="G332" s="68">
        <v>1</v>
      </c>
      <c r="H3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3" spans="1:8" hidden="1" x14ac:dyDescent="0.3">
      <c r="A333" t="s">
        <v>551</v>
      </c>
      <c r="B333" t="s">
        <v>609</v>
      </c>
      <c r="C333" t="s">
        <v>538</v>
      </c>
      <c r="D333" s="68">
        <v>285</v>
      </c>
      <c r="E333" s="68"/>
      <c r="F333" s="68">
        <v>2758</v>
      </c>
      <c r="G333" s="68">
        <v>3043</v>
      </c>
      <c r="H3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4" spans="1:8" hidden="1" x14ac:dyDescent="0.3">
      <c r="A334" t="s">
        <v>551</v>
      </c>
      <c r="B334" t="s">
        <v>609</v>
      </c>
      <c r="C334" t="s">
        <v>26</v>
      </c>
      <c r="D334" s="68">
        <v>411</v>
      </c>
      <c r="E334" s="68"/>
      <c r="F334" s="68">
        <v>189</v>
      </c>
      <c r="G334" s="68">
        <v>600</v>
      </c>
      <c r="H3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5" spans="1:8" hidden="1" x14ac:dyDescent="0.3">
      <c r="A335" t="s">
        <v>551</v>
      </c>
      <c r="B335" t="s">
        <v>609</v>
      </c>
      <c r="C335" t="s">
        <v>27</v>
      </c>
      <c r="D335" s="68"/>
      <c r="E335" s="68">
        <v>110</v>
      </c>
      <c r="F335" s="68"/>
      <c r="G335" s="68">
        <v>110</v>
      </c>
      <c r="H3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6" spans="1:8" hidden="1" x14ac:dyDescent="0.3">
      <c r="A336" t="s">
        <v>551</v>
      </c>
      <c r="B336" t="s">
        <v>609</v>
      </c>
      <c r="C336" t="s">
        <v>553</v>
      </c>
      <c r="D336" s="68">
        <v>3</v>
      </c>
      <c r="E336" s="68"/>
      <c r="F336" s="68"/>
      <c r="G336" s="68">
        <v>3</v>
      </c>
      <c r="H3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7" spans="1:8" hidden="1" x14ac:dyDescent="0.3">
      <c r="A337" t="s">
        <v>551</v>
      </c>
      <c r="B337" t="s">
        <v>610</v>
      </c>
      <c r="C337" t="s">
        <v>31</v>
      </c>
      <c r="D337" s="68">
        <v>232</v>
      </c>
      <c r="E337" s="68"/>
      <c r="F337" s="68">
        <v>1837</v>
      </c>
      <c r="G337" s="68">
        <v>2069</v>
      </c>
      <c r="H3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8" spans="1:8" hidden="1" x14ac:dyDescent="0.3">
      <c r="A338" t="s">
        <v>551</v>
      </c>
      <c r="B338" t="s">
        <v>610</v>
      </c>
      <c r="C338" t="s">
        <v>26</v>
      </c>
      <c r="D338" s="68">
        <v>493</v>
      </c>
      <c r="E338" s="68"/>
      <c r="F338" s="68">
        <v>212</v>
      </c>
      <c r="G338" s="68">
        <v>705</v>
      </c>
      <c r="H3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9" spans="1:8" hidden="1" x14ac:dyDescent="0.3">
      <c r="A339" t="s">
        <v>551</v>
      </c>
      <c r="B339" t="s">
        <v>610</v>
      </c>
      <c r="C339" t="s">
        <v>538</v>
      </c>
      <c r="D339" s="68">
        <v>58</v>
      </c>
      <c r="E339" s="68"/>
      <c r="F339" s="68">
        <v>576</v>
      </c>
      <c r="G339" s="68">
        <v>634</v>
      </c>
      <c r="H3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0" spans="1:8" hidden="1" x14ac:dyDescent="0.3">
      <c r="A340" t="s">
        <v>551</v>
      </c>
      <c r="B340" t="s">
        <v>610</v>
      </c>
      <c r="C340" t="s">
        <v>27</v>
      </c>
      <c r="D340" s="68"/>
      <c r="E340" s="68">
        <v>84</v>
      </c>
      <c r="F340" s="68"/>
      <c r="G340" s="68">
        <v>84</v>
      </c>
      <c r="H3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1" spans="1:8" hidden="1" x14ac:dyDescent="0.3">
      <c r="A341" t="s">
        <v>551</v>
      </c>
      <c r="B341" t="s">
        <v>610</v>
      </c>
      <c r="C341" t="s">
        <v>553</v>
      </c>
      <c r="D341" s="68">
        <v>1</v>
      </c>
      <c r="E341" s="68"/>
      <c r="F341" s="68"/>
      <c r="G341" s="68">
        <v>1</v>
      </c>
      <c r="H3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2" spans="1:8" hidden="1" x14ac:dyDescent="0.3">
      <c r="A342" t="s">
        <v>551</v>
      </c>
      <c r="B342" t="s">
        <v>610</v>
      </c>
      <c r="C342" t="s">
        <v>34</v>
      </c>
      <c r="D342" s="68">
        <v>1</v>
      </c>
      <c r="E342" s="68"/>
      <c r="F342" s="68"/>
      <c r="G342" s="68">
        <v>1</v>
      </c>
      <c r="H3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3" spans="1:8" hidden="1" x14ac:dyDescent="0.3">
      <c r="A343" t="s">
        <v>551</v>
      </c>
      <c r="B343" t="s">
        <v>611</v>
      </c>
      <c r="C343" t="s">
        <v>34</v>
      </c>
      <c r="D343" s="68">
        <v>172760</v>
      </c>
      <c r="E343" s="68"/>
      <c r="F343" s="68">
        <v>22524</v>
      </c>
      <c r="G343" s="68">
        <v>195284</v>
      </c>
      <c r="H3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4" spans="1:8" hidden="1" x14ac:dyDescent="0.3">
      <c r="A344" t="s">
        <v>551</v>
      </c>
      <c r="B344" t="s">
        <v>611</v>
      </c>
      <c r="C344" t="s">
        <v>36</v>
      </c>
      <c r="D344" s="68">
        <v>41337</v>
      </c>
      <c r="E344" s="68"/>
      <c r="F344" s="68">
        <v>9443</v>
      </c>
      <c r="G344" s="68">
        <v>50780</v>
      </c>
      <c r="H3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5" spans="1:8" hidden="1" x14ac:dyDescent="0.3">
      <c r="A345" t="s">
        <v>551</v>
      </c>
      <c r="B345" t="s">
        <v>611</v>
      </c>
      <c r="C345" t="s">
        <v>538</v>
      </c>
      <c r="D345" s="68">
        <v>4591</v>
      </c>
      <c r="E345" s="68"/>
      <c r="F345" s="68">
        <v>36738</v>
      </c>
      <c r="G345" s="68">
        <v>41329</v>
      </c>
      <c r="H3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6" spans="1:8" hidden="1" x14ac:dyDescent="0.3">
      <c r="A346" t="s">
        <v>551</v>
      </c>
      <c r="B346" t="s">
        <v>611</v>
      </c>
      <c r="C346" t="s">
        <v>26</v>
      </c>
      <c r="D346" s="68">
        <v>25291</v>
      </c>
      <c r="E346" s="68"/>
      <c r="F346" s="68">
        <v>4945</v>
      </c>
      <c r="G346" s="68">
        <v>30236</v>
      </c>
      <c r="H3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7" spans="1:8" hidden="1" x14ac:dyDescent="0.3">
      <c r="A347" t="s">
        <v>551</v>
      </c>
      <c r="B347" t="s">
        <v>611</v>
      </c>
      <c r="C347" t="s">
        <v>5</v>
      </c>
      <c r="D347" s="68">
        <v>7871</v>
      </c>
      <c r="E347" s="68"/>
      <c r="F347" s="68">
        <v>1077</v>
      </c>
      <c r="G347" s="68">
        <v>8948</v>
      </c>
      <c r="H3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8" spans="1:8" hidden="1" x14ac:dyDescent="0.3">
      <c r="A348" t="s">
        <v>551</v>
      </c>
      <c r="B348" t="s">
        <v>611</v>
      </c>
      <c r="C348" t="s">
        <v>27</v>
      </c>
      <c r="D348" s="68"/>
      <c r="E348" s="68">
        <v>3927</v>
      </c>
      <c r="F348" s="68"/>
      <c r="G348" s="68">
        <v>3927</v>
      </c>
      <c r="H3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9" spans="1:8" hidden="1" x14ac:dyDescent="0.3">
      <c r="A349" t="s">
        <v>551</v>
      </c>
      <c r="B349" t="s">
        <v>611</v>
      </c>
      <c r="C349" t="s">
        <v>31</v>
      </c>
      <c r="D349" s="68">
        <v>818</v>
      </c>
      <c r="E349" s="68"/>
      <c r="F349" s="68">
        <v>1231</v>
      </c>
      <c r="G349" s="68">
        <v>2049</v>
      </c>
      <c r="H3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0" spans="1:8" hidden="1" x14ac:dyDescent="0.3">
      <c r="A350" t="s">
        <v>551</v>
      </c>
      <c r="B350" t="s">
        <v>611</v>
      </c>
      <c r="C350" t="s">
        <v>553</v>
      </c>
      <c r="D350" s="68">
        <v>263</v>
      </c>
      <c r="E350" s="68"/>
      <c r="F350" s="68"/>
      <c r="G350" s="68">
        <v>263</v>
      </c>
      <c r="H3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1" spans="1:8" hidden="1" x14ac:dyDescent="0.3">
      <c r="A351" t="s">
        <v>551</v>
      </c>
      <c r="B351" t="s">
        <v>611</v>
      </c>
      <c r="C351" t="s">
        <v>33</v>
      </c>
      <c r="D351" s="68">
        <v>2</v>
      </c>
      <c r="E351" s="68"/>
      <c r="F351" s="68"/>
      <c r="G351" s="68">
        <v>2</v>
      </c>
      <c r="H3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2" spans="1:8" hidden="1" x14ac:dyDescent="0.3">
      <c r="A352" t="s">
        <v>551</v>
      </c>
      <c r="B352" t="s">
        <v>612</v>
      </c>
      <c r="C352" t="s">
        <v>538</v>
      </c>
      <c r="D352" s="68">
        <v>978</v>
      </c>
      <c r="E352" s="68"/>
      <c r="F352" s="68">
        <v>14855</v>
      </c>
      <c r="G352" s="68">
        <v>15833</v>
      </c>
      <c r="H3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3" spans="1:8" hidden="1" x14ac:dyDescent="0.3">
      <c r="A353" t="s">
        <v>551</v>
      </c>
      <c r="B353" t="s">
        <v>612</v>
      </c>
      <c r="C353" t="s">
        <v>26</v>
      </c>
      <c r="D353" s="68">
        <v>1466</v>
      </c>
      <c r="E353" s="68"/>
      <c r="F353" s="68">
        <v>815</v>
      </c>
      <c r="G353" s="68">
        <v>2281</v>
      </c>
      <c r="H3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4" spans="1:8" hidden="1" x14ac:dyDescent="0.3">
      <c r="A354" t="s">
        <v>551</v>
      </c>
      <c r="B354" t="s">
        <v>612</v>
      </c>
      <c r="C354" t="s">
        <v>27</v>
      </c>
      <c r="D354" s="68"/>
      <c r="E354" s="68">
        <v>585</v>
      </c>
      <c r="F354" s="68"/>
      <c r="G354" s="68">
        <v>585</v>
      </c>
      <c r="H3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5" spans="1:8" hidden="1" x14ac:dyDescent="0.3">
      <c r="A355" t="s">
        <v>551</v>
      </c>
      <c r="B355" t="s">
        <v>612</v>
      </c>
      <c r="C355" t="s">
        <v>36</v>
      </c>
      <c r="D355" s="68">
        <v>1</v>
      </c>
      <c r="E355" s="68"/>
      <c r="F355" s="68"/>
      <c r="G355" s="68">
        <v>1</v>
      </c>
      <c r="H3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6" spans="1:8" hidden="1" x14ac:dyDescent="0.3">
      <c r="A356" t="s">
        <v>551</v>
      </c>
      <c r="B356" t="s">
        <v>613</v>
      </c>
      <c r="C356" t="s">
        <v>538</v>
      </c>
      <c r="D356" s="68">
        <v>1078</v>
      </c>
      <c r="E356" s="68"/>
      <c r="F356" s="68">
        <v>8352</v>
      </c>
      <c r="G356" s="68">
        <v>9430</v>
      </c>
      <c r="H3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7" spans="1:8" hidden="1" x14ac:dyDescent="0.3">
      <c r="A357" t="s">
        <v>551</v>
      </c>
      <c r="B357" t="s">
        <v>613</v>
      </c>
      <c r="C357" t="s">
        <v>26</v>
      </c>
      <c r="D357" s="68">
        <v>2661</v>
      </c>
      <c r="E357" s="68"/>
      <c r="F357" s="68">
        <v>953</v>
      </c>
      <c r="G357" s="68">
        <v>3614</v>
      </c>
      <c r="H3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8" spans="1:8" hidden="1" x14ac:dyDescent="0.3">
      <c r="A358" t="s">
        <v>551</v>
      </c>
      <c r="B358" t="s">
        <v>613</v>
      </c>
      <c r="C358" t="s">
        <v>27</v>
      </c>
      <c r="D358" s="68"/>
      <c r="E358" s="68">
        <v>323</v>
      </c>
      <c r="F358" s="68"/>
      <c r="G358" s="68">
        <v>323</v>
      </c>
      <c r="H3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9" spans="1:8" hidden="1" x14ac:dyDescent="0.3">
      <c r="A359" t="s">
        <v>551</v>
      </c>
      <c r="B359" t="s">
        <v>613</v>
      </c>
      <c r="C359" t="s">
        <v>34</v>
      </c>
      <c r="D359" s="68">
        <v>1</v>
      </c>
      <c r="E359" s="68"/>
      <c r="F359" s="68"/>
      <c r="G359" s="68">
        <v>1</v>
      </c>
      <c r="H3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0" spans="1:8" hidden="1" x14ac:dyDescent="0.3">
      <c r="A360" t="s">
        <v>551</v>
      </c>
      <c r="B360" t="s">
        <v>614</v>
      </c>
      <c r="C360" t="s">
        <v>31</v>
      </c>
      <c r="D360" s="68">
        <v>1355</v>
      </c>
      <c r="E360" s="68"/>
      <c r="F360" s="68">
        <v>5914</v>
      </c>
      <c r="G360" s="68">
        <v>7269</v>
      </c>
      <c r="H3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1" spans="1:8" hidden="1" x14ac:dyDescent="0.3">
      <c r="A361" t="s">
        <v>551</v>
      </c>
      <c r="B361" t="s">
        <v>614</v>
      </c>
      <c r="C361" t="s">
        <v>26</v>
      </c>
      <c r="D361" s="68">
        <v>1896</v>
      </c>
      <c r="E361" s="68"/>
      <c r="F361" s="68">
        <v>522</v>
      </c>
      <c r="G361" s="68">
        <v>2418</v>
      </c>
      <c r="H3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2" spans="1:8" hidden="1" x14ac:dyDescent="0.3">
      <c r="A362" t="s">
        <v>551</v>
      </c>
      <c r="B362" t="s">
        <v>614</v>
      </c>
      <c r="C362" t="s">
        <v>27</v>
      </c>
      <c r="D362" s="68"/>
      <c r="E362" s="68">
        <v>361</v>
      </c>
      <c r="F362" s="68"/>
      <c r="G362" s="68">
        <v>361</v>
      </c>
      <c r="H3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3" spans="1:8" hidden="1" x14ac:dyDescent="0.3">
      <c r="A363" t="s">
        <v>551</v>
      </c>
      <c r="B363" t="s">
        <v>614</v>
      </c>
      <c r="C363" t="s">
        <v>36</v>
      </c>
      <c r="D363" s="68">
        <v>104</v>
      </c>
      <c r="E363" s="68"/>
      <c r="F363" s="68">
        <v>22</v>
      </c>
      <c r="G363" s="68">
        <v>126</v>
      </c>
      <c r="H3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4" spans="1:8" hidden="1" x14ac:dyDescent="0.3">
      <c r="A364" t="s">
        <v>551</v>
      </c>
      <c r="B364" t="s">
        <v>614</v>
      </c>
      <c r="C364" t="s">
        <v>538</v>
      </c>
      <c r="D364" s="68">
        <v>11</v>
      </c>
      <c r="E364" s="68"/>
      <c r="F364" s="68">
        <v>25</v>
      </c>
      <c r="G364" s="68">
        <v>36</v>
      </c>
      <c r="H3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5" spans="1:8" hidden="1" x14ac:dyDescent="0.3">
      <c r="A365" t="s">
        <v>551</v>
      </c>
      <c r="B365" t="s">
        <v>614</v>
      </c>
      <c r="C365" t="s">
        <v>553</v>
      </c>
      <c r="D365" s="68">
        <v>1</v>
      </c>
      <c r="E365" s="68"/>
      <c r="F365" s="68"/>
      <c r="G365" s="68">
        <v>1</v>
      </c>
      <c r="H3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6" spans="1:8" hidden="1" x14ac:dyDescent="0.3">
      <c r="A366" t="s">
        <v>551</v>
      </c>
      <c r="B366" t="s">
        <v>615</v>
      </c>
      <c r="C366" t="s">
        <v>34</v>
      </c>
      <c r="D366" s="68">
        <v>51369</v>
      </c>
      <c r="E366" s="68"/>
      <c r="F366" s="68">
        <v>6958</v>
      </c>
      <c r="G366" s="68">
        <v>58327</v>
      </c>
      <c r="H3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7" spans="1:8" hidden="1" x14ac:dyDescent="0.3">
      <c r="A367" t="s">
        <v>551</v>
      </c>
      <c r="B367" t="s">
        <v>615</v>
      </c>
      <c r="C367" t="s">
        <v>26</v>
      </c>
      <c r="D367" s="68">
        <v>10296</v>
      </c>
      <c r="E367" s="68"/>
      <c r="F367" s="68">
        <v>3034</v>
      </c>
      <c r="G367" s="68">
        <v>13330</v>
      </c>
      <c r="H3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8" spans="1:8" hidden="1" x14ac:dyDescent="0.3">
      <c r="A368" t="s">
        <v>551</v>
      </c>
      <c r="B368" t="s">
        <v>615</v>
      </c>
      <c r="C368" t="s">
        <v>538</v>
      </c>
      <c r="D368" s="68">
        <v>1782</v>
      </c>
      <c r="E368" s="68"/>
      <c r="F368" s="68">
        <v>6130</v>
      </c>
      <c r="G368" s="68">
        <v>7912</v>
      </c>
      <c r="H3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9" spans="1:8" hidden="1" x14ac:dyDescent="0.3">
      <c r="A369" t="s">
        <v>551</v>
      </c>
      <c r="B369" t="s">
        <v>615</v>
      </c>
      <c r="C369" t="s">
        <v>36</v>
      </c>
      <c r="D369" s="68">
        <v>2011</v>
      </c>
      <c r="E369" s="68"/>
      <c r="F369" s="68">
        <v>992</v>
      </c>
      <c r="G369" s="68">
        <v>3003</v>
      </c>
      <c r="H3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0" spans="1:8" hidden="1" x14ac:dyDescent="0.3">
      <c r="A370" t="s">
        <v>551</v>
      </c>
      <c r="B370" t="s">
        <v>615</v>
      </c>
      <c r="C370" t="s">
        <v>27</v>
      </c>
      <c r="D370" s="68"/>
      <c r="E370" s="68">
        <v>793</v>
      </c>
      <c r="F370" s="68"/>
      <c r="G370" s="68">
        <v>793</v>
      </c>
      <c r="H3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1" spans="1:8" hidden="1" x14ac:dyDescent="0.3">
      <c r="A371" t="s">
        <v>551</v>
      </c>
      <c r="B371" t="s">
        <v>615</v>
      </c>
      <c r="C371" t="s">
        <v>553</v>
      </c>
      <c r="D371" s="68">
        <v>59</v>
      </c>
      <c r="E371" s="68"/>
      <c r="F371" s="68"/>
      <c r="G371" s="68">
        <v>59</v>
      </c>
      <c r="H3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2" spans="1:8" hidden="1" x14ac:dyDescent="0.3">
      <c r="A372" t="s">
        <v>551</v>
      </c>
      <c r="B372" t="s">
        <v>615</v>
      </c>
      <c r="C372" t="s">
        <v>30</v>
      </c>
      <c r="D372" s="68"/>
      <c r="E372" s="68"/>
      <c r="F372" s="68">
        <v>1</v>
      </c>
      <c r="G372" s="68">
        <v>1</v>
      </c>
      <c r="H3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3" spans="1:8" hidden="1" x14ac:dyDescent="0.3">
      <c r="A373" t="s">
        <v>551</v>
      </c>
      <c r="B373" t="s">
        <v>615</v>
      </c>
      <c r="C373" t="s">
        <v>5</v>
      </c>
      <c r="D373" s="68">
        <v>1</v>
      </c>
      <c r="E373" s="68"/>
      <c r="F373" s="68"/>
      <c r="G373" s="68">
        <v>1</v>
      </c>
      <c r="H3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4" spans="1:8" hidden="1" x14ac:dyDescent="0.3">
      <c r="A374" t="s">
        <v>551</v>
      </c>
      <c r="B374" t="s">
        <v>616</v>
      </c>
      <c r="C374" t="s">
        <v>34</v>
      </c>
      <c r="D374" s="68">
        <v>41108</v>
      </c>
      <c r="E374" s="68"/>
      <c r="F374" s="68">
        <v>4343</v>
      </c>
      <c r="G374" s="68">
        <v>45451</v>
      </c>
      <c r="H3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5" spans="1:8" hidden="1" x14ac:dyDescent="0.3">
      <c r="A375" t="s">
        <v>551</v>
      </c>
      <c r="B375" t="s">
        <v>616</v>
      </c>
      <c r="C375" t="s">
        <v>538</v>
      </c>
      <c r="D375" s="68">
        <v>1476</v>
      </c>
      <c r="E375" s="68"/>
      <c r="F375" s="68">
        <v>8877</v>
      </c>
      <c r="G375" s="68">
        <v>10353</v>
      </c>
      <c r="H3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6" spans="1:8" hidden="1" x14ac:dyDescent="0.3">
      <c r="A376" t="s">
        <v>551</v>
      </c>
      <c r="B376" t="s">
        <v>616</v>
      </c>
      <c r="C376" t="s">
        <v>26</v>
      </c>
      <c r="D376" s="68">
        <v>4694</v>
      </c>
      <c r="E376" s="68"/>
      <c r="F376" s="68">
        <v>698</v>
      </c>
      <c r="G376" s="68">
        <v>5392</v>
      </c>
      <c r="H3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7" spans="1:8" hidden="1" x14ac:dyDescent="0.3">
      <c r="A377" t="s">
        <v>551</v>
      </c>
      <c r="B377" t="s">
        <v>616</v>
      </c>
      <c r="C377" t="s">
        <v>36</v>
      </c>
      <c r="D377" s="68">
        <v>463</v>
      </c>
      <c r="E377" s="68"/>
      <c r="F377" s="68">
        <v>81</v>
      </c>
      <c r="G377" s="68">
        <v>544</v>
      </c>
      <c r="H3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8" spans="1:8" hidden="1" x14ac:dyDescent="0.3">
      <c r="A378" t="s">
        <v>551</v>
      </c>
      <c r="B378" t="s">
        <v>616</v>
      </c>
      <c r="C378" t="s">
        <v>27</v>
      </c>
      <c r="D378" s="68"/>
      <c r="E378" s="68">
        <v>421</v>
      </c>
      <c r="F378" s="68"/>
      <c r="G378" s="68">
        <v>421</v>
      </c>
      <c r="H3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9" spans="1:8" hidden="1" x14ac:dyDescent="0.3">
      <c r="A379" t="s">
        <v>551</v>
      </c>
      <c r="B379" t="s">
        <v>616</v>
      </c>
      <c r="C379" t="s">
        <v>553</v>
      </c>
      <c r="D379" s="68">
        <v>107</v>
      </c>
      <c r="E379" s="68"/>
      <c r="F379" s="68"/>
      <c r="G379" s="68">
        <v>107</v>
      </c>
      <c r="H3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0" spans="1:8" hidden="1" x14ac:dyDescent="0.3">
      <c r="A380" t="s">
        <v>551</v>
      </c>
      <c r="B380" t="s">
        <v>616</v>
      </c>
      <c r="C380" t="s">
        <v>5</v>
      </c>
      <c r="D380" s="68">
        <v>6</v>
      </c>
      <c r="E380" s="68"/>
      <c r="F380" s="68"/>
      <c r="G380" s="68">
        <v>6</v>
      </c>
      <c r="H3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1" spans="1:8" hidden="1" x14ac:dyDescent="0.3">
      <c r="A381" t="s">
        <v>551</v>
      </c>
      <c r="B381" t="s">
        <v>617</v>
      </c>
      <c r="C381" t="s">
        <v>538</v>
      </c>
      <c r="D381" s="68">
        <v>544</v>
      </c>
      <c r="E381" s="68"/>
      <c r="F381" s="68">
        <v>3874</v>
      </c>
      <c r="G381" s="68">
        <v>4418</v>
      </c>
      <c r="H3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2" spans="1:8" hidden="1" x14ac:dyDescent="0.3">
      <c r="A382" t="s">
        <v>551</v>
      </c>
      <c r="B382" t="s">
        <v>617</v>
      </c>
      <c r="C382" t="s">
        <v>26</v>
      </c>
      <c r="D382" s="68">
        <v>2506</v>
      </c>
      <c r="E382" s="68"/>
      <c r="F382" s="68">
        <v>873</v>
      </c>
      <c r="G382" s="68">
        <v>3379</v>
      </c>
      <c r="H3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3" spans="1:8" hidden="1" x14ac:dyDescent="0.3">
      <c r="A383" t="s">
        <v>551</v>
      </c>
      <c r="B383" t="s">
        <v>617</v>
      </c>
      <c r="C383" t="s">
        <v>27</v>
      </c>
      <c r="D383" s="68"/>
      <c r="E383" s="68">
        <v>156</v>
      </c>
      <c r="F383" s="68"/>
      <c r="G383" s="68">
        <v>156</v>
      </c>
      <c r="H3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4" spans="1:8" hidden="1" x14ac:dyDescent="0.3">
      <c r="A384" t="s">
        <v>551</v>
      </c>
      <c r="B384" t="s">
        <v>50</v>
      </c>
      <c r="C384" t="s">
        <v>34</v>
      </c>
      <c r="D384" s="68">
        <v>7019</v>
      </c>
      <c r="E384" s="68"/>
      <c r="F384" s="68">
        <v>1515</v>
      </c>
      <c r="G384" s="68">
        <v>8534</v>
      </c>
      <c r="H3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5" spans="1:8" hidden="1" x14ac:dyDescent="0.3">
      <c r="A385" t="s">
        <v>551</v>
      </c>
      <c r="B385" t="s">
        <v>50</v>
      </c>
      <c r="C385" t="s">
        <v>538</v>
      </c>
      <c r="D385" s="68">
        <v>1403</v>
      </c>
      <c r="E385" s="68"/>
      <c r="F385" s="68">
        <v>7054</v>
      </c>
      <c r="G385" s="68">
        <v>8457</v>
      </c>
      <c r="H3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6" spans="1:8" hidden="1" x14ac:dyDescent="0.3">
      <c r="A386" t="s">
        <v>551</v>
      </c>
      <c r="B386" t="s">
        <v>50</v>
      </c>
      <c r="C386" t="s">
        <v>26</v>
      </c>
      <c r="D386" s="68">
        <v>3055</v>
      </c>
      <c r="E386" s="68"/>
      <c r="F386" s="68">
        <v>1268</v>
      </c>
      <c r="G386" s="68">
        <v>4323</v>
      </c>
      <c r="H3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7" spans="1:8" hidden="1" x14ac:dyDescent="0.3">
      <c r="A387" t="s">
        <v>551</v>
      </c>
      <c r="B387" t="s">
        <v>50</v>
      </c>
      <c r="C387" t="s">
        <v>36</v>
      </c>
      <c r="D387" s="68">
        <v>2257</v>
      </c>
      <c r="E387" s="68"/>
      <c r="F387" s="68">
        <v>796</v>
      </c>
      <c r="G387" s="68">
        <v>3053</v>
      </c>
      <c r="H3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8" spans="1:8" hidden="1" x14ac:dyDescent="0.3">
      <c r="A388" t="s">
        <v>551</v>
      </c>
      <c r="B388" t="s">
        <v>50</v>
      </c>
      <c r="C388" t="s">
        <v>27</v>
      </c>
      <c r="D388" s="68"/>
      <c r="E388" s="68">
        <v>276</v>
      </c>
      <c r="F388" s="68"/>
      <c r="G388" s="68">
        <v>276</v>
      </c>
      <c r="H3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9" spans="1:8" hidden="1" x14ac:dyDescent="0.3">
      <c r="A389" t="s">
        <v>551</v>
      </c>
      <c r="B389" t="s">
        <v>50</v>
      </c>
      <c r="C389" t="s">
        <v>553</v>
      </c>
      <c r="D389" s="68">
        <v>4</v>
      </c>
      <c r="E389" s="68"/>
      <c r="F389" s="68"/>
      <c r="G389" s="68">
        <v>4</v>
      </c>
      <c r="H3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0" spans="1:8" hidden="1" x14ac:dyDescent="0.3">
      <c r="A390" t="s">
        <v>551</v>
      </c>
      <c r="B390" t="s">
        <v>50</v>
      </c>
      <c r="C390" t="s">
        <v>31</v>
      </c>
      <c r="D390" s="68">
        <v>1</v>
      </c>
      <c r="E390" s="68"/>
      <c r="F390" s="68"/>
      <c r="G390" s="68">
        <v>1</v>
      </c>
      <c r="H3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1" spans="1:8" hidden="1" x14ac:dyDescent="0.3">
      <c r="A391" t="s">
        <v>551</v>
      </c>
      <c r="B391" t="s">
        <v>618</v>
      </c>
      <c r="C391" t="s">
        <v>538</v>
      </c>
      <c r="D391" s="68">
        <v>420</v>
      </c>
      <c r="E391" s="68"/>
      <c r="F391" s="68">
        <v>6796</v>
      </c>
      <c r="G391" s="68">
        <v>7216</v>
      </c>
      <c r="H3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2" spans="1:8" hidden="1" x14ac:dyDescent="0.3">
      <c r="A392" t="s">
        <v>551</v>
      </c>
      <c r="B392" t="s">
        <v>618</v>
      </c>
      <c r="C392" t="s">
        <v>26</v>
      </c>
      <c r="D392" s="68">
        <v>712</v>
      </c>
      <c r="E392" s="68"/>
      <c r="F392" s="68">
        <v>398</v>
      </c>
      <c r="G392" s="68">
        <v>1110</v>
      </c>
      <c r="H3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3" spans="1:8" hidden="1" x14ac:dyDescent="0.3">
      <c r="A393" t="s">
        <v>551</v>
      </c>
      <c r="B393" t="s">
        <v>618</v>
      </c>
      <c r="C393" t="s">
        <v>27</v>
      </c>
      <c r="D393" s="68"/>
      <c r="E393" s="68">
        <v>214</v>
      </c>
      <c r="F393" s="68"/>
      <c r="G393" s="68">
        <v>214</v>
      </c>
      <c r="H3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4" spans="1:8" hidden="1" x14ac:dyDescent="0.3">
      <c r="A394" t="s">
        <v>551</v>
      </c>
      <c r="B394" t="s">
        <v>618</v>
      </c>
      <c r="C394" t="s">
        <v>553</v>
      </c>
      <c r="D394" s="68">
        <v>1</v>
      </c>
      <c r="E394" s="68"/>
      <c r="F394" s="68"/>
      <c r="G394" s="68">
        <v>1</v>
      </c>
      <c r="H3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5" spans="1:8" hidden="1" x14ac:dyDescent="0.3">
      <c r="A395" t="s">
        <v>551</v>
      </c>
      <c r="B395" t="s">
        <v>619</v>
      </c>
      <c r="C395" t="s">
        <v>538</v>
      </c>
      <c r="D395" s="68">
        <v>631</v>
      </c>
      <c r="E395" s="68"/>
      <c r="F395" s="68">
        <v>4787</v>
      </c>
      <c r="G395" s="68">
        <v>5418</v>
      </c>
      <c r="H3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6" spans="1:8" hidden="1" x14ac:dyDescent="0.3">
      <c r="A396" t="s">
        <v>551</v>
      </c>
      <c r="B396" t="s">
        <v>619</v>
      </c>
      <c r="C396" t="s">
        <v>26</v>
      </c>
      <c r="D396" s="68">
        <v>1599</v>
      </c>
      <c r="E396" s="68"/>
      <c r="F396" s="68">
        <v>900</v>
      </c>
      <c r="G396" s="68">
        <v>2499</v>
      </c>
      <c r="H3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7" spans="1:8" hidden="1" x14ac:dyDescent="0.3">
      <c r="A397" t="s">
        <v>551</v>
      </c>
      <c r="B397" t="s">
        <v>619</v>
      </c>
      <c r="C397" t="s">
        <v>27</v>
      </c>
      <c r="D397" s="68"/>
      <c r="E397" s="68">
        <v>181</v>
      </c>
      <c r="F397" s="68"/>
      <c r="G397" s="68">
        <v>181</v>
      </c>
      <c r="H3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8" spans="1:8" hidden="1" x14ac:dyDescent="0.3">
      <c r="A398" t="s">
        <v>551</v>
      </c>
      <c r="B398" t="s">
        <v>620</v>
      </c>
      <c r="C398" t="s">
        <v>34</v>
      </c>
      <c r="D398" s="68">
        <v>30309</v>
      </c>
      <c r="E398" s="68"/>
      <c r="F398" s="68">
        <v>5019</v>
      </c>
      <c r="G398" s="68">
        <v>35328</v>
      </c>
      <c r="H3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9" spans="1:8" hidden="1" x14ac:dyDescent="0.3">
      <c r="A399" t="s">
        <v>551</v>
      </c>
      <c r="B399" t="s">
        <v>620</v>
      </c>
      <c r="C399" t="s">
        <v>538</v>
      </c>
      <c r="D399" s="68">
        <v>2498</v>
      </c>
      <c r="E399" s="68"/>
      <c r="F399" s="68">
        <v>18922</v>
      </c>
      <c r="G399" s="68">
        <v>21420</v>
      </c>
      <c r="H3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0" spans="1:8" hidden="1" x14ac:dyDescent="0.3">
      <c r="A400" t="s">
        <v>551</v>
      </c>
      <c r="B400" t="s">
        <v>620</v>
      </c>
      <c r="C400" t="s">
        <v>26</v>
      </c>
      <c r="D400" s="68">
        <v>11006</v>
      </c>
      <c r="E400" s="68"/>
      <c r="F400" s="68">
        <v>3331</v>
      </c>
      <c r="G400" s="68">
        <v>14337</v>
      </c>
      <c r="H4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1" spans="1:8" hidden="1" x14ac:dyDescent="0.3">
      <c r="A401" t="s">
        <v>551</v>
      </c>
      <c r="B401" t="s">
        <v>620</v>
      </c>
      <c r="C401" t="s">
        <v>36</v>
      </c>
      <c r="D401" s="68">
        <v>4143</v>
      </c>
      <c r="E401" s="68"/>
      <c r="F401" s="68">
        <v>1388</v>
      </c>
      <c r="G401" s="68">
        <v>5531</v>
      </c>
      <c r="H4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2" spans="1:8" hidden="1" x14ac:dyDescent="0.3">
      <c r="A402" t="s">
        <v>551</v>
      </c>
      <c r="B402" t="s">
        <v>620</v>
      </c>
      <c r="C402" t="s">
        <v>27</v>
      </c>
      <c r="D402" s="68"/>
      <c r="E402" s="68">
        <v>935</v>
      </c>
      <c r="F402" s="68"/>
      <c r="G402" s="68">
        <v>935</v>
      </c>
      <c r="H4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3" spans="1:8" hidden="1" x14ac:dyDescent="0.3">
      <c r="A403" t="s">
        <v>551</v>
      </c>
      <c r="B403" t="s">
        <v>620</v>
      </c>
      <c r="C403" t="s">
        <v>553</v>
      </c>
      <c r="D403" s="68">
        <v>30</v>
      </c>
      <c r="E403" s="68"/>
      <c r="F403" s="68"/>
      <c r="G403" s="68">
        <v>30</v>
      </c>
      <c r="H4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4" spans="1:8" hidden="1" x14ac:dyDescent="0.3">
      <c r="A404" t="s">
        <v>551</v>
      </c>
      <c r="B404" t="s">
        <v>620</v>
      </c>
      <c r="C404" t="s">
        <v>5</v>
      </c>
      <c r="D404" s="68">
        <v>5</v>
      </c>
      <c r="E404" s="68"/>
      <c r="F404" s="68"/>
      <c r="G404" s="68">
        <v>5</v>
      </c>
      <c r="H4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5" spans="1:8" hidden="1" x14ac:dyDescent="0.3">
      <c r="A405" t="s">
        <v>551</v>
      </c>
      <c r="B405" t="s">
        <v>621</v>
      </c>
      <c r="C405" t="s">
        <v>34</v>
      </c>
      <c r="D405" s="68">
        <v>1423958</v>
      </c>
      <c r="E405" s="68"/>
      <c r="F405" s="68">
        <v>228307</v>
      </c>
      <c r="G405" s="68">
        <v>1652265</v>
      </c>
      <c r="H4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6" spans="1:8" hidden="1" x14ac:dyDescent="0.3">
      <c r="A406" t="s">
        <v>551</v>
      </c>
      <c r="B406" t="s">
        <v>621</v>
      </c>
      <c r="C406" t="s">
        <v>538</v>
      </c>
      <c r="D406" s="68">
        <v>53540</v>
      </c>
      <c r="E406" s="68"/>
      <c r="F406" s="68">
        <v>453942</v>
      </c>
      <c r="G406" s="68">
        <v>507482</v>
      </c>
      <c r="H4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7" spans="1:8" hidden="1" x14ac:dyDescent="0.3">
      <c r="A407" t="s">
        <v>551</v>
      </c>
      <c r="B407" t="s">
        <v>621</v>
      </c>
      <c r="C407" t="s">
        <v>36</v>
      </c>
      <c r="D407" s="68">
        <v>270146</v>
      </c>
      <c r="E407" s="68"/>
      <c r="F407" s="68">
        <v>83517</v>
      </c>
      <c r="G407" s="68">
        <v>353663</v>
      </c>
      <c r="H4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8" spans="1:8" hidden="1" x14ac:dyDescent="0.3">
      <c r="A408" t="s">
        <v>551</v>
      </c>
      <c r="B408" t="s">
        <v>621</v>
      </c>
      <c r="C408" t="s">
        <v>26</v>
      </c>
      <c r="D408" s="68">
        <v>210062</v>
      </c>
      <c r="E408" s="68"/>
      <c r="F408" s="68">
        <v>59842</v>
      </c>
      <c r="G408" s="68">
        <v>269904</v>
      </c>
      <c r="H4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9" spans="1:8" hidden="1" x14ac:dyDescent="0.3">
      <c r="A409" t="s">
        <v>551</v>
      </c>
      <c r="B409" t="s">
        <v>621</v>
      </c>
      <c r="C409" t="s">
        <v>5</v>
      </c>
      <c r="D409" s="68">
        <v>91755</v>
      </c>
      <c r="E409" s="68"/>
      <c r="F409" s="68">
        <v>13558</v>
      </c>
      <c r="G409" s="68">
        <v>105313</v>
      </c>
      <c r="H4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0" spans="1:8" hidden="1" x14ac:dyDescent="0.3">
      <c r="A410" t="s">
        <v>551</v>
      </c>
      <c r="B410" t="s">
        <v>621</v>
      </c>
      <c r="C410" t="s">
        <v>27</v>
      </c>
      <c r="D410" s="68"/>
      <c r="E410" s="68">
        <v>55327</v>
      </c>
      <c r="F410" s="68"/>
      <c r="G410" s="68">
        <v>55327</v>
      </c>
      <c r="H4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1" spans="1:8" hidden="1" x14ac:dyDescent="0.3">
      <c r="A411" t="s">
        <v>551</v>
      </c>
      <c r="B411" t="s">
        <v>621</v>
      </c>
      <c r="C411" t="s">
        <v>31</v>
      </c>
      <c r="D411" s="68">
        <v>8658</v>
      </c>
      <c r="E411" s="68"/>
      <c r="F411" s="68">
        <v>19531</v>
      </c>
      <c r="G411" s="68">
        <v>28189</v>
      </c>
      <c r="H4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2" spans="1:8" hidden="1" x14ac:dyDescent="0.3">
      <c r="A412" t="s">
        <v>551</v>
      </c>
      <c r="B412" t="s">
        <v>621</v>
      </c>
      <c r="C412" t="s">
        <v>553</v>
      </c>
      <c r="D412" s="68">
        <v>4091</v>
      </c>
      <c r="E412" s="68"/>
      <c r="F412" s="68"/>
      <c r="G412" s="68">
        <v>4091</v>
      </c>
      <c r="H4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3" spans="1:8" hidden="1" x14ac:dyDescent="0.3">
      <c r="A413" t="s">
        <v>551</v>
      </c>
      <c r="B413" t="s">
        <v>621</v>
      </c>
      <c r="C413" t="s">
        <v>35</v>
      </c>
      <c r="D413" s="68">
        <v>946</v>
      </c>
      <c r="E413" s="68"/>
      <c r="F413" s="68"/>
      <c r="G413" s="68">
        <v>946</v>
      </c>
      <c r="H4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4" spans="1:8" hidden="1" x14ac:dyDescent="0.3">
      <c r="A414" t="s">
        <v>551</v>
      </c>
      <c r="B414" t="s">
        <v>621</v>
      </c>
      <c r="C414" t="s">
        <v>588</v>
      </c>
      <c r="D414" s="68">
        <v>2</v>
      </c>
      <c r="E414" s="68"/>
      <c r="F414" s="68"/>
      <c r="G414" s="68">
        <v>2</v>
      </c>
      <c r="H4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5" spans="1:8" hidden="1" x14ac:dyDescent="0.3">
      <c r="A415" t="s">
        <v>551</v>
      </c>
      <c r="B415" t="s">
        <v>621</v>
      </c>
      <c r="C415" t="s">
        <v>32</v>
      </c>
      <c r="D415" s="68"/>
      <c r="E415" s="68"/>
      <c r="F415" s="68">
        <v>1</v>
      </c>
      <c r="G415" s="68">
        <v>1</v>
      </c>
      <c r="H4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6" spans="1:8" hidden="1" x14ac:dyDescent="0.3">
      <c r="A416" t="s">
        <v>551</v>
      </c>
      <c r="B416" t="s">
        <v>621</v>
      </c>
      <c r="C416" t="s">
        <v>33</v>
      </c>
      <c r="D416" s="68">
        <v>1</v>
      </c>
      <c r="E416" s="68"/>
      <c r="F416" s="68"/>
      <c r="G416" s="68">
        <v>1</v>
      </c>
      <c r="H4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7" spans="1:8" hidden="1" x14ac:dyDescent="0.3">
      <c r="A417" t="s">
        <v>551</v>
      </c>
      <c r="B417" t="s">
        <v>622</v>
      </c>
      <c r="C417" t="s">
        <v>538</v>
      </c>
      <c r="D417" s="68">
        <v>239</v>
      </c>
      <c r="E417" s="68"/>
      <c r="F417" s="68">
        <v>4003</v>
      </c>
      <c r="G417" s="68">
        <v>4242</v>
      </c>
      <c r="H4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8" spans="1:8" hidden="1" x14ac:dyDescent="0.3">
      <c r="A418" t="s">
        <v>551</v>
      </c>
      <c r="B418" t="s">
        <v>622</v>
      </c>
      <c r="C418" t="s">
        <v>26</v>
      </c>
      <c r="D418" s="68">
        <v>611</v>
      </c>
      <c r="E418" s="68"/>
      <c r="F418" s="68">
        <v>274</v>
      </c>
      <c r="G418" s="68">
        <v>885</v>
      </c>
      <c r="H4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9" spans="1:8" hidden="1" x14ac:dyDescent="0.3">
      <c r="A419" t="s">
        <v>551</v>
      </c>
      <c r="B419" t="s">
        <v>622</v>
      </c>
      <c r="C419" t="s">
        <v>27</v>
      </c>
      <c r="D419" s="68"/>
      <c r="E419" s="68">
        <v>108</v>
      </c>
      <c r="F419" s="68"/>
      <c r="G419" s="68">
        <v>108</v>
      </c>
      <c r="H4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0" spans="1:8" hidden="1" x14ac:dyDescent="0.3">
      <c r="A420" t="s">
        <v>551</v>
      </c>
      <c r="B420" t="s">
        <v>623</v>
      </c>
      <c r="C420" t="s">
        <v>538</v>
      </c>
      <c r="D420" s="68">
        <v>197</v>
      </c>
      <c r="E420" s="68"/>
      <c r="F420" s="68">
        <v>4670</v>
      </c>
      <c r="G420" s="68">
        <v>4867</v>
      </c>
      <c r="H4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1" spans="1:8" hidden="1" x14ac:dyDescent="0.3">
      <c r="A421" t="s">
        <v>551</v>
      </c>
      <c r="B421" t="s">
        <v>623</v>
      </c>
      <c r="C421" t="s">
        <v>26</v>
      </c>
      <c r="D421" s="68">
        <v>174</v>
      </c>
      <c r="E421" s="68"/>
      <c r="F421" s="68">
        <v>139</v>
      </c>
      <c r="G421" s="68">
        <v>313</v>
      </c>
      <c r="H4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2" spans="1:8" hidden="1" x14ac:dyDescent="0.3">
      <c r="A422" t="s">
        <v>551</v>
      </c>
      <c r="B422" t="s">
        <v>623</v>
      </c>
      <c r="C422" t="s">
        <v>27</v>
      </c>
      <c r="D422" s="68"/>
      <c r="E422" s="68">
        <v>89</v>
      </c>
      <c r="F422" s="68"/>
      <c r="G422" s="68">
        <v>89</v>
      </c>
      <c r="H4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3" spans="1:8" hidden="1" x14ac:dyDescent="0.3">
      <c r="A423" t="s">
        <v>551</v>
      </c>
      <c r="B423" t="s">
        <v>624</v>
      </c>
      <c r="C423" t="s">
        <v>538</v>
      </c>
      <c r="D423" s="68">
        <v>662</v>
      </c>
      <c r="E423" s="68"/>
      <c r="F423" s="68">
        <v>12852</v>
      </c>
      <c r="G423" s="68">
        <v>13514</v>
      </c>
      <c r="H4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4" spans="1:8" hidden="1" x14ac:dyDescent="0.3">
      <c r="A424" t="s">
        <v>551</v>
      </c>
      <c r="B424" t="s">
        <v>624</v>
      </c>
      <c r="C424" t="s">
        <v>26</v>
      </c>
      <c r="D424" s="68">
        <v>1464</v>
      </c>
      <c r="E424" s="68"/>
      <c r="F424" s="68">
        <v>2864</v>
      </c>
      <c r="G424" s="68">
        <v>4328</v>
      </c>
      <c r="H4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5" spans="1:8" hidden="1" x14ac:dyDescent="0.3">
      <c r="A425" t="s">
        <v>551</v>
      </c>
      <c r="B425" t="s">
        <v>624</v>
      </c>
      <c r="C425" t="s">
        <v>32</v>
      </c>
      <c r="D425" s="68">
        <v>90</v>
      </c>
      <c r="E425" s="68"/>
      <c r="F425" s="68">
        <v>3235</v>
      </c>
      <c r="G425" s="68">
        <v>3325</v>
      </c>
      <c r="H4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6" spans="1:8" hidden="1" x14ac:dyDescent="0.3">
      <c r="A426" t="s">
        <v>551</v>
      </c>
      <c r="B426" t="s">
        <v>624</v>
      </c>
      <c r="C426" t="s">
        <v>31</v>
      </c>
      <c r="D426" s="68">
        <v>140</v>
      </c>
      <c r="E426" s="68"/>
      <c r="F426" s="68">
        <v>1303</v>
      </c>
      <c r="G426" s="68">
        <v>1443</v>
      </c>
      <c r="H4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7" spans="1:8" hidden="1" x14ac:dyDescent="0.3">
      <c r="A427" t="s">
        <v>551</v>
      </c>
      <c r="B427" t="s">
        <v>624</v>
      </c>
      <c r="C427" t="s">
        <v>27</v>
      </c>
      <c r="D427" s="68"/>
      <c r="E427" s="68">
        <v>324</v>
      </c>
      <c r="F427" s="68"/>
      <c r="G427" s="68">
        <v>324</v>
      </c>
      <c r="H4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8" spans="1:8" hidden="1" x14ac:dyDescent="0.3">
      <c r="A428" t="s">
        <v>551</v>
      </c>
      <c r="B428" t="s">
        <v>625</v>
      </c>
      <c r="C428" t="s">
        <v>538</v>
      </c>
      <c r="D428" s="68">
        <v>300</v>
      </c>
      <c r="E428" s="68"/>
      <c r="F428" s="68">
        <v>6705</v>
      </c>
      <c r="G428" s="68">
        <v>7005</v>
      </c>
      <c r="H4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9" spans="1:8" hidden="1" x14ac:dyDescent="0.3">
      <c r="A429" t="s">
        <v>551</v>
      </c>
      <c r="B429" t="s">
        <v>625</v>
      </c>
      <c r="C429" t="s">
        <v>26</v>
      </c>
      <c r="D429" s="68">
        <v>384</v>
      </c>
      <c r="E429" s="68"/>
      <c r="F429" s="68">
        <v>289</v>
      </c>
      <c r="G429" s="68">
        <v>673</v>
      </c>
      <c r="H4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0" spans="1:8" hidden="1" x14ac:dyDescent="0.3">
      <c r="A430" t="s">
        <v>551</v>
      </c>
      <c r="B430" t="s">
        <v>625</v>
      </c>
      <c r="C430" t="s">
        <v>31</v>
      </c>
      <c r="D430" s="68">
        <v>19</v>
      </c>
      <c r="E430" s="68"/>
      <c r="F430" s="68">
        <v>502</v>
      </c>
      <c r="G430" s="68">
        <v>521</v>
      </c>
      <c r="H4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1" spans="1:8" hidden="1" x14ac:dyDescent="0.3">
      <c r="A431" t="s">
        <v>551</v>
      </c>
      <c r="B431" t="s">
        <v>625</v>
      </c>
      <c r="C431" t="s">
        <v>27</v>
      </c>
      <c r="D431" s="68"/>
      <c r="E431" s="68">
        <v>240</v>
      </c>
      <c r="F431" s="68"/>
      <c r="G431" s="68">
        <v>240</v>
      </c>
      <c r="H4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2" spans="1:8" hidden="1" x14ac:dyDescent="0.3">
      <c r="A432" t="s">
        <v>551</v>
      </c>
      <c r="B432" t="s">
        <v>625</v>
      </c>
      <c r="C432" t="s">
        <v>36</v>
      </c>
      <c r="D432" s="68">
        <v>25</v>
      </c>
      <c r="E432" s="68"/>
      <c r="F432" s="68">
        <v>1</v>
      </c>
      <c r="G432" s="68">
        <v>26</v>
      </c>
      <c r="H4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3" spans="1:8" hidden="1" x14ac:dyDescent="0.3">
      <c r="A433" t="s">
        <v>551</v>
      </c>
      <c r="B433" t="s">
        <v>626</v>
      </c>
      <c r="C433" t="s">
        <v>31</v>
      </c>
      <c r="D433" s="68">
        <v>1123</v>
      </c>
      <c r="E433" s="68"/>
      <c r="F433" s="68">
        <v>24819</v>
      </c>
      <c r="G433" s="68">
        <v>25942</v>
      </c>
      <c r="H4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4" spans="1:8" hidden="1" x14ac:dyDescent="0.3">
      <c r="A434" t="s">
        <v>551</v>
      </c>
      <c r="B434" t="s">
        <v>626</v>
      </c>
      <c r="C434" t="s">
        <v>538</v>
      </c>
      <c r="D434" s="68">
        <v>37</v>
      </c>
      <c r="E434" s="68"/>
      <c r="F434" s="68">
        <v>1376</v>
      </c>
      <c r="G434" s="68">
        <v>1413</v>
      </c>
      <c r="H4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5" spans="1:8" hidden="1" x14ac:dyDescent="0.3">
      <c r="A435" t="s">
        <v>551</v>
      </c>
      <c r="B435" t="s">
        <v>626</v>
      </c>
      <c r="C435" t="s">
        <v>26</v>
      </c>
      <c r="D435" s="68">
        <v>199</v>
      </c>
      <c r="E435" s="68"/>
      <c r="F435" s="68">
        <v>323</v>
      </c>
      <c r="G435" s="68">
        <v>522</v>
      </c>
      <c r="H4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6" spans="1:8" hidden="1" x14ac:dyDescent="0.3">
      <c r="A436" t="s">
        <v>551</v>
      </c>
      <c r="B436" t="s">
        <v>626</v>
      </c>
      <c r="C436" t="s">
        <v>27</v>
      </c>
      <c r="D436" s="68"/>
      <c r="E436" s="68">
        <v>424</v>
      </c>
      <c r="F436" s="68"/>
      <c r="G436" s="68">
        <v>424</v>
      </c>
      <c r="H4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7" spans="1:8" hidden="1" x14ac:dyDescent="0.3">
      <c r="A437" t="s">
        <v>551</v>
      </c>
      <c r="B437" t="s">
        <v>626</v>
      </c>
      <c r="C437" t="s">
        <v>36</v>
      </c>
      <c r="D437" s="68"/>
      <c r="E437" s="68"/>
      <c r="F437" s="68">
        <v>1</v>
      </c>
      <c r="G437" s="68">
        <v>1</v>
      </c>
      <c r="H4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8" spans="1:8" hidden="1" x14ac:dyDescent="0.3">
      <c r="A438" t="s">
        <v>551</v>
      </c>
      <c r="B438" t="s">
        <v>627</v>
      </c>
      <c r="C438" t="s">
        <v>26</v>
      </c>
      <c r="D438" s="68">
        <v>5108</v>
      </c>
      <c r="E438" s="68"/>
      <c r="F438" s="68">
        <v>22679</v>
      </c>
      <c r="G438" s="68">
        <v>27787</v>
      </c>
      <c r="H4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9" spans="1:8" hidden="1" x14ac:dyDescent="0.3">
      <c r="A439" t="s">
        <v>551</v>
      </c>
      <c r="B439" t="s">
        <v>627</v>
      </c>
      <c r="C439" t="s">
        <v>538</v>
      </c>
      <c r="D439" s="68">
        <v>576</v>
      </c>
      <c r="E439" s="68"/>
      <c r="F439" s="68">
        <v>17646</v>
      </c>
      <c r="G439" s="68">
        <v>18222</v>
      </c>
      <c r="H4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0" spans="1:8" hidden="1" x14ac:dyDescent="0.3">
      <c r="A440" t="s">
        <v>551</v>
      </c>
      <c r="B440" t="s">
        <v>627</v>
      </c>
      <c r="C440" t="s">
        <v>31</v>
      </c>
      <c r="D440" s="68">
        <v>425</v>
      </c>
      <c r="E440" s="68"/>
      <c r="F440" s="68">
        <v>7700</v>
      </c>
      <c r="G440" s="68">
        <v>8125</v>
      </c>
      <c r="H4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1" spans="1:8" hidden="1" x14ac:dyDescent="0.3">
      <c r="A441" t="s">
        <v>551</v>
      </c>
      <c r="B441" t="s">
        <v>627</v>
      </c>
      <c r="C441" t="s">
        <v>32</v>
      </c>
      <c r="D441" s="68">
        <v>30</v>
      </c>
      <c r="E441" s="68"/>
      <c r="F441" s="68">
        <v>1349</v>
      </c>
      <c r="G441" s="68">
        <v>1379</v>
      </c>
      <c r="H4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2" spans="1:8" hidden="1" x14ac:dyDescent="0.3">
      <c r="A442" t="s">
        <v>551</v>
      </c>
      <c r="B442" t="s">
        <v>627</v>
      </c>
      <c r="C442" t="s">
        <v>27</v>
      </c>
      <c r="D442" s="68"/>
      <c r="E442" s="68">
        <v>1170</v>
      </c>
      <c r="F442" s="68"/>
      <c r="G442" s="68">
        <v>1170</v>
      </c>
      <c r="H4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3" spans="1:8" hidden="1" x14ac:dyDescent="0.3">
      <c r="A443" t="s">
        <v>551</v>
      </c>
      <c r="B443" t="s">
        <v>627</v>
      </c>
      <c r="C443" t="s">
        <v>36</v>
      </c>
      <c r="D443" s="68">
        <v>1</v>
      </c>
      <c r="E443" s="68"/>
      <c r="F443" s="68"/>
      <c r="G443" s="68">
        <v>1</v>
      </c>
      <c r="H4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4" spans="1:8" hidden="1" x14ac:dyDescent="0.3">
      <c r="A444" t="s">
        <v>551</v>
      </c>
      <c r="B444" t="s">
        <v>628</v>
      </c>
      <c r="C444" t="s">
        <v>538</v>
      </c>
      <c r="D444" s="68">
        <v>116</v>
      </c>
      <c r="E444" s="68"/>
      <c r="F444" s="68">
        <v>1738</v>
      </c>
      <c r="G444" s="68">
        <v>1854</v>
      </c>
      <c r="H4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5" spans="1:8" hidden="1" x14ac:dyDescent="0.3">
      <c r="A445" t="s">
        <v>551</v>
      </c>
      <c r="B445" t="s">
        <v>628</v>
      </c>
      <c r="C445" t="s">
        <v>26</v>
      </c>
      <c r="D445" s="68">
        <v>170</v>
      </c>
      <c r="E445" s="68"/>
      <c r="F445" s="68">
        <v>96</v>
      </c>
      <c r="G445" s="68">
        <v>266</v>
      </c>
      <c r="H4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6" spans="1:8" hidden="1" x14ac:dyDescent="0.3">
      <c r="A446" t="s">
        <v>551</v>
      </c>
      <c r="B446" t="s">
        <v>628</v>
      </c>
      <c r="C446" t="s">
        <v>27</v>
      </c>
      <c r="D446" s="68"/>
      <c r="E446" s="68">
        <v>63</v>
      </c>
      <c r="F446" s="68"/>
      <c r="G446" s="68">
        <v>63</v>
      </c>
      <c r="H4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7" spans="1:8" hidden="1" x14ac:dyDescent="0.3">
      <c r="A447" t="s">
        <v>551</v>
      </c>
      <c r="B447" t="s">
        <v>628</v>
      </c>
      <c r="C447" t="s">
        <v>553</v>
      </c>
      <c r="D447" s="68">
        <v>1</v>
      </c>
      <c r="E447" s="68"/>
      <c r="F447" s="68"/>
      <c r="G447" s="68">
        <v>1</v>
      </c>
      <c r="H4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8" spans="1:8" hidden="1" x14ac:dyDescent="0.3">
      <c r="A448" t="s">
        <v>551</v>
      </c>
      <c r="B448" t="s">
        <v>629</v>
      </c>
      <c r="C448" t="s">
        <v>538</v>
      </c>
      <c r="D448" s="68">
        <v>1063</v>
      </c>
      <c r="E448" s="68"/>
      <c r="F448" s="68">
        <v>8581</v>
      </c>
      <c r="G448" s="68">
        <v>9644</v>
      </c>
      <c r="H4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9" spans="1:8" hidden="1" x14ac:dyDescent="0.3">
      <c r="A449" t="s">
        <v>551</v>
      </c>
      <c r="B449" t="s">
        <v>629</v>
      </c>
      <c r="C449" t="s">
        <v>26</v>
      </c>
      <c r="D449" s="68">
        <v>4023</v>
      </c>
      <c r="E449" s="68"/>
      <c r="F449" s="68">
        <v>3598</v>
      </c>
      <c r="G449" s="68">
        <v>7621</v>
      </c>
      <c r="H4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0" spans="1:8" hidden="1" x14ac:dyDescent="0.3">
      <c r="A450" t="s">
        <v>551</v>
      </c>
      <c r="B450" t="s">
        <v>629</v>
      </c>
      <c r="C450" t="s">
        <v>36</v>
      </c>
      <c r="D450" s="68">
        <v>1164</v>
      </c>
      <c r="E450" s="68"/>
      <c r="F450" s="68">
        <v>1321</v>
      </c>
      <c r="G450" s="68">
        <v>2485</v>
      </c>
      <c r="H4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1" spans="1:8" hidden="1" x14ac:dyDescent="0.3">
      <c r="A451" t="s">
        <v>551</v>
      </c>
      <c r="B451" t="s">
        <v>629</v>
      </c>
      <c r="C451" t="s">
        <v>27</v>
      </c>
      <c r="D451" s="68"/>
      <c r="E451" s="68">
        <v>307</v>
      </c>
      <c r="F451" s="68"/>
      <c r="G451" s="68">
        <v>307</v>
      </c>
      <c r="H4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2" spans="1:8" hidden="1" x14ac:dyDescent="0.3">
      <c r="A452" t="s">
        <v>551</v>
      </c>
      <c r="B452" t="s">
        <v>629</v>
      </c>
      <c r="C452" t="s">
        <v>553</v>
      </c>
      <c r="D452" s="68">
        <v>39</v>
      </c>
      <c r="E452" s="68"/>
      <c r="F452" s="68"/>
      <c r="G452" s="68">
        <v>39</v>
      </c>
      <c r="H4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3" spans="1:8" hidden="1" x14ac:dyDescent="0.3">
      <c r="A453" t="s">
        <v>551</v>
      </c>
      <c r="B453" t="s">
        <v>630</v>
      </c>
      <c r="C453" t="s">
        <v>31</v>
      </c>
      <c r="D453" s="68">
        <v>316</v>
      </c>
      <c r="E453" s="68"/>
      <c r="F453" s="68">
        <v>3952</v>
      </c>
      <c r="G453" s="68">
        <v>4268</v>
      </c>
      <c r="H4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4" spans="1:8" hidden="1" x14ac:dyDescent="0.3">
      <c r="A454" t="s">
        <v>551</v>
      </c>
      <c r="B454" t="s">
        <v>630</v>
      </c>
      <c r="C454" t="s">
        <v>538</v>
      </c>
      <c r="D454" s="68">
        <v>115</v>
      </c>
      <c r="E454" s="68"/>
      <c r="F454" s="68">
        <v>2449</v>
      </c>
      <c r="G454" s="68">
        <v>2564</v>
      </c>
      <c r="H4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5" spans="1:8" hidden="1" x14ac:dyDescent="0.3">
      <c r="A455" t="s">
        <v>551</v>
      </c>
      <c r="B455" t="s">
        <v>630</v>
      </c>
      <c r="C455" t="s">
        <v>27</v>
      </c>
      <c r="D455" s="68"/>
      <c r="E455" s="68">
        <v>204</v>
      </c>
      <c r="F455" s="68"/>
      <c r="G455" s="68">
        <v>204</v>
      </c>
      <c r="H4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6" spans="1:8" hidden="1" x14ac:dyDescent="0.3">
      <c r="A456" t="s">
        <v>551</v>
      </c>
      <c r="B456" t="s">
        <v>630</v>
      </c>
      <c r="C456" t="s">
        <v>26</v>
      </c>
      <c r="D456" s="68">
        <v>82</v>
      </c>
      <c r="E456" s="68"/>
      <c r="F456" s="68">
        <v>74</v>
      </c>
      <c r="G456" s="68">
        <v>156</v>
      </c>
      <c r="H4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7" spans="1:8" hidden="1" x14ac:dyDescent="0.3">
      <c r="A457" t="s">
        <v>551</v>
      </c>
      <c r="B457" t="s">
        <v>631</v>
      </c>
      <c r="C457" t="s">
        <v>31</v>
      </c>
      <c r="D457" s="68">
        <v>374</v>
      </c>
      <c r="E457" s="68"/>
      <c r="F457" s="68">
        <v>3762</v>
      </c>
      <c r="G457" s="68">
        <v>4136</v>
      </c>
      <c r="H4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8" spans="1:8" hidden="1" x14ac:dyDescent="0.3">
      <c r="A458" t="s">
        <v>551</v>
      </c>
      <c r="B458" t="s">
        <v>631</v>
      </c>
      <c r="C458" t="s">
        <v>538</v>
      </c>
      <c r="D458" s="68">
        <v>82</v>
      </c>
      <c r="E458" s="68"/>
      <c r="F458" s="68">
        <v>1306</v>
      </c>
      <c r="G458" s="68">
        <v>1388</v>
      </c>
      <c r="H4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9" spans="1:8" hidden="1" x14ac:dyDescent="0.3">
      <c r="A459" t="s">
        <v>551</v>
      </c>
      <c r="B459" t="s">
        <v>631</v>
      </c>
      <c r="C459" t="s">
        <v>26</v>
      </c>
      <c r="D459" s="68">
        <v>514</v>
      </c>
      <c r="E459" s="68"/>
      <c r="F459" s="68">
        <v>318</v>
      </c>
      <c r="G459" s="68">
        <v>832</v>
      </c>
      <c r="H4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0" spans="1:8" hidden="1" x14ac:dyDescent="0.3">
      <c r="A460" t="s">
        <v>551</v>
      </c>
      <c r="B460" t="s">
        <v>631</v>
      </c>
      <c r="C460" t="s">
        <v>27</v>
      </c>
      <c r="D460" s="68"/>
      <c r="E460" s="68">
        <v>132</v>
      </c>
      <c r="F460" s="68"/>
      <c r="G460" s="68">
        <v>132</v>
      </c>
      <c r="H4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1" spans="1:8" hidden="1" x14ac:dyDescent="0.3">
      <c r="A461" t="s">
        <v>551</v>
      </c>
      <c r="B461" t="s">
        <v>631</v>
      </c>
      <c r="C461" t="s">
        <v>34</v>
      </c>
      <c r="D461" s="68">
        <v>57</v>
      </c>
      <c r="E461" s="68"/>
      <c r="F461" s="68"/>
      <c r="G461" s="68">
        <v>57</v>
      </c>
      <c r="H4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2" spans="1:8" hidden="1" x14ac:dyDescent="0.3">
      <c r="A462" t="s">
        <v>551</v>
      </c>
      <c r="B462" t="s">
        <v>632</v>
      </c>
      <c r="C462" t="s">
        <v>26</v>
      </c>
      <c r="D462" s="68">
        <v>12641</v>
      </c>
      <c r="E462" s="68"/>
      <c r="F462" s="68">
        <v>8496</v>
      </c>
      <c r="G462" s="68">
        <v>21137</v>
      </c>
      <c r="H4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3" spans="1:8" hidden="1" x14ac:dyDescent="0.3">
      <c r="A463" t="s">
        <v>551</v>
      </c>
      <c r="B463" t="s">
        <v>632</v>
      </c>
      <c r="C463" t="s">
        <v>538</v>
      </c>
      <c r="D463" s="68">
        <v>1741</v>
      </c>
      <c r="E463" s="68"/>
      <c r="F463" s="68">
        <v>15290</v>
      </c>
      <c r="G463" s="68">
        <v>17031</v>
      </c>
      <c r="H4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4" spans="1:8" hidden="1" x14ac:dyDescent="0.3">
      <c r="A464" t="s">
        <v>551</v>
      </c>
      <c r="B464" t="s">
        <v>632</v>
      </c>
      <c r="C464" t="s">
        <v>31</v>
      </c>
      <c r="D464" s="68">
        <v>699</v>
      </c>
      <c r="E464" s="68"/>
      <c r="F464" s="68">
        <v>1942</v>
      </c>
      <c r="G464" s="68">
        <v>2641</v>
      </c>
      <c r="H4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5" spans="1:8" hidden="1" x14ac:dyDescent="0.3">
      <c r="A465" t="s">
        <v>551</v>
      </c>
      <c r="B465" t="s">
        <v>632</v>
      </c>
      <c r="C465" t="s">
        <v>27</v>
      </c>
      <c r="D465" s="68"/>
      <c r="E465" s="68">
        <v>858</v>
      </c>
      <c r="F465" s="68"/>
      <c r="G465" s="68">
        <v>858</v>
      </c>
      <c r="H4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6" spans="1:8" hidden="1" x14ac:dyDescent="0.3">
      <c r="A466" t="s">
        <v>551</v>
      </c>
      <c r="B466" t="s">
        <v>632</v>
      </c>
      <c r="C466" t="s">
        <v>35</v>
      </c>
      <c r="D466" s="68">
        <v>125</v>
      </c>
      <c r="E466" s="68"/>
      <c r="F466" s="68"/>
      <c r="G466" s="68">
        <v>125</v>
      </c>
      <c r="H4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7" spans="1:8" hidden="1" x14ac:dyDescent="0.3">
      <c r="A467" t="s">
        <v>551</v>
      </c>
      <c r="B467" t="s">
        <v>632</v>
      </c>
      <c r="C467" t="s">
        <v>553</v>
      </c>
      <c r="D467" s="68">
        <v>2</v>
      </c>
      <c r="E467" s="68"/>
      <c r="F467" s="68"/>
      <c r="G467" s="68">
        <v>2</v>
      </c>
      <c r="H4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8" spans="1:8" hidden="1" x14ac:dyDescent="0.3">
      <c r="A468" t="s">
        <v>551</v>
      </c>
      <c r="B468" t="s">
        <v>633</v>
      </c>
      <c r="C468" t="s">
        <v>538</v>
      </c>
      <c r="D468" s="68">
        <v>549</v>
      </c>
      <c r="E468" s="68"/>
      <c r="F468" s="68">
        <v>4872</v>
      </c>
      <c r="G468" s="68">
        <v>5421</v>
      </c>
      <c r="H4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9" spans="1:8" hidden="1" x14ac:dyDescent="0.3">
      <c r="A469" t="s">
        <v>551</v>
      </c>
      <c r="B469" t="s">
        <v>633</v>
      </c>
      <c r="C469" t="s">
        <v>26</v>
      </c>
      <c r="D469" s="68">
        <v>1927</v>
      </c>
      <c r="E469" s="68"/>
      <c r="F469" s="68">
        <v>969</v>
      </c>
      <c r="G469" s="68">
        <v>2896</v>
      </c>
      <c r="H4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0" spans="1:8" hidden="1" x14ac:dyDescent="0.3">
      <c r="A470" t="s">
        <v>551</v>
      </c>
      <c r="B470" t="s">
        <v>633</v>
      </c>
      <c r="C470" t="s">
        <v>31</v>
      </c>
      <c r="D470" s="68">
        <v>107</v>
      </c>
      <c r="E470" s="68"/>
      <c r="F470" s="68">
        <v>900</v>
      </c>
      <c r="G470" s="68">
        <v>1007</v>
      </c>
      <c r="H4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1" spans="1:8" hidden="1" x14ac:dyDescent="0.3">
      <c r="A471" t="s">
        <v>551</v>
      </c>
      <c r="B471" t="s">
        <v>633</v>
      </c>
      <c r="C471" t="s">
        <v>27</v>
      </c>
      <c r="D471" s="68"/>
      <c r="E471" s="68">
        <v>290</v>
      </c>
      <c r="F471" s="68"/>
      <c r="G471" s="68">
        <v>290</v>
      </c>
      <c r="H4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2" spans="1:8" hidden="1" x14ac:dyDescent="0.3">
      <c r="A472" t="s">
        <v>551</v>
      </c>
      <c r="B472" t="s">
        <v>633</v>
      </c>
      <c r="C472" t="s">
        <v>35</v>
      </c>
      <c r="D472" s="68">
        <v>6</v>
      </c>
      <c r="E472" s="68"/>
      <c r="F472" s="68"/>
      <c r="G472" s="68">
        <v>6</v>
      </c>
      <c r="H4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3" spans="1:8" hidden="1" x14ac:dyDescent="0.3">
      <c r="A473" t="s">
        <v>551</v>
      </c>
      <c r="B473" t="s">
        <v>634</v>
      </c>
      <c r="C473" t="s">
        <v>538</v>
      </c>
      <c r="D473" s="68">
        <v>908</v>
      </c>
      <c r="E473" s="68"/>
      <c r="F473" s="68">
        <v>7726</v>
      </c>
      <c r="G473" s="68">
        <v>8634</v>
      </c>
      <c r="H4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4" spans="1:8" hidden="1" x14ac:dyDescent="0.3">
      <c r="A474" t="s">
        <v>551</v>
      </c>
      <c r="B474" t="s">
        <v>634</v>
      </c>
      <c r="C474" t="s">
        <v>26</v>
      </c>
      <c r="D474" s="68">
        <v>2899</v>
      </c>
      <c r="E474" s="68"/>
      <c r="F474" s="68">
        <v>1575</v>
      </c>
      <c r="G474" s="68">
        <v>4474</v>
      </c>
      <c r="H4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5" spans="1:8" hidden="1" x14ac:dyDescent="0.3">
      <c r="A475" t="s">
        <v>551</v>
      </c>
      <c r="B475" t="s">
        <v>634</v>
      </c>
      <c r="C475" t="s">
        <v>34</v>
      </c>
      <c r="D475" s="68">
        <v>382</v>
      </c>
      <c r="E475" s="68"/>
      <c r="F475" s="68">
        <v>1123</v>
      </c>
      <c r="G475" s="68">
        <v>1505</v>
      </c>
      <c r="H4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6" spans="1:8" hidden="1" x14ac:dyDescent="0.3">
      <c r="A476" t="s">
        <v>551</v>
      </c>
      <c r="B476" t="s">
        <v>634</v>
      </c>
      <c r="C476" t="s">
        <v>27</v>
      </c>
      <c r="D476" s="68"/>
      <c r="E476" s="68">
        <v>319</v>
      </c>
      <c r="F476" s="68"/>
      <c r="G476" s="68">
        <v>319</v>
      </c>
      <c r="H4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7" spans="1:8" hidden="1" x14ac:dyDescent="0.3">
      <c r="A477" t="s">
        <v>551</v>
      </c>
      <c r="B477" t="s">
        <v>634</v>
      </c>
      <c r="C477" t="s">
        <v>5</v>
      </c>
      <c r="D477" s="68">
        <v>1</v>
      </c>
      <c r="E477" s="68"/>
      <c r="F477" s="68"/>
      <c r="G477" s="68">
        <v>1</v>
      </c>
      <c r="H4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8" spans="1:8" hidden="1" x14ac:dyDescent="0.3">
      <c r="A478" t="s">
        <v>551</v>
      </c>
      <c r="B478" t="s">
        <v>635</v>
      </c>
      <c r="C478" t="s">
        <v>31</v>
      </c>
      <c r="D478" s="68">
        <v>2398</v>
      </c>
      <c r="E478" s="68"/>
      <c r="F478" s="68">
        <v>16628</v>
      </c>
      <c r="G478" s="68">
        <v>19026</v>
      </c>
      <c r="H4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9" spans="1:8" hidden="1" x14ac:dyDescent="0.3">
      <c r="A479" t="s">
        <v>551</v>
      </c>
      <c r="B479" t="s">
        <v>635</v>
      </c>
      <c r="C479" t="s">
        <v>538</v>
      </c>
      <c r="D479" s="68">
        <v>564</v>
      </c>
      <c r="E479" s="68"/>
      <c r="F479" s="68">
        <v>6573</v>
      </c>
      <c r="G479" s="68">
        <v>7137</v>
      </c>
      <c r="H4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0" spans="1:8" hidden="1" x14ac:dyDescent="0.3">
      <c r="A480" t="s">
        <v>551</v>
      </c>
      <c r="B480" t="s">
        <v>635</v>
      </c>
      <c r="C480" t="s">
        <v>26</v>
      </c>
      <c r="D480" s="68">
        <v>3184</v>
      </c>
      <c r="E480" s="68"/>
      <c r="F480" s="68">
        <v>1714</v>
      </c>
      <c r="G480" s="68">
        <v>4898</v>
      </c>
      <c r="H4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1" spans="1:8" hidden="1" x14ac:dyDescent="0.3">
      <c r="A481" t="s">
        <v>551</v>
      </c>
      <c r="B481" t="s">
        <v>635</v>
      </c>
      <c r="C481" t="s">
        <v>27</v>
      </c>
      <c r="D481" s="68"/>
      <c r="E481" s="68">
        <v>503</v>
      </c>
      <c r="F481" s="68"/>
      <c r="G481" s="68">
        <v>503</v>
      </c>
      <c r="H4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2" spans="1:8" hidden="1" x14ac:dyDescent="0.3">
      <c r="A482" t="s">
        <v>551</v>
      </c>
      <c r="B482" t="s">
        <v>636</v>
      </c>
      <c r="C482" t="s">
        <v>34</v>
      </c>
      <c r="D482" s="68">
        <v>9901</v>
      </c>
      <c r="E482" s="68"/>
      <c r="F482" s="68">
        <v>910</v>
      </c>
      <c r="G482" s="68">
        <v>10811</v>
      </c>
      <c r="H4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3" spans="1:8" hidden="1" x14ac:dyDescent="0.3">
      <c r="A483" t="s">
        <v>551</v>
      </c>
      <c r="B483" t="s">
        <v>636</v>
      </c>
      <c r="C483" t="s">
        <v>26</v>
      </c>
      <c r="D483" s="68">
        <v>5076</v>
      </c>
      <c r="E483" s="68"/>
      <c r="F483" s="68">
        <v>933</v>
      </c>
      <c r="G483" s="68">
        <v>6009</v>
      </c>
      <c r="H4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4" spans="1:8" hidden="1" x14ac:dyDescent="0.3">
      <c r="A484" t="s">
        <v>551</v>
      </c>
      <c r="B484" t="s">
        <v>636</v>
      </c>
      <c r="C484" t="s">
        <v>538</v>
      </c>
      <c r="D484" s="68">
        <v>653</v>
      </c>
      <c r="E484" s="68"/>
      <c r="F484" s="68">
        <v>2663</v>
      </c>
      <c r="G484" s="68">
        <v>3316</v>
      </c>
      <c r="H4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5" spans="1:8" hidden="1" x14ac:dyDescent="0.3">
      <c r="A485" t="s">
        <v>551</v>
      </c>
      <c r="B485" t="s">
        <v>636</v>
      </c>
      <c r="C485" t="s">
        <v>27</v>
      </c>
      <c r="D485" s="68"/>
      <c r="E485" s="68">
        <v>201</v>
      </c>
      <c r="F485" s="68"/>
      <c r="G485" s="68">
        <v>201</v>
      </c>
      <c r="H4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6" spans="1:8" hidden="1" x14ac:dyDescent="0.3">
      <c r="A486" t="s">
        <v>551</v>
      </c>
      <c r="B486" t="s">
        <v>636</v>
      </c>
      <c r="C486" t="s">
        <v>553</v>
      </c>
      <c r="D486" s="68">
        <v>43</v>
      </c>
      <c r="E486" s="68"/>
      <c r="F486" s="68"/>
      <c r="G486" s="68">
        <v>43</v>
      </c>
      <c r="H4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7" spans="1:8" hidden="1" x14ac:dyDescent="0.3">
      <c r="A487" t="s">
        <v>551</v>
      </c>
      <c r="B487" t="s">
        <v>636</v>
      </c>
      <c r="C487" t="s">
        <v>5</v>
      </c>
      <c r="D487" s="68">
        <v>7</v>
      </c>
      <c r="E487" s="68"/>
      <c r="F487" s="68"/>
      <c r="G487" s="68">
        <v>7</v>
      </c>
      <c r="H4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8" spans="1:8" hidden="1" x14ac:dyDescent="0.3">
      <c r="A488" t="s">
        <v>551</v>
      </c>
      <c r="B488" t="s">
        <v>637</v>
      </c>
      <c r="C488" t="s">
        <v>34</v>
      </c>
      <c r="D488" s="68">
        <v>112376</v>
      </c>
      <c r="E488" s="68"/>
      <c r="F488" s="68">
        <v>12830</v>
      </c>
      <c r="G488" s="68">
        <v>125206</v>
      </c>
      <c r="H4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9" spans="1:8" hidden="1" x14ac:dyDescent="0.3">
      <c r="A489" t="s">
        <v>551</v>
      </c>
      <c r="B489" t="s">
        <v>637</v>
      </c>
      <c r="C489" t="s">
        <v>26</v>
      </c>
      <c r="D489" s="68">
        <v>28171</v>
      </c>
      <c r="E489" s="68"/>
      <c r="F489" s="68">
        <v>6819</v>
      </c>
      <c r="G489" s="68">
        <v>34990</v>
      </c>
      <c r="H4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0" spans="1:8" hidden="1" x14ac:dyDescent="0.3">
      <c r="A490" t="s">
        <v>551</v>
      </c>
      <c r="B490" t="s">
        <v>637</v>
      </c>
      <c r="C490" t="s">
        <v>538</v>
      </c>
      <c r="D490" s="68">
        <v>3668</v>
      </c>
      <c r="E490" s="68"/>
      <c r="F490" s="68">
        <v>17668</v>
      </c>
      <c r="G490" s="68">
        <v>21336</v>
      </c>
      <c r="H4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1" spans="1:8" hidden="1" x14ac:dyDescent="0.3">
      <c r="A491" t="s">
        <v>551</v>
      </c>
      <c r="B491" t="s">
        <v>637</v>
      </c>
      <c r="C491" t="s">
        <v>5</v>
      </c>
      <c r="D491" s="68">
        <v>14949</v>
      </c>
      <c r="E491" s="68"/>
      <c r="F491" s="68">
        <v>1767</v>
      </c>
      <c r="G491" s="68">
        <v>16716</v>
      </c>
      <c r="H4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2" spans="1:8" hidden="1" x14ac:dyDescent="0.3">
      <c r="A492" t="s">
        <v>551</v>
      </c>
      <c r="B492" t="s">
        <v>637</v>
      </c>
      <c r="C492" t="s">
        <v>36</v>
      </c>
      <c r="D492" s="68">
        <v>11695</v>
      </c>
      <c r="E492" s="68"/>
      <c r="F492" s="68">
        <v>2800</v>
      </c>
      <c r="G492" s="68">
        <v>14495</v>
      </c>
      <c r="H4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3" spans="1:8" hidden="1" x14ac:dyDescent="0.3">
      <c r="A493" t="s">
        <v>551</v>
      </c>
      <c r="B493" t="s">
        <v>637</v>
      </c>
      <c r="C493" t="s">
        <v>27</v>
      </c>
      <c r="D493" s="68"/>
      <c r="E493" s="68">
        <v>2199</v>
      </c>
      <c r="F493" s="68"/>
      <c r="G493" s="68">
        <v>2199</v>
      </c>
      <c r="H4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4" spans="1:8" hidden="1" x14ac:dyDescent="0.3">
      <c r="A494" t="s">
        <v>551</v>
      </c>
      <c r="B494" t="s">
        <v>637</v>
      </c>
      <c r="C494" t="s">
        <v>31</v>
      </c>
      <c r="D494" s="68">
        <v>300</v>
      </c>
      <c r="E494" s="68"/>
      <c r="F494" s="68">
        <v>806</v>
      </c>
      <c r="G494" s="68">
        <v>1106</v>
      </c>
      <c r="H4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5" spans="1:8" hidden="1" x14ac:dyDescent="0.3">
      <c r="A495" t="s">
        <v>551</v>
      </c>
      <c r="B495" t="s">
        <v>637</v>
      </c>
      <c r="C495" t="s">
        <v>553</v>
      </c>
      <c r="D495" s="68">
        <v>114</v>
      </c>
      <c r="E495" s="68"/>
      <c r="F495" s="68"/>
      <c r="G495" s="68">
        <v>114</v>
      </c>
      <c r="H4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6" spans="1:8" hidden="1" x14ac:dyDescent="0.3">
      <c r="A496" t="s">
        <v>551</v>
      </c>
      <c r="B496" t="s">
        <v>638</v>
      </c>
      <c r="C496" t="s">
        <v>538</v>
      </c>
      <c r="D496" s="68">
        <v>328</v>
      </c>
      <c r="E496" s="68"/>
      <c r="F496" s="68">
        <v>6209</v>
      </c>
      <c r="G496" s="68">
        <v>6537</v>
      </c>
      <c r="H4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7" spans="1:8" hidden="1" x14ac:dyDescent="0.3">
      <c r="A497" t="s">
        <v>551</v>
      </c>
      <c r="B497" t="s">
        <v>638</v>
      </c>
      <c r="C497" t="s">
        <v>26</v>
      </c>
      <c r="D497" s="68">
        <v>323</v>
      </c>
      <c r="E497" s="68"/>
      <c r="F497" s="68">
        <v>360</v>
      </c>
      <c r="G497" s="68">
        <v>683</v>
      </c>
      <c r="H4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8" spans="1:8" hidden="1" x14ac:dyDescent="0.3">
      <c r="A498" t="s">
        <v>551</v>
      </c>
      <c r="B498" t="s">
        <v>638</v>
      </c>
      <c r="C498" t="s">
        <v>31</v>
      </c>
      <c r="D498" s="68">
        <v>16</v>
      </c>
      <c r="E498" s="68"/>
      <c r="F498" s="68">
        <v>434</v>
      </c>
      <c r="G498" s="68">
        <v>450</v>
      </c>
      <c r="H4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9" spans="1:8" hidden="1" x14ac:dyDescent="0.3">
      <c r="A499" t="s">
        <v>551</v>
      </c>
      <c r="B499" t="s">
        <v>638</v>
      </c>
      <c r="C499" t="s">
        <v>27</v>
      </c>
      <c r="D499" s="68"/>
      <c r="E499" s="68">
        <v>220</v>
      </c>
      <c r="F499" s="68"/>
      <c r="G499" s="68">
        <v>220</v>
      </c>
      <c r="H4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0" spans="1:8" hidden="1" x14ac:dyDescent="0.3">
      <c r="A500" t="s">
        <v>551</v>
      </c>
      <c r="B500" t="s">
        <v>639</v>
      </c>
      <c r="C500" t="s">
        <v>34</v>
      </c>
      <c r="D500" s="68">
        <v>74731</v>
      </c>
      <c r="E500" s="68"/>
      <c r="F500" s="68">
        <v>6449</v>
      </c>
      <c r="G500" s="68">
        <v>81180</v>
      </c>
      <c r="H5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1" spans="1:8" hidden="1" x14ac:dyDescent="0.3">
      <c r="A501" t="s">
        <v>551</v>
      </c>
      <c r="B501" t="s">
        <v>639</v>
      </c>
      <c r="C501" t="s">
        <v>538</v>
      </c>
      <c r="D501" s="68">
        <v>1087</v>
      </c>
      <c r="E501" s="68"/>
      <c r="F501" s="68">
        <v>7540</v>
      </c>
      <c r="G501" s="68">
        <v>8627</v>
      </c>
      <c r="H5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2" spans="1:8" hidden="1" x14ac:dyDescent="0.3">
      <c r="A502" t="s">
        <v>551</v>
      </c>
      <c r="B502" t="s">
        <v>639</v>
      </c>
      <c r="C502" t="s">
        <v>26</v>
      </c>
      <c r="D502" s="68">
        <v>5407</v>
      </c>
      <c r="E502" s="68"/>
      <c r="F502" s="68">
        <v>860</v>
      </c>
      <c r="G502" s="68">
        <v>6267</v>
      </c>
      <c r="H5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3" spans="1:8" hidden="1" x14ac:dyDescent="0.3">
      <c r="A503" t="s">
        <v>551</v>
      </c>
      <c r="B503" t="s">
        <v>639</v>
      </c>
      <c r="C503" t="s">
        <v>36</v>
      </c>
      <c r="D503" s="68">
        <v>738</v>
      </c>
      <c r="E503" s="68"/>
      <c r="F503" s="68">
        <v>193</v>
      </c>
      <c r="G503" s="68">
        <v>931</v>
      </c>
      <c r="H5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4" spans="1:8" hidden="1" x14ac:dyDescent="0.3">
      <c r="A504" t="s">
        <v>551</v>
      </c>
      <c r="B504" t="s">
        <v>639</v>
      </c>
      <c r="C504" t="s">
        <v>27</v>
      </c>
      <c r="D504" s="68"/>
      <c r="E504" s="68">
        <v>629</v>
      </c>
      <c r="F504" s="68"/>
      <c r="G504" s="68">
        <v>629</v>
      </c>
      <c r="H5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5" spans="1:8" hidden="1" x14ac:dyDescent="0.3">
      <c r="A505" t="s">
        <v>551</v>
      </c>
      <c r="B505" t="s">
        <v>639</v>
      </c>
      <c r="C505" t="s">
        <v>553</v>
      </c>
      <c r="D505" s="68">
        <v>172</v>
      </c>
      <c r="E505" s="68"/>
      <c r="F505" s="68"/>
      <c r="G505" s="68">
        <v>172</v>
      </c>
      <c r="H5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6" spans="1:8" hidden="1" x14ac:dyDescent="0.3">
      <c r="A506" t="s">
        <v>551</v>
      </c>
      <c r="B506" t="s">
        <v>639</v>
      </c>
      <c r="C506" t="s">
        <v>5</v>
      </c>
      <c r="D506" s="68">
        <v>29</v>
      </c>
      <c r="E506" s="68"/>
      <c r="F506" s="68"/>
      <c r="G506" s="68">
        <v>29</v>
      </c>
      <c r="H5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7" spans="1:8" hidden="1" x14ac:dyDescent="0.3">
      <c r="A507" t="s">
        <v>551</v>
      </c>
      <c r="B507" t="s">
        <v>640</v>
      </c>
      <c r="C507" t="s">
        <v>538</v>
      </c>
      <c r="D507" s="68">
        <v>595</v>
      </c>
      <c r="E507" s="68"/>
      <c r="F507" s="68">
        <v>8140</v>
      </c>
      <c r="G507" s="68">
        <v>8735</v>
      </c>
      <c r="H5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8" spans="1:8" hidden="1" x14ac:dyDescent="0.3">
      <c r="A508" t="s">
        <v>551</v>
      </c>
      <c r="B508" t="s">
        <v>640</v>
      </c>
      <c r="C508" t="s">
        <v>26</v>
      </c>
      <c r="D508" s="68">
        <v>1510</v>
      </c>
      <c r="E508" s="68"/>
      <c r="F508" s="68">
        <v>3215</v>
      </c>
      <c r="G508" s="68">
        <v>4725</v>
      </c>
      <c r="H5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9" spans="1:8" hidden="1" x14ac:dyDescent="0.3">
      <c r="A509" t="s">
        <v>551</v>
      </c>
      <c r="B509" t="s">
        <v>640</v>
      </c>
      <c r="C509" t="s">
        <v>36</v>
      </c>
      <c r="D509" s="68">
        <v>127</v>
      </c>
      <c r="E509" s="68"/>
      <c r="F509" s="68">
        <v>844</v>
      </c>
      <c r="G509" s="68">
        <v>971</v>
      </c>
      <c r="H5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0" spans="1:8" hidden="1" x14ac:dyDescent="0.3">
      <c r="A510" t="s">
        <v>551</v>
      </c>
      <c r="B510" t="s">
        <v>640</v>
      </c>
      <c r="C510" t="s">
        <v>27</v>
      </c>
      <c r="D510" s="68"/>
      <c r="E510" s="68">
        <v>295</v>
      </c>
      <c r="F510" s="68"/>
      <c r="G510" s="68">
        <v>295</v>
      </c>
      <c r="H5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1" spans="1:8" hidden="1" x14ac:dyDescent="0.3">
      <c r="A511" t="s">
        <v>551</v>
      </c>
      <c r="B511" t="s">
        <v>640</v>
      </c>
      <c r="C511" t="s">
        <v>553</v>
      </c>
      <c r="D511" s="68">
        <v>1</v>
      </c>
      <c r="E511" s="68"/>
      <c r="F511" s="68"/>
      <c r="G511" s="68">
        <v>1</v>
      </c>
      <c r="H5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2" spans="1:8" hidden="1" x14ac:dyDescent="0.3">
      <c r="A512" t="s">
        <v>551</v>
      </c>
      <c r="B512" t="s">
        <v>641</v>
      </c>
      <c r="C512" t="s">
        <v>538</v>
      </c>
      <c r="D512" s="68">
        <v>413</v>
      </c>
      <c r="E512" s="68"/>
      <c r="F512" s="68">
        <v>3696</v>
      </c>
      <c r="G512" s="68">
        <v>4109</v>
      </c>
      <c r="H5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3" spans="1:8" hidden="1" x14ac:dyDescent="0.3">
      <c r="A513" t="s">
        <v>551</v>
      </c>
      <c r="B513" t="s">
        <v>641</v>
      </c>
      <c r="C513" t="s">
        <v>26</v>
      </c>
      <c r="D513" s="68">
        <v>929</v>
      </c>
      <c r="E513" s="68"/>
      <c r="F513" s="68">
        <v>499</v>
      </c>
      <c r="G513" s="68">
        <v>1428</v>
      </c>
      <c r="H5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4" spans="1:8" hidden="1" x14ac:dyDescent="0.3">
      <c r="A514" t="s">
        <v>551</v>
      </c>
      <c r="B514" t="s">
        <v>641</v>
      </c>
      <c r="C514" t="s">
        <v>27</v>
      </c>
      <c r="D514" s="68"/>
      <c r="E514" s="68">
        <v>150</v>
      </c>
      <c r="F514" s="68"/>
      <c r="G514" s="68">
        <v>150</v>
      </c>
      <c r="H5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5" spans="1:8" hidden="1" x14ac:dyDescent="0.3">
      <c r="A515" t="s">
        <v>551</v>
      </c>
      <c r="B515" t="s">
        <v>641</v>
      </c>
      <c r="C515" t="s">
        <v>553</v>
      </c>
      <c r="D515" s="68">
        <v>1</v>
      </c>
      <c r="E515" s="68"/>
      <c r="F515" s="68"/>
      <c r="G515" s="68">
        <v>1</v>
      </c>
      <c r="H5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6" spans="1:8" hidden="1" x14ac:dyDescent="0.3">
      <c r="A516" t="s">
        <v>551</v>
      </c>
      <c r="B516" t="s">
        <v>642</v>
      </c>
      <c r="C516" t="s">
        <v>538</v>
      </c>
      <c r="D516" s="68">
        <v>623</v>
      </c>
      <c r="E516" s="68"/>
      <c r="F516" s="68">
        <v>6854</v>
      </c>
      <c r="G516" s="68">
        <v>7477</v>
      </c>
      <c r="H5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7" spans="1:8" hidden="1" x14ac:dyDescent="0.3">
      <c r="A517" t="s">
        <v>551</v>
      </c>
      <c r="B517" t="s">
        <v>642</v>
      </c>
      <c r="C517" t="s">
        <v>34</v>
      </c>
      <c r="D517" s="68">
        <v>583</v>
      </c>
      <c r="E517" s="68"/>
      <c r="F517" s="68">
        <v>2611</v>
      </c>
      <c r="G517" s="68">
        <v>3194</v>
      </c>
      <c r="H5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8" spans="1:8" hidden="1" x14ac:dyDescent="0.3">
      <c r="A518" t="s">
        <v>551</v>
      </c>
      <c r="B518" t="s">
        <v>642</v>
      </c>
      <c r="C518" t="s">
        <v>26</v>
      </c>
      <c r="D518" s="68">
        <v>1454</v>
      </c>
      <c r="E518" s="68"/>
      <c r="F518" s="68">
        <v>691</v>
      </c>
      <c r="G518" s="68">
        <v>2145</v>
      </c>
      <c r="H5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9" spans="1:8" hidden="1" x14ac:dyDescent="0.3">
      <c r="A519" t="s">
        <v>551</v>
      </c>
      <c r="B519" t="s">
        <v>642</v>
      </c>
      <c r="C519" t="s">
        <v>27</v>
      </c>
      <c r="D519" s="68"/>
      <c r="E519" s="68">
        <v>311</v>
      </c>
      <c r="F519" s="68"/>
      <c r="G519" s="68">
        <v>311</v>
      </c>
      <c r="H5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0" spans="1:8" hidden="1" x14ac:dyDescent="0.3">
      <c r="A520" t="s">
        <v>551</v>
      </c>
      <c r="B520" t="s">
        <v>642</v>
      </c>
      <c r="C520" t="s">
        <v>553</v>
      </c>
      <c r="D520" s="68">
        <v>6</v>
      </c>
      <c r="E520" s="68"/>
      <c r="F520" s="68"/>
      <c r="G520" s="68">
        <v>6</v>
      </c>
      <c r="H5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1" spans="1:8" hidden="1" x14ac:dyDescent="0.3">
      <c r="A521" t="s">
        <v>551</v>
      </c>
      <c r="B521" t="s">
        <v>643</v>
      </c>
      <c r="C521" t="s">
        <v>538</v>
      </c>
      <c r="D521" s="68">
        <v>184</v>
      </c>
      <c r="E521" s="68"/>
      <c r="F521" s="68">
        <v>4636</v>
      </c>
      <c r="G521" s="68">
        <v>4820</v>
      </c>
      <c r="H5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2" spans="1:8" hidden="1" x14ac:dyDescent="0.3">
      <c r="A522" t="s">
        <v>551</v>
      </c>
      <c r="B522" t="s">
        <v>643</v>
      </c>
      <c r="C522" t="s">
        <v>26</v>
      </c>
      <c r="D522" s="68">
        <v>251</v>
      </c>
      <c r="E522" s="68"/>
      <c r="F522" s="68">
        <v>173</v>
      </c>
      <c r="G522" s="68">
        <v>424</v>
      </c>
      <c r="H5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3" spans="1:8" hidden="1" x14ac:dyDescent="0.3">
      <c r="A523" t="s">
        <v>551</v>
      </c>
      <c r="B523" t="s">
        <v>643</v>
      </c>
      <c r="C523" t="s">
        <v>27</v>
      </c>
      <c r="D523" s="68"/>
      <c r="E523" s="68">
        <v>118</v>
      </c>
      <c r="F523" s="68"/>
      <c r="G523" s="68">
        <v>118</v>
      </c>
      <c r="H5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4" spans="1:8" hidden="1" x14ac:dyDescent="0.3">
      <c r="A524" t="s">
        <v>551</v>
      </c>
      <c r="B524" t="s">
        <v>643</v>
      </c>
      <c r="C524" t="s">
        <v>34</v>
      </c>
      <c r="D524" s="68">
        <v>84</v>
      </c>
      <c r="E524" s="68"/>
      <c r="F524" s="68">
        <v>24</v>
      </c>
      <c r="G524" s="68">
        <v>108</v>
      </c>
      <c r="H5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5" spans="1:8" hidden="1" x14ac:dyDescent="0.3">
      <c r="A525" t="s">
        <v>551</v>
      </c>
      <c r="B525" t="s">
        <v>644</v>
      </c>
      <c r="C525" t="s">
        <v>538</v>
      </c>
      <c r="D525" s="68">
        <v>729</v>
      </c>
      <c r="E525" s="68"/>
      <c r="F525" s="68">
        <v>5332</v>
      </c>
      <c r="G525" s="68">
        <v>6061</v>
      </c>
      <c r="H5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6" spans="1:8" hidden="1" x14ac:dyDescent="0.3">
      <c r="A526" t="s">
        <v>551</v>
      </c>
      <c r="B526" t="s">
        <v>644</v>
      </c>
      <c r="C526" t="s">
        <v>26</v>
      </c>
      <c r="D526" s="68">
        <v>3355</v>
      </c>
      <c r="E526" s="68"/>
      <c r="F526" s="68">
        <v>1554</v>
      </c>
      <c r="G526" s="68">
        <v>4909</v>
      </c>
      <c r="H5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7" spans="1:8" hidden="1" x14ac:dyDescent="0.3">
      <c r="A527" t="s">
        <v>551</v>
      </c>
      <c r="B527" t="s">
        <v>644</v>
      </c>
      <c r="C527" t="s">
        <v>34</v>
      </c>
      <c r="D527" s="68">
        <v>904</v>
      </c>
      <c r="E527" s="68"/>
      <c r="F527" s="68">
        <v>1373</v>
      </c>
      <c r="G527" s="68">
        <v>2277</v>
      </c>
      <c r="H5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8" spans="1:8" hidden="1" x14ac:dyDescent="0.3">
      <c r="A528" t="s">
        <v>551</v>
      </c>
      <c r="B528" t="s">
        <v>644</v>
      </c>
      <c r="C528" t="s">
        <v>27</v>
      </c>
      <c r="D528" s="68"/>
      <c r="E528" s="68">
        <v>276</v>
      </c>
      <c r="F528" s="68"/>
      <c r="G528" s="68">
        <v>276</v>
      </c>
      <c r="H5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9" spans="1:8" hidden="1" x14ac:dyDescent="0.3">
      <c r="A529" t="s">
        <v>551</v>
      </c>
      <c r="B529" t="s">
        <v>644</v>
      </c>
      <c r="C529" t="s">
        <v>5</v>
      </c>
      <c r="D529" s="68">
        <v>4</v>
      </c>
      <c r="E529" s="68"/>
      <c r="F529" s="68"/>
      <c r="G529" s="68">
        <v>4</v>
      </c>
      <c r="H5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0" spans="1:8" hidden="1" x14ac:dyDescent="0.3">
      <c r="A530" t="s">
        <v>551</v>
      </c>
      <c r="B530" t="s">
        <v>645</v>
      </c>
      <c r="C530" t="s">
        <v>538</v>
      </c>
      <c r="D530" s="68">
        <v>288</v>
      </c>
      <c r="E530" s="68"/>
      <c r="F530" s="68">
        <v>1505</v>
      </c>
      <c r="G530" s="68">
        <v>1793</v>
      </c>
      <c r="H5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1" spans="1:8" hidden="1" x14ac:dyDescent="0.3">
      <c r="A531" t="s">
        <v>551</v>
      </c>
      <c r="B531" t="s">
        <v>645</v>
      </c>
      <c r="C531" t="s">
        <v>26</v>
      </c>
      <c r="D531" s="68">
        <v>661</v>
      </c>
      <c r="E531" s="68"/>
      <c r="F531" s="68">
        <v>253</v>
      </c>
      <c r="G531" s="68">
        <v>914</v>
      </c>
      <c r="H5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2" spans="1:8" hidden="1" x14ac:dyDescent="0.3">
      <c r="A532" t="s">
        <v>551</v>
      </c>
      <c r="B532" t="s">
        <v>645</v>
      </c>
      <c r="C532" t="s">
        <v>27</v>
      </c>
      <c r="D532" s="68"/>
      <c r="E532" s="68">
        <v>90</v>
      </c>
      <c r="F532" s="68"/>
      <c r="G532" s="68">
        <v>90</v>
      </c>
      <c r="H5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3" spans="1:8" hidden="1" x14ac:dyDescent="0.3">
      <c r="A533" t="s">
        <v>551</v>
      </c>
      <c r="B533" t="s">
        <v>645</v>
      </c>
      <c r="C533" t="s">
        <v>553</v>
      </c>
      <c r="D533" s="68">
        <v>1</v>
      </c>
      <c r="E533" s="68"/>
      <c r="F533" s="68"/>
      <c r="G533" s="68">
        <v>1</v>
      </c>
      <c r="H5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4" spans="1:8" hidden="1" x14ac:dyDescent="0.3">
      <c r="A534" t="s">
        <v>551</v>
      </c>
      <c r="B534" t="s">
        <v>645</v>
      </c>
      <c r="C534" t="s">
        <v>36</v>
      </c>
      <c r="D534" s="68">
        <v>1</v>
      </c>
      <c r="E534" s="68"/>
      <c r="F534" s="68"/>
      <c r="G534" s="68">
        <v>1</v>
      </c>
      <c r="H5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5" spans="1:8" hidden="1" x14ac:dyDescent="0.3">
      <c r="A535" t="s">
        <v>551</v>
      </c>
      <c r="B535" t="s">
        <v>646</v>
      </c>
      <c r="C535" t="s">
        <v>538</v>
      </c>
      <c r="D535" s="68">
        <v>428</v>
      </c>
      <c r="E535" s="68"/>
      <c r="F535" s="68">
        <v>12847</v>
      </c>
      <c r="G535" s="68">
        <v>13275</v>
      </c>
      <c r="H5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6" spans="1:8" hidden="1" x14ac:dyDescent="0.3">
      <c r="A536" t="s">
        <v>551</v>
      </c>
      <c r="B536" t="s">
        <v>646</v>
      </c>
      <c r="C536" t="s">
        <v>26</v>
      </c>
      <c r="D536" s="68">
        <v>1598</v>
      </c>
      <c r="E536" s="68"/>
      <c r="F536" s="68">
        <v>7340</v>
      </c>
      <c r="G536" s="68">
        <v>8938</v>
      </c>
      <c r="H5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7" spans="1:8" hidden="1" x14ac:dyDescent="0.3">
      <c r="A537" t="s">
        <v>551</v>
      </c>
      <c r="B537" t="s">
        <v>646</v>
      </c>
      <c r="C537" t="s">
        <v>32</v>
      </c>
      <c r="D537" s="68">
        <v>31</v>
      </c>
      <c r="E537" s="68"/>
      <c r="F537" s="68">
        <v>1262</v>
      </c>
      <c r="G537" s="68">
        <v>1293</v>
      </c>
      <c r="H5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8" spans="1:8" hidden="1" x14ac:dyDescent="0.3">
      <c r="A538" t="s">
        <v>551</v>
      </c>
      <c r="B538" t="s">
        <v>646</v>
      </c>
      <c r="C538" t="s">
        <v>27</v>
      </c>
      <c r="D538" s="68"/>
      <c r="E538" s="68">
        <v>397</v>
      </c>
      <c r="F538" s="68"/>
      <c r="G538" s="68">
        <v>397</v>
      </c>
      <c r="H5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9" spans="1:8" hidden="1" x14ac:dyDescent="0.3">
      <c r="A539" t="s">
        <v>551</v>
      </c>
      <c r="B539" t="s">
        <v>647</v>
      </c>
      <c r="C539" t="s">
        <v>538</v>
      </c>
      <c r="D539" s="68">
        <v>788</v>
      </c>
      <c r="E539" s="68"/>
      <c r="F539" s="68">
        <v>9240</v>
      </c>
      <c r="G539" s="68">
        <v>10028</v>
      </c>
      <c r="H5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0" spans="1:8" hidden="1" x14ac:dyDescent="0.3">
      <c r="A540" t="s">
        <v>551</v>
      </c>
      <c r="B540" t="s">
        <v>647</v>
      </c>
      <c r="C540" t="s">
        <v>26</v>
      </c>
      <c r="D540" s="68">
        <v>2618</v>
      </c>
      <c r="E540" s="68"/>
      <c r="F540" s="68">
        <v>1128</v>
      </c>
      <c r="G540" s="68">
        <v>3746</v>
      </c>
      <c r="H5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1" spans="1:8" hidden="1" x14ac:dyDescent="0.3">
      <c r="A541" t="s">
        <v>551</v>
      </c>
      <c r="B541" t="s">
        <v>647</v>
      </c>
      <c r="C541" t="s">
        <v>27</v>
      </c>
      <c r="D541" s="68"/>
      <c r="E541" s="68">
        <v>249</v>
      </c>
      <c r="F541" s="68"/>
      <c r="G541" s="68">
        <v>249</v>
      </c>
      <c r="H5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2" spans="1:8" hidden="1" x14ac:dyDescent="0.3">
      <c r="A542" t="s">
        <v>551</v>
      </c>
      <c r="B542" t="s">
        <v>647</v>
      </c>
      <c r="C542" t="s">
        <v>553</v>
      </c>
      <c r="D542" s="68">
        <v>2</v>
      </c>
      <c r="E542" s="68"/>
      <c r="F542" s="68"/>
      <c r="G542" s="68">
        <v>2</v>
      </c>
      <c r="H5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3" spans="1:8" hidden="1" x14ac:dyDescent="0.3">
      <c r="A543" t="s">
        <v>551</v>
      </c>
      <c r="B543" t="s">
        <v>648</v>
      </c>
      <c r="C543" t="s">
        <v>538</v>
      </c>
      <c r="D543" s="68">
        <v>1519</v>
      </c>
      <c r="E543" s="68"/>
      <c r="F543" s="68">
        <v>7696</v>
      </c>
      <c r="G543" s="68">
        <v>9215</v>
      </c>
      <c r="H5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4" spans="1:8" hidden="1" x14ac:dyDescent="0.3">
      <c r="A544" t="s">
        <v>551</v>
      </c>
      <c r="B544" t="s">
        <v>648</v>
      </c>
      <c r="C544" t="s">
        <v>26</v>
      </c>
      <c r="D544" s="68">
        <v>7248</v>
      </c>
      <c r="E544" s="68"/>
      <c r="F544" s="68">
        <v>1857</v>
      </c>
      <c r="G544" s="68">
        <v>9105</v>
      </c>
      <c r="H5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5" spans="1:8" hidden="1" x14ac:dyDescent="0.3">
      <c r="A545" t="s">
        <v>551</v>
      </c>
      <c r="B545" t="s">
        <v>648</v>
      </c>
      <c r="C545" t="s">
        <v>36</v>
      </c>
      <c r="D545" s="68">
        <v>6151</v>
      </c>
      <c r="E545" s="68"/>
      <c r="F545" s="68">
        <v>1346</v>
      </c>
      <c r="G545" s="68">
        <v>7497</v>
      </c>
      <c r="H5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6" spans="1:8" hidden="1" x14ac:dyDescent="0.3">
      <c r="A546" t="s">
        <v>551</v>
      </c>
      <c r="B546" t="s">
        <v>648</v>
      </c>
      <c r="C546" t="s">
        <v>27</v>
      </c>
      <c r="D546" s="68"/>
      <c r="E546" s="68">
        <v>417</v>
      </c>
      <c r="F546" s="68"/>
      <c r="G546" s="68">
        <v>417</v>
      </c>
      <c r="H5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7" spans="1:8" hidden="1" x14ac:dyDescent="0.3">
      <c r="A547" t="s">
        <v>551</v>
      </c>
      <c r="B547" t="s">
        <v>648</v>
      </c>
      <c r="C547" t="s">
        <v>553</v>
      </c>
      <c r="D547" s="68">
        <v>3</v>
      </c>
      <c r="E547" s="68"/>
      <c r="F547" s="68"/>
      <c r="G547" s="68">
        <v>3</v>
      </c>
      <c r="H5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8" spans="1:8" hidden="1" x14ac:dyDescent="0.3">
      <c r="A548" t="s">
        <v>551</v>
      </c>
      <c r="B548" t="s">
        <v>648</v>
      </c>
      <c r="C548" t="s">
        <v>34</v>
      </c>
      <c r="D548" s="68">
        <v>1</v>
      </c>
      <c r="E548" s="68"/>
      <c r="F548" s="68"/>
      <c r="G548" s="68">
        <v>1</v>
      </c>
      <c r="H5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9" spans="1:8" hidden="1" x14ac:dyDescent="0.3">
      <c r="A549" t="s">
        <v>551</v>
      </c>
      <c r="B549" t="s">
        <v>648</v>
      </c>
      <c r="C549" t="s">
        <v>31</v>
      </c>
      <c r="D549" s="68"/>
      <c r="E549" s="68"/>
      <c r="F549" s="68">
        <v>1</v>
      </c>
      <c r="G549" s="68">
        <v>1</v>
      </c>
      <c r="H5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50" spans="1:8" hidden="1" x14ac:dyDescent="0.3">
      <c r="A550" t="s">
        <v>551</v>
      </c>
      <c r="B550" t="s">
        <v>649</v>
      </c>
      <c r="C550" t="s">
        <v>538</v>
      </c>
      <c r="D550" s="68">
        <v>831</v>
      </c>
      <c r="E550" s="68"/>
      <c r="F550" s="68">
        <v>23997</v>
      </c>
      <c r="G550" s="68">
        <v>24828</v>
      </c>
      <c r="H5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1" spans="1:8" hidden="1" x14ac:dyDescent="0.3">
      <c r="A551" t="s">
        <v>551</v>
      </c>
      <c r="B551" t="s">
        <v>649</v>
      </c>
      <c r="C551" t="s">
        <v>26</v>
      </c>
      <c r="D551" s="68">
        <v>1838</v>
      </c>
      <c r="E551" s="68"/>
      <c r="F551" s="68">
        <v>4798</v>
      </c>
      <c r="G551" s="68">
        <v>6636</v>
      </c>
      <c r="H5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52" spans="1:8" hidden="1" x14ac:dyDescent="0.3">
      <c r="A552" t="s">
        <v>551</v>
      </c>
      <c r="B552" t="s">
        <v>649</v>
      </c>
      <c r="C552" t="s">
        <v>31</v>
      </c>
      <c r="D552" s="68">
        <v>194</v>
      </c>
      <c r="E552" s="68"/>
      <c r="F552" s="68">
        <v>1483</v>
      </c>
      <c r="G552" s="68">
        <v>1677</v>
      </c>
      <c r="H5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53" spans="1:8" hidden="1" x14ac:dyDescent="0.3">
      <c r="A553" t="s">
        <v>551</v>
      </c>
      <c r="B553" t="s">
        <v>649</v>
      </c>
      <c r="C553" t="s">
        <v>27</v>
      </c>
      <c r="D553" s="68"/>
      <c r="E553" s="68">
        <v>629</v>
      </c>
      <c r="F553" s="68"/>
      <c r="G553" s="68">
        <v>629</v>
      </c>
      <c r="H5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4" spans="1:8" hidden="1" x14ac:dyDescent="0.3">
      <c r="A554" t="s">
        <v>551</v>
      </c>
      <c r="B554" t="s">
        <v>649</v>
      </c>
      <c r="C554" t="s">
        <v>36</v>
      </c>
      <c r="D554" s="68">
        <v>1</v>
      </c>
      <c r="E554" s="68"/>
      <c r="F554" s="68"/>
      <c r="G554" s="68">
        <v>1</v>
      </c>
      <c r="H5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5" spans="1:8" hidden="1" x14ac:dyDescent="0.3">
      <c r="A555" t="s">
        <v>551</v>
      </c>
      <c r="B555" t="s">
        <v>650</v>
      </c>
      <c r="C555" t="s">
        <v>538</v>
      </c>
      <c r="D555" s="68">
        <v>885</v>
      </c>
      <c r="E555" s="68"/>
      <c r="F555" s="68">
        <v>8525</v>
      </c>
      <c r="G555" s="68">
        <v>9410</v>
      </c>
      <c r="H5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6" spans="1:8" hidden="1" x14ac:dyDescent="0.3">
      <c r="A556" t="s">
        <v>551</v>
      </c>
      <c r="B556" t="s">
        <v>650</v>
      </c>
      <c r="C556" t="s">
        <v>26</v>
      </c>
      <c r="D556" s="68">
        <v>2080</v>
      </c>
      <c r="E556" s="68"/>
      <c r="F556" s="68">
        <v>1027</v>
      </c>
      <c r="G556" s="68">
        <v>3107</v>
      </c>
      <c r="H5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57" spans="1:8" hidden="1" x14ac:dyDescent="0.3">
      <c r="A557" t="s">
        <v>551</v>
      </c>
      <c r="B557" t="s">
        <v>650</v>
      </c>
      <c r="C557" t="s">
        <v>34</v>
      </c>
      <c r="D557" s="68">
        <v>529</v>
      </c>
      <c r="E557" s="68"/>
      <c r="F557" s="68">
        <v>549</v>
      </c>
      <c r="G557" s="68">
        <v>1078</v>
      </c>
      <c r="H5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8" spans="1:8" hidden="1" x14ac:dyDescent="0.3">
      <c r="A558" t="s">
        <v>551</v>
      </c>
      <c r="B558" t="s">
        <v>650</v>
      </c>
      <c r="C558" t="s">
        <v>27</v>
      </c>
      <c r="D558" s="68"/>
      <c r="E558" s="68">
        <v>271</v>
      </c>
      <c r="F558" s="68"/>
      <c r="G558" s="68">
        <v>271</v>
      </c>
      <c r="H5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9" spans="1:8" hidden="1" x14ac:dyDescent="0.3">
      <c r="A559" t="s">
        <v>551</v>
      </c>
      <c r="B559" t="s">
        <v>650</v>
      </c>
      <c r="C559" t="s">
        <v>553</v>
      </c>
      <c r="D559" s="68">
        <v>45</v>
      </c>
      <c r="E559" s="68"/>
      <c r="F559" s="68"/>
      <c r="G559" s="68">
        <v>45</v>
      </c>
      <c r="H5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0" spans="1:8" hidden="1" x14ac:dyDescent="0.3">
      <c r="A560" t="s">
        <v>551</v>
      </c>
      <c r="B560" t="s">
        <v>651</v>
      </c>
      <c r="C560" t="s">
        <v>538</v>
      </c>
      <c r="D560" s="68">
        <v>1148</v>
      </c>
      <c r="E560" s="68"/>
      <c r="F560" s="68">
        <v>12695</v>
      </c>
      <c r="G560" s="68">
        <v>13843</v>
      </c>
      <c r="H5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1" spans="1:8" hidden="1" x14ac:dyDescent="0.3">
      <c r="A561" t="s">
        <v>551</v>
      </c>
      <c r="B561" t="s">
        <v>651</v>
      </c>
      <c r="C561" t="s">
        <v>26</v>
      </c>
      <c r="D561" s="68">
        <v>2683</v>
      </c>
      <c r="E561" s="68"/>
      <c r="F561" s="68">
        <v>1321</v>
      </c>
      <c r="G561" s="68">
        <v>4004</v>
      </c>
      <c r="H5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62" spans="1:8" hidden="1" x14ac:dyDescent="0.3">
      <c r="A562" t="s">
        <v>551</v>
      </c>
      <c r="B562" t="s">
        <v>651</v>
      </c>
      <c r="C562" t="s">
        <v>27</v>
      </c>
      <c r="D562" s="68"/>
      <c r="E562" s="68">
        <v>466</v>
      </c>
      <c r="F562" s="68"/>
      <c r="G562" s="68">
        <v>466</v>
      </c>
      <c r="H5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3" spans="1:8" hidden="1" x14ac:dyDescent="0.3">
      <c r="A563" t="s">
        <v>551</v>
      </c>
      <c r="B563" t="s">
        <v>651</v>
      </c>
      <c r="C563" t="s">
        <v>30</v>
      </c>
      <c r="D563" s="68"/>
      <c r="E563" s="68"/>
      <c r="F563" s="68">
        <v>1</v>
      </c>
      <c r="G563" s="68">
        <v>1</v>
      </c>
      <c r="H5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4" spans="1:8" hidden="1" x14ac:dyDescent="0.3">
      <c r="A564" t="s">
        <v>551</v>
      </c>
      <c r="B564" t="s">
        <v>652</v>
      </c>
      <c r="C564" t="s">
        <v>538</v>
      </c>
      <c r="D564" s="68">
        <v>982</v>
      </c>
      <c r="E564" s="68"/>
      <c r="F564" s="68">
        <v>10776</v>
      </c>
      <c r="G564" s="68">
        <v>11758</v>
      </c>
      <c r="H5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5" spans="1:8" hidden="1" x14ac:dyDescent="0.3">
      <c r="A565" t="s">
        <v>551</v>
      </c>
      <c r="B565" t="s">
        <v>652</v>
      </c>
      <c r="C565" t="s">
        <v>26</v>
      </c>
      <c r="D565" s="68">
        <v>1854</v>
      </c>
      <c r="E565" s="68"/>
      <c r="F565" s="68">
        <v>798</v>
      </c>
      <c r="G565" s="68">
        <v>2652</v>
      </c>
      <c r="H5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66" spans="1:8" hidden="1" x14ac:dyDescent="0.3">
      <c r="A566" t="s">
        <v>551</v>
      </c>
      <c r="B566" t="s">
        <v>652</v>
      </c>
      <c r="C566" t="s">
        <v>27</v>
      </c>
      <c r="D566" s="68"/>
      <c r="E566" s="68">
        <v>273</v>
      </c>
      <c r="F566" s="68"/>
      <c r="G566" s="68">
        <v>273</v>
      </c>
      <c r="H5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7" spans="1:8" hidden="1" x14ac:dyDescent="0.3">
      <c r="A567" t="s">
        <v>551</v>
      </c>
      <c r="B567" t="s">
        <v>652</v>
      </c>
      <c r="C567" t="s">
        <v>553</v>
      </c>
      <c r="D567" s="68">
        <v>5</v>
      </c>
      <c r="E567" s="68"/>
      <c r="F567" s="68"/>
      <c r="G567" s="68">
        <v>5</v>
      </c>
      <c r="H5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8" spans="1:8" hidden="1" x14ac:dyDescent="0.3">
      <c r="A568" t="s">
        <v>551</v>
      </c>
      <c r="B568" t="s">
        <v>652</v>
      </c>
      <c r="C568" t="s">
        <v>30</v>
      </c>
      <c r="D568" s="68"/>
      <c r="E568" s="68"/>
      <c r="F568" s="68">
        <v>1</v>
      </c>
      <c r="G568" s="68">
        <v>1</v>
      </c>
      <c r="H5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9" spans="1:8" hidden="1" x14ac:dyDescent="0.3">
      <c r="A569" t="s">
        <v>551</v>
      </c>
      <c r="B569" t="s">
        <v>653</v>
      </c>
      <c r="C569" t="s">
        <v>538</v>
      </c>
      <c r="D569" s="68">
        <v>809</v>
      </c>
      <c r="E569" s="68"/>
      <c r="F569" s="68">
        <v>6821</v>
      </c>
      <c r="G569" s="68">
        <v>7630</v>
      </c>
      <c r="H5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70" spans="1:8" hidden="1" x14ac:dyDescent="0.3">
      <c r="A570" t="s">
        <v>551</v>
      </c>
      <c r="B570" t="s">
        <v>653</v>
      </c>
      <c r="C570" t="s">
        <v>31</v>
      </c>
      <c r="D570" s="68">
        <v>762</v>
      </c>
      <c r="E570" s="68"/>
      <c r="F570" s="68">
        <v>4368</v>
      </c>
      <c r="G570" s="68">
        <v>5130</v>
      </c>
      <c r="H5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71" spans="1:8" hidden="1" x14ac:dyDescent="0.3">
      <c r="A571" t="s">
        <v>551</v>
      </c>
      <c r="B571" t="s">
        <v>653</v>
      </c>
      <c r="C571" t="s">
        <v>26</v>
      </c>
      <c r="D571" s="68">
        <v>3560</v>
      </c>
      <c r="E571" s="68"/>
      <c r="F571" s="68">
        <v>1176</v>
      </c>
      <c r="G571" s="68">
        <v>4736</v>
      </c>
      <c r="H5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72" spans="1:8" hidden="1" x14ac:dyDescent="0.3">
      <c r="A572" t="s">
        <v>551</v>
      </c>
      <c r="B572" t="s">
        <v>653</v>
      </c>
      <c r="C572" t="s">
        <v>27</v>
      </c>
      <c r="D572" s="68"/>
      <c r="E572" s="68">
        <v>360</v>
      </c>
      <c r="F572" s="68"/>
      <c r="G572" s="68">
        <v>360</v>
      </c>
      <c r="H5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73" spans="1:8" hidden="1" x14ac:dyDescent="0.3">
      <c r="A573" t="s">
        <v>551</v>
      </c>
      <c r="B573" t="s">
        <v>653</v>
      </c>
      <c r="C573" t="s">
        <v>553</v>
      </c>
      <c r="D573" s="68">
        <v>4</v>
      </c>
      <c r="E573" s="68"/>
      <c r="F573" s="68"/>
      <c r="G573" s="68">
        <v>4</v>
      </c>
      <c r="H5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74" spans="1:8" hidden="1" x14ac:dyDescent="0.3">
      <c r="A574" t="s">
        <v>551</v>
      </c>
      <c r="B574" t="s">
        <v>654</v>
      </c>
      <c r="C574" t="s">
        <v>31</v>
      </c>
      <c r="D574" s="68">
        <v>2127</v>
      </c>
      <c r="E574" s="68"/>
      <c r="F574" s="68">
        <v>9769</v>
      </c>
      <c r="G574" s="68">
        <v>11896</v>
      </c>
      <c r="H5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75" spans="1:8" hidden="1" x14ac:dyDescent="0.3">
      <c r="A575" t="s">
        <v>551</v>
      </c>
      <c r="B575" t="s">
        <v>654</v>
      </c>
      <c r="C575" t="s">
        <v>26</v>
      </c>
      <c r="D575" s="68">
        <v>6093</v>
      </c>
      <c r="E575" s="68"/>
      <c r="F575" s="68">
        <v>2512</v>
      </c>
      <c r="G575" s="68">
        <v>8605</v>
      </c>
      <c r="H5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76" spans="1:8" hidden="1" x14ac:dyDescent="0.3">
      <c r="A576" t="s">
        <v>551</v>
      </c>
      <c r="B576" t="s">
        <v>654</v>
      </c>
      <c r="C576" t="s">
        <v>538</v>
      </c>
      <c r="D576" s="68">
        <v>904</v>
      </c>
      <c r="E576" s="68"/>
      <c r="F576" s="68">
        <v>7009</v>
      </c>
      <c r="G576" s="68">
        <v>7913</v>
      </c>
      <c r="H5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77" spans="1:8" hidden="1" x14ac:dyDescent="0.3">
      <c r="A577" t="s">
        <v>551</v>
      </c>
      <c r="B577" t="s">
        <v>654</v>
      </c>
      <c r="C577" t="s">
        <v>27</v>
      </c>
      <c r="D577" s="68"/>
      <c r="E577" s="68">
        <v>578</v>
      </c>
      <c r="F577" s="68"/>
      <c r="G577" s="68">
        <v>578</v>
      </c>
      <c r="H5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78" spans="1:8" hidden="1" x14ac:dyDescent="0.3">
      <c r="A578" t="s">
        <v>551</v>
      </c>
      <c r="B578" t="s">
        <v>654</v>
      </c>
      <c r="C578" t="s">
        <v>553</v>
      </c>
      <c r="D578" s="68">
        <v>5</v>
      </c>
      <c r="E578" s="68"/>
      <c r="F578" s="68"/>
      <c r="G578" s="68">
        <v>5</v>
      </c>
      <c r="H5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79" spans="1:8" hidden="1" x14ac:dyDescent="0.3">
      <c r="A579" t="s">
        <v>551</v>
      </c>
      <c r="B579" t="s">
        <v>654</v>
      </c>
      <c r="C579" t="s">
        <v>587</v>
      </c>
      <c r="D579" s="68">
        <v>1</v>
      </c>
      <c r="E579" s="68"/>
      <c r="F579" s="68"/>
      <c r="G579" s="68">
        <v>1</v>
      </c>
      <c r="H5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80" spans="1:8" hidden="1" x14ac:dyDescent="0.3">
      <c r="A580" t="s">
        <v>551</v>
      </c>
      <c r="B580" t="s">
        <v>654</v>
      </c>
      <c r="C580" t="s">
        <v>36</v>
      </c>
      <c r="D580" s="68">
        <v>1</v>
      </c>
      <c r="E580" s="68"/>
      <c r="F580" s="68"/>
      <c r="G580" s="68">
        <v>1</v>
      </c>
      <c r="H5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81" spans="1:8" hidden="1" x14ac:dyDescent="0.3">
      <c r="A581" t="s">
        <v>551</v>
      </c>
      <c r="B581" t="s">
        <v>655</v>
      </c>
      <c r="C581" t="s">
        <v>34</v>
      </c>
      <c r="D581" s="68">
        <v>14693</v>
      </c>
      <c r="E581" s="68"/>
      <c r="F581" s="68">
        <v>3264</v>
      </c>
      <c r="G581" s="68">
        <v>17957</v>
      </c>
      <c r="H5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82" spans="1:8" hidden="1" x14ac:dyDescent="0.3">
      <c r="A582" t="s">
        <v>551</v>
      </c>
      <c r="B582" t="s">
        <v>655</v>
      </c>
      <c r="C582" t="s">
        <v>538</v>
      </c>
      <c r="D582" s="68">
        <v>2695</v>
      </c>
      <c r="E582" s="68"/>
      <c r="F582" s="68">
        <v>12405</v>
      </c>
      <c r="G582" s="68">
        <v>15100</v>
      </c>
      <c r="H5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83" spans="1:8" hidden="1" x14ac:dyDescent="0.3">
      <c r="A583" t="s">
        <v>551</v>
      </c>
      <c r="B583" t="s">
        <v>655</v>
      </c>
      <c r="C583" t="s">
        <v>36</v>
      </c>
      <c r="D583" s="68">
        <v>2737</v>
      </c>
      <c r="E583" s="68"/>
      <c r="F583" s="68">
        <v>1031</v>
      </c>
      <c r="G583" s="68">
        <v>3768</v>
      </c>
      <c r="H5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84" spans="1:8" hidden="1" x14ac:dyDescent="0.3">
      <c r="A584" t="s">
        <v>551</v>
      </c>
      <c r="B584" t="s">
        <v>655</v>
      </c>
      <c r="C584" t="s">
        <v>26</v>
      </c>
      <c r="D584" s="68">
        <v>1765</v>
      </c>
      <c r="E584" s="68"/>
      <c r="F584" s="68">
        <v>840</v>
      </c>
      <c r="G584" s="68">
        <v>2605</v>
      </c>
      <c r="H5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85" spans="1:8" hidden="1" x14ac:dyDescent="0.3">
      <c r="A585" t="s">
        <v>551</v>
      </c>
      <c r="B585" t="s">
        <v>655</v>
      </c>
      <c r="C585" t="s">
        <v>27</v>
      </c>
      <c r="D585" s="68"/>
      <c r="E585" s="68">
        <v>700</v>
      </c>
      <c r="F585" s="68"/>
      <c r="G585" s="68">
        <v>700</v>
      </c>
      <c r="H5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86" spans="1:8" hidden="1" x14ac:dyDescent="0.3">
      <c r="A586" t="s">
        <v>551</v>
      </c>
      <c r="B586" t="s">
        <v>655</v>
      </c>
      <c r="C586" t="s">
        <v>553</v>
      </c>
      <c r="D586" s="68">
        <v>13</v>
      </c>
      <c r="E586" s="68"/>
      <c r="F586" s="68"/>
      <c r="G586" s="68">
        <v>13</v>
      </c>
      <c r="H5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87" spans="1:8" hidden="1" x14ac:dyDescent="0.3">
      <c r="A587" t="s">
        <v>551</v>
      </c>
      <c r="B587" t="s">
        <v>655</v>
      </c>
      <c r="C587" t="s">
        <v>5</v>
      </c>
      <c r="D587" s="68">
        <v>1</v>
      </c>
      <c r="E587" s="68"/>
      <c r="F587" s="68"/>
      <c r="G587" s="68">
        <v>1</v>
      </c>
      <c r="H5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88" spans="1:8" hidden="1" x14ac:dyDescent="0.3">
      <c r="A588" t="s">
        <v>551</v>
      </c>
      <c r="B588" t="s">
        <v>655</v>
      </c>
      <c r="C588" t="s">
        <v>31</v>
      </c>
      <c r="D588" s="68">
        <v>1</v>
      </c>
      <c r="E588" s="68"/>
      <c r="F588" s="68"/>
      <c r="G588" s="68">
        <v>1</v>
      </c>
      <c r="H5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89" spans="1:8" hidden="1" x14ac:dyDescent="0.3">
      <c r="A589" t="s">
        <v>551</v>
      </c>
      <c r="B589" t="s">
        <v>655</v>
      </c>
      <c r="C589" t="s">
        <v>30</v>
      </c>
      <c r="D589" s="68"/>
      <c r="E589" s="68"/>
      <c r="F589" s="68">
        <v>1</v>
      </c>
      <c r="G589" s="68">
        <v>1</v>
      </c>
      <c r="H5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90" spans="1:8" hidden="1" x14ac:dyDescent="0.3">
      <c r="A590" t="s">
        <v>551</v>
      </c>
      <c r="B590" t="s">
        <v>656</v>
      </c>
      <c r="C590" t="s">
        <v>538</v>
      </c>
      <c r="D590" s="68">
        <v>718</v>
      </c>
      <c r="E590" s="68"/>
      <c r="F590" s="68">
        <v>5685</v>
      </c>
      <c r="G590" s="68">
        <v>6403</v>
      </c>
      <c r="H5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91" spans="1:8" hidden="1" x14ac:dyDescent="0.3">
      <c r="A591" t="s">
        <v>551</v>
      </c>
      <c r="B591" t="s">
        <v>656</v>
      </c>
      <c r="C591" t="s">
        <v>26</v>
      </c>
      <c r="D591" s="68">
        <v>1082</v>
      </c>
      <c r="E591" s="68"/>
      <c r="F591" s="68">
        <v>413</v>
      </c>
      <c r="G591" s="68">
        <v>1495</v>
      </c>
      <c r="H5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92" spans="1:8" hidden="1" x14ac:dyDescent="0.3">
      <c r="A592" t="s">
        <v>551</v>
      </c>
      <c r="B592" t="s">
        <v>656</v>
      </c>
      <c r="C592" t="s">
        <v>27</v>
      </c>
      <c r="D592" s="68"/>
      <c r="E592" s="68">
        <v>213</v>
      </c>
      <c r="F592" s="68"/>
      <c r="G592" s="68">
        <v>213</v>
      </c>
      <c r="H5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93" spans="1:8" hidden="1" x14ac:dyDescent="0.3">
      <c r="A593" t="s">
        <v>551</v>
      </c>
      <c r="B593" t="s">
        <v>656</v>
      </c>
      <c r="C593" t="s">
        <v>553</v>
      </c>
      <c r="D593" s="68">
        <v>2</v>
      </c>
      <c r="E593" s="68"/>
      <c r="F593" s="68"/>
      <c r="G593" s="68">
        <v>2</v>
      </c>
      <c r="H5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94" spans="1:8" hidden="1" x14ac:dyDescent="0.3">
      <c r="A594" t="s">
        <v>551</v>
      </c>
      <c r="B594" t="s">
        <v>657</v>
      </c>
      <c r="C594" t="s">
        <v>31</v>
      </c>
      <c r="D594" s="68">
        <v>3075</v>
      </c>
      <c r="E594" s="68"/>
      <c r="F594" s="68">
        <v>16097</v>
      </c>
      <c r="G594" s="68">
        <v>19172</v>
      </c>
      <c r="H5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95" spans="1:8" hidden="1" x14ac:dyDescent="0.3">
      <c r="A595" t="s">
        <v>551</v>
      </c>
      <c r="B595" t="s">
        <v>657</v>
      </c>
      <c r="C595" t="s">
        <v>26</v>
      </c>
      <c r="D595" s="68">
        <v>10561</v>
      </c>
      <c r="E595" s="68"/>
      <c r="F595" s="68">
        <v>5273</v>
      </c>
      <c r="G595" s="68">
        <v>15834</v>
      </c>
      <c r="H5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96" spans="1:8" hidden="1" x14ac:dyDescent="0.3">
      <c r="A596" t="s">
        <v>551</v>
      </c>
      <c r="B596" t="s">
        <v>657</v>
      </c>
      <c r="C596" t="s">
        <v>538</v>
      </c>
      <c r="D596" s="68">
        <v>790</v>
      </c>
      <c r="E596" s="68"/>
      <c r="F596" s="68">
        <v>8177</v>
      </c>
      <c r="G596" s="68">
        <v>8967</v>
      </c>
      <c r="H5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97" spans="1:8" hidden="1" x14ac:dyDescent="0.3">
      <c r="A597" t="s">
        <v>551</v>
      </c>
      <c r="B597" t="s">
        <v>657</v>
      </c>
      <c r="C597" t="s">
        <v>27</v>
      </c>
      <c r="D597" s="68"/>
      <c r="E597" s="68">
        <v>594</v>
      </c>
      <c r="F597" s="68"/>
      <c r="G597" s="68">
        <v>594</v>
      </c>
      <c r="H5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98" spans="1:8" hidden="1" x14ac:dyDescent="0.3">
      <c r="A598" t="s">
        <v>551</v>
      </c>
      <c r="B598" t="s">
        <v>657</v>
      </c>
      <c r="C598" t="s">
        <v>32</v>
      </c>
      <c r="D598" s="68">
        <v>2</v>
      </c>
      <c r="E598" s="68"/>
      <c r="F598" s="68"/>
      <c r="G598" s="68">
        <v>2</v>
      </c>
      <c r="H5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99" spans="1:8" hidden="1" x14ac:dyDescent="0.3">
      <c r="A599" t="s">
        <v>551</v>
      </c>
      <c r="B599" t="s">
        <v>658</v>
      </c>
      <c r="C599" t="s">
        <v>538</v>
      </c>
      <c r="D599" s="68">
        <v>1752</v>
      </c>
      <c r="E599" s="68"/>
      <c r="F599" s="68">
        <v>19734</v>
      </c>
      <c r="G599" s="68">
        <v>21486</v>
      </c>
      <c r="H5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00" spans="1:8" hidden="1" x14ac:dyDescent="0.3">
      <c r="A600" t="s">
        <v>551</v>
      </c>
      <c r="B600" t="s">
        <v>658</v>
      </c>
      <c r="C600" t="s">
        <v>26</v>
      </c>
      <c r="D600" s="68">
        <v>4943</v>
      </c>
      <c r="E600" s="68"/>
      <c r="F600" s="68">
        <v>2552</v>
      </c>
      <c r="G600" s="68">
        <v>7495</v>
      </c>
      <c r="H6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01" spans="1:8" hidden="1" x14ac:dyDescent="0.3">
      <c r="A601" t="s">
        <v>551</v>
      </c>
      <c r="B601" t="s">
        <v>658</v>
      </c>
      <c r="C601" t="s">
        <v>34</v>
      </c>
      <c r="D601" s="68">
        <v>776</v>
      </c>
      <c r="E601" s="68"/>
      <c r="F601" s="68">
        <v>1349</v>
      </c>
      <c r="G601" s="68">
        <v>2125</v>
      </c>
      <c r="H6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02" spans="1:8" hidden="1" x14ac:dyDescent="0.3">
      <c r="A602" t="s">
        <v>551</v>
      </c>
      <c r="B602" t="s">
        <v>658</v>
      </c>
      <c r="C602" t="s">
        <v>27</v>
      </c>
      <c r="D602" s="68"/>
      <c r="E602" s="68">
        <v>878</v>
      </c>
      <c r="F602" s="68"/>
      <c r="G602" s="68">
        <v>878</v>
      </c>
      <c r="H6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03" spans="1:8" hidden="1" x14ac:dyDescent="0.3">
      <c r="A603" t="s">
        <v>551</v>
      </c>
      <c r="B603" t="s">
        <v>658</v>
      </c>
      <c r="C603" t="s">
        <v>30</v>
      </c>
      <c r="D603" s="68"/>
      <c r="E603" s="68"/>
      <c r="F603" s="68">
        <v>2</v>
      </c>
      <c r="G603" s="68">
        <v>2</v>
      </c>
      <c r="H6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04" spans="1:8" hidden="1" x14ac:dyDescent="0.3">
      <c r="A604" t="s">
        <v>551</v>
      </c>
      <c r="B604" t="s">
        <v>659</v>
      </c>
      <c r="C604" t="s">
        <v>538</v>
      </c>
      <c r="D604" s="68">
        <v>828</v>
      </c>
      <c r="E604" s="68"/>
      <c r="F604" s="68">
        <v>7979</v>
      </c>
      <c r="G604" s="68">
        <v>8807</v>
      </c>
      <c r="H6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05" spans="1:8" hidden="1" x14ac:dyDescent="0.3">
      <c r="A605" t="s">
        <v>551</v>
      </c>
      <c r="B605" t="s">
        <v>659</v>
      </c>
      <c r="C605" t="s">
        <v>26</v>
      </c>
      <c r="D605" s="68">
        <v>1962</v>
      </c>
      <c r="E605" s="68"/>
      <c r="F605" s="68">
        <v>1073</v>
      </c>
      <c r="G605" s="68">
        <v>3035</v>
      </c>
      <c r="H6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06" spans="1:8" hidden="1" x14ac:dyDescent="0.3">
      <c r="A606" t="s">
        <v>551</v>
      </c>
      <c r="B606" t="s">
        <v>659</v>
      </c>
      <c r="C606" t="s">
        <v>27</v>
      </c>
      <c r="D606" s="68"/>
      <c r="E606" s="68">
        <v>464</v>
      </c>
      <c r="F606" s="68"/>
      <c r="G606" s="68">
        <v>464</v>
      </c>
      <c r="H6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07" spans="1:8" hidden="1" x14ac:dyDescent="0.3">
      <c r="A607" t="s">
        <v>551</v>
      </c>
      <c r="B607" t="s">
        <v>659</v>
      </c>
      <c r="C607" t="s">
        <v>553</v>
      </c>
      <c r="D607" s="68">
        <v>6</v>
      </c>
      <c r="E607" s="68"/>
      <c r="F607" s="68"/>
      <c r="G607" s="68">
        <v>6</v>
      </c>
      <c r="H6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08" spans="1:8" hidden="1" x14ac:dyDescent="0.3">
      <c r="A608" t="s">
        <v>551</v>
      </c>
      <c r="B608" t="s">
        <v>660</v>
      </c>
      <c r="C608" t="s">
        <v>31</v>
      </c>
      <c r="D608" s="68">
        <v>1464</v>
      </c>
      <c r="E608" s="68"/>
      <c r="F608" s="68">
        <v>7106</v>
      </c>
      <c r="G608" s="68">
        <v>8570</v>
      </c>
      <c r="H6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09" spans="1:8" hidden="1" x14ac:dyDescent="0.3">
      <c r="A609" t="s">
        <v>551</v>
      </c>
      <c r="B609" t="s">
        <v>660</v>
      </c>
      <c r="C609" t="s">
        <v>26</v>
      </c>
      <c r="D609" s="68">
        <v>2562</v>
      </c>
      <c r="E609" s="68"/>
      <c r="F609" s="68">
        <v>591</v>
      </c>
      <c r="G609" s="68">
        <v>3153</v>
      </c>
      <c r="H6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10" spans="1:8" hidden="1" x14ac:dyDescent="0.3">
      <c r="A610" t="s">
        <v>551</v>
      </c>
      <c r="B610" t="s">
        <v>660</v>
      </c>
      <c r="C610" t="s">
        <v>538</v>
      </c>
      <c r="D610" s="68">
        <v>232</v>
      </c>
      <c r="E610" s="68"/>
      <c r="F610" s="68">
        <v>1454</v>
      </c>
      <c r="G610" s="68">
        <v>1686</v>
      </c>
      <c r="H6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11" spans="1:8" hidden="1" x14ac:dyDescent="0.3">
      <c r="A611" t="s">
        <v>551</v>
      </c>
      <c r="B611" t="s">
        <v>660</v>
      </c>
      <c r="C611" t="s">
        <v>27</v>
      </c>
      <c r="D611" s="68"/>
      <c r="E611" s="68">
        <v>371</v>
      </c>
      <c r="F611" s="68"/>
      <c r="G611" s="68">
        <v>371</v>
      </c>
      <c r="H6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12" spans="1:8" hidden="1" x14ac:dyDescent="0.3">
      <c r="A612" t="s">
        <v>551</v>
      </c>
      <c r="B612" t="s">
        <v>660</v>
      </c>
      <c r="C612" t="s">
        <v>553</v>
      </c>
      <c r="D612" s="68">
        <v>2</v>
      </c>
      <c r="E612" s="68"/>
      <c r="F612" s="68"/>
      <c r="G612" s="68">
        <v>2</v>
      </c>
      <c r="H6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13" spans="1:8" hidden="1" x14ac:dyDescent="0.3">
      <c r="A613" t="s">
        <v>551</v>
      </c>
      <c r="B613" t="s">
        <v>660</v>
      </c>
      <c r="C613" t="s">
        <v>34</v>
      </c>
      <c r="D613" s="68">
        <v>2</v>
      </c>
      <c r="E613" s="68"/>
      <c r="F613" s="68"/>
      <c r="G613" s="68">
        <v>2</v>
      </c>
      <c r="H6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14" spans="1:8" hidden="1" x14ac:dyDescent="0.3">
      <c r="A614" t="s">
        <v>551</v>
      </c>
      <c r="B614" t="s">
        <v>661</v>
      </c>
      <c r="C614" t="s">
        <v>31</v>
      </c>
      <c r="D614" s="68">
        <v>1307</v>
      </c>
      <c r="E614" s="68"/>
      <c r="F614" s="68">
        <v>18018</v>
      </c>
      <c r="G614" s="68">
        <v>19325</v>
      </c>
      <c r="H6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15" spans="1:8" hidden="1" x14ac:dyDescent="0.3">
      <c r="A615" t="s">
        <v>551</v>
      </c>
      <c r="B615" t="s">
        <v>661</v>
      </c>
      <c r="C615" t="s">
        <v>538</v>
      </c>
      <c r="D615" s="68">
        <v>297</v>
      </c>
      <c r="E615" s="68"/>
      <c r="F615" s="68">
        <v>7052</v>
      </c>
      <c r="G615" s="68">
        <v>7349</v>
      </c>
      <c r="H6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16" spans="1:8" hidden="1" x14ac:dyDescent="0.3">
      <c r="A616" t="s">
        <v>551</v>
      </c>
      <c r="B616" t="s">
        <v>661</v>
      </c>
      <c r="C616" t="s">
        <v>26</v>
      </c>
      <c r="D616" s="68">
        <v>422</v>
      </c>
      <c r="E616" s="68"/>
      <c r="F616" s="68">
        <v>332</v>
      </c>
      <c r="G616" s="68">
        <v>754</v>
      </c>
      <c r="H6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17" spans="1:8" hidden="1" x14ac:dyDescent="0.3">
      <c r="A617" t="s">
        <v>551</v>
      </c>
      <c r="B617" t="s">
        <v>661</v>
      </c>
      <c r="C617" t="s">
        <v>27</v>
      </c>
      <c r="D617" s="68"/>
      <c r="E617" s="68">
        <v>587</v>
      </c>
      <c r="F617" s="68"/>
      <c r="G617" s="68">
        <v>587</v>
      </c>
      <c r="H6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18" spans="1:8" hidden="1" x14ac:dyDescent="0.3">
      <c r="A618" t="s">
        <v>551</v>
      </c>
      <c r="B618" t="s">
        <v>662</v>
      </c>
      <c r="C618" t="s">
        <v>538</v>
      </c>
      <c r="D618" s="68">
        <v>332</v>
      </c>
      <c r="E618" s="68"/>
      <c r="F618" s="68">
        <v>2574</v>
      </c>
      <c r="G618" s="68">
        <v>2906</v>
      </c>
      <c r="H6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19" spans="1:8" hidden="1" x14ac:dyDescent="0.3">
      <c r="A619" t="s">
        <v>551</v>
      </c>
      <c r="B619" t="s">
        <v>662</v>
      </c>
      <c r="C619" t="s">
        <v>26</v>
      </c>
      <c r="D619" s="68">
        <v>1446</v>
      </c>
      <c r="E619" s="68"/>
      <c r="F619" s="68">
        <v>514</v>
      </c>
      <c r="G619" s="68">
        <v>1960</v>
      </c>
      <c r="H6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20" spans="1:8" hidden="1" x14ac:dyDescent="0.3">
      <c r="A620" t="s">
        <v>551</v>
      </c>
      <c r="B620" t="s">
        <v>662</v>
      </c>
      <c r="C620" t="s">
        <v>27</v>
      </c>
      <c r="D620" s="68"/>
      <c r="E620" s="68">
        <v>111</v>
      </c>
      <c r="F620" s="68"/>
      <c r="G620" s="68">
        <v>111</v>
      </c>
      <c r="H6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1" spans="1:8" hidden="1" x14ac:dyDescent="0.3">
      <c r="A621" t="s">
        <v>551</v>
      </c>
      <c r="B621" t="s">
        <v>662</v>
      </c>
      <c r="C621" t="s">
        <v>553</v>
      </c>
      <c r="D621" s="68">
        <v>3</v>
      </c>
      <c r="E621" s="68"/>
      <c r="F621" s="68"/>
      <c r="G621" s="68">
        <v>3</v>
      </c>
      <c r="H6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2" spans="1:8" hidden="1" x14ac:dyDescent="0.3">
      <c r="A622" t="s">
        <v>551</v>
      </c>
      <c r="B622" t="s">
        <v>662</v>
      </c>
      <c r="C622" t="s">
        <v>34</v>
      </c>
      <c r="D622" s="68">
        <v>1</v>
      </c>
      <c r="E622" s="68"/>
      <c r="F622" s="68"/>
      <c r="G622" s="68">
        <v>1</v>
      </c>
      <c r="H6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3" spans="1:8" hidden="1" x14ac:dyDescent="0.3">
      <c r="A623" t="s">
        <v>551</v>
      </c>
      <c r="B623" t="s">
        <v>663</v>
      </c>
      <c r="C623" t="s">
        <v>26</v>
      </c>
      <c r="D623" s="68">
        <v>2887</v>
      </c>
      <c r="E623" s="68"/>
      <c r="F623" s="68">
        <v>576</v>
      </c>
      <c r="G623" s="68">
        <v>3463</v>
      </c>
      <c r="H6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24" spans="1:8" hidden="1" x14ac:dyDescent="0.3">
      <c r="A624" t="s">
        <v>551</v>
      </c>
      <c r="B624" t="s">
        <v>663</v>
      </c>
      <c r="C624" t="s">
        <v>538</v>
      </c>
      <c r="D624" s="68">
        <v>460</v>
      </c>
      <c r="E624" s="68"/>
      <c r="F624" s="68">
        <v>2828</v>
      </c>
      <c r="G624" s="68">
        <v>3288</v>
      </c>
      <c r="H6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5" spans="1:8" hidden="1" x14ac:dyDescent="0.3">
      <c r="A625" t="s">
        <v>551</v>
      </c>
      <c r="B625" t="s">
        <v>663</v>
      </c>
      <c r="C625" t="s">
        <v>27</v>
      </c>
      <c r="D625" s="68"/>
      <c r="E625" s="68">
        <v>154</v>
      </c>
      <c r="F625" s="68"/>
      <c r="G625" s="68">
        <v>154</v>
      </c>
      <c r="H6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6" spans="1:8" hidden="1" x14ac:dyDescent="0.3">
      <c r="A626" t="s">
        <v>551</v>
      </c>
      <c r="B626" t="s">
        <v>663</v>
      </c>
      <c r="C626" t="s">
        <v>5</v>
      </c>
      <c r="D626" s="68">
        <v>1</v>
      </c>
      <c r="E626" s="68"/>
      <c r="F626" s="68"/>
      <c r="G626" s="68">
        <v>1</v>
      </c>
      <c r="H6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27" spans="1:8" hidden="1" x14ac:dyDescent="0.3">
      <c r="A627" t="s">
        <v>551</v>
      </c>
      <c r="B627" t="s">
        <v>664</v>
      </c>
      <c r="C627" t="s">
        <v>538</v>
      </c>
      <c r="D627" s="68">
        <v>256</v>
      </c>
      <c r="E627" s="68"/>
      <c r="F627" s="68">
        <v>3383</v>
      </c>
      <c r="G627" s="68">
        <v>3639</v>
      </c>
      <c r="H6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8" spans="1:8" hidden="1" x14ac:dyDescent="0.3">
      <c r="A628" t="s">
        <v>551</v>
      </c>
      <c r="B628" t="s">
        <v>664</v>
      </c>
      <c r="C628" t="s">
        <v>26</v>
      </c>
      <c r="D628" s="68">
        <v>490</v>
      </c>
      <c r="E628" s="68"/>
      <c r="F628" s="68">
        <v>369</v>
      </c>
      <c r="G628" s="68">
        <v>859</v>
      </c>
      <c r="H6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29" spans="1:8" hidden="1" x14ac:dyDescent="0.3">
      <c r="A629" t="s">
        <v>551</v>
      </c>
      <c r="B629" t="s">
        <v>664</v>
      </c>
      <c r="C629" t="s">
        <v>27</v>
      </c>
      <c r="D629" s="68"/>
      <c r="E629" s="68">
        <v>108</v>
      </c>
      <c r="F629" s="68"/>
      <c r="G629" s="68">
        <v>108</v>
      </c>
      <c r="H6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0" spans="1:8" hidden="1" x14ac:dyDescent="0.3">
      <c r="A630" t="s">
        <v>551</v>
      </c>
      <c r="B630" t="s">
        <v>664</v>
      </c>
      <c r="C630" t="s">
        <v>36</v>
      </c>
      <c r="D630" s="68">
        <v>1</v>
      </c>
      <c r="E630" s="68"/>
      <c r="F630" s="68"/>
      <c r="G630" s="68">
        <v>1</v>
      </c>
      <c r="H6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1" spans="1:8" hidden="1" x14ac:dyDescent="0.3">
      <c r="A631" t="s">
        <v>551</v>
      </c>
      <c r="B631" t="s">
        <v>665</v>
      </c>
      <c r="C631" t="s">
        <v>26</v>
      </c>
      <c r="D631" s="68">
        <v>19376</v>
      </c>
      <c r="E631" s="68"/>
      <c r="F631" s="68">
        <v>36785</v>
      </c>
      <c r="G631" s="68">
        <v>56161</v>
      </c>
      <c r="H6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32" spans="1:8" hidden="1" x14ac:dyDescent="0.3">
      <c r="A632" t="s">
        <v>551</v>
      </c>
      <c r="B632" t="s">
        <v>665</v>
      </c>
      <c r="C632" t="s">
        <v>34</v>
      </c>
      <c r="D632" s="68">
        <v>19919</v>
      </c>
      <c r="E632" s="68"/>
      <c r="F632" s="68">
        <v>19425</v>
      </c>
      <c r="G632" s="68">
        <v>39344</v>
      </c>
      <c r="H6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3" spans="1:8" hidden="1" x14ac:dyDescent="0.3">
      <c r="A633" t="s">
        <v>551</v>
      </c>
      <c r="B633" t="s">
        <v>665</v>
      </c>
      <c r="C633" t="s">
        <v>538</v>
      </c>
      <c r="D633" s="68">
        <v>1358</v>
      </c>
      <c r="E633" s="68"/>
      <c r="F633" s="68">
        <v>34042</v>
      </c>
      <c r="G633" s="68">
        <v>35400</v>
      </c>
      <c r="H6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4" spans="1:8" hidden="1" x14ac:dyDescent="0.3">
      <c r="A634" t="s">
        <v>551</v>
      </c>
      <c r="B634" t="s">
        <v>665</v>
      </c>
      <c r="C634" t="s">
        <v>31</v>
      </c>
      <c r="D634" s="68">
        <v>509</v>
      </c>
      <c r="E634" s="68"/>
      <c r="F634" s="68">
        <v>8721</v>
      </c>
      <c r="G634" s="68">
        <v>9230</v>
      </c>
      <c r="H6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35" spans="1:8" hidden="1" x14ac:dyDescent="0.3">
      <c r="A635" t="s">
        <v>551</v>
      </c>
      <c r="B635" t="s">
        <v>665</v>
      </c>
      <c r="C635" t="s">
        <v>27</v>
      </c>
      <c r="D635" s="68"/>
      <c r="E635" s="68">
        <v>3498</v>
      </c>
      <c r="F635" s="68"/>
      <c r="G635" s="68">
        <v>3498</v>
      </c>
      <c r="H6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6" spans="1:8" hidden="1" x14ac:dyDescent="0.3">
      <c r="A636" t="s">
        <v>551</v>
      </c>
      <c r="B636" t="s">
        <v>665</v>
      </c>
      <c r="C636" t="s">
        <v>32</v>
      </c>
      <c r="D636" s="68">
        <v>14</v>
      </c>
      <c r="E636" s="68"/>
      <c r="F636" s="68">
        <v>1249</v>
      </c>
      <c r="G636" s="68">
        <v>1263</v>
      </c>
      <c r="H6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37" spans="1:8" hidden="1" x14ac:dyDescent="0.3">
      <c r="A637" t="s">
        <v>551</v>
      </c>
      <c r="B637" t="s">
        <v>665</v>
      </c>
      <c r="C637" t="s">
        <v>36</v>
      </c>
      <c r="D637" s="68">
        <v>331</v>
      </c>
      <c r="E637" s="68"/>
      <c r="F637" s="68">
        <v>497</v>
      </c>
      <c r="G637" s="68">
        <v>828</v>
      </c>
      <c r="H6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8" spans="1:8" hidden="1" x14ac:dyDescent="0.3">
      <c r="A638" t="s">
        <v>551</v>
      </c>
      <c r="B638" t="s">
        <v>665</v>
      </c>
      <c r="C638" t="s">
        <v>553</v>
      </c>
      <c r="D638" s="68">
        <v>2</v>
      </c>
      <c r="E638" s="68"/>
      <c r="F638" s="68"/>
      <c r="G638" s="68">
        <v>2</v>
      </c>
      <c r="H6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9" spans="1:8" hidden="1" x14ac:dyDescent="0.3">
      <c r="A639" t="s">
        <v>551</v>
      </c>
      <c r="B639" t="s">
        <v>665</v>
      </c>
      <c r="C639" t="s">
        <v>5</v>
      </c>
      <c r="D639" s="68">
        <v>1</v>
      </c>
      <c r="E639" s="68"/>
      <c r="F639" s="68"/>
      <c r="G639" s="68">
        <v>1</v>
      </c>
      <c r="H6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40" spans="1:8" hidden="1" x14ac:dyDescent="0.3">
      <c r="A640" t="s">
        <v>551</v>
      </c>
      <c r="B640" t="s">
        <v>666</v>
      </c>
      <c r="C640" t="s">
        <v>31</v>
      </c>
      <c r="D640" s="68">
        <v>457</v>
      </c>
      <c r="E640" s="68"/>
      <c r="F640" s="68">
        <v>5164</v>
      </c>
      <c r="G640" s="68">
        <v>5621</v>
      </c>
      <c r="H6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41" spans="1:8" hidden="1" x14ac:dyDescent="0.3">
      <c r="A641" t="s">
        <v>551</v>
      </c>
      <c r="B641" t="s">
        <v>666</v>
      </c>
      <c r="C641" t="s">
        <v>26</v>
      </c>
      <c r="D641" s="68">
        <v>108</v>
      </c>
      <c r="E641" s="68"/>
      <c r="F641" s="68">
        <v>84</v>
      </c>
      <c r="G641" s="68">
        <v>192</v>
      </c>
      <c r="H6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42" spans="1:8" hidden="1" x14ac:dyDescent="0.3">
      <c r="A642" t="s">
        <v>551</v>
      </c>
      <c r="B642" t="s">
        <v>666</v>
      </c>
      <c r="C642" t="s">
        <v>538</v>
      </c>
      <c r="D642" s="68">
        <v>10</v>
      </c>
      <c r="E642" s="68"/>
      <c r="F642" s="68">
        <v>144</v>
      </c>
      <c r="G642" s="68">
        <v>154</v>
      </c>
      <c r="H6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43" spans="1:8" hidden="1" x14ac:dyDescent="0.3">
      <c r="A643" t="s">
        <v>551</v>
      </c>
      <c r="B643" t="s">
        <v>666</v>
      </c>
      <c r="C643" t="s">
        <v>27</v>
      </c>
      <c r="D643" s="68"/>
      <c r="E643" s="68">
        <v>135</v>
      </c>
      <c r="F643" s="68"/>
      <c r="G643" s="68">
        <v>135</v>
      </c>
      <c r="H6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44" spans="1:8" hidden="1" x14ac:dyDescent="0.3">
      <c r="A644" t="s">
        <v>551</v>
      </c>
      <c r="B644" t="s">
        <v>667</v>
      </c>
      <c r="C644" t="s">
        <v>538</v>
      </c>
      <c r="D644" s="68">
        <v>1392</v>
      </c>
      <c r="E644" s="68"/>
      <c r="F644" s="68">
        <v>23311</v>
      </c>
      <c r="G644" s="68">
        <v>24703</v>
      </c>
      <c r="H6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45" spans="1:8" hidden="1" x14ac:dyDescent="0.3">
      <c r="A645" t="s">
        <v>551</v>
      </c>
      <c r="B645" t="s">
        <v>667</v>
      </c>
      <c r="C645" t="s">
        <v>26</v>
      </c>
      <c r="D645" s="68">
        <v>3860</v>
      </c>
      <c r="E645" s="68"/>
      <c r="F645" s="68">
        <v>1980</v>
      </c>
      <c r="G645" s="68">
        <v>5840</v>
      </c>
      <c r="H6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46" spans="1:8" hidden="1" x14ac:dyDescent="0.3">
      <c r="A646" t="s">
        <v>551</v>
      </c>
      <c r="B646" t="s">
        <v>667</v>
      </c>
      <c r="C646" t="s">
        <v>27</v>
      </c>
      <c r="D646" s="68"/>
      <c r="E646" s="68">
        <v>831</v>
      </c>
      <c r="F646" s="68"/>
      <c r="G646" s="68">
        <v>831</v>
      </c>
      <c r="H6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47" spans="1:8" hidden="1" x14ac:dyDescent="0.3">
      <c r="A647" t="s">
        <v>551</v>
      </c>
      <c r="B647" t="s">
        <v>667</v>
      </c>
      <c r="C647" t="s">
        <v>553</v>
      </c>
      <c r="D647" s="68">
        <v>1</v>
      </c>
      <c r="E647" s="68"/>
      <c r="F647" s="68"/>
      <c r="G647" s="68">
        <v>1</v>
      </c>
      <c r="H6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48" spans="1:8" hidden="1" x14ac:dyDescent="0.3">
      <c r="A648" t="s">
        <v>551</v>
      </c>
      <c r="B648" t="s">
        <v>667</v>
      </c>
      <c r="C648" t="s">
        <v>31</v>
      </c>
      <c r="D648" s="68"/>
      <c r="E648" s="68"/>
      <c r="F648" s="68">
        <v>1</v>
      </c>
      <c r="G648" s="68">
        <v>1</v>
      </c>
      <c r="H6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49" spans="1:8" hidden="1" x14ac:dyDescent="0.3">
      <c r="A649" t="s">
        <v>551</v>
      </c>
      <c r="B649" t="s">
        <v>668</v>
      </c>
      <c r="C649" t="s">
        <v>31</v>
      </c>
      <c r="D649" s="68">
        <v>806</v>
      </c>
      <c r="E649" s="68"/>
      <c r="F649" s="68">
        <v>11378</v>
      </c>
      <c r="G649" s="68">
        <v>12184</v>
      </c>
      <c r="H6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50" spans="1:8" hidden="1" x14ac:dyDescent="0.3">
      <c r="A650" t="s">
        <v>551</v>
      </c>
      <c r="B650" t="s">
        <v>668</v>
      </c>
      <c r="C650" t="s">
        <v>538</v>
      </c>
      <c r="D650" s="68">
        <v>36</v>
      </c>
      <c r="E650" s="68"/>
      <c r="F650" s="68">
        <v>1186</v>
      </c>
      <c r="G650" s="68">
        <v>1222</v>
      </c>
      <c r="H6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1" spans="1:8" hidden="1" x14ac:dyDescent="0.3">
      <c r="A651" t="s">
        <v>551</v>
      </c>
      <c r="B651" t="s">
        <v>668</v>
      </c>
      <c r="C651" t="s">
        <v>26</v>
      </c>
      <c r="D651" s="68">
        <v>245</v>
      </c>
      <c r="E651" s="68"/>
      <c r="F651" s="68">
        <v>224</v>
      </c>
      <c r="G651" s="68">
        <v>469</v>
      </c>
      <c r="H6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52" spans="1:8" hidden="1" x14ac:dyDescent="0.3">
      <c r="A652" t="s">
        <v>551</v>
      </c>
      <c r="B652" t="s">
        <v>668</v>
      </c>
      <c r="C652" t="s">
        <v>27</v>
      </c>
      <c r="D652" s="68"/>
      <c r="E652" s="68">
        <v>310</v>
      </c>
      <c r="F652" s="68"/>
      <c r="G652" s="68">
        <v>310</v>
      </c>
      <c r="H6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3" spans="1:8" hidden="1" x14ac:dyDescent="0.3">
      <c r="A653" t="s">
        <v>551</v>
      </c>
      <c r="B653" t="s">
        <v>669</v>
      </c>
      <c r="C653" t="s">
        <v>538</v>
      </c>
      <c r="D653" s="68">
        <v>393</v>
      </c>
      <c r="E653" s="68"/>
      <c r="F653" s="68">
        <v>2499</v>
      </c>
      <c r="G653" s="68">
        <v>2892</v>
      </c>
      <c r="H6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4" spans="1:8" hidden="1" x14ac:dyDescent="0.3">
      <c r="A654" t="s">
        <v>551</v>
      </c>
      <c r="B654" t="s">
        <v>669</v>
      </c>
      <c r="C654" t="s">
        <v>26</v>
      </c>
      <c r="D654" s="68">
        <v>1067</v>
      </c>
      <c r="E654" s="68"/>
      <c r="F654" s="68">
        <v>347</v>
      </c>
      <c r="G654" s="68">
        <v>1414</v>
      </c>
      <c r="H6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55" spans="1:8" hidden="1" x14ac:dyDescent="0.3">
      <c r="A655" t="s">
        <v>551</v>
      </c>
      <c r="B655" t="s">
        <v>669</v>
      </c>
      <c r="C655" t="s">
        <v>27</v>
      </c>
      <c r="D655" s="68"/>
      <c r="E655" s="68">
        <v>134</v>
      </c>
      <c r="F655" s="68"/>
      <c r="G655" s="68">
        <v>134</v>
      </c>
      <c r="H6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6" spans="1:8" hidden="1" x14ac:dyDescent="0.3">
      <c r="A656" t="s">
        <v>551</v>
      </c>
      <c r="B656" t="s">
        <v>669</v>
      </c>
      <c r="C656" t="s">
        <v>553</v>
      </c>
      <c r="D656" s="68">
        <v>1</v>
      </c>
      <c r="E656" s="68"/>
      <c r="F656" s="68"/>
      <c r="G656" s="68">
        <v>1</v>
      </c>
      <c r="H6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7" spans="1:8" hidden="1" x14ac:dyDescent="0.3">
      <c r="A657" t="s">
        <v>551</v>
      </c>
      <c r="B657" t="s">
        <v>669</v>
      </c>
      <c r="C657" t="s">
        <v>31</v>
      </c>
      <c r="D657" s="68">
        <v>1</v>
      </c>
      <c r="E657" s="68"/>
      <c r="F657" s="68"/>
      <c r="G657" s="68">
        <v>1</v>
      </c>
      <c r="H6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58" spans="1:8" hidden="1" x14ac:dyDescent="0.3">
      <c r="A658" t="s">
        <v>551</v>
      </c>
      <c r="B658" t="s">
        <v>670</v>
      </c>
      <c r="C658" t="s">
        <v>538</v>
      </c>
      <c r="D658" s="68">
        <v>766</v>
      </c>
      <c r="E658" s="68"/>
      <c r="F658" s="68">
        <v>10527</v>
      </c>
      <c r="G658" s="68">
        <v>11293</v>
      </c>
      <c r="H6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9" spans="1:8" hidden="1" x14ac:dyDescent="0.3">
      <c r="A659" t="s">
        <v>551</v>
      </c>
      <c r="B659" t="s">
        <v>670</v>
      </c>
      <c r="C659" t="s">
        <v>26</v>
      </c>
      <c r="D659" s="68">
        <v>1674</v>
      </c>
      <c r="E659" s="68"/>
      <c r="F659" s="68">
        <v>1024</v>
      </c>
      <c r="G659" s="68">
        <v>2698</v>
      </c>
      <c r="H6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60" spans="1:8" hidden="1" x14ac:dyDescent="0.3">
      <c r="A660" t="s">
        <v>551</v>
      </c>
      <c r="B660" t="s">
        <v>670</v>
      </c>
      <c r="C660" t="s">
        <v>27</v>
      </c>
      <c r="D660" s="68"/>
      <c r="E660" s="68">
        <v>250</v>
      </c>
      <c r="F660" s="68"/>
      <c r="G660" s="68">
        <v>250</v>
      </c>
      <c r="H6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61" spans="1:8" hidden="1" x14ac:dyDescent="0.3">
      <c r="A661" t="s">
        <v>551</v>
      </c>
      <c r="B661" t="s">
        <v>670</v>
      </c>
      <c r="C661" t="s">
        <v>553</v>
      </c>
      <c r="D661" s="68">
        <v>2</v>
      </c>
      <c r="E661" s="68"/>
      <c r="F661" s="68"/>
      <c r="G661" s="68">
        <v>2</v>
      </c>
      <c r="H6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62" spans="1:8" hidden="1" x14ac:dyDescent="0.3">
      <c r="A662" t="s">
        <v>551</v>
      </c>
      <c r="B662" t="s">
        <v>670</v>
      </c>
      <c r="C662" t="s">
        <v>5</v>
      </c>
      <c r="D662" s="68">
        <v>1</v>
      </c>
      <c r="E662" s="68"/>
      <c r="F662" s="68"/>
      <c r="G662" s="68">
        <v>1</v>
      </c>
      <c r="H6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63" spans="1:8" hidden="1" x14ac:dyDescent="0.3">
      <c r="A663" t="s">
        <v>551</v>
      </c>
      <c r="B663" t="s">
        <v>671</v>
      </c>
      <c r="C663" t="s">
        <v>538</v>
      </c>
      <c r="D663" s="68">
        <v>687</v>
      </c>
      <c r="E663" s="68"/>
      <c r="F663" s="68">
        <v>4643</v>
      </c>
      <c r="G663" s="68">
        <v>5330</v>
      </c>
      <c r="H6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64" spans="1:8" hidden="1" x14ac:dyDescent="0.3">
      <c r="A664" t="s">
        <v>551</v>
      </c>
      <c r="B664" t="s">
        <v>671</v>
      </c>
      <c r="C664" t="s">
        <v>26</v>
      </c>
      <c r="D664" s="68">
        <v>2698</v>
      </c>
      <c r="E664" s="68"/>
      <c r="F664" s="68">
        <v>819</v>
      </c>
      <c r="G664" s="68">
        <v>3517</v>
      </c>
      <c r="H6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65" spans="1:8" hidden="1" x14ac:dyDescent="0.3">
      <c r="A665" t="s">
        <v>551</v>
      </c>
      <c r="B665" t="s">
        <v>671</v>
      </c>
      <c r="C665" t="s">
        <v>27</v>
      </c>
      <c r="D665" s="68"/>
      <c r="E665" s="68">
        <v>197</v>
      </c>
      <c r="F665" s="68"/>
      <c r="G665" s="68">
        <v>197</v>
      </c>
      <c r="H6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66" spans="1:8" hidden="1" x14ac:dyDescent="0.3">
      <c r="A666" t="s">
        <v>551</v>
      </c>
      <c r="B666" t="s">
        <v>671</v>
      </c>
      <c r="C666" t="s">
        <v>553</v>
      </c>
      <c r="D666" s="68">
        <v>6</v>
      </c>
      <c r="E666" s="68"/>
      <c r="F666" s="68"/>
      <c r="G666" s="68">
        <v>6</v>
      </c>
      <c r="H6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67" spans="1:8" hidden="1" x14ac:dyDescent="0.3">
      <c r="A667" t="s">
        <v>551</v>
      </c>
      <c r="B667" t="s">
        <v>671</v>
      </c>
      <c r="C667" t="s">
        <v>5</v>
      </c>
      <c r="D667" s="68">
        <v>1</v>
      </c>
      <c r="E667" s="68"/>
      <c r="F667" s="68"/>
      <c r="G667" s="68">
        <v>1</v>
      </c>
      <c r="H6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68" spans="1:8" hidden="1" x14ac:dyDescent="0.3">
      <c r="A668" t="s">
        <v>551</v>
      </c>
      <c r="B668" t="s">
        <v>672</v>
      </c>
      <c r="C668" t="s">
        <v>538</v>
      </c>
      <c r="D668" s="68">
        <v>312</v>
      </c>
      <c r="E668" s="68"/>
      <c r="F668" s="68">
        <v>7013</v>
      </c>
      <c r="G668" s="68">
        <v>7325</v>
      </c>
      <c r="H6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69" spans="1:8" hidden="1" x14ac:dyDescent="0.3">
      <c r="A669" t="s">
        <v>551</v>
      </c>
      <c r="B669" t="s">
        <v>672</v>
      </c>
      <c r="C669" t="s">
        <v>26</v>
      </c>
      <c r="D669" s="68">
        <v>100</v>
      </c>
      <c r="E669" s="68"/>
      <c r="F669" s="68">
        <v>127</v>
      </c>
      <c r="G669" s="68">
        <v>227</v>
      </c>
      <c r="H6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70" spans="1:8" hidden="1" x14ac:dyDescent="0.3">
      <c r="A670" t="s">
        <v>551</v>
      </c>
      <c r="B670" t="s">
        <v>672</v>
      </c>
      <c r="C670" t="s">
        <v>27</v>
      </c>
      <c r="D670" s="68"/>
      <c r="E670" s="68">
        <v>198</v>
      </c>
      <c r="F670" s="68"/>
      <c r="G670" s="68">
        <v>198</v>
      </c>
      <c r="H6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71" spans="1:8" hidden="1" x14ac:dyDescent="0.3">
      <c r="A671" t="s">
        <v>551</v>
      </c>
      <c r="B671" t="s">
        <v>673</v>
      </c>
      <c r="C671" t="s">
        <v>538</v>
      </c>
      <c r="D671" s="68">
        <v>213</v>
      </c>
      <c r="E671" s="68"/>
      <c r="F671" s="68">
        <v>3431</v>
      </c>
      <c r="G671" s="68">
        <v>3644</v>
      </c>
      <c r="H6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72" spans="1:8" hidden="1" x14ac:dyDescent="0.3">
      <c r="A672" t="s">
        <v>551</v>
      </c>
      <c r="B672" t="s">
        <v>673</v>
      </c>
      <c r="C672" t="s">
        <v>26</v>
      </c>
      <c r="D672" s="68">
        <v>727</v>
      </c>
      <c r="E672" s="68"/>
      <c r="F672" s="68">
        <v>1567</v>
      </c>
      <c r="G672" s="68">
        <v>2294</v>
      </c>
      <c r="H6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73" spans="1:8" hidden="1" x14ac:dyDescent="0.3">
      <c r="A673" t="s">
        <v>551</v>
      </c>
      <c r="B673" t="s">
        <v>673</v>
      </c>
      <c r="C673" t="s">
        <v>31</v>
      </c>
      <c r="D673" s="68">
        <v>69</v>
      </c>
      <c r="E673" s="68"/>
      <c r="F673" s="68">
        <v>514</v>
      </c>
      <c r="G673" s="68">
        <v>583</v>
      </c>
      <c r="H6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74" spans="1:8" hidden="1" x14ac:dyDescent="0.3">
      <c r="A674" t="s">
        <v>551</v>
      </c>
      <c r="B674" t="s">
        <v>673</v>
      </c>
      <c r="C674" t="s">
        <v>27</v>
      </c>
      <c r="D674" s="68"/>
      <c r="E674" s="68">
        <v>104</v>
      </c>
      <c r="F674" s="68"/>
      <c r="G674" s="68">
        <v>104</v>
      </c>
      <c r="H6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75" spans="1:8" hidden="1" x14ac:dyDescent="0.3">
      <c r="A675" t="s">
        <v>551</v>
      </c>
      <c r="B675" t="s">
        <v>674</v>
      </c>
      <c r="C675" t="s">
        <v>538</v>
      </c>
      <c r="D675" s="68">
        <v>1798</v>
      </c>
      <c r="E675" s="68"/>
      <c r="F675" s="68">
        <v>13701</v>
      </c>
      <c r="G675" s="68">
        <v>15499</v>
      </c>
      <c r="H6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76" spans="1:8" hidden="1" x14ac:dyDescent="0.3">
      <c r="A676" t="s">
        <v>551</v>
      </c>
      <c r="B676" t="s">
        <v>674</v>
      </c>
      <c r="C676" t="s">
        <v>34</v>
      </c>
      <c r="D676" s="68">
        <v>8745</v>
      </c>
      <c r="E676" s="68"/>
      <c r="F676" s="68">
        <v>2515</v>
      </c>
      <c r="G676" s="68">
        <v>11260</v>
      </c>
      <c r="H6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77" spans="1:8" hidden="1" x14ac:dyDescent="0.3">
      <c r="A677" t="s">
        <v>551</v>
      </c>
      <c r="B677" t="s">
        <v>674</v>
      </c>
      <c r="C677" t="s">
        <v>31</v>
      </c>
      <c r="D677" s="68">
        <v>1354</v>
      </c>
      <c r="E677" s="68"/>
      <c r="F677" s="68">
        <v>7447</v>
      </c>
      <c r="G677" s="68">
        <v>8801</v>
      </c>
      <c r="H6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78" spans="1:8" hidden="1" x14ac:dyDescent="0.3">
      <c r="A678" t="s">
        <v>551</v>
      </c>
      <c r="B678" t="s">
        <v>674</v>
      </c>
      <c r="C678" t="s">
        <v>26</v>
      </c>
      <c r="D678" s="68">
        <v>2979</v>
      </c>
      <c r="E678" s="68"/>
      <c r="F678" s="68">
        <v>1485</v>
      </c>
      <c r="G678" s="68">
        <v>4464</v>
      </c>
      <c r="H6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79" spans="1:8" hidden="1" x14ac:dyDescent="0.3">
      <c r="A679" t="s">
        <v>551</v>
      </c>
      <c r="B679" t="s">
        <v>674</v>
      </c>
      <c r="C679" t="s">
        <v>36</v>
      </c>
      <c r="D679" s="68">
        <v>1487</v>
      </c>
      <c r="E679" s="68"/>
      <c r="F679" s="68">
        <v>679</v>
      </c>
      <c r="G679" s="68">
        <v>2166</v>
      </c>
      <c r="H6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80" spans="1:8" hidden="1" x14ac:dyDescent="0.3">
      <c r="A680" t="s">
        <v>551</v>
      </c>
      <c r="B680" t="s">
        <v>674</v>
      </c>
      <c r="C680" t="s">
        <v>27</v>
      </c>
      <c r="D680" s="68"/>
      <c r="E680" s="68">
        <v>1015</v>
      </c>
      <c r="F680" s="68"/>
      <c r="G680" s="68">
        <v>1015</v>
      </c>
      <c r="H6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81" spans="1:8" hidden="1" x14ac:dyDescent="0.3">
      <c r="A681" t="s">
        <v>551</v>
      </c>
      <c r="B681" t="s">
        <v>674</v>
      </c>
      <c r="C681" t="s">
        <v>30</v>
      </c>
      <c r="D681" s="68"/>
      <c r="E681" s="68"/>
      <c r="F681" s="68">
        <v>1</v>
      </c>
      <c r="G681" s="68">
        <v>1</v>
      </c>
      <c r="H6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82" spans="1:8" hidden="1" x14ac:dyDescent="0.3">
      <c r="A682" t="s">
        <v>551</v>
      </c>
      <c r="B682" t="s">
        <v>675</v>
      </c>
      <c r="C682" t="s">
        <v>538</v>
      </c>
      <c r="D682" s="68">
        <v>712</v>
      </c>
      <c r="E682" s="68"/>
      <c r="F682" s="68">
        <v>8002</v>
      </c>
      <c r="G682" s="68">
        <v>8714</v>
      </c>
      <c r="H6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83" spans="1:8" hidden="1" x14ac:dyDescent="0.3">
      <c r="A683" t="s">
        <v>551</v>
      </c>
      <c r="B683" t="s">
        <v>675</v>
      </c>
      <c r="C683" t="s">
        <v>31</v>
      </c>
      <c r="D683" s="68">
        <v>1015</v>
      </c>
      <c r="E683" s="68"/>
      <c r="F683" s="68">
        <v>6186</v>
      </c>
      <c r="G683" s="68">
        <v>7201</v>
      </c>
      <c r="H6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84" spans="1:8" hidden="1" x14ac:dyDescent="0.3">
      <c r="A684" t="s">
        <v>551</v>
      </c>
      <c r="B684" t="s">
        <v>675</v>
      </c>
      <c r="C684" t="s">
        <v>26</v>
      </c>
      <c r="D684" s="68">
        <v>2140</v>
      </c>
      <c r="E684" s="68"/>
      <c r="F684" s="68">
        <v>1020</v>
      </c>
      <c r="G684" s="68">
        <v>3160</v>
      </c>
      <c r="H6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85" spans="1:8" hidden="1" x14ac:dyDescent="0.3">
      <c r="A685" t="s">
        <v>551</v>
      </c>
      <c r="B685" t="s">
        <v>675</v>
      </c>
      <c r="C685" t="s">
        <v>27</v>
      </c>
      <c r="D685" s="68"/>
      <c r="E685" s="68">
        <v>459</v>
      </c>
      <c r="F685" s="68"/>
      <c r="G685" s="68">
        <v>459</v>
      </c>
      <c r="H6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86" spans="1:8" hidden="1" x14ac:dyDescent="0.3">
      <c r="A686" t="s">
        <v>551</v>
      </c>
      <c r="B686" t="s">
        <v>675</v>
      </c>
      <c r="C686" t="s">
        <v>36</v>
      </c>
      <c r="D686" s="68">
        <v>274</v>
      </c>
      <c r="E686" s="68"/>
      <c r="F686" s="68">
        <v>129</v>
      </c>
      <c r="G686" s="68">
        <v>403</v>
      </c>
      <c r="H6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87" spans="1:8" hidden="1" x14ac:dyDescent="0.3">
      <c r="A687" t="s">
        <v>551</v>
      </c>
      <c r="B687" t="s">
        <v>675</v>
      </c>
      <c r="C687" t="s">
        <v>5</v>
      </c>
      <c r="D687" s="68">
        <v>2</v>
      </c>
      <c r="E687" s="68"/>
      <c r="F687" s="68"/>
      <c r="G687" s="68">
        <v>2</v>
      </c>
      <c r="H6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88" spans="1:8" hidden="1" x14ac:dyDescent="0.3">
      <c r="A688" t="s">
        <v>551</v>
      </c>
      <c r="B688" t="s">
        <v>675</v>
      </c>
      <c r="C688" t="s">
        <v>553</v>
      </c>
      <c r="D688" s="68">
        <v>1</v>
      </c>
      <c r="E688" s="68"/>
      <c r="F688" s="68"/>
      <c r="G688" s="68">
        <v>1</v>
      </c>
      <c r="H6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89" spans="1:8" hidden="1" x14ac:dyDescent="0.3">
      <c r="A689" t="s">
        <v>551</v>
      </c>
      <c r="B689" t="s">
        <v>676</v>
      </c>
      <c r="C689" t="s">
        <v>538</v>
      </c>
      <c r="D689" s="68">
        <v>452</v>
      </c>
      <c r="E689" s="68"/>
      <c r="F689" s="68">
        <v>7985</v>
      </c>
      <c r="G689" s="68">
        <v>8437</v>
      </c>
      <c r="H6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90" spans="1:8" hidden="1" x14ac:dyDescent="0.3">
      <c r="A690" t="s">
        <v>551</v>
      </c>
      <c r="B690" t="s">
        <v>676</v>
      </c>
      <c r="C690" t="s">
        <v>26</v>
      </c>
      <c r="D690" s="68">
        <v>861</v>
      </c>
      <c r="E690" s="68"/>
      <c r="F690" s="68">
        <v>518</v>
      </c>
      <c r="G690" s="68">
        <v>1379</v>
      </c>
      <c r="H6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91" spans="1:8" hidden="1" x14ac:dyDescent="0.3">
      <c r="A691" t="s">
        <v>551</v>
      </c>
      <c r="B691" t="s">
        <v>676</v>
      </c>
      <c r="C691" t="s">
        <v>27</v>
      </c>
      <c r="D691" s="68"/>
      <c r="E691" s="68">
        <v>362</v>
      </c>
      <c r="F691" s="68"/>
      <c r="G691" s="68">
        <v>362</v>
      </c>
      <c r="H6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92" spans="1:8" hidden="1" x14ac:dyDescent="0.3">
      <c r="A692" t="s">
        <v>551</v>
      </c>
      <c r="B692" t="s">
        <v>676</v>
      </c>
      <c r="C692" t="s">
        <v>5</v>
      </c>
      <c r="D692" s="68">
        <v>1</v>
      </c>
      <c r="E692" s="68"/>
      <c r="F692" s="68"/>
      <c r="G692" s="68">
        <v>1</v>
      </c>
      <c r="H6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93" spans="1:8" hidden="1" x14ac:dyDescent="0.3">
      <c r="A693" t="s">
        <v>551</v>
      </c>
      <c r="B693" t="s">
        <v>677</v>
      </c>
      <c r="C693" t="s">
        <v>31</v>
      </c>
      <c r="D693" s="68">
        <v>1213</v>
      </c>
      <c r="E693" s="68"/>
      <c r="F693" s="68">
        <v>19359</v>
      </c>
      <c r="G693" s="68">
        <v>20572</v>
      </c>
      <c r="H6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94" spans="1:8" hidden="1" x14ac:dyDescent="0.3">
      <c r="A694" t="s">
        <v>551</v>
      </c>
      <c r="B694" t="s">
        <v>677</v>
      </c>
      <c r="C694" t="s">
        <v>538</v>
      </c>
      <c r="D694" s="68">
        <v>175</v>
      </c>
      <c r="E694" s="68"/>
      <c r="F694" s="68">
        <v>4901</v>
      </c>
      <c r="G694" s="68">
        <v>5076</v>
      </c>
      <c r="H6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95" spans="1:8" hidden="1" x14ac:dyDescent="0.3">
      <c r="A695" t="s">
        <v>551</v>
      </c>
      <c r="B695" t="s">
        <v>677</v>
      </c>
      <c r="C695" t="s">
        <v>26</v>
      </c>
      <c r="D695" s="68">
        <v>436</v>
      </c>
      <c r="E695" s="68"/>
      <c r="F695" s="68">
        <v>484</v>
      </c>
      <c r="G695" s="68">
        <v>920</v>
      </c>
      <c r="H6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96" spans="1:8" hidden="1" x14ac:dyDescent="0.3">
      <c r="A696" t="s">
        <v>551</v>
      </c>
      <c r="B696" t="s">
        <v>677</v>
      </c>
      <c r="C696" t="s">
        <v>27</v>
      </c>
      <c r="D696" s="68"/>
      <c r="E696" s="68">
        <v>468</v>
      </c>
      <c r="F696" s="68"/>
      <c r="G696" s="68">
        <v>468</v>
      </c>
      <c r="H6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97" spans="1:8" hidden="1" x14ac:dyDescent="0.3">
      <c r="A697" t="s">
        <v>678</v>
      </c>
      <c r="B697" t="s">
        <v>678</v>
      </c>
      <c r="C697" t="s">
        <v>26</v>
      </c>
      <c r="D697" s="68">
        <v>14936</v>
      </c>
      <c r="E697" s="68"/>
      <c r="F697" s="68">
        <v>62266</v>
      </c>
      <c r="G697" s="68">
        <v>77202</v>
      </c>
      <c r="H6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98" spans="1:8" hidden="1" x14ac:dyDescent="0.3">
      <c r="A698" t="s">
        <v>678</v>
      </c>
      <c r="B698" t="s">
        <v>678</v>
      </c>
      <c r="C698" t="s">
        <v>5</v>
      </c>
      <c r="D698" s="68">
        <v>9957</v>
      </c>
      <c r="E698" s="68"/>
      <c r="F698" s="68">
        <v>9850</v>
      </c>
      <c r="G698" s="68">
        <v>19807</v>
      </c>
      <c r="H6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99" spans="1:8" hidden="1" x14ac:dyDescent="0.3">
      <c r="A699" t="s">
        <v>678</v>
      </c>
      <c r="B699" t="s">
        <v>678</v>
      </c>
      <c r="C699" t="s">
        <v>31</v>
      </c>
      <c r="D699" s="68">
        <v>1254</v>
      </c>
      <c r="E699" s="68"/>
      <c r="F699" s="68">
        <v>16562</v>
      </c>
      <c r="G699" s="68">
        <v>17816</v>
      </c>
      <c r="H6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00" spans="1:8" hidden="1" x14ac:dyDescent="0.3">
      <c r="A700" t="s">
        <v>678</v>
      </c>
      <c r="B700" t="s">
        <v>678</v>
      </c>
      <c r="C700" t="s">
        <v>27</v>
      </c>
      <c r="D700" s="68"/>
      <c r="E700" s="68">
        <v>2546</v>
      </c>
      <c r="F700" s="68"/>
      <c r="G700" s="68">
        <v>2546</v>
      </c>
      <c r="H7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01" spans="1:8" hidden="1" x14ac:dyDescent="0.3">
      <c r="A701" t="s">
        <v>678</v>
      </c>
      <c r="B701" t="s">
        <v>678</v>
      </c>
      <c r="C701" t="s">
        <v>36</v>
      </c>
      <c r="D701" s="68">
        <v>99</v>
      </c>
      <c r="E701" s="68"/>
      <c r="F701" s="68">
        <v>50</v>
      </c>
      <c r="G701" s="68">
        <v>149</v>
      </c>
      <c r="H7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02" spans="1:8" hidden="1" x14ac:dyDescent="0.3">
      <c r="A702" t="s">
        <v>678</v>
      </c>
      <c r="B702" t="s">
        <v>678</v>
      </c>
      <c r="C702" t="s">
        <v>536</v>
      </c>
      <c r="D702" s="68"/>
      <c r="E702" s="68"/>
      <c r="F702" s="68">
        <v>2</v>
      </c>
      <c r="G702" s="68">
        <v>2</v>
      </c>
      <c r="H7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03" spans="1:8" hidden="1" x14ac:dyDescent="0.3">
      <c r="A703" t="s">
        <v>678</v>
      </c>
      <c r="B703" t="s">
        <v>678</v>
      </c>
      <c r="C703" t="s">
        <v>30</v>
      </c>
      <c r="D703" s="68"/>
      <c r="E703" s="68"/>
      <c r="F703" s="68">
        <v>1</v>
      </c>
      <c r="G703" s="68">
        <v>1</v>
      </c>
      <c r="H7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04" spans="1:8" hidden="1" x14ac:dyDescent="0.3">
      <c r="A704" t="s">
        <v>678</v>
      </c>
      <c r="B704" t="s">
        <v>678</v>
      </c>
      <c r="C704" t="s">
        <v>588</v>
      </c>
      <c r="D704" s="68"/>
      <c r="E704" s="68"/>
      <c r="F704" s="68">
        <v>1</v>
      </c>
      <c r="G704" s="68">
        <v>1</v>
      </c>
      <c r="H7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05" spans="1:8" hidden="1" x14ac:dyDescent="0.3">
      <c r="A705" t="s">
        <v>678</v>
      </c>
      <c r="B705" t="s">
        <v>679</v>
      </c>
      <c r="C705" t="s">
        <v>26</v>
      </c>
      <c r="D705" s="68">
        <v>3592</v>
      </c>
      <c r="E705" s="68"/>
      <c r="F705" s="68">
        <v>32367</v>
      </c>
      <c r="G705" s="68">
        <v>35959</v>
      </c>
      <c r="H7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06" spans="1:8" hidden="1" x14ac:dyDescent="0.3">
      <c r="A706" t="s">
        <v>678</v>
      </c>
      <c r="B706" t="s">
        <v>679</v>
      </c>
      <c r="C706" t="s">
        <v>5</v>
      </c>
      <c r="D706" s="68">
        <v>734</v>
      </c>
      <c r="E706" s="68"/>
      <c r="F706" s="68">
        <v>7164</v>
      </c>
      <c r="G706" s="68">
        <v>7898</v>
      </c>
      <c r="H7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07" spans="1:8" hidden="1" x14ac:dyDescent="0.3">
      <c r="A707" t="s">
        <v>678</v>
      </c>
      <c r="B707" t="s">
        <v>679</v>
      </c>
      <c r="C707" t="s">
        <v>31</v>
      </c>
      <c r="D707" s="68">
        <v>280</v>
      </c>
      <c r="E707" s="68"/>
      <c r="F707" s="68">
        <v>6392</v>
      </c>
      <c r="G707" s="68">
        <v>6672</v>
      </c>
      <c r="H7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08" spans="1:8" hidden="1" x14ac:dyDescent="0.3">
      <c r="A708" t="s">
        <v>678</v>
      </c>
      <c r="B708" t="s">
        <v>679</v>
      </c>
      <c r="C708" t="s">
        <v>27</v>
      </c>
      <c r="D708" s="68"/>
      <c r="E708" s="68">
        <v>895</v>
      </c>
      <c r="F708" s="68"/>
      <c r="G708" s="68">
        <v>895</v>
      </c>
      <c r="H7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09" spans="1:8" hidden="1" x14ac:dyDescent="0.3">
      <c r="A709" t="s">
        <v>678</v>
      </c>
      <c r="B709" t="s">
        <v>679</v>
      </c>
      <c r="C709" t="s">
        <v>36</v>
      </c>
      <c r="D709" s="68">
        <v>26</v>
      </c>
      <c r="E709" s="68"/>
      <c r="F709" s="68">
        <v>7</v>
      </c>
      <c r="G709" s="68">
        <v>33</v>
      </c>
      <c r="H7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10" spans="1:8" hidden="1" x14ac:dyDescent="0.3">
      <c r="A710" t="s">
        <v>678</v>
      </c>
      <c r="B710" t="s">
        <v>680</v>
      </c>
      <c r="C710" t="s">
        <v>5</v>
      </c>
      <c r="D710" s="68">
        <v>462</v>
      </c>
      <c r="E710" s="68"/>
      <c r="F710" s="68">
        <v>2156</v>
      </c>
      <c r="G710" s="68">
        <v>2618</v>
      </c>
      <c r="H7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11" spans="1:8" hidden="1" x14ac:dyDescent="0.3">
      <c r="A711" t="s">
        <v>678</v>
      </c>
      <c r="B711" t="s">
        <v>680</v>
      </c>
      <c r="C711" t="s">
        <v>26</v>
      </c>
      <c r="D711" s="68">
        <v>172</v>
      </c>
      <c r="E711" s="68"/>
      <c r="F711" s="68">
        <v>594</v>
      </c>
      <c r="G711" s="68">
        <v>766</v>
      </c>
      <c r="H7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12" spans="1:8" hidden="1" x14ac:dyDescent="0.3">
      <c r="A712" t="s">
        <v>678</v>
      </c>
      <c r="B712" t="s">
        <v>680</v>
      </c>
      <c r="C712" t="s">
        <v>27</v>
      </c>
      <c r="D712" s="68"/>
      <c r="E712" s="68">
        <v>87</v>
      </c>
      <c r="F712" s="68"/>
      <c r="G712" s="68">
        <v>87</v>
      </c>
      <c r="H7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13" spans="1:8" hidden="1" x14ac:dyDescent="0.3">
      <c r="A713" t="s">
        <v>678</v>
      </c>
      <c r="B713" t="s">
        <v>681</v>
      </c>
      <c r="C713" t="s">
        <v>26</v>
      </c>
      <c r="D713" s="68">
        <v>1759</v>
      </c>
      <c r="E713" s="68"/>
      <c r="F713" s="68">
        <v>15348</v>
      </c>
      <c r="G713" s="68">
        <v>17107</v>
      </c>
      <c r="H7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14" spans="1:8" hidden="1" x14ac:dyDescent="0.3">
      <c r="A714" t="s">
        <v>678</v>
      </c>
      <c r="B714" t="s">
        <v>681</v>
      </c>
      <c r="C714" t="s">
        <v>5</v>
      </c>
      <c r="D714" s="68">
        <v>363</v>
      </c>
      <c r="E714" s="68"/>
      <c r="F714" s="68">
        <v>3937</v>
      </c>
      <c r="G714" s="68">
        <v>4300</v>
      </c>
      <c r="H7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15" spans="1:8" hidden="1" x14ac:dyDescent="0.3">
      <c r="A715" t="s">
        <v>678</v>
      </c>
      <c r="B715" t="s">
        <v>681</v>
      </c>
      <c r="C715" t="s">
        <v>27</v>
      </c>
      <c r="D715" s="68"/>
      <c r="E715" s="68">
        <v>502</v>
      </c>
      <c r="F715" s="68"/>
      <c r="G715" s="68">
        <v>502</v>
      </c>
      <c r="H7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16" spans="1:8" hidden="1" x14ac:dyDescent="0.3">
      <c r="A716" t="s">
        <v>678</v>
      </c>
      <c r="B716" t="s">
        <v>681</v>
      </c>
      <c r="C716" t="s">
        <v>536</v>
      </c>
      <c r="D716" s="68"/>
      <c r="E716" s="68"/>
      <c r="F716" s="68">
        <v>1</v>
      </c>
      <c r="G716" s="68">
        <v>1</v>
      </c>
      <c r="H7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17" spans="1:8" hidden="1" x14ac:dyDescent="0.3">
      <c r="A717" t="s">
        <v>678</v>
      </c>
      <c r="B717" t="s">
        <v>681</v>
      </c>
      <c r="C717" t="s">
        <v>31</v>
      </c>
      <c r="D717" s="68"/>
      <c r="E717" s="68"/>
      <c r="F717" s="68">
        <v>1</v>
      </c>
      <c r="G717" s="68">
        <v>1</v>
      </c>
      <c r="H7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18" spans="1:8" hidden="1" x14ac:dyDescent="0.3">
      <c r="A718" t="s">
        <v>678</v>
      </c>
      <c r="B718" t="s">
        <v>682</v>
      </c>
      <c r="C718" t="s">
        <v>5</v>
      </c>
      <c r="D718" s="68">
        <v>444</v>
      </c>
      <c r="E718" s="68"/>
      <c r="F718" s="68">
        <v>2702</v>
      </c>
      <c r="G718" s="68">
        <v>3146</v>
      </c>
      <c r="H7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19" spans="1:8" hidden="1" x14ac:dyDescent="0.3">
      <c r="A719" t="s">
        <v>678</v>
      </c>
      <c r="B719" t="s">
        <v>682</v>
      </c>
      <c r="C719" t="s">
        <v>26</v>
      </c>
      <c r="D719" s="68">
        <v>237</v>
      </c>
      <c r="E719" s="68"/>
      <c r="F719" s="68">
        <v>1025</v>
      </c>
      <c r="G719" s="68">
        <v>1262</v>
      </c>
      <c r="H7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20" spans="1:8" hidden="1" x14ac:dyDescent="0.3">
      <c r="A720" t="s">
        <v>678</v>
      </c>
      <c r="B720" t="s">
        <v>682</v>
      </c>
      <c r="C720" t="s">
        <v>27</v>
      </c>
      <c r="D720" s="68"/>
      <c r="E720" s="68">
        <v>106</v>
      </c>
      <c r="F720" s="68"/>
      <c r="G720" s="68">
        <v>106</v>
      </c>
      <c r="H7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21" spans="1:8" hidden="1" x14ac:dyDescent="0.3">
      <c r="A721" t="s">
        <v>678</v>
      </c>
      <c r="B721" t="s">
        <v>683</v>
      </c>
      <c r="C721" t="s">
        <v>26</v>
      </c>
      <c r="D721" s="68">
        <v>9350</v>
      </c>
      <c r="E721" s="68"/>
      <c r="F721" s="68">
        <v>45431</v>
      </c>
      <c r="G721" s="68">
        <v>54781</v>
      </c>
      <c r="H7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22" spans="1:8" hidden="1" x14ac:dyDescent="0.3">
      <c r="A722" t="s">
        <v>678</v>
      </c>
      <c r="B722" t="s">
        <v>683</v>
      </c>
      <c r="C722" t="s">
        <v>31</v>
      </c>
      <c r="D722" s="68">
        <v>1056</v>
      </c>
      <c r="E722" s="68"/>
      <c r="F722" s="68">
        <v>10579</v>
      </c>
      <c r="G722" s="68">
        <v>11635</v>
      </c>
      <c r="H7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23" spans="1:8" hidden="1" x14ac:dyDescent="0.3">
      <c r="A723" t="s">
        <v>678</v>
      </c>
      <c r="B723" t="s">
        <v>683</v>
      </c>
      <c r="C723" t="s">
        <v>27</v>
      </c>
      <c r="D723" s="68"/>
      <c r="E723" s="68">
        <v>1467</v>
      </c>
      <c r="F723" s="68"/>
      <c r="G723" s="68">
        <v>1467</v>
      </c>
      <c r="H7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24" spans="1:8" hidden="1" x14ac:dyDescent="0.3">
      <c r="A724" t="s">
        <v>678</v>
      </c>
      <c r="B724" t="s">
        <v>683</v>
      </c>
      <c r="C724" t="s">
        <v>5</v>
      </c>
      <c r="D724" s="68">
        <v>350</v>
      </c>
      <c r="E724" s="68"/>
      <c r="F724" s="68">
        <v>405</v>
      </c>
      <c r="G724" s="68">
        <v>755</v>
      </c>
      <c r="H7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25" spans="1:8" hidden="1" x14ac:dyDescent="0.3">
      <c r="A725" t="s">
        <v>678</v>
      </c>
      <c r="B725" t="s">
        <v>683</v>
      </c>
      <c r="C725" t="s">
        <v>36</v>
      </c>
      <c r="D725" s="68">
        <v>76</v>
      </c>
      <c r="E725" s="68"/>
      <c r="F725" s="68">
        <v>40</v>
      </c>
      <c r="G725" s="68">
        <v>116</v>
      </c>
      <c r="H7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26" spans="1:8" hidden="1" x14ac:dyDescent="0.3">
      <c r="A726" t="s">
        <v>678</v>
      </c>
      <c r="B726" t="s">
        <v>683</v>
      </c>
      <c r="C726" t="s">
        <v>30</v>
      </c>
      <c r="D726" s="68"/>
      <c r="E726" s="68"/>
      <c r="F726" s="68">
        <v>1</v>
      </c>
      <c r="G726" s="68">
        <v>1</v>
      </c>
      <c r="H7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27" spans="1:8" hidden="1" x14ac:dyDescent="0.3">
      <c r="A727" t="s">
        <v>678</v>
      </c>
      <c r="B727" t="s">
        <v>684</v>
      </c>
      <c r="C727" t="s">
        <v>26</v>
      </c>
      <c r="D727" s="68">
        <v>7776</v>
      </c>
      <c r="E727" s="68"/>
      <c r="F727" s="68">
        <v>32484</v>
      </c>
      <c r="G727" s="68">
        <v>40260</v>
      </c>
      <c r="H7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28" spans="1:8" hidden="1" x14ac:dyDescent="0.3">
      <c r="A728" t="s">
        <v>678</v>
      </c>
      <c r="B728" t="s">
        <v>684</v>
      </c>
      <c r="C728" t="s">
        <v>5</v>
      </c>
      <c r="D728" s="68">
        <v>1420</v>
      </c>
      <c r="E728" s="68"/>
      <c r="F728" s="68">
        <v>9873</v>
      </c>
      <c r="G728" s="68">
        <v>11293</v>
      </c>
      <c r="H7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29" spans="1:8" hidden="1" x14ac:dyDescent="0.3">
      <c r="A729" t="s">
        <v>678</v>
      </c>
      <c r="B729" t="s">
        <v>684</v>
      </c>
      <c r="C729" t="s">
        <v>31</v>
      </c>
      <c r="D729" s="68">
        <v>352</v>
      </c>
      <c r="E729" s="68"/>
      <c r="F729" s="68">
        <v>5281</v>
      </c>
      <c r="G729" s="68">
        <v>5633</v>
      </c>
      <c r="H7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0" spans="1:8" hidden="1" x14ac:dyDescent="0.3">
      <c r="A730" t="s">
        <v>678</v>
      </c>
      <c r="B730" t="s">
        <v>684</v>
      </c>
      <c r="C730" t="s">
        <v>27</v>
      </c>
      <c r="D730" s="68"/>
      <c r="E730" s="68">
        <v>1425</v>
      </c>
      <c r="F730" s="68"/>
      <c r="G730" s="68">
        <v>1425</v>
      </c>
      <c r="H7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31" spans="1:8" hidden="1" x14ac:dyDescent="0.3">
      <c r="A731" t="s">
        <v>678</v>
      </c>
      <c r="B731" t="s">
        <v>684</v>
      </c>
      <c r="C731" t="s">
        <v>536</v>
      </c>
      <c r="D731" s="68"/>
      <c r="E731" s="68"/>
      <c r="F731" s="68">
        <v>1</v>
      </c>
      <c r="G731" s="68">
        <v>1</v>
      </c>
      <c r="H7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32" spans="1:8" hidden="1" x14ac:dyDescent="0.3">
      <c r="A732" t="s">
        <v>685</v>
      </c>
      <c r="B732" t="s">
        <v>686</v>
      </c>
      <c r="C732" t="s">
        <v>26</v>
      </c>
      <c r="D732" s="68">
        <v>2868</v>
      </c>
      <c r="E732" s="68"/>
      <c r="F732" s="68">
        <v>1427</v>
      </c>
      <c r="G732" s="68">
        <v>4295</v>
      </c>
      <c r="H7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3" spans="1:8" hidden="1" x14ac:dyDescent="0.3">
      <c r="A733" t="s">
        <v>685</v>
      </c>
      <c r="B733" t="s">
        <v>686</v>
      </c>
      <c r="C733" t="s">
        <v>27</v>
      </c>
      <c r="D733" s="68"/>
      <c r="E733" s="68">
        <v>102</v>
      </c>
      <c r="F733" s="68"/>
      <c r="G733" s="68">
        <v>102</v>
      </c>
      <c r="H7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34" spans="1:8" hidden="1" x14ac:dyDescent="0.3">
      <c r="A734" t="s">
        <v>685</v>
      </c>
      <c r="B734" t="s">
        <v>687</v>
      </c>
      <c r="C734" t="s">
        <v>26</v>
      </c>
      <c r="D734" s="68">
        <v>15323</v>
      </c>
      <c r="E734" s="68"/>
      <c r="F734" s="68">
        <v>14462</v>
      </c>
      <c r="G734" s="68">
        <v>29785</v>
      </c>
      <c r="H7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5" spans="1:8" hidden="1" x14ac:dyDescent="0.3">
      <c r="A735" t="s">
        <v>685</v>
      </c>
      <c r="B735" t="s">
        <v>687</v>
      </c>
      <c r="C735" t="s">
        <v>5</v>
      </c>
      <c r="D735" s="68">
        <v>24172</v>
      </c>
      <c r="E735" s="68"/>
      <c r="F735" s="68">
        <v>3532</v>
      </c>
      <c r="G735" s="68">
        <v>27704</v>
      </c>
      <c r="H7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6" spans="1:8" hidden="1" x14ac:dyDescent="0.3">
      <c r="A736" t="s">
        <v>685</v>
      </c>
      <c r="B736" t="s">
        <v>687</v>
      </c>
      <c r="C736" t="s">
        <v>27</v>
      </c>
      <c r="D736" s="68"/>
      <c r="E736" s="68">
        <v>1060</v>
      </c>
      <c r="F736" s="68"/>
      <c r="G736" s="68">
        <v>1060</v>
      </c>
      <c r="H7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37" spans="1:8" hidden="1" x14ac:dyDescent="0.3">
      <c r="A737" t="s">
        <v>688</v>
      </c>
      <c r="B737" t="s">
        <v>689</v>
      </c>
      <c r="C737" t="s">
        <v>26</v>
      </c>
      <c r="D737" s="68">
        <v>8346</v>
      </c>
      <c r="E737" s="68"/>
      <c r="F737" s="68">
        <v>20374</v>
      </c>
      <c r="G737" s="68">
        <v>28720</v>
      </c>
      <c r="H7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8" spans="1:8" hidden="1" x14ac:dyDescent="0.3">
      <c r="A738" t="s">
        <v>688</v>
      </c>
      <c r="B738" t="s">
        <v>689</v>
      </c>
      <c r="C738" t="s">
        <v>31</v>
      </c>
      <c r="D738" s="68">
        <v>1588</v>
      </c>
      <c r="E738" s="68"/>
      <c r="F738" s="68">
        <v>15739</v>
      </c>
      <c r="G738" s="68">
        <v>17327</v>
      </c>
      <c r="H7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9" spans="1:8" hidden="1" x14ac:dyDescent="0.3">
      <c r="A739" t="s">
        <v>688</v>
      </c>
      <c r="B739" t="s">
        <v>689</v>
      </c>
      <c r="C739" t="s">
        <v>36</v>
      </c>
      <c r="D739" s="68">
        <v>4739</v>
      </c>
      <c r="E739" s="68"/>
      <c r="F739" s="68">
        <v>1213</v>
      </c>
      <c r="G739" s="68">
        <v>5952</v>
      </c>
      <c r="H7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0" spans="1:8" hidden="1" x14ac:dyDescent="0.3">
      <c r="A740" t="s">
        <v>688</v>
      </c>
      <c r="B740" t="s">
        <v>689</v>
      </c>
      <c r="C740" t="s">
        <v>30</v>
      </c>
      <c r="D740" s="68">
        <v>287</v>
      </c>
      <c r="E740" s="68"/>
      <c r="F740" s="68">
        <v>4056</v>
      </c>
      <c r="G740" s="68">
        <v>4343</v>
      </c>
      <c r="H7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1" spans="1:8" hidden="1" x14ac:dyDescent="0.3">
      <c r="A741" t="s">
        <v>688</v>
      </c>
      <c r="B741" t="s">
        <v>689</v>
      </c>
      <c r="C741" t="s">
        <v>588</v>
      </c>
      <c r="D741" s="68">
        <v>356</v>
      </c>
      <c r="E741" s="68"/>
      <c r="F741" s="68">
        <v>2301</v>
      </c>
      <c r="G741" s="68">
        <v>2657</v>
      </c>
      <c r="H7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2" spans="1:8" hidden="1" x14ac:dyDescent="0.3">
      <c r="A742" t="s">
        <v>688</v>
      </c>
      <c r="B742" t="s">
        <v>689</v>
      </c>
      <c r="C742" t="s">
        <v>27</v>
      </c>
      <c r="D742" s="68"/>
      <c r="E742" s="68">
        <v>1045</v>
      </c>
      <c r="F742" s="68"/>
      <c r="G742" s="68">
        <v>1045</v>
      </c>
      <c r="H7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3" spans="1:8" hidden="1" x14ac:dyDescent="0.3">
      <c r="A743" t="s">
        <v>688</v>
      </c>
      <c r="B743" t="s">
        <v>689</v>
      </c>
      <c r="C743" t="s">
        <v>37</v>
      </c>
      <c r="D743" s="68">
        <v>378</v>
      </c>
      <c r="E743" s="68"/>
      <c r="F743" s="68">
        <v>476</v>
      </c>
      <c r="G743" s="68">
        <v>854</v>
      </c>
      <c r="H7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44" spans="1:8" hidden="1" x14ac:dyDescent="0.3">
      <c r="A744" t="s">
        <v>688</v>
      </c>
      <c r="B744" t="s">
        <v>689</v>
      </c>
      <c r="C744" t="s">
        <v>5</v>
      </c>
      <c r="D744" s="68">
        <v>4</v>
      </c>
      <c r="E744" s="68"/>
      <c r="F744" s="68"/>
      <c r="G744" s="68">
        <v>4</v>
      </c>
      <c r="H7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45" spans="1:8" hidden="1" x14ac:dyDescent="0.3">
      <c r="A745" t="s">
        <v>688</v>
      </c>
      <c r="B745" t="s">
        <v>690</v>
      </c>
      <c r="C745" t="s">
        <v>34</v>
      </c>
      <c r="D745" s="68">
        <v>291304</v>
      </c>
      <c r="E745" s="68"/>
      <c r="F745" s="68">
        <v>72651</v>
      </c>
      <c r="G745" s="68">
        <v>363955</v>
      </c>
      <c r="H7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6" spans="1:8" hidden="1" x14ac:dyDescent="0.3">
      <c r="A746" t="s">
        <v>688</v>
      </c>
      <c r="B746" t="s">
        <v>690</v>
      </c>
      <c r="C746" t="s">
        <v>588</v>
      </c>
      <c r="D746" s="68">
        <v>40534</v>
      </c>
      <c r="E746" s="68"/>
      <c r="F746" s="68">
        <v>265378</v>
      </c>
      <c r="G746" s="68">
        <v>305912</v>
      </c>
      <c r="H7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7" spans="1:8" hidden="1" x14ac:dyDescent="0.3">
      <c r="A747" t="s">
        <v>688</v>
      </c>
      <c r="B747" t="s">
        <v>690</v>
      </c>
      <c r="C747" t="s">
        <v>36</v>
      </c>
      <c r="D747" s="68">
        <v>174980</v>
      </c>
      <c r="E747" s="68"/>
      <c r="F747" s="68">
        <v>65525</v>
      </c>
      <c r="G747" s="68">
        <v>240505</v>
      </c>
      <c r="H7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8" spans="1:8" hidden="1" x14ac:dyDescent="0.3">
      <c r="A748" t="s">
        <v>688</v>
      </c>
      <c r="B748" t="s">
        <v>690</v>
      </c>
      <c r="C748" t="s">
        <v>26</v>
      </c>
      <c r="D748" s="68">
        <v>98603</v>
      </c>
      <c r="E748" s="68"/>
      <c r="F748" s="68">
        <v>77348</v>
      </c>
      <c r="G748" s="68">
        <v>175951</v>
      </c>
      <c r="H7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49" spans="1:8" hidden="1" x14ac:dyDescent="0.3">
      <c r="A749" t="s">
        <v>688</v>
      </c>
      <c r="B749" t="s">
        <v>690</v>
      </c>
      <c r="C749" t="s">
        <v>5</v>
      </c>
      <c r="D749" s="68">
        <v>150296</v>
      </c>
      <c r="E749" s="68"/>
      <c r="F749" s="68">
        <v>25562</v>
      </c>
      <c r="G749" s="68">
        <v>175858</v>
      </c>
      <c r="H7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50" spans="1:8" hidden="1" x14ac:dyDescent="0.3">
      <c r="A750" t="s">
        <v>688</v>
      </c>
      <c r="B750" t="s">
        <v>690</v>
      </c>
      <c r="C750" t="s">
        <v>31</v>
      </c>
      <c r="D750" s="68">
        <v>11278</v>
      </c>
      <c r="E750" s="68"/>
      <c r="F750" s="68">
        <v>132770</v>
      </c>
      <c r="G750" s="68">
        <v>144048</v>
      </c>
      <c r="H7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51" spans="1:8" hidden="1" x14ac:dyDescent="0.3">
      <c r="A751" t="s">
        <v>688</v>
      </c>
      <c r="B751" t="s">
        <v>690</v>
      </c>
      <c r="C751" t="s">
        <v>30</v>
      </c>
      <c r="D751" s="68">
        <v>6537</v>
      </c>
      <c r="E751" s="68"/>
      <c r="F751" s="68">
        <v>122044</v>
      </c>
      <c r="G751" s="68">
        <v>128581</v>
      </c>
      <c r="H7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52" spans="1:8" hidden="1" x14ac:dyDescent="0.3">
      <c r="A752" t="s">
        <v>688</v>
      </c>
      <c r="B752" t="s">
        <v>690</v>
      </c>
      <c r="C752" t="s">
        <v>27</v>
      </c>
      <c r="D752" s="68"/>
      <c r="E752" s="68">
        <v>28546</v>
      </c>
      <c r="F752" s="68"/>
      <c r="G752" s="68">
        <v>28546</v>
      </c>
      <c r="H7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53" spans="1:8" hidden="1" x14ac:dyDescent="0.3">
      <c r="A753" t="s">
        <v>688</v>
      </c>
      <c r="B753" t="s">
        <v>690</v>
      </c>
      <c r="C753" t="s">
        <v>37</v>
      </c>
      <c r="D753" s="68">
        <v>11391</v>
      </c>
      <c r="E753" s="68"/>
      <c r="F753" s="68">
        <v>12711</v>
      </c>
      <c r="G753" s="68">
        <v>24102</v>
      </c>
      <c r="H7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54" spans="1:8" hidden="1" x14ac:dyDescent="0.3">
      <c r="A754" t="s">
        <v>688</v>
      </c>
      <c r="B754" t="s">
        <v>690</v>
      </c>
      <c r="C754" t="s">
        <v>32</v>
      </c>
      <c r="D754" s="68">
        <v>306</v>
      </c>
      <c r="E754" s="68"/>
      <c r="F754" s="68">
        <v>6122</v>
      </c>
      <c r="G754" s="68">
        <v>6428</v>
      </c>
      <c r="H7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55" spans="1:8" hidden="1" x14ac:dyDescent="0.3">
      <c r="A755" t="s">
        <v>688</v>
      </c>
      <c r="B755" t="s">
        <v>690</v>
      </c>
      <c r="C755" t="s">
        <v>35</v>
      </c>
      <c r="D755" s="68">
        <v>3590</v>
      </c>
      <c r="E755" s="68"/>
      <c r="F755" s="68"/>
      <c r="G755" s="68">
        <v>3590</v>
      </c>
      <c r="H7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56" spans="1:8" hidden="1" x14ac:dyDescent="0.3">
      <c r="A756" t="s">
        <v>688</v>
      </c>
      <c r="B756" t="s">
        <v>690</v>
      </c>
      <c r="C756" t="s">
        <v>691</v>
      </c>
      <c r="D756" s="68">
        <v>2</v>
      </c>
      <c r="E756" s="68"/>
      <c r="F756" s="68"/>
      <c r="G756" s="68">
        <v>2</v>
      </c>
      <c r="H7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57" spans="1:8" hidden="1" x14ac:dyDescent="0.3">
      <c r="A757" t="s">
        <v>688</v>
      </c>
      <c r="B757" t="s">
        <v>692</v>
      </c>
      <c r="C757" t="s">
        <v>588</v>
      </c>
      <c r="D757" s="68">
        <v>1354</v>
      </c>
      <c r="E757" s="68"/>
      <c r="F757" s="68">
        <v>10867</v>
      </c>
      <c r="G757" s="68">
        <v>12221</v>
      </c>
      <c r="H7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58" spans="1:8" hidden="1" x14ac:dyDescent="0.3">
      <c r="A758" t="s">
        <v>688</v>
      </c>
      <c r="B758" t="s">
        <v>692</v>
      </c>
      <c r="C758" t="s">
        <v>31</v>
      </c>
      <c r="D758" s="68">
        <v>460</v>
      </c>
      <c r="E758" s="68"/>
      <c r="F758" s="68">
        <v>9875</v>
      </c>
      <c r="G758" s="68">
        <v>10335</v>
      </c>
      <c r="H7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59" spans="1:8" hidden="1" x14ac:dyDescent="0.3">
      <c r="A759" t="s">
        <v>688</v>
      </c>
      <c r="B759" t="s">
        <v>692</v>
      </c>
      <c r="C759" t="s">
        <v>26</v>
      </c>
      <c r="D759" s="68">
        <v>456</v>
      </c>
      <c r="E759" s="68"/>
      <c r="F759" s="68">
        <v>2939</v>
      </c>
      <c r="G759" s="68">
        <v>3395</v>
      </c>
      <c r="H7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60" spans="1:8" hidden="1" x14ac:dyDescent="0.3">
      <c r="A760" t="s">
        <v>688</v>
      </c>
      <c r="B760" t="s">
        <v>692</v>
      </c>
      <c r="C760" t="s">
        <v>27</v>
      </c>
      <c r="D760" s="68"/>
      <c r="E760" s="68">
        <v>432</v>
      </c>
      <c r="F760" s="68"/>
      <c r="G760" s="68">
        <v>432</v>
      </c>
      <c r="H7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61" spans="1:8" hidden="1" x14ac:dyDescent="0.3">
      <c r="A761" t="s">
        <v>688</v>
      </c>
      <c r="B761" t="s">
        <v>692</v>
      </c>
      <c r="C761" t="s">
        <v>30</v>
      </c>
      <c r="D761" s="68">
        <v>6</v>
      </c>
      <c r="E761" s="68"/>
      <c r="F761" s="68">
        <v>401</v>
      </c>
      <c r="G761" s="68">
        <v>407</v>
      </c>
      <c r="H7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62" spans="1:8" hidden="1" x14ac:dyDescent="0.3">
      <c r="A762" t="s">
        <v>688</v>
      </c>
      <c r="B762" t="s">
        <v>692</v>
      </c>
      <c r="C762" t="s">
        <v>5</v>
      </c>
      <c r="D762" s="68">
        <v>20</v>
      </c>
      <c r="E762" s="68"/>
      <c r="F762" s="68">
        <v>10</v>
      </c>
      <c r="G762" s="68">
        <v>30</v>
      </c>
      <c r="H7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63" spans="1:8" hidden="1" x14ac:dyDescent="0.3">
      <c r="A763" t="s">
        <v>688</v>
      </c>
      <c r="B763" t="s">
        <v>51</v>
      </c>
      <c r="C763" t="s">
        <v>588</v>
      </c>
      <c r="D763" s="68">
        <v>1181</v>
      </c>
      <c r="E763" s="68"/>
      <c r="F763" s="68">
        <v>11027</v>
      </c>
      <c r="G763" s="68">
        <v>12208</v>
      </c>
      <c r="H7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64" spans="1:8" hidden="1" x14ac:dyDescent="0.3">
      <c r="A764" t="s">
        <v>688</v>
      </c>
      <c r="B764" t="s">
        <v>51</v>
      </c>
      <c r="C764" t="s">
        <v>26</v>
      </c>
      <c r="D764" s="68">
        <v>373</v>
      </c>
      <c r="E764" s="68"/>
      <c r="F764" s="68">
        <v>1934</v>
      </c>
      <c r="G764" s="68">
        <v>2307</v>
      </c>
      <c r="H7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65" spans="1:8" hidden="1" x14ac:dyDescent="0.3">
      <c r="A765" t="s">
        <v>688</v>
      </c>
      <c r="B765" t="s">
        <v>51</v>
      </c>
      <c r="C765" t="s">
        <v>31</v>
      </c>
      <c r="D765" s="68">
        <v>95</v>
      </c>
      <c r="E765" s="68"/>
      <c r="F765" s="68">
        <v>1948</v>
      </c>
      <c r="G765" s="68">
        <v>2043</v>
      </c>
      <c r="H7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66" spans="1:8" hidden="1" x14ac:dyDescent="0.3">
      <c r="A766" t="s">
        <v>688</v>
      </c>
      <c r="B766" t="s">
        <v>51</v>
      </c>
      <c r="C766" t="s">
        <v>27</v>
      </c>
      <c r="D766" s="68"/>
      <c r="E766" s="68">
        <v>144</v>
      </c>
      <c r="F766" s="68"/>
      <c r="G766" s="68">
        <v>144</v>
      </c>
      <c r="H7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67" spans="1:8" hidden="1" x14ac:dyDescent="0.3">
      <c r="A767" t="s">
        <v>688</v>
      </c>
      <c r="B767" t="s">
        <v>693</v>
      </c>
      <c r="C767" t="s">
        <v>588</v>
      </c>
      <c r="D767" s="68">
        <v>2970</v>
      </c>
      <c r="E767" s="68"/>
      <c r="F767" s="68">
        <v>18834</v>
      </c>
      <c r="G767" s="68">
        <v>21804</v>
      </c>
      <c r="H7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68" spans="1:8" hidden="1" x14ac:dyDescent="0.3">
      <c r="A768" t="s">
        <v>688</v>
      </c>
      <c r="B768" t="s">
        <v>693</v>
      </c>
      <c r="C768" t="s">
        <v>26</v>
      </c>
      <c r="D768" s="68">
        <v>4398</v>
      </c>
      <c r="E768" s="68"/>
      <c r="F768" s="68">
        <v>5882</v>
      </c>
      <c r="G768" s="68">
        <v>10280</v>
      </c>
      <c r="H7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69" spans="1:8" hidden="1" x14ac:dyDescent="0.3">
      <c r="A769" t="s">
        <v>688</v>
      </c>
      <c r="B769" t="s">
        <v>693</v>
      </c>
      <c r="C769" t="s">
        <v>30</v>
      </c>
      <c r="D769" s="68">
        <v>251</v>
      </c>
      <c r="E769" s="68"/>
      <c r="F769" s="68">
        <v>5919</v>
      </c>
      <c r="G769" s="68">
        <v>6170</v>
      </c>
      <c r="H7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70" spans="1:8" hidden="1" x14ac:dyDescent="0.3">
      <c r="A770" t="s">
        <v>688</v>
      </c>
      <c r="B770" t="s">
        <v>693</v>
      </c>
      <c r="C770" t="s">
        <v>34</v>
      </c>
      <c r="D770" s="68">
        <v>3170</v>
      </c>
      <c r="E770" s="68"/>
      <c r="F770" s="68">
        <v>1281</v>
      </c>
      <c r="G770" s="68">
        <v>4451</v>
      </c>
      <c r="H7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71" spans="1:8" hidden="1" x14ac:dyDescent="0.3">
      <c r="A771" t="s">
        <v>688</v>
      </c>
      <c r="B771" t="s">
        <v>693</v>
      </c>
      <c r="C771" t="s">
        <v>36</v>
      </c>
      <c r="D771" s="68">
        <v>2162</v>
      </c>
      <c r="E771" s="68"/>
      <c r="F771" s="68">
        <v>612</v>
      </c>
      <c r="G771" s="68">
        <v>2774</v>
      </c>
      <c r="H7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72" spans="1:8" hidden="1" x14ac:dyDescent="0.3">
      <c r="A772" t="s">
        <v>688</v>
      </c>
      <c r="B772" t="s">
        <v>693</v>
      </c>
      <c r="C772" t="s">
        <v>31</v>
      </c>
      <c r="D772" s="68">
        <v>51</v>
      </c>
      <c r="E772" s="68"/>
      <c r="F772" s="68">
        <v>793</v>
      </c>
      <c r="G772" s="68">
        <v>844</v>
      </c>
      <c r="H7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73" spans="1:8" hidden="1" x14ac:dyDescent="0.3">
      <c r="A773" t="s">
        <v>688</v>
      </c>
      <c r="B773" t="s">
        <v>693</v>
      </c>
      <c r="C773" t="s">
        <v>37</v>
      </c>
      <c r="D773" s="68">
        <v>180</v>
      </c>
      <c r="E773" s="68"/>
      <c r="F773" s="68">
        <v>392</v>
      </c>
      <c r="G773" s="68">
        <v>572</v>
      </c>
      <c r="H7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74" spans="1:8" hidden="1" x14ac:dyDescent="0.3">
      <c r="A774" t="s">
        <v>688</v>
      </c>
      <c r="B774" t="s">
        <v>693</v>
      </c>
      <c r="C774" t="s">
        <v>27</v>
      </c>
      <c r="D774" s="68"/>
      <c r="E774" s="68">
        <v>223</v>
      </c>
      <c r="F774" s="68"/>
      <c r="G774" s="68">
        <v>223</v>
      </c>
      <c r="H7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75" spans="1:8" hidden="1" x14ac:dyDescent="0.3">
      <c r="A775" t="s">
        <v>688</v>
      </c>
      <c r="B775" t="s">
        <v>693</v>
      </c>
      <c r="C775" t="s">
        <v>5</v>
      </c>
      <c r="D775" s="68">
        <v>1</v>
      </c>
      <c r="E775" s="68"/>
      <c r="F775" s="68"/>
      <c r="G775" s="68">
        <v>1</v>
      </c>
      <c r="H7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76" spans="1:8" hidden="1" x14ac:dyDescent="0.3">
      <c r="A776" t="s">
        <v>688</v>
      </c>
      <c r="B776" t="s">
        <v>693</v>
      </c>
      <c r="C776" t="s">
        <v>32</v>
      </c>
      <c r="D776" s="68">
        <v>1</v>
      </c>
      <c r="E776" s="68"/>
      <c r="F776" s="68"/>
      <c r="G776" s="68">
        <v>1</v>
      </c>
      <c r="H7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77" spans="1:8" hidden="1" x14ac:dyDescent="0.3">
      <c r="A777" t="s">
        <v>688</v>
      </c>
      <c r="B777" t="s">
        <v>694</v>
      </c>
      <c r="C777" t="s">
        <v>588</v>
      </c>
      <c r="D777" s="68">
        <v>718</v>
      </c>
      <c r="E777" s="68"/>
      <c r="F777" s="68">
        <v>8479</v>
      </c>
      <c r="G777" s="68">
        <v>9197</v>
      </c>
      <c r="H7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78" spans="1:8" hidden="1" x14ac:dyDescent="0.3">
      <c r="A778" t="s">
        <v>688</v>
      </c>
      <c r="B778" t="s">
        <v>694</v>
      </c>
      <c r="C778" t="s">
        <v>26</v>
      </c>
      <c r="D778" s="68">
        <v>1060</v>
      </c>
      <c r="E778" s="68"/>
      <c r="F778" s="68">
        <v>5105</v>
      </c>
      <c r="G778" s="68">
        <v>6165</v>
      </c>
      <c r="H7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79" spans="1:8" hidden="1" x14ac:dyDescent="0.3">
      <c r="A779" t="s">
        <v>688</v>
      </c>
      <c r="B779" t="s">
        <v>694</v>
      </c>
      <c r="C779" t="s">
        <v>37</v>
      </c>
      <c r="D779" s="68">
        <v>542</v>
      </c>
      <c r="E779" s="68"/>
      <c r="F779" s="68">
        <v>704</v>
      </c>
      <c r="G779" s="68">
        <v>1246</v>
      </c>
      <c r="H7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80" spans="1:8" hidden="1" x14ac:dyDescent="0.3">
      <c r="A780" t="s">
        <v>688</v>
      </c>
      <c r="B780" t="s">
        <v>694</v>
      </c>
      <c r="C780" t="s">
        <v>31</v>
      </c>
      <c r="D780" s="68">
        <v>65</v>
      </c>
      <c r="E780" s="68"/>
      <c r="F780" s="68">
        <v>1110</v>
      </c>
      <c r="G780" s="68">
        <v>1175</v>
      </c>
      <c r="H7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81" spans="1:8" hidden="1" x14ac:dyDescent="0.3">
      <c r="A781" t="s">
        <v>688</v>
      </c>
      <c r="B781" t="s">
        <v>694</v>
      </c>
      <c r="C781" t="s">
        <v>30</v>
      </c>
      <c r="D781" s="68">
        <v>10</v>
      </c>
      <c r="E781" s="68"/>
      <c r="F781" s="68">
        <v>356</v>
      </c>
      <c r="G781" s="68">
        <v>366</v>
      </c>
      <c r="H7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82" spans="1:8" hidden="1" x14ac:dyDescent="0.3">
      <c r="A782" t="s">
        <v>688</v>
      </c>
      <c r="B782" t="s">
        <v>694</v>
      </c>
      <c r="C782" t="s">
        <v>27</v>
      </c>
      <c r="D782" s="68"/>
      <c r="E782" s="68">
        <v>264</v>
      </c>
      <c r="F782" s="68"/>
      <c r="G782" s="68">
        <v>264</v>
      </c>
      <c r="H7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83" spans="1:8" hidden="1" x14ac:dyDescent="0.3">
      <c r="A783" t="s">
        <v>688</v>
      </c>
      <c r="B783" t="s">
        <v>695</v>
      </c>
      <c r="C783" t="s">
        <v>31</v>
      </c>
      <c r="D783" s="68">
        <v>919</v>
      </c>
      <c r="E783" s="68"/>
      <c r="F783" s="68">
        <v>14318</v>
      </c>
      <c r="G783" s="68">
        <v>15237</v>
      </c>
      <c r="H7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84" spans="1:8" hidden="1" x14ac:dyDescent="0.3">
      <c r="A784" t="s">
        <v>688</v>
      </c>
      <c r="B784" t="s">
        <v>695</v>
      </c>
      <c r="C784" t="s">
        <v>26</v>
      </c>
      <c r="D784" s="68">
        <v>1275</v>
      </c>
      <c r="E784" s="68"/>
      <c r="F784" s="68">
        <v>6015</v>
      </c>
      <c r="G784" s="68">
        <v>7290</v>
      </c>
      <c r="H7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85" spans="1:8" hidden="1" x14ac:dyDescent="0.3">
      <c r="A785" t="s">
        <v>688</v>
      </c>
      <c r="B785" t="s">
        <v>695</v>
      </c>
      <c r="C785" t="s">
        <v>30</v>
      </c>
      <c r="D785" s="68">
        <v>55</v>
      </c>
      <c r="E785" s="68"/>
      <c r="F785" s="68">
        <v>1804</v>
      </c>
      <c r="G785" s="68">
        <v>1859</v>
      </c>
      <c r="H7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86" spans="1:8" hidden="1" x14ac:dyDescent="0.3">
      <c r="A786" t="s">
        <v>688</v>
      </c>
      <c r="B786" t="s">
        <v>695</v>
      </c>
      <c r="C786" t="s">
        <v>27</v>
      </c>
      <c r="D786" s="68"/>
      <c r="E786" s="68">
        <v>343</v>
      </c>
      <c r="F786" s="68"/>
      <c r="G786" s="68">
        <v>343</v>
      </c>
      <c r="H7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87" spans="1:8" hidden="1" x14ac:dyDescent="0.3">
      <c r="A787" t="s">
        <v>688</v>
      </c>
      <c r="B787" t="s">
        <v>696</v>
      </c>
      <c r="C787" t="s">
        <v>588</v>
      </c>
      <c r="D787" s="68">
        <v>3608</v>
      </c>
      <c r="E787" s="68"/>
      <c r="F787" s="68">
        <v>29609</v>
      </c>
      <c r="G787" s="68">
        <v>33217</v>
      </c>
      <c r="H7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88" spans="1:8" hidden="1" x14ac:dyDescent="0.3">
      <c r="A788" t="s">
        <v>688</v>
      </c>
      <c r="B788" t="s">
        <v>696</v>
      </c>
      <c r="C788" t="s">
        <v>31</v>
      </c>
      <c r="D788" s="68">
        <v>1633</v>
      </c>
      <c r="E788" s="68"/>
      <c r="F788" s="68">
        <v>19829</v>
      </c>
      <c r="G788" s="68">
        <v>21462</v>
      </c>
      <c r="H7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89" spans="1:8" hidden="1" x14ac:dyDescent="0.3">
      <c r="A789" t="s">
        <v>688</v>
      </c>
      <c r="B789" t="s">
        <v>696</v>
      </c>
      <c r="C789" t="s">
        <v>26</v>
      </c>
      <c r="D789" s="68">
        <v>5675</v>
      </c>
      <c r="E789" s="68"/>
      <c r="F789" s="68">
        <v>11191</v>
      </c>
      <c r="G789" s="68">
        <v>16866</v>
      </c>
      <c r="H7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90" spans="1:8" hidden="1" x14ac:dyDescent="0.3">
      <c r="A790" t="s">
        <v>688</v>
      </c>
      <c r="B790" t="s">
        <v>696</v>
      </c>
      <c r="C790" t="s">
        <v>34</v>
      </c>
      <c r="D790" s="68">
        <v>11129</v>
      </c>
      <c r="E790" s="68"/>
      <c r="F790" s="68">
        <v>4270</v>
      </c>
      <c r="G790" s="68">
        <v>15399</v>
      </c>
      <c r="H7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91" spans="1:8" hidden="1" x14ac:dyDescent="0.3">
      <c r="A791" t="s">
        <v>688</v>
      </c>
      <c r="B791" t="s">
        <v>696</v>
      </c>
      <c r="C791" t="s">
        <v>30</v>
      </c>
      <c r="D791" s="68">
        <v>372</v>
      </c>
      <c r="E791" s="68"/>
      <c r="F791" s="68">
        <v>11481</v>
      </c>
      <c r="G791" s="68">
        <v>11853</v>
      </c>
      <c r="H7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92" spans="1:8" hidden="1" x14ac:dyDescent="0.3">
      <c r="A792" t="s">
        <v>688</v>
      </c>
      <c r="B792" t="s">
        <v>696</v>
      </c>
      <c r="C792" t="s">
        <v>36</v>
      </c>
      <c r="D792" s="68">
        <v>979</v>
      </c>
      <c r="E792" s="68"/>
      <c r="F792" s="68">
        <v>745</v>
      </c>
      <c r="G792" s="68">
        <v>1724</v>
      </c>
      <c r="H7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93" spans="1:8" hidden="1" x14ac:dyDescent="0.3">
      <c r="A793" t="s">
        <v>688</v>
      </c>
      <c r="B793" t="s">
        <v>696</v>
      </c>
      <c r="C793" t="s">
        <v>32</v>
      </c>
      <c r="D793" s="68">
        <v>42</v>
      </c>
      <c r="E793" s="68"/>
      <c r="F793" s="68">
        <v>1325</v>
      </c>
      <c r="G793" s="68">
        <v>1367</v>
      </c>
      <c r="H7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94" spans="1:8" hidden="1" x14ac:dyDescent="0.3">
      <c r="A794" t="s">
        <v>688</v>
      </c>
      <c r="B794" t="s">
        <v>696</v>
      </c>
      <c r="C794" t="s">
        <v>37</v>
      </c>
      <c r="D794" s="68">
        <v>345</v>
      </c>
      <c r="E794" s="68"/>
      <c r="F794" s="68">
        <v>616</v>
      </c>
      <c r="G794" s="68">
        <v>961</v>
      </c>
      <c r="H7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95" spans="1:8" hidden="1" x14ac:dyDescent="0.3">
      <c r="A795" t="s">
        <v>688</v>
      </c>
      <c r="B795" t="s">
        <v>696</v>
      </c>
      <c r="C795" t="s">
        <v>27</v>
      </c>
      <c r="D795" s="68"/>
      <c r="E795" s="68">
        <v>723</v>
      </c>
      <c r="F795" s="68"/>
      <c r="G795" s="68">
        <v>723</v>
      </c>
      <c r="H7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96" spans="1:8" hidden="1" x14ac:dyDescent="0.3">
      <c r="A796" t="s">
        <v>688</v>
      </c>
      <c r="B796" t="s">
        <v>696</v>
      </c>
      <c r="C796" t="s">
        <v>5</v>
      </c>
      <c r="D796" s="68">
        <v>10</v>
      </c>
      <c r="E796" s="68"/>
      <c r="F796" s="68">
        <v>2</v>
      </c>
      <c r="G796" s="68">
        <v>12</v>
      </c>
      <c r="H7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97" spans="1:8" hidden="1" x14ac:dyDescent="0.3">
      <c r="A797" t="s">
        <v>688</v>
      </c>
      <c r="B797" t="s">
        <v>697</v>
      </c>
      <c r="C797" t="s">
        <v>31</v>
      </c>
      <c r="D797" s="68">
        <v>586</v>
      </c>
      <c r="E797" s="68"/>
      <c r="F797" s="68">
        <v>15004</v>
      </c>
      <c r="G797" s="68">
        <v>15590</v>
      </c>
      <c r="H7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98" spans="1:8" hidden="1" x14ac:dyDescent="0.3">
      <c r="A798" t="s">
        <v>688</v>
      </c>
      <c r="B798" t="s">
        <v>697</v>
      </c>
      <c r="C798" t="s">
        <v>26</v>
      </c>
      <c r="D798" s="68">
        <v>457</v>
      </c>
      <c r="E798" s="68"/>
      <c r="F798" s="68">
        <v>2704</v>
      </c>
      <c r="G798" s="68">
        <v>3161</v>
      </c>
      <c r="H7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99" spans="1:8" hidden="1" x14ac:dyDescent="0.3">
      <c r="A799" t="s">
        <v>688</v>
      </c>
      <c r="B799" t="s">
        <v>697</v>
      </c>
      <c r="C799" t="s">
        <v>30</v>
      </c>
      <c r="D799" s="68">
        <v>5</v>
      </c>
      <c r="E799" s="68"/>
      <c r="F799" s="68">
        <v>527</v>
      </c>
      <c r="G799" s="68">
        <v>532</v>
      </c>
      <c r="H7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00" spans="1:8" hidden="1" x14ac:dyDescent="0.3">
      <c r="A800" t="s">
        <v>688</v>
      </c>
      <c r="B800" t="s">
        <v>697</v>
      </c>
      <c r="C800" t="s">
        <v>27</v>
      </c>
      <c r="D800" s="68"/>
      <c r="E800" s="68">
        <v>314</v>
      </c>
      <c r="F800" s="68"/>
      <c r="G800" s="68">
        <v>314</v>
      </c>
      <c r="H8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01" spans="1:8" hidden="1" x14ac:dyDescent="0.3">
      <c r="A801" t="s">
        <v>688</v>
      </c>
      <c r="B801" t="s">
        <v>697</v>
      </c>
      <c r="C801" t="s">
        <v>588</v>
      </c>
      <c r="D801" s="68">
        <v>1</v>
      </c>
      <c r="E801" s="68"/>
      <c r="F801" s="68"/>
      <c r="G801" s="68">
        <v>1</v>
      </c>
      <c r="H8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02" spans="1:8" hidden="1" x14ac:dyDescent="0.3">
      <c r="A802" t="s">
        <v>688</v>
      </c>
      <c r="B802" t="s">
        <v>697</v>
      </c>
      <c r="C802" t="s">
        <v>5</v>
      </c>
      <c r="D802" s="68">
        <v>1</v>
      </c>
      <c r="E802" s="68"/>
      <c r="F802" s="68"/>
      <c r="G802" s="68">
        <v>1</v>
      </c>
      <c r="H8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03" spans="1:8" hidden="1" x14ac:dyDescent="0.3">
      <c r="A803" t="s">
        <v>688</v>
      </c>
      <c r="B803" t="s">
        <v>698</v>
      </c>
      <c r="C803" t="s">
        <v>26</v>
      </c>
      <c r="D803" s="68">
        <v>3143</v>
      </c>
      <c r="E803" s="68"/>
      <c r="F803" s="68">
        <v>11259</v>
      </c>
      <c r="G803" s="68">
        <v>14402</v>
      </c>
      <c r="H8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04" spans="1:8" hidden="1" x14ac:dyDescent="0.3">
      <c r="A804" t="s">
        <v>688</v>
      </c>
      <c r="B804" t="s">
        <v>698</v>
      </c>
      <c r="C804" t="s">
        <v>30</v>
      </c>
      <c r="D804" s="68">
        <v>209</v>
      </c>
      <c r="E804" s="68"/>
      <c r="F804" s="68">
        <v>4919</v>
      </c>
      <c r="G804" s="68">
        <v>5128</v>
      </c>
      <c r="H8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05" spans="1:8" hidden="1" x14ac:dyDescent="0.3">
      <c r="A805" t="s">
        <v>688</v>
      </c>
      <c r="B805" t="s">
        <v>698</v>
      </c>
      <c r="C805" t="s">
        <v>31</v>
      </c>
      <c r="D805" s="68">
        <v>49</v>
      </c>
      <c r="E805" s="68"/>
      <c r="F805" s="68">
        <v>677</v>
      </c>
      <c r="G805" s="68">
        <v>726</v>
      </c>
      <c r="H8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06" spans="1:8" hidden="1" x14ac:dyDescent="0.3">
      <c r="A806" t="s">
        <v>688</v>
      </c>
      <c r="B806" t="s">
        <v>698</v>
      </c>
      <c r="C806" t="s">
        <v>27</v>
      </c>
      <c r="D806" s="68"/>
      <c r="E806" s="68">
        <v>118</v>
      </c>
      <c r="F806" s="68"/>
      <c r="G806" s="68">
        <v>118</v>
      </c>
      <c r="H8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07" spans="1:8" hidden="1" x14ac:dyDescent="0.3">
      <c r="A807" t="s">
        <v>688</v>
      </c>
      <c r="B807" t="s">
        <v>699</v>
      </c>
      <c r="C807" t="s">
        <v>26</v>
      </c>
      <c r="D807" s="68">
        <v>451</v>
      </c>
      <c r="E807" s="68"/>
      <c r="F807" s="68">
        <v>3275</v>
      </c>
      <c r="G807" s="68">
        <v>3726</v>
      </c>
      <c r="H8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08" spans="1:8" hidden="1" x14ac:dyDescent="0.3">
      <c r="A808" t="s">
        <v>688</v>
      </c>
      <c r="B808" t="s">
        <v>699</v>
      </c>
      <c r="C808" t="s">
        <v>30</v>
      </c>
      <c r="D808" s="68">
        <v>32</v>
      </c>
      <c r="E808" s="68"/>
      <c r="F808" s="68">
        <v>571</v>
      </c>
      <c r="G808" s="68">
        <v>603</v>
      </c>
      <c r="H8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09" spans="1:8" hidden="1" x14ac:dyDescent="0.3">
      <c r="A809" t="s">
        <v>688</v>
      </c>
      <c r="B809" t="s">
        <v>699</v>
      </c>
      <c r="C809" t="s">
        <v>27</v>
      </c>
      <c r="D809" s="68"/>
      <c r="E809" s="68">
        <v>39</v>
      </c>
      <c r="F809" s="68"/>
      <c r="G809" s="68">
        <v>39</v>
      </c>
      <c r="H8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0" spans="1:8" hidden="1" x14ac:dyDescent="0.3">
      <c r="A810" t="s">
        <v>688</v>
      </c>
      <c r="B810" t="s">
        <v>699</v>
      </c>
      <c r="C810" t="s">
        <v>588</v>
      </c>
      <c r="D810" s="68">
        <v>6</v>
      </c>
      <c r="E810" s="68"/>
      <c r="F810" s="68">
        <v>2</v>
      </c>
      <c r="G810" s="68">
        <v>8</v>
      </c>
      <c r="H8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1" spans="1:8" hidden="1" x14ac:dyDescent="0.3">
      <c r="A811" t="s">
        <v>688</v>
      </c>
      <c r="B811" t="s">
        <v>699</v>
      </c>
      <c r="C811" t="s">
        <v>36</v>
      </c>
      <c r="D811" s="68">
        <v>1</v>
      </c>
      <c r="E811" s="68"/>
      <c r="F811" s="68"/>
      <c r="G811" s="68">
        <v>1</v>
      </c>
      <c r="H8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2" spans="1:8" hidden="1" x14ac:dyDescent="0.3">
      <c r="A812" t="s">
        <v>688</v>
      </c>
      <c r="B812" t="s">
        <v>700</v>
      </c>
      <c r="C812" t="s">
        <v>26</v>
      </c>
      <c r="D812" s="68">
        <v>3390</v>
      </c>
      <c r="E812" s="68"/>
      <c r="F812" s="68">
        <v>9562</v>
      </c>
      <c r="G812" s="68">
        <v>12952</v>
      </c>
      <c r="H8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13" spans="1:8" hidden="1" x14ac:dyDescent="0.3">
      <c r="A813" t="s">
        <v>688</v>
      </c>
      <c r="B813" t="s">
        <v>700</v>
      </c>
      <c r="C813" t="s">
        <v>30</v>
      </c>
      <c r="D813" s="68">
        <v>38</v>
      </c>
      <c r="E813" s="68"/>
      <c r="F813" s="68">
        <v>1541</v>
      </c>
      <c r="G813" s="68">
        <v>1579</v>
      </c>
      <c r="H8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4" spans="1:8" hidden="1" x14ac:dyDescent="0.3">
      <c r="A814" t="s">
        <v>688</v>
      </c>
      <c r="B814" t="s">
        <v>700</v>
      </c>
      <c r="C814" t="s">
        <v>588</v>
      </c>
      <c r="D814" s="68">
        <v>75</v>
      </c>
      <c r="E814" s="68"/>
      <c r="F814" s="68">
        <v>813</v>
      </c>
      <c r="G814" s="68">
        <v>888</v>
      </c>
      <c r="H8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5" spans="1:8" hidden="1" x14ac:dyDescent="0.3">
      <c r="A815" t="s">
        <v>688</v>
      </c>
      <c r="B815" t="s">
        <v>700</v>
      </c>
      <c r="C815" t="s">
        <v>31</v>
      </c>
      <c r="D815" s="68">
        <v>22</v>
      </c>
      <c r="E815" s="68"/>
      <c r="F815" s="68">
        <v>277</v>
      </c>
      <c r="G815" s="68">
        <v>299</v>
      </c>
      <c r="H8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16" spans="1:8" hidden="1" x14ac:dyDescent="0.3">
      <c r="A816" t="s">
        <v>688</v>
      </c>
      <c r="B816" t="s">
        <v>700</v>
      </c>
      <c r="C816" t="s">
        <v>27</v>
      </c>
      <c r="D816" s="68"/>
      <c r="E816" s="68">
        <v>159</v>
      </c>
      <c r="F816" s="68"/>
      <c r="G816" s="68">
        <v>159</v>
      </c>
      <c r="H8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7" spans="1:8" hidden="1" x14ac:dyDescent="0.3">
      <c r="A817" t="s">
        <v>688</v>
      </c>
      <c r="B817" t="s">
        <v>700</v>
      </c>
      <c r="C817" t="s">
        <v>5</v>
      </c>
      <c r="D817" s="68">
        <v>4</v>
      </c>
      <c r="E817" s="68"/>
      <c r="F817" s="68"/>
      <c r="G817" s="68">
        <v>4</v>
      </c>
      <c r="H8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18" spans="1:8" hidden="1" x14ac:dyDescent="0.3">
      <c r="A818" t="s">
        <v>688</v>
      </c>
      <c r="B818" t="s">
        <v>701</v>
      </c>
      <c r="C818" t="s">
        <v>31</v>
      </c>
      <c r="D818" s="68">
        <v>1187</v>
      </c>
      <c r="E818" s="68"/>
      <c r="F818" s="68">
        <v>13703</v>
      </c>
      <c r="G818" s="68">
        <v>14890</v>
      </c>
      <c r="H8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19" spans="1:8" hidden="1" x14ac:dyDescent="0.3">
      <c r="A819" t="s">
        <v>688</v>
      </c>
      <c r="B819" t="s">
        <v>701</v>
      </c>
      <c r="C819" t="s">
        <v>26</v>
      </c>
      <c r="D819" s="68">
        <v>1284</v>
      </c>
      <c r="E819" s="68"/>
      <c r="F819" s="68">
        <v>5123</v>
      </c>
      <c r="G819" s="68">
        <v>6407</v>
      </c>
      <c r="H8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20" spans="1:8" hidden="1" x14ac:dyDescent="0.3">
      <c r="A820" t="s">
        <v>688</v>
      </c>
      <c r="B820" t="s">
        <v>701</v>
      </c>
      <c r="C820" t="s">
        <v>30</v>
      </c>
      <c r="D820" s="68">
        <v>18</v>
      </c>
      <c r="E820" s="68"/>
      <c r="F820" s="68">
        <v>206</v>
      </c>
      <c r="G820" s="68">
        <v>224</v>
      </c>
      <c r="H8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21" spans="1:8" hidden="1" x14ac:dyDescent="0.3">
      <c r="A821" t="s">
        <v>688</v>
      </c>
      <c r="B821" t="s">
        <v>701</v>
      </c>
      <c r="C821" t="s">
        <v>27</v>
      </c>
      <c r="D821" s="68"/>
      <c r="E821" s="68">
        <v>189</v>
      </c>
      <c r="F821" s="68"/>
      <c r="G821" s="68">
        <v>189</v>
      </c>
      <c r="H8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22" spans="1:8" hidden="1" x14ac:dyDescent="0.3">
      <c r="A822" t="s">
        <v>688</v>
      </c>
      <c r="B822" t="s">
        <v>701</v>
      </c>
      <c r="C822" t="s">
        <v>32</v>
      </c>
      <c r="D822" s="68"/>
      <c r="E822" s="68"/>
      <c r="F822" s="68">
        <v>108</v>
      </c>
      <c r="G822" s="68">
        <v>108</v>
      </c>
      <c r="H8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23" spans="1:8" hidden="1" x14ac:dyDescent="0.3">
      <c r="A823" t="s">
        <v>688</v>
      </c>
      <c r="B823" t="s">
        <v>702</v>
      </c>
      <c r="C823" t="s">
        <v>30</v>
      </c>
      <c r="D823" s="68">
        <v>451</v>
      </c>
      <c r="E823" s="68"/>
      <c r="F823" s="68">
        <v>9998</v>
      </c>
      <c r="G823" s="68">
        <v>10449</v>
      </c>
      <c r="H8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24" spans="1:8" hidden="1" x14ac:dyDescent="0.3">
      <c r="A824" t="s">
        <v>688</v>
      </c>
      <c r="B824" t="s">
        <v>702</v>
      </c>
      <c r="C824" t="s">
        <v>26</v>
      </c>
      <c r="D824" s="68">
        <v>2393</v>
      </c>
      <c r="E824" s="68"/>
      <c r="F824" s="68">
        <v>5225</v>
      </c>
      <c r="G824" s="68">
        <v>7618</v>
      </c>
      <c r="H8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25" spans="1:8" hidden="1" x14ac:dyDescent="0.3">
      <c r="A825" t="s">
        <v>688</v>
      </c>
      <c r="B825" t="s">
        <v>702</v>
      </c>
      <c r="C825" t="s">
        <v>34</v>
      </c>
      <c r="D825" s="68">
        <v>5035</v>
      </c>
      <c r="E825" s="68"/>
      <c r="F825" s="68">
        <v>1811</v>
      </c>
      <c r="G825" s="68">
        <v>6846</v>
      </c>
      <c r="H8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26" spans="1:8" hidden="1" x14ac:dyDescent="0.3">
      <c r="A826" t="s">
        <v>688</v>
      </c>
      <c r="B826" t="s">
        <v>702</v>
      </c>
      <c r="C826" t="s">
        <v>5</v>
      </c>
      <c r="D826" s="68">
        <v>2619</v>
      </c>
      <c r="E826" s="68"/>
      <c r="F826" s="68">
        <v>591</v>
      </c>
      <c r="G826" s="68">
        <v>3210</v>
      </c>
      <c r="H8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27" spans="1:8" hidden="1" x14ac:dyDescent="0.3">
      <c r="A827" t="s">
        <v>688</v>
      </c>
      <c r="B827" t="s">
        <v>702</v>
      </c>
      <c r="C827" t="s">
        <v>36</v>
      </c>
      <c r="D827" s="68">
        <v>1114</v>
      </c>
      <c r="E827" s="68"/>
      <c r="F827" s="68">
        <v>717</v>
      </c>
      <c r="G827" s="68">
        <v>1831</v>
      </c>
      <c r="H8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28" spans="1:8" hidden="1" x14ac:dyDescent="0.3">
      <c r="A828" t="s">
        <v>688</v>
      </c>
      <c r="B828" t="s">
        <v>702</v>
      </c>
      <c r="C828" t="s">
        <v>588</v>
      </c>
      <c r="D828" s="68">
        <v>94</v>
      </c>
      <c r="E828" s="68"/>
      <c r="F828" s="68">
        <v>1069</v>
      </c>
      <c r="G828" s="68">
        <v>1163</v>
      </c>
      <c r="H8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29" spans="1:8" hidden="1" x14ac:dyDescent="0.3">
      <c r="A829" t="s">
        <v>688</v>
      </c>
      <c r="B829" t="s">
        <v>702</v>
      </c>
      <c r="C829" t="s">
        <v>37</v>
      </c>
      <c r="D829" s="68">
        <v>202</v>
      </c>
      <c r="E829" s="68"/>
      <c r="F829" s="68">
        <v>410</v>
      </c>
      <c r="G829" s="68">
        <v>612</v>
      </c>
      <c r="H8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30" spans="1:8" hidden="1" x14ac:dyDescent="0.3">
      <c r="A830" t="s">
        <v>688</v>
      </c>
      <c r="B830" t="s">
        <v>702</v>
      </c>
      <c r="C830" t="s">
        <v>35</v>
      </c>
      <c r="D830" s="68">
        <v>408</v>
      </c>
      <c r="E830" s="68"/>
      <c r="F830" s="68"/>
      <c r="G830" s="68">
        <v>408</v>
      </c>
      <c r="H8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31" spans="1:8" hidden="1" x14ac:dyDescent="0.3">
      <c r="A831" t="s">
        <v>688</v>
      </c>
      <c r="B831" t="s">
        <v>702</v>
      </c>
      <c r="C831" t="s">
        <v>27</v>
      </c>
      <c r="D831" s="68"/>
      <c r="E831" s="68">
        <v>325</v>
      </c>
      <c r="F831" s="68"/>
      <c r="G831" s="68">
        <v>325</v>
      </c>
      <c r="H8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32" spans="1:8" hidden="1" x14ac:dyDescent="0.3">
      <c r="A832" t="s">
        <v>688</v>
      </c>
      <c r="B832" t="s">
        <v>702</v>
      </c>
      <c r="C832" t="s">
        <v>32</v>
      </c>
      <c r="D832" s="68">
        <v>1</v>
      </c>
      <c r="E832" s="68"/>
      <c r="F832" s="68"/>
      <c r="G832" s="68">
        <v>1</v>
      </c>
      <c r="H8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33" spans="1:8" hidden="1" x14ac:dyDescent="0.3">
      <c r="A833" t="s">
        <v>688</v>
      </c>
      <c r="B833" t="s">
        <v>703</v>
      </c>
      <c r="C833" t="s">
        <v>588</v>
      </c>
      <c r="D833" s="68">
        <v>1860</v>
      </c>
      <c r="E833" s="68"/>
      <c r="F833" s="68">
        <v>15118</v>
      </c>
      <c r="G833" s="68">
        <v>16978</v>
      </c>
      <c r="H8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34" spans="1:8" hidden="1" x14ac:dyDescent="0.3">
      <c r="A834" t="s">
        <v>688</v>
      </c>
      <c r="B834" t="s">
        <v>703</v>
      </c>
      <c r="C834" t="s">
        <v>26</v>
      </c>
      <c r="D834" s="68">
        <v>927</v>
      </c>
      <c r="E834" s="68"/>
      <c r="F834" s="68">
        <v>6655</v>
      </c>
      <c r="G834" s="68">
        <v>7582</v>
      </c>
      <c r="H8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35" spans="1:8" hidden="1" x14ac:dyDescent="0.3">
      <c r="A835" t="s">
        <v>688</v>
      </c>
      <c r="B835" t="s">
        <v>703</v>
      </c>
      <c r="C835" t="s">
        <v>30</v>
      </c>
      <c r="D835" s="68">
        <v>16</v>
      </c>
      <c r="E835" s="68"/>
      <c r="F835" s="68">
        <v>641</v>
      </c>
      <c r="G835" s="68">
        <v>657</v>
      </c>
      <c r="H8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36" spans="1:8" hidden="1" x14ac:dyDescent="0.3">
      <c r="A836" t="s">
        <v>688</v>
      </c>
      <c r="B836" t="s">
        <v>703</v>
      </c>
      <c r="C836" t="s">
        <v>27</v>
      </c>
      <c r="D836" s="68"/>
      <c r="E836" s="68">
        <v>423</v>
      </c>
      <c r="F836" s="68"/>
      <c r="G836" s="68">
        <v>423</v>
      </c>
      <c r="H8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37" spans="1:8" hidden="1" x14ac:dyDescent="0.3">
      <c r="A837" t="s">
        <v>688</v>
      </c>
      <c r="B837" t="s">
        <v>703</v>
      </c>
      <c r="C837" t="s">
        <v>36</v>
      </c>
      <c r="D837" s="68">
        <v>1</v>
      </c>
      <c r="E837" s="68"/>
      <c r="F837" s="68"/>
      <c r="G837" s="68">
        <v>1</v>
      </c>
      <c r="H8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38" spans="1:8" hidden="1" x14ac:dyDescent="0.3">
      <c r="A838" t="s">
        <v>688</v>
      </c>
      <c r="B838" t="s">
        <v>703</v>
      </c>
      <c r="C838" t="s">
        <v>34</v>
      </c>
      <c r="D838" s="68">
        <v>1</v>
      </c>
      <c r="E838" s="68"/>
      <c r="F838" s="68"/>
      <c r="G838" s="68">
        <v>1</v>
      </c>
      <c r="H8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39" spans="1:8" hidden="1" x14ac:dyDescent="0.3">
      <c r="A839" t="s">
        <v>688</v>
      </c>
      <c r="B839" t="s">
        <v>704</v>
      </c>
      <c r="C839" t="s">
        <v>588</v>
      </c>
      <c r="D839" s="68">
        <v>1988</v>
      </c>
      <c r="E839" s="68"/>
      <c r="F839" s="68">
        <v>13780</v>
      </c>
      <c r="G839" s="68">
        <v>15768</v>
      </c>
      <c r="H8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40" spans="1:8" hidden="1" x14ac:dyDescent="0.3">
      <c r="A840" t="s">
        <v>688</v>
      </c>
      <c r="B840" t="s">
        <v>704</v>
      </c>
      <c r="C840" t="s">
        <v>26</v>
      </c>
      <c r="D840" s="68">
        <v>1832</v>
      </c>
      <c r="E840" s="68"/>
      <c r="F840" s="68">
        <v>5387</v>
      </c>
      <c r="G840" s="68">
        <v>7219</v>
      </c>
      <c r="H8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41" spans="1:8" hidden="1" x14ac:dyDescent="0.3">
      <c r="A841" t="s">
        <v>688</v>
      </c>
      <c r="B841" t="s">
        <v>704</v>
      </c>
      <c r="C841" t="s">
        <v>34</v>
      </c>
      <c r="D841" s="68">
        <v>1618</v>
      </c>
      <c r="E841" s="68"/>
      <c r="F841" s="68">
        <v>726</v>
      </c>
      <c r="G841" s="68">
        <v>2344</v>
      </c>
      <c r="H8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42" spans="1:8" hidden="1" x14ac:dyDescent="0.3">
      <c r="A842" t="s">
        <v>688</v>
      </c>
      <c r="B842" t="s">
        <v>704</v>
      </c>
      <c r="C842" t="s">
        <v>31</v>
      </c>
      <c r="D842" s="68">
        <v>30</v>
      </c>
      <c r="E842" s="68"/>
      <c r="F842" s="68">
        <v>530</v>
      </c>
      <c r="G842" s="68">
        <v>560</v>
      </c>
      <c r="H8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43" spans="1:8" hidden="1" x14ac:dyDescent="0.3">
      <c r="A843" t="s">
        <v>688</v>
      </c>
      <c r="B843" t="s">
        <v>704</v>
      </c>
      <c r="C843" t="s">
        <v>36</v>
      </c>
      <c r="D843" s="68">
        <v>333</v>
      </c>
      <c r="E843" s="68"/>
      <c r="F843" s="68">
        <v>98</v>
      </c>
      <c r="G843" s="68">
        <v>431</v>
      </c>
      <c r="H8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44" spans="1:8" hidden="1" x14ac:dyDescent="0.3">
      <c r="A844" t="s">
        <v>688</v>
      </c>
      <c r="B844" t="s">
        <v>704</v>
      </c>
      <c r="C844" t="s">
        <v>30</v>
      </c>
      <c r="D844" s="68">
        <v>42</v>
      </c>
      <c r="E844" s="68"/>
      <c r="F844" s="68">
        <v>326</v>
      </c>
      <c r="G844" s="68">
        <v>368</v>
      </c>
      <c r="H8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45" spans="1:8" hidden="1" x14ac:dyDescent="0.3">
      <c r="A845" t="s">
        <v>688</v>
      </c>
      <c r="B845" t="s">
        <v>704</v>
      </c>
      <c r="C845" t="s">
        <v>27</v>
      </c>
      <c r="D845" s="68"/>
      <c r="E845" s="68">
        <v>205</v>
      </c>
      <c r="F845" s="68"/>
      <c r="G845" s="68">
        <v>205</v>
      </c>
      <c r="H8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46" spans="1:8" hidden="1" x14ac:dyDescent="0.3">
      <c r="A846" t="s">
        <v>688</v>
      </c>
      <c r="B846" t="s">
        <v>704</v>
      </c>
      <c r="C846" t="s">
        <v>32</v>
      </c>
      <c r="D846" s="68">
        <v>1</v>
      </c>
      <c r="E846" s="68"/>
      <c r="F846" s="68"/>
      <c r="G846" s="68">
        <v>1</v>
      </c>
      <c r="H8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47" spans="1:8" hidden="1" x14ac:dyDescent="0.3">
      <c r="A847" t="s">
        <v>688</v>
      </c>
      <c r="B847" t="s">
        <v>638</v>
      </c>
      <c r="C847" t="s">
        <v>26</v>
      </c>
      <c r="D847" s="68">
        <v>13609</v>
      </c>
      <c r="E847" s="68"/>
      <c r="F847" s="68">
        <v>19637</v>
      </c>
      <c r="G847" s="68">
        <v>33246</v>
      </c>
      <c r="H8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48" spans="1:8" hidden="1" x14ac:dyDescent="0.3">
      <c r="A848" t="s">
        <v>688</v>
      </c>
      <c r="B848" t="s">
        <v>638</v>
      </c>
      <c r="C848" t="s">
        <v>31</v>
      </c>
      <c r="D848" s="68">
        <v>1971</v>
      </c>
      <c r="E848" s="68"/>
      <c r="F848" s="68">
        <v>20115</v>
      </c>
      <c r="G848" s="68">
        <v>22086</v>
      </c>
      <c r="H8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49" spans="1:8" hidden="1" x14ac:dyDescent="0.3">
      <c r="A849" t="s">
        <v>688</v>
      </c>
      <c r="B849" t="s">
        <v>638</v>
      </c>
      <c r="C849" t="s">
        <v>36</v>
      </c>
      <c r="D849" s="68">
        <v>11664</v>
      </c>
      <c r="E849" s="68"/>
      <c r="F849" s="68">
        <v>7976</v>
      </c>
      <c r="G849" s="68">
        <v>19640</v>
      </c>
      <c r="H8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50" spans="1:8" hidden="1" x14ac:dyDescent="0.3">
      <c r="A850" t="s">
        <v>688</v>
      </c>
      <c r="B850" t="s">
        <v>638</v>
      </c>
      <c r="C850" t="s">
        <v>588</v>
      </c>
      <c r="D850" s="68">
        <v>2102</v>
      </c>
      <c r="E850" s="68"/>
      <c r="F850" s="68">
        <v>15511</v>
      </c>
      <c r="G850" s="68">
        <v>17613</v>
      </c>
      <c r="H8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51" spans="1:8" hidden="1" x14ac:dyDescent="0.3">
      <c r="A851" t="s">
        <v>688</v>
      </c>
      <c r="B851" t="s">
        <v>638</v>
      </c>
      <c r="C851" t="s">
        <v>30</v>
      </c>
      <c r="D851" s="68">
        <v>170</v>
      </c>
      <c r="E851" s="68"/>
      <c r="F851" s="68">
        <v>6059</v>
      </c>
      <c r="G851" s="68">
        <v>6229</v>
      </c>
      <c r="H8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52" spans="1:8" hidden="1" x14ac:dyDescent="0.3">
      <c r="A852" t="s">
        <v>688</v>
      </c>
      <c r="B852" t="s">
        <v>638</v>
      </c>
      <c r="C852" t="s">
        <v>34</v>
      </c>
      <c r="D852" s="68">
        <v>2063</v>
      </c>
      <c r="E852" s="68"/>
      <c r="F852" s="68">
        <v>1747</v>
      </c>
      <c r="G852" s="68">
        <v>3810</v>
      </c>
      <c r="H8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53" spans="1:8" hidden="1" x14ac:dyDescent="0.3">
      <c r="A853" t="s">
        <v>688</v>
      </c>
      <c r="B853" t="s">
        <v>638</v>
      </c>
      <c r="C853" t="s">
        <v>27</v>
      </c>
      <c r="D853" s="68"/>
      <c r="E853" s="68">
        <v>2558</v>
      </c>
      <c r="F853" s="68"/>
      <c r="G853" s="68">
        <v>2558</v>
      </c>
      <c r="H8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54" spans="1:8" hidden="1" x14ac:dyDescent="0.3">
      <c r="A854" t="s">
        <v>688</v>
      </c>
      <c r="B854" t="s">
        <v>638</v>
      </c>
      <c r="C854" t="s">
        <v>37</v>
      </c>
      <c r="D854" s="68">
        <v>417</v>
      </c>
      <c r="E854" s="68"/>
      <c r="F854" s="68">
        <v>1033</v>
      </c>
      <c r="G854" s="68">
        <v>1450</v>
      </c>
      <c r="H8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55" spans="1:8" hidden="1" x14ac:dyDescent="0.3">
      <c r="A855" t="s">
        <v>688</v>
      </c>
      <c r="B855" t="s">
        <v>638</v>
      </c>
      <c r="C855" t="s">
        <v>5</v>
      </c>
      <c r="D855" s="68">
        <v>1</v>
      </c>
      <c r="E855" s="68"/>
      <c r="F855" s="68"/>
      <c r="G855" s="68">
        <v>1</v>
      </c>
      <c r="H8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56" spans="1:8" hidden="1" x14ac:dyDescent="0.3">
      <c r="A856" t="s">
        <v>688</v>
      </c>
      <c r="B856" t="s">
        <v>705</v>
      </c>
      <c r="C856" t="s">
        <v>31</v>
      </c>
      <c r="D856" s="68">
        <v>568</v>
      </c>
      <c r="E856" s="68"/>
      <c r="F856" s="68">
        <v>9075</v>
      </c>
      <c r="G856" s="68">
        <v>9643</v>
      </c>
      <c r="H8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57" spans="1:8" hidden="1" x14ac:dyDescent="0.3">
      <c r="A857" t="s">
        <v>688</v>
      </c>
      <c r="B857" t="s">
        <v>705</v>
      </c>
      <c r="C857" t="s">
        <v>26</v>
      </c>
      <c r="D857" s="68">
        <v>400</v>
      </c>
      <c r="E857" s="68"/>
      <c r="F857" s="68">
        <v>2671</v>
      </c>
      <c r="G857" s="68">
        <v>3071</v>
      </c>
      <c r="H8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58" spans="1:8" hidden="1" x14ac:dyDescent="0.3">
      <c r="A858" t="s">
        <v>688</v>
      </c>
      <c r="B858" t="s">
        <v>705</v>
      </c>
      <c r="C858" t="s">
        <v>30</v>
      </c>
      <c r="D858" s="68">
        <v>6</v>
      </c>
      <c r="E858" s="68"/>
      <c r="F858" s="68">
        <v>243</v>
      </c>
      <c r="G858" s="68">
        <v>249</v>
      </c>
      <c r="H8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59" spans="1:8" hidden="1" x14ac:dyDescent="0.3">
      <c r="A859" t="s">
        <v>688</v>
      </c>
      <c r="B859" t="s">
        <v>705</v>
      </c>
      <c r="C859" t="s">
        <v>27</v>
      </c>
      <c r="D859" s="68"/>
      <c r="E859" s="68">
        <v>95</v>
      </c>
      <c r="F859" s="68"/>
      <c r="G859" s="68">
        <v>95</v>
      </c>
      <c r="H8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60" spans="1:8" hidden="1" x14ac:dyDescent="0.3">
      <c r="A860" t="s">
        <v>688</v>
      </c>
      <c r="B860" t="s">
        <v>706</v>
      </c>
      <c r="C860" t="s">
        <v>31</v>
      </c>
      <c r="D860" s="68">
        <v>1241</v>
      </c>
      <c r="E860" s="68"/>
      <c r="F860" s="68">
        <v>11028</v>
      </c>
      <c r="G860" s="68">
        <v>12269</v>
      </c>
      <c r="H8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61" spans="1:8" hidden="1" x14ac:dyDescent="0.3">
      <c r="A861" t="s">
        <v>688</v>
      </c>
      <c r="B861" t="s">
        <v>706</v>
      </c>
      <c r="C861" t="s">
        <v>26</v>
      </c>
      <c r="D861" s="68">
        <v>3722</v>
      </c>
      <c r="E861" s="68"/>
      <c r="F861" s="68">
        <v>4875</v>
      </c>
      <c r="G861" s="68">
        <v>8597</v>
      </c>
      <c r="H8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62" spans="1:8" hidden="1" x14ac:dyDescent="0.3">
      <c r="A862" t="s">
        <v>688</v>
      </c>
      <c r="B862" t="s">
        <v>706</v>
      </c>
      <c r="C862" t="s">
        <v>34</v>
      </c>
      <c r="D862" s="68">
        <v>4044</v>
      </c>
      <c r="E862" s="68"/>
      <c r="F862" s="68">
        <v>1191</v>
      </c>
      <c r="G862" s="68">
        <v>5235</v>
      </c>
      <c r="H8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63" spans="1:8" hidden="1" x14ac:dyDescent="0.3">
      <c r="A863" t="s">
        <v>688</v>
      </c>
      <c r="B863" t="s">
        <v>706</v>
      </c>
      <c r="C863" t="s">
        <v>30</v>
      </c>
      <c r="D863" s="68">
        <v>94</v>
      </c>
      <c r="E863" s="68"/>
      <c r="F863" s="68">
        <v>1414</v>
      </c>
      <c r="G863" s="68">
        <v>1508</v>
      </c>
      <c r="H8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64" spans="1:8" hidden="1" x14ac:dyDescent="0.3">
      <c r="A864" t="s">
        <v>688</v>
      </c>
      <c r="B864" t="s">
        <v>706</v>
      </c>
      <c r="C864" t="s">
        <v>588</v>
      </c>
      <c r="D864" s="68">
        <v>181</v>
      </c>
      <c r="E864" s="68"/>
      <c r="F864" s="68">
        <v>885</v>
      </c>
      <c r="G864" s="68">
        <v>1066</v>
      </c>
      <c r="H8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65" spans="1:8" hidden="1" x14ac:dyDescent="0.3">
      <c r="A865" t="s">
        <v>688</v>
      </c>
      <c r="B865" t="s">
        <v>706</v>
      </c>
      <c r="C865" t="s">
        <v>27</v>
      </c>
      <c r="D865" s="68"/>
      <c r="E865" s="68">
        <v>900</v>
      </c>
      <c r="F865" s="68"/>
      <c r="G865" s="68">
        <v>900</v>
      </c>
      <c r="H8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66" spans="1:8" hidden="1" x14ac:dyDescent="0.3">
      <c r="A866" t="s">
        <v>688</v>
      </c>
      <c r="B866" t="s">
        <v>706</v>
      </c>
      <c r="C866" t="s">
        <v>32</v>
      </c>
      <c r="D866" s="68">
        <v>3</v>
      </c>
      <c r="E866" s="68"/>
      <c r="F866" s="68">
        <v>184</v>
      </c>
      <c r="G866" s="68">
        <v>187</v>
      </c>
      <c r="H8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67" spans="1:8" hidden="1" x14ac:dyDescent="0.3">
      <c r="A867" t="s">
        <v>688</v>
      </c>
      <c r="B867" t="s">
        <v>706</v>
      </c>
      <c r="C867" t="s">
        <v>36</v>
      </c>
      <c r="D867" s="68">
        <v>3</v>
      </c>
      <c r="E867" s="68"/>
      <c r="F867" s="68"/>
      <c r="G867" s="68">
        <v>3</v>
      </c>
      <c r="H8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68" spans="1:8" hidden="1" x14ac:dyDescent="0.3">
      <c r="A868" t="s">
        <v>688</v>
      </c>
      <c r="B868" t="s">
        <v>706</v>
      </c>
      <c r="C868" t="s">
        <v>5</v>
      </c>
      <c r="D868" s="68">
        <v>1</v>
      </c>
      <c r="E868" s="68"/>
      <c r="F868" s="68"/>
      <c r="G868" s="68">
        <v>1</v>
      </c>
      <c r="H8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69" spans="1:8" hidden="1" x14ac:dyDescent="0.3">
      <c r="A869" t="s">
        <v>688</v>
      </c>
      <c r="B869" t="s">
        <v>707</v>
      </c>
      <c r="C869" t="s">
        <v>36</v>
      </c>
      <c r="D869" s="68">
        <v>128300</v>
      </c>
      <c r="E869" s="68"/>
      <c r="F869" s="68">
        <v>40011</v>
      </c>
      <c r="G869" s="68">
        <v>168311</v>
      </c>
      <c r="H8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70" spans="1:8" hidden="1" x14ac:dyDescent="0.3">
      <c r="A870" t="s">
        <v>688</v>
      </c>
      <c r="B870" t="s">
        <v>707</v>
      </c>
      <c r="C870" t="s">
        <v>588</v>
      </c>
      <c r="D870" s="68">
        <v>13241</v>
      </c>
      <c r="E870" s="68"/>
      <c r="F870" s="68">
        <v>100151</v>
      </c>
      <c r="G870" s="68">
        <v>113392</v>
      </c>
      <c r="H8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71" spans="1:8" hidden="1" x14ac:dyDescent="0.3">
      <c r="A871" t="s">
        <v>688</v>
      </c>
      <c r="B871" t="s">
        <v>707</v>
      </c>
      <c r="C871" t="s">
        <v>30</v>
      </c>
      <c r="D871" s="68">
        <v>2985</v>
      </c>
      <c r="E871" s="68"/>
      <c r="F871" s="68">
        <v>80344</v>
      </c>
      <c r="G871" s="68">
        <v>83329</v>
      </c>
      <c r="H8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72" spans="1:8" hidden="1" x14ac:dyDescent="0.3">
      <c r="A872" t="s">
        <v>688</v>
      </c>
      <c r="B872" t="s">
        <v>707</v>
      </c>
      <c r="C872" t="s">
        <v>34</v>
      </c>
      <c r="D872" s="68">
        <v>67198</v>
      </c>
      <c r="E872" s="68"/>
      <c r="F872" s="68">
        <v>15607</v>
      </c>
      <c r="G872" s="68">
        <v>82805</v>
      </c>
      <c r="H8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73" spans="1:8" hidden="1" x14ac:dyDescent="0.3">
      <c r="A873" t="s">
        <v>688</v>
      </c>
      <c r="B873" t="s">
        <v>707</v>
      </c>
      <c r="C873" t="s">
        <v>26</v>
      </c>
      <c r="D873" s="68">
        <v>26301</v>
      </c>
      <c r="E873" s="68"/>
      <c r="F873" s="68">
        <v>35967</v>
      </c>
      <c r="G873" s="68">
        <v>62268</v>
      </c>
      <c r="H8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74" spans="1:8" hidden="1" x14ac:dyDescent="0.3">
      <c r="A874" t="s">
        <v>688</v>
      </c>
      <c r="B874" t="s">
        <v>707</v>
      </c>
      <c r="C874" t="s">
        <v>31</v>
      </c>
      <c r="D874" s="68">
        <v>3133</v>
      </c>
      <c r="E874" s="68"/>
      <c r="F874" s="68">
        <v>47366</v>
      </c>
      <c r="G874" s="68">
        <v>50499</v>
      </c>
      <c r="H8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75" spans="1:8" hidden="1" x14ac:dyDescent="0.3">
      <c r="A875" t="s">
        <v>688</v>
      </c>
      <c r="B875" t="s">
        <v>707</v>
      </c>
      <c r="C875" t="s">
        <v>5</v>
      </c>
      <c r="D875" s="68">
        <v>37293</v>
      </c>
      <c r="E875" s="68"/>
      <c r="F875" s="68">
        <v>4352</v>
      </c>
      <c r="G875" s="68">
        <v>41645</v>
      </c>
      <c r="H8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76" spans="1:8" hidden="1" x14ac:dyDescent="0.3">
      <c r="A876" t="s">
        <v>688</v>
      </c>
      <c r="B876" t="s">
        <v>707</v>
      </c>
      <c r="C876" t="s">
        <v>27</v>
      </c>
      <c r="D876" s="68"/>
      <c r="E876" s="68">
        <v>4411</v>
      </c>
      <c r="F876" s="68"/>
      <c r="G876" s="68">
        <v>4411</v>
      </c>
      <c r="H8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77" spans="1:8" hidden="1" x14ac:dyDescent="0.3">
      <c r="A877" t="s">
        <v>688</v>
      </c>
      <c r="B877" t="s">
        <v>707</v>
      </c>
      <c r="C877" t="s">
        <v>32</v>
      </c>
      <c r="D877" s="68">
        <v>90</v>
      </c>
      <c r="E877" s="68"/>
      <c r="F877" s="68">
        <v>3750</v>
      </c>
      <c r="G877" s="68">
        <v>3840</v>
      </c>
      <c r="H8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78" spans="1:8" hidden="1" x14ac:dyDescent="0.3">
      <c r="A878" t="s">
        <v>688</v>
      </c>
      <c r="B878" t="s">
        <v>707</v>
      </c>
      <c r="C878" t="s">
        <v>37</v>
      </c>
      <c r="D878" s="68">
        <v>646</v>
      </c>
      <c r="E878" s="68"/>
      <c r="F878" s="68">
        <v>1888</v>
      </c>
      <c r="G878" s="68">
        <v>2534</v>
      </c>
      <c r="H8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79" spans="1:8" hidden="1" x14ac:dyDescent="0.3">
      <c r="A879" t="s">
        <v>688</v>
      </c>
      <c r="B879" t="s">
        <v>708</v>
      </c>
      <c r="C879" t="s">
        <v>26</v>
      </c>
      <c r="D879" s="68">
        <v>588</v>
      </c>
      <c r="E879" s="68"/>
      <c r="F879" s="68">
        <v>5598</v>
      </c>
      <c r="G879" s="68">
        <v>6186</v>
      </c>
      <c r="H8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80" spans="1:8" hidden="1" x14ac:dyDescent="0.3">
      <c r="A880" t="s">
        <v>688</v>
      </c>
      <c r="B880" t="s">
        <v>708</v>
      </c>
      <c r="C880" t="s">
        <v>588</v>
      </c>
      <c r="D880" s="68">
        <v>537</v>
      </c>
      <c r="E880" s="68"/>
      <c r="F880" s="68">
        <v>4024</v>
      </c>
      <c r="G880" s="68">
        <v>4561</v>
      </c>
      <c r="H8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81" spans="1:8" hidden="1" x14ac:dyDescent="0.3">
      <c r="A881" t="s">
        <v>688</v>
      </c>
      <c r="B881" t="s">
        <v>708</v>
      </c>
      <c r="C881" t="s">
        <v>27</v>
      </c>
      <c r="D881" s="68"/>
      <c r="E881" s="68">
        <v>92</v>
      </c>
      <c r="F881" s="68"/>
      <c r="G881" s="68">
        <v>92</v>
      </c>
      <c r="H8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82" spans="1:8" hidden="1" x14ac:dyDescent="0.3">
      <c r="A882" t="s">
        <v>688</v>
      </c>
      <c r="B882" t="s">
        <v>709</v>
      </c>
      <c r="C882" t="s">
        <v>30</v>
      </c>
      <c r="D882" s="68">
        <v>174</v>
      </c>
      <c r="E882" s="68"/>
      <c r="F882" s="68">
        <v>4133</v>
      </c>
      <c r="G882" s="68">
        <v>4307</v>
      </c>
      <c r="H8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83" spans="1:8" hidden="1" x14ac:dyDescent="0.3">
      <c r="A883" t="s">
        <v>688</v>
      </c>
      <c r="B883" t="s">
        <v>709</v>
      </c>
      <c r="C883" t="s">
        <v>26</v>
      </c>
      <c r="D883" s="68">
        <v>775</v>
      </c>
      <c r="E883" s="68"/>
      <c r="F883" s="68">
        <v>2823</v>
      </c>
      <c r="G883" s="68">
        <v>3598</v>
      </c>
      <c r="H8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84" spans="1:8" hidden="1" x14ac:dyDescent="0.3">
      <c r="A884" t="s">
        <v>688</v>
      </c>
      <c r="B884" t="s">
        <v>709</v>
      </c>
      <c r="C884" t="s">
        <v>34</v>
      </c>
      <c r="D884" s="68">
        <v>1506</v>
      </c>
      <c r="E884" s="68"/>
      <c r="F884" s="68">
        <v>545</v>
      </c>
      <c r="G884" s="68">
        <v>2051</v>
      </c>
      <c r="H8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85" spans="1:8" hidden="1" x14ac:dyDescent="0.3">
      <c r="A885" t="s">
        <v>688</v>
      </c>
      <c r="B885" t="s">
        <v>709</v>
      </c>
      <c r="C885" t="s">
        <v>27</v>
      </c>
      <c r="D885" s="68"/>
      <c r="E885" s="68">
        <v>65</v>
      </c>
      <c r="F885" s="68"/>
      <c r="G885" s="68">
        <v>65</v>
      </c>
      <c r="H8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86" spans="1:8" hidden="1" x14ac:dyDescent="0.3">
      <c r="A886" t="s">
        <v>688</v>
      </c>
      <c r="B886" t="s">
        <v>709</v>
      </c>
      <c r="C886" t="s">
        <v>32</v>
      </c>
      <c r="D886" s="68">
        <v>1</v>
      </c>
      <c r="E886" s="68"/>
      <c r="F886" s="68"/>
      <c r="G886" s="68">
        <v>1</v>
      </c>
      <c r="H8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87" spans="1:8" hidden="1" x14ac:dyDescent="0.3">
      <c r="A887" t="s">
        <v>688</v>
      </c>
      <c r="B887" t="s">
        <v>710</v>
      </c>
      <c r="C887" t="s">
        <v>26</v>
      </c>
      <c r="D887" s="68">
        <v>1367</v>
      </c>
      <c r="E887" s="68"/>
      <c r="F887" s="68">
        <v>6538</v>
      </c>
      <c r="G887" s="68">
        <v>7905</v>
      </c>
      <c r="H8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88" spans="1:8" hidden="1" x14ac:dyDescent="0.3">
      <c r="A888" t="s">
        <v>688</v>
      </c>
      <c r="B888" t="s">
        <v>710</v>
      </c>
      <c r="C888" t="s">
        <v>27</v>
      </c>
      <c r="D888" s="68"/>
      <c r="E888" s="68">
        <v>59</v>
      </c>
      <c r="F888" s="68"/>
      <c r="G888" s="68">
        <v>59</v>
      </c>
      <c r="H8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89" spans="1:8" hidden="1" x14ac:dyDescent="0.3">
      <c r="A889" t="s">
        <v>688</v>
      </c>
      <c r="B889" t="s">
        <v>710</v>
      </c>
      <c r="C889" t="s">
        <v>30</v>
      </c>
      <c r="D889" s="68"/>
      <c r="E889" s="68"/>
      <c r="F889" s="68">
        <v>2</v>
      </c>
      <c r="G889" s="68">
        <v>2</v>
      </c>
      <c r="H8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90" spans="1:8" hidden="1" x14ac:dyDescent="0.3">
      <c r="A890" t="s">
        <v>711</v>
      </c>
      <c r="B890" t="s">
        <v>711</v>
      </c>
      <c r="C890" t="s">
        <v>5</v>
      </c>
      <c r="D890" s="68">
        <v>1617010</v>
      </c>
      <c r="E890" s="68"/>
      <c r="F890" s="68">
        <v>137504</v>
      </c>
      <c r="G890" s="68">
        <v>1754514</v>
      </c>
      <c r="H8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91" spans="1:8" hidden="1" x14ac:dyDescent="0.3">
      <c r="A891" t="s">
        <v>711</v>
      </c>
      <c r="B891" t="s">
        <v>711</v>
      </c>
      <c r="C891" t="s">
        <v>712</v>
      </c>
      <c r="D891" s="68">
        <v>1323010</v>
      </c>
      <c r="E891" s="68"/>
      <c r="F891" s="68">
        <v>186486</v>
      </c>
      <c r="G891" s="68">
        <v>1509496</v>
      </c>
      <c r="H8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92" spans="1:8" hidden="1" x14ac:dyDescent="0.3">
      <c r="A892" t="s">
        <v>711</v>
      </c>
      <c r="B892" t="s">
        <v>711</v>
      </c>
      <c r="C892" t="s">
        <v>37</v>
      </c>
      <c r="D892" s="68">
        <v>978304</v>
      </c>
      <c r="E892" s="68"/>
      <c r="F892" s="68">
        <v>214087</v>
      </c>
      <c r="G892" s="68">
        <v>1192391</v>
      </c>
      <c r="H8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93" spans="1:8" hidden="1" x14ac:dyDescent="0.3">
      <c r="A893" t="s">
        <v>711</v>
      </c>
      <c r="B893" t="s">
        <v>711</v>
      </c>
      <c r="C893" t="s">
        <v>36</v>
      </c>
      <c r="D893" s="68">
        <v>879523</v>
      </c>
      <c r="E893" s="68"/>
      <c r="F893" s="68">
        <v>187812</v>
      </c>
      <c r="G893" s="68">
        <v>1067335</v>
      </c>
      <c r="H8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94" spans="1:8" hidden="1" x14ac:dyDescent="0.3">
      <c r="A894" t="s">
        <v>711</v>
      </c>
      <c r="B894" t="s">
        <v>711</v>
      </c>
      <c r="C894" t="s">
        <v>587</v>
      </c>
      <c r="D894" s="68">
        <v>61595</v>
      </c>
      <c r="E894" s="68"/>
      <c r="F894" s="68">
        <v>820341</v>
      </c>
      <c r="G894" s="68">
        <v>881936</v>
      </c>
      <c r="H8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95" spans="1:8" hidden="1" x14ac:dyDescent="0.3">
      <c r="A895" t="s">
        <v>711</v>
      </c>
      <c r="B895" t="s">
        <v>711</v>
      </c>
      <c r="C895" t="s">
        <v>26</v>
      </c>
      <c r="D895" s="68">
        <v>474869</v>
      </c>
      <c r="E895" s="68"/>
      <c r="F895" s="68">
        <v>105048</v>
      </c>
      <c r="G895" s="68">
        <v>579917</v>
      </c>
      <c r="H8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96" spans="1:8" hidden="1" x14ac:dyDescent="0.3">
      <c r="A896" t="s">
        <v>711</v>
      </c>
      <c r="B896" t="s">
        <v>711</v>
      </c>
      <c r="C896" t="s">
        <v>34</v>
      </c>
      <c r="D896" s="68">
        <v>432047</v>
      </c>
      <c r="E896" s="68"/>
      <c r="F896" s="68">
        <v>60077</v>
      </c>
      <c r="G896" s="68">
        <v>492124</v>
      </c>
      <c r="H8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97" spans="1:8" hidden="1" x14ac:dyDescent="0.3">
      <c r="A897" t="s">
        <v>711</v>
      </c>
      <c r="B897" t="s">
        <v>711</v>
      </c>
      <c r="C897" t="s">
        <v>691</v>
      </c>
      <c r="D897" s="68">
        <v>250498</v>
      </c>
      <c r="E897" s="68"/>
      <c r="F897" s="68">
        <v>7463</v>
      </c>
      <c r="G897" s="68">
        <v>257961</v>
      </c>
      <c r="H8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98" spans="1:8" hidden="1" x14ac:dyDescent="0.3">
      <c r="A898" t="s">
        <v>711</v>
      </c>
      <c r="B898" t="s">
        <v>711</v>
      </c>
      <c r="C898" t="s">
        <v>27</v>
      </c>
      <c r="D898" s="68"/>
      <c r="E898" s="68">
        <v>143504</v>
      </c>
      <c r="F898" s="68"/>
      <c r="G898" s="68">
        <v>143504</v>
      </c>
      <c r="H8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99" spans="1:8" hidden="1" x14ac:dyDescent="0.3">
      <c r="A899" t="s">
        <v>711</v>
      </c>
      <c r="B899" t="s">
        <v>711</v>
      </c>
      <c r="C899" t="s">
        <v>31</v>
      </c>
      <c r="D899" s="68">
        <v>6978</v>
      </c>
      <c r="E899" s="68"/>
      <c r="F899" s="68">
        <v>25899</v>
      </c>
      <c r="G899" s="68">
        <v>32877</v>
      </c>
      <c r="H8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00" spans="1:8" hidden="1" x14ac:dyDescent="0.3">
      <c r="A900" t="s">
        <v>711</v>
      </c>
      <c r="B900" t="s">
        <v>711</v>
      </c>
      <c r="C900" t="s">
        <v>35</v>
      </c>
      <c r="D900" s="68">
        <v>2730</v>
      </c>
      <c r="E900" s="68"/>
      <c r="F900" s="68"/>
      <c r="G900" s="68">
        <v>2730</v>
      </c>
      <c r="H9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01" spans="1:8" hidden="1" x14ac:dyDescent="0.3">
      <c r="A901" t="s">
        <v>711</v>
      </c>
      <c r="B901" t="s">
        <v>711</v>
      </c>
      <c r="C901" t="s">
        <v>25</v>
      </c>
      <c r="D901" s="68">
        <v>29</v>
      </c>
      <c r="E901" s="68"/>
      <c r="F901" s="68">
        <v>67</v>
      </c>
      <c r="G901" s="68">
        <v>96</v>
      </c>
      <c r="H9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02" spans="1:8" hidden="1" x14ac:dyDescent="0.3">
      <c r="A902" t="s">
        <v>711</v>
      </c>
      <c r="B902" t="s">
        <v>711</v>
      </c>
      <c r="C902" t="s">
        <v>588</v>
      </c>
      <c r="D902" s="68">
        <v>7</v>
      </c>
      <c r="E902" s="68"/>
      <c r="F902" s="68">
        <v>3</v>
      </c>
      <c r="G902" s="68">
        <v>10</v>
      </c>
      <c r="H9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03" spans="1:8" hidden="1" x14ac:dyDescent="0.3">
      <c r="A903" t="s">
        <v>711</v>
      </c>
      <c r="B903" t="s">
        <v>711</v>
      </c>
      <c r="C903" t="s">
        <v>33</v>
      </c>
      <c r="D903" s="68">
        <v>3</v>
      </c>
      <c r="E903" s="68"/>
      <c r="F903" s="68"/>
      <c r="G903" s="68">
        <v>3</v>
      </c>
      <c r="H9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04" spans="1:8" hidden="1" x14ac:dyDescent="0.3">
      <c r="A904" t="s">
        <v>711</v>
      </c>
      <c r="B904" t="s">
        <v>711</v>
      </c>
      <c r="C904" t="s">
        <v>38</v>
      </c>
      <c r="D904" s="68">
        <v>2</v>
      </c>
      <c r="E904" s="68"/>
      <c r="F904" s="68"/>
      <c r="G904" s="68">
        <v>2</v>
      </c>
      <c r="H9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05" spans="1:8" hidden="1" x14ac:dyDescent="0.3">
      <c r="A905" t="s">
        <v>711</v>
      </c>
      <c r="B905" t="s">
        <v>711</v>
      </c>
      <c r="C905" t="s">
        <v>30</v>
      </c>
      <c r="D905" s="68">
        <v>1</v>
      </c>
      <c r="E905" s="68"/>
      <c r="F905" s="68">
        <v>1</v>
      </c>
      <c r="G905" s="68">
        <v>2</v>
      </c>
      <c r="H9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06" spans="1:8" hidden="1" x14ac:dyDescent="0.3">
      <c r="A906" t="s">
        <v>711</v>
      </c>
      <c r="B906" t="s">
        <v>711</v>
      </c>
      <c r="C906" t="s">
        <v>32</v>
      </c>
      <c r="D906" s="68"/>
      <c r="E906" s="68"/>
      <c r="F906" s="68">
        <v>2</v>
      </c>
      <c r="G906" s="68">
        <v>2</v>
      </c>
      <c r="H9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07" spans="1:8" hidden="1" x14ac:dyDescent="0.3">
      <c r="A907" t="s">
        <v>711</v>
      </c>
      <c r="B907" t="s">
        <v>711</v>
      </c>
      <c r="C907" t="s">
        <v>538</v>
      </c>
      <c r="D907" s="68"/>
      <c r="E907" s="68"/>
      <c r="F907" s="68">
        <v>1</v>
      </c>
      <c r="G907" s="68">
        <v>1</v>
      </c>
      <c r="H9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08" spans="1:8" hidden="1" x14ac:dyDescent="0.3">
      <c r="A908" t="s">
        <v>39</v>
      </c>
      <c r="B908" t="s">
        <v>713</v>
      </c>
      <c r="C908" t="s">
        <v>31</v>
      </c>
      <c r="D908" s="68">
        <v>237</v>
      </c>
      <c r="E908" s="68"/>
      <c r="F908" s="68">
        <v>8377</v>
      </c>
      <c r="G908" s="68">
        <v>8614</v>
      </c>
      <c r="H9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09" spans="1:8" hidden="1" x14ac:dyDescent="0.3">
      <c r="A909" t="s">
        <v>39</v>
      </c>
      <c r="B909" t="s">
        <v>713</v>
      </c>
      <c r="C909" t="s">
        <v>588</v>
      </c>
      <c r="D909" s="68">
        <v>531</v>
      </c>
      <c r="E909" s="68"/>
      <c r="F909" s="68">
        <v>7175</v>
      </c>
      <c r="G909" s="68">
        <v>7706</v>
      </c>
      <c r="H9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0" spans="1:8" hidden="1" x14ac:dyDescent="0.3">
      <c r="A910" t="s">
        <v>39</v>
      </c>
      <c r="B910" t="s">
        <v>713</v>
      </c>
      <c r="C910" t="s">
        <v>26</v>
      </c>
      <c r="D910" s="68">
        <v>327</v>
      </c>
      <c r="E910" s="68"/>
      <c r="F910" s="68">
        <v>5293</v>
      </c>
      <c r="G910" s="68">
        <v>5620</v>
      </c>
      <c r="H9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11" spans="1:8" hidden="1" x14ac:dyDescent="0.3">
      <c r="A911" t="s">
        <v>39</v>
      </c>
      <c r="B911" t="s">
        <v>713</v>
      </c>
      <c r="C911" t="s">
        <v>27</v>
      </c>
      <c r="D911" s="68"/>
      <c r="E911" s="68">
        <v>519</v>
      </c>
      <c r="F911" s="68"/>
      <c r="G911" s="68">
        <v>519</v>
      </c>
      <c r="H9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2" spans="1:8" hidden="1" x14ac:dyDescent="0.3">
      <c r="A912" t="s">
        <v>39</v>
      </c>
      <c r="B912" t="s">
        <v>714</v>
      </c>
      <c r="C912" t="s">
        <v>588</v>
      </c>
      <c r="D912" s="68">
        <v>647</v>
      </c>
      <c r="E912" s="68"/>
      <c r="F912" s="68">
        <v>9606</v>
      </c>
      <c r="G912" s="68">
        <v>10253</v>
      </c>
      <c r="H9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3" spans="1:8" hidden="1" x14ac:dyDescent="0.3">
      <c r="A913" t="s">
        <v>39</v>
      </c>
      <c r="B913" t="s">
        <v>714</v>
      </c>
      <c r="C913" t="s">
        <v>27</v>
      </c>
      <c r="D913" s="68"/>
      <c r="E913" s="68">
        <v>141</v>
      </c>
      <c r="F913" s="68"/>
      <c r="G913" s="68">
        <v>141</v>
      </c>
      <c r="H9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4" spans="1:8" hidden="1" x14ac:dyDescent="0.3">
      <c r="A914" t="s">
        <v>39</v>
      </c>
      <c r="B914" t="s">
        <v>714</v>
      </c>
      <c r="C914" t="s">
        <v>26</v>
      </c>
      <c r="D914" s="68">
        <v>71</v>
      </c>
      <c r="E914" s="68"/>
      <c r="F914" s="68">
        <v>35</v>
      </c>
      <c r="G914" s="68">
        <v>106</v>
      </c>
      <c r="H9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15" spans="1:8" hidden="1" x14ac:dyDescent="0.3">
      <c r="A915" t="s">
        <v>39</v>
      </c>
      <c r="B915" t="s">
        <v>715</v>
      </c>
      <c r="C915" t="s">
        <v>26</v>
      </c>
      <c r="D915" s="68">
        <v>558</v>
      </c>
      <c r="E915" s="68"/>
      <c r="F915" s="68">
        <v>7780</v>
      </c>
      <c r="G915" s="68">
        <v>8338</v>
      </c>
      <c r="H9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16" spans="1:8" hidden="1" x14ac:dyDescent="0.3">
      <c r="A916" t="s">
        <v>39</v>
      </c>
      <c r="B916" t="s">
        <v>715</v>
      </c>
      <c r="C916" t="s">
        <v>27</v>
      </c>
      <c r="D916" s="68"/>
      <c r="E916" s="68">
        <v>184</v>
      </c>
      <c r="F916" s="68"/>
      <c r="G916" s="68">
        <v>184</v>
      </c>
      <c r="H9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7" spans="1:8" hidden="1" x14ac:dyDescent="0.3">
      <c r="A917" t="s">
        <v>39</v>
      </c>
      <c r="B917" t="s">
        <v>716</v>
      </c>
      <c r="C917" t="s">
        <v>588</v>
      </c>
      <c r="D917" s="68">
        <v>8094</v>
      </c>
      <c r="E917" s="68"/>
      <c r="F917" s="68">
        <v>39134</v>
      </c>
      <c r="G917" s="68">
        <v>47228</v>
      </c>
      <c r="H9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8" spans="1:8" hidden="1" x14ac:dyDescent="0.3">
      <c r="A918" t="s">
        <v>39</v>
      </c>
      <c r="B918" t="s">
        <v>716</v>
      </c>
      <c r="C918" t="s">
        <v>26</v>
      </c>
      <c r="D918" s="68">
        <v>3331</v>
      </c>
      <c r="E918" s="68"/>
      <c r="F918" s="68">
        <v>10525</v>
      </c>
      <c r="G918" s="68">
        <v>13856</v>
      </c>
      <c r="H9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19" spans="1:8" hidden="1" x14ac:dyDescent="0.3">
      <c r="A919" t="s">
        <v>39</v>
      </c>
      <c r="B919" t="s">
        <v>716</v>
      </c>
      <c r="C919" t="s">
        <v>31</v>
      </c>
      <c r="D919" s="68">
        <v>362</v>
      </c>
      <c r="E919" s="68"/>
      <c r="F919" s="68">
        <v>5107</v>
      </c>
      <c r="G919" s="68">
        <v>5469</v>
      </c>
      <c r="H9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20" spans="1:8" hidden="1" x14ac:dyDescent="0.3">
      <c r="A920" t="s">
        <v>39</v>
      </c>
      <c r="B920" t="s">
        <v>716</v>
      </c>
      <c r="C920" t="s">
        <v>27</v>
      </c>
      <c r="D920" s="68"/>
      <c r="E920" s="68">
        <v>977</v>
      </c>
      <c r="F920" s="68"/>
      <c r="G920" s="68">
        <v>977</v>
      </c>
      <c r="H9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21" spans="1:8" hidden="1" x14ac:dyDescent="0.3">
      <c r="A921" t="s">
        <v>39</v>
      </c>
      <c r="B921" t="s">
        <v>716</v>
      </c>
      <c r="C921" t="s">
        <v>30</v>
      </c>
      <c r="D921" s="68">
        <v>19</v>
      </c>
      <c r="E921" s="68"/>
      <c r="F921" s="68">
        <v>404</v>
      </c>
      <c r="G921" s="68">
        <v>423</v>
      </c>
      <c r="H9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22" spans="1:8" hidden="1" x14ac:dyDescent="0.3">
      <c r="A922" t="s">
        <v>39</v>
      </c>
      <c r="B922" t="s">
        <v>716</v>
      </c>
      <c r="C922" t="s">
        <v>36</v>
      </c>
      <c r="D922" s="68">
        <v>304</v>
      </c>
      <c r="E922" s="68"/>
      <c r="F922" s="68">
        <v>98</v>
      </c>
      <c r="G922" s="68">
        <v>402</v>
      </c>
      <c r="H9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23" spans="1:8" hidden="1" x14ac:dyDescent="0.3">
      <c r="A923" t="s">
        <v>39</v>
      </c>
      <c r="B923" t="s">
        <v>716</v>
      </c>
      <c r="C923" t="s">
        <v>32</v>
      </c>
      <c r="D923" s="68">
        <v>3</v>
      </c>
      <c r="E923" s="68"/>
      <c r="F923" s="68">
        <v>79</v>
      </c>
      <c r="G923" s="68">
        <v>82</v>
      </c>
      <c r="H9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24" spans="1:8" hidden="1" x14ac:dyDescent="0.3">
      <c r="A924" t="s">
        <v>39</v>
      </c>
      <c r="B924" t="s">
        <v>716</v>
      </c>
      <c r="C924" t="s">
        <v>5</v>
      </c>
      <c r="D924" s="68">
        <v>2</v>
      </c>
      <c r="E924" s="68"/>
      <c r="F924" s="68"/>
      <c r="G924" s="68">
        <v>2</v>
      </c>
      <c r="H9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25" spans="1:8" hidden="1" x14ac:dyDescent="0.3">
      <c r="A925" t="s">
        <v>39</v>
      </c>
      <c r="B925" t="s">
        <v>717</v>
      </c>
      <c r="C925" t="s">
        <v>588</v>
      </c>
      <c r="D925" s="68">
        <v>796</v>
      </c>
      <c r="E925" s="68"/>
      <c r="F925" s="68">
        <v>8089</v>
      </c>
      <c r="G925" s="68">
        <v>8885</v>
      </c>
      <c r="H9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26" spans="1:8" hidden="1" x14ac:dyDescent="0.3">
      <c r="A926" t="s">
        <v>39</v>
      </c>
      <c r="B926" t="s">
        <v>717</v>
      </c>
      <c r="C926" t="s">
        <v>26</v>
      </c>
      <c r="D926" s="68">
        <v>40</v>
      </c>
      <c r="E926" s="68"/>
      <c r="F926" s="68">
        <v>159</v>
      </c>
      <c r="G926" s="68">
        <v>199</v>
      </c>
      <c r="H9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27" spans="1:8" hidden="1" x14ac:dyDescent="0.3">
      <c r="A927" t="s">
        <v>39</v>
      </c>
      <c r="B927" t="s">
        <v>717</v>
      </c>
      <c r="C927" t="s">
        <v>27</v>
      </c>
      <c r="D927" s="68"/>
      <c r="E927" s="68">
        <v>32</v>
      </c>
      <c r="F927" s="68"/>
      <c r="G927" s="68">
        <v>32</v>
      </c>
      <c r="H9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28" spans="1:8" hidden="1" x14ac:dyDescent="0.3">
      <c r="A928" t="s">
        <v>39</v>
      </c>
      <c r="B928" t="s">
        <v>718</v>
      </c>
      <c r="C928" t="s">
        <v>588</v>
      </c>
      <c r="D928" s="68">
        <v>1107</v>
      </c>
      <c r="E928" s="68"/>
      <c r="F928" s="68">
        <v>13603</v>
      </c>
      <c r="G928" s="68">
        <v>14710</v>
      </c>
      <c r="H9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29" spans="1:8" hidden="1" x14ac:dyDescent="0.3">
      <c r="A929" t="s">
        <v>39</v>
      </c>
      <c r="B929" t="s">
        <v>718</v>
      </c>
      <c r="C929" t="s">
        <v>26</v>
      </c>
      <c r="D929" s="68">
        <v>192</v>
      </c>
      <c r="E929" s="68"/>
      <c r="F929" s="68">
        <v>1511</v>
      </c>
      <c r="G929" s="68">
        <v>1703</v>
      </c>
      <c r="H9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30" spans="1:8" hidden="1" x14ac:dyDescent="0.3">
      <c r="A930" t="s">
        <v>39</v>
      </c>
      <c r="B930" t="s">
        <v>718</v>
      </c>
      <c r="C930" t="s">
        <v>27</v>
      </c>
      <c r="D930" s="68"/>
      <c r="E930" s="68">
        <v>353</v>
      </c>
      <c r="F930" s="68"/>
      <c r="G930" s="68">
        <v>353</v>
      </c>
      <c r="H9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31" spans="1:8" hidden="1" x14ac:dyDescent="0.3">
      <c r="A931" t="s">
        <v>39</v>
      </c>
      <c r="B931" t="s">
        <v>718</v>
      </c>
      <c r="C931" t="s">
        <v>31</v>
      </c>
      <c r="D931" s="68">
        <v>10</v>
      </c>
      <c r="E931" s="68"/>
      <c r="F931" s="68">
        <v>205</v>
      </c>
      <c r="G931" s="68">
        <v>215</v>
      </c>
      <c r="H9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32" spans="1:8" hidden="1" x14ac:dyDescent="0.3">
      <c r="A932" t="s">
        <v>39</v>
      </c>
      <c r="B932" t="s">
        <v>718</v>
      </c>
      <c r="C932" t="s">
        <v>30</v>
      </c>
      <c r="D932" s="68">
        <v>7</v>
      </c>
      <c r="E932" s="68"/>
      <c r="F932" s="68">
        <v>148</v>
      </c>
      <c r="G932" s="68">
        <v>155</v>
      </c>
      <c r="H9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33" spans="1:8" hidden="1" x14ac:dyDescent="0.3">
      <c r="A933" t="s">
        <v>39</v>
      </c>
      <c r="B933" t="s">
        <v>719</v>
      </c>
      <c r="C933" t="s">
        <v>588</v>
      </c>
      <c r="D933" s="68">
        <v>2535</v>
      </c>
      <c r="E933" s="68"/>
      <c r="F933" s="68">
        <v>21009</v>
      </c>
      <c r="G933" s="68">
        <v>23544</v>
      </c>
      <c r="H9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34" spans="1:8" hidden="1" x14ac:dyDescent="0.3">
      <c r="A934" t="s">
        <v>39</v>
      </c>
      <c r="B934" t="s">
        <v>719</v>
      </c>
      <c r="C934" t="s">
        <v>26</v>
      </c>
      <c r="D934" s="68">
        <v>240</v>
      </c>
      <c r="E934" s="68"/>
      <c r="F934" s="68">
        <v>551</v>
      </c>
      <c r="G934" s="68">
        <v>791</v>
      </c>
      <c r="H9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35" spans="1:8" hidden="1" x14ac:dyDescent="0.3">
      <c r="A935" t="s">
        <v>39</v>
      </c>
      <c r="B935" t="s">
        <v>719</v>
      </c>
      <c r="C935" t="s">
        <v>27</v>
      </c>
      <c r="D935" s="68"/>
      <c r="E935" s="68">
        <v>410</v>
      </c>
      <c r="F935" s="68"/>
      <c r="G935" s="68">
        <v>410</v>
      </c>
      <c r="H9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36" spans="1:8" hidden="1" x14ac:dyDescent="0.3">
      <c r="A936" t="s">
        <v>39</v>
      </c>
      <c r="B936" t="s">
        <v>719</v>
      </c>
      <c r="C936" t="s">
        <v>30</v>
      </c>
      <c r="D936" s="68">
        <v>2</v>
      </c>
      <c r="E936" s="68"/>
      <c r="F936" s="68">
        <v>78</v>
      </c>
      <c r="G936" s="68">
        <v>80</v>
      </c>
      <c r="H9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37" spans="1:8" hidden="1" x14ac:dyDescent="0.3">
      <c r="A937" t="s">
        <v>39</v>
      </c>
      <c r="B937" t="s">
        <v>719</v>
      </c>
      <c r="C937" t="s">
        <v>31</v>
      </c>
      <c r="D937" s="68">
        <v>1</v>
      </c>
      <c r="E937" s="68"/>
      <c r="F937" s="68">
        <v>76</v>
      </c>
      <c r="G937" s="68">
        <v>77</v>
      </c>
      <c r="H9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38" spans="1:8" hidden="1" x14ac:dyDescent="0.3">
      <c r="A938" t="s">
        <v>39</v>
      </c>
      <c r="B938" t="s">
        <v>719</v>
      </c>
      <c r="C938" t="s">
        <v>36</v>
      </c>
      <c r="D938" s="68">
        <v>2</v>
      </c>
      <c r="E938" s="68"/>
      <c r="F938" s="68"/>
      <c r="G938" s="68">
        <v>2</v>
      </c>
      <c r="H9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39" spans="1:8" hidden="1" x14ac:dyDescent="0.3">
      <c r="A939" t="s">
        <v>39</v>
      </c>
      <c r="B939" t="s">
        <v>720</v>
      </c>
      <c r="C939" t="s">
        <v>31</v>
      </c>
      <c r="D939" s="68">
        <v>805</v>
      </c>
      <c r="E939" s="68"/>
      <c r="F939" s="68">
        <v>4528</v>
      </c>
      <c r="G939" s="68">
        <v>5333</v>
      </c>
      <c r="H9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40" spans="1:8" hidden="1" x14ac:dyDescent="0.3">
      <c r="A940" t="s">
        <v>39</v>
      </c>
      <c r="B940" t="s">
        <v>720</v>
      </c>
      <c r="C940" t="s">
        <v>26</v>
      </c>
      <c r="D940" s="68">
        <v>719</v>
      </c>
      <c r="E940" s="68"/>
      <c r="F940" s="68">
        <v>1426</v>
      </c>
      <c r="G940" s="68">
        <v>2145</v>
      </c>
      <c r="H9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41" spans="1:8" hidden="1" x14ac:dyDescent="0.3">
      <c r="A941" t="s">
        <v>39</v>
      </c>
      <c r="B941" t="s">
        <v>720</v>
      </c>
      <c r="C941" t="s">
        <v>27</v>
      </c>
      <c r="D941" s="68"/>
      <c r="E941" s="68">
        <v>287</v>
      </c>
      <c r="F941" s="68"/>
      <c r="G941" s="68">
        <v>287</v>
      </c>
      <c r="H9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42" spans="1:8" hidden="1" x14ac:dyDescent="0.3">
      <c r="A942" t="s">
        <v>39</v>
      </c>
      <c r="B942" t="s">
        <v>720</v>
      </c>
      <c r="C942" t="s">
        <v>30</v>
      </c>
      <c r="D942" s="68"/>
      <c r="E942" s="68"/>
      <c r="F942" s="68">
        <v>57</v>
      </c>
      <c r="G942" s="68">
        <v>57</v>
      </c>
      <c r="H9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43" spans="1:8" hidden="1" x14ac:dyDescent="0.3">
      <c r="A943" t="s">
        <v>39</v>
      </c>
      <c r="B943" t="s">
        <v>721</v>
      </c>
      <c r="C943" t="s">
        <v>36</v>
      </c>
      <c r="D943" s="68">
        <v>224225</v>
      </c>
      <c r="E943" s="68"/>
      <c r="F943" s="68">
        <v>80178</v>
      </c>
      <c r="G943" s="68">
        <v>304403</v>
      </c>
      <c r="H9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44" spans="1:8" hidden="1" x14ac:dyDescent="0.3">
      <c r="A944" t="s">
        <v>39</v>
      </c>
      <c r="B944" t="s">
        <v>721</v>
      </c>
      <c r="C944" t="s">
        <v>588</v>
      </c>
      <c r="D944" s="68">
        <v>57909</v>
      </c>
      <c r="E944" s="68"/>
      <c r="F944" s="68">
        <v>189053</v>
      </c>
      <c r="G944" s="68">
        <v>246962</v>
      </c>
      <c r="H9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45" spans="1:8" hidden="1" x14ac:dyDescent="0.3">
      <c r="A945" t="s">
        <v>39</v>
      </c>
      <c r="B945" t="s">
        <v>721</v>
      </c>
      <c r="C945" t="s">
        <v>31</v>
      </c>
      <c r="D945" s="68">
        <v>21308</v>
      </c>
      <c r="E945" s="68"/>
      <c r="F945" s="68">
        <v>219713</v>
      </c>
      <c r="G945" s="68">
        <v>241021</v>
      </c>
      <c r="H9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46" spans="1:8" hidden="1" x14ac:dyDescent="0.3">
      <c r="A946" t="s">
        <v>39</v>
      </c>
      <c r="B946" t="s">
        <v>721</v>
      </c>
      <c r="C946" t="s">
        <v>34</v>
      </c>
      <c r="D946" s="68">
        <v>87626</v>
      </c>
      <c r="E946" s="68"/>
      <c r="F946" s="68">
        <v>23776</v>
      </c>
      <c r="G946" s="68">
        <v>111402</v>
      </c>
      <c r="H9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47" spans="1:8" hidden="1" x14ac:dyDescent="0.3">
      <c r="A947" t="s">
        <v>39</v>
      </c>
      <c r="B947" t="s">
        <v>721</v>
      </c>
      <c r="C947" t="s">
        <v>26</v>
      </c>
      <c r="D947" s="68">
        <v>57098</v>
      </c>
      <c r="E947" s="68"/>
      <c r="F947" s="68">
        <v>48234</v>
      </c>
      <c r="G947" s="68">
        <v>105332</v>
      </c>
      <c r="H9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48" spans="1:8" hidden="1" x14ac:dyDescent="0.3">
      <c r="A948" t="s">
        <v>39</v>
      </c>
      <c r="B948" t="s">
        <v>721</v>
      </c>
      <c r="C948" t="s">
        <v>5</v>
      </c>
      <c r="D948" s="68">
        <v>88560</v>
      </c>
      <c r="E948" s="68"/>
      <c r="F948" s="68">
        <v>14985</v>
      </c>
      <c r="G948" s="68">
        <v>103545</v>
      </c>
      <c r="H9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49" spans="1:8" hidden="1" x14ac:dyDescent="0.3">
      <c r="A949" t="s">
        <v>39</v>
      </c>
      <c r="B949" t="s">
        <v>721</v>
      </c>
      <c r="C949" t="s">
        <v>30</v>
      </c>
      <c r="D949" s="68">
        <v>4660</v>
      </c>
      <c r="E949" s="68"/>
      <c r="F949" s="68">
        <v>88560</v>
      </c>
      <c r="G949" s="68">
        <v>93220</v>
      </c>
      <c r="H9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50" spans="1:8" hidden="1" x14ac:dyDescent="0.3">
      <c r="A950" t="s">
        <v>39</v>
      </c>
      <c r="B950" t="s">
        <v>721</v>
      </c>
      <c r="C950" t="s">
        <v>32</v>
      </c>
      <c r="D950" s="68">
        <v>2368</v>
      </c>
      <c r="E950" s="68"/>
      <c r="F950" s="68">
        <v>26046</v>
      </c>
      <c r="G950" s="68">
        <v>28414</v>
      </c>
      <c r="H9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51" spans="1:8" hidden="1" x14ac:dyDescent="0.3">
      <c r="A951" t="s">
        <v>39</v>
      </c>
      <c r="B951" t="s">
        <v>721</v>
      </c>
      <c r="C951" t="s">
        <v>27</v>
      </c>
      <c r="D951" s="68"/>
      <c r="E951" s="68">
        <v>25099</v>
      </c>
      <c r="F951" s="68"/>
      <c r="G951" s="68">
        <v>25099</v>
      </c>
      <c r="H9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52" spans="1:8" hidden="1" x14ac:dyDescent="0.3">
      <c r="A952" t="s">
        <v>39</v>
      </c>
      <c r="B952" t="s">
        <v>721</v>
      </c>
      <c r="C952" t="s">
        <v>37</v>
      </c>
      <c r="D952" s="68">
        <v>8487</v>
      </c>
      <c r="E952" s="68"/>
      <c r="F952" s="68">
        <v>9720</v>
      </c>
      <c r="G952" s="68">
        <v>18207</v>
      </c>
      <c r="H9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53" spans="1:8" hidden="1" x14ac:dyDescent="0.3">
      <c r="A953" t="s">
        <v>39</v>
      </c>
      <c r="B953" t="s">
        <v>721</v>
      </c>
      <c r="C953" t="s">
        <v>35</v>
      </c>
      <c r="D953" s="68">
        <v>3401</v>
      </c>
      <c r="E953" s="68"/>
      <c r="F953" s="68"/>
      <c r="G953" s="68">
        <v>3401</v>
      </c>
      <c r="H9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54" spans="1:8" hidden="1" x14ac:dyDescent="0.3">
      <c r="A954" t="s">
        <v>39</v>
      </c>
      <c r="B954" t="s">
        <v>721</v>
      </c>
      <c r="C954" t="s">
        <v>691</v>
      </c>
      <c r="D954" s="68">
        <v>3</v>
      </c>
      <c r="E954" s="68"/>
      <c r="F954" s="68"/>
      <c r="G954" s="68">
        <v>3</v>
      </c>
      <c r="H9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55" spans="1:8" hidden="1" x14ac:dyDescent="0.3">
      <c r="A955" t="s">
        <v>39</v>
      </c>
      <c r="B955" t="s">
        <v>721</v>
      </c>
      <c r="C955" t="s">
        <v>712</v>
      </c>
      <c r="D955" s="68">
        <v>1</v>
      </c>
      <c r="E955" s="68"/>
      <c r="F955" s="68"/>
      <c r="G955" s="68">
        <v>1</v>
      </c>
      <c r="H9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56" spans="1:8" hidden="1" x14ac:dyDescent="0.3">
      <c r="A956" t="s">
        <v>39</v>
      </c>
      <c r="B956" t="s">
        <v>722</v>
      </c>
      <c r="C956" t="s">
        <v>588</v>
      </c>
      <c r="D956" s="68">
        <v>1342</v>
      </c>
      <c r="E956" s="68"/>
      <c r="F956" s="68">
        <v>11845</v>
      </c>
      <c r="G956" s="68">
        <v>13187</v>
      </c>
      <c r="H9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57" spans="1:8" hidden="1" x14ac:dyDescent="0.3">
      <c r="A957" t="s">
        <v>39</v>
      </c>
      <c r="B957" t="s">
        <v>722</v>
      </c>
      <c r="C957" t="s">
        <v>26</v>
      </c>
      <c r="D957" s="68">
        <v>100</v>
      </c>
      <c r="E957" s="68"/>
      <c r="F957" s="68">
        <v>191</v>
      </c>
      <c r="G957" s="68">
        <v>291</v>
      </c>
      <c r="H9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58" spans="1:8" hidden="1" x14ac:dyDescent="0.3">
      <c r="A958" t="s">
        <v>39</v>
      </c>
      <c r="B958" t="s">
        <v>722</v>
      </c>
      <c r="C958" t="s">
        <v>27</v>
      </c>
      <c r="D958" s="68"/>
      <c r="E958" s="68">
        <v>211</v>
      </c>
      <c r="F958" s="68"/>
      <c r="G958" s="68">
        <v>211</v>
      </c>
      <c r="H9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59" spans="1:8" hidden="1" x14ac:dyDescent="0.3">
      <c r="A959" t="s">
        <v>39</v>
      </c>
      <c r="B959" t="s">
        <v>722</v>
      </c>
      <c r="C959" t="s">
        <v>31</v>
      </c>
      <c r="D959" s="68">
        <v>5</v>
      </c>
      <c r="E959" s="68"/>
      <c r="F959" s="68">
        <v>161</v>
      </c>
      <c r="G959" s="68">
        <v>166</v>
      </c>
      <c r="H9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60" spans="1:8" hidden="1" x14ac:dyDescent="0.3">
      <c r="A960" t="s">
        <v>39</v>
      </c>
      <c r="B960" t="s">
        <v>722</v>
      </c>
      <c r="C960" t="s">
        <v>30</v>
      </c>
      <c r="D960" s="68">
        <v>3</v>
      </c>
      <c r="E960" s="68"/>
      <c r="F960" s="68">
        <v>117</v>
      </c>
      <c r="G960" s="68">
        <v>120</v>
      </c>
      <c r="H9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61" spans="1:8" hidden="1" x14ac:dyDescent="0.3">
      <c r="A961" t="s">
        <v>39</v>
      </c>
      <c r="B961" t="s">
        <v>722</v>
      </c>
      <c r="C961" t="s">
        <v>5</v>
      </c>
      <c r="D961" s="68">
        <v>1</v>
      </c>
      <c r="E961" s="68"/>
      <c r="F961" s="68"/>
      <c r="G961" s="68">
        <v>1</v>
      </c>
      <c r="H9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62" spans="1:8" hidden="1" x14ac:dyDescent="0.3">
      <c r="A962" t="s">
        <v>39</v>
      </c>
      <c r="B962" t="s">
        <v>723</v>
      </c>
      <c r="C962" t="s">
        <v>31</v>
      </c>
      <c r="D962" s="68">
        <v>602</v>
      </c>
      <c r="E962" s="68"/>
      <c r="F962" s="68">
        <v>8037</v>
      </c>
      <c r="G962" s="68">
        <v>8639</v>
      </c>
      <c r="H9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63" spans="1:8" hidden="1" x14ac:dyDescent="0.3">
      <c r="A963" t="s">
        <v>39</v>
      </c>
      <c r="B963" t="s">
        <v>723</v>
      </c>
      <c r="C963" t="s">
        <v>26</v>
      </c>
      <c r="D963" s="68">
        <v>309</v>
      </c>
      <c r="E963" s="68"/>
      <c r="F963" s="68">
        <v>2340</v>
      </c>
      <c r="G963" s="68">
        <v>2649</v>
      </c>
      <c r="H9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64" spans="1:8" hidden="1" x14ac:dyDescent="0.3">
      <c r="A964" t="s">
        <v>39</v>
      </c>
      <c r="B964" t="s">
        <v>723</v>
      </c>
      <c r="C964" t="s">
        <v>30</v>
      </c>
      <c r="D964" s="68">
        <v>16</v>
      </c>
      <c r="E964" s="68"/>
      <c r="F964" s="68">
        <v>949</v>
      </c>
      <c r="G964" s="68">
        <v>965</v>
      </c>
      <c r="H9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65" spans="1:8" hidden="1" x14ac:dyDescent="0.3">
      <c r="A965" t="s">
        <v>39</v>
      </c>
      <c r="B965" t="s">
        <v>723</v>
      </c>
      <c r="C965" t="s">
        <v>27</v>
      </c>
      <c r="D965" s="68"/>
      <c r="E965" s="68">
        <v>96</v>
      </c>
      <c r="F965" s="68"/>
      <c r="G965" s="68">
        <v>96</v>
      </c>
      <c r="H9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66" spans="1:8" hidden="1" x14ac:dyDescent="0.3">
      <c r="A966" t="s">
        <v>39</v>
      </c>
      <c r="B966" t="s">
        <v>723</v>
      </c>
      <c r="C966" t="s">
        <v>36</v>
      </c>
      <c r="D966" s="68">
        <v>1</v>
      </c>
      <c r="E966" s="68"/>
      <c r="F966" s="68"/>
      <c r="G966" s="68">
        <v>1</v>
      </c>
      <c r="H9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67" spans="1:8" hidden="1" x14ac:dyDescent="0.3">
      <c r="A967" t="s">
        <v>39</v>
      </c>
      <c r="B967" t="s">
        <v>724</v>
      </c>
      <c r="C967" t="s">
        <v>588</v>
      </c>
      <c r="D967" s="68">
        <v>1319</v>
      </c>
      <c r="E967" s="68"/>
      <c r="F967" s="68">
        <v>12474</v>
      </c>
      <c r="G967" s="68">
        <v>13793</v>
      </c>
      <c r="H9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68" spans="1:8" hidden="1" x14ac:dyDescent="0.3">
      <c r="A968" t="s">
        <v>39</v>
      </c>
      <c r="B968" t="s">
        <v>724</v>
      </c>
      <c r="C968" t="s">
        <v>30</v>
      </c>
      <c r="D968" s="68">
        <v>28</v>
      </c>
      <c r="E968" s="68"/>
      <c r="F968" s="68">
        <v>2246</v>
      </c>
      <c r="G968" s="68">
        <v>2274</v>
      </c>
      <c r="H9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69" spans="1:8" hidden="1" x14ac:dyDescent="0.3">
      <c r="A969" t="s">
        <v>39</v>
      </c>
      <c r="B969" t="s">
        <v>724</v>
      </c>
      <c r="C969" t="s">
        <v>27</v>
      </c>
      <c r="D969" s="68"/>
      <c r="E969" s="68">
        <v>196</v>
      </c>
      <c r="F969" s="68"/>
      <c r="G969" s="68">
        <v>196</v>
      </c>
      <c r="H9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70" spans="1:8" hidden="1" x14ac:dyDescent="0.3">
      <c r="A970" t="s">
        <v>39</v>
      </c>
      <c r="B970" t="s">
        <v>724</v>
      </c>
      <c r="C970" t="s">
        <v>26</v>
      </c>
      <c r="D970" s="68">
        <v>73</v>
      </c>
      <c r="E970" s="68"/>
      <c r="F970" s="68">
        <v>81</v>
      </c>
      <c r="G970" s="68">
        <v>154</v>
      </c>
      <c r="H9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71" spans="1:8" hidden="1" x14ac:dyDescent="0.3">
      <c r="A971" t="s">
        <v>39</v>
      </c>
      <c r="B971" t="s">
        <v>724</v>
      </c>
      <c r="C971" t="s">
        <v>5</v>
      </c>
      <c r="D971" s="68">
        <v>1</v>
      </c>
      <c r="E971" s="68"/>
      <c r="F971" s="68">
        <v>1</v>
      </c>
      <c r="G971" s="68">
        <v>2</v>
      </c>
      <c r="H9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72" spans="1:8" hidden="1" x14ac:dyDescent="0.3">
      <c r="A972" t="s">
        <v>39</v>
      </c>
      <c r="B972" t="s">
        <v>725</v>
      </c>
      <c r="C972" t="s">
        <v>588</v>
      </c>
      <c r="D972" s="68">
        <v>9305</v>
      </c>
      <c r="E972" s="68"/>
      <c r="F972" s="68">
        <v>60557</v>
      </c>
      <c r="G972" s="68">
        <v>69862</v>
      </c>
      <c r="H9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73" spans="1:8" hidden="1" x14ac:dyDescent="0.3">
      <c r="A973" t="s">
        <v>39</v>
      </c>
      <c r="B973" t="s">
        <v>725</v>
      </c>
      <c r="C973" t="s">
        <v>26</v>
      </c>
      <c r="D973" s="68">
        <v>812</v>
      </c>
      <c r="E973" s="68"/>
      <c r="F973" s="68">
        <v>2760</v>
      </c>
      <c r="G973" s="68">
        <v>3572</v>
      </c>
      <c r="H9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74" spans="1:8" hidden="1" x14ac:dyDescent="0.3">
      <c r="A974" t="s">
        <v>39</v>
      </c>
      <c r="B974" t="s">
        <v>725</v>
      </c>
      <c r="C974" t="s">
        <v>30</v>
      </c>
      <c r="D974" s="68">
        <v>82</v>
      </c>
      <c r="E974" s="68"/>
      <c r="F974" s="68">
        <v>3354</v>
      </c>
      <c r="G974" s="68">
        <v>3436</v>
      </c>
      <c r="H9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75" spans="1:8" hidden="1" x14ac:dyDescent="0.3">
      <c r="A975" t="s">
        <v>39</v>
      </c>
      <c r="B975" t="s">
        <v>725</v>
      </c>
      <c r="C975" t="s">
        <v>31</v>
      </c>
      <c r="D975" s="68">
        <v>133</v>
      </c>
      <c r="E975" s="68"/>
      <c r="F975" s="68">
        <v>2579</v>
      </c>
      <c r="G975" s="68">
        <v>2712</v>
      </c>
      <c r="H9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76" spans="1:8" hidden="1" x14ac:dyDescent="0.3">
      <c r="A976" t="s">
        <v>39</v>
      </c>
      <c r="B976" t="s">
        <v>725</v>
      </c>
      <c r="C976" t="s">
        <v>27</v>
      </c>
      <c r="D976" s="68"/>
      <c r="E976" s="68">
        <v>1212</v>
      </c>
      <c r="F976" s="68"/>
      <c r="G976" s="68">
        <v>1212</v>
      </c>
      <c r="H9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77" spans="1:8" hidden="1" x14ac:dyDescent="0.3">
      <c r="A977" t="s">
        <v>39</v>
      </c>
      <c r="B977" t="s">
        <v>726</v>
      </c>
      <c r="C977" t="s">
        <v>588</v>
      </c>
      <c r="D977" s="68">
        <v>1039</v>
      </c>
      <c r="E977" s="68"/>
      <c r="F977" s="68">
        <v>6840</v>
      </c>
      <c r="G977" s="68">
        <v>7879</v>
      </c>
      <c r="H9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78" spans="1:8" hidden="1" x14ac:dyDescent="0.3">
      <c r="A978" t="s">
        <v>39</v>
      </c>
      <c r="B978" t="s">
        <v>726</v>
      </c>
      <c r="C978" t="s">
        <v>30</v>
      </c>
      <c r="D978" s="68">
        <v>5</v>
      </c>
      <c r="E978" s="68"/>
      <c r="F978" s="68">
        <v>187</v>
      </c>
      <c r="G978" s="68">
        <v>192</v>
      </c>
      <c r="H9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79" spans="1:8" hidden="1" x14ac:dyDescent="0.3">
      <c r="A979" t="s">
        <v>39</v>
      </c>
      <c r="B979" t="s">
        <v>726</v>
      </c>
      <c r="C979" t="s">
        <v>27</v>
      </c>
      <c r="D979" s="68"/>
      <c r="E979" s="68">
        <v>62</v>
      </c>
      <c r="F979" s="68"/>
      <c r="G979" s="68">
        <v>62</v>
      </c>
      <c r="H9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0" spans="1:8" hidden="1" x14ac:dyDescent="0.3">
      <c r="A980" t="s">
        <v>39</v>
      </c>
      <c r="B980" t="s">
        <v>726</v>
      </c>
      <c r="C980" t="s">
        <v>26</v>
      </c>
      <c r="D980" s="68">
        <v>14</v>
      </c>
      <c r="E980" s="68"/>
      <c r="F980" s="68">
        <v>11</v>
      </c>
      <c r="G980" s="68">
        <v>25</v>
      </c>
      <c r="H9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81" spans="1:8" hidden="1" x14ac:dyDescent="0.3">
      <c r="A981" t="s">
        <v>39</v>
      </c>
      <c r="B981" t="s">
        <v>727</v>
      </c>
      <c r="C981" t="s">
        <v>588</v>
      </c>
      <c r="D981" s="68">
        <v>698</v>
      </c>
      <c r="E981" s="68"/>
      <c r="F981" s="68">
        <v>5935</v>
      </c>
      <c r="G981" s="68">
        <v>6633</v>
      </c>
      <c r="H9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2" spans="1:8" hidden="1" x14ac:dyDescent="0.3">
      <c r="A982" t="s">
        <v>39</v>
      </c>
      <c r="B982" t="s">
        <v>727</v>
      </c>
      <c r="C982" t="s">
        <v>27</v>
      </c>
      <c r="D982" s="68"/>
      <c r="E982" s="68">
        <v>168</v>
      </c>
      <c r="F982" s="68"/>
      <c r="G982" s="68">
        <v>168</v>
      </c>
      <c r="H9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3" spans="1:8" hidden="1" x14ac:dyDescent="0.3">
      <c r="A983" t="s">
        <v>39</v>
      </c>
      <c r="B983" t="s">
        <v>727</v>
      </c>
      <c r="C983" t="s">
        <v>26</v>
      </c>
      <c r="D983" s="68">
        <v>63</v>
      </c>
      <c r="E983" s="68"/>
      <c r="F983" s="68">
        <v>103</v>
      </c>
      <c r="G983" s="68">
        <v>166</v>
      </c>
      <c r="H9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84" spans="1:8" hidden="1" x14ac:dyDescent="0.3">
      <c r="A984" t="s">
        <v>39</v>
      </c>
      <c r="B984" t="s">
        <v>728</v>
      </c>
      <c r="C984" t="s">
        <v>588</v>
      </c>
      <c r="D984" s="68">
        <v>999</v>
      </c>
      <c r="E984" s="68"/>
      <c r="F984" s="68">
        <v>11418</v>
      </c>
      <c r="G984" s="68">
        <v>12417</v>
      </c>
      <c r="H9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5" spans="1:8" hidden="1" x14ac:dyDescent="0.3">
      <c r="A985" t="s">
        <v>39</v>
      </c>
      <c r="B985" t="s">
        <v>728</v>
      </c>
      <c r="C985" t="s">
        <v>26</v>
      </c>
      <c r="D985" s="68">
        <v>107</v>
      </c>
      <c r="E985" s="68"/>
      <c r="F985" s="68">
        <v>374</v>
      </c>
      <c r="G985" s="68">
        <v>481</v>
      </c>
      <c r="H9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86" spans="1:8" hidden="1" x14ac:dyDescent="0.3">
      <c r="A986" t="s">
        <v>39</v>
      </c>
      <c r="B986" t="s">
        <v>728</v>
      </c>
      <c r="C986" t="s">
        <v>27</v>
      </c>
      <c r="D986" s="68"/>
      <c r="E986" s="68">
        <v>189</v>
      </c>
      <c r="F986" s="68"/>
      <c r="G986" s="68">
        <v>189</v>
      </c>
      <c r="H9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7" spans="1:8" hidden="1" x14ac:dyDescent="0.3">
      <c r="A987" t="s">
        <v>39</v>
      </c>
      <c r="B987" t="s">
        <v>728</v>
      </c>
      <c r="C987" t="s">
        <v>31</v>
      </c>
      <c r="D987" s="68">
        <v>8</v>
      </c>
      <c r="E987" s="68"/>
      <c r="F987" s="68">
        <v>181</v>
      </c>
      <c r="G987" s="68">
        <v>189</v>
      </c>
      <c r="H9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88" spans="1:8" hidden="1" x14ac:dyDescent="0.3">
      <c r="A988" t="s">
        <v>39</v>
      </c>
      <c r="B988" t="s">
        <v>728</v>
      </c>
      <c r="C988" t="s">
        <v>30</v>
      </c>
      <c r="D988" s="68">
        <v>1</v>
      </c>
      <c r="E988" s="68"/>
      <c r="F988" s="68">
        <v>80</v>
      </c>
      <c r="G988" s="68">
        <v>81</v>
      </c>
      <c r="H9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9" spans="1:8" hidden="1" x14ac:dyDescent="0.3">
      <c r="A989" t="s">
        <v>39</v>
      </c>
      <c r="B989" t="s">
        <v>729</v>
      </c>
      <c r="C989" t="s">
        <v>588</v>
      </c>
      <c r="D989" s="68">
        <v>9839</v>
      </c>
      <c r="E989" s="68"/>
      <c r="F989" s="68">
        <v>34412</v>
      </c>
      <c r="G989" s="68">
        <v>44251</v>
      </c>
      <c r="H9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0" spans="1:8" hidden="1" x14ac:dyDescent="0.3">
      <c r="A990" t="s">
        <v>39</v>
      </c>
      <c r="B990" t="s">
        <v>729</v>
      </c>
      <c r="C990" t="s">
        <v>31</v>
      </c>
      <c r="D990" s="68">
        <v>3329</v>
      </c>
      <c r="E990" s="68"/>
      <c r="F990" s="68">
        <v>34618</v>
      </c>
      <c r="G990" s="68">
        <v>37947</v>
      </c>
      <c r="H9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91" spans="1:8" hidden="1" x14ac:dyDescent="0.3">
      <c r="A991" t="s">
        <v>39</v>
      </c>
      <c r="B991" t="s">
        <v>729</v>
      </c>
      <c r="C991" t="s">
        <v>30</v>
      </c>
      <c r="D991" s="68">
        <v>1836</v>
      </c>
      <c r="E991" s="68"/>
      <c r="F991" s="68">
        <v>35653</v>
      </c>
      <c r="G991" s="68">
        <v>37489</v>
      </c>
      <c r="H9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2" spans="1:8" hidden="1" x14ac:dyDescent="0.3">
      <c r="A992" t="s">
        <v>39</v>
      </c>
      <c r="B992" t="s">
        <v>729</v>
      </c>
      <c r="C992" t="s">
        <v>26</v>
      </c>
      <c r="D992" s="68">
        <v>2683</v>
      </c>
      <c r="E992" s="68"/>
      <c r="F992" s="68">
        <v>8942</v>
      </c>
      <c r="G992" s="68">
        <v>11625</v>
      </c>
      <c r="H9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93" spans="1:8" hidden="1" x14ac:dyDescent="0.3">
      <c r="A993" t="s">
        <v>39</v>
      </c>
      <c r="B993" t="s">
        <v>729</v>
      </c>
      <c r="C993" t="s">
        <v>27</v>
      </c>
      <c r="D993" s="68"/>
      <c r="E993" s="68">
        <v>3286</v>
      </c>
      <c r="F993" s="68"/>
      <c r="G993" s="68">
        <v>3286</v>
      </c>
      <c r="H9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4" spans="1:8" hidden="1" x14ac:dyDescent="0.3">
      <c r="A994" t="s">
        <v>39</v>
      </c>
      <c r="B994" t="s">
        <v>729</v>
      </c>
      <c r="C994" t="s">
        <v>32</v>
      </c>
      <c r="D994" s="68">
        <v>35</v>
      </c>
      <c r="E994" s="68"/>
      <c r="F994" s="68">
        <v>1091</v>
      </c>
      <c r="G994" s="68">
        <v>1126</v>
      </c>
      <c r="H9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95" spans="1:8" hidden="1" x14ac:dyDescent="0.3">
      <c r="A995" t="s">
        <v>39</v>
      </c>
      <c r="B995" t="s">
        <v>729</v>
      </c>
      <c r="C995" t="s">
        <v>36</v>
      </c>
      <c r="D995" s="68">
        <v>654</v>
      </c>
      <c r="E995" s="68"/>
      <c r="F995" s="68">
        <v>365</v>
      </c>
      <c r="G995" s="68">
        <v>1019</v>
      </c>
      <c r="H9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6" spans="1:8" hidden="1" x14ac:dyDescent="0.3">
      <c r="A996" t="s">
        <v>39</v>
      </c>
      <c r="B996" t="s">
        <v>729</v>
      </c>
      <c r="C996" t="s">
        <v>5</v>
      </c>
      <c r="D996" s="68"/>
      <c r="E996" s="68"/>
      <c r="F996" s="68">
        <v>1</v>
      </c>
      <c r="G996" s="68">
        <v>1</v>
      </c>
      <c r="H9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97" spans="1:8" hidden="1" x14ac:dyDescent="0.3">
      <c r="A997" t="s">
        <v>39</v>
      </c>
      <c r="B997" t="s">
        <v>729</v>
      </c>
      <c r="C997" t="s">
        <v>34</v>
      </c>
      <c r="D997" s="68">
        <v>1</v>
      </c>
      <c r="E997" s="68"/>
      <c r="F997" s="68"/>
      <c r="G997" s="68">
        <v>1</v>
      </c>
      <c r="H9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8" spans="1:8" hidden="1" x14ac:dyDescent="0.3">
      <c r="A998" t="s">
        <v>39</v>
      </c>
      <c r="B998" t="s">
        <v>730</v>
      </c>
      <c r="C998" t="s">
        <v>588</v>
      </c>
      <c r="D998" s="68">
        <v>2274</v>
      </c>
      <c r="E998" s="68"/>
      <c r="F998" s="68">
        <v>18716</v>
      </c>
      <c r="G998" s="68">
        <v>20990</v>
      </c>
      <c r="H9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9" spans="1:8" hidden="1" x14ac:dyDescent="0.3">
      <c r="A999" t="s">
        <v>39</v>
      </c>
      <c r="B999" t="s">
        <v>730</v>
      </c>
      <c r="C999" t="s">
        <v>31</v>
      </c>
      <c r="D999" s="68">
        <v>274</v>
      </c>
      <c r="E999" s="68"/>
      <c r="F999" s="68">
        <v>3961</v>
      </c>
      <c r="G999" s="68">
        <v>4235</v>
      </c>
      <c r="H9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00" spans="1:8" hidden="1" x14ac:dyDescent="0.3">
      <c r="A1000" t="s">
        <v>39</v>
      </c>
      <c r="B1000" t="s">
        <v>730</v>
      </c>
      <c r="C1000" t="s">
        <v>26</v>
      </c>
      <c r="D1000" s="68">
        <v>197</v>
      </c>
      <c r="E1000" s="68"/>
      <c r="F1000" s="68">
        <v>704</v>
      </c>
      <c r="G1000" s="68">
        <v>901</v>
      </c>
      <c r="H10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01" spans="1:8" hidden="1" x14ac:dyDescent="0.3">
      <c r="A1001" t="s">
        <v>39</v>
      </c>
      <c r="B1001" t="s">
        <v>730</v>
      </c>
      <c r="C1001" t="s">
        <v>27</v>
      </c>
      <c r="D1001" s="68"/>
      <c r="E1001" s="68">
        <v>384</v>
      </c>
      <c r="F1001" s="68"/>
      <c r="G1001" s="68">
        <v>384</v>
      </c>
      <c r="H10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02" spans="1:8" hidden="1" x14ac:dyDescent="0.3">
      <c r="A1002" t="s">
        <v>39</v>
      </c>
      <c r="B1002" t="s">
        <v>730</v>
      </c>
      <c r="C1002" t="s">
        <v>36</v>
      </c>
      <c r="D1002" s="68">
        <v>1</v>
      </c>
      <c r="E1002" s="68"/>
      <c r="F1002" s="68"/>
      <c r="G1002" s="68">
        <v>1</v>
      </c>
      <c r="H10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03" spans="1:8" hidden="1" x14ac:dyDescent="0.3">
      <c r="A1003" t="s">
        <v>39</v>
      </c>
      <c r="B1003" t="s">
        <v>731</v>
      </c>
      <c r="C1003" t="s">
        <v>31</v>
      </c>
      <c r="D1003" s="68">
        <v>171</v>
      </c>
      <c r="E1003" s="68"/>
      <c r="F1003" s="68">
        <v>3532</v>
      </c>
      <c r="G1003" s="68">
        <v>3703</v>
      </c>
      <c r="H10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04" spans="1:8" hidden="1" x14ac:dyDescent="0.3">
      <c r="A1004" t="s">
        <v>39</v>
      </c>
      <c r="B1004" t="s">
        <v>731</v>
      </c>
      <c r="C1004" t="s">
        <v>30</v>
      </c>
      <c r="D1004" s="68">
        <v>43</v>
      </c>
      <c r="E1004" s="68"/>
      <c r="F1004" s="68">
        <v>2492</v>
      </c>
      <c r="G1004" s="68">
        <v>2535</v>
      </c>
      <c r="H10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05" spans="1:8" hidden="1" x14ac:dyDescent="0.3">
      <c r="A1005" t="s">
        <v>39</v>
      </c>
      <c r="B1005" t="s">
        <v>731</v>
      </c>
      <c r="C1005" t="s">
        <v>26</v>
      </c>
      <c r="D1005" s="68">
        <v>148</v>
      </c>
      <c r="E1005" s="68"/>
      <c r="F1005" s="68">
        <v>1290</v>
      </c>
      <c r="G1005" s="68">
        <v>1438</v>
      </c>
      <c r="H10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06" spans="1:8" hidden="1" x14ac:dyDescent="0.3">
      <c r="A1006" t="s">
        <v>39</v>
      </c>
      <c r="B1006" t="s">
        <v>731</v>
      </c>
      <c r="C1006" t="s">
        <v>588</v>
      </c>
      <c r="D1006" s="68">
        <v>58</v>
      </c>
      <c r="E1006" s="68"/>
      <c r="F1006" s="68">
        <v>1064</v>
      </c>
      <c r="G1006" s="68">
        <v>1122</v>
      </c>
      <c r="H10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07" spans="1:8" hidden="1" x14ac:dyDescent="0.3">
      <c r="A1007" t="s">
        <v>39</v>
      </c>
      <c r="B1007" t="s">
        <v>731</v>
      </c>
      <c r="C1007" t="s">
        <v>27</v>
      </c>
      <c r="D1007" s="68"/>
      <c r="E1007" s="68">
        <v>102</v>
      </c>
      <c r="F1007" s="68"/>
      <c r="G1007" s="68">
        <v>102</v>
      </c>
      <c r="H10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08" spans="1:8" hidden="1" x14ac:dyDescent="0.3">
      <c r="A1008" t="s">
        <v>39</v>
      </c>
      <c r="B1008" t="s">
        <v>732</v>
      </c>
      <c r="C1008" t="s">
        <v>588</v>
      </c>
      <c r="D1008" s="68">
        <v>5593</v>
      </c>
      <c r="E1008" s="68"/>
      <c r="F1008" s="68">
        <v>36237</v>
      </c>
      <c r="G1008" s="68">
        <v>41830</v>
      </c>
      <c r="H10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09" spans="1:8" hidden="1" x14ac:dyDescent="0.3">
      <c r="A1009" t="s">
        <v>39</v>
      </c>
      <c r="B1009" t="s">
        <v>732</v>
      </c>
      <c r="C1009" t="s">
        <v>26</v>
      </c>
      <c r="D1009" s="68">
        <v>896</v>
      </c>
      <c r="E1009" s="68"/>
      <c r="F1009" s="68">
        <v>4954</v>
      </c>
      <c r="G1009" s="68">
        <v>5850</v>
      </c>
      <c r="H10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10" spans="1:8" hidden="1" x14ac:dyDescent="0.3">
      <c r="A1010" t="s">
        <v>39</v>
      </c>
      <c r="B1010" t="s">
        <v>732</v>
      </c>
      <c r="C1010" t="s">
        <v>31</v>
      </c>
      <c r="D1010" s="68">
        <v>118</v>
      </c>
      <c r="E1010" s="68"/>
      <c r="F1010" s="68">
        <v>3026</v>
      </c>
      <c r="G1010" s="68">
        <v>3144</v>
      </c>
      <c r="H10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11" spans="1:8" hidden="1" x14ac:dyDescent="0.3">
      <c r="A1011" t="s">
        <v>39</v>
      </c>
      <c r="B1011" t="s">
        <v>732</v>
      </c>
      <c r="C1011" t="s">
        <v>30</v>
      </c>
      <c r="D1011" s="68">
        <v>13</v>
      </c>
      <c r="E1011" s="68"/>
      <c r="F1011" s="68">
        <v>872</v>
      </c>
      <c r="G1011" s="68">
        <v>885</v>
      </c>
      <c r="H10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12" spans="1:8" hidden="1" x14ac:dyDescent="0.3">
      <c r="A1012" t="s">
        <v>39</v>
      </c>
      <c r="B1012" t="s">
        <v>732</v>
      </c>
      <c r="C1012" t="s">
        <v>27</v>
      </c>
      <c r="D1012" s="68"/>
      <c r="E1012" s="68">
        <v>794</v>
      </c>
      <c r="F1012" s="68"/>
      <c r="G1012" s="68">
        <v>794</v>
      </c>
      <c r="H10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13" spans="1:8" hidden="1" x14ac:dyDescent="0.3">
      <c r="A1013" t="s">
        <v>39</v>
      </c>
      <c r="B1013" t="s">
        <v>732</v>
      </c>
      <c r="C1013" t="s">
        <v>5</v>
      </c>
      <c r="D1013" s="68">
        <v>2</v>
      </c>
      <c r="E1013" s="68"/>
      <c r="F1013" s="68"/>
      <c r="G1013" s="68">
        <v>2</v>
      </c>
      <c r="H10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14" spans="1:8" hidden="1" x14ac:dyDescent="0.3">
      <c r="A1014" t="s">
        <v>39</v>
      </c>
      <c r="B1014" t="s">
        <v>732</v>
      </c>
      <c r="C1014" t="s">
        <v>36</v>
      </c>
      <c r="D1014" s="68">
        <v>1</v>
      </c>
      <c r="E1014" s="68"/>
      <c r="F1014" s="68"/>
      <c r="G1014" s="68">
        <v>1</v>
      </c>
      <c r="H10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15" spans="1:8" hidden="1" x14ac:dyDescent="0.3">
      <c r="A1015" t="s">
        <v>39</v>
      </c>
      <c r="B1015" t="s">
        <v>733</v>
      </c>
      <c r="C1015" t="s">
        <v>588</v>
      </c>
      <c r="D1015" s="68">
        <v>580</v>
      </c>
      <c r="E1015" s="68"/>
      <c r="F1015" s="68">
        <v>8195</v>
      </c>
      <c r="G1015" s="68">
        <v>8775</v>
      </c>
      <c r="H10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16" spans="1:8" hidden="1" x14ac:dyDescent="0.3">
      <c r="A1016" t="s">
        <v>39</v>
      </c>
      <c r="B1016" t="s">
        <v>733</v>
      </c>
      <c r="C1016" t="s">
        <v>31</v>
      </c>
      <c r="D1016" s="68">
        <v>13</v>
      </c>
      <c r="E1016" s="68"/>
      <c r="F1016" s="68">
        <v>990</v>
      </c>
      <c r="G1016" s="68">
        <v>1003</v>
      </c>
      <c r="H10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17" spans="1:8" hidden="1" x14ac:dyDescent="0.3">
      <c r="A1017" t="s">
        <v>39</v>
      </c>
      <c r="B1017" t="s">
        <v>733</v>
      </c>
      <c r="C1017" t="s">
        <v>30</v>
      </c>
      <c r="D1017" s="68">
        <v>8</v>
      </c>
      <c r="E1017" s="68"/>
      <c r="F1017" s="68">
        <v>953</v>
      </c>
      <c r="G1017" s="68">
        <v>961</v>
      </c>
      <c r="H10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18" spans="1:8" hidden="1" x14ac:dyDescent="0.3">
      <c r="A1018" t="s">
        <v>39</v>
      </c>
      <c r="B1018" t="s">
        <v>733</v>
      </c>
      <c r="C1018" t="s">
        <v>26</v>
      </c>
      <c r="D1018" s="68">
        <v>79</v>
      </c>
      <c r="E1018" s="68"/>
      <c r="F1018" s="68">
        <v>528</v>
      </c>
      <c r="G1018" s="68">
        <v>607</v>
      </c>
      <c r="H10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19" spans="1:8" hidden="1" x14ac:dyDescent="0.3">
      <c r="A1019" t="s">
        <v>39</v>
      </c>
      <c r="B1019" t="s">
        <v>733</v>
      </c>
      <c r="C1019" t="s">
        <v>27</v>
      </c>
      <c r="D1019" s="68"/>
      <c r="E1019" s="68">
        <v>214</v>
      </c>
      <c r="F1019" s="68"/>
      <c r="G1019" s="68">
        <v>214</v>
      </c>
      <c r="H10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20" spans="1:8" hidden="1" x14ac:dyDescent="0.3">
      <c r="A1020" t="s">
        <v>39</v>
      </c>
      <c r="B1020" t="s">
        <v>734</v>
      </c>
      <c r="C1020" t="s">
        <v>26</v>
      </c>
      <c r="D1020" s="68">
        <v>982</v>
      </c>
      <c r="E1020" s="68"/>
      <c r="F1020" s="68">
        <v>13074</v>
      </c>
      <c r="G1020" s="68">
        <v>14056</v>
      </c>
      <c r="H10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21" spans="1:8" hidden="1" x14ac:dyDescent="0.3">
      <c r="A1021" t="s">
        <v>39</v>
      </c>
      <c r="B1021" t="s">
        <v>734</v>
      </c>
      <c r="C1021" t="s">
        <v>27</v>
      </c>
      <c r="D1021" s="68"/>
      <c r="E1021" s="68">
        <v>321</v>
      </c>
      <c r="F1021" s="68"/>
      <c r="G1021" s="68">
        <v>321</v>
      </c>
      <c r="H10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22" spans="1:8" hidden="1" x14ac:dyDescent="0.3">
      <c r="A1022" t="s">
        <v>39</v>
      </c>
      <c r="B1022" t="s">
        <v>734</v>
      </c>
      <c r="C1022" t="s">
        <v>30</v>
      </c>
      <c r="D1022" s="68">
        <v>1</v>
      </c>
      <c r="E1022" s="68"/>
      <c r="F1022" s="68"/>
      <c r="G1022" s="68">
        <v>1</v>
      </c>
      <c r="H10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23" spans="1:8" hidden="1" x14ac:dyDescent="0.3">
      <c r="A1023" t="s">
        <v>39</v>
      </c>
      <c r="B1023" t="s">
        <v>735</v>
      </c>
      <c r="C1023" t="s">
        <v>588</v>
      </c>
      <c r="D1023" s="68">
        <v>467</v>
      </c>
      <c r="E1023" s="68"/>
      <c r="F1023" s="68">
        <v>6552</v>
      </c>
      <c r="G1023" s="68">
        <v>7019</v>
      </c>
      <c r="H10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24" spans="1:8" hidden="1" x14ac:dyDescent="0.3">
      <c r="A1024" t="s">
        <v>39</v>
      </c>
      <c r="B1024" t="s">
        <v>735</v>
      </c>
      <c r="C1024" t="s">
        <v>26</v>
      </c>
      <c r="D1024" s="68">
        <v>35</v>
      </c>
      <c r="E1024" s="68"/>
      <c r="F1024" s="68">
        <v>62</v>
      </c>
      <c r="G1024" s="68">
        <v>97</v>
      </c>
      <c r="H10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25" spans="1:8" hidden="1" x14ac:dyDescent="0.3">
      <c r="A1025" t="s">
        <v>39</v>
      </c>
      <c r="B1025" t="s">
        <v>735</v>
      </c>
      <c r="C1025" t="s">
        <v>27</v>
      </c>
      <c r="D1025" s="68"/>
      <c r="E1025" s="68">
        <v>73</v>
      </c>
      <c r="F1025" s="68"/>
      <c r="G1025" s="68">
        <v>73</v>
      </c>
      <c r="H10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26" spans="1:8" hidden="1" x14ac:dyDescent="0.3">
      <c r="A1026" t="s">
        <v>39</v>
      </c>
      <c r="B1026" t="s">
        <v>735</v>
      </c>
      <c r="C1026" t="s">
        <v>31</v>
      </c>
      <c r="D1026" s="68"/>
      <c r="E1026" s="68"/>
      <c r="F1026" s="68">
        <v>1</v>
      </c>
      <c r="G1026" s="68">
        <v>1</v>
      </c>
      <c r="H10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27" spans="1:8" hidden="1" x14ac:dyDescent="0.3">
      <c r="A1027" t="s">
        <v>39</v>
      </c>
      <c r="B1027" t="s">
        <v>736</v>
      </c>
      <c r="C1027" t="s">
        <v>588</v>
      </c>
      <c r="D1027" s="68">
        <v>1716</v>
      </c>
      <c r="E1027" s="68"/>
      <c r="F1027" s="68">
        <v>21271</v>
      </c>
      <c r="G1027" s="68">
        <v>22987</v>
      </c>
      <c r="H10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28" spans="1:8" hidden="1" x14ac:dyDescent="0.3">
      <c r="A1028" t="s">
        <v>39</v>
      </c>
      <c r="B1028" t="s">
        <v>736</v>
      </c>
      <c r="C1028" t="s">
        <v>27</v>
      </c>
      <c r="D1028" s="68"/>
      <c r="E1028" s="68">
        <v>397</v>
      </c>
      <c r="F1028" s="68"/>
      <c r="G1028" s="68">
        <v>397</v>
      </c>
      <c r="H10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29" spans="1:8" hidden="1" x14ac:dyDescent="0.3">
      <c r="A1029" t="s">
        <v>39</v>
      </c>
      <c r="B1029" t="s">
        <v>736</v>
      </c>
      <c r="C1029" t="s">
        <v>26</v>
      </c>
      <c r="D1029" s="68">
        <v>114</v>
      </c>
      <c r="E1029" s="68"/>
      <c r="F1029" s="68">
        <v>118</v>
      </c>
      <c r="G1029" s="68">
        <v>232</v>
      </c>
      <c r="H10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30" spans="1:8" hidden="1" x14ac:dyDescent="0.3">
      <c r="A1030" t="s">
        <v>39</v>
      </c>
      <c r="B1030" t="s">
        <v>736</v>
      </c>
      <c r="C1030" t="s">
        <v>36</v>
      </c>
      <c r="D1030" s="68">
        <v>2</v>
      </c>
      <c r="E1030" s="68"/>
      <c r="F1030" s="68"/>
      <c r="G1030" s="68">
        <v>2</v>
      </c>
      <c r="H10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1" spans="1:8" hidden="1" x14ac:dyDescent="0.3">
      <c r="A1031" t="s">
        <v>39</v>
      </c>
      <c r="B1031" t="s">
        <v>736</v>
      </c>
      <c r="C1031" t="s">
        <v>5</v>
      </c>
      <c r="D1031" s="68">
        <v>1</v>
      </c>
      <c r="E1031" s="68"/>
      <c r="F1031" s="68"/>
      <c r="G1031" s="68">
        <v>1</v>
      </c>
      <c r="H10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32" spans="1:8" hidden="1" x14ac:dyDescent="0.3">
      <c r="A1032" t="s">
        <v>39</v>
      </c>
      <c r="B1032" t="s">
        <v>736</v>
      </c>
      <c r="C1032" t="s">
        <v>30</v>
      </c>
      <c r="D1032" s="68"/>
      <c r="E1032" s="68"/>
      <c r="F1032" s="68">
        <v>1</v>
      </c>
      <c r="G1032" s="68">
        <v>1</v>
      </c>
      <c r="H10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3" spans="1:8" hidden="1" x14ac:dyDescent="0.3">
      <c r="A1033" t="s">
        <v>39</v>
      </c>
      <c r="B1033" t="s">
        <v>737</v>
      </c>
      <c r="C1033" t="s">
        <v>588</v>
      </c>
      <c r="D1033" s="68">
        <v>781</v>
      </c>
      <c r="E1033" s="68"/>
      <c r="F1033" s="68">
        <v>5390</v>
      </c>
      <c r="G1033" s="68">
        <v>6171</v>
      </c>
      <c r="H10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4" spans="1:8" hidden="1" x14ac:dyDescent="0.3">
      <c r="A1034" t="s">
        <v>39</v>
      </c>
      <c r="B1034" t="s">
        <v>737</v>
      </c>
      <c r="C1034" t="s">
        <v>26</v>
      </c>
      <c r="D1034" s="68">
        <v>119</v>
      </c>
      <c r="E1034" s="68"/>
      <c r="F1034" s="68">
        <v>95</v>
      </c>
      <c r="G1034" s="68">
        <v>214</v>
      </c>
      <c r="H10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35" spans="1:8" hidden="1" x14ac:dyDescent="0.3">
      <c r="A1035" t="s">
        <v>39</v>
      </c>
      <c r="B1035" t="s">
        <v>737</v>
      </c>
      <c r="C1035" t="s">
        <v>27</v>
      </c>
      <c r="D1035" s="68"/>
      <c r="E1035" s="68">
        <v>111</v>
      </c>
      <c r="F1035" s="68"/>
      <c r="G1035" s="68">
        <v>111</v>
      </c>
      <c r="H10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6" spans="1:8" hidden="1" x14ac:dyDescent="0.3">
      <c r="A1036" t="s">
        <v>39</v>
      </c>
      <c r="B1036" t="s">
        <v>738</v>
      </c>
      <c r="C1036" t="s">
        <v>588</v>
      </c>
      <c r="D1036" s="68">
        <v>859</v>
      </c>
      <c r="E1036" s="68"/>
      <c r="F1036" s="68">
        <v>6511</v>
      </c>
      <c r="G1036" s="68">
        <v>7370</v>
      </c>
      <c r="H10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7" spans="1:8" hidden="1" x14ac:dyDescent="0.3">
      <c r="A1037" t="s">
        <v>39</v>
      </c>
      <c r="B1037" t="s">
        <v>738</v>
      </c>
      <c r="C1037" t="s">
        <v>26</v>
      </c>
      <c r="D1037" s="68">
        <v>285</v>
      </c>
      <c r="E1037" s="68"/>
      <c r="F1037" s="68">
        <v>558</v>
      </c>
      <c r="G1037" s="68">
        <v>843</v>
      </c>
      <c r="H10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38" spans="1:8" hidden="1" x14ac:dyDescent="0.3">
      <c r="A1038" t="s">
        <v>39</v>
      </c>
      <c r="B1038" t="s">
        <v>738</v>
      </c>
      <c r="C1038" t="s">
        <v>27</v>
      </c>
      <c r="D1038" s="68"/>
      <c r="E1038" s="68">
        <v>264</v>
      </c>
      <c r="F1038" s="68"/>
      <c r="G1038" s="68">
        <v>264</v>
      </c>
      <c r="H10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9" spans="1:8" hidden="1" x14ac:dyDescent="0.3">
      <c r="A1039" t="s">
        <v>39</v>
      </c>
      <c r="B1039" t="s">
        <v>738</v>
      </c>
      <c r="C1039" t="s">
        <v>36</v>
      </c>
      <c r="D1039" s="68"/>
      <c r="E1039" s="68"/>
      <c r="F1039" s="68">
        <v>1</v>
      </c>
      <c r="G1039" s="68">
        <v>1</v>
      </c>
      <c r="H10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40" spans="1:8" hidden="1" x14ac:dyDescent="0.3">
      <c r="A1040" t="s">
        <v>39</v>
      </c>
      <c r="B1040" t="s">
        <v>739</v>
      </c>
      <c r="C1040" t="s">
        <v>588</v>
      </c>
      <c r="D1040" s="68">
        <v>1068</v>
      </c>
      <c r="E1040" s="68"/>
      <c r="F1040" s="68">
        <v>6930</v>
      </c>
      <c r="G1040" s="68">
        <v>7998</v>
      </c>
      <c r="H10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41" spans="1:8" hidden="1" x14ac:dyDescent="0.3">
      <c r="A1041" t="s">
        <v>39</v>
      </c>
      <c r="B1041" t="s">
        <v>739</v>
      </c>
      <c r="C1041" t="s">
        <v>27</v>
      </c>
      <c r="D1041" s="68"/>
      <c r="E1041" s="68">
        <v>93</v>
      </c>
      <c r="F1041" s="68"/>
      <c r="G1041" s="68">
        <v>93</v>
      </c>
      <c r="H10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42" spans="1:8" hidden="1" x14ac:dyDescent="0.3">
      <c r="A1042" t="s">
        <v>39</v>
      </c>
      <c r="B1042" t="s">
        <v>739</v>
      </c>
      <c r="C1042" t="s">
        <v>26</v>
      </c>
      <c r="D1042" s="68">
        <v>36</v>
      </c>
      <c r="E1042" s="68"/>
      <c r="F1042" s="68">
        <v>42</v>
      </c>
      <c r="G1042" s="68">
        <v>78</v>
      </c>
      <c r="H10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43" spans="1:8" hidden="1" x14ac:dyDescent="0.3">
      <c r="A1043" t="s">
        <v>39</v>
      </c>
      <c r="B1043" t="s">
        <v>740</v>
      </c>
      <c r="C1043" t="s">
        <v>588</v>
      </c>
      <c r="D1043" s="68">
        <v>902</v>
      </c>
      <c r="E1043" s="68"/>
      <c r="F1043" s="68">
        <v>5979</v>
      </c>
      <c r="G1043" s="68">
        <v>6881</v>
      </c>
      <c r="H10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44" spans="1:8" hidden="1" x14ac:dyDescent="0.3">
      <c r="A1044" t="s">
        <v>39</v>
      </c>
      <c r="B1044" t="s">
        <v>740</v>
      </c>
      <c r="C1044" t="s">
        <v>31</v>
      </c>
      <c r="D1044" s="68">
        <v>332</v>
      </c>
      <c r="E1044" s="68"/>
      <c r="F1044" s="68">
        <v>6418</v>
      </c>
      <c r="G1044" s="68">
        <v>6750</v>
      </c>
      <c r="H10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45" spans="1:8" hidden="1" x14ac:dyDescent="0.3">
      <c r="A1045" t="s">
        <v>39</v>
      </c>
      <c r="B1045" t="s">
        <v>740</v>
      </c>
      <c r="C1045" t="s">
        <v>26</v>
      </c>
      <c r="D1045" s="68">
        <v>372</v>
      </c>
      <c r="E1045" s="68"/>
      <c r="F1045" s="68">
        <v>2445</v>
      </c>
      <c r="G1045" s="68">
        <v>2817</v>
      </c>
      <c r="H10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46" spans="1:8" hidden="1" x14ac:dyDescent="0.3">
      <c r="A1046" t="s">
        <v>39</v>
      </c>
      <c r="B1046" t="s">
        <v>740</v>
      </c>
      <c r="C1046" t="s">
        <v>27</v>
      </c>
      <c r="D1046" s="68"/>
      <c r="E1046" s="68">
        <v>289</v>
      </c>
      <c r="F1046" s="68"/>
      <c r="G1046" s="68">
        <v>289</v>
      </c>
      <c r="H10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47" spans="1:8" hidden="1" x14ac:dyDescent="0.3">
      <c r="A1047" t="s">
        <v>39</v>
      </c>
      <c r="B1047" t="s">
        <v>741</v>
      </c>
      <c r="C1047" t="s">
        <v>30</v>
      </c>
      <c r="D1047" s="68">
        <v>43</v>
      </c>
      <c r="E1047" s="68"/>
      <c r="F1047" s="68">
        <v>3644</v>
      </c>
      <c r="G1047" s="68">
        <v>3687</v>
      </c>
      <c r="H10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48" spans="1:8" hidden="1" x14ac:dyDescent="0.3">
      <c r="A1048" t="s">
        <v>39</v>
      </c>
      <c r="B1048" t="s">
        <v>741</v>
      </c>
      <c r="C1048" t="s">
        <v>31</v>
      </c>
      <c r="D1048" s="68">
        <v>165</v>
      </c>
      <c r="E1048" s="68"/>
      <c r="F1048" s="68">
        <v>2991</v>
      </c>
      <c r="G1048" s="68">
        <v>3156</v>
      </c>
      <c r="H10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49" spans="1:8" hidden="1" x14ac:dyDescent="0.3">
      <c r="A1049" t="s">
        <v>39</v>
      </c>
      <c r="B1049" t="s">
        <v>741</v>
      </c>
      <c r="C1049" t="s">
        <v>26</v>
      </c>
      <c r="D1049" s="68">
        <v>200</v>
      </c>
      <c r="E1049" s="68"/>
      <c r="F1049" s="68">
        <v>2529</v>
      </c>
      <c r="G1049" s="68">
        <v>2729</v>
      </c>
      <c r="H10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50" spans="1:8" hidden="1" x14ac:dyDescent="0.3">
      <c r="A1050" t="s">
        <v>39</v>
      </c>
      <c r="B1050" t="s">
        <v>741</v>
      </c>
      <c r="C1050" t="s">
        <v>27</v>
      </c>
      <c r="D1050" s="68"/>
      <c r="E1050" s="68">
        <v>140</v>
      </c>
      <c r="F1050" s="68"/>
      <c r="G1050" s="68">
        <v>140</v>
      </c>
      <c r="H10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51" spans="1:8" hidden="1" x14ac:dyDescent="0.3">
      <c r="A1051" t="s">
        <v>39</v>
      </c>
      <c r="B1051" t="s">
        <v>742</v>
      </c>
      <c r="C1051" t="s">
        <v>588</v>
      </c>
      <c r="D1051" s="68">
        <v>3346</v>
      </c>
      <c r="E1051" s="68"/>
      <c r="F1051" s="68">
        <v>22054</v>
      </c>
      <c r="G1051" s="68">
        <v>25400</v>
      </c>
      <c r="H10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52" spans="1:8" hidden="1" x14ac:dyDescent="0.3">
      <c r="A1052" t="s">
        <v>39</v>
      </c>
      <c r="B1052" t="s">
        <v>742</v>
      </c>
      <c r="C1052" t="s">
        <v>27</v>
      </c>
      <c r="D1052" s="68"/>
      <c r="E1052" s="68">
        <v>481</v>
      </c>
      <c r="F1052" s="68"/>
      <c r="G1052" s="68">
        <v>481</v>
      </c>
      <c r="H10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53" spans="1:8" hidden="1" x14ac:dyDescent="0.3">
      <c r="A1053" t="s">
        <v>39</v>
      </c>
      <c r="B1053" t="s">
        <v>742</v>
      </c>
      <c r="C1053" t="s">
        <v>26</v>
      </c>
      <c r="D1053" s="68">
        <v>97</v>
      </c>
      <c r="E1053" s="68"/>
      <c r="F1053" s="68">
        <v>272</v>
      </c>
      <c r="G1053" s="68">
        <v>369</v>
      </c>
      <c r="H10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54" spans="1:8" hidden="1" x14ac:dyDescent="0.3">
      <c r="A1054" t="s">
        <v>39</v>
      </c>
      <c r="B1054" t="s">
        <v>742</v>
      </c>
      <c r="C1054" t="s">
        <v>30</v>
      </c>
      <c r="D1054" s="68"/>
      <c r="E1054" s="68"/>
      <c r="F1054" s="68">
        <v>1</v>
      </c>
      <c r="G1054" s="68">
        <v>1</v>
      </c>
      <c r="H10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55" spans="1:8" hidden="1" x14ac:dyDescent="0.3">
      <c r="A1055" t="s">
        <v>39</v>
      </c>
      <c r="B1055" t="s">
        <v>743</v>
      </c>
      <c r="C1055" t="s">
        <v>588</v>
      </c>
      <c r="D1055" s="68">
        <v>530</v>
      </c>
      <c r="E1055" s="68"/>
      <c r="F1055" s="68">
        <v>6983</v>
      </c>
      <c r="G1055" s="68">
        <v>7513</v>
      </c>
      <c r="H10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56" spans="1:8" hidden="1" x14ac:dyDescent="0.3">
      <c r="A1056" t="s">
        <v>39</v>
      </c>
      <c r="B1056" t="s">
        <v>743</v>
      </c>
      <c r="C1056" t="s">
        <v>26</v>
      </c>
      <c r="D1056" s="68">
        <v>93</v>
      </c>
      <c r="E1056" s="68"/>
      <c r="F1056" s="68">
        <v>876</v>
      </c>
      <c r="G1056" s="68">
        <v>969</v>
      </c>
      <c r="H10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57" spans="1:8" hidden="1" x14ac:dyDescent="0.3">
      <c r="A1057" t="s">
        <v>39</v>
      </c>
      <c r="B1057" t="s">
        <v>743</v>
      </c>
      <c r="C1057" t="s">
        <v>30</v>
      </c>
      <c r="D1057" s="68">
        <v>7</v>
      </c>
      <c r="E1057" s="68"/>
      <c r="F1057" s="68">
        <v>605</v>
      </c>
      <c r="G1057" s="68">
        <v>612</v>
      </c>
      <c r="H10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58" spans="1:8" hidden="1" x14ac:dyDescent="0.3">
      <c r="A1058" t="s">
        <v>39</v>
      </c>
      <c r="B1058" t="s">
        <v>743</v>
      </c>
      <c r="C1058" t="s">
        <v>27</v>
      </c>
      <c r="D1058" s="68"/>
      <c r="E1058" s="68">
        <v>149</v>
      </c>
      <c r="F1058" s="68"/>
      <c r="G1058" s="68">
        <v>149</v>
      </c>
      <c r="H10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59" spans="1:8" hidden="1" x14ac:dyDescent="0.3">
      <c r="A1059" t="s">
        <v>39</v>
      </c>
      <c r="B1059" t="s">
        <v>744</v>
      </c>
      <c r="C1059" t="s">
        <v>588</v>
      </c>
      <c r="D1059" s="68">
        <v>5051</v>
      </c>
      <c r="E1059" s="68"/>
      <c r="F1059" s="68">
        <v>31174</v>
      </c>
      <c r="G1059" s="68">
        <v>36225</v>
      </c>
      <c r="H10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60" spans="1:8" hidden="1" x14ac:dyDescent="0.3">
      <c r="A1060" t="s">
        <v>39</v>
      </c>
      <c r="B1060" t="s">
        <v>744</v>
      </c>
      <c r="C1060" t="s">
        <v>30</v>
      </c>
      <c r="D1060" s="68">
        <v>28</v>
      </c>
      <c r="E1060" s="68"/>
      <c r="F1060" s="68">
        <v>1079</v>
      </c>
      <c r="G1060" s="68">
        <v>1107</v>
      </c>
      <c r="H10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61" spans="1:8" hidden="1" x14ac:dyDescent="0.3">
      <c r="A1061" t="s">
        <v>39</v>
      </c>
      <c r="B1061" t="s">
        <v>744</v>
      </c>
      <c r="C1061" t="s">
        <v>26</v>
      </c>
      <c r="D1061" s="68">
        <v>359</v>
      </c>
      <c r="E1061" s="68"/>
      <c r="F1061" s="68">
        <v>705</v>
      </c>
      <c r="G1061" s="68">
        <v>1064</v>
      </c>
      <c r="H10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62" spans="1:8" hidden="1" x14ac:dyDescent="0.3">
      <c r="A1062" t="s">
        <v>39</v>
      </c>
      <c r="B1062" t="s">
        <v>744</v>
      </c>
      <c r="C1062" t="s">
        <v>27</v>
      </c>
      <c r="D1062" s="68"/>
      <c r="E1062" s="68">
        <v>860</v>
      </c>
      <c r="F1062" s="68"/>
      <c r="G1062" s="68">
        <v>860</v>
      </c>
      <c r="H10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63" spans="1:8" hidden="1" x14ac:dyDescent="0.3">
      <c r="A1063" t="s">
        <v>39</v>
      </c>
      <c r="B1063" t="s">
        <v>745</v>
      </c>
      <c r="C1063" t="s">
        <v>26</v>
      </c>
      <c r="D1063" s="68">
        <v>846</v>
      </c>
      <c r="E1063" s="68"/>
      <c r="F1063" s="68">
        <v>14398</v>
      </c>
      <c r="G1063" s="68">
        <v>15244</v>
      </c>
      <c r="H10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64" spans="1:8" hidden="1" x14ac:dyDescent="0.3">
      <c r="A1064" t="s">
        <v>39</v>
      </c>
      <c r="B1064" t="s">
        <v>745</v>
      </c>
      <c r="C1064" t="s">
        <v>27</v>
      </c>
      <c r="D1064" s="68"/>
      <c r="E1064" s="68">
        <v>410</v>
      </c>
      <c r="F1064" s="68"/>
      <c r="G1064" s="68">
        <v>410</v>
      </c>
      <c r="H10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65" spans="1:8" hidden="1" x14ac:dyDescent="0.3">
      <c r="A1065" t="s">
        <v>39</v>
      </c>
      <c r="B1065" t="s">
        <v>745</v>
      </c>
      <c r="C1065" t="s">
        <v>30</v>
      </c>
      <c r="D1065" s="68">
        <v>7</v>
      </c>
      <c r="E1065" s="68"/>
      <c r="F1065" s="68">
        <v>319</v>
      </c>
      <c r="G1065" s="68">
        <v>326</v>
      </c>
      <c r="H10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66" spans="1:8" hidden="1" x14ac:dyDescent="0.3">
      <c r="A1066" t="s">
        <v>39</v>
      </c>
      <c r="B1066" t="s">
        <v>745</v>
      </c>
      <c r="C1066" t="s">
        <v>36</v>
      </c>
      <c r="D1066" s="68">
        <v>2</v>
      </c>
      <c r="E1066" s="68"/>
      <c r="F1066" s="68"/>
      <c r="G1066" s="68">
        <v>2</v>
      </c>
      <c r="H10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67" spans="1:8" hidden="1" x14ac:dyDescent="0.3">
      <c r="A1067" t="s">
        <v>39</v>
      </c>
      <c r="B1067" t="s">
        <v>746</v>
      </c>
      <c r="C1067" t="s">
        <v>26</v>
      </c>
      <c r="D1067" s="68">
        <v>3308</v>
      </c>
      <c r="E1067" s="68"/>
      <c r="F1067" s="68">
        <v>23688</v>
      </c>
      <c r="G1067" s="68">
        <v>26996</v>
      </c>
      <c r="H10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68" spans="1:8" hidden="1" x14ac:dyDescent="0.3">
      <c r="A1068" t="s">
        <v>39</v>
      </c>
      <c r="B1068" t="s">
        <v>746</v>
      </c>
      <c r="C1068" t="s">
        <v>30</v>
      </c>
      <c r="D1068" s="68">
        <v>25</v>
      </c>
      <c r="E1068" s="68"/>
      <c r="F1068" s="68">
        <v>2297</v>
      </c>
      <c r="G1068" s="68">
        <v>2322</v>
      </c>
      <c r="H10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69" spans="1:8" hidden="1" x14ac:dyDescent="0.3">
      <c r="A1069" t="s">
        <v>39</v>
      </c>
      <c r="B1069" t="s">
        <v>746</v>
      </c>
      <c r="C1069" t="s">
        <v>27</v>
      </c>
      <c r="D1069" s="68"/>
      <c r="E1069" s="68">
        <v>259</v>
      </c>
      <c r="F1069" s="68"/>
      <c r="G1069" s="68">
        <v>259</v>
      </c>
      <c r="H10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70" spans="1:8" hidden="1" x14ac:dyDescent="0.3">
      <c r="A1070" t="s">
        <v>39</v>
      </c>
      <c r="B1070" t="s">
        <v>747</v>
      </c>
      <c r="C1070" t="s">
        <v>31</v>
      </c>
      <c r="D1070" s="68">
        <v>643</v>
      </c>
      <c r="E1070" s="68"/>
      <c r="F1070" s="68">
        <v>7847</v>
      </c>
      <c r="G1070" s="68">
        <v>8490</v>
      </c>
      <c r="H10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71" spans="1:8" hidden="1" x14ac:dyDescent="0.3">
      <c r="A1071" t="s">
        <v>39</v>
      </c>
      <c r="B1071" t="s">
        <v>747</v>
      </c>
      <c r="C1071" t="s">
        <v>30</v>
      </c>
      <c r="D1071" s="68">
        <v>78</v>
      </c>
      <c r="E1071" s="68"/>
      <c r="F1071" s="68">
        <v>2448</v>
      </c>
      <c r="G1071" s="68">
        <v>2526</v>
      </c>
      <c r="H10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72" spans="1:8" hidden="1" x14ac:dyDescent="0.3">
      <c r="A1072" t="s">
        <v>39</v>
      </c>
      <c r="B1072" t="s">
        <v>747</v>
      </c>
      <c r="C1072" t="s">
        <v>26</v>
      </c>
      <c r="D1072" s="68">
        <v>255</v>
      </c>
      <c r="E1072" s="68"/>
      <c r="F1072" s="68">
        <v>861</v>
      </c>
      <c r="G1072" s="68">
        <v>1116</v>
      </c>
      <c r="H10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73" spans="1:8" hidden="1" x14ac:dyDescent="0.3">
      <c r="A1073" t="s">
        <v>39</v>
      </c>
      <c r="B1073" t="s">
        <v>747</v>
      </c>
      <c r="C1073" t="s">
        <v>27</v>
      </c>
      <c r="D1073" s="68"/>
      <c r="E1073" s="68">
        <v>141</v>
      </c>
      <c r="F1073" s="68"/>
      <c r="G1073" s="68">
        <v>141</v>
      </c>
      <c r="H10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74" spans="1:8" hidden="1" x14ac:dyDescent="0.3">
      <c r="A1074" t="s">
        <v>39</v>
      </c>
      <c r="B1074" t="s">
        <v>748</v>
      </c>
      <c r="C1074" t="s">
        <v>588</v>
      </c>
      <c r="D1074" s="68">
        <v>5349</v>
      </c>
      <c r="E1074" s="68"/>
      <c r="F1074" s="68">
        <v>32753</v>
      </c>
      <c r="G1074" s="68">
        <v>38102</v>
      </c>
      <c r="H10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75" spans="1:8" hidden="1" x14ac:dyDescent="0.3">
      <c r="A1075" t="s">
        <v>39</v>
      </c>
      <c r="B1075" t="s">
        <v>748</v>
      </c>
      <c r="C1075" t="s">
        <v>26</v>
      </c>
      <c r="D1075" s="68">
        <v>1548</v>
      </c>
      <c r="E1075" s="68"/>
      <c r="F1075" s="68">
        <v>4909</v>
      </c>
      <c r="G1075" s="68">
        <v>6457</v>
      </c>
      <c r="H10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76" spans="1:8" hidden="1" x14ac:dyDescent="0.3">
      <c r="A1076" t="s">
        <v>39</v>
      </c>
      <c r="B1076" t="s">
        <v>748</v>
      </c>
      <c r="C1076" t="s">
        <v>31</v>
      </c>
      <c r="D1076" s="68">
        <v>223</v>
      </c>
      <c r="E1076" s="68"/>
      <c r="F1076" s="68">
        <v>4361</v>
      </c>
      <c r="G1076" s="68">
        <v>4584</v>
      </c>
      <c r="H10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77" spans="1:8" hidden="1" x14ac:dyDescent="0.3">
      <c r="A1077" t="s">
        <v>39</v>
      </c>
      <c r="B1077" t="s">
        <v>748</v>
      </c>
      <c r="C1077" t="s">
        <v>30</v>
      </c>
      <c r="D1077" s="68">
        <v>54</v>
      </c>
      <c r="E1077" s="68"/>
      <c r="F1077" s="68">
        <v>1899</v>
      </c>
      <c r="G1077" s="68">
        <v>1953</v>
      </c>
      <c r="H10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78" spans="1:8" hidden="1" x14ac:dyDescent="0.3">
      <c r="A1078" t="s">
        <v>39</v>
      </c>
      <c r="B1078" t="s">
        <v>748</v>
      </c>
      <c r="C1078" t="s">
        <v>27</v>
      </c>
      <c r="D1078" s="68"/>
      <c r="E1078" s="68">
        <v>1374</v>
      </c>
      <c r="F1078" s="68"/>
      <c r="G1078" s="68">
        <v>1374</v>
      </c>
      <c r="H10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79" spans="1:8" hidden="1" x14ac:dyDescent="0.3">
      <c r="A1079" t="s">
        <v>39</v>
      </c>
      <c r="B1079" t="s">
        <v>749</v>
      </c>
      <c r="C1079" t="s">
        <v>588</v>
      </c>
      <c r="D1079" s="68">
        <v>1947</v>
      </c>
      <c r="E1079" s="68"/>
      <c r="F1079" s="68">
        <v>10291</v>
      </c>
      <c r="G1079" s="68">
        <v>12238</v>
      </c>
      <c r="H10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80" spans="1:8" hidden="1" x14ac:dyDescent="0.3">
      <c r="A1080" t="s">
        <v>39</v>
      </c>
      <c r="B1080" t="s">
        <v>749</v>
      </c>
      <c r="C1080" t="s">
        <v>31</v>
      </c>
      <c r="D1080" s="68">
        <v>357</v>
      </c>
      <c r="E1080" s="68"/>
      <c r="F1080" s="68">
        <v>3977</v>
      </c>
      <c r="G1080" s="68">
        <v>4334</v>
      </c>
      <c r="H10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81" spans="1:8" hidden="1" x14ac:dyDescent="0.3">
      <c r="A1081" t="s">
        <v>39</v>
      </c>
      <c r="B1081" t="s">
        <v>749</v>
      </c>
      <c r="C1081" t="s">
        <v>26</v>
      </c>
      <c r="D1081" s="68">
        <v>504</v>
      </c>
      <c r="E1081" s="68"/>
      <c r="F1081" s="68">
        <v>2018</v>
      </c>
      <c r="G1081" s="68">
        <v>2522</v>
      </c>
      <c r="H10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82" spans="1:8" hidden="1" x14ac:dyDescent="0.3">
      <c r="A1082" t="s">
        <v>39</v>
      </c>
      <c r="B1082" t="s">
        <v>749</v>
      </c>
      <c r="C1082" t="s">
        <v>30</v>
      </c>
      <c r="D1082" s="68">
        <v>10</v>
      </c>
      <c r="E1082" s="68"/>
      <c r="F1082" s="68">
        <v>77</v>
      </c>
      <c r="G1082" s="68">
        <v>87</v>
      </c>
      <c r="H10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83" spans="1:8" hidden="1" x14ac:dyDescent="0.3">
      <c r="A1083" t="s">
        <v>39</v>
      </c>
      <c r="B1083" t="s">
        <v>749</v>
      </c>
      <c r="C1083" t="s">
        <v>27</v>
      </c>
      <c r="D1083" s="68"/>
      <c r="E1083" s="68">
        <v>72</v>
      </c>
      <c r="F1083" s="68"/>
      <c r="G1083" s="68">
        <v>72</v>
      </c>
      <c r="H10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84" spans="1:8" hidden="1" x14ac:dyDescent="0.3">
      <c r="A1084" t="s">
        <v>39</v>
      </c>
      <c r="B1084" t="s">
        <v>749</v>
      </c>
      <c r="C1084" t="s">
        <v>34</v>
      </c>
      <c r="D1084" s="68">
        <v>2</v>
      </c>
      <c r="E1084" s="68"/>
      <c r="F1084" s="68"/>
      <c r="G1084" s="68">
        <v>2</v>
      </c>
      <c r="H10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85" spans="1:8" hidden="1" x14ac:dyDescent="0.3">
      <c r="A1085" t="s">
        <v>39</v>
      </c>
      <c r="B1085" t="s">
        <v>750</v>
      </c>
      <c r="C1085" t="s">
        <v>26</v>
      </c>
      <c r="D1085" s="68">
        <v>5789</v>
      </c>
      <c r="E1085" s="68"/>
      <c r="F1085" s="68">
        <v>38334</v>
      </c>
      <c r="G1085" s="68">
        <v>44123</v>
      </c>
      <c r="H10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86" spans="1:8" hidden="1" x14ac:dyDescent="0.3">
      <c r="A1086" t="s">
        <v>39</v>
      </c>
      <c r="B1086" t="s">
        <v>750</v>
      </c>
      <c r="C1086" t="s">
        <v>30</v>
      </c>
      <c r="D1086" s="68">
        <v>71</v>
      </c>
      <c r="E1086" s="68"/>
      <c r="F1086" s="68">
        <v>2668</v>
      </c>
      <c r="G1086" s="68">
        <v>2739</v>
      </c>
      <c r="H10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87" spans="1:8" hidden="1" x14ac:dyDescent="0.3">
      <c r="A1087" t="s">
        <v>39</v>
      </c>
      <c r="B1087" t="s">
        <v>750</v>
      </c>
      <c r="C1087" t="s">
        <v>27</v>
      </c>
      <c r="D1087" s="68"/>
      <c r="E1087" s="68">
        <v>700</v>
      </c>
      <c r="F1087" s="68"/>
      <c r="G1087" s="68">
        <v>700</v>
      </c>
      <c r="H10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88" spans="1:8" hidden="1" x14ac:dyDescent="0.3">
      <c r="A1088" t="s">
        <v>39</v>
      </c>
      <c r="B1088" t="s">
        <v>751</v>
      </c>
      <c r="C1088" t="s">
        <v>588</v>
      </c>
      <c r="D1088" s="68">
        <v>819</v>
      </c>
      <c r="E1088" s="68"/>
      <c r="F1088" s="68">
        <v>9462</v>
      </c>
      <c r="G1088" s="68">
        <v>10281</v>
      </c>
      <c r="H10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89" spans="1:8" hidden="1" x14ac:dyDescent="0.3">
      <c r="A1089" t="s">
        <v>39</v>
      </c>
      <c r="B1089" t="s">
        <v>751</v>
      </c>
      <c r="C1089" t="s">
        <v>26</v>
      </c>
      <c r="D1089" s="68">
        <v>977</v>
      </c>
      <c r="E1089" s="68"/>
      <c r="F1089" s="68">
        <v>6614</v>
      </c>
      <c r="G1089" s="68">
        <v>7591</v>
      </c>
      <c r="H10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90" spans="1:8" hidden="1" x14ac:dyDescent="0.3">
      <c r="A1090" t="s">
        <v>39</v>
      </c>
      <c r="B1090" t="s">
        <v>751</v>
      </c>
      <c r="C1090" t="s">
        <v>30</v>
      </c>
      <c r="D1090" s="68">
        <v>9</v>
      </c>
      <c r="E1090" s="68"/>
      <c r="F1090" s="68">
        <v>699</v>
      </c>
      <c r="G1090" s="68">
        <v>708</v>
      </c>
      <c r="H10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91" spans="1:8" hidden="1" x14ac:dyDescent="0.3">
      <c r="A1091" t="s">
        <v>39</v>
      </c>
      <c r="B1091" t="s">
        <v>751</v>
      </c>
      <c r="C1091" t="s">
        <v>27</v>
      </c>
      <c r="D1091" s="68"/>
      <c r="E1091" s="68">
        <v>478</v>
      </c>
      <c r="F1091" s="68"/>
      <c r="G1091" s="68">
        <v>478</v>
      </c>
      <c r="H10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92" spans="1:8" hidden="1" x14ac:dyDescent="0.3">
      <c r="A1092" t="s">
        <v>39</v>
      </c>
      <c r="B1092" t="s">
        <v>752</v>
      </c>
      <c r="C1092" t="s">
        <v>588</v>
      </c>
      <c r="D1092" s="68">
        <v>1291</v>
      </c>
      <c r="E1092" s="68"/>
      <c r="F1092" s="68">
        <v>6243</v>
      </c>
      <c r="G1092" s="68">
        <v>7534</v>
      </c>
      <c r="H10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93" spans="1:8" hidden="1" x14ac:dyDescent="0.3">
      <c r="A1093" t="s">
        <v>39</v>
      </c>
      <c r="B1093" t="s">
        <v>752</v>
      </c>
      <c r="C1093" t="s">
        <v>26</v>
      </c>
      <c r="D1093" s="68">
        <v>147</v>
      </c>
      <c r="E1093" s="68"/>
      <c r="F1093" s="68">
        <v>399</v>
      </c>
      <c r="G1093" s="68">
        <v>546</v>
      </c>
      <c r="H10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94" spans="1:8" hidden="1" x14ac:dyDescent="0.3">
      <c r="A1094" t="s">
        <v>39</v>
      </c>
      <c r="B1094" t="s">
        <v>752</v>
      </c>
      <c r="C1094" t="s">
        <v>31</v>
      </c>
      <c r="D1094" s="68">
        <v>18</v>
      </c>
      <c r="E1094" s="68"/>
      <c r="F1094" s="68">
        <v>313</v>
      </c>
      <c r="G1094" s="68">
        <v>331</v>
      </c>
      <c r="H10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95" spans="1:8" hidden="1" x14ac:dyDescent="0.3">
      <c r="A1095" t="s">
        <v>39</v>
      </c>
      <c r="B1095" t="s">
        <v>752</v>
      </c>
      <c r="C1095" t="s">
        <v>27</v>
      </c>
      <c r="D1095" s="68"/>
      <c r="E1095" s="68">
        <v>243</v>
      </c>
      <c r="F1095" s="68"/>
      <c r="G1095" s="68">
        <v>243</v>
      </c>
      <c r="H10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96" spans="1:8" hidden="1" x14ac:dyDescent="0.3">
      <c r="A1096" t="s">
        <v>39</v>
      </c>
      <c r="B1096" t="s">
        <v>752</v>
      </c>
      <c r="C1096" t="s">
        <v>35</v>
      </c>
      <c r="D1096" s="68">
        <v>90</v>
      </c>
      <c r="E1096" s="68"/>
      <c r="F1096" s="68"/>
      <c r="G1096" s="68">
        <v>90</v>
      </c>
      <c r="H10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97" spans="1:8" hidden="1" x14ac:dyDescent="0.3">
      <c r="A1097" t="s">
        <v>39</v>
      </c>
      <c r="B1097" t="s">
        <v>752</v>
      </c>
      <c r="C1097" t="s">
        <v>36</v>
      </c>
      <c r="D1097" s="68">
        <v>1</v>
      </c>
      <c r="E1097" s="68"/>
      <c r="F1097" s="68"/>
      <c r="G1097" s="68">
        <v>1</v>
      </c>
      <c r="H10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98" spans="1:8" hidden="1" x14ac:dyDescent="0.3">
      <c r="A1098" t="s">
        <v>39</v>
      </c>
      <c r="B1098" t="s">
        <v>753</v>
      </c>
      <c r="C1098" t="s">
        <v>588</v>
      </c>
      <c r="D1098" s="68">
        <v>1519</v>
      </c>
      <c r="E1098" s="68"/>
      <c r="F1098" s="68">
        <v>11205</v>
      </c>
      <c r="G1098" s="68">
        <v>12724</v>
      </c>
      <c r="H10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99" spans="1:8" hidden="1" x14ac:dyDescent="0.3">
      <c r="A1099" t="s">
        <v>39</v>
      </c>
      <c r="B1099" t="s">
        <v>753</v>
      </c>
      <c r="C1099" t="s">
        <v>26</v>
      </c>
      <c r="D1099" s="68">
        <v>94</v>
      </c>
      <c r="E1099" s="68"/>
      <c r="F1099" s="68">
        <v>389</v>
      </c>
      <c r="G1099" s="68">
        <v>483</v>
      </c>
      <c r="H10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00" spans="1:8" hidden="1" x14ac:dyDescent="0.3">
      <c r="A1100" t="s">
        <v>39</v>
      </c>
      <c r="B1100" t="s">
        <v>753</v>
      </c>
      <c r="C1100" t="s">
        <v>27</v>
      </c>
      <c r="D1100" s="68"/>
      <c r="E1100" s="68">
        <v>271</v>
      </c>
      <c r="F1100" s="68"/>
      <c r="G1100" s="68">
        <v>271</v>
      </c>
      <c r="H11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01" spans="1:8" hidden="1" x14ac:dyDescent="0.3">
      <c r="A1101" t="s">
        <v>39</v>
      </c>
      <c r="B1101" t="s">
        <v>754</v>
      </c>
      <c r="C1101" t="s">
        <v>588</v>
      </c>
      <c r="D1101" s="68">
        <v>755</v>
      </c>
      <c r="E1101" s="68"/>
      <c r="F1101" s="68">
        <v>16064</v>
      </c>
      <c r="G1101" s="68">
        <v>16819</v>
      </c>
      <c r="H11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02" spans="1:8" hidden="1" x14ac:dyDescent="0.3">
      <c r="A1102" t="s">
        <v>39</v>
      </c>
      <c r="B1102" t="s">
        <v>754</v>
      </c>
      <c r="C1102" t="s">
        <v>30</v>
      </c>
      <c r="D1102" s="68">
        <v>37</v>
      </c>
      <c r="E1102" s="68"/>
      <c r="F1102" s="68">
        <v>4648</v>
      </c>
      <c r="G1102" s="68">
        <v>4685</v>
      </c>
      <c r="H11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03" spans="1:8" hidden="1" x14ac:dyDescent="0.3">
      <c r="A1103" t="s">
        <v>39</v>
      </c>
      <c r="B1103" t="s">
        <v>754</v>
      </c>
      <c r="C1103" t="s">
        <v>26</v>
      </c>
      <c r="D1103" s="68">
        <v>61</v>
      </c>
      <c r="E1103" s="68"/>
      <c r="F1103" s="68">
        <v>652</v>
      </c>
      <c r="G1103" s="68">
        <v>713</v>
      </c>
      <c r="H11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04" spans="1:8" hidden="1" x14ac:dyDescent="0.3">
      <c r="A1104" t="s">
        <v>39</v>
      </c>
      <c r="B1104" t="s">
        <v>754</v>
      </c>
      <c r="C1104" t="s">
        <v>27</v>
      </c>
      <c r="D1104" s="68"/>
      <c r="E1104" s="68">
        <v>342</v>
      </c>
      <c r="F1104" s="68"/>
      <c r="G1104" s="68">
        <v>342</v>
      </c>
      <c r="H11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05" spans="1:8" hidden="1" x14ac:dyDescent="0.3">
      <c r="A1105" t="s">
        <v>39</v>
      </c>
      <c r="B1105" t="s">
        <v>754</v>
      </c>
      <c r="C1105" t="s">
        <v>537</v>
      </c>
      <c r="D1105" s="68"/>
      <c r="E1105" s="68"/>
      <c r="F1105" s="68">
        <v>1</v>
      </c>
      <c r="G1105" s="68">
        <v>1</v>
      </c>
      <c r="H11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06" spans="1:8" hidden="1" x14ac:dyDescent="0.3">
      <c r="A1106" t="s">
        <v>39</v>
      </c>
      <c r="B1106" t="s">
        <v>755</v>
      </c>
      <c r="C1106" t="s">
        <v>588</v>
      </c>
      <c r="D1106" s="68">
        <v>9025</v>
      </c>
      <c r="E1106" s="68"/>
      <c r="F1106" s="68">
        <v>33705</v>
      </c>
      <c r="G1106" s="68">
        <v>42730</v>
      </c>
      <c r="H11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07" spans="1:8" hidden="1" x14ac:dyDescent="0.3">
      <c r="A1107" t="s">
        <v>39</v>
      </c>
      <c r="B1107" t="s">
        <v>755</v>
      </c>
      <c r="C1107" t="s">
        <v>36</v>
      </c>
      <c r="D1107" s="68">
        <v>21749</v>
      </c>
      <c r="E1107" s="68"/>
      <c r="F1107" s="68">
        <v>6978</v>
      </c>
      <c r="G1107" s="68">
        <v>28727</v>
      </c>
      <c r="H11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08" spans="1:8" hidden="1" x14ac:dyDescent="0.3">
      <c r="A1108" t="s">
        <v>39</v>
      </c>
      <c r="B1108" t="s">
        <v>755</v>
      </c>
      <c r="C1108" t="s">
        <v>26</v>
      </c>
      <c r="D1108" s="68">
        <v>4117</v>
      </c>
      <c r="E1108" s="68"/>
      <c r="F1108" s="68">
        <v>7771</v>
      </c>
      <c r="G1108" s="68">
        <v>11888</v>
      </c>
      <c r="H11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09" spans="1:8" hidden="1" x14ac:dyDescent="0.3">
      <c r="A1109" t="s">
        <v>39</v>
      </c>
      <c r="B1109" t="s">
        <v>755</v>
      </c>
      <c r="C1109" t="s">
        <v>31</v>
      </c>
      <c r="D1109" s="68">
        <v>412</v>
      </c>
      <c r="E1109" s="68"/>
      <c r="F1109" s="68">
        <v>4931</v>
      </c>
      <c r="G1109" s="68">
        <v>5343</v>
      </c>
      <c r="H11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10" spans="1:8" hidden="1" x14ac:dyDescent="0.3">
      <c r="A1110" t="s">
        <v>39</v>
      </c>
      <c r="B1110" t="s">
        <v>755</v>
      </c>
      <c r="C1110" t="s">
        <v>37</v>
      </c>
      <c r="D1110" s="68">
        <v>501</v>
      </c>
      <c r="E1110" s="68"/>
      <c r="F1110" s="68">
        <v>850</v>
      </c>
      <c r="G1110" s="68">
        <v>1351</v>
      </c>
      <c r="H11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11" spans="1:8" hidden="1" x14ac:dyDescent="0.3">
      <c r="A1111" t="s">
        <v>39</v>
      </c>
      <c r="B1111" t="s">
        <v>755</v>
      </c>
      <c r="C1111" t="s">
        <v>27</v>
      </c>
      <c r="D1111" s="68"/>
      <c r="E1111" s="68">
        <v>953</v>
      </c>
      <c r="F1111" s="68"/>
      <c r="G1111" s="68">
        <v>953</v>
      </c>
      <c r="H11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12" spans="1:8" hidden="1" x14ac:dyDescent="0.3">
      <c r="A1112" t="s">
        <v>39</v>
      </c>
      <c r="B1112" t="s">
        <v>755</v>
      </c>
      <c r="C1112" t="s">
        <v>30</v>
      </c>
      <c r="D1112" s="68">
        <v>55</v>
      </c>
      <c r="E1112" s="68"/>
      <c r="F1112" s="68">
        <v>512</v>
      </c>
      <c r="G1112" s="68">
        <v>567</v>
      </c>
      <c r="H11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13" spans="1:8" hidden="1" x14ac:dyDescent="0.3">
      <c r="A1113" t="s">
        <v>39</v>
      </c>
      <c r="B1113" t="s">
        <v>755</v>
      </c>
      <c r="C1113" t="s">
        <v>32</v>
      </c>
      <c r="D1113" s="68">
        <v>13</v>
      </c>
      <c r="E1113" s="68"/>
      <c r="F1113" s="68">
        <v>6</v>
      </c>
      <c r="G1113" s="68">
        <v>19</v>
      </c>
      <c r="H11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14" spans="1:8" hidden="1" x14ac:dyDescent="0.3">
      <c r="A1114" t="s">
        <v>39</v>
      </c>
      <c r="B1114" t="s">
        <v>755</v>
      </c>
      <c r="C1114" t="s">
        <v>5</v>
      </c>
      <c r="D1114" s="68">
        <v>4</v>
      </c>
      <c r="E1114" s="68"/>
      <c r="F1114" s="68"/>
      <c r="G1114" s="68">
        <v>4</v>
      </c>
      <c r="H11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15" spans="1:8" hidden="1" x14ac:dyDescent="0.3">
      <c r="A1115" t="s">
        <v>39</v>
      </c>
      <c r="B1115" t="s">
        <v>756</v>
      </c>
      <c r="C1115" t="s">
        <v>588</v>
      </c>
      <c r="D1115" s="68">
        <v>3422</v>
      </c>
      <c r="E1115" s="68"/>
      <c r="F1115" s="68">
        <v>9698</v>
      </c>
      <c r="G1115" s="68">
        <v>13120</v>
      </c>
      <c r="H11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16" spans="1:8" hidden="1" x14ac:dyDescent="0.3">
      <c r="A1116" t="s">
        <v>39</v>
      </c>
      <c r="B1116" t="s">
        <v>756</v>
      </c>
      <c r="C1116" t="s">
        <v>26</v>
      </c>
      <c r="D1116" s="68">
        <v>503</v>
      </c>
      <c r="E1116" s="68"/>
      <c r="F1116" s="68">
        <v>818</v>
      </c>
      <c r="G1116" s="68">
        <v>1321</v>
      </c>
      <c r="H11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17" spans="1:8" hidden="1" x14ac:dyDescent="0.3">
      <c r="A1117" t="s">
        <v>39</v>
      </c>
      <c r="B1117" t="s">
        <v>756</v>
      </c>
      <c r="C1117" t="s">
        <v>27</v>
      </c>
      <c r="D1117" s="68"/>
      <c r="E1117" s="68">
        <v>97</v>
      </c>
      <c r="F1117" s="68"/>
      <c r="G1117" s="68">
        <v>97</v>
      </c>
      <c r="H11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18" spans="1:8" hidden="1" x14ac:dyDescent="0.3">
      <c r="A1118" t="s">
        <v>39</v>
      </c>
      <c r="B1118" t="s">
        <v>756</v>
      </c>
      <c r="C1118" t="s">
        <v>31</v>
      </c>
      <c r="D1118" s="68">
        <v>1</v>
      </c>
      <c r="E1118" s="68"/>
      <c r="F1118" s="68"/>
      <c r="G1118" s="68">
        <v>1</v>
      </c>
      <c r="H11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19" spans="1:8" hidden="1" x14ac:dyDescent="0.3">
      <c r="A1119" t="s">
        <v>39</v>
      </c>
      <c r="B1119" t="s">
        <v>757</v>
      </c>
      <c r="C1119" t="s">
        <v>588</v>
      </c>
      <c r="D1119" s="68">
        <v>2111</v>
      </c>
      <c r="E1119" s="68"/>
      <c r="F1119" s="68">
        <v>13804</v>
      </c>
      <c r="G1119" s="68">
        <v>15915</v>
      </c>
      <c r="H11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20" spans="1:8" hidden="1" x14ac:dyDescent="0.3">
      <c r="A1120" t="s">
        <v>39</v>
      </c>
      <c r="B1120" t="s">
        <v>757</v>
      </c>
      <c r="C1120" t="s">
        <v>31</v>
      </c>
      <c r="D1120" s="68">
        <v>141</v>
      </c>
      <c r="E1120" s="68"/>
      <c r="F1120" s="68">
        <v>2741</v>
      </c>
      <c r="G1120" s="68">
        <v>2882</v>
      </c>
      <c r="H11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21" spans="1:8" hidden="1" x14ac:dyDescent="0.3">
      <c r="A1121" t="s">
        <v>39</v>
      </c>
      <c r="B1121" t="s">
        <v>757</v>
      </c>
      <c r="C1121" t="s">
        <v>26</v>
      </c>
      <c r="D1121" s="68">
        <v>213</v>
      </c>
      <c r="E1121" s="68"/>
      <c r="F1121" s="68">
        <v>1319</v>
      </c>
      <c r="G1121" s="68">
        <v>1532</v>
      </c>
      <c r="H11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22" spans="1:8" hidden="1" x14ac:dyDescent="0.3">
      <c r="A1122" t="s">
        <v>39</v>
      </c>
      <c r="B1122" t="s">
        <v>757</v>
      </c>
      <c r="C1122" t="s">
        <v>27</v>
      </c>
      <c r="D1122" s="68"/>
      <c r="E1122" s="68">
        <v>198</v>
      </c>
      <c r="F1122" s="68"/>
      <c r="G1122" s="68">
        <v>198</v>
      </c>
      <c r="H11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23" spans="1:8" hidden="1" x14ac:dyDescent="0.3">
      <c r="A1123" t="s">
        <v>39</v>
      </c>
      <c r="B1123" t="s">
        <v>757</v>
      </c>
      <c r="C1123" t="s">
        <v>5</v>
      </c>
      <c r="D1123" s="68">
        <v>1</v>
      </c>
      <c r="E1123" s="68"/>
      <c r="F1123" s="68"/>
      <c r="G1123" s="68">
        <v>1</v>
      </c>
      <c r="H11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24" spans="1:8" hidden="1" x14ac:dyDescent="0.3">
      <c r="A1124" t="s">
        <v>39</v>
      </c>
      <c r="B1124" t="s">
        <v>758</v>
      </c>
      <c r="C1124" t="s">
        <v>588</v>
      </c>
      <c r="D1124" s="68">
        <v>1610</v>
      </c>
      <c r="E1124" s="68"/>
      <c r="F1124" s="68">
        <v>7559</v>
      </c>
      <c r="G1124" s="68">
        <v>9169</v>
      </c>
      <c r="H11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25" spans="1:8" hidden="1" x14ac:dyDescent="0.3">
      <c r="A1125" t="s">
        <v>39</v>
      </c>
      <c r="B1125" t="s">
        <v>758</v>
      </c>
      <c r="C1125" t="s">
        <v>31</v>
      </c>
      <c r="D1125" s="68">
        <v>226</v>
      </c>
      <c r="E1125" s="68"/>
      <c r="F1125" s="68">
        <v>2587</v>
      </c>
      <c r="G1125" s="68">
        <v>2813</v>
      </c>
      <c r="H11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26" spans="1:8" hidden="1" x14ac:dyDescent="0.3">
      <c r="A1126" t="s">
        <v>39</v>
      </c>
      <c r="B1126" t="s">
        <v>758</v>
      </c>
      <c r="C1126" t="s">
        <v>27</v>
      </c>
      <c r="D1126" s="68"/>
      <c r="E1126" s="68">
        <v>183</v>
      </c>
      <c r="F1126" s="68"/>
      <c r="G1126" s="68">
        <v>183</v>
      </c>
      <c r="H11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27" spans="1:8" hidden="1" x14ac:dyDescent="0.3">
      <c r="A1127" t="s">
        <v>39</v>
      </c>
      <c r="B1127" t="s">
        <v>758</v>
      </c>
      <c r="C1127" t="s">
        <v>26</v>
      </c>
      <c r="D1127" s="68">
        <v>86</v>
      </c>
      <c r="E1127" s="68"/>
      <c r="F1127" s="68">
        <v>82</v>
      </c>
      <c r="G1127" s="68">
        <v>168</v>
      </c>
      <c r="H11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28" spans="1:8" hidden="1" x14ac:dyDescent="0.3">
      <c r="A1128" t="s">
        <v>39</v>
      </c>
      <c r="B1128" t="s">
        <v>758</v>
      </c>
      <c r="C1128" t="s">
        <v>36</v>
      </c>
      <c r="D1128" s="68">
        <v>2</v>
      </c>
      <c r="E1128" s="68"/>
      <c r="F1128" s="68"/>
      <c r="G1128" s="68">
        <v>2</v>
      </c>
      <c r="H11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29" spans="1:8" hidden="1" x14ac:dyDescent="0.3">
      <c r="A1129" t="s">
        <v>39</v>
      </c>
      <c r="B1129" t="s">
        <v>758</v>
      </c>
      <c r="C1129" t="s">
        <v>30</v>
      </c>
      <c r="D1129" s="68"/>
      <c r="E1129" s="68"/>
      <c r="F1129" s="68">
        <v>1</v>
      </c>
      <c r="G1129" s="68">
        <v>1</v>
      </c>
      <c r="H11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30" spans="1:8" hidden="1" x14ac:dyDescent="0.3">
      <c r="A1130" t="s">
        <v>759</v>
      </c>
      <c r="B1130" t="s">
        <v>760</v>
      </c>
      <c r="C1130" t="s">
        <v>26</v>
      </c>
      <c r="D1130" s="68">
        <v>177</v>
      </c>
      <c r="E1130" s="68"/>
      <c r="F1130" s="68">
        <v>1036</v>
      </c>
      <c r="G1130" s="68">
        <v>1213</v>
      </c>
      <c r="H11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31" spans="1:8" hidden="1" x14ac:dyDescent="0.3">
      <c r="A1131" t="s">
        <v>759</v>
      </c>
      <c r="B1131" t="s">
        <v>760</v>
      </c>
      <c r="C1131" t="s">
        <v>30</v>
      </c>
      <c r="D1131" s="68">
        <v>1</v>
      </c>
      <c r="E1131" s="68"/>
      <c r="F1131" s="68">
        <v>64</v>
      </c>
      <c r="G1131" s="68">
        <v>65</v>
      </c>
      <c r="H11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32" spans="1:8" hidden="1" x14ac:dyDescent="0.3">
      <c r="A1132" t="s">
        <v>759</v>
      </c>
      <c r="B1132" t="s">
        <v>760</v>
      </c>
      <c r="C1132" t="s">
        <v>27</v>
      </c>
      <c r="D1132" s="68"/>
      <c r="E1132" s="68">
        <v>15</v>
      </c>
      <c r="F1132" s="68"/>
      <c r="G1132" s="68">
        <v>15</v>
      </c>
      <c r="H11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33" spans="1:8" hidden="1" x14ac:dyDescent="0.3">
      <c r="A1133" t="s">
        <v>759</v>
      </c>
      <c r="B1133" t="s">
        <v>761</v>
      </c>
      <c r="C1133" t="s">
        <v>26</v>
      </c>
      <c r="D1133" s="68">
        <v>769</v>
      </c>
      <c r="E1133" s="68"/>
      <c r="F1133" s="68">
        <v>9363</v>
      </c>
      <c r="G1133" s="68">
        <v>10132</v>
      </c>
      <c r="H11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34" spans="1:8" hidden="1" x14ac:dyDescent="0.3">
      <c r="A1134" t="s">
        <v>759</v>
      </c>
      <c r="B1134" t="s">
        <v>761</v>
      </c>
      <c r="C1134" t="s">
        <v>5</v>
      </c>
      <c r="D1134" s="68">
        <v>214</v>
      </c>
      <c r="E1134" s="68"/>
      <c r="F1134" s="68">
        <v>2871</v>
      </c>
      <c r="G1134" s="68">
        <v>3085</v>
      </c>
      <c r="H11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35" spans="1:8" hidden="1" x14ac:dyDescent="0.3">
      <c r="A1135" t="s">
        <v>759</v>
      </c>
      <c r="B1135" t="s">
        <v>761</v>
      </c>
      <c r="C1135" t="s">
        <v>27</v>
      </c>
      <c r="D1135" s="68"/>
      <c r="E1135" s="68">
        <v>164</v>
      </c>
      <c r="F1135" s="68"/>
      <c r="G1135" s="68">
        <v>164</v>
      </c>
      <c r="H11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36" spans="1:8" hidden="1" x14ac:dyDescent="0.3">
      <c r="A1136" t="s">
        <v>759</v>
      </c>
      <c r="B1136" t="s">
        <v>761</v>
      </c>
      <c r="C1136" t="s">
        <v>30</v>
      </c>
      <c r="D1136" s="68"/>
      <c r="E1136" s="68"/>
      <c r="F1136" s="68">
        <v>32</v>
      </c>
      <c r="G1136" s="68">
        <v>32</v>
      </c>
      <c r="H11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37" spans="1:8" hidden="1" x14ac:dyDescent="0.3">
      <c r="A1137" t="s">
        <v>759</v>
      </c>
      <c r="B1137" t="s">
        <v>761</v>
      </c>
      <c r="C1137" t="s">
        <v>36</v>
      </c>
      <c r="D1137" s="68">
        <v>12</v>
      </c>
      <c r="E1137" s="68"/>
      <c r="F1137" s="68">
        <v>2</v>
      </c>
      <c r="G1137" s="68">
        <v>14</v>
      </c>
      <c r="H11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38" spans="1:8" hidden="1" x14ac:dyDescent="0.3">
      <c r="A1138" t="s">
        <v>759</v>
      </c>
      <c r="B1138" t="s">
        <v>762</v>
      </c>
      <c r="C1138" t="s">
        <v>26</v>
      </c>
      <c r="D1138" s="68">
        <v>794</v>
      </c>
      <c r="E1138" s="68"/>
      <c r="F1138" s="68">
        <v>2768</v>
      </c>
      <c r="G1138" s="68">
        <v>3562</v>
      </c>
      <c r="H11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39" spans="1:8" hidden="1" x14ac:dyDescent="0.3">
      <c r="A1139" t="s">
        <v>759</v>
      </c>
      <c r="B1139" t="s">
        <v>762</v>
      </c>
      <c r="C1139" t="s">
        <v>5</v>
      </c>
      <c r="D1139" s="68">
        <v>162</v>
      </c>
      <c r="E1139" s="68"/>
      <c r="F1139" s="68">
        <v>824</v>
      </c>
      <c r="G1139" s="68">
        <v>986</v>
      </c>
      <c r="H11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40" spans="1:8" hidden="1" x14ac:dyDescent="0.3">
      <c r="A1140" t="s">
        <v>759</v>
      </c>
      <c r="B1140" t="s">
        <v>762</v>
      </c>
      <c r="C1140" t="s">
        <v>27</v>
      </c>
      <c r="D1140" s="68"/>
      <c r="E1140" s="68">
        <v>35</v>
      </c>
      <c r="F1140" s="68"/>
      <c r="G1140" s="68">
        <v>35</v>
      </c>
      <c r="H11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41" spans="1:8" hidden="1" x14ac:dyDescent="0.3">
      <c r="A1141" t="s">
        <v>759</v>
      </c>
      <c r="B1141" t="s">
        <v>763</v>
      </c>
      <c r="C1141" t="s">
        <v>26</v>
      </c>
      <c r="D1141" s="68">
        <v>1890</v>
      </c>
      <c r="E1141" s="68"/>
      <c r="F1141" s="68">
        <v>4111</v>
      </c>
      <c r="G1141" s="68">
        <v>6001</v>
      </c>
      <c r="H11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42" spans="1:8" hidden="1" x14ac:dyDescent="0.3">
      <c r="A1142" t="s">
        <v>759</v>
      </c>
      <c r="B1142" t="s">
        <v>763</v>
      </c>
      <c r="C1142" t="s">
        <v>31</v>
      </c>
      <c r="D1142" s="68">
        <v>54</v>
      </c>
      <c r="E1142" s="68"/>
      <c r="F1142" s="68">
        <v>409</v>
      </c>
      <c r="G1142" s="68">
        <v>463</v>
      </c>
      <c r="H11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43" spans="1:8" hidden="1" x14ac:dyDescent="0.3">
      <c r="A1143" t="s">
        <v>759</v>
      </c>
      <c r="B1143" t="s">
        <v>763</v>
      </c>
      <c r="C1143" t="s">
        <v>30</v>
      </c>
      <c r="D1143" s="68">
        <v>19</v>
      </c>
      <c r="E1143" s="68"/>
      <c r="F1143" s="68">
        <v>301</v>
      </c>
      <c r="G1143" s="68">
        <v>320</v>
      </c>
      <c r="H11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44" spans="1:8" hidden="1" x14ac:dyDescent="0.3">
      <c r="A1144" t="s">
        <v>759</v>
      </c>
      <c r="B1144" t="s">
        <v>763</v>
      </c>
      <c r="C1144" t="s">
        <v>27</v>
      </c>
      <c r="D1144" s="68"/>
      <c r="E1144" s="68">
        <v>99</v>
      </c>
      <c r="F1144" s="68"/>
      <c r="G1144" s="68">
        <v>99</v>
      </c>
      <c r="H11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45" spans="1:8" hidden="1" x14ac:dyDescent="0.3">
      <c r="A1145" t="s">
        <v>759</v>
      </c>
      <c r="B1145" t="s">
        <v>763</v>
      </c>
      <c r="C1145" t="s">
        <v>5</v>
      </c>
      <c r="D1145" s="68">
        <v>1</v>
      </c>
      <c r="E1145" s="68"/>
      <c r="F1145" s="68"/>
      <c r="G1145" s="68">
        <v>1</v>
      </c>
      <c r="H11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46" spans="1:8" hidden="1" x14ac:dyDescent="0.3">
      <c r="A1146" t="s">
        <v>759</v>
      </c>
      <c r="B1146" t="s">
        <v>764</v>
      </c>
      <c r="C1146" t="s">
        <v>31</v>
      </c>
      <c r="D1146" s="68">
        <v>107</v>
      </c>
      <c r="E1146" s="68"/>
      <c r="F1146" s="68">
        <v>975</v>
      </c>
      <c r="G1146" s="68">
        <v>1082</v>
      </c>
      <c r="H11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47" spans="1:8" hidden="1" x14ac:dyDescent="0.3">
      <c r="A1147" t="s">
        <v>759</v>
      </c>
      <c r="B1147" t="s">
        <v>764</v>
      </c>
      <c r="C1147" t="s">
        <v>26</v>
      </c>
      <c r="D1147" s="68">
        <v>76</v>
      </c>
      <c r="E1147" s="68"/>
      <c r="F1147" s="68">
        <v>137</v>
      </c>
      <c r="G1147" s="68">
        <v>213</v>
      </c>
      <c r="H11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48" spans="1:8" hidden="1" x14ac:dyDescent="0.3">
      <c r="A1148" t="s">
        <v>759</v>
      </c>
      <c r="B1148" t="s">
        <v>764</v>
      </c>
      <c r="C1148" t="s">
        <v>27</v>
      </c>
      <c r="D1148" s="68"/>
      <c r="E1148" s="68">
        <v>20</v>
      </c>
      <c r="F1148" s="68"/>
      <c r="G1148" s="68">
        <v>20</v>
      </c>
      <c r="H11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49" spans="1:8" hidden="1" x14ac:dyDescent="0.3">
      <c r="A1149" t="s">
        <v>759</v>
      </c>
      <c r="B1149" t="s">
        <v>765</v>
      </c>
      <c r="C1149" t="s">
        <v>26</v>
      </c>
      <c r="D1149" s="68">
        <v>288</v>
      </c>
      <c r="E1149" s="68"/>
      <c r="F1149" s="68">
        <v>904</v>
      </c>
      <c r="G1149" s="68">
        <v>1192</v>
      </c>
      <c r="H11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50" spans="1:8" hidden="1" x14ac:dyDescent="0.3">
      <c r="A1150" t="s">
        <v>759</v>
      </c>
      <c r="B1150" t="s">
        <v>765</v>
      </c>
      <c r="C1150" t="s">
        <v>27</v>
      </c>
      <c r="D1150" s="68"/>
      <c r="E1150" s="68">
        <v>11</v>
      </c>
      <c r="F1150" s="68"/>
      <c r="G1150" s="68">
        <v>11</v>
      </c>
      <c r="H11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51" spans="1:8" hidden="1" x14ac:dyDescent="0.3">
      <c r="A1151" t="s">
        <v>759</v>
      </c>
      <c r="B1151" t="s">
        <v>766</v>
      </c>
      <c r="C1151" t="s">
        <v>30</v>
      </c>
      <c r="D1151" s="68">
        <v>122</v>
      </c>
      <c r="E1151" s="68"/>
      <c r="F1151" s="68">
        <v>2941</v>
      </c>
      <c r="G1151" s="68">
        <v>3063</v>
      </c>
      <c r="H11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52" spans="1:8" hidden="1" x14ac:dyDescent="0.3">
      <c r="A1152" t="s">
        <v>759</v>
      </c>
      <c r="B1152" t="s">
        <v>766</v>
      </c>
      <c r="C1152" t="s">
        <v>26</v>
      </c>
      <c r="D1152" s="68">
        <v>413</v>
      </c>
      <c r="E1152" s="68"/>
      <c r="F1152" s="68">
        <v>491</v>
      </c>
      <c r="G1152" s="68">
        <v>904</v>
      </c>
      <c r="H11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53" spans="1:8" hidden="1" x14ac:dyDescent="0.3">
      <c r="A1153" t="s">
        <v>759</v>
      </c>
      <c r="B1153" t="s">
        <v>766</v>
      </c>
      <c r="C1153" t="s">
        <v>27</v>
      </c>
      <c r="D1153" s="68"/>
      <c r="E1153" s="68">
        <v>148</v>
      </c>
      <c r="F1153" s="68"/>
      <c r="G1153" s="68">
        <v>148</v>
      </c>
      <c r="H11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54" spans="1:8" hidden="1" x14ac:dyDescent="0.3">
      <c r="A1154" t="s">
        <v>759</v>
      </c>
      <c r="B1154" t="s">
        <v>766</v>
      </c>
      <c r="C1154" t="s">
        <v>36</v>
      </c>
      <c r="D1154" s="68">
        <v>23</v>
      </c>
      <c r="E1154" s="68"/>
      <c r="F1154" s="68">
        <v>12</v>
      </c>
      <c r="G1154" s="68">
        <v>35</v>
      </c>
      <c r="H11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55" spans="1:8" hidden="1" x14ac:dyDescent="0.3">
      <c r="A1155" t="s">
        <v>759</v>
      </c>
      <c r="B1155" t="s">
        <v>759</v>
      </c>
      <c r="C1155" t="s">
        <v>26</v>
      </c>
      <c r="D1155" s="68">
        <v>625</v>
      </c>
      <c r="E1155" s="68"/>
      <c r="F1155" s="68">
        <v>3679</v>
      </c>
      <c r="G1155" s="68">
        <v>4304</v>
      </c>
      <c r="H11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56" spans="1:8" hidden="1" x14ac:dyDescent="0.3">
      <c r="A1156" t="s">
        <v>759</v>
      </c>
      <c r="B1156" t="s">
        <v>759</v>
      </c>
      <c r="C1156" t="s">
        <v>31</v>
      </c>
      <c r="D1156" s="68">
        <v>11</v>
      </c>
      <c r="E1156" s="68"/>
      <c r="F1156" s="68">
        <v>115</v>
      </c>
      <c r="G1156" s="68">
        <v>126</v>
      </c>
      <c r="H11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57" spans="1:8" hidden="1" x14ac:dyDescent="0.3">
      <c r="A1157" t="s">
        <v>759</v>
      </c>
      <c r="B1157" t="s">
        <v>759</v>
      </c>
      <c r="C1157" t="s">
        <v>30</v>
      </c>
      <c r="D1157" s="68">
        <v>19</v>
      </c>
      <c r="E1157" s="68"/>
      <c r="F1157" s="68">
        <v>97</v>
      </c>
      <c r="G1157" s="68">
        <v>116</v>
      </c>
      <c r="H11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58" spans="1:8" hidden="1" x14ac:dyDescent="0.3">
      <c r="A1158" t="s">
        <v>759</v>
      </c>
      <c r="B1158" t="s">
        <v>759</v>
      </c>
      <c r="C1158" t="s">
        <v>27</v>
      </c>
      <c r="D1158" s="68"/>
      <c r="E1158" s="68">
        <v>38</v>
      </c>
      <c r="F1158" s="68"/>
      <c r="G1158" s="68">
        <v>38</v>
      </c>
      <c r="H11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59" spans="1:8" hidden="1" x14ac:dyDescent="0.3">
      <c r="A1159" t="s">
        <v>759</v>
      </c>
      <c r="B1159" t="s">
        <v>759</v>
      </c>
      <c r="C1159" t="s">
        <v>5</v>
      </c>
      <c r="D1159" s="68">
        <v>8</v>
      </c>
      <c r="E1159" s="68"/>
      <c r="F1159" s="68"/>
      <c r="G1159" s="68">
        <v>8</v>
      </c>
      <c r="H11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60" spans="1:8" hidden="1" x14ac:dyDescent="0.3">
      <c r="A1160" t="s">
        <v>759</v>
      </c>
      <c r="B1160" t="s">
        <v>571</v>
      </c>
      <c r="C1160" t="s">
        <v>26</v>
      </c>
      <c r="D1160" s="68">
        <v>188</v>
      </c>
      <c r="E1160" s="68"/>
      <c r="F1160" s="68">
        <v>1714</v>
      </c>
      <c r="G1160" s="68">
        <v>1902</v>
      </c>
      <c r="H11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61" spans="1:8" hidden="1" x14ac:dyDescent="0.3">
      <c r="A1161" t="s">
        <v>759</v>
      </c>
      <c r="B1161" t="s">
        <v>571</v>
      </c>
      <c r="C1161" t="s">
        <v>27</v>
      </c>
      <c r="D1161" s="68"/>
      <c r="E1161" s="68">
        <v>23</v>
      </c>
      <c r="F1161" s="68"/>
      <c r="G1161" s="68">
        <v>23</v>
      </c>
      <c r="H11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62" spans="1:8" hidden="1" x14ac:dyDescent="0.3">
      <c r="A1162" t="s">
        <v>759</v>
      </c>
      <c r="B1162" t="s">
        <v>571</v>
      </c>
      <c r="C1162" t="s">
        <v>30</v>
      </c>
      <c r="D1162" s="68">
        <v>2</v>
      </c>
      <c r="E1162" s="68"/>
      <c r="F1162" s="68">
        <v>12</v>
      </c>
      <c r="G1162" s="68">
        <v>14</v>
      </c>
      <c r="H11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63" spans="1:8" hidden="1" x14ac:dyDescent="0.3">
      <c r="A1163" t="s">
        <v>759</v>
      </c>
      <c r="B1163" t="s">
        <v>767</v>
      </c>
      <c r="C1163" t="s">
        <v>26</v>
      </c>
      <c r="D1163" s="68">
        <v>300</v>
      </c>
      <c r="E1163" s="68"/>
      <c r="F1163" s="68">
        <v>2557</v>
      </c>
      <c r="G1163" s="68">
        <v>2857</v>
      </c>
      <c r="H11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64" spans="1:8" hidden="1" x14ac:dyDescent="0.3">
      <c r="A1164" t="s">
        <v>759</v>
      </c>
      <c r="B1164" t="s">
        <v>767</v>
      </c>
      <c r="C1164" t="s">
        <v>31</v>
      </c>
      <c r="D1164" s="68">
        <v>59</v>
      </c>
      <c r="E1164" s="68"/>
      <c r="F1164" s="68">
        <v>1034</v>
      </c>
      <c r="G1164" s="68">
        <v>1093</v>
      </c>
      <c r="H11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65" spans="1:8" hidden="1" x14ac:dyDescent="0.3">
      <c r="A1165" t="s">
        <v>759</v>
      </c>
      <c r="B1165" t="s">
        <v>767</v>
      </c>
      <c r="C1165" t="s">
        <v>27</v>
      </c>
      <c r="D1165" s="68"/>
      <c r="E1165" s="68">
        <v>47</v>
      </c>
      <c r="F1165" s="68"/>
      <c r="G1165" s="68">
        <v>47</v>
      </c>
      <c r="H11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66" spans="1:8" hidden="1" x14ac:dyDescent="0.3">
      <c r="A1166" t="s">
        <v>759</v>
      </c>
      <c r="B1166" t="s">
        <v>768</v>
      </c>
      <c r="C1166" t="s">
        <v>26</v>
      </c>
      <c r="D1166" s="68">
        <v>310</v>
      </c>
      <c r="E1166" s="68"/>
      <c r="F1166" s="68">
        <v>434</v>
      </c>
      <c r="G1166" s="68">
        <v>744</v>
      </c>
      <c r="H11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67" spans="1:8" hidden="1" x14ac:dyDescent="0.3">
      <c r="A1167" t="s">
        <v>759</v>
      </c>
      <c r="B1167" t="s">
        <v>768</v>
      </c>
      <c r="C1167" t="s">
        <v>5</v>
      </c>
      <c r="D1167" s="68">
        <v>7</v>
      </c>
      <c r="E1167" s="68"/>
      <c r="F1167" s="68">
        <v>76</v>
      </c>
      <c r="G1167" s="68">
        <v>83</v>
      </c>
      <c r="H11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68" spans="1:8" hidden="1" x14ac:dyDescent="0.3">
      <c r="A1168" t="s">
        <v>759</v>
      </c>
      <c r="B1168" t="s">
        <v>768</v>
      </c>
      <c r="C1168" t="s">
        <v>27</v>
      </c>
      <c r="D1168" s="68"/>
      <c r="E1168" s="68">
        <v>12</v>
      </c>
      <c r="F1168" s="68"/>
      <c r="G1168" s="68">
        <v>12</v>
      </c>
      <c r="H11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69" spans="1:8" hidden="1" x14ac:dyDescent="0.3">
      <c r="A1169" t="s">
        <v>759</v>
      </c>
      <c r="B1169" t="s">
        <v>575</v>
      </c>
      <c r="C1169" t="s">
        <v>26</v>
      </c>
      <c r="D1169" s="68">
        <v>222</v>
      </c>
      <c r="E1169" s="68"/>
      <c r="F1169" s="68">
        <v>1911</v>
      </c>
      <c r="G1169" s="68">
        <v>2133</v>
      </c>
      <c r="H11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70" spans="1:8" hidden="1" x14ac:dyDescent="0.3">
      <c r="A1170" t="s">
        <v>759</v>
      </c>
      <c r="B1170" t="s">
        <v>575</v>
      </c>
      <c r="C1170" t="s">
        <v>30</v>
      </c>
      <c r="D1170" s="68">
        <v>8</v>
      </c>
      <c r="E1170" s="68"/>
      <c r="F1170" s="68">
        <v>173</v>
      </c>
      <c r="G1170" s="68">
        <v>181</v>
      </c>
      <c r="H11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71" spans="1:8" hidden="1" x14ac:dyDescent="0.3">
      <c r="A1171" t="s">
        <v>759</v>
      </c>
      <c r="B1171" t="s">
        <v>575</v>
      </c>
      <c r="C1171" t="s">
        <v>27</v>
      </c>
      <c r="D1171" s="68"/>
      <c r="E1171" s="68">
        <v>36</v>
      </c>
      <c r="F1171" s="68"/>
      <c r="G1171" s="68">
        <v>36</v>
      </c>
      <c r="H11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72" spans="1:8" hidden="1" x14ac:dyDescent="0.3">
      <c r="A1172" t="s">
        <v>759</v>
      </c>
      <c r="B1172" t="s">
        <v>769</v>
      </c>
      <c r="C1172" t="s">
        <v>31</v>
      </c>
      <c r="D1172" s="68">
        <v>237</v>
      </c>
      <c r="E1172" s="68"/>
      <c r="F1172" s="68">
        <v>1907</v>
      </c>
      <c r="G1172" s="68">
        <v>2144</v>
      </c>
      <c r="H11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73" spans="1:8" hidden="1" x14ac:dyDescent="0.3">
      <c r="A1173" t="s">
        <v>759</v>
      </c>
      <c r="B1173" t="s">
        <v>769</v>
      </c>
      <c r="C1173" t="s">
        <v>26</v>
      </c>
      <c r="D1173" s="68">
        <v>84</v>
      </c>
      <c r="E1173" s="68"/>
      <c r="F1173" s="68">
        <v>71</v>
      </c>
      <c r="G1173" s="68">
        <v>155</v>
      </c>
      <c r="H11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74" spans="1:8" hidden="1" x14ac:dyDescent="0.3">
      <c r="A1174" t="s">
        <v>759</v>
      </c>
      <c r="B1174" t="s">
        <v>769</v>
      </c>
      <c r="C1174" t="s">
        <v>27</v>
      </c>
      <c r="D1174" s="68"/>
      <c r="E1174" s="68">
        <v>70</v>
      </c>
      <c r="F1174" s="68"/>
      <c r="G1174" s="68">
        <v>70</v>
      </c>
      <c r="H11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75" spans="1:8" hidden="1" x14ac:dyDescent="0.3">
      <c r="A1175" t="s">
        <v>759</v>
      </c>
      <c r="B1175" t="s">
        <v>770</v>
      </c>
      <c r="C1175" t="s">
        <v>26</v>
      </c>
      <c r="D1175" s="68">
        <v>699</v>
      </c>
      <c r="E1175" s="68"/>
      <c r="F1175" s="68">
        <v>1602</v>
      </c>
      <c r="G1175" s="68">
        <v>2301</v>
      </c>
      <c r="H11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76" spans="1:8" hidden="1" x14ac:dyDescent="0.3">
      <c r="A1176" t="s">
        <v>759</v>
      </c>
      <c r="B1176" t="s">
        <v>770</v>
      </c>
      <c r="C1176" t="s">
        <v>31</v>
      </c>
      <c r="D1176" s="68">
        <v>48</v>
      </c>
      <c r="E1176" s="68"/>
      <c r="F1176" s="68">
        <v>474</v>
      </c>
      <c r="G1176" s="68">
        <v>522</v>
      </c>
      <c r="H11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77" spans="1:8" hidden="1" x14ac:dyDescent="0.3">
      <c r="A1177" t="s">
        <v>759</v>
      </c>
      <c r="B1177" t="s">
        <v>770</v>
      </c>
      <c r="C1177" t="s">
        <v>27</v>
      </c>
      <c r="D1177" s="68"/>
      <c r="E1177" s="68">
        <v>32</v>
      </c>
      <c r="F1177" s="68"/>
      <c r="G1177" s="68">
        <v>32</v>
      </c>
      <c r="H11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78" spans="1:8" hidden="1" x14ac:dyDescent="0.3">
      <c r="A1178" t="s">
        <v>759</v>
      </c>
      <c r="B1178" t="s">
        <v>771</v>
      </c>
      <c r="C1178" t="s">
        <v>26</v>
      </c>
      <c r="D1178" s="68">
        <v>284</v>
      </c>
      <c r="E1178" s="68"/>
      <c r="F1178" s="68">
        <v>1782</v>
      </c>
      <c r="G1178" s="68">
        <v>2066</v>
      </c>
      <c r="H11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79" spans="1:8" hidden="1" x14ac:dyDescent="0.3">
      <c r="A1179" t="s">
        <v>759</v>
      </c>
      <c r="B1179" t="s">
        <v>771</v>
      </c>
      <c r="C1179" t="s">
        <v>30</v>
      </c>
      <c r="D1179" s="68">
        <v>10</v>
      </c>
      <c r="E1179" s="68"/>
      <c r="F1179" s="68">
        <v>200</v>
      </c>
      <c r="G1179" s="68">
        <v>210</v>
      </c>
      <c r="H11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80" spans="1:8" hidden="1" x14ac:dyDescent="0.3">
      <c r="A1180" t="s">
        <v>759</v>
      </c>
      <c r="B1180" t="s">
        <v>771</v>
      </c>
      <c r="C1180" t="s">
        <v>27</v>
      </c>
      <c r="D1180" s="68"/>
      <c r="E1180" s="68">
        <v>31</v>
      </c>
      <c r="F1180" s="68"/>
      <c r="G1180" s="68">
        <v>31</v>
      </c>
      <c r="H11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81" spans="1:8" hidden="1" x14ac:dyDescent="0.3">
      <c r="A1181" t="s">
        <v>759</v>
      </c>
      <c r="B1181" t="s">
        <v>772</v>
      </c>
      <c r="C1181" t="s">
        <v>26</v>
      </c>
      <c r="D1181" s="68">
        <v>7260</v>
      </c>
      <c r="E1181" s="68"/>
      <c r="F1181" s="68">
        <v>17261</v>
      </c>
      <c r="G1181" s="68">
        <v>24521</v>
      </c>
      <c r="H11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82" spans="1:8" hidden="1" x14ac:dyDescent="0.3">
      <c r="A1182" t="s">
        <v>759</v>
      </c>
      <c r="B1182" t="s">
        <v>772</v>
      </c>
      <c r="C1182" t="s">
        <v>5</v>
      </c>
      <c r="D1182" s="68">
        <v>12562</v>
      </c>
      <c r="E1182" s="68"/>
      <c r="F1182" s="68">
        <v>4627</v>
      </c>
      <c r="G1182" s="68">
        <v>17189</v>
      </c>
      <c r="H11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83" spans="1:8" hidden="1" x14ac:dyDescent="0.3">
      <c r="A1183" t="s">
        <v>759</v>
      </c>
      <c r="B1183" t="s">
        <v>772</v>
      </c>
      <c r="C1183" t="s">
        <v>37</v>
      </c>
      <c r="D1183" s="68">
        <v>7304</v>
      </c>
      <c r="E1183" s="68"/>
      <c r="F1183" s="68">
        <v>5462</v>
      </c>
      <c r="G1183" s="68">
        <v>12766</v>
      </c>
      <c r="H11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84" spans="1:8" hidden="1" x14ac:dyDescent="0.3">
      <c r="A1184" t="s">
        <v>759</v>
      </c>
      <c r="B1184" t="s">
        <v>772</v>
      </c>
      <c r="C1184" t="s">
        <v>31</v>
      </c>
      <c r="D1184" s="68">
        <v>389</v>
      </c>
      <c r="E1184" s="68"/>
      <c r="F1184" s="68">
        <v>2684</v>
      </c>
      <c r="G1184" s="68">
        <v>3073</v>
      </c>
      <c r="H11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85" spans="1:8" hidden="1" x14ac:dyDescent="0.3">
      <c r="A1185" t="s">
        <v>759</v>
      </c>
      <c r="B1185" t="s">
        <v>772</v>
      </c>
      <c r="C1185" t="s">
        <v>27</v>
      </c>
      <c r="D1185" s="68"/>
      <c r="E1185" s="68">
        <v>2122</v>
      </c>
      <c r="F1185" s="68"/>
      <c r="G1185" s="68">
        <v>2122</v>
      </c>
      <c r="H11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86" spans="1:8" hidden="1" x14ac:dyDescent="0.3">
      <c r="A1186" t="s">
        <v>759</v>
      </c>
      <c r="B1186" t="s">
        <v>772</v>
      </c>
      <c r="C1186" t="s">
        <v>30</v>
      </c>
      <c r="D1186" s="68">
        <v>100</v>
      </c>
      <c r="E1186" s="68"/>
      <c r="F1186" s="68">
        <v>1135</v>
      </c>
      <c r="G1186" s="68">
        <v>1235</v>
      </c>
      <c r="H11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87" spans="1:8" hidden="1" x14ac:dyDescent="0.3">
      <c r="A1187" t="s">
        <v>759</v>
      </c>
      <c r="B1187" t="s">
        <v>772</v>
      </c>
      <c r="C1187" t="s">
        <v>35</v>
      </c>
      <c r="D1187" s="68">
        <v>69</v>
      </c>
      <c r="E1187" s="68"/>
      <c r="F1187" s="68"/>
      <c r="G1187" s="68">
        <v>69</v>
      </c>
      <c r="H11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88" spans="1:8" hidden="1" x14ac:dyDescent="0.3">
      <c r="A1188" t="s">
        <v>759</v>
      </c>
      <c r="B1188" t="s">
        <v>773</v>
      </c>
      <c r="C1188" t="s">
        <v>26</v>
      </c>
      <c r="D1188" s="68">
        <v>229</v>
      </c>
      <c r="E1188" s="68"/>
      <c r="F1188" s="68">
        <v>2240</v>
      </c>
      <c r="G1188" s="68">
        <v>2469</v>
      </c>
      <c r="H11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89" spans="1:8" hidden="1" x14ac:dyDescent="0.3">
      <c r="A1189" t="s">
        <v>759</v>
      </c>
      <c r="B1189" t="s">
        <v>773</v>
      </c>
      <c r="C1189" t="s">
        <v>30</v>
      </c>
      <c r="D1189" s="68">
        <v>42</v>
      </c>
      <c r="E1189" s="68"/>
      <c r="F1189" s="68">
        <v>1467</v>
      </c>
      <c r="G1189" s="68">
        <v>1509</v>
      </c>
      <c r="H11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0" spans="1:8" hidden="1" x14ac:dyDescent="0.3">
      <c r="A1190" t="s">
        <v>759</v>
      </c>
      <c r="B1190" t="s">
        <v>773</v>
      </c>
      <c r="C1190" t="s">
        <v>27</v>
      </c>
      <c r="D1190" s="68"/>
      <c r="E1190" s="68">
        <v>21</v>
      </c>
      <c r="F1190" s="68"/>
      <c r="G1190" s="68">
        <v>21</v>
      </c>
      <c r="H11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1" spans="1:8" hidden="1" x14ac:dyDescent="0.3">
      <c r="A1191" t="s">
        <v>759</v>
      </c>
      <c r="B1191" t="s">
        <v>773</v>
      </c>
      <c r="C1191" t="s">
        <v>5</v>
      </c>
      <c r="D1191" s="68">
        <v>4</v>
      </c>
      <c r="E1191" s="68"/>
      <c r="F1191" s="68">
        <v>3</v>
      </c>
      <c r="G1191" s="68">
        <v>7</v>
      </c>
      <c r="H11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92" spans="1:8" hidden="1" x14ac:dyDescent="0.3">
      <c r="A1192" t="s">
        <v>759</v>
      </c>
      <c r="B1192" t="s">
        <v>774</v>
      </c>
      <c r="C1192" t="s">
        <v>30</v>
      </c>
      <c r="D1192" s="68">
        <v>70</v>
      </c>
      <c r="E1192" s="68"/>
      <c r="F1192" s="68">
        <v>2197</v>
      </c>
      <c r="G1192" s="68">
        <v>2267</v>
      </c>
      <c r="H11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3" spans="1:8" hidden="1" x14ac:dyDescent="0.3">
      <c r="A1193" t="s">
        <v>759</v>
      </c>
      <c r="B1193" t="s">
        <v>774</v>
      </c>
      <c r="C1193" t="s">
        <v>26</v>
      </c>
      <c r="D1193" s="68">
        <v>125</v>
      </c>
      <c r="E1193" s="68"/>
      <c r="F1193" s="68">
        <v>178</v>
      </c>
      <c r="G1193" s="68">
        <v>303</v>
      </c>
      <c r="H11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94" spans="1:8" hidden="1" x14ac:dyDescent="0.3">
      <c r="A1194" t="s">
        <v>759</v>
      </c>
      <c r="B1194" t="s">
        <v>774</v>
      </c>
      <c r="C1194" t="s">
        <v>27</v>
      </c>
      <c r="D1194" s="68"/>
      <c r="E1194" s="68">
        <v>121</v>
      </c>
      <c r="F1194" s="68"/>
      <c r="G1194" s="68">
        <v>121</v>
      </c>
      <c r="H11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5" spans="1:8" hidden="1" x14ac:dyDescent="0.3">
      <c r="A1195" t="s">
        <v>759</v>
      </c>
      <c r="B1195" t="s">
        <v>774</v>
      </c>
      <c r="C1195" t="s">
        <v>5</v>
      </c>
      <c r="D1195" s="68">
        <v>6</v>
      </c>
      <c r="E1195" s="68"/>
      <c r="F1195" s="68">
        <v>14</v>
      </c>
      <c r="G1195" s="68">
        <v>20</v>
      </c>
      <c r="H11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96" spans="1:8" hidden="1" x14ac:dyDescent="0.3">
      <c r="A1196" t="s">
        <v>759</v>
      </c>
      <c r="B1196" t="s">
        <v>775</v>
      </c>
      <c r="C1196" t="s">
        <v>30</v>
      </c>
      <c r="D1196" s="68">
        <v>100</v>
      </c>
      <c r="E1196" s="68"/>
      <c r="F1196" s="68">
        <v>4457</v>
      </c>
      <c r="G1196" s="68">
        <v>4557</v>
      </c>
      <c r="H11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7" spans="1:8" hidden="1" x14ac:dyDescent="0.3">
      <c r="A1197" t="s">
        <v>759</v>
      </c>
      <c r="B1197" t="s">
        <v>775</v>
      </c>
      <c r="C1197" t="s">
        <v>26</v>
      </c>
      <c r="D1197" s="68">
        <v>562</v>
      </c>
      <c r="E1197" s="68"/>
      <c r="F1197" s="68">
        <v>1719</v>
      </c>
      <c r="G1197" s="68">
        <v>2281</v>
      </c>
      <c r="H11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98" spans="1:8" hidden="1" x14ac:dyDescent="0.3">
      <c r="A1198" t="s">
        <v>759</v>
      </c>
      <c r="B1198" t="s">
        <v>775</v>
      </c>
      <c r="C1198" t="s">
        <v>27</v>
      </c>
      <c r="D1198" s="68"/>
      <c r="E1198" s="68">
        <v>178</v>
      </c>
      <c r="F1198" s="68"/>
      <c r="G1198" s="68">
        <v>178</v>
      </c>
      <c r="H11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9" spans="1:8" hidden="1" x14ac:dyDescent="0.3">
      <c r="A1199" t="s">
        <v>759</v>
      </c>
      <c r="B1199" t="s">
        <v>775</v>
      </c>
      <c r="C1199" t="s">
        <v>5</v>
      </c>
      <c r="D1199" s="68">
        <v>7</v>
      </c>
      <c r="E1199" s="68"/>
      <c r="F1199" s="68">
        <v>11</v>
      </c>
      <c r="G1199" s="68">
        <v>18</v>
      </c>
      <c r="H11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00" spans="1:8" hidden="1" x14ac:dyDescent="0.3">
      <c r="A1200" t="s">
        <v>759</v>
      </c>
      <c r="B1200" t="s">
        <v>776</v>
      </c>
      <c r="C1200" t="s">
        <v>31</v>
      </c>
      <c r="D1200" s="68">
        <v>164</v>
      </c>
      <c r="E1200" s="68"/>
      <c r="F1200" s="68">
        <v>3359</v>
      </c>
      <c r="G1200" s="68">
        <v>3523</v>
      </c>
      <c r="H12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01" spans="1:8" hidden="1" x14ac:dyDescent="0.3">
      <c r="A1201" t="s">
        <v>759</v>
      </c>
      <c r="B1201" t="s">
        <v>776</v>
      </c>
      <c r="C1201" t="s">
        <v>26</v>
      </c>
      <c r="D1201" s="68">
        <v>221</v>
      </c>
      <c r="E1201" s="68"/>
      <c r="F1201" s="68">
        <v>1208</v>
      </c>
      <c r="G1201" s="68">
        <v>1429</v>
      </c>
      <c r="H12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02" spans="1:8" hidden="1" x14ac:dyDescent="0.3">
      <c r="A1202" t="s">
        <v>759</v>
      </c>
      <c r="B1202" t="s">
        <v>776</v>
      </c>
      <c r="C1202" t="s">
        <v>30</v>
      </c>
      <c r="D1202" s="68">
        <v>1</v>
      </c>
      <c r="E1202" s="68"/>
      <c r="F1202" s="68">
        <v>238</v>
      </c>
      <c r="G1202" s="68">
        <v>239</v>
      </c>
      <c r="H12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03" spans="1:8" hidden="1" x14ac:dyDescent="0.3">
      <c r="A1203" t="s">
        <v>759</v>
      </c>
      <c r="B1203" t="s">
        <v>776</v>
      </c>
      <c r="C1203" t="s">
        <v>27</v>
      </c>
      <c r="D1203" s="68"/>
      <c r="E1203" s="68">
        <v>67</v>
      </c>
      <c r="F1203" s="68"/>
      <c r="G1203" s="68">
        <v>67</v>
      </c>
      <c r="H12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04" spans="1:8" hidden="1" x14ac:dyDescent="0.3">
      <c r="A1204" t="s">
        <v>759</v>
      </c>
      <c r="B1204" t="s">
        <v>777</v>
      </c>
      <c r="C1204" t="s">
        <v>5</v>
      </c>
      <c r="D1204" s="68">
        <v>247</v>
      </c>
      <c r="E1204" s="68"/>
      <c r="F1204" s="68">
        <v>1225</v>
      </c>
      <c r="G1204" s="68">
        <v>1472</v>
      </c>
      <c r="H12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05" spans="1:8" hidden="1" x14ac:dyDescent="0.3">
      <c r="A1205" t="s">
        <v>759</v>
      </c>
      <c r="B1205" t="s">
        <v>777</v>
      </c>
      <c r="C1205" t="s">
        <v>26</v>
      </c>
      <c r="D1205" s="68">
        <v>223</v>
      </c>
      <c r="E1205" s="68"/>
      <c r="F1205" s="68">
        <v>656</v>
      </c>
      <c r="G1205" s="68">
        <v>879</v>
      </c>
      <c r="H12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06" spans="1:8" hidden="1" x14ac:dyDescent="0.3">
      <c r="A1206" t="s">
        <v>759</v>
      </c>
      <c r="B1206" t="s">
        <v>777</v>
      </c>
      <c r="C1206" t="s">
        <v>27</v>
      </c>
      <c r="D1206" s="68"/>
      <c r="E1206" s="68">
        <v>13</v>
      </c>
      <c r="F1206" s="68"/>
      <c r="G1206" s="68">
        <v>13</v>
      </c>
      <c r="H12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07" spans="1:8" hidden="1" x14ac:dyDescent="0.3">
      <c r="A1207" t="s">
        <v>759</v>
      </c>
      <c r="B1207" t="s">
        <v>777</v>
      </c>
      <c r="C1207" t="s">
        <v>30</v>
      </c>
      <c r="D1207" s="68"/>
      <c r="E1207" s="68"/>
      <c r="F1207" s="68">
        <v>1</v>
      </c>
      <c r="G1207" s="68">
        <v>1</v>
      </c>
      <c r="H12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08" spans="1:8" hidden="1" x14ac:dyDescent="0.3">
      <c r="A1208" t="s">
        <v>759</v>
      </c>
      <c r="B1208" t="s">
        <v>778</v>
      </c>
      <c r="C1208" t="s">
        <v>26</v>
      </c>
      <c r="D1208" s="68">
        <v>260</v>
      </c>
      <c r="E1208" s="68"/>
      <c r="F1208" s="68">
        <v>786</v>
      </c>
      <c r="G1208" s="68">
        <v>1046</v>
      </c>
      <c r="H12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09" spans="1:8" hidden="1" x14ac:dyDescent="0.3">
      <c r="A1209" t="s">
        <v>759</v>
      </c>
      <c r="B1209" t="s">
        <v>778</v>
      </c>
      <c r="C1209" t="s">
        <v>30</v>
      </c>
      <c r="D1209" s="68">
        <v>37</v>
      </c>
      <c r="E1209" s="68"/>
      <c r="F1209" s="68">
        <v>636</v>
      </c>
      <c r="G1209" s="68">
        <v>673</v>
      </c>
      <c r="H12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10" spans="1:8" hidden="1" x14ac:dyDescent="0.3">
      <c r="A1210" t="s">
        <v>759</v>
      </c>
      <c r="B1210" t="s">
        <v>778</v>
      </c>
      <c r="C1210" t="s">
        <v>27</v>
      </c>
      <c r="D1210" s="68"/>
      <c r="E1210" s="68">
        <v>32</v>
      </c>
      <c r="F1210" s="68"/>
      <c r="G1210" s="68">
        <v>32</v>
      </c>
      <c r="H12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11" spans="1:8" hidden="1" x14ac:dyDescent="0.3">
      <c r="A1211" t="s">
        <v>759</v>
      </c>
      <c r="B1211" t="s">
        <v>779</v>
      </c>
      <c r="C1211" t="s">
        <v>26</v>
      </c>
      <c r="D1211" s="68">
        <v>332</v>
      </c>
      <c r="E1211" s="68"/>
      <c r="F1211" s="68">
        <v>2575</v>
      </c>
      <c r="G1211" s="68">
        <v>2907</v>
      </c>
      <c r="H12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12" spans="1:8" hidden="1" x14ac:dyDescent="0.3">
      <c r="A1212" t="s">
        <v>759</v>
      </c>
      <c r="B1212" t="s">
        <v>779</v>
      </c>
      <c r="C1212" t="s">
        <v>31</v>
      </c>
      <c r="D1212" s="68">
        <v>9</v>
      </c>
      <c r="E1212" s="68"/>
      <c r="F1212" s="68">
        <v>572</v>
      </c>
      <c r="G1212" s="68">
        <v>581</v>
      </c>
      <c r="H12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13" spans="1:8" hidden="1" x14ac:dyDescent="0.3">
      <c r="A1213" t="s">
        <v>759</v>
      </c>
      <c r="B1213" t="s">
        <v>779</v>
      </c>
      <c r="C1213" t="s">
        <v>30</v>
      </c>
      <c r="D1213" s="68">
        <v>2</v>
      </c>
      <c r="E1213" s="68"/>
      <c r="F1213" s="68">
        <v>151</v>
      </c>
      <c r="G1213" s="68">
        <v>153</v>
      </c>
      <c r="H12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14" spans="1:8" hidden="1" x14ac:dyDescent="0.3">
      <c r="A1214" t="s">
        <v>759</v>
      </c>
      <c r="B1214" t="s">
        <v>779</v>
      </c>
      <c r="C1214" t="s">
        <v>27</v>
      </c>
      <c r="D1214" s="68"/>
      <c r="E1214" s="68">
        <v>35</v>
      </c>
      <c r="F1214" s="68"/>
      <c r="G1214" s="68">
        <v>35</v>
      </c>
      <c r="H12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15" spans="1:8" hidden="1" x14ac:dyDescent="0.3">
      <c r="A1215" t="s">
        <v>759</v>
      </c>
      <c r="B1215" t="s">
        <v>780</v>
      </c>
      <c r="C1215" t="s">
        <v>31</v>
      </c>
      <c r="D1215" s="68">
        <v>440</v>
      </c>
      <c r="E1215" s="68"/>
      <c r="F1215" s="68">
        <v>3816</v>
      </c>
      <c r="G1215" s="68">
        <v>4256</v>
      </c>
      <c r="H12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16" spans="1:8" hidden="1" x14ac:dyDescent="0.3">
      <c r="A1216" t="s">
        <v>759</v>
      </c>
      <c r="B1216" t="s">
        <v>780</v>
      </c>
      <c r="C1216" t="s">
        <v>26</v>
      </c>
      <c r="D1216" s="68">
        <v>710</v>
      </c>
      <c r="E1216" s="68"/>
      <c r="F1216" s="68">
        <v>2220</v>
      </c>
      <c r="G1216" s="68">
        <v>2930</v>
      </c>
      <c r="H12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17" spans="1:8" hidden="1" x14ac:dyDescent="0.3">
      <c r="A1217" t="s">
        <v>759</v>
      </c>
      <c r="B1217" t="s">
        <v>780</v>
      </c>
      <c r="C1217" t="s">
        <v>27</v>
      </c>
      <c r="D1217" s="68"/>
      <c r="E1217" s="68">
        <v>63</v>
      </c>
      <c r="F1217" s="68"/>
      <c r="G1217" s="68">
        <v>63</v>
      </c>
      <c r="H12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18" spans="1:8" hidden="1" x14ac:dyDescent="0.3">
      <c r="A1218" t="s">
        <v>759</v>
      </c>
      <c r="B1218" t="s">
        <v>780</v>
      </c>
      <c r="C1218" t="s">
        <v>30</v>
      </c>
      <c r="D1218" s="68">
        <v>14</v>
      </c>
      <c r="E1218" s="68"/>
      <c r="F1218" s="68">
        <v>48</v>
      </c>
      <c r="G1218" s="68">
        <v>62</v>
      </c>
      <c r="H12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19" spans="1:8" hidden="1" x14ac:dyDescent="0.3">
      <c r="A1219" t="s">
        <v>759</v>
      </c>
      <c r="B1219" t="s">
        <v>780</v>
      </c>
      <c r="C1219" t="s">
        <v>5</v>
      </c>
      <c r="D1219" s="68">
        <v>1</v>
      </c>
      <c r="E1219" s="68"/>
      <c r="F1219" s="68"/>
      <c r="G1219" s="68">
        <v>1</v>
      </c>
      <c r="H12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20" spans="1:8" hidden="1" x14ac:dyDescent="0.3">
      <c r="A1220" t="s">
        <v>759</v>
      </c>
      <c r="B1220" t="s">
        <v>781</v>
      </c>
      <c r="C1220" t="s">
        <v>26</v>
      </c>
      <c r="D1220" s="68">
        <v>224</v>
      </c>
      <c r="E1220" s="68"/>
      <c r="F1220" s="68">
        <v>1947</v>
      </c>
      <c r="G1220" s="68">
        <v>2171</v>
      </c>
      <c r="H12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21" spans="1:8" hidden="1" x14ac:dyDescent="0.3">
      <c r="A1221" t="s">
        <v>759</v>
      </c>
      <c r="B1221" t="s">
        <v>781</v>
      </c>
      <c r="C1221" t="s">
        <v>30</v>
      </c>
      <c r="D1221" s="68">
        <v>3</v>
      </c>
      <c r="E1221" s="68"/>
      <c r="F1221" s="68">
        <v>82</v>
      </c>
      <c r="G1221" s="68">
        <v>85</v>
      </c>
      <c r="H12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22" spans="1:8" hidden="1" x14ac:dyDescent="0.3">
      <c r="A1222" t="s">
        <v>759</v>
      </c>
      <c r="B1222" t="s">
        <v>781</v>
      </c>
      <c r="C1222" t="s">
        <v>27</v>
      </c>
      <c r="D1222" s="68"/>
      <c r="E1222" s="68">
        <v>44</v>
      </c>
      <c r="F1222" s="68"/>
      <c r="G1222" s="68">
        <v>44</v>
      </c>
      <c r="H12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23" spans="1:8" hidden="1" x14ac:dyDescent="0.3">
      <c r="A1223" t="s">
        <v>759</v>
      </c>
      <c r="B1223" t="s">
        <v>782</v>
      </c>
      <c r="C1223" t="s">
        <v>26</v>
      </c>
      <c r="D1223" s="68">
        <v>675</v>
      </c>
      <c r="E1223" s="68"/>
      <c r="F1223" s="68">
        <v>1069</v>
      </c>
      <c r="G1223" s="68">
        <v>1744</v>
      </c>
      <c r="H12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24" spans="1:8" hidden="1" x14ac:dyDescent="0.3">
      <c r="A1224" t="s">
        <v>759</v>
      </c>
      <c r="B1224" t="s">
        <v>782</v>
      </c>
      <c r="C1224" t="s">
        <v>27</v>
      </c>
      <c r="D1224" s="68"/>
      <c r="E1224" s="68">
        <v>18</v>
      </c>
      <c r="F1224" s="68"/>
      <c r="G1224" s="68">
        <v>18</v>
      </c>
      <c r="H12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25" spans="1:8" hidden="1" x14ac:dyDescent="0.3">
      <c r="A1225" t="s">
        <v>759</v>
      </c>
      <c r="B1225" t="s">
        <v>782</v>
      </c>
      <c r="C1225" t="s">
        <v>5</v>
      </c>
      <c r="D1225" s="68">
        <v>9</v>
      </c>
      <c r="E1225" s="68"/>
      <c r="F1225" s="68">
        <v>1</v>
      </c>
      <c r="G1225" s="68">
        <v>10</v>
      </c>
      <c r="H12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26" spans="1:8" hidden="1" x14ac:dyDescent="0.3">
      <c r="A1226" t="s">
        <v>759</v>
      </c>
      <c r="B1226" t="s">
        <v>782</v>
      </c>
      <c r="C1226" t="s">
        <v>36</v>
      </c>
      <c r="D1226" s="68">
        <v>4</v>
      </c>
      <c r="E1226" s="68"/>
      <c r="F1226" s="68"/>
      <c r="G1226" s="68">
        <v>4</v>
      </c>
      <c r="H12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27" spans="1:8" hidden="1" x14ac:dyDescent="0.3">
      <c r="A1227" t="s">
        <v>759</v>
      </c>
      <c r="B1227" t="s">
        <v>783</v>
      </c>
      <c r="C1227" t="s">
        <v>31</v>
      </c>
      <c r="D1227" s="68">
        <v>77</v>
      </c>
      <c r="E1227" s="68"/>
      <c r="F1227" s="68">
        <v>1343</v>
      </c>
      <c r="G1227" s="68">
        <v>1420</v>
      </c>
      <c r="H12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28" spans="1:8" hidden="1" x14ac:dyDescent="0.3">
      <c r="A1228" t="s">
        <v>759</v>
      </c>
      <c r="B1228" t="s">
        <v>783</v>
      </c>
      <c r="C1228" t="s">
        <v>26</v>
      </c>
      <c r="D1228" s="68">
        <v>113</v>
      </c>
      <c r="E1228" s="68"/>
      <c r="F1228" s="68">
        <v>961</v>
      </c>
      <c r="G1228" s="68">
        <v>1074</v>
      </c>
      <c r="H12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29" spans="1:8" hidden="1" x14ac:dyDescent="0.3">
      <c r="A1229" t="s">
        <v>759</v>
      </c>
      <c r="B1229" t="s">
        <v>783</v>
      </c>
      <c r="C1229" t="s">
        <v>30</v>
      </c>
      <c r="D1229" s="68">
        <v>3</v>
      </c>
      <c r="E1229" s="68"/>
      <c r="F1229" s="68">
        <v>46</v>
      </c>
      <c r="G1229" s="68">
        <v>49</v>
      </c>
      <c r="H12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30" spans="1:8" hidden="1" x14ac:dyDescent="0.3">
      <c r="A1230" t="s">
        <v>759</v>
      </c>
      <c r="B1230" t="s">
        <v>783</v>
      </c>
      <c r="C1230" t="s">
        <v>27</v>
      </c>
      <c r="D1230" s="68"/>
      <c r="E1230" s="68">
        <v>14</v>
      </c>
      <c r="F1230" s="68"/>
      <c r="G1230" s="68">
        <v>14</v>
      </c>
      <c r="H12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31" spans="1:8" hidden="1" x14ac:dyDescent="0.3">
      <c r="A1231" t="s">
        <v>759</v>
      </c>
      <c r="B1231" t="s">
        <v>783</v>
      </c>
      <c r="C1231" t="s">
        <v>5</v>
      </c>
      <c r="D1231" s="68">
        <v>1</v>
      </c>
      <c r="E1231" s="68"/>
      <c r="F1231" s="68">
        <v>5</v>
      </c>
      <c r="G1231" s="68">
        <v>6</v>
      </c>
      <c r="H12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32" spans="1:8" hidden="1" x14ac:dyDescent="0.3">
      <c r="A1232" t="s">
        <v>759</v>
      </c>
      <c r="B1232" t="s">
        <v>784</v>
      </c>
      <c r="C1232" t="s">
        <v>26</v>
      </c>
      <c r="D1232" s="68">
        <v>735</v>
      </c>
      <c r="E1232" s="68"/>
      <c r="F1232" s="68">
        <v>6715</v>
      </c>
      <c r="G1232" s="68">
        <v>7450</v>
      </c>
      <c r="H12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33" spans="1:8" hidden="1" x14ac:dyDescent="0.3">
      <c r="A1233" t="s">
        <v>759</v>
      </c>
      <c r="B1233" t="s">
        <v>784</v>
      </c>
      <c r="C1233" t="s">
        <v>31</v>
      </c>
      <c r="D1233" s="68">
        <v>385</v>
      </c>
      <c r="E1233" s="68"/>
      <c r="F1233" s="68">
        <v>3000</v>
      </c>
      <c r="G1233" s="68">
        <v>3385</v>
      </c>
      <c r="H12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34" spans="1:8" hidden="1" x14ac:dyDescent="0.3">
      <c r="A1234" t="s">
        <v>759</v>
      </c>
      <c r="B1234" t="s">
        <v>784</v>
      </c>
      <c r="C1234" t="s">
        <v>27</v>
      </c>
      <c r="D1234" s="68"/>
      <c r="E1234" s="68">
        <v>142</v>
      </c>
      <c r="F1234" s="68"/>
      <c r="G1234" s="68">
        <v>142</v>
      </c>
      <c r="H12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35" spans="1:8" hidden="1" x14ac:dyDescent="0.3">
      <c r="A1235" t="s">
        <v>759</v>
      </c>
      <c r="B1235" t="s">
        <v>784</v>
      </c>
      <c r="C1235" t="s">
        <v>5</v>
      </c>
      <c r="D1235" s="68">
        <v>3</v>
      </c>
      <c r="E1235" s="68"/>
      <c r="F1235" s="68">
        <v>1</v>
      </c>
      <c r="G1235" s="68">
        <v>4</v>
      </c>
      <c r="H12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36" spans="1:8" hidden="1" x14ac:dyDescent="0.3">
      <c r="A1236" t="s">
        <v>759</v>
      </c>
      <c r="B1236" t="s">
        <v>784</v>
      </c>
      <c r="C1236" t="s">
        <v>30</v>
      </c>
      <c r="D1236" s="68">
        <v>1</v>
      </c>
      <c r="E1236" s="68"/>
      <c r="F1236" s="68"/>
      <c r="G1236" s="68">
        <v>1</v>
      </c>
      <c r="H12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37" spans="1:8" hidden="1" x14ac:dyDescent="0.3">
      <c r="A1237" t="s">
        <v>759</v>
      </c>
      <c r="B1237" t="s">
        <v>785</v>
      </c>
      <c r="C1237" t="s">
        <v>5</v>
      </c>
      <c r="D1237" s="68">
        <v>275</v>
      </c>
      <c r="E1237" s="68"/>
      <c r="F1237" s="68">
        <v>2428</v>
      </c>
      <c r="G1237" s="68">
        <v>2703</v>
      </c>
      <c r="H12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38" spans="1:8" hidden="1" x14ac:dyDescent="0.3">
      <c r="A1238" t="s">
        <v>759</v>
      </c>
      <c r="B1238" t="s">
        <v>785</v>
      </c>
      <c r="C1238" t="s">
        <v>26</v>
      </c>
      <c r="D1238" s="68">
        <v>131</v>
      </c>
      <c r="E1238" s="68"/>
      <c r="F1238" s="68">
        <v>336</v>
      </c>
      <c r="G1238" s="68">
        <v>467</v>
      </c>
      <c r="H12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39" spans="1:8" hidden="1" x14ac:dyDescent="0.3">
      <c r="A1239" t="s">
        <v>759</v>
      </c>
      <c r="B1239" t="s">
        <v>785</v>
      </c>
      <c r="C1239" t="s">
        <v>27</v>
      </c>
      <c r="D1239" s="68"/>
      <c r="E1239" s="68">
        <v>28</v>
      </c>
      <c r="F1239" s="68"/>
      <c r="G1239" s="68">
        <v>28</v>
      </c>
      <c r="H12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40" spans="1:8" hidden="1" x14ac:dyDescent="0.3">
      <c r="A1240" t="s">
        <v>759</v>
      </c>
      <c r="B1240" t="s">
        <v>786</v>
      </c>
      <c r="C1240" t="s">
        <v>26</v>
      </c>
      <c r="D1240" s="68">
        <v>162</v>
      </c>
      <c r="E1240" s="68"/>
      <c r="F1240" s="68">
        <v>1088</v>
      </c>
      <c r="G1240" s="68">
        <v>1250</v>
      </c>
      <c r="H12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41" spans="1:8" hidden="1" x14ac:dyDescent="0.3">
      <c r="A1241" t="s">
        <v>759</v>
      </c>
      <c r="B1241" t="s">
        <v>786</v>
      </c>
      <c r="C1241" t="s">
        <v>5</v>
      </c>
      <c r="D1241" s="68">
        <v>9</v>
      </c>
      <c r="E1241" s="68"/>
      <c r="F1241" s="68">
        <v>94</v>
      </c>
      <c r="G1241" s="68">
        <v>103</v>
      </c>
      <c r="H12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42" spans="1:8" hidden="1" x14ac:dyDescent="0.3">
      <c r="A1242" t="s">
        <v>759</v>
      </c>
      <c r="B1242" t="s">
        <v>786</v>
      </c>
      <c r="C1242" t="s">
        <v>27</v>
      </c>
      <c r="D1242" s="68"/>
      <c r="E1242" s="68">
        <v>9</v>
      </c>
      <c r="F1242" s="68"/>
      <c r="G1242" s="68">
        <v>9</v>
      </c>
      <c r="H12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43" spans="1:8" hidden="1" x14ac:dyDescent="0.3">
      <c r="A1243" t="s">
        <v>759</v>
      </c>
      <c r="B1243" t="s">
        <v>787</v>
      </c>
      <c r="C1243" t="s">
        <v>26</v>
      </c>
      <c r="D1243" s="68">
        <v>32224</v>
      </c>
      <c r="E1243" s="68"/>
      <c r="F1243" s="68">
        <v>29257</v>
      </c>
      <c r="G1243" s="68">
        <v>61481</v>
      </c>
      <c r="H12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44" spans="1:8" hidden="1" x14ac:dyDescent="0.3">
      <c r="A1244" t="s">
        <v>759</v>
      </c>
      <c r="B1244" t="s">
        <v>787</v>
      </c>
      <c r="C1244" t="s">
        <v>5</v>
      </c>
      <c r="D1244" s="68">
        <v>25823</v>
      </c>
      <c r="E1244" s="68"/>
      <c r="F1244" s="68">
        <v>6121</v>
      </c>
      <c r="G1244" s="68">
        <v>31944</v>
      </c>
      <c r="H12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45" spans="1:8" hidden="1" x14ac:dyDescent="0.3">
      <c r="A1245" t="s">
        <v>759</v>
      </c>
      <c r="B1245" t="s">
        <v>787</v>
      </c>
      <c r="C1245" t="s">
        <v>37</v>
      </c>
      <c r="D1245" s="68">
        <v>11517</v>
      </c>
      <c r="E1245" s="68"/>
      <c r="F1245" s="68">
        <v>6043</v>
      </c>
      <c r="G1245" s="68">
        <v>17560</v>
      </c>
      <c r="H12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46" spans="1:8" hidden="1" x14ac:dyDescent="0.3">
      <c r="A1246" t="s">
        <v>759</v>
      </c>
      <c r="B1246" t="s">
        <v>787</v>
      </c>
      <c r="C1246" t="s">
        <v>31</v>
      </c>
      <c r="D1246" s="68">
        <v>3119</v>
      </c>
      <c r="E1246" s="68"/>
      <c r="F1246" s="68">
        <v>7743</v>
      </c>
      <c r="G1246" s="68">
        <v>10862</v>
      </c>
      <c r="H12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47" spans="1:8" hidden="1" x14ac:dyDescent="0.3">
      <c r="A1247" t="s">
        <v>759</v>
      </c>
      <c r="B1247" t="s">
        <v>787</v>
      </c>
      <c r="C1247" t="s">
        <v>36</v>
      </c>
      <c r="D1247" s="68">
        <v>7121</v>
      </c>
      <c r="E1247" s="68"/>
      <c r="F1247" s="68">
        <v>1789</v>
      </c>
      <c r="G1247" s="68">
        <v>8910</v>
      </c>
      <c r="H12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48" spans="1:8" hidden="1" x14ac:dyDescent="0.3">
      <c r="A1248" t="s">
        <v>759</v>
      </c>
      <c r="B1248" t="s">
        <v>787</v>
      </c>
      <c r="C1248" t="s">
        <v>27</v>
      </c>
      <c r="D1248" s="68"/>
      <c r="E1248" s="68">
        <v>4068</v>
      </c>
      <c r="F1248" s="68"/>
      <c r="G1248" s="68">
        <v>4068</v>
      </c>
      <c r="H12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49" spans="1:8" hidden="1" x14ac:dyDescent="0.3">
      <c r="A1249" t="s">
        <v>759</v>
      </c>
      <c r="B1249" t="s">
        <v>787</v>
      </c>
      <c r="C1249" t="s">
        <v>30</v>
      </c>
      <c r="D1249" s="68">
        <v>221</v>
      </c>
      <c r="E1249" s="68"/>
      <c r="F1249" s="68">
        <v>1704</v>
      </c>
      <c r="G1249" s="68">
        <v>1925</v>
      </c>
      <c r="H12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50" spans="1:8" hidden="1" x14ac:dyDescent="0.3">
      <c r="A1250" t="s">
        <v>759</v>
      </c>
      <c r="B1250" t="s">
        <v>787</v>
      </c>
      <c r="C1250" t="s">
        <v>35</v>
      </c>
      <c r="D1250" s="68">
        <v>34</v>
      </c>
      <c r="E1250" s="68"/>
      <c r="F1250" s="68"/>
      <c r="G1250" s="68">
        <v>34</v>
      </c>
      <c r="H12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51" spans="1:8" hidden="1" x14ac:dyDescent="0.3">
      <c r="A1251" t="s">
        <v>759</v>
      </c>
      <c r="B1251" t="s">
        <v>788</v>
      </c>
      <c r="C1251" t="s">
        <v>30</v>
      </c>
      <c r="D1251" s="68">
        <v>155</v>
      </c>
      <c r="E1251" s="68"/>
      <c r="F1251" s="68">
        <v>2694</v>
      </c>
      <c r="G1251" s="68">
        <v>2849</v>
      </c>
      <c r="H12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52" spans="1:8" hidden="1" x14ac:dyDescent="0.3">
      <c r="A1252" t="s">
        <v>759</v>
      </c>
      <c r="B1252" t="s">
        <v>788</v>
      </c>
      <c r="C1252" t="s">
        <v>26</v>
      </c>
      <c r="D1252" s="68">
        <v>314</v>
      </c>
      <c r="E1252" s="68"/>
      <c r="F1252" s="68">
        <v>318</v>
      </c>
      <c r="G1252" s="68">
        <v>632</v>
      </c>
      <c r="H12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53" spans="1:8" hidden="1" x14ac:dyDescent="0.3">
      <c r="A1253" t="s">
        <v>759</v>
      </c>
      <c r="B1253" t="s">
        <v>788</v>
      </c>
      <c r="C1253" t="s">
        <v>27</v>
      </c>
      <c r="D1253" s="68"/>
      <c r="E1253" s="68">
        <v>118</v>
      </c>
      <c r="F1253" s="68"/>
      <c r="G1253" s="68">
        <v>118</v>
      </c>
      <c r="H12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54" spans="1:8" hidden="1" x14ac:dyDescent="0.3">
      <c r="A1254" t="s">
        <v>759</v>
      </c>
      <c r="B1254" t="s">
        <v>789</v>
      </c>
      <c r="C1254" t="s">
        <v>30</v>
      </c>
      <c r="D1254" s="68">
        <v>90</v>
      </c>
      <c r="E1254" s="68"/>
      <c r="F1254" s="68">
        <v>1590</v>
      </c>
      <c r="G1254" s="68">
        <v>1680</v>
      </c>
      <c r="H12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55" spans="1:8" hidden="1" x14ac:dyDescent="0.3">
      <c r="A1255" t="s">
        <v>759</v>
      </c>
      <c r="B1255" t="s">
        <v>789</v>
      </c>
      <c r="C1255" t="s">
        <v>26</v>
      </c>
      <c r="D1255" s="68">
        <v>140</v>
      </c>
      <c r="E1255" s="68"/>
      <c r="F1255" s="68">
        <v>91</v>
      </c>
      <c r="G1255" s="68">
        <v>231</v>
      </c>
      <c r="H12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56" spans="1:8" hidden="1" x14ac:dyDescent="0.3">
      <c r="A1256" t="s">
        <v>759</v>
      </c>
      <c r="B1256" t="s">
        <v>789</v>
      </c>
      <c r="C1256" t="s">
        <v>27</v>
      </c>
      <c r="D1256" s="68"/>
      <c r="E1256" s="68">
        <v>62</v>
      </c>
      <c r="F1256" s="68"/>
      <c r="G1256" s="68">
        <v>62</v>
      </c>
      <c r="H12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57" spans="1:8" hidden="1" x14ac:dyDescent="0.3">
      <c r="A1257" t="s">
        <v>759</v>
      </c>
      <c r="B1257" t="s">
        <v>790</v>
      </c>
      <c r="C1257" t="s">
        <v>26</v>
      </c>
      <c r="D1257" s="68">
        <v>898</v>
      </c>
      <c r="E1257" s="68"/>
      <c r="F1257" s="68">
        <v>1646</v>
      </c>
      <c r="G1257" s="68">
        <v>2544</v>
      </c>
      <c r="H12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58" spans="1:8" hidden="1" x14ac:dyDescent="0.3">
      <c r="A1258" t="s">
        <v>759</v>
      </c>
      <c r="B1258" t="s">
        <v>790</v>
      </c>
      <c r="C1258" t="s">
        <v>5</v>
      </c>
      <c r="D1258" s="68">
        <v>195</v>
      </c>
      <c r="E1258" s="68"/>
      <c r="F1258" s="68">
        <v>1266</v>
      </c>
      <c r="G1258" s="68">
        <v>1461</v>
      </c>
      <c r="H12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59" spans="1:8" hidden="1" x14ac:dyDescent="0.3">
      <c r="A1259" t="s">
        <v>759</v>
      </c>
      <c r="B1259" t="s">
        <v>790</v>
      </c>
      <c r="C1259" t="s">
        <v>27</v>
      </c>
      <c r="D1259" s="68"/>
      <c r="E1259" s="68">
        <v>12</v>
      </c>
      <c r="F1259" s="68"/>
      <c r="G1259" s="68">
        <v>12</v>
      </c>
      <c r="H12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60" spans="1:8" hidden="1" x14ac:dyDescent="0.3">
      <c r="A1260" t="s">
        <v>759</v>
      </c>
      <c r="B1260" t="s">
        <v>790</v>
      </c>
      <c r="C1260" t="s">
        <v>30</v>
      </c>
      <c r="D1260" s="68"/>
      <c r="E1260" s="68"/>
      <c r="F1260" s="68">
        <v>6</v>
      </c>
      <c r="G1260" s="68">
        <v>6</v>
      </c>
      <c r="H12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61" spans="1:8" hidden="1" x14ac:dyDescent="0.3">
      <c r="A1261" t="s">
        <v>759</v>
      </c>
      <c r="B1261" t="s">
        <v>791</v>
      </c>
      <c r="C1261" t="s">
        <v>26</v>
      </c>
      <c r="D1261" s="68">
        <v>442</v>
      </c>
      <c r="E1261" s="68"/>
      <c r="F1261" s="68">
        <v>2382</v>
      </c>
      <c r="G1261" s="68">
        <v>2824</v>
      </c>
      <c r="H12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62" spans="1:8" hidden="1" x14ac:dyDescent="0.3">
      <c r="A1262" t="s">
        <v>759</v>
      </c>
      <c r="B1262" t="s">
        <v>791</v>
      </c>
      <c r="C1262" t="s">
        <v>27</v>
      </c>
      <c r="D1262" s="68"/>
      <c r="E1262" s="68">
        <v>31</v>
      </c>
      <c r="F1262" s="68"/>
      <c r="G1262" s="68">
        <v>31</v>
      </c>
      <c r="H12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63" spans="1:8" hidden="1" x14ac:dyDescent="0.3">
      <c r="A1263" t="s">
        <v>759</v>
      </c>
      <c r="B1263" t="s">
        <v>791</v>
      </c>
      <c r="C1263" t="s">
        <v>36</v>
      </c>
      <c r="D1263" s="68">
        <v>2</v>
      </c>
      <c r="E1263" s="68"/>
      <c r="F1263" s="68"/>
      <c r="G1263" s="68">
        <v>2</v>
      </c>
      <c r="H12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64" spans="1:8" hidden="1" x14ac:dyDescent="0.3">
      <c r="A1264" t="s">
        <v>759</v>
      </c>
      <c r="B1264" t="s">
        <v>791</v>
      </c>
      <c r="C1264" t="s">
        <v>5</v>
      </c>
      <c r="D1264" s="68"/>
      <c r="E1264" s="68"/>
      <c r="F1264" s="68">
        <v>2</v>
      </c>
      <c r="G1264" s="68">
        <v>2</v>
      </c>
      <c r="H12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65" spans="1:8" hidden="1" x14ac:dyDescent="0.3">
      <c r="A1265" t="s">
        <v>759</v>
      </c>
      <c r="B1265" t="s">
        <v>792</v>
      </c>
      <c r="C1265" t="s">
        <v>31</v>
      </c>
      <c r="D1265" s="68">
        <v>149</v>
      </c>
      <c r="E1265" s="68"/>
      <c r="F1265" s="68">
        <v>1716</v>
      </c>
      <c r="G1265" s="68">
        <v>1865</v>
      </c>
      <c r="H12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66" spans="1:8" hidden="1" x14ac:dyDescent="0.3">
      <c r="A1266" t="s">
        <v>759</v>
      </c>
      <c r="B1266" t="s">
        <v>792</v>
      </c>
      <c r="C1266" t="s">
        <v>26</v>
      </c>
      <c r="D1266" s="68">
        <v>144</v>
      </c>
      <c r="E1266" s="68"/>
      <c r="F1266" s="68">
        <v>392</v>
      </c>
      <c r="G1266" s="68">
        <v>536</v>
      </c>
      <c r="H12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67" spans="1:8" hidden="1" x14ac:dyDescent="0.3">
      <c r="A1267" t="s">
        <v>759</v>
      </c>
      <c r="B1267" t="s">
        <v>792</v>
      </c>
      <c r="C1267" t="s">
        <v>5</v>
      </c>
      <c r="D1267" s="68">
        <v>16</v>
      </c>
      <c r="E1267" s="68"/>
      <c r="F1267" s="68">
        <v>38</v>
      </c>
      <c r="G1267" s="68">
        <v>54</v>
      </c>
      <c r="H12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68" spans="1:8" hidden="1" x14ac:dyDescent="0.3">
      <c r="A1268" t="s">
        <v>759</v>
      </c>
      <c r="B1268" t="s">
        <v>792</v>
      </c>
      <c r="C1268" t="s">
        <v>27</v>
      </c>
      <c r="D1268" s="68"/>
      <c r="E1268" s="68">
        <v>25</v>
      </c>
      <c r="F1268" s="68"/>
      <c r="G1268" s="68">
        <v>25</v>
      </c>
      <c r="H12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69" spans="1:8" hidden="1" x14ac:dyDescent="0.3">
      <c r="A1269" t="s">
        <v>759</v>
      </c>
      <c r="B1269" t="s">
        <v>793</v>
      </c>
      <c r="C1269" t="s">
        <v>26</v>
      </c>
      <c r="D1269" s="68">
        <v>777</v>
      </c>
      <c r="E1269" s="68"/>
      <c r="F1269" s="68">
        <v>2798</v>
      </c>
      <c r="G1269" s="68">
        <v>3575</v>
      </c>
      <c r="H12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70" spans="1:8" hidden="1" x14ac:dyDescent="0.3">
      <c r="A1270" t="s">
        <v>759</v>
      </c>
      <c r="B1270" t="s">
        <v>793</v>
      </c>
      <c r="C1270" t="s">
        <v>5</v>
      </c>
      <c r="D1270" s="68">
        <v>44</v>
      </c>
      <c r="E1270" s="68"/>
      <c r="F1270" s="68">
        <v>139</v>
      </c>
      <c r="G1270" s="68">
        <v>183</v>
      </c>
      <c r="H12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71" spans="1:8" hidden="1" x14ac:dyDescent="0.3">
      <c r="A1271" t="s">
        <v>759</v>
      </c>
      <c r="B1271" t="s">
        <v>793</v>
      </c>
      <c r="C1271" t="s">
        <v>27</v>
      </c>
      <c r="D1271" s="68"/>
      <c r="E1271" s="68">
        <v>26</v>
      </c>
      <c r="F1271" s="68"/>
      <c r="G1271" s="68">
        <v>26</v>
      </c>
      <c r="H12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72" spans="1:8" hidden="1" x14ac:dyDescent="0.3">
      <c r="A1272" t="s">
        <v>759</v>
      </c>
      <c r="B1272" t="s">
        <v>794</v>
      </c>
      <c r="C1272" t="s">
        <v>26</v>
      </c>
      <c r="D1272" s="68">
        <v>2435</v>
      </c>
      <c r="E1272" s="68"/>
      <c r="F1272" s="68">
        <v>5290</v>
      </c>
      <c r="G1272" s="68">
        <v>7725</v>
      </c>
      <c r="H12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73" spans="1:8" hidden="1" x14ac:dyDescent="0.3">
      <c r="A1273" t="s">
        <v>759</v>
      </c>
      <c r="B1273" t="s">
        <v>794</v>
      </c>
      <c r="C1273" t="s">
        <v>37</v>
      </c>
      <c r="D1273" s="68">
        <v>3188</v>
      </c>
      <c r="E1273" s="68"/>
      <c r="F1273" s="68">
        <v>3249</v>
      </c>
      <c r="G1273" s="68">
        <v>6437</v>
      </c>
      <c r="H12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74" spans="1:8" hidden="1" x14ac:dyDescent="0.3">
      <c r="A1274" t="s">
        <v>759</v>
      </c>
      <c r="B1274" t="s">
        <v>794</v>
      </c>
      <c r="C1274" t="s">
        <v>30</v>
      </c>
      <c r="D1274" s="68">
        <v>110</v>
      </c>
      <c r="E1274" s="68"/>
      <c r="F1274" s="68">
        <v>960</v>
      </c>
      <c r="G1274" s="68">
        <v>1070</v>
      </c>
      <c r="H12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75" spans="1:8" hidden="1" x14ac:dyDescent="0.3">
      <c r="A1275" t="s">
        <v>759</v>
      </c>
      <c r="B1275" t="s">
        <v>794</v>
      </c>
      <c r="C1275" t="s">
        <v>27</v>
      </c>
      <c r="D1275" s="68"/>
      <c r="E1275" s="68">
        <v>666</v>
      </c>
      <c r="F1275" s="68"/>
      <c r="G1275" s="68">
        <v>666</v>
      </c>
      <c r="H12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76" spans="1:8" hidden="1" x14ac:dyDescent="0.3">
      <c r="A1276" t="s">
        <v>759</v>
      </c>
      <c r="B1276" t="s">
        <v>794</v>
      </c>
      <c r="C1276" t="s">
        <v>5</v>
      </c>
      <c r="D1276" s="68">
        <v>6</v>
      </c>
      <c r="E1276" s="68"/>
      <c r="F1276" s="68"/>
      <c r="G1276" s="68">
        <v>6</v>
      </c>
      <c r="H12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77" spans="1:8" hidden="1" x14ac:dyDescent="0.3">
      <c r="A1277" t="s">
        <v>759</v>
      </c>
      <c r="B1277" t="s">
        <v>795</v>
      </c>
      <c r="C1277" t="s">
        <v>30</v>
      </c>
      <c r="D1277" s="68">
        <v>46</v>
      </c>
      <c r="E1277" s="68"/>
      <c r="F1277" s="68">
        <v>988</v>
      </c>
      <c r="G1277" s="68">
        <v>1034</v>
      </c>
      <c r="H12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78" spans="1:8" hidden="1" x14ac:dyDescent="0.3">
      <c r="A1278" t="s">
        <v>759</v>
      </c>
      <c r="B1278" t="s">
        <v>795</v>
      </c>
      <c r="C1278" t="s">
        <v>26</v>
      </c>
      <c r="D1278" s="68">
        <v>82</v>
      </c>
      <c r="E1278" s="68"/>
      <c r="F1278" s="68">
        <v>27</v>
      </c>
      <c r="G1278" s="68">
        <v>109</v>
      </c>
      <c r="H12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79" spans="1:8" hidden="1" x14ac:dyDescent="0.3">
      <c r="A1279" t="s">
        <v>759</v>
      </c>
      <c r="B1279" t="s">
        <v>795</v>
      </c>
      <c r="C1279" t="s">
        <v>27</v>
      </c>
      <c r="D1279" s="68"/>
      <c r="E1279" s="68">
        <v>35</v>
      </c>
      <c r="F1279" s="68"/>
      <c r="G1279" s="68">
        <v>35</v>
      </c>
      <c r="H12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0" spans="1:8" hidden="1" x14ac:dyDescent="0.3">
      <c r="A1280" t="s">
        <v>759</v>
      </c>
      <c r="B1280" t="s">
        <v>796</v>
      </c>
      <c r="C1280" t="s">
        <v>26</v>
      </c>
      <c r="D1280" s="68">
        <v>2916</v>
      </c>
      <c r="E1280" s="68"/>
      <c r="F1280" s="68">
        <v>5315</v>
      </c>
      <c r="G1280" s="68">
        <v>8231</v>
      </c>
      <c r="H12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81" spans="1:8" hidden="1" x14ac:dyDescent="0.3">
      <c r="A1281" t="s">
        <v>759</v>
      </c>
      <c r="B1281" t="s">
        <v>796</v>
      </c>
      <c r="C1281" t="s">
        <v>27</v>
      </c>
      <c r="D1281" s="68"/>
      <c r="E1281" s="68">
        <v>466</v>
      </c>
      <c r="F1281" s="68"/>
      <c r="G1281" s="68">
        <v>466</v>
      </c>
      <c r="H12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2" spans="1:8" hidden="1" x14ac:dyDescent="0.3">
      <c r="A1282" t="s">
        <v>759</v>
      </c>
      <c r="B1282" t="s">
        <v>796</v>
      </c>
      <c r="C1282" t="s">
        <v>30</v>
      </c>
      <c r="D1282" s="68">
        <v>39</v>
      </c>
      <c r="E1282" s="68"/>
      <c r="F1282" s="68">
        <v>156</v>
      </c>
      <c r="G1282" s="68">
        <v>195</v>
      </c>
      <c r="H12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3" spans="1:8" hidden="1" x14ac:dyDescent="0.3">
      <c r="A1283" t="s">
        <v>759</v>
      </c>
      <c r="B1283" t="s">
        <v>797</v>
      </c>
      <c r="C1283" t="s">
        <v>26</v>
      </c>
      <c r="D1283" s="68">
        <v>310</v>
      </c>
      <c r="E1283" s="68"/>
      <c r="F1283" s="68">
        <v>1992</v>
      </c>
      <c r="G1283" s="68">
        <v>2302</v>
      </c>
      <c r="H12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84" spans="1:8" hidden="1" x14ac:dyDescent="0.3">
      <c r="A1284" t="s">
        <v>759</v>
      </c>
      <c r="B1284" t="s">
        <v>797</v>
      </c>
      <c r="C1284" t="s">
        <v>30</v>
      </c>
      <c r="D1284" s="68">
        <v>1</v>
      </c>
      <c r="E1284" s="68"/>
      <c r="F1284" s="68">
        <v>120</v>
      </c>
      <c r="G1284" s="68">
        <v>121</v>
      </c>
      <c r="H12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5" spans="1:8" hidden="1" x14ac:dyDescent="0.3">
      <c r="A1285" t="s">
        <v>759</v>
      </c>
      <c r="B1285" t="s">
        <v>797</v>
      </c>
      <c r="C1285" t="s">
        <v>27</v>
      </c>
      <c r="D1285" s="68"/>
      <c r="E1285" s="68">
        <v>12</v>
      </c>
      <c r="F1285" s="68"/>
      <c r="G1285" s="68">
        <v>12</v>
      </c>
      <c r="H12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6" spans="1:8" hidden="1" x14ac:dyDescent="0.3">
      <c r="A1286" t="s">
        <v>759</v>
      </c>
      <c r="B1286" t="s">
        <v>798</v>
      </c>
      <c r="C1286" t="s">
        <v>30</v>
      </c>
      <c r="D1286" s="68">
        <v>146</v>
      </c>
      <c r="E1286" s="68"/>
      <c r="F1286" s="68">
        <v>3225</v>
      </c>
      <c r="G1286" s="68">
        <v>3371</v>
      </c>
      <c r="H12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7" spans="1:8" hidden="1" x14ac:dyDescent="0.3">
      <c r="A1287" t="s">
        <v>759</v>
      </c>
      <c r="B1287" t="s">
        <v>798</v>
      </c>
      <c r="C1287" t="s">
        <v>26</v>
      </c>
      <c r="D1287" s="68">
        <v>224</v>
      </c>
      <c r="E1287" s="68"/>
      <c r="F1287" s="68">
        <v>132</v>
      </c>
      <c r="G1287" s="68">
        <v>356</v>
      </c>
      <c r="H12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88" spans="1:8" hidden="1" x14ac:dyDescent="0.3">
      <c r="A1288" t="s">
        <v>759</v>
      </c>
      <c r="B1288" t="s">
        <v>798</v>
      </c>
      <c r="C1288" t="s">
        <v>27</v>
      </c>
      <c r="D1288" s="68"/>
      <c r="E1288" s="68">
        <v>184</v>
      </c>
      <c r="F1288" s="68"/>
      <c r="G1288" s="68">
        <v>184</v>
      </c>
      <c r="H12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9" spans="1:8" hidden="1" x14ac:dyDescent="0.3">
      <c r="A1289" t="s">
        <v>759</v>
      </c>
      <c r="B1289" t="s">
        <v>799</v>
      </c>
      <c r="C1289" t="s">
        <v>26</v>
      </c>
      <c r="D1289" s="68">
        <v>456</v>
      </c>
      <c r="E1289" s="68"/>
      <c r="F1289" s="68">
        <v>944</v>
      </c>
      <c r="G1289" s="68">
        <v>1400</v>
      </c>
      <c r="H12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90" spans="1:8" hidden="1" x14ac:dyDescent="0.3">
      <c r="A1290" t="s">
        <v>759</v>
      </c>
      <c r="B1290" t="s">
        <v>799</v>
      </c>
      <c r="C1290" t="s">
        <v>5</v>
      </c>
      <c r="D1290" s="68">
        <v>32</v>
      </c>
      <c r="E1290" s="68"/>
      <c r="F1290" s="68">
        <v>117</v>
      </c>
      <c r="G1290" s="68">
        <v>149</v>
      </c>
      <c r="H12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91" spans="1:8" hidden="1" x14ac:dyDescent="0.3">
      <c r="A1291" t="s">
        <v>759</v>
      </c>
      <c r="B1291" t="s">
        <v>799</v>
      </c>
      <c r="C1291" t="s">
        <v>27</v>
      </c>
      <c r="D1291" s="68"/>
      <c r="E1291" s="68">
        <v>11</v>
      </c>
      <c r="F1291" s="68"/>
      <c r="G1291" s="68">
        <v>11</v>
      </c>
      <c r="H12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92" spans="1:8" hidden="1" x14ac:dyDescent="0.3">
      <c r="A1292" t="s">
        <v>759</v>
      </c>
      <c r="B1292" t="s">
        <v>799</v>
      </c>
      <c r="C1292" t="s">
        <v>30</v>
      </c>
      <c r="D1292" s="68"/>
      <c r="E1292" s="68"/>
      <c r="F1292" s="68">
        <v>1</v>
      </c>
      <c r="G1292" s="68">
        <v>1</v>
      </c>
      <c r="H12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93" spans="1:8" hidden="1" x14ac:dyDescent="0.3">
      <c r="A1293" t="s">
        <v>759</v>
      </c>
      <c r="B1293" t="s">
        <v>799</v>
      </c>
      <c r="C1293" t="s">
        <v>536</v>
      </c>
      <c r="D1293" s="68">
        <v>1</v>
      </c>
      <c r="E1293" s="68"/>
      <c r="F1293" s="68"/>
      <c r="G1293" s="68">
        <v>1</v>
      </c>
      <c r="H12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94" spans="1:8" hidden="1" x14ac:dyDescent="0.3">
      <c r="A1294" t="s">
        <v>759</v>
      </c>
      <c r="B1294" t="s">
        <v>800</v>
      </c>
      <c r="C1294" t="s">
        <v>26</v>
      </c>
      <c r="D1294" s="68">
        <v>583</v>
      </c>
      <c r="E1294" s="68"/>
      <c r="F1294" s="68">
        <v>4426</v>
      </c>
      <c r="G1294" s="68">
        <v>5009</v>
      </c>
      <c r="H12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95" spans="1:8" hidden="1" x14ac:dyDescent="0.3">
      <c r="A1295" t="s">
        <v>759</v>
      </c>
      <c r="B1295" t="s">
        <v>800</v>
      </c>
      <c r="C1295" t="s">
        <v>30</v>
      </c>
      <c r="D1295" s="68">
        <v>20</v>
      </c>
      <c r="E1295" s="68"/>
      <c r="F1295" s="68">
        <v>503</v>
      </c>
      <c r="G1295" s="68">
        <v>523</v>
      </c>
      <c r="H12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96" spans="1:8" hidden="1" x14ac:dyDescent="0.3">
      <c r="A1296" t="s">
        <v>759</v>
      </c>
      <c r="B1296" t="s">
        <v>800</v>
      </c>
      <c r="C1296" t="s">
        <v>27</v>
      </c>
      <c r="D1296" s="68"/>
      <c r="E1296" s="68">
        <v>34</v>
      </c>
      <c r="F1296" s="68"/>
      <c r="G1296" s="68">
        <v>34</v>
      </c>
      <c r="H12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97" spans="1:8" hidden="1" x14ac:dyDescent="0.3">
      <c r="A1297" t="s">
        <v>759</v>
      </c>
      <c r="B1297" t="s">
        <v>800</v>
      </c>
      <c r="C1297" t="s">
        <v>31</v>
      </c>
      <c r="D1297" s="68">
        <v>4</v>
      </c>
      <c r="E1297" s="68"/>
      <c r="F1297" s="68"/>
      <c r="G1297" s="68">
        <v>4</v>
      </c>
      <c r="H12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98" spans="1:8" hidden="1" x14ac:dyDescent="0.3">
      <c r="A1298" t="s">
        <v>759</v>
      </c>
      <c r="B1298" t="s">
        <v>614</v>
      </c>
      <c r="C1298" t="s">
        <v>26</v>
      </c>
      <c r="D1298" s="68">
        <v>487</v>
      </c>
      <c r="E1298" s="68"/>
      <c r="F1298" s="68">
        <v>1616</v>
      </c>
      <c r="G1298" s="68">
        <v>2103</v>
      </c>
      <c r="H12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99" spans="1:8" hidden="1" x14ac:dyDescent="0.3">
      <c r="A1299" t="s">
        <v>759</v>
      </c>
      <c r="B1299" t="s">
        <v>614</v>
      </c>
      <c r="C1299" t="s">
        <v>30</v>
      </c>
      <c r="D1299" s="68">
        <v>43</v>
      </c>
      <c r="E1299" s="68"/>
      <c r="F1299" s="68">
        <v>1179</v>
      </c>
      <c r="G1299" s="68">
        <v>1222</v>
      </c>
      <c r="H12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00" spans="1:8" hidden="1" x14ac:dyDescent="0.3">
      <c r="A1300" t="s">
        <v>759</v>
      </c>
      <c r="B1300" t="s">
        <v>614</v>
      </c>
      <c r="C1300" t="s">
        <v>27</v>
      </c>
      <c r="D1300" s="68"/>
      <c r="E1300" s="68">
        <v>49</v>
      </c>
      <c r="F1300" s="68"/>
      <c r="G1300" s="68">
        <v>49</v>
      </c>
      <c r="H13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01" spans="1:8" hidden="1" x14ac:dyDescent="0.3">
      <c r="A1301" t="s">
        <v>759</v>
      </c>
      <c r="B1301" t="s">
        <v>614</v>
      </c>
      <c r="C1301" t="s">
        <v>5</v>
      </c>
      <c r="D1301" s="68">
        <v>4</v>
      </c>
      <c r="E1301" s="68"/>
      <c r="F1301" s="68">
        <v>18</v>
      </c>
      <c r="G1301" s="68">
        <v>22</v>
      </c>
      <c r="H13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02" spans="1:8" hidden="1" x14ac:dyDescent="0.3">
      <c r="A1302" t="s">
        <v>759</v>
      </c>
      <c r="B1302" t="s">
        <v>801</v>
      </c>
      <c r="C1302" t="s">
        <v>26</v>
      </c>
      <c r="D1302" s="68">
        <v>171</v>
      </c>
      <c r="E1302" s="68"/>
      <c r="F1302" s="68">
        <v>1619</v>
      </c>
      <c r="G1302" s="68">
        <v>1790</v>
      </c>
      <c r="H13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03" spans="1:8" hidden="1" x14ac:dyDescent="0.3">
      <c r="A1303" t="s">
        <v>759</v>
      </c>
      <c r="B1303" t="s">
        <v>801</v>
      </c>
      <c r="C1303" t="s">
        <v>30</v>
      </c>
      <c r="D1303" s="68">
        <v>2</v>
      </c>
      <c r="E1303" s="68"/>
      <c r="F1303" s="68">
        <v>56</v>
      </c>
      <c r="G1303" s="68">
        <v>58</v>
      </c>
      <c r="H13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04" spans="1:8" hidden="1" x14ac:dyDescent="0.3">
      <c r="A1304" t="s">
        <v>759</v>
      </c>
      <c r="B1304" t="s">
        <v>801</v>
      </c>
      <c r="C1304" t="s">
        <v>27</v>
      </c>
      <c r="D1304" s="68"/>
      <c r="E1304" s="68">
        <v>20</v>
      </c>
      <c r="F1304" s="68"/>
      <c r="G1304" s="68">
        <v>20</v>
      </c>
      <c r="H13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05" spans="1:8" hidden="1" x14ac:dyDescent="0.3">
      <c r="A1305" t="s">
        <v>759</v>
      </c>
      <c r="B1305" t="s">
        <v>802</v>
      </c>
      <c r="C1305" t="s">
        <v>5</v>
      </c>
      <c r="D1305" s="68">
        <v>112</v>
      </c>
      <c r="E1305" s="68"/>
      <c r="F1305" s="68">
        <v>1309</v>
      </c>
      <c r="G1305" s="68">
        <v>1421</v>
      </c>
      <c r="H13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06" spans="1:8" hidden="1" x14ac:dyDescent="0.3">
      <c r="A1306" t="s">
        <v>759</v>
      </c>
      <c r="B1306" t="s">
        <v>802</v>
      </c>
      <c r="C1306" t="s">
        <v>26</v>
      </c>
      <c r="D1306" s="68">
        <v>185</v>
      </c>
      <c r="E1306" s="68"/>
      <c r="F1306" s="68">
        <v>179</v>
      </c>
      <c r="G1306" s="68">
        <v>364</v>
      </c>
      <c r="H13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07" spans="1:8" hidden="1" x14ac:dyDescent="0.3">
      <c r="A1307" t="s">
        <v>759</v>
      </c>
      <c r="B1307" t="s">
        <v>802</v>
      </c>
      <c r="C1307" t="s">
        <v>27</v>
      </c>
      <c r="D1307" s="68"/>
      <c r="E1307" s="68">
        <v>63</v>
      </c>
      <c r="F1307" s="68"/>
      <c r="G1307" s="68">
        <v>63</v>
      </c>
      <c r="H13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08" spans="1:8" hidden="1" x14ac:dyDescent="0.3">
      <c r="A1308" t="s">
        <v>759</v>
      </c>
      <c r="B1308" t="s">
        <v>48</v>
      </c>
      <c r="C1308" t="s">
        <v>31</v>
      </c>
      <c r="D1308" s="68">
        <v>66</v>
      </c>
      <c r="E1308" s="68"/>
      <c r="F1308" s="68">
        <v>794</v>
      </c>
      <c r="G1308" s="68">
        <v>860</v>
      </c>
      <c r="H13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09" spans="1:8" hidden="1" x14ac:dyDescent="0.3">
      <c r="A1309" t="s">
        <v>759</v>
      </c>
      <c r="B1309" t="s">
        <v>48</v>
      </c>
      <c r="C1309" t="s">
        <v>26</v>
      </c>
      <c r="D1309" s="68">
        <v>16</v>
      </c>
      <c r="E1309" s="68"/>
      <c r="F1309" s="68">
        <v>15</v>
      </c>
      <c r="G1309" s="68">
        <v>31</v>
      </c>
      <c r="H13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10" spans="1:8" hidden="1" x14ac:dyDescent="0.3">
      <c r="A1310" t="s">
        <v>759</v>
      </c>
      <c r="B1310" t="s">
        <v>48</v>
      </c>
      <c r="C1310" t="s">
        <v>27</v>
      </c>
      <c r="D1310" s="68"/>
      <c r="E1310" s="68">
        <v>25</v>
      </c>
      <c r="F1310" s="68"/>
      <c r="G1310" s="68">
        <v>25</v>
      </c>
      <c r="H13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11" spans="1:8" hidden="1" x14ac:dyDescent="0.3">
      <c r="A1311" t="s">
        <v>759</v>
      </c>
      <c r="B1311" t="s">
        <v>803</v>
      </c>
      <c r="C1311" t="s">
        <v>26</v>
      </c>
      <c r="D1311" s="68">
        <v>335</v>
      </c>
      <c r="E1311" s="68"/>
      <c r="F1311" s="68">
        <v>1064</v>
      </c>
      <c r="G1311" s="68">
        <v>1399</v>
      </c>
      <c r="H13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12" spans="1:8" hidden="1" x14ac:dyDescent="0.3">
      <c r="A1312" t="s">
        <v>759</v>
      </c>
      <c r="B1312" t="s">
        <v>803</v>
      </c>
      <c r="C1312" t="s">
        <v>5</v>
      </c>
      <c r="D1312" s="68">
        <v>143</v>
      </c>
      <c r="E1312" s="68"/>
      <c r="F1312" s="68">
        <v>1208</v>
      </c>
      <c r="G1312" s="68">
        <v>1351</v>
      </c>
      <c r="H13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13" spans="1:8" hidden="1" x14ac:dyDescent="0.3">
      <c r="A1313" t="s">
        <v>759</v>
      </c>
      <c r="B1313" t="s">
        <v>803</v>
      </c>
      <c r="C1313" t="s">
        <v>27</v>
      </c>
      <c r="D1313" s="68"/>
      <c r="E1313" s="68">
        <v>63</v>
      </c>
      <c r="F1313" s="68"/>
      <c r="G1313" s="68">
        <v>63</v>
      </c>
      <c r="H13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14" spans="1:8" hidden="1" x14ac:dyDescent="0.3">
      <c r="A1314" t="s">
        <v>759</v>
      </c>
      <c r="B1314" t="s">
        <v>803</v>
      </c>
      <c r="C1314" t="s">
        <v>30</v>
      </c>
      <c r="D1314" s="68">
        <v>1</v>
      </c>
      <c r="E1314" s="68"/>
      <c r="F1314" s="68"/>
      <c r="G1314" s="68">
        <v>1</v>
      </c>
      <c r="H13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15" spans="1:8" hidden="1" x14ac:dyDescent="0.3">
      <c r="A1315" t="s">
        <v>759</v>
      </c>
      <c r="B1315" t="s">
        <v>804</v>
      </c>
      <c r="C1315" t="s">
        <v>26</v>
      </c>
      <c r="D1315" s="68">
        <v>288</v>
      </c>
      <c r="E1315" s="68"/>
      <c r="F1315" s="68">
        <v>1806</v>
      </c>
      <c r="G1315" s="68">
        <v>2094</v>
      </c>
      <c r="H13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16" spans="1:8" hidden="1" x14ac:dyDescent="0.3">
      <c r="A1316" t="s">
        <v>759</v>
      </c>
      <c r="B1316" t="s">
        <v>804</v>
      </c>
      <c r="C1316" t="s">
        <v>30</v>
      </c>
      <c r="D1316" s="68">
        <v>56</v>
      </c>
      <c r="E1316" s="68"/>
      <c r="F1316" s="68">
        <v>736</v>
      </c>
      <c r="G1316" s="68">
        <v>792</v>
      </c>
      <c r="H13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17" spans="1:8" hidden="1" x14ac:dyDescent="0.3">
      <c r="A1317" t="s">
        <v>759</v>
      </c>
      <c r="B1317" t="s">
        <v>804</v>
      </c>
      <c r="C1317" t="s">
        <v>27</v>
      </c>
      <c r="D1317" s="68"/>
      <c r="E1317" s="68">
        <v>31</v>
      </c>
      <c r="F1317" s="68"/>
      <c r="G1317" s="68">
        <v>31</v>
      </c>
      <c r="H13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18" spans="1:8" hidden="1" x14ac:dyDescent="0.3">
      <c r="A1318" t="s">
        <v>759</v>
      </c>
      <c r="B1318" t="s">
        <v>805</v>
      </c>
      <c r="C1318" t="s">
        <v>31</v>
      </c>
      <c r="D1318" s="68">
        <v>154</v>
      </c>
      <c r="E1318" s="68"/>
      <c r="F1318" s="68">
        <v>2130</v>
      </c>
      <c r="G1318" s="68">
        <v>2284</v>
      </c>
      <c r="H13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19" spans="1:8" hidden="1" x14ac:dyDescent="0.3">
      <c r="A1319" t="s">
        <v>759</v>
      </c>
      <c r="B1319" t="s">
        <v>805</v>
      </c>
      <c r="C1319" t="s">
        <v>26</v>
      </c>
      <c r="D1319" s="68">
        <v>209</v>
      </c>
      <c r="E1319" s="68"/>
      <c r="F1319" s="68">
        <v>1578</v>
      </c>
      <c r="G1319" s="68">
        <v>1787</v>
      </c>
      <c r="H13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20" spans="1:8" hidden="1" x14ac:dyDescent="0.3">
      <c r="A1320" t="s">
        <v>759</v>
      </c>
      <c r="B1320" t="s">
        <v>805</v>
      </c>
      <c r="C1320" t="s">
        <v>30</v>
      </c>
      <c r="D1320" s="68">
        <v>14</v>
      </c>
      <c r="E1320" s="68"/>
      <c r="F1320" s="68">
        <v>350</v>
      </c>
      <c r="G1320" s="68">
        <v>364</v>
      </c>
      <c r="H13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21" spans="1:8" hidden="1" x14ac:dyDescent="0.3">
      <c r="A1321" t="s">
        <v>759</v>
      </c>
      <c r="B1321" t="s">
        <v>805</v>
      </c>
      <c r="C1321" t="s">
        <v>27</v>
      </c>
      <c r="D1321" s="68"/>
      <c r="E1321" s="68">
        <v>78</v>
      </c>
      <c r="F1321" s="68"/>
      <c r="G1321" s="68">
        <v>78</v>
      </c>
      <c r="H13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22" spans="1:8" hidden="1" x14ac:dyDescent="0.3">
      <c r="A1322" t="s">
        <v>759</v>
      </c>
      <c r="B1322" t="s">
        <v>806</v>
      </c>
      <c r="C1322" t="s">
        <v>26</v>
      </c>
      <c r="D1322" s="68">
        <v>1797</v>
      </c>
      <c r="E1322" s="68"/>
      <c r="F1322" s="68">
        <v>4382</v>
      </c>
      <c r="G1322" s="68">
        <v>6179</v>
      </c>
      <c r="H13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23" spans="1:8" hidden="1" x14ac:dyDescent="0.3">
      <c r="A1323" t="s">
        <v>759</v>
      </c>
      <c r="B1323" t="s">
        <v>806</v>
      </c>
      <c r="C1323" t="s">
        <v>31</v>
      </c>
      <c r="D1323" s="68">
        <v>252</v>
      </c>
      <c r="E1323" s="68"/>
      <c r="F1323" s="68">
        <v>1019</v>
      </c>
      <c r="G1323" s="68">
        <v>1271</v>
      </c>
      <c r="H13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24" spans="1:8" hidden="1" x14ac:dyDescent="0.3">
      <c r="A1324" t="s">
        <v>759</v>
      </c>
      <c r="B1324" t="s">
        <v>806</v>
      </c>
      <c r="C1324" t="s">
        <v>27</v>
      </c>
      <c r="D1324" s="68"/>
      <c r="E1324" s="68">
        <v>263</v>
      </c>
      <c r="F1324" s="68"/>
      <c r="G1324" s="68">
        <v>263</v>
      </c>
      <c r="H13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25" spans="1:8" hidden="1" x14ac:dyDescent="0.3">
      <c r="A1325" t="s">
        <v>759</v>
      </c>
      <c r="B1325" t="s">
        <v>806</v>
      </c>
      <c r="C1325" t="s">
        <v>5</v>
      </c>
      <c r="D1325" s="68">
        <v>3</v>
      </c>
      <c r="E1325" s="68"/>
      <c r="F1325" s="68"/>
      <c r="G1325" s="68">
        <v>3</v>
      </c>
      <c r="H13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26" spans="1:8" hidden="1" x14ac:dyDescent="0.3">
      <c r="A1326" t="s">
        <v>759</v>
      </c>
      <c r="B1326" t="s">
        <v>807</v>
      </c>
      <c r="C1326" t="s">
        <v>26</v>
      </c>
      <c r="D1326" s="68">
        <v>695</v>
      </c>
      <c r="E1326" s="68"/>
      <c r="F1326" s="68">
        <v>1423</v>
      </c>
      <c r="G1326" s="68">
        <v>2118</v>
      </c>
      <c r="H13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27" spans="1:8" hidden="1" x14ac:dyDescent="0.3">
      <c r="A1327" t="s">
        <v>759</v>
      </c>
      <c r="B1327" t="s">
        <v>807</v>
      </c>
      <c r="C1327" t="s">
        <v>5</v>
      </c>
      <c r="D1327" s="68">
        <v>114</v>
      </c>
      <c r="E1327" s="68"/>
      <c r="F1327" s="68">
        <v>1094</v>
      </c>
      <c r="G1327" s="68">
        <v>1208</v>
      </c>
      <c r="H13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28" spans="1:8" hidden="1" x14ac:dyDescent="0.3">
      <c r="A1328" t="s">
        <v>759</v>
      </c>
      <c r="B1328" t="s">
        <v>807</v>
      </c>
      <c r="C1328" t="s">
        <v>27</v>
      </c>
      <c r="D1328" s="68"/>
      <c r="E1328" s="68">
        <v>35</v>
      </c>
      <c r="F1328" s="68"/>
      <c r="G1328" s="68">
        <v>35</v>
      </c>
      <c r="H13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29" spans="1:8" hidden="1" x14ac:dyDescent="0.3">
      <c r="A1329" t="s">
        <v>759</v>
      </c>
      <c r="B1329" t="s">
        <v>807</v>
      </c>
      <c r="C1329" t="s">
        <v>30</v>
      </c>
      <c r="D1329" s="68"/>
      <c r="E1329" s="68"/>
      <c r="F1329" s="68">
        <v>1</v>
      </c>
      <c r="G1329" s="68">
        <v>1</v>
      </c>
      <c r="H13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30" spans="1:8" hidden="1" x14ac:dyDescent="0.3">
      <c r="A1330" t="s">
        <v>759</v>
      </c>
      <c r="B1330" t="s">
        <v>808</v>
      </c>
      <c r="C1330" t="s">
        <v>26</v>
      </c>
      <c r="D1330" s="68">
        <v>777</v>
      </c>
      <c r="E1330" s="68"/>
      <c r="F1330" s="68">
        <v>1805</v>
      </c>
      <c r="G1330" s="68">
        <v>2582</v>
      </c>
      <c r="H13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31" spans="1:8" hidden="1" x14ac:dyDescent="0.3">
      <c r="A1331" t="s">
        <v>759</v>
      </c>
      <c r="B1331" t="s">
        <v>808</v>
      </c>
      <c r="C1331" t="s">
        <v>31</v>
      </c>
      <c r="D1331" s="68">
        <v>41</v>
      </c>
      <c r="E1331" s="68"/>
      <c r="F1331" s="68">
        <v>668</v>
      </c>
      <c r="G1331" s="68">
        <v>709</v>
      </c>
      <c r="H13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32" spans="1:8" hidden="1" x14ac:dyDescent="0.3">
      <c r="A1332" t="s">
        <v>759</v>
      </c>
      <c r="B1332" t="s">
        <v>808</v>
      </c>
      <c r="C1332" t="s">
        <v>27</v>
      </c>
      <c r="D1332" s="68"/>
      <c r="E1332" s="68">
        <v>52</v>
      </c>
      <c r="F1332" s="68"/>
      <c r="G1332" s="68">
        <v>52</v>
      </c>
      <c r="H13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33" spans="1:8" hidden="1" x14ac:dyDescent="0.3">
      <c r="A1333" t="s">
        <v>759</v>
      </c>
      <c r="B1333" t="s">
        <v>808</v>
      </c>
      <c r="C1333" t="s">
        <v>30</v>
      </c>
      <c r="D1333" s="68">
        <v>1</v>
      </c>
      <c r="E1333" s="68"/>
      <c r="F1333" s="68"/>
      <c r="G1333" s="68">
        <v>1</v>
      </c>
      <c r="H13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34" spans="1:8" hidden="1" x14ac:dyDescent="0.3">
      <c r="A1334" t="s">
        <v>759</v>
      </c>
      <c r="B1334" t="s">
        <v>809</v>
      </c>
      <c r="C1334" t="s">
        <v>26</v>
      </c>
      <c r="D1334" s="68">
        <v>6466</v>
      </c>
      <c r="E1334" s="68"/>
      <c r="F1334" s="68">
        <v>8372</v>
      </c>
      <c r="G1334" s="68">
        <v>14838</v>
      </c>
      <c r="H13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35" spans="1:8" hidden="1" x14ac:dyDescent="0.3">
      <c r="A1335" t="s">
        <v>759</v>
      </c>
      <c r="B1335" t="s">
        <v>809</v>
      </c>
      <c r="C1335" t="s">
        <v>31</v>
      </c>
      <c r="D1335" s="68">
        <v>1167</v>
      </c>
      <c r="E1335" s="68"/>
      <c r="F1335" s="68">
        <v>6474</v>
      </c>
      <c r="G1335" s="68">
        <v>7641</v>
      </c>
      <c r="H13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36" spans="1:8" hidden="1" x14ac:dyDescent="0.3">
      <c r="A1336" t="s">
        <v>759</v>
      </c>
      <c r="B1336" t="s">
        <v>809</v>
      </c>
      <c r="C1336" t="s">
        <v>37</v>
      </c>
      <c r="D1336" s="68">
        <v>2661</v>
      </c>
      <c r="E1336" s="68"/>
      <c r="F1336" s="68">
        <v>3223</v>
      </c>
      <c r="G1336" s="68">
        <v>5884</v>
      </c>
      <c r="H13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37" spans="1:8" hidden="1" x14ac:dyDescent="0.3">
      <c r="A1337" t="s">
        <v>759</v>
      </c>
      <c r="B1337" t="s">
        <v>809</v>
      </c>
      <c r="C1337" t="s">
        <v>30</v>
      </c>
      <c r="D1337" s="68">
        <v>150</v>
      </c>
      <c r="E1337" s="68"/>
      <c r="F1337" s="68">
        <v>1432</v>
      </c>
      <c r="G1337" s="68">
        <v>1582</v>
      </c>
      <c r="H13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38" spans="1:8" hidden="1" x14ac:dyDescent="0.3">
      <c r="A1338" t="s">
        <v>759</v>
      </c>
      <c r="B1338" t="s">
        <v>809</v>
      </c>
      <c r="C1338" t="s">
        <v>27</v>
      </c>
      <c r="D1338" s="68"/>
      <c r="E1338" s="68">
        <v>645</v>
      </c>
      <c r="F1338" s="68"/>
      <c r="G1338" s="68">
        <v>645</v>
      </c>
      <c r="H13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39" spans="1:8" hidden="1" x14ac:dyDescent="0.3">
      <c r="A1339" t="s">
        <v>759</v>
      </c>
      <c r="B1339" t="s">
        <v>809</v>
      </c>
      <c r="C1339" t="s">
        <v>35</v>
      </c>
      <c r="D1339" s="68">
        <v>10</v>
      </c>
      <c r="E1339" s="68"/>
      <c r="F1339" s="68"/>
      <c r="G1339" s="68">
        <v>10</v>
      </c>
      <c r="H13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40" spans="1:8" hidden="1" x14ac:dyDescent="0.3">
      <c r="A1340" t="s">
        <v>759</v>
      </c>
      <c r="B1340" t="s">
        <v>809</v>
      </c>
      <c r="C1340" t="s">
        <v>5</v>
      </c>
      <c r="D1340" s="68">
        <v>4</v>
      </c>
      <c r="E1340" s="68"/>
      <c r="F1340" s="68"/>
      <c r="G1340" s="68">
        <v>4</v>
      </c>
      <c r="H13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41" spans="1:8" hidden="1" x14ac:dyDescent="0.3">
      <c r="A1341" t="s">
        <v>759</v>
      </c>
      <c r="B1341" t="s">
        <v>810</v>
      </c>
      <c r="C1341" t="s">
        <v>26</v>
      </c>
      <c r="D1341" s="68">
        <v>579</v>
      </c>
      <c r="E1341" s="68"/>
      <c r="F1341" s="68">
        <v>3459</v>
      </c>
      <c r="G1341" s="68">
        <v>4038</v>
      </c>
      <c r="H13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42" spans="1:8" hidden="1" x14ac:dyDescent="0.3">
      <c r="A1342" t="s">
        <v>759</v>
      </c>
      <c r="B1342" t="s">
        <v>810</v>
      </c>
      <c r="C1342" t="s">
        <v>30</v>
      </c>
      <c r="D1342" s="68">
        <v>1</v>
      </c>
      <c r="E1342" s="68"/>
      <c r="F1342" s="68">
        <v>60</v>
      </c>
      <c r="G1342" s="68">
        <v>61</v>
      </c>
      <c r="H13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43" spans="1:8" hidden="1" x14ac:dyDescent="0.3">
      <c r="A1343" t="s">
        <v>759</v>
      </c>
      <c r="B1343" t="s">
        <v>810</v>
      </c>
      <c r="C1343" t="s">
        <v>27</v>
      </c>
      <c r="D1343" s="68"/>
      <c r="E1343" s="68">
        <v>30</v>
      </c>
      <c r="F1343" s="68"/>
      <c r="G1343" s="68">
        <v>30</v>
      </c>
      <c r="H13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44" spans="1:8" hidden="1" x14ac:dyDescent="0.3">
      <c r="A1344" t="s">
        <v>759</v>
      </c>
      <c r="B1344" t="s">
        <v>811</v>
      </c>
      <c r="C1344" t="s">
        <v>31</v>
      </c>
      <c r="D1344" s="68">
        <v>528</v>
      </c>
      <c r="E1344" s="68"/>
      <c r="F1344" s="68">
        <v>3469</v>
      </c>
      <c r="G1344" s="68">
        <v>3997</v>
      </c>
      <c r="H13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45" spans="1:8" hidden="1" x14ac:dyDescent="0.3">
      <c r="A1345" t="s">
        <v>759</v>
      </c>
      <c r="B1345" t="s">
        <v>811</v>
      </c>
      <c r="C1345" t="s">
        <v>26</v>
      </c>
      <c r="D1345" s="68">
        <v>581</v>
      </c>
      <c r="E1345" s="68"/>
      <c r="F1345" s="68">
        <v>1751</v>
      </c>
      <c r="G1345" s="68">
        <v>2332</v>
      </c>
      <c r="H13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46" spans="1:8" hidden="1" x14ac:dyDescent="0.3">
      <c r="A1346" t="s">
        <v>759</v>
      </c>
      <c r="B1346" t="s">
        <v>811</v>
      </c>
      <c r="C1346" t="s">
        <v>30</v>
      </c>
      <c r="D1346" s="68">
        <v>80</v>
      </c>
      <c r="E1346" s="68"/>
      <c r="F1346" s="68">
        <v>621</v>
      </c>
      <c r="G1346" s="68">
        <v>701</v>
      </c>
      <c r="H13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47" spans="1:8" hidden="1" x14ac:dyDescent="0.3">
      <c r="A1347" t="s">
        <v>759</v>
      </c>
      <c r="B1347" t="s">
        <v>811</v>
      </c>
      <c r="C1347" t="s">
        <v>27</v>
      </c>
      <c r="D1347" s="68"/>
      <c r="E1347" s="68">
        <v>138</v>
      </c>
      <c r="F1347" s="68"/>
      <c r="G1347" s="68">
        <v>138</v>
      </c>
      <c r="H13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48" spans="1:8" hidden="1" x14ac:dyDescent="0.3">
      <c r="A1348" t="s">
        <v>759</v>
      </c>
      <c r="B1348" t="s">
        <v>812</v>
      </c>
      <c r="C1348" t="s">
        <v>26</v>
      </c>
      <c r="D1348" s="68">
        <v>3700</v>
      </c>
      <c r="E1348" s="68"/>
      <c r="F1348" s="68">
        <v>5430</v>
      </c>
      <c r="G1348" s="68">
        <v>9130</v>
      </c>
      <c r="H13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49" spans="1:8" hidden="1" x14ac:dyDescent="0.3">
      <c r="A1349" t="s">
        <v>759</v>
      </c>
      <c r="B1349" t="s">
        <v>812</v>
      </c>
      <c r="C1349" t="s">
        <v>5</v>
      </c>
      <c r="D1349" s="68">
        <v>220</v>
      </c>
      <c r="E1349" s="68"/>
      <c r="F1349" s="68">
        <v>60</v>
      </c>
      <c r="G1349" s="68">
        <v>280</v>
      </c>
      <c r="H13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50" spans="1:8" hidden="1" x14ac:dyDescent="0.3">
      <c r="A1350" t="s">
        <v>759</v>
      </c>
      <c r="B1350" t="s">
        <v>812</v>
      </c>
      <c r="C1350" t="s">
        <v>27</v>
      </c>
      <c r="D1350" s="68"/>
      <c r="E1350" s="68">
        <v>34</v>
      </c>
      <c r="F1350" s="68"/>
      <c r="G1350" s="68">
        <v>34</v>
      </c>
      <c r="H13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51" spans="1:8" hidden="1" x14ac:dyDescent="0.3">
      <c r="A1351" t="s">
        <v>759</v>
      </c>
      <c r="B1351" t="s">
        <v>812</v>
      </c>
      <c r="C1351" t="s">
        <v>30</v>
      </c>
      <c r="D1351" s="68">
        <v>4</v>
      </c>
      <c r="E1351" s="68"/>
      <c r="F1351" s="68">
        <v>4</v>
      </c>
      <c r="G1351" s="68">
        <v>8</v>
      </c>
      <c r="H13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52" spans="1:8" hidden="1" x14ac:dyDescent="0.3">
      <c r="A1352" t="s">
        <v>759</v>
      </c>
      <c r="B1352" t="s">
        <v>812</v>
      </c>
      <c r="C1352" t="s">
        <v>36</v>
      </c>
      <c r="D1352" s="68">
        <v>5</v>
      </c>
      <c r="E1352" s="68"/>
      <c r="F1352" s="68">
        <v>1</v>
      </c>
      <c r="G1352" s="68">
        <v>6</v>
      </c>
      <c r="H13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53" spans="1:8" hidden="1" x14ac:dyDescent="0.3">
      <c r="A1353" t="s">
        <v>759</v>
      </c>
      <c r="B1353" t="s">
        <v>813</v>
      </c>
      <c r="C1353" t="s">
        <v>26</v>
      </c>
      <c r="D1353" s="68">
        <v>321</v>
      </c>
      <c r="E1353" s="68"/>
      <c r="F1353" s="68">
        <v>3006</v>
      </c>
      <c r="G1353" s="68">
        <v>3327</v>
      </c>
      <c r="H13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54" spans="1:8" hidden="1" x14ac:dyDescent="0.3">
      <c r="A1354" t="s">
        <v>759</v>
      </c>
      <c r="B1354" t="s">
        <v>813</v>
      </c>
      <c r="C1354" t="s">
        <v>30</v>
      </c>
      <c r="D1354" s="68">
        <v>32</v>
      </c>
      <c r="E1354" s="68"/>
      <c r="F1354" s="68">
        <v>852</v>
      </c>
      <c r="G1354" s="68">
        <v>884</v>
      </c>
      <c r="H13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55" spans="1:8" hidden="1" x14ac:dyDescent="0.3">
      <c r="A1355" t="s">
        <v>759</v>
      </c>
      <c r="B1355" t="s">
        <v>813</v>
      </c>
      <c r="C1355" t="s">
        <v>27</v>
      </c>
      <c r="D1355" s="68"/>
      <c r="E1355" s="68">
        <v>24</v>
      </c>
      <c r="F1355" s="68"/>
      <c r="G1355" s="68">
        <v>24</v>
      </c>
      <c r="H13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56" spans="1:8" hidden="1" x14ac:dyDescent="0.3">
      <c r="A1356" t="s">
        <v>759</v>
      </c>
      <c r="B1356" t="s">
        <v>813</v>
      </c>
      <c r="C1356" t="s">
        <v>31</v>
      </c>
      <c r="D1356" s="68">
        <v>1</v>
      </c>
      <c r="E1356" s="68"/>
      <c r="F1356" s="68"/>
      <c r="G1356" s="68">
        <v>1</v>
      </c>
      <c r="H13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57" spans="1:8" hidden="1" x14ac:dyDescent="0.3">
      <c r="A1357" t="s">
        <v>759</v>
      </c>
      <c r="B1357" t="s">
        <v>814</v>
      </c>
      <c r="C1357" t="s">
        <v>31</v>
      </c>
      <c r="D1357" s="68">
        <v>190</v>
      </c>
      <c r="E1357" s="68"/>
      <c r="F1357" s="68">
        <v>968</v>
      </c>
      <c r="G1357" s="68">
        <v>1158</v>
      </c>
      <c r="H13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58" spans="1:8" hidden="1" x14ac:dyDescent="0.3">
      <c r="A1358" t="s">
        <v>759</v>
      </c>
      <c r="B1358" t="s">
        <v>814</v>
      </c>
      <c r="C1358" t="s">
        <v>26</v>
      </c>
      <c r="D1358" s="68">
        <v>308</v>
      </c>
      <c r="E1358" s="68"/>
      <c r="F1358" s="68">
        <v>489</v>
      </c>
      <c r="G1358" s="68">
        <v>797</v>
      </c>
      <c r="H13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59" spans="1:8" hidden="1" x14ac:dyDescent="0.3">
      <c r="A1359" t="s">
        <v>759</v>
      </c>
      <c r="B1359" t="s">
        <v>814</v>
      </c>
      <c r="C1359" t="s">
        <v>27</v>
      </c>
      <c r="D1359" s="68"/>
      <c r="E1359" s="68">
        <v>21</v>
      </c>
      <c r="F1359" s="68"/>
      <c r="G1359" s="68">
        <v>21</v>
      </c>
      <c r="H13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60" spans="1:8" hidden="1" x14ac:dyDescent="0.3">
      <c r="A1360" t="s">
        <v>759</v>
      </c>
      <c r="B1360" t="s">
        <v>815</v>
      </c>
      <c r="C1360" t="s">
        <v>26</v>
      </c>
      <c r="D1360" s="68">
        <v>828</v>
      </c>
      <c r="E1360" s="68"/>
      <c r="F1360" s="68">
        <v>4400</v>
      </c>
      <c r="G1360" s="68">
        <v>5228</v>
      </c>
      <c r="H13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61" spans="1:8" hidden="1" x14ac:dyDescent="0.3">
      <c r="A1361" t="s">
        <v>759</v>
      </c>
      <c r="B1361" t="s">
        <v>815</v>
      </c>
      <c r="C1361" t="s">
        <v>30</v>
      </c>
      <c r="D1361" s="68">
        <v>103</v>
      </c>
      <c r="E1361" s="68"/>
      <c r="F1361" s="68">
        <v>1305</v>
      </c>
      <c r="G1361" s="68">
        <v>1408</v>
      </c>
      <c r="H13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62" spans="1:8" hidden="1" x14ac:dyDescent="0.3">
      <c r="A1362" t="s">
        <v>759</v>
      </c>
      <c r="B1362" t="s">
        <v>815</v>
      </c>
      <c r="C1362" t="s">
        <v>27</v>
      </c>
      <c r="D1362" s="68"/>
      <c r="E1362" s="68">
        <v>172</v>
      </c>
      <c r="F1362" s="68"/>
      <c r="G1362" s="68">
        <v>172</v>
      </c>
      <c r="H13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63" spans="1:8" hidden="1" x14ac:dyDescent="0.3">
      <c r="A1363" t="s">
        <v>759</v>
      </c>
      <c r="B1363" t="s">
        <v>815</v>
      </c>
      <c r="C1363" t="s">
        <v>5</v>
      </c>
      <c r="D1363" s="68">
        <v>3</v>
      </c>
      <c r="E1363" s="68"/>
      <c r="F1363" s="68"/>
      <c r="G1363" s="68">
        <v>3</v>
      </c>
      <c r="H13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64" spans="1:8" hidden="1" x14ac:dyDescent="0.3">
      <c r="A1364" t="s">
        <v>759</v>
      </c>
      <c r="B1364" t="s">
        <v>815</v>
      </c>
      <c r="C1364" t="s">
        <v>31</v>
      </c>
      <c r="D1364" s="68">
        <v>1</v>
      </c>
      <c r="E1364" s="68"/>
      <c r="F1364" s="68"/>
      <c r="G1364" s="68">
        <v>1</v>
      </c>
      <c r="H13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65" spans="1:8" hidden="1" x14ac:dyDescent="0.3">
      <c r="A1365" t="s">
        <v>759</v>
      </c>
      <c r="B1365" t="s">
        <v>816</v>
      </c>
      <c r="C1365" t="s">
        <v>30</v>
      </c>
      <c r="D1365" s="68">
        <v>31</v>
      </c>
      <c r="E1365" s="68"/>
      <c r="F1365" s="68">
        <v>1154</v>
      </c>
      <c r="G1365" s="68">
        <v>1185</v>
      </c>
      <c r="H13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66" spans="1:8" hidden="1" x14ac:dyDescent="0.3">
      <c r="A1366" t="s">
        <v>759</v>
      </c>
      <c r="B1366" t="s">
        <v>816</v>
      </c>
      <c r="C1366" t="s">
        <v>26</v>
      </c>
      <c r="D1366" s="68">
        <v>122</v>
      </c>
      <c r="E1366" s="68"/>
      <c r="F1366" s="68">
        <v>148</v>
      </c>
      <c r="G1366" s="68">
        <v>270</v>
      </c>
      <c r="H13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67" spans="1:8" hidden="1" x14ac:dyDescent="0.3">
      <c r="A1367" t="s">
        <v>759</v>
      </c>
      <c r="B1367" t="s">
        <v>816</v>
      </c>
      <c r="C1367" t="s">
        <v>27</v>
      </c>
      <c r="D1367" s="68"/>
      <c r="E1367" s="68">
        <v>12</v>
      </c>
      <c r="F1367" s="68"/>
      <c r="G1367" s="68">
        <v>12</v>
      </c>
      <c r="H13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68" spans="1:8" hidden="1" x14ac:dyDescent="0.3">
      <c r="A1368" t="s">
        <v>759</v>
      </c>
      <c r="B1368" t="s">
        <v>817</v>
      </c>
      <c r="C1368" t="s">
        <v>31</v>
      </c>
      <c r="D1368" s="68">
        <v>236</v>
      </c>
      <c r="E1368" s="68"/>
      <c r="F1368" s="68">
        <v>1915</v>
      </c>
      <c r="G1368" s="68">
        <v>2151</v>
      </c>
      <c r="H13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69" spans="1:8" hidden="1" x14ac:dyDescent="0.3">
      <c r="A1369" t="s">
        <v>759</v>
      </c>
      <c r="B1369" t="s">
        <v>817</v>
      </c>
      <c r="C1369" t="s">
        <v>26</v>
      </c>
      <c r="D1369" s="68">
        <v>139</v>
      </c>
      <c r="E1369" s="68"/>
      <c r="F1369" s="68">
        <v>132</v>
      </c>
      <c r="G1369" s="68">
        <v>271</v>
      </c>
      <c r="H13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70" spans="1:8" hidden="1" x14ac:dyDescent="0.3">
      <c r="A1370" t="s">
        <v>759</v>
      </c>
      <c r="B1370" t="s">
        <v>817</v>
      </c>
      <c r="C1370" t="s">
        <v>27</v>
      </c>
      <c r="D1370" s="68"/>
      <c r="E1370" s="68">
        <v>92</v>
      </c>
      <c r="F1370" s="68"/>
      <c r="G1370" s="68">
        <v>92</v>
      </c>
      <c r="H13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71" spans="1:8" hidden="1" x14ac:dyDescent="0.3">
      <c r="A1371" t="s">
        <v>759</v>
      </c>
      <c r="B1371" t="s">
        <v>818</v>
      </c>
      <c r="C1371" t="s">
        <v>26</v>
      </c>
      <c r="D1371" s="68">
        <v>6631</v>
      </c>
      <c r="E1371" s="68"/>
      <c r="F1371" s="68">
        <v>8373</v>
      </c>
      <c r="G1371" s="68">
        <v>15004</v>
      </c>
      <c r="H13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72" spans="1:8" hidden="1" x14ac:dyDescent="0.3">
      <c r="A1372" t="s">
        <v>759</v>
      </c>
      <c r="B1372" t="s">
        <v>818</v>
      </c>
      <c r="C1372" t="s">
        <v>37</v>
      </c>
      <c r="D1372" s="68">
        <v>7713</v>
      </c>
      <c r="E1372" s="68"/>
      <c r="F1372" s="68">
        <v>4308</v>
      </c>
      <c r="G1372" s="68">
        <v>12021</v>
      </c>
      <c r="H13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73" spans="1:8" hidden="1" x14ac:dyDescent="0.3">
      <c r="A1373" t="s">
        <v>759</v>
      </c>
      <c r="B1373" t="s">
        <v>818</v>
      </c>
      <c r="C1373" t="s">
        <v>5</v>
      </c>
      <c r="D1373" s="68">
        <v>4197</v>
      </c>
      <c r="E1373" s="68"/>
      <c r="F1373" s="68">
        <v>1533</v>
      </c>
      <c r="G1373" s="68">
        <v>5730</v>
      </c>
      <c r="H13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74" spans="1:8" hidden="1" x14ac:dyDescent="0.3">
      <c r="A1374" t="s">
        <v>759</v>
      </c>
      <c r="B1374" t="s">
        <v>818</v>
      </c>
      <c r="C1374" t="s">
        <v>31</v>
      </c>
      <c r="D1374" s="68">
        <v>268</v>
      </c>
      <c r="E1374" s="68"/>
      <c r="F1374" s="68">
        <v>1345</v>
      </c>
      <c r="G1374" s="68">
        <v>1613</v>
      </c>
      <c r="H13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75" spans="1:8" hidden="1" x14ac:dyDescent="0.3">
      <c r="A1375" t="s">
        <v>759</v>
      </c>
      <c r="B1375" t="s">
        <v>818</v>
      </c>
      <c r="C1375" t="s">
        <v>36</v>
      </c>
      <c r="D1375" s="68">
        <v>923</v>
      </c>
      <c r="E1375" s="68"/>
      <c r="F1375" s="68">
        <v>465</v>
      </c>
      <c r="G1375" s="68">
        <v>1388</v>
      </c>
      <c r="H13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76" spans="1:8" hidden="1" x14ac:dyDescent="0.3">
      <c r="A1376" t="s">
        <v>759</v>
      </c>
      <c r="B1376" t="s">
        <v>818</v>
      </c>
      <c r="C1376" t="s">
        <v>30</v>
      </c>
      <c r="D1376" s="68">
        <v>85</v>
      </c>
      <c r="E1376" s="68"/>
      <c r="F1376" s="68">
        <v>613</v>
      </c>
      <c r="G1376" s="68">
        <v>698</v>
      </c>
      <c r="H13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77" spans="1:8" hidden="1" x14ac:dyDescent="0.3">
      <c r="A1377" t="s">
        <v>759</v>
      </c>
      <c r="B1377" t="s">
        <v>818</v>
      </c>
      <c r="C1377" t="s">
        <v>27</v>
      </c>
      <c r="D1377" s="68"/>
      <c r="E1377" s="68">
        <v>339</v>
      </c>
      <c r="F1377" s="68"/>
      <c r="G1377" s="68">
        <v>339</v>
      </c>
      <c r="H13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78" spans="1:8" hidden="1" x14ac:dyDescent="0.3">
      <c r="A1378" t="s">
        <v>759</v>
      </c>
      <c r="B1378" t="s">
        <v>819</v>
      </c>
      <c r="C1378" t="s">
        <v>31</v>
      </c>
      <c r="D1378" s="68">
        <v>99</v>
      </c>
      <c r="E1378" s="68"/>
      <c r="F1378" s="68">
        <v>811</v>
      </c>
      <c r="G1378" s="68">
        <v>910</v>
      </c>
      <c r="H13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79" spans="1:8" hidden="1" x14ac:dyDescent="0.3">
      <c r="A1379" t="s">
        <v>759</v>
      </c>
      <c r="B1379" t="s">
        <v>819</v>
      </c>
      <c r="C1379" t="s">
        <v>26</v>
      </c>
      <c r="D1379" s="68">
        <v>265</v>
      </c>
      <c r="E1379" s="68"/>
      <c r="F1379" s="68">
        <v>466</v>
      </c>
      <c r="G1379" s="68">
        <v>731</v>
      </c>
      <c r="H13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80" spans="1:8" hidden="1" x14ac:dyDescent="0.3">
      <c r="A1380" t="s">
        <v>759</v>
      </c>
      <c r="B1380" t="s">
        <v>819</v>
      </c>
      <c r="C1380" t="s">
        <v>27</v>
      </c>
      <c r="D1380" s="68"/>
      <c r="E1380" s="68">
        <v>38</v>
      </c>
      <c r="F1380" s="68"/>
      <c r="G1380" s="68">
        <v>38</v>
      </c>
      <c r="H13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81" spans="1:8" hidden="1" x14ac:dyDescent="0.3">
      <c r="A1381" t="s">
        <v>759</v>
      </c>
      <c r="B1381" t="s">
        <v>819</v>
      </c>
      <c r="C1381" t="s">
        <v>30</v>
      </c>
      <c r="D1381" s="68"/>
      <c r="E1381" s="68"/>
      <c r="F1381" s="68">
        <v>8</v>
      </c>
      <c r="G1381" s="68">
        <v>8</v>
      </c>
      <c r="H13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82" spans="1:8" hidden="1" x14ac:dyDescent="0.3">
      <c r="A1382" t="s">
        <v>759</v>
      </c>
      <c r="B1382" t="s">
        <v>820</v>
      </c>
      <c r="C1382" t="s">
        <v>30</v>
      </c>
      <c r="D1382" s="68">
        <v>51</v>
      </c>
      <c r="E1382" s="68"/>
      <c r="F1382" s="68">
        <v>1041</v>
      </c>
      <c r="G1382" s="68">
        <v>1092</v>
      </c>
      <c r="H13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83" spans="1:8" hidden="1" x14ac:dyDescent="0.3">
      <c r="A1383" t="s">
        <v>759</v>
      </c>
      <c r="B1383" t="s">
        <v>820</v>
      </c>
      <c r="C1383" t="s">
        <v>26</v>
      </c>
      <c r="D1383" s="68">
        <v>101</v>
      </c>
      <c r="E1383" s="68"/>
      <c r="F1383" s="68">
        <v>81</v>
      </c>
      <c r="G1383" s="68">
        <v>182</v>
      </c>
      <c r="H13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84" spans="1:8" hidden="1" x14ac:dyDescent="0.3">
      <c r="A1384" t="s">
        <v>759</v>
      </c>
      <c r="B1384" t="s">
        <v>820</v>
      </c>
      <c r="C1384" t="s">
        <v>27</v>
      </c>
      <c r="D1384" s="68"/>
      <c r="E1384" s="68">
        <v>29</v>
      </c>
      <c r="F1384" s="68"/>
      <c r="G1384" s="68">
        <v>29</v>
      </c>
      <c r="H13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85" spans="1:8" hidden="1" x14ac:dyDescent="0.3">
      <c r="A1385" t="s">
        <v>759</v>
      </c>
      <c r="B1385" t="s">
        <v>820</v>
      </c>
      <c r="C1385" t="s">
        <v>36</v>
      </c>
      <c r="D1385" s="68">
        <v>2</v>
      </c>
      <c r="E1385" s="68"/>
      <c r="F1385" s="68">
        <v>1</v>
      </c>
      <c r="G1385" s="68">
        <v>3</v>
      </c>
      <c r="H13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86" spans="1:8" hidden="1" x14ac:dyDescent="0.3">
      <c r="A1386" t="s">
        <v>759</v>
      </c>
      <c r="B1386" t="s">
        <v>821</v>
      </c>
      <c r="C1386" t="s">
        <v>26</v>
      </c>
      <c r="D1386" s="68">
        <v>377</v>
      </c>
      <c r="E1386" s="68"/>
      <c r="F1386" s="68">
        <v>3115</v>
      </c>
      <c r="G1386" s="68">
        <v>3492</v>
      </c>
      <c r="H13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87" spans="1:8" hidden="1" x14ac:dyDescent="0.3">
      <c r="A1387" t="s">
        <v>759</v>
      </c>
      <c r="B1387" t="s">
        <v>821</v>
      </c>
      <c r="C1387" t="s">
        <v>31</v>
      </c>
      <c r="D1387" s="68">
        <v>133</v>
      </c>
      <c r="E1387" s="68"/>
      <c r="F1387" s="68">
        <v>1940</v>
      </c>
      <c r="G1387" s="68">
        <v>2073</v>
      </c>
      <c r="H13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88" spans="1:8" hidden="1" x14ac:dyDescent="0.3">
      <c r="A1388" t="s">
        <v>759</v>
      </c>
      <c r="B1388" t="s">
        <v>821</v>
      </c>
      <c r="C1388" t="s">
        <v>27</v>
      </c>
      <c r="D1388" s="68"/>
      <c r="E1388" s="68">
        <v>120</v>
      </c>
      <c r="F1388" s="68"/>
      <c r="G1388" s="68">
        <v>120</v>
      </c>
      <c r="H13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89" spans="1:8" hidden="1" x14ac:dyDescent="0.3">
      <c r="A1389" t="s">
        <v>759</v>
      </c>
      <c r="B1389" t="s">
        <v>821</v>
      </c>
      <c r="C1389" t="s">
        <v>30</v>
      </c>
      <c r="D1389" s="68"/>
      <c r="E1389" s="68"/>
      <c r="F1389" s="68">
        <v>1</v>
      </c>
      <c r="G1389" s="68">
        <v>1</v>
      </c>
      <c r="H13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90" spans="1:8" hidden="1" x14ac:dyDescent="0.3">
      <c r="A1390" t="s">
        <v>759</v>
      </c>
      <c r="B1390" t="s">
        <v>822</v>
      </c>
      <c r="C1390" t="s">
        <v>31</v>
      </c>
      <c r="D1390" s="68">
        <v>155</v>
      </c>
      <c r="E1390" s="68"/>
      <c r="F1390" s="68">
        <v>1575</v>
      </c>
      <c r="G1390" s="68">
        <v>1730</v>
      </c>
      <c r="H13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91" spans="1:8" hidden="1" x14ac:dyDescent="0.3">
      <c r="A1391" t="s">
        <v>759</v>
      </c>
      <c r="B1391" t="s">
        <v>822</v>
      </c>
      <c r="C1391" t="s">
        <v>26</v>
      </c>
      <c r="D1391" s="68">
        <v>27</v>
      </c>
      <c r="E1391" s="68"/>
      <c r="F1391" s="68">
        <v>90</v>
      </c>
      <c r="G1391" s="68">
        <v>117</v>
      </c>
      <c r="H13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92" spans="1:8" hidden="1" x14ac:dyDescent="0.3">
      <c r="A1392" t="s">
        <v>759</v>
      </c>
      <c r="B1392" t="s">
        <v>822</v>
      </c>
      <c r="C1392" t="s">
        <v>27</v>
      </c>
      <c r="D1392" s="68"/>
      <c r="E1392" s="68">
        <v>44</v>
      </c>
      <c r="F1392" s="68"/>
      <c r="G1392" s="68">
        <v>44</v>
      </c>
      <c r="H13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93" spans="1:8" hidden="1" x14ac:dyDescent="0.3">
      <c r="A1393" t="s">
        <v>759</v>
      </c>
      <c r="B1393" t="s">
        <v>822</v>
      </c>
      <c r="C1393" t="s">
        <v>5</v>
      </c>
      <c r="D1393" s="68">
        <v>7</v>
      </c>
      <c r="E1393" s="68"/>
      <c r="F1393" s="68">
        <v>2</v>
      </c>
      <c r="G1393" s="68">
        <v>9</v>
      </c>
      <c r="H13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94" spans="1:8" hidden="1" x14ac:dyDescent="0.3">
      <c r="A1394" t="s">
        <v>759</v>
      </c>
      <c r="B1394" t="s">
        <v>823</v>
      </c>
      <c r="C1394" t="s">
        <v>26</v>
      </c>
      <c r="D1394" s="68">
        <v>1790</v>
      </c>
      <c r="E1394" s="68"/>
      <c r="F1394" s="68">
        <v>1669</v>
      </c>
      <c r="G1394" s="68">
        <v>3459</v>
      </c>
      <c r="H13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95" spans="1:8" hidden="1" x14ac:dyDescent="0.3">
      <c r="A1395" t="s">
        <v>759</v>
      </c>
      <c r="B1395" t="s">
        <v>823</v>
      </c>
      <c r="C1395" t="s">
        <v>27</v>
      </c>
      <c r="D1395" s="68"/>
      <c r="E1395" s="68">
        <v>83</v>
      </c>
      <c r="F1395" s="68"/>
      <c r="G1395" s="68">
        <v>83</v>
      </c>
      <c r="H13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96" spans="1:8" hidden="1" x14ac:dyDescent="0.3">
      <c r="A1396" t="s">
        <v>759</v>
      </c>
      <c r="B1396" t="s">
        <v>824</v>
      </c>
      <c r="C1396" t="s">
        <v>26</v>
      </c>
      <c r="D1396" s="68">
        <v>483</v>
      </c>
      <c r="E1396" s="68"/>
      <c r="F1396" s="68">
        <v>2639</v>
      </c>
      <c r="G1396" s="68">
        <v>3122</v>
      </c>
      <c r="H13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97" spans="1:8" hidden="1" x14ac:dyDescent="0.3">
      <c r="A1397" t="s">
        <v>759</v>
      </c>
      <c r="B1397" t="s">
        <v>824</v>
      </c>
      <c r="C1397" t="s">
        <v>30</v>
      </c>
      <c r="D1397" s="68">
        <v>59</v>
      </c>
      <c r="E1397" s="68"/>
      <c r="F1397" s="68">
        <v>2281</v>
      </c>
      <c r="G1397" s="68">
        <v>2340</v>
      </c>
      <c r="H13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98" spans="1:8" hidden="1" x14ac:dyDescent="0.3">
      <c r="A1398" t="s">
        <v>759</v>
      </c>
      <c r="B1398" t="s">
        <v>824</v>
      </c>
      <c r="C1398" t="s">
        <v>5</v>
      </c>
      <c r="D1398" s="68">
        <v>33</v>
      </c>
      <c r="E1398" s="68"/>
      <c r="F1398" s="68">
        <v>39</v>
      </c>
      <c r="G1398" s="68">
        <v>72</v>
      </c>
      <c r="H13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99" spans="1:8" hidden="1" x14ac:dyDescent="0.3">
      <c r="A1399" t="s">
        <v>759</v>
      </c>
      <c r="B1399" t="s">
        <v>824</v>
      </c>
      <c r="C1399" t="s">
        <v>27</v>
      </c>
      <c r="D1399" s="68"/>
      <c r="E1399" s="68">
        <v>42</v>
      </c>
      <c r="F1399" s="68"/>
      <c r="G1399" s="68">
        <v>42</v>
      </c>
      <c r="H13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00" spans="1:8" hidden="1" x14ac:dyDescent="0.3">
      <c r="A1400" t="s">
        <v>759</v>
      </c>
      <c r="B1400" t="s">
        <v>825</v>
      </c>
      <c r="C1400" t="s">
        <v>30</v>
      </c>
      <c r="D1400" s="68">
        <v>16</v>
      </c>
      <c r="E1400" s="68"/>
      <c r="F1400" s="68">
        <v>762</v>
      </c>
      <c r="G1400" s="68">
        <v>778</v>
      </c>
      <c r="H14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01" spans="1:8" hidden="1" x14ac:dyDescent="0.3">
      <c r="A1401" t="s">
        <v>759</v>
      </c>
      <c r="B1401" t="s">
        <v>825</v>
      </c>
      <c r="C1401" t="s">
        <v>26</v>
      </c>
      <c r="D1401" s="68">
        <v>132</v>
      </c>
      <c r="E1401" s="68"/>
      <c r="F1401" s="68">
        <v>542</v>
      </c>
      <c r="G1401" s="68">
        <v>674</v>
      </c>
      <c r="H14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02" spans="1:8" hidden="1" x14ac:dyDescent="0.3">
      <c r="A1402" t="s">
        <v>759</v>
      </c>
      <c r="B1402" t="s">
        <v>825</v>
      </c>
      <c r="C1402" t="s">
        <v>27</v>
      </c>
      <c r="D1402" s="68"/>
      <c r="E1402" s="68">
        <v>48</v>
      </c>
      <c r="F1402" s="68"/>
      <c r="G1402" s="68">
        <v>48</v>
      </c>
      <c r="H14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03" spans="1:8" hidden="1" x14ac:dyDescent="0.3">
      <c r="A1403" t="s">
        <v>759</v>
      </c>
      <c r="B1403" t="s">
        <v>826</v>
      </c>
      <c r="C1403" t="s">
        <v>26</v>
      </c>
      <c r="D1403" s="68">
        <v>13066</v>
      </c>
      <c r="E1403" s="68"/>
      <c r="F1403" s="68">
        <v>23617</v>
      </c>
      <c r="G1403" s="68">
        <v>36683</v>
      </c>
      <c r="H14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04" spans="1:8" hidden="1" x14ac:dyDescent="0.3">
      <c r="A1404" t="s">
        <v>759</v>
      </c>
      <c r="B1404" t="s">
        <v>826</v>
      </c>
      <c r="C1404" t="s">
        <v>37</v>
      </c>
      <c r="D1404" s="68">
        <v>5137</v>
      </c>
      <c r="E1404" s="68"/>
      <c r="F1404" s="68">
        <v>5649</v>
      </c>
      <c r="G1404" s="68">
        <v>10786</v>
      </c>
      <c r="H14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05" spans="1:8" hidden="1" x14ac:dyDescent="0.3">
      <c r="A1405" t="s">
        <v>759</v>
      </c>
      <c r="B1405" t="s">
        <v>826</v>
      </c>
      <c r="C1405" t="s">
        <v>30</v>
      </c>
      <c r="D1405" s="68">
        <v>143</v>
      </c>
      <c r="E1405" s="68"/>
      <c r="F1405" s="68">
        <v>1711</v>
      </c>
      <c r="G1405" s="68">
        <v>1854</v>
      </c>
      <c r="H14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06" spans="1:8" hidden="1" x14ac:dyDescent="0.3">
      <c r="A1406" t="s">
        <v>759</v>
      </c>
      <c r="B1406" t="s">
        <v>826</v>
      </c>
      <c r="C1406" t="s">
        <v>27</v>
      </c>
      <c r="D1406" s="68"/>
      <c r="E1406" s="68">
        <v>1143</v>
      </c>
      <c r="F1406" s="68"/>
      <c r="G1406" s="68">
        <v>1143</v>
      </c>
      <c r="H14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07" spans="1:8" hidden="1" x14ac:dyDescent="0.3">
      <c r="A1407" t="s">
        <v>759</v>
      </c>
      <c r="B1407" t="s">
        <v>826</v>
      </c>
      <c r="C1407" t="s">
        <v>5</v>
      </c>
      <c r="D1407" s="68">
        <v>9</v>
      </c>
      <c r="E1407" s="68"/>
      <c r="F1407" s="68">
        <v>1</v>
      </c>
      <c r="G1407" s="68">
        <v>10</v>
      </c>
      <c r="H14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08" spans="1:8" hidden="1" x14ac:dyDescent="0.3">
      <c r="A1408" t="s">
        <v>759</v>
      </c>
      <c r="B1408" t="s">
        <v>826</v>
      </c>
      <c r="C1408" t="s">
        <v>36</v>
      </c>
      <c r="D1408" s="68"/>
      <c r="E1408" s="68"/>
      <c r="F1408" s="68">
        <v>1</v>
      </c>
      <c r="G1408" s="68">
        <v>1</v>
      </c>
      <c r="H14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09" spans="1:8" hidden="1" x14ac:dyDescent="0.3">
      <c r="A1409" t="s">
        <v>759</v>
      </c>
      <c r="B1409" t="s">
        <v>827</v>
      </c>
      <c r="C1409" t="s">
        <v>31</v>
      </c>
      <c r="D1409" s="68">
        <v>210</v>
      </c>
      <c r="E1409" s="68"/>
      <c r="F1409" s="68">
        <v>2349</v>
      </c>
      <c r="G1409" s="68">
        <v>2559</v>
      </c>
      <c r="H14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10" spans="1:8" hidden="1" x14ac:dyDescent="0.3">
      <c r="A1410" t="s">
        <v>759</v>
      </c>
      <c r="B1410" t="s">
        <v>827</v>
      </c>
      <c r="C1410" t="s">
        <v>26</v>
      </c>
      <c r="D1410" s="68">
        <v>275</v>
      </c>
      <c r="E1410" s="68"/>
      <c r="F1410" s="68">
        <v>1084</v>
      </c>
      <c r="G1410" s="68">
        <v>1359</v>
      </c>
      <c r="H14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11" spans="1:8" hidden="1" x14ac:dyDescent="0.3">
      <c r="A1411" t="s">
        <v>759</v>
      </c>
      <c r="B1411" t="s">
        <v>827</v>
      </c>
      <c r="C1411" t="s">
        <v>30</v>
      </c>
      <c r="D1411" s="68">
        <v>3</v>
      </c>
      <c r="E1411" s="68"/>
      <c r="F1411" s="68">
        <v>127</v>
      </c>
      <c r="G1411" s="68">
        <v>130</v>
      </c>
      <c r="H14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12" spans="1:8" hidden="1" x14ac:dyDescent="0.3">
      <c r="A1412" t="s">
        <v>759</v>
      </c>
      <c r="B1412" t="s">
        <v>827</v>
      </c>
      <c r="C1412" t="s">
        <v>27</v>
      </c>
      <c r="D1412" s="68"/>
      <c r="E1412" s="68">
        <v>93</v>
      </c>
      <c r="F1412" s="68"/>
      <c r="G1412" s="68">
        <v>93</v>
      </c>
      <c r="H14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13" spans="1:8" hidden="1" x14ac:dyDescent="0.3">
      <c r="A1413" t="s">
        <v>759</v>
      </c>
      <c r="B1413" t="s">
        <v>828</v>
      </c>
      <c r="C1413" t="s">
        <v>26</v>
      </c>
      <c r="D1413" s="68">
        <v>1212</v>
      </c>
      <c r="E1413" s="68"/>
      <c r="F1413" s="68">
        <v>4854</v>
      </c>
      <c r="G1413" s="68">
        <v>6066</v>
      </c>
      <c r="H14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14" spans="1:8" hidden="1" x14ac:dyDescent="0.3">
      <c r="A1414" t="s">
        <v>759</v>
      </c>
      <c r="B1414" t="s">
        <v>828</v>
      </c>
      <c r="C1414" t="s">
        <v>31</v>
      </c>
      <c r="D1414" s="68">
        <v>250</v>
      </c>
      <c r="E1414" s="68"/>
      <c r="F1414" s="68">
        <v>2405</v>
      </c>
      <c r="G1414" s="68">
        <v>2655</v>
      </c>
      <c r="H14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15" spans="1:8" hidden="1" x14ac:dyDescent="0.3">
      <c r="A1415" t="s">
        <v>759</v>
      </c>
      <c r="B1415" t="s">
        <v>828</v>
      </c>
      <c r="C1415" t="s">
        <v>27</v>
      </c>
      <c r="D1415" s="68"/>
      <c r="E1415" s="68">
        <v>160</v>
      </c>
      <c r="F1415" s="68"/>
      <c r="G1415" s="68">
        <v>160</v>
      </c>
      <c r="H14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16" spans="1:8" hidden="1" x14ac:dyDescent="0.3">
      <c r="A1416" t="s">
        <v>759</v>
      </c>
      <c r="B1416" t="s">
        <v>828</v>
      </c>
      <c r="C1416" t="s">
        <v>30</v>
      </c>
      <c r="D1416" s="68">
        <v>1</v>
      </c>
      <c r="E1416" s="68"/>
      <c r="F1416" s="68"/>
      <c r="G1416" s="68">
        <v>1</v>
      </c>
      <c r="H14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17" spans="1:8" hidden="1" x14ac:dyDescent="0.3">
      <c r="A1417" t="s">
        <v>759</v>
      </c>
      <c r="B1417" t="s">
        <v>829</v>
      </c>
      <c r="C1417" t="s">
        <v>26</v>
      </c>
      <c r="D1417" s="68">
        <v>896</v>
      </c>
      <c r="E1417" s="68"/>
      <c r="F1417" s="68">
        <v>4520</v>
      </c>
      <c r="G1417" s="68">
        <v>5416</v>
      </c>
      <c r="H14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18" spans="1:8" hidden="1" x14ac:dyDescent="0.3">
      <c r="A1418" t="s">
        <v>759</v>
      </c>
      <c r="B1418" t="s">
        <v>829</v>
      </c>
      <c r="C1418" t="s">
        <v>30</v>
      </c>
      <c r="D1418" s="68">
        <v>12</v>
      </c>
      <c r="E1418" s="68"/>
      <c r="F1418" s="68">
        <v>220</v>
      </c>
      <c r="G1418" s="68">
        <v>232</v>
      </c>
      <c r="H14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19" spans="1:8" hidden="1" x14ac:dyDescent="0.3">
      <c r="A1419" t="s">
        <v>759</v>
      </c>
      <c r="B1419" t="s">
        <v>829</v>
      </c>
      <c r="C1419" t="s">
        <v>27</v>
      </c>
      <c r="D1419" s="68"/>
      <c r="E1419" s="68">
        <v>45</v>
      </c>
      <c r="F1419" s="68"/>
      <c r="G1419" s="68">
        <v>45</v>
      </c>
      <c r="H14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20" spans="1:8" hidden="1" x14ac:dyDescent="0.3">
      <c r="A1420" t="s">
        <v>759</v>
      </c>
      <c r="B1420" t="s">
        <v>829</v>
      </c>
      <c r="C1420" t="s">
        <v>36</v>
      </c>
      <c r="D1420" s="68">
        <v>20</v>
      </c>
      <c r="E1420" s="68"/>
      <c r="F1420" s="68">
        <v>5</v>
      </c>
      <c r="G1420" s="68">
        <v>25</v>
      </c>
      <c r="H14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21" spans="1:8" hidden="1" x14ac:dyDescent="0.3">
      <c r="A1421" t="s">
        <v>759</v>
      </c>
      <c r="B1421" t="s">
        <v>830</v>
      </c>
      <c r="C1421" t="s">
        <v>26</v>
      </c>
      <c r="D1421" s="68">
        <v>165</v>
      </c>
      <c r="E1421" s="68"/>
      <c r="F1421" s="68">
        <v>1548</v>
      </c>
      <c r="G1421" s="68">
        <v>1713</v>
      </c>
      <c r="H14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22" spans="1:8" hidden="1" x14ac:dyDescent="0.3">
      <c r="A1422" t="s">
        <v>759</v>
      </c>
      <c r="B1422" t="s">
        <v>830</v>
      </c>
      <c r="C1422" t="s">
        <v>30</v>
      </c>
      <c r="D1422" s="68">
        <v>1</v>
      </c>
      <c r="E1422" s="68"/>
      <c r="F1422" s="68">
        <v>61</v>
      </c>
      <c r="G1422" s="68">
        <v>62</v>
      </c>
      <c r="H14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23" spans="1:8" hidden="1" x14ac:dyDescent="0.3">
      <c r="A1423" t="s">
        <v>759</v>
      </c>
      <c r="B1423" t="s">
        <v>830</v>
      </c>
      <c r="C1423" t="s">
        <v>27</v>
      </c>
      <c r="D1423" s="68"/>
      <c r="E1423" s="68">
        <v>22</v>
      </c>
      <c r="F1423" s="68"/>
      <c r="G1423" s="68">
        <v>22</v>
      </c>
      <c r="H14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24" spans="1:8" hidden="1" x14ac:dyDescent="0.3">
      <c r="A1424" t="s">
        <v>759</v>
      </c>
      <c r="B1424" t="s">
        <v>831</v>
      </c>
      <c r="C1424" t="s">
        <v>26</v>
      </c>
      <c r="D1424" s="68">
        <v>703</v>
      </c>
      <c r="E1424" s="68"/>
      <c r="F1424" s="68">
        <v>6028</v>
      </c>
      <c r="G1424" s="68">
        <v>6731</v>
      </c>
      <c r="H14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25" spans="1:8" hidden="1" x14ac:dyDescent="0.3">
      <c r="A1425" t="s">
        <v>759</v>
      </c>
      <c r="B1425" t="s">
        <v>831</v>
      </c>
      <c r="C1425" t="s">
        <v>31</v>
      </c>
      <c r="D1425" s="68">
        <v>118</v>
      </c>
      <c r="E1425" s="68"/>
      <c r="F1425" s="68">
        <v>1363</v>
      </c>
      <c r="G1425" s="68">
        <v>1481</v>
      </c>
      <c r="H14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26" spans="1:8" hidden="1" x14ac:dyDescent="0.3">
      <c r="A1426" t="s">
        <v>759</v>
      </c>
      <c r="B1426" t="s">
        <v>831</v>
      </c>
      <c r="C1426" t="s">
        <v>30</v>
      </c>
      <c r="D1426" s="68">
        <v>48</v>
      </c>
      <c r="E1426" s="68"/>
      <c r="F1426" s="68">
        <v>1309</v>
      </c>
      <c r="G1426" s="68">
        <v>1357</v>
      </c>
      <c r="H14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27" spans="1:8" hidden="1" x14ac:dyDescent="0.3">
      <c r="A1427" t="s">
        <v>759</v>
      </c>
      <c r="B1427" t="s">
        <v>831</v>
      </c>
      <c r="C1427" t="s">
        <v>5</v>
      </c>
      <c r="D1427" s="68">
        <v>64</v>
      </c>
      <c r="E1427" s="68"/>
      <c r="F1427" s="68">
        <v>204</v>
      </c>
      <c r="G1427" s="68">
        <v>268</v>
      </c>
      <c r="H14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28" spans="1:8" hidden="1" x14ac:dyDescent="0.3">
      <c r="A1428" t="s">
        <v>759</v>
      </c>
      <c r="B1428" t="s">
        <v>831</v>
      </c>
      <c r="C1428" t="s">
        <v>27</v>
      </c>
      <c r="D1428" s="68"/>
      <c r="E1428" s="68">
        <v>97</v>
      </c>
      <c r="F1428" s="68"/>
      <c r="G1428" s="68">
        <v>97</v>
      </c>
      <c r="H14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29" spans="1:8" hidden="1" x14ac:dyDescent="0.3">
      <c r="A1429" t="s">
        <v>759</v>
      </c>
      <c r="B1429" t="s">
        <v>832</v>
      </c>
      <c r="C1429" t="s">
        <v>30</v>
      </c>
      <c r="D1429" s="68">
        <v>225</v>
      </c>
      <c r="E1429" s="68"/>
      <c r="F1429" s="68">
        <v>3439</v>
      </c>
      <c r="G1429" s="68">
        <v>3664</v>
      </c>
      <c r="H14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30" spans="1:8" hidden="1" x14ac:dyDescent="0.3">
      <c r="A1430" t="s">
        <v>759</v>
      </c>
      <c r="B1430" t="s">
        <v>832</v>
      </c>
      <c r="C1430" t="s">
        <v>26</v>
      </c>
      <c r="D1430" s="68">
        <v>300</v>
      </c>
      <c r="E1430" s="68"/>
      <c r="F1430" s="68">
        <v>717</v>
      </c>
      <c r="G1430" s="68">
        <v>1017</v>
      </c>
      <c r="H14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31" spans="1:8" hidden="1" x14ac:dyDescent="0.3">
      <c r="A1431" t="s">
        <v>759</v>
      </c>
      <c r="B1431" t="s">
        <v>832</v>
      </c>
      <c r="C1431" t="s">
        <v>5</v>
      </c>
      <c r="D1431" s="68">
        <v>21</v>
      </c>
      <c r="E1431" s="68"/>
      <c r="F1431" s="68">
        <v>6</v>
      </c>
      <c r="G1431" s="68">
        <v>27</v>
      </c>
      <c r="H14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32" spans="1:8" hidden="1" x14ac:dyDescent="0.3">
      <c r="A1432" t="s">
        <v>759</v>
      </c>
      <c r="B1432" t="s">
        <v>832</v>
      </c>
      <c r="C1432" t="s">
        <v>27</v>
      </c>
      <c r="D1432" s="68"/>
      <c r="E1432" s="68">
        <v>25</v>
      </c>
      <c r="F1432" s="68"/>
      <c r="G1432" s="68">
        <v>25</v>
      </c>
      <c r="H14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33" spans="1:8" hidden="1" x14ac:dyDescent="0.3">
      <c r="A1433" t="s">
        <v>759</v>
      </c>
      <c r="B1433" t="s">
        <v>833</v>
      </c>
      <c r="C1433" t="s">
        <v>26</v>
      </c>
      <c r="D1433" s="68">
        <v>5652</v>
      </c>
      <c r="E1433" s="68"/>
      <c r="F1433" s="68">
        <v>5059</v>
      </c>
      <c r="G1433" s="68">
        <v>10711</v>
      </c>
      <c r="H14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34" spans="1:8" hidden="1" x14ac:dyDescent="0.3">
      <c r="A1434" t="s">
        <v>759</v>
      </c>
      <c r="B1434" t="s">
        <v>833</v>
      </c>
      <c r="C1434" t="s">
        <v>31</v>
      </c>
      <c r="D1434" s="68">
        <v>1404</v>
      </c>
      <c r="E1434" s="68"/>
      <c r="F1434" s="68">
        <v>5471</v>
      </c>
      <c r="G1434" s="68">
        <v>6875</v>
      </c>
      <c r="H14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35" spans="1:8" hidden="1" x14ac:dyDescent="0.3">
      <c r="A1435" t="s">
        <v>759</v>
      </c>
      <c r="B1435" t="s">
        <v>833</v>
      </c>
      <c r="C1435" t="s">
        <v>37</v>
      </c>
      <c r="D1435" s="68">
        <v>2334</v>
      </c>
      <c r="E1435" s="68"/>
      <c r="F1435" s="68">
        <v>1972</v>
      </c>
      <c r="G1435" s="68">
        <v>4306</v>
      </c>
      <c r="H14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36" spans="1:8" hidden="1" x14ac:dyDescent="0.3">
      <c r="A1436" t="s">
        <v>759</v>
      </c>
      <c r="B1436" t="s">
        <v>833</v>
      </c>
      <c r="C1436" t="s">
        <v>5</v>
      </c>
      <c r="D1436" s="68">
        <v>360</v>
      </c>
      <c r="E1436" s="68"/>
      <c r="F1436" s="68">
        <v>175</v>
      </c>
      <c r="G1436" s="68">
        <v>535</v>
      </c>
      <c r="H14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37" spans="1:8" hidden="1" x14ac:dyDescent="0.3">
      <c r="A1437" t="s">
        <v>759</v>
      </c>
      <c r="B1437" t="s">
        <v>833</v>
      </c>
      <c r="C1437" t="s">
        <v>27</v>
      </c>
      <c r="D1437" s="68"/>
      <c r="E1437" s="68">
        <v>144</v>
      </c>
      <c r="F1437" s="68"/>
      <c r="G1437" s="68">
        <v>144</v>
      </c>
      <c r="H14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38" spans="1:8" hidden="1" x14ac:dyDescent="0.3">
      <c r="A1438" t="s">
        <v>759</v>
      </c>
      <c r="B1438" t="s">
        <v>833</v>
      </c>
      <c r="C1438" t="s">
        <v>30</v>
      </c>
      <c r="D1438" s="68">
        <v>19</v>
      </c>
      <c r="E1438" s="68"/>
      <c r="F1438" s="68">
        <v>65</v>
      </c>
      <c r="G1438" s="68">
        <v>84</v>
      </c>
      <c r="H14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39" spans="1:8" hidden="1" x14ac:dyDescent="0.3">
      <c r="A1439" t="s">
        <v>759</v>
      </c>
      <c r="B1439" t="s">
        <v>833</v>
      </c>
      <c r="C1439" t="s">
        <v>36</v>
      </c>
      <c r="D1439" s="68"/>
      <c r="E1439" s="68"/>
      <c r="F1439" s="68">
        <v>1</v>
      </c>
      <c r="G1439" s="68">
        <v>1</v>
      </c>
      <c r="H14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40" spans="1:8" hidden="1" x14ac:dyDescent="0.3">
      <c r="A1440" t="s">
        <v>759</v>
      </c>
      <c r="B1440" t="s">
        <v>834</v>
      </c>
      <c r="C1440" t="s">
        <v>31</v>
      </c>
      <c r="D1440" s="68">
        <v>94</v>
      </c>
      <c r="E1440" s="68"/>
      <c r="F1440" s="68">
        <v>1225</v>
      </c>
      <c r="G1440" s="68">
        <v>1319</v>
      </c>
      <c r="H14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41" spans="1:8" hidden="1" x14ac:dyDescent="0.3">
      <c r="A1441" t="s">
        <v>759</v>
      </c>
      <c r="B1441" t="s">
        <v>834</v>
      </c>
      <c r="C1441" t="s">
        <v>26</v>
      </c>
      <c r="D1441" s="68">
        <v>67</v>
      </c>
      <c r="E1441" s="68"/>
      <c r="F1441" s="68">
        <v>29</v>
      </c>
      <c r="G1441" s="68">
        <v>96</v>
      </c>
      <c r="H14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42" spans="1:8" hidden="1" x14ac:dyDescent="0.3">
      <c r="A1442" t="s">
        <v>759</v>
      </c>
      <c r="B1442" t="s">
        <v>834</v>
      </c>
      <c r="C1442" t="s">
        <v>27</v>
      </c>
      <c r="D1442" s="68"/>
      <c r="E1442" s="68">
        <v>31</v>
      </c>
      <c r="F1442" s="68"/>
      <c r="G1442" s="68">
        <v>31</v>
      </c>
      <c r="H14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43" spans="1:8" hidden="1" x14ac:dyDescent="0.3">
      <c r="A1443" t="s">
        <v>759</v>
      </c>
      <c r="B1443" t="s">
        <v>835</v>
      </c>
      <c r="C1443" t="s">
        <v>26</v>
      </c>
      <c r="D1443" s="68">
        <v>246</v>
      </c>
      <c r="E1443" s="68"/>
      <c r="F1443" s="68">
        <v>3232</v>
      </c>
      <c r="G1443" s="68">
        <v>3478</v>
      </c>
      <c r="H14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44" spans="1:8" hidden="1" x14ac:dyDescent="0.3">
      <c r="A1444" t="s">
        <v>759</v>
      </c>
      <c r="B1444" t="s">
        <v>835</v>
      </c>
      <c r="C1444" t="s">
        <v>30</v>
      </c>
      <c r="D1444" s="68">
        <v>8</v>
      </c>
      <c r="E1444" s="68"/>
      <c r="F1444" s="68">
        <v>356</v>
      </c>
      <c r="G1444" s="68">
        <v>364</v>
      </c>
      <c r="H14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45" spans="1:8" hidden="1" x14ac:dyDescent="0.3">
      <c r="A1445" t="s">
        <v>759</v>
      </c>
      <c r="B1445" t="s">
        <v>835</v>
      </c>
      <c r="C1445" t="s">
        <v>27</v>
      </c>
      <c r="D1445" s="68"/>
      <c r="E1445" s="68">
        <v>31</v>
      </c>
      <c r="F1445" s="68"/>
      <c r="G1445" s="68">
        <v>31</v>
      </c>
      <c r="H14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46" spans="1:8" hidden="1" x14ac:dyDescent="0.3">
      <c r="A1446" t="s">
        <v>759</v>
      </c>
      <c r="B1446" t="s">
        <v>835</v>
      </c>
      <c r="C1446" t="s">
        <v>5</v>
      </c>
      <c r="D1446" s="68">
        <v>17</v>
      </c>
      <c r="E1446" s="68"/>
      <c r="F1446" s="68">
        <v>4</v>
      </c>
      <c r="G1446" s="68">
        <v>21</v>
      </c>
      <c r="H14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47" spans="1:8" hidden="1" x14ac:dyDescent="0.3">
      <c r="A1447" t="s">
        <v>759</v>
      </c>
      <c r="B1447" t="s">
        <v>836</v>
      </c>
      <c r="C1447" t="s">
        <v>30</v>
      </c>
      <c r="D1447" s="68">
        <v>171</v>
      </c>
      <c r="E1447" s="68"/>
      <c r="F1447" s="68">
        <v>1844</v>
      </c>
      <c r="G1447" s="68">
        <v>2015</v>
      </c>
      <c r="H14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48" spans="1:8" hidden="1" x14ac:dyDescent="0.3">
      <c r="A1448" t="s">
        <v>759</v>
      </c>
      <c r="B1448" t="s">
        <v>836</v>
      </c>
      <c r="C1448" t="s">
        <v>26</v>
      </c>
      <c r="D1448" s="68">
        <v>316</v>
      </c>
      <c r="E1448" s="68"/>
      <c r="F1448" s="68">
        <v>1239</v>
      </c>
      <c r="G1448" s="68">
        <v>1555</v>
      </c>
      <c r="H14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49" spans="1:8" hidden="1" x14ac:dyDescent="0.3">
      <c r="A1449" t="s">
        <v>759</v>
      </c>
      <c r="B1449" t="s">
        <v>836</v>
      </c>
      <c r="C1449" t="s">
        <v>27</v>
      </c>
      <c r="D1449" s="68"/>
      <c r="E1449" s="68">
        <v>124</v>
      </c>
      <c r="F1449" s="68"/>
      <c r="G1449" s="68">
        <v>124</v>
      </c>
      <c r="H14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0" spans="1:8" hidden="1" x14ac:dyDescent="0.3">
      <c r="A1450" t="s">
        <v>759</v>
      </c>
      <c r="B1450" t="s">
        <v>837</v>
      </c>
      <c r="C1450" t="s">
        <v>30</v>
      </c>
      <c r="D1450" s="68">
        <v>106</v>
      </c>
      <c r="E1450" s="68"/>
      <c r="F1450" s="68">
        <v>2086</v>
      </c>
      <c r="G1450" s="68">
        <v>2192</v>
      </c>
      <c r="H14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1" spans="1:8" hidden="1" x14ac:dyDescent="0.3">
      <c r="A1451" t="s">
        <v>759</v>
      </c>
      <c r="B1451" t="s">
        <v>837</v>
      </c>
      <c r="C1451" t="s">
        <v>26</v>
      </c>
      <c r="D1451" s="68">
        <v>247</v>
      </c>
      <c r="E1451" s="68"/>
      <c r="F1451" s="68">
        <v>260</v>
      </c>
      <c r="G1451" s="68">
        <v>507</v>
      </c>
      <c r="H14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52" spans="1:8" hidden="1" x14ac:dyDescent="0.3">
      <c r="A1452" t="s">
        <v>759</v>
      </c>
      <c r="B1452" t="s">
        <v>837</v>
      </c>
      <c r="C1452" t="s">
        <v>27</v>
      </c>
      <c r="D1452" s="68"/>
      <c r="E1452" s="68">
        <v>112</v>
      </c>
      <c r="F1452" s="68"/>
      <c r="G1452" s="68">
        <v>112</v>
      </c>
      <c r="H14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3" spans="1:8" hidden="1" x14ac:dyDescent="0.3">
      <c r="A1453" t="s">
        <v>759</v>
      </c>
      <c r="B1453" t="s">
        <v>838</v>
      </c>
      <c r="C1453" t="s">
        <v>26</v>
      </c>
      <c r="D1453" s="68">
        <v>614</v>
      </c>
      <c r="E1453" s="68"/>
      <c r="F1453" s="68">
        <v>1553</v>
      </c>
      <c r="G1453" s="68">
        <v>2167</v>
      </c>
      <c r="H14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54" spans="1:8" hidden="1" x14ac:dyDescent="0.3">
      <c r="A1454" t="s">
        <v>759</v>
      </c>
      <c r="B1454" t="s">
        <v>838</v>
      </c>
      <c r="C1454" t="s">
        <v>30</v>
      </c>
      <c r="D1454" s="68">
        <v>2</v>
      </c>
      <c r="E1454" s="68"/>
      <c r="F1454" s="68">
        <v>76</v>
      </c>
      <c r="G1454" s="68">
        <v>78</v>
      </c>
      <c r="H14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5" spans="1:8" hidden="1" x14ac:dyDescent="0.3">
      <c r="A1455" t="s">
        <v>759</v>
      </c>
      <c r="B1455" t="s">
        <v>838</v>
      </c>
      <c r="C1455" t="s">
        <v>27</v>
      </c>
      <c r="D1455" s="68"/>
      <c r="E1455" s="68">
        <v>40</v>
      </c>
      <c r="F1455" s="68"/>
      <c r="G1455" s="68">
        <v>40</v>
      </c>
      <c r="H14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6" spans="1:8" hidden="1" x14ac:dyDescent="0.3">
      <c r="A1456" t="s">
        <v>759</v>
      </c>
      <c r="B1456" t="s">
        <v>839</v>
      </c>
      <c r="C1456" t="s">
        <v>26</v>
      </c>
      <c r="D1456" s="68">
        <v>489</v>
      </c>
      <c r="E1456" s="68"/>
      <c r="F1456" s="68">
        <v>4053</v>
      </c>
      <c r="G1456" s="68">
        <v>4542</v>
      </c>
      <c r="H14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57" spans="1:8" hidden="1" x14ac:dyDescent="0.3">
      <c r="A1457" t="s">
        <v>759</v>
      </c>
      <c r="B1457" t="s">
        <v>839</v>
      </c>
      <c r="C1457" t="s">
        <v>31</v>
      </c>
      <c r="D1457" s="68">
        <v>46</v>
      </c>
      <c r="E1457" s="68"/>
      <c r="F1457" s="68">
        <v>788</v>
      </c>
      <c r="G1457" s="68">
        <v>834</v>
      </c>
      <c r="H14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58" spans="1:8" hidden="1" x14ac:dyDescent="0.3">
      <c r="A1458" t="s">
        <v>759</v>
      </c>
      <c r="B1458" t="s">
        <v>839</v>
      </c>
      <c r="C1458" t="s">
        <v>30</v>
      </c>
      <c r="D1458" s="68">
        <v>17</v>
      </c>
      <c r="E1458" s="68"/>
      <c r="F1458" s="68">
        <v>496</v>
      </c>
      <c r="G1458" s="68">
        <v>513</v>
      </c>
      <c r="H14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9" spans="1:8" hidden="1" x14ac:dyDescent="0.3">
      <c r="A1459" t="s">
        <v>759</v>
      </c>
      <c r="B1459" t="s">
        <v>839</v>
      </c>
      <c r="C1459" t="s">
        <v>27</v>
      </c>
      <c r="D1459" s="68"/>
      <c r="E1459" s="68">
        <v>83</v>
      </c>
      <c r="F1459" s="68"/>
      <c r="G1459" s="68">
        <v>83</v>
      </c>
      <c r="H14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60" spans="1:8" hidden="1" x14ac:dyDescent="0.3">
      <c r="A1460" t="s">
        <v>759</v>
      </c>
      <c r="B1460" t="s">
        <v>840</v>
      </c>
      <c r="C1460" t="s">
        <v>26</v>
      </c>
      <c r="D1460" s="68">
        <v>446</v>
      </c>
      <c r="E1460" s="68"/>
      <c r="F1460" s="68">
        <v>858</v>
      </c>
      <c r="G1460" s="68">
        <v>1304</v>
      </c>
      <c r="H14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61" spans="1:8" hidden="1" x14ac:dyDescent="0.3">
      <c r="A1461" t="s">
        <v>759</v>
      </c>
      <c r="B1461" t="s">
        <v>840</v>
      </c>
      <c r="C1461" t="s">
        <v>30</v>
      </c>
      <c r="D1461" s="68">
        <v>168</v>
      </c>
      <c r="E1461" s="68"/>
      <c r="F1461" s="68">
        <v>1134</v>
      </c>
      <c r="G1461" s="68">
        <v>1302</v>
      </c>
      <c r="H14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62" spans="1:8" hidden="1" x14ac:dyDescent="0.3">
      <c r="A1462" t="s">
        <v>759</v>
      </c>
      <c r="B1462" t="s">
        <v>840</v>
      </c>
      <c r="C1462" t="s">
        <v>27</v>
      </c>
      <c r="D1462" s="68"/>
      <c r="E1462" s="68">
        <v>51</v>
      </c>
      <c r="F1462" s="68"/>
      <c r="G1462" s="68">
        <v>51</v>
      </c>
      <c r="H14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63" spans="1:8" hidden="1" x14ac:dyDescent="0.3">
      <c r="A1463" t="s">
        <v>759</v>
      </c>
      <c r="B1463" t="s">
        <v>841</v>
      </c>
      <c r="C1463" t="s">
        <v>26</v>
      </c>
      <c r="D1463" s="68">
        <v>1548</v>
      </c>
      <c r="E1463" s="68"/>
      <c r="F1463" s="68">
        <v>4751</v>
      </c>
      <c r="G1463" s="68">
        <v>6299</v>
      </c>
      <c r="H14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64" spans="1:8" hidden="1" x14ac:dyDescent="0.3">
      <c r="A1464" t="s">
        <v>759</v>
      </c>
      <c r="B1464" t="s">
        <v>841</v>
      </c>
      <c r="C1464" t="s">
        <v>30</v>
      </c>
      <c r="D1464" s="68">
        <v>25</v>
      </c>
      <c r="E1464" s="68"/>
      <c r="F1464" s="68">
        <v>212</v>
      </c>
      <c r="G1464" s="68">
        <v>237</v>
      </c>
      <c r="H14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65" spans="1:8" hidden="1" x14ac:dyDescent="0.3">
      <c r="A1465" t="s">
        <v>759</v>
      </c>
      <c r="B1465" t="s">
        <v>841</v>
      </c>
      <c r="C1465" t="s">
        <v>27</v>
      </c>
      <c r="D1465" s="68"/>
      <c r="E1465" s="68">
        <v>63</v>
      </c>
      <c r="F1465" s="68"/>
      <c r="G1465" s="68">
        <v>63</v>
      </c>
      <c r="H14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66" spans="1:8" hidden="1" x14ac:dyDescent="0.3">
      <c r="A1466" t="s">
        <v>759</v>
      </c>
      <c r="B1466" t="s">
        <v>841</v>
      </c>
      <c r="C1466" t="s">
        <v>5</v>
      </c>
      <c r="D1466" s="68">
        <v>3</v>
      </c>
      <c r="E1466" s="68"/>
      <c r="F1466" s="68"/>
      <c r="G1466" s="68">
        <v>3</v>
      </c>
      <c r="H14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67" spans="1:8" hidden="1" x14ac:dyDescent="0.3">
      <c r="A1467" t="s">
        <v>759</v>
      </c>
      <c r="B1467" t="s">
        <v>842</v>
      </c>
      <c r="C1467" t="s">
        <v>26</v>
      </c>
      <c r="D1467" s="68">
        <v>229</v>
      </c>
      <c r="E1467" s="68"/>
      <c r="F1467" s="68">
        <v>1538</v>
      </c>
      <c r="G1467" s="68">
        <v>1767</v>
      </c>
      <c r="H14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68" spans="1:8" hidden="1" x14ac:dyDescent="0.3">
      <c r="A1468" t="s">
        <v>759</v>
      </c>
      <c r="B1468" t="s">
        <v>842</v>
      </c>
      <c r="C1468" t="s">
        <v>30</v>
      </c>
      <c r="D1468" s="68">
        <v>16</v>
      </c>
      <c r="E1468" s="68"/>
      <c r="F1468" s="68">
        <v>663</v>
      </c>
      <c r="G1468" s="68">
        <v>679</v>
      </c>
      <c r="H14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69" spans="1:8" hidden="1" x14ac:dyDescent="0.3">
      <c r="A1469" t="s">
        <v>759</v>
      </c>
      <c r="B1469" t="s">
        <v>842</v>
      </c>
      <c r="C1469" t="s">
        <v>27</v>
      </c>
      <c r="D1469" s="68"/>
      <c r="E1469" s="68">
        <v>21</v>
      </c>
      <c r="F1469" s="68"/>
      <c r="G1469" s="68">
        <v>21</v>
      </c>
      <c r="H14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70" spans="1:8" hidden="1" x14ac:dyDescent="0.3">
      <c r="A1470" t="s">
        <v>759</v>
      </c>
      <c r="B1470" t="s">
        <v>842</v>
      </c>
      <c r="C1470" t="s">
        <v>5</v>
      </c>
      <c r="D1470" s="68"/>
      <c r="E1470" s="68"/>
      <c r="F1470" s="68">
        <v>1</v>
      </c>
      <c r="G1470" s="68">
        <v>1</v>
      </c>
      <c r="H14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71" spans="1:8" hidden="1" x14ac:dyDescent="0.3">
      <c r="A1471" t="s">
        <v>759</v>
      </c>
      <c r="B1471" t="s">
        <v>843</v>
      </c>
      <c r="C1471" t="s">
        <v>26</v>
      </c>
      <c r="D1471" s="68">
        <v>953</v>
      </c>
      <c r="E1471" s="68"/>
      <c r="F1471" s="68">
        <v>5631</v>
      </c>
      <c r="G1471" s="68">
        <v>6584</v>
      </c>
      <c r="H14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72" spans="1:8" hidden="1" x14ac:dyDescent="0.3">
      <c r="A1472" t="s">
        <v>759</v>
      </c>
      <c r="B1472" t="s">
        <v>843</v>
      </c>
      <c r="C1472" t="s">
        <v>30</v>
      </c>
      <c r="D1472" s="68">
        <v>46</v>
      </c>
      <c r="E1472" s="68"/>
      <c r="F1472" s="68">
        <v>985</v>
      </c>
      <c r="G1472" s="68">
        <v>1031</v>
      </c>
      <c r="H14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73" spans="1:8" hidden="1" x14ac:dyDescent="0.3">
      <c r="A1473" t="s">
        <v>759</v>
      </c>
      <c r="B1473" t="s">
        <v>843</v>
      </c>
      <c r="C1473" t="s">
        <v>27</v>
      </c>
      <c r="D1473" s="68"/>
      <c r="E1473" s="68">
        <v>157</v>
      </c>
      <c r="F1473" s="68"/>
      <c r="G1473" s="68">
        <v>157</v>
      </c>
      <c r="H14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74" spans="1:8" hidden="1" x14ac:dyDescent="0.3">
      <c r="A1474" t="s">
        <v>759</v>
      </c>
      <c r="B1474" t="s">
        <v>843</v>
      </c>
      <c r="C1474" t="s">
        <v>5</v>
      </c>
      <c r="D1474" s="68">
        <v>32</v>
      </c>
      <c r="E1474" s="68"/>
      <c r="F1474" s="68">
        <v>34</v>
      </c>
      <c r="G1474" s="68">
        <v>66</v>
      </c>
      <c r="H14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75" spans="1:8" hidden="1" x14ac:dyDescent="0.3">
      <c r="A1475" t="s">
        <v>759</v>
      </c>
      <c r="B1475" t="s">
        <v>844</v>
      </c>
      <c r="C1475" t="s">
        <v>30</v>
      </c>
      <c r="D1475" s="68">
        <v>29</v>
      </c>
      <c r="E1475" s="68"/>
      <c r="F1475" s="68">
        <v>937</v>
      </c>
      <c r="G1475" s="68">
        <v>966</v>
      </c>
      <c r="H14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76" spans="1:8" hidden="1" x14ac:dyDescent="0.3">
      <c r="A1476" t="s">
        <v>759</v>
      </c>
      <c r="B1476" t="s">
        <v>844</v>
      </c>
      <c r="C1476" t="s">
        <v>26</v>
      </c>
      <c r="D1476" s="68">
        <v>221</v>
      </c>
      <c r="E1476" s="68"/>
      <c r="F1476" s="68">
        <v>508</v>
      </c>
      <c r="G1476" s="68">
        <v>729</v>
      </c>
      <c r="H14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77" spans="1:8" hidden="1" x14ac:dyDescent="0.3">
      <c r="A1477" t="s">
        <v>759</v>
      </c>
      <c r="B1477" t="s">
        <v>844</v>
      </c>
      <c r="C1477" t="s">
        <v>27</v>
      </c>
      <c r="D1477" s="68"/>
      <c r="E1477" s="68">
        <v>30</v>
      </c>
      <c r="F1477" s="68"/>
      <c r="G1477" s="68">
        <v>30</v>
      </c>
      <c r="H14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78" spans="1:8" hidden="1" x14ac:dyDescent="0.3">
      <c r="A1478" t="s">
        <v>759</v>
      </c>
      <c r="B1478" t="s">
        <v>845</v>
      </c>
      <c r="C1478" t="s">
        <v>5</v>
      </c>
      <c r="D1478" s="68">
        <v>81</v>
      </c>
      <c r="E1478" s="68"/>
      <c r="F1478" s="68">
        <v>430</v>
      </c>
      <c r="G1478" s="68">
        <v>511</v>
      </c>
      <c r="H14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79" spans="1:8" hidden="1" x14ac:dyDescent="0.3">
      <c r="A1479" t="s">
        <v>759</v>
      </c>
      <c r="B1479" t="s">
        <v>845</v>
      </c>
      <c r="C1479" t="s">
        <v>26</v>
      </c>
      <c r="D1479" s="68">
        <v>174</v>
      </c>
      <c r="E1479" s="68"/>
      <c r="F1479" s="68">
        <v>132</v>
      </c>
      <c r="G1479" s="68">
        <v>306</v>
      </c>
      <c r="H14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80" spans="1:8" hidden="1" x14ac:dyDescent="0.3">
      <c r="A1480" t="s">
        <v>759</v>
      </c>
      <c r="B1480" t="s">
        <v>845</v>
      </c>
      <c r="C1480" t="s">
        <v>27</v>
      </c>
      <c r="D1480" s="68"/>
      <c r="E1480" s="68">
        <v>10</v>
      </c>
      <c r="F1480" s="68"/>
      <c r="G1480" s="68">
        <v>10</v>
      </c>
      <c r="H14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81" spans="1:8" hidden="1" x14ac:dyDescent="0.3">
      <c r="A1481" t="s">
        <v>759</v>
      </c>
      <c r="B1481" t="s">
        <v>846</v>
      </c>
      <c r="C1481" t="s">
        <v>26</v>
      </c>
      <c r="D1481" s="68">
        <v>457</v>
      </c>
      <c r="E1481" s="68"/>
      <c r="F1481" s="68">
        <v>3134</v>
      </c>
      <c r="G1481" s="68">
        <v>3591</v>
      </c>
      <c r="H14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82" spans="1:8" hidden="1" x14ac:dyDescent="0.3">
      <c r="A1482" t="s">
        <v>759</v>
      </c>
      <c r="B1482" t="s">
        <v>846</v>
      </c>
      <c r="C1482" t="s">
        <v>30</v>
      </c>
      <c r="D1482" s="68">
        <v>45</v>
      </c>
      <c r="E1482" s="68"/>
      <c r="F1482" s="68">
        <v>1882</v>
      </c>
      <c r="G1482" s="68">
        <v>1927</v>
      </c>
      <c r="H14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83" spans="1:8" hidden="1" x14ac:dyDescent="0.3">
      <c r="A1483" t="s">
        <v>759</v>
      </c>
      <c r="B1483" t="s">
        <v>846</v>
      </c>
      <c r="C1483" t="s">
        <v>5</v>
      </c>
      <c r="D1483" s="68">
        <v>45</v>
      </c>
      <c r="E1483" s="68"/>
      <c r="F1483" s="68">
        <v>244</v>
      </c>
      <c r="G1483" s="68">
        <v>289</v>
      </c>
      <c r="H14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84" spans="1:8" hidden="1" x14ac:dyDescent="0.3">
      <c r="A1484" t="s">
        <v>759</v>
      </c>
      <c r="B1484" t="s">
        <v>846</v>
      </c>
      <c r="C1484" t="s">
        <v>27</v>
      </c>
      <c r="D1484" s="68"/>
      <c r="E1484" s="68">
        <v>42</v>
      </c>
      <c r="F1484" s="68"/>
      <c r="G1484" s="68">
        <v>42</v>
      </c>
      <c r="H14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85" spans="1:8" hidden="1" x14ac:dyDescent="0.3">
      <c r="A1485" t="s">
        <v>759</v>
      </c>
      <c r="B1485" t="s">
        <v>846</v>
      </c>
      <c r="C1485" t="s">
        <v>536</v>
      </c>
      <c r="D1485" s="68"/>
      <c r="E1485" s="68"/>
      <c r="F1485" s="68">
        <v>1</v>
      </c>
      <c r="G1485" s="68">
        <v>1</v>
      </c>
      <c r="H14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86" spans="1:8" hidden="1" x14ac:dyDescent="0.3">
      <c r="A1486" t="s">
        <v>759</v>
      </c>
      <c r="B1486" t="s">
        <v>847</v>
      </c>
      <c r="C1486" t="s">
        <v>26</v>
      </c>
      <c r="D1486" s="68">
        <v>1739</v>
      </c>
      <c r="E1486" s="68"/>
      <c r="F1486" s="68">
        <v>3931</v>
      </c>
      <c r="G1486" s="68">
        <v>5670</v>
      </c>
      <c r="H14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87" spans="1:8" hidden="1" x14ac:dyDescent="0.3">
      <c r="A1487" t="s">
        <v>759</v>
      </c>
      <c r="B1487" t="s">
        <v>847</v>
      </c>
      <c r="C1487" t="s">
        <v>37</v>
      </c>
      <c r="D1487" s="68">
        <v>1211</v>
      </c>
      <c r="E1487" s="68"/>
      <c r="F1487" s="68">
        <v>1589</v>
      </c>
      <c r="G1487" s="68">
        <v>2800</v>
      </c>
      <c r="H14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88" spans="1:8" hidden="1" x14ac:dyDescent="0.3">
      <c r="A1488" t="s">
        <v>759</v>
      </c>
      <c r="B1488" t="s">
        <v>847</v>
      </c>
      <c r="C1488" t="s">
        <v>27</v>
      </c>
      <c r="D1488" s="68"/>
      <c r="E1488" s="68">
        <v>588</v>
      </c>
      <c r="F1488" s="68"/>
      <c r="G1488" s="68">
        <v>588</v>
      </c>
      <c r="H14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89" spans="1:8" hidden="1" x14ac:dyDescent="0.3">
      <c r="A1489" t="s">
        <v>759</v>
      </c>
      <c r="B1489" t="s">
        <v>847</v>
      </c>
      <c r="C1489" t="s">
        <v>5</v>
      </c>
      <c r="D1489" s="68">
        <v>191</v>
      </c>
      <c r="E1489" s="68"/>
      <c r="F1489" s="68">
        <v>80</v>
      </c>
      <c r="G1489" s="68">
        <v>271</v>
      </c>
      <c r="H14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90" spans="1:8" hidden="1" x14ac:dyDescent="0.3">
      <c r="A1490" t="s">
        <v>759</v>
      </c>
      <c r="B1490" t="s">
        <v>847</v>
      </c>
      <c r="C1490" t="s">
        <v>36</v>
      </c>
      <c r="D1490" s="68">
        <v>63</v>
      </c>
      <c r="E1490" s="68"/>
      <c r="F1490" s="68">
        <v>33</v>
      </c>
      <c r="G1490" s="68">
        <v>96</v>
      </c>
      <c r="H14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91" spans="1:8" hidden="1" x14ac:dyDescent="0.3">
      <c r="A1491" t="s">
        <v>759</v>
      </c>
      <c r="B1491" t="s">
        <v>847</v>
      </c>
      <c r="C1491" t="s">
        <v>30</v>
      </c>
      <c r="D1491" s="68">
        <v>8</v>
      </c>
      <c r="E1491" s="68"/>
      <c r="F1491" s="68">
        <v>57</v>
      </c>
      <c r="G1491" s="68">
        <v>65</v>
      </c>
      <c r="H14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92" spans="1:8" hidden="1" x14ac:dyDescent="0.3">
      <c r="A1492" t="s">
        <v>759</v>
      </c>
      <c r="B1492" t="s">
        <v>848</v>
      </c>
      <c r="C1492" t="s">
        <v>26</v>
      </c>
      <c r="D1492" s="68">
        <v>3747</v>
      </c>
      <c r="E1492" s="68"/>
      <c r="F1492" s="68">
        <v>2895</v>
      </c>
      <c r="G1492" s="68">
        <v>6642</v>
      </c>
      <c r="H14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93" spans="1:8" hidden="1" x14ac:dyDescent="0.3">
      <c r="A1493" t="s">
        <v>759</v>
      </c>
      <c r="B1493" t="s">
        <v>848</v>
      </c>
      <c r="C1493" t="s">
        <v>31</v>
      </c>
      <c r="D1493" s="68">
        <v>241</v>
      </c>
      <c r="E1493" s="68"/>
      <c r="F1493" s="68">
        <v>1557</v>
      </c>
      <c r="G1493" s="68">
        <v>1798</v>
      </c>
      <c r="H14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94" spans="1:8" hidden="1" x14ac:dyDescent="0.3">
      <c r="A1494" t="s">
        <v>759</v>
      </c>
      <c r="B1494" t="s">
        <v>848</v>
      </c>
      <c r="C1494" t="s">
        <v>27</v>
      </c>
      <c r="D1494" s="68"/>
      <c r="E1494" s="68">
        <v>229</v>
      </c>
      <c r="F1494" s="68"/>
      <c r="G1494" s="68">
        <v>229</v>
      </c>
      <c r="H14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95" spans="1:8" hidden="1" x14ac:dyDescent="0.3">
      <c r="A1495" t="s">
        <v>759</v>
      </c>
      <c r="B1495" t="s">
        <v>848</v>
      </c>
      <c r="C1495" t="s">
        <v>30</v>
      </c>
      <c r="D1495" s="68">
        <v>1</v>
      </c>
      <c r="E1495" s="68"/>
      <c r="F1495" s="68"/>
      <c r="G1495" s="68">
        <v>1</v>
      </c>
      <c r="H14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96" spans="1:8" hidden="1" x14ac:dyDescent="0.3">
      <c r="A1496" t="s">
        <v>759</v>
      </c>
      <c r="B1496" t="s">
        <v>849</v>
      </c>
      <c r="C1496" t="s">
        <v>26</v>
      </c>
      <c r="D1496" s="68">
        <v>1541</v>
      </c>
      <c r="E1496" s="68"/>
      <c r="F1496" s="68">
        <v>2071</v>
      </c>
      <c r="G1496" s="68">
        <v>3612</v>
      </c>
      <c r="H14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97" spans="1:8" hidden="1" x14ac:dyDescent="0.3">
      <c r="A1497" t="s">
        <v>759</v>
      </c>
      <c r="B1497" t="s">
        <v>849</v>
      </c>
      <c r="C1497" t="s">
        <v>31</v>
      </c>
      <c r="D1497" s="68">
        <v>248</v>
      </c>
      <c r="E1497" s="68"/>
      <c r="F1497" s="68">
        <v>2662</v>
      </c>
      <c r="G1497" s="68">
        <v>2910</v>
      </c>
      <c r="H14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98" spans="1:8" hidden="1" x14ac:dyDescent="0.3">
      <c r="A1498" t="s">
        <v>759</v>
      </c>
      <c r="B1498" t="s">
        <v>849</v>
      </c>
      <c r="C1498" t="s">
        <v>5</v>
      </c>
      <c r="D1498" s="68">
        <v>44</v>
      </c>
      <c r="E1498" s="68"/>
      <c r="F1498" s="68">
        <v>100</v>
      </c>
      <c r="G1498" s="68">
        <v>144</v>
      </c>
      <c r="H14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99" spans="1:8" hidden="1" x14ac:dyDescent="0.3">
      <c r="A1499" t="s">
        <v>759</v>
      </c>
      <c r="B1499" t="s">
        <v>849</v>
      </c>
      <c r="C1499" t="s">
        <v>27</v>
      </c>
      <c r="D1499" s="68"/>
      <c r="E1499" s="68">
        <v>91</v>
      </c>
      <c r="F1499" s="68"/>
      <c r="G1499" s="68">
        <v>91</v>
      </c>
      <c r="H14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00" spans="1:8" hidden="1" x14ac:dyDescent="0.3">
      <c r="A1500" t="s">
        <v>759</v>
      </c>
      <c r="B1500" t="s">
        <v>849</v>
      </c>
      <c r="C1500" t="s">
        <v>30</v>
      </c>
      <c r="D1500" s="68">
        <v>5</v>
      </c>
      <c r="E1500" s="68"/>
      <c r="F1500" s="68">
        <v>40</v>
      </c>
      <c r="G1500" s="68">
        <v>45</v>
      </c>
      <c r="H15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01" spans="1:8" hidden="1" x14ac:dyDescent="0.3">
      <c r="A1501" t="s">
        <v>759</v>
      </c>
      <c r="B1501" t="s">
        <v>850</v>
      </c>
      <c r="C1501" t="s">
        <v>26</v>
      </c>
      <c r="D1501" s="68">
        <v>40934</v>
      </c>
      <c r="E1501" s="68"/>
      <c r="F1501" s="68">
        <v>35955</v>
      </c>
      <c r="G1501" s="68">
        <v>76889</v>
      </c>
      <c r="H15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02" spans="1:8" hidden="1" x14ac:dyDescent="0.3">
      <c r="A1502" t="s">
        <v>759</v>
      </c>
      <c r="B1502" t="s">
        <v>850</v>
      </c>
      <c r="C1502" t="s">
        <v>5</v>
      </c>
      <c r="D1502" s="68">
        <v>29595</v>
      </c>
      <c r="E1502" s="68"/>
      <c r="F1502" s="68">
        <v>7387</v>
      </c>
      <c r="G1502" s="68">
        <v>36982</v>
      </c>
      <c r="H15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03" spans="1:8" hidden="1" x14ac:dyDescent="0.3">
      <c r="A1503" t="s">
        <v>759</v>
      </c>
      <c r="B1503" t="s">
        <v>850</v>
      </c>
      <c r="C1503" t="s">
        <v>37</v>
      </c>
      <c r="D1503" s="68">
        <v>7221</v>
      </c>
      <c r="E1503" s="68"/>
      <c r="F1503" s="68">
        <v>4768</v>
      </c>
      <c r="G1503" s="68">
        <v>11989</v>
      </c>
      <c r="H15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04" spans="1:8" hidden="1" x14ac:dyDescent="0.3">
      <c r="A1504" t="s">
        <v>759</v>
      </c>
      <c r="B1504" t="s">
        <v>850</v>
      </c>
      <c r="C1504" t="s">
        <v>31</v>
      </c>
      <c r="D1504" s="68">
        <v>2467</v>
      </c>
      <c r="E1504" s="68"/>
      <c r="F1504" s="68">
        <v>7578</v>
      </c>
      <c r="G1504" s="68">
        <v>10045</v>
      </c>
      <c r="H15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05" spans="1:8" hidden="1" x14ac:dyDescent="0.3">
      <c r="A1505" t="s">
        <v>759</v>
      </c>
      <c r="B1505" t="s">
        <v>850</v>
      </c>
      <c r="C1505" t="s">
        <v>36</v>
      </c>
      <c r="D1505" s="68">
        <v>6466</v>
      </c>
      <c r="E1505" s="68"/>
      <c r="F1505" s="68">
        <v>1776</v>
      </c>
      <c r="G1505" s="68">
        <v>8242</v>
      </c>
      <c r="H15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06" spans="1:8" hidden="1" x14ac:dyDescent="0.3">
      <c r="A1506" t="s">
        <v>759</v>
      </c>
      <c r="B1506" t="s">
        <v>850</v>
      </c>
      <c r="C1506" t="s">
        <v>27</v>
      </c>
      <c r="D1506" s="68"/>
      <c r="E1506" s="68">
        <v>3865</v>
      </c>
      <c r="F1506" s="68"/>
      <c r="G1506" s="68">
        <v>3865</v>
      </c>
      <c r="H15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07" spans="1:8" hidden="1" x14ac:dyDescent="0.3">
      <c r="A1507" t="s">
        <v>759</v>
      </c>
      <c r="B1507" t="s">
        <v>850</v>
      </c>
      <c r="C1507" t="s">
        <v>30</v>
      </c>
      <c r="D1507" s="68">
        <v>53</v>
      </c>
      <c r="E1507" s="68"/>
      <c r="F1507" s="68">
        <v>1095</v>
      </c>
      <c r="G1507" s="68">
        <v>1148</v>
      </c>
      <c r="H15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08" spans="1:8" hidden="1" x14ac:dyDescent="0.3">
      <c r="A1508" t="s">
        <v>759</v>
      </c>
      <c r="B1508" t="s">
        <v>850</v>
      </c>
      <c r="C1508" t="s">
        <v>35</v>
      </c>
      <c r="D1508" s="68">
        <v>32</v>
      </c>
      <c r="E1508" s="68"/>
      <c r="F1508" s="68"/>
      <c r="G1508" s="68">
        <v>32</v>
      </c>
      <c r="H15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09" spans="1:8" hidden="1" x14ac:dyDescent="0.3">
      <c r="A1509" t="s">
        <v>759</v>
      </c>
      <c r="B1509" t="s">
        <v>850</v>
      </c>
      <c r="C1509" t="s">
        <v>536</v>
      </c>
      <c r="D1509" s="68">
        <v>1</v>
      </c>
      <c r="E1509" s="68"/>
      <c r="F1509" s="68"/>
      <c r="G1509" s="68">
        <v>1</v>
      </c>
      <c r="H15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0" spans="1:8" hidden="1" x14ac:dyDescent="0.3">
      <c r="A1510" t="s">
        <v>759</v>
      </c>
      <c r="B1510" t="s">
        <v>850</v>
      </c>
      <c r="C1510" t="s">
        <v>34</v>
      </c>
      <c r="D1510" s="68">
        <v>1</v>
      </c>
      <c r="E1510" s="68"/>
      <c r="F1510" s="68"/>
      <c r="G1510" s="68">
        <v>1</v>
      </c>
      <c r="H15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1" spans="1:8" hidden="1" x14ac:dyDescent="0.3">
      <c r="A1511" t="s">
        <v>759</v>
      </c>
      <c r="B1511" t="s">
        <v>851</v>
      </c>
      <c r="C1511" t="s">
        <v>26</v>
      </c>
      <c r="D1511" s="68">
        <v>215</v>
      </c>
      <c r="E1511" s="68"/>
      <c r="F1511" s="68">
        <v>1388</v>
      </c>
      <c r="G1511" s="68">
        <v>1603</v>
      </c>
      <c r="H15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12" spans="1:8" hidden="1" x14ac:dyDescent="0.3">
      <c r="A1512" t="s">
        <v>759</v>
      </c>
      <c r="B1512" t="s">
        <v>851</v>
      </c>
      <c r="C1512" t="s">
        <v>27</v>
      </c>
      <c r="D1512" s="68"/>
      <c r="E1512" s="68">
        <v>45</v>
      </c>
      <c r="F1512" s="68"/>
      <c r="G1512" s="68">
        <v>45</v>
      </c>
      <c r="H15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3" spans="1:8" hidden="1" x14ac:dyDescent="0.3">
      <c r="A1513" t="s">
        <v>759</v>
      </c>
      <c r="B1513" t="s">
        <v>851</v>
      </c>
      <c r="C1513" t="s">
        <v>30</v>
      </c>
      <c r="D1513" s="68"/>
      <c r="E1513" s="68"/>
      <c r="F1513" s="68">
        <v>43</v>
      </c>
      <c r="G1513" s="68">
        <v>43</v>
      </c>
      <c r="H15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4" spans="1:8" hidden="1" x14ac:dyDescent="0.3">
      <c r="A1514" t="s">
        <v>759</v>
      </c>
      <c r="B1514" t="s">
        <v>852</v>
      </c>
      <c r="C1514" t="s">
        <v>26</v>
      </c>
      <c r="D1514" s="68">
        <v>189</v>
      </c>
      <c r="E1514" s="68"/>
      <c r="F1514" s="68">
        <v>1183</v>
      </c>
      <c r="G1514" s="68">
        <v>1372</v>
      </c>
      <c r="H15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15" spans="1:8" hidden="1" x14ac:dyDescent="0.3">
      <c r="A1515" t="s">
        <v>759</v>
      </c>
      <c r="B1515" t="s">
        <v>852</v>
      </c>
      <c r="C1515" t="s">
        <v>5</v>
      </c>
      <c r="D1515" s="68">
        <v>89</v>
      </c>
      <c r="E1515" s="68"/>
      <c r="F1515" s="68">
        <v>763</v>
      </c>
      <c r="G1515" s="68">
        <v>852</v>
      </c>
      <c r="H15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16" spans="1:8" hidden="1" x14ac:dyDescent="0.3">
      <c r="A1516" t="s">
        <v>759</v>
      </c>
      <c r="B1516" t="s">
        <v>852</v>
      </c>
      <c r="C1516" t="s">
        <v>27</v>
      </c>
      <c r="D1516" s="68"/>
      <c r="E1516" s="68">
        <v>19</v>
      </c>
      <c r="F1516" s="68"/>
      <c r="G1516" s="68">
        <v>19</v>
      </c>
      <c r="H15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7" spans="1:8" hidden="1" x14ac:dyDescent="0.3">
      <c r="A1517" t="s">
        <v>759</v>
      </c>
      <c r="B1517" t="s">
        <v>853</v>
      </c>
      <c r="C1517" t="s">
        <v>26</v>
      </c>
      <c r="D1517" s="68">
        <v>941</v>
      </c>
      <c r="E1517" s="68"/>
      <c r="F1517" s="68">
        <v>3889</v>
      </c>
      <c r="G1517" s="68">
        <v>4830</v>
      </c>
      <c r="H15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18" spans="1:8" hidden="1" x14ac:dyDescent="0.3">
      <c r="A1518" t="s">
        <v>759</v>
      </c>
      <c r="B1518" t="s">
        <v>853</v>
      </c>
      <c r="C1518" t="s">
        <v>30</v>
      </c>
      <c r="D1518" s="68">
        <v>24</v>
      </c>
      <c r="E1518" s="68"/>
      <c r="F1518" s="68">
        <v>737</v>
      </c>
      <c r="G1518" s="68">
        <v>761</v>
      </c>
      <c r="H15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9" spans="1:8" hidden="1" x14ac:dyDescent="0.3">
      <c r="A1519" t="s">
        <v>759</v>
      </c>
      <c r="B1519" t="s">
        <v>853</v>
      </c>
      <c r="C1519" t="s">
        <v>27</v>
      </c>
      <c r="D1519" s="68"/>
      <c r="E1519" s="68">
        <v>34</v>
      </c>
      <c r="F1519" s="68"/>
      <c r="G1519" s="68">
        <v>34</v>
      </c>
      <c r="H15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20" spans="1:8" hidden="1" x14ac:dyDescent="0.3">
      <c r="A1520" t="s">
        <v>759</v>
      </c>
      <c r="B1520" t="s">
        <v>853</v>
      </c>
      <c r="C1520" t="s">
        <v>5</v>
      </c>
      <c r="D1520" s="68">
        <v>2</v>
      </c>
      <c r="E1520" s="68"/>
      <c r="F1520" s="68"/>
      <c r="G1520" s="68">
        <v>2</v>
      </c>
      <c r="H15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21" spans="1:8" hidden="1" x14ac:dyDescent="0.3">
      <c r="A1521" t="s">
        <v>759</v>
      </c>
      <c r="B1521" t="s">
        <v>854</v>
      </c>
      <c r="C1521" t="s">
        <v>26</v>
      </c>
      <c r="D1521" s="68">
        <v>1406</v>
      </c>
      <c r="E1521" s="68"/>
      <c r="F1521" s="68">
        <v>3774</v>
      </c>
      <c r="G1521" s="68">
        <v>5180</v>
      </c>
      <c r="H15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22" spans="1:8" hidden="1" x14ac:dyDescent="0.3">
      <c r="A1522" t="s">
        <v>759</v>
      </c>
      <c r="B1522" t="s">
        <v>854</v>
      </c>
      <c r="C1522" t="s">
        <v>5</v>
      </c>
      <c r="D1522" s="68">
        <v>109</v>
      </c>
      <c r="E1522" s="68"/>
      <c r="F1522" s="68">
        <v>128</v>
      </c>
      <c r="G1522" s="68">
        <v>237</v>
      </c>
      <c r="H15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23" spans="1:8" hidden="1" x14ac:dyDescent="0.3">
      <c r="A1523" t="s">
        <v>759</v>
      </c>
      <c r="B1523" t="s">
        <v>854</v>
      </c>
      <c r="C1523" t="s">
        <v>27</v>
      </c>
      <c r="D1523" s="68"/>
      <c r="E1523" s="68">
        <v>48</v>
      </c>
      <c r="F1523" s="68"/>
      <c r="G1523" s="68">
        <v>48</v>
      </c>
      <c r="H15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24" spans="1:8" hidden="1" x14ac:dyDescent="0.3">
      <c r="A1524" t="s">
        <v>759</v>
      </c>
      <c r="B1524" t="s">
        <v>854</v>
      </c>
      <c r="C1524" t="s">
        <v>30</v>
      </c>
      <c r="D1524" s="68"/>
      <c r="E1524" s="68"/>
      <c r="F1524" s="68">
        <v>1</v>
      </c>
      <c r="G1524" s="68">
        <v>1</v>
      </c>
      <c r="H15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25" spans="1:8" hidden="1" x14ac:dyDescent="0.3">
      <c r="A1525" t="s">
        <v>759</v>
      </c>
      <c r="B1525" t="s">
        <v>855</v>
      </c>
      <c r="C1525" t="s">
        <v>30</v>
      </c>
      <c r="D1525" s="68">
        <v>67</v>
      </c>
      <c r="E1525" s="68"/>
      <c r="F1525" s="68">
        <v>1525</v>
      </c>
      <c r="G1525" s="68">
        <v>1592</v>
      </c>
      <c r="H15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26" spans="1:8" hidden="1" x14ac:dyDescent="0.3">
      <c r="A1526" t="s">
        <v>759</v>
      </c>
      <c r="B1526" t="s">
        <v>855</v>
      </c>
      <c r="C1526" t="s">
        <v>26</v>
      </c>
      <c r="D1526" s="68">
        <v>90</v>
      </c>
      <c r="E1526" s="68"/>
      <c r="F1526" s="68">
        <v>73</v>
      </c>
      <c r="G1526" s="68">
        <v>163</v>
      </c>
      <c r="H15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27" spans="1:8" hidden="1" x14ac:dyDescent="0.3">
      <c r="A1527" t="s">
        <v>759</v>
      </c>
      <c r="B1527" t="s">
        <v>855</v>
      </c>
      <c r="C1527" t="s">
        <v>27</v>
      </c>
      <c r="D1527" s="68"/>
      <c r="E1527" s="68">
        <v>20</v>
      </c>
      <c r="F1527" s="68"/>
      <c r="G1527" s="68">
        <v>20</v>
      </c>
      <c r="H15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28" spans="1:8" hidden="1" x14ac:dyDescent="0.3">
      <c r="A1528" t="s">
        <v>759</v>
      </c>
      <c r="B1528" t="s">
        <v>855</v>
      </c>
      <c r="C1528" t="s">
        <v>5</v>
      </c>
      <c r="D1528" s="68">
        <v>5</v>
      </c>
      <c r="E1528" s="68"/>
      <c r="F1528" s="68">
        <v>2</v>
      </c>
      <c r="G1528" s="68">
        <v>7</v>
      </c>
      <c r="H15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29" spans="1:8" hidden="1" x14ac:dyDescent="0.3">
      <c r="A1529" t="s">
        <v>759</v>
      </c>
      <c r="B1529" t="s">
        <v>856</v>
      </c>
      <c r="C1529" t="s">
        <v>26</v>
      </c>
      <c r="D1529" s="68">
        <v>637</v>
      </c>
      <c r="E1529" s="68"/>
      <c r="F1529" s="68">
        <v>3917</v>
      </c>
      <c r="G1529" s="68">
        <v>4554</v>
      </c>
      <c r="H15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0" spans="1:8" hidden="1" x14ac:dyDescent="0.3">
      <c r="A1530" t="s">
        <v>759</v>
      </c>
      <c r="B1530" t="s">
        <v>856</v>
      </c>
      <c r="C1530" t="s">
        <v>30</v>
      </c>
      <c r="D1530" s="68">
        <v>53</v>
      </c>
      <c r="E1530" s="68"/>
      <c r="F1530" s="68">
        <v>807</v>
      </c>
      <c r="G1530" s="68">
        <v>860</v>
      </c>
      <c r="H15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31" spans="1:8" hidden="1" x14ac:dyDescent="0.3">
      <c r="A1531" t="s">
        <v>759</v>
      </c>
      <c r="B1531" t="s">
        <v>856</v>
      </c>
      <c r="C1531" t="s">
        <v>5</v>
      </c>
      <c r="D1531" s="68">
        <v>42</v>
      </c>
      <c r="E1531" s="68"/>
      <c r="F1531" s="68">
        <v>27</v>
      </c>
      <c r="G1531" s="68">
        <v>69</v>
      </c>
      <c r="H15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2" spans="1:8" hidden="1" x14ac:dyDescent="0.3">
      <c r="A1532" t="s">
        <v>759</v>
      </c>
      <c r="B1532" t="s">
        <v>856</v>
      </c>
      <c r="C1532" t="s">
        <v>27</v>
      </c>
      <c r="D1532" s="68"/>
      <c r="E1532" s="68">
        <v>38</v>
      </c>
      <c r="F1532" s="68"/>
      <c r="G1532" s="68">
        <v>38</v>
      </c>
      <c r="H15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33" spans="1:8" hidden="1" x14ac:dyDescent="0.3">
      <c r="A1533" t="s">
        <v>759</v>
      </c>
      <c r="B1533" t="s">
        <v>856</v>
      </c>
      <c r="C1533" t="s">
        <v>37</v>
      </c>
      <c r="D1533" s="68">
        <v>1</v>
      </c>
      <c r="E1533" s="68"/>
      <c r="F1533" s="68"/>
      <c r="G1533" s="68">
        <v>1</v>
      </c>
      <c r="H15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4" spans="1:8" hidden="1" x14ac:dyDescent="0.3">
      <c r="A1534" t="s">
        <v>759</v>
      </c>
      <c r="B1534" t="s">
        <v>857</v>
      </c>
      <c r="C1534" t="s">
        <v>26</v>
      </c>
      <c r="D1534" s="68">
        <v>505</v>
      </c>
      <c r="E1534" s="68"/>
      <c r="F1534" s="68">
        <v>2140</v>
      </c>
      <c r="G1534" s="68">
        <v>2645</v>
      </c>
      <c r="H15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5" spans="1:8" hidden="1" x14ac:dyDescent="0.3">
      <c r="A1535" t="s">
        <v>759</v>
      </c>
      <c r="B1535" t="s">
        <v>857</v>
      </c>
      <c r="C1535" t="s">
        <v>30</v>
      </c>
      <c r="D1535" s="68">
        <v>15</v>
      </c>
      <c r="E1535" s="68"/>
      <c r="F1535" s="68">
        <v>98</v>
      </c>
      <c r="G1535" s="68">
        <v>113</v>
      </c>
      <c r="H15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36" spans="1:8" hidden="1" x14ac:dyDescent="0.3">
      <c r="A1536" t="s">
        <v>759</v>
      </c>
      <c r="B1536" t="s">
        <v>857</v>
      </c>
      <c r="C1536" t="s">
        <v>27</v>
      </c>
      <c r="D1536" s="68"/>
      <c r="E1536" s="68">
        <v>26</v>
      </c>
      <c r="F1536" s="68"/>
      <c r="G1536" s="68">
        <v>26</v>
      </c>
      <c r="H15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37" spans="1:8" hidden="1" x14ac:dyDescent="0.3">
      <c r="A1537" t="s">
        <v>759</v>
      </c>
      <c r="B1537" t="s">
        <v>858</v>
      </c>
      <c r="C1537" t="s">
        <v>26</v>
      </c>
      <c r="D1537" s="68">
        <v>1855</v>
      </c>
      <c r="E1537" s="68"/>
      <c r="F1537" s="68">
        <v>2432</v>
      </c>
      <c r="G1537" s="68">
        <v>4287</v>
      </c>
      <c r="H15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8" spans="1:8" hidden="1" x14ac:dyDescent="0.3">
      <c r="A1538" t="s">
        <v>759</v>
      </c>
      <c r="B1538" t="s">
        <v>858</v>
      </c>
      <c r="C1538" t="s">
        <v>5</v>
      </c>
      <c r="D1538" s="68">
        <v>57</v>
      </c>
      <c r="E1538" s="68"/>
      <c r="F1538" s="68">
        <v>333</v>
      </c>
      <c r="G1538" s="68">
        <v>390</v>
      </c>
      <c r="H15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9" spans="1:8" hidden="1" x14ac:dyDescent="0.3">
      <c r="A1539" t="s">
        <v>759</v>
      </c>
      <c r="B1539" t="s">
        <v>858</v>
      </c>
      <c r="C1539" t="s">
        <v>27</v>
      </c>
      <c r="D1539" s="68"/>
      <c r="E1539" s="68">
        <v>73</v>
      </c>
      <c r="F1539" s="68"/>
      <c r="G1539" s="68">
        <v>73</v>
      </c>
      <c r="H15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40" spans="1:8" hidden="1" x14ac:dyDescent="0.3">
      <c r="A1540" t="s">
        <v>759</v>
      </c>
      <c r="B1540" t="s">
        <v>858</v>
      </c>
      <c r="C1540" t="s">
        <v>30</v>
      </c>
      <c r="D1540" s="68">
        <v>1</v>
      </c>
      <c r="E1540" s="68"/>
      <c r="F1540" s="68"/>
      <c r="G1540" s="68">
        <v>1</v>
      </c>
      <c r="H15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41" spans="1:8" hidden="1" x14ac:dyDescent="0.3">
      <c r="A1541" t="s">
        <v>759</v>
      </c>
      <c r="B1541" t="s">
        <v>859</v>
      </c>
      <c r="C1541" t="s">
        <v>26</v>
      </c>
      <c r="D1541" s="68">
        <v>575</v>
      </c>
      <c r="E1541" s="68"/>
      <c r="F1541" s="68">
        <v>2202</v>
      </c>
      <c r="G1541" s="68">
        <v>2777</v>
      </c>
      <c r="H15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42" spans="1:8" hidden="1" x14ac:dyDescent="0.3">
      <c r="A1542" t="s">
        <v>759</v>
      </c>
      <c r="B1542" t="s">
        <v>859</v>
      </c>
      <c r="C1542" t="s">
        <v>30</v>
      </c>
      <c r="D1542" s="68">
        <v>4</v>
      </c>
      <c r="E1542" s="68"/>
      <c r="F1542" s="68">
        <v>54</v>
      </c>
      <c r="G1542" s="68">
        <v>58</v>
      </c>
      <c r="H15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43" spans="1:8" hidden="1" x14ac:dyDescent="0.3">
      <c r="A1543" t="s">
        <v>759</v>
      </c>
      <c r="B1543" t="s">
        <v>859</v>
      </c>
      <c r="C1543" t="s">
        <v>27</v>
      </c>
      <c r="D1543" s="68"/>
      <c r="E1543" s="68">
        <v>23</v>
      </c>
      <c r="F1543" s="68"/>
      <c r="G1543" s="68">
        <v>23</v>
      </c>
      <c r="H15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44" spans="1:8" hidden="1" x14ac:dyDescent="0.3">
      <c r="A1544" t="s">
        <v>759</v>
      </c>
      <c r="B1544" t="s">
        <v>859</v>
      </c>
      <c r="C1544" t="s">
        <v>5</v>
      </c>
      <c r="D1544" s="68">
        <v>1</v>
      </c>
      <c r="E1544" s="68"/>
      <c r="F1544" s="68"/>
      <c r="G1544" s="68">
        <v>1</v>
      </c>
      <c r="H15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45" spans="1:8" hidden="1" x14ac:dyDescent="0.3">
      <c r="A1545" t="s">
        <v>759</v>
      </c>
      <c r="B1545" t="s">
        <v>860</v>
      </c>
      <c r="C1545" t="s">
        <v>26</v>
      </c>
      <c r="D1545" s="68">
        <v>500</v>
      </c>
      <c r="E1545" s="68"/>
      <c r="F1545" s="68">
        <v>4965</v>
      </c>
      <c r="G1545" s="68">
        <v>5465</v>
      </c>
      <c r="H15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46" spans="1:8" hidden="1" x14ac:dyDescent="0.3">
      <c r="A1546" t="s">
        <v>759</v>
      </c>
      <c r="B1546" t="s">
        <v>860</v>
      </c>
      <c r="C1546" t="s">
        <v>30</v>
      </c>
      <c r="D1546" s="68">
        <v>35</v>
      </c>
      <c r="E1546" s="68"/>
      <c r="F1546" s="68">
        <v>965</v>
      </c>
      <c r="G1546" s="68">
        <v>1000</v>
      </c>
      <c r="H15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47" spans="1:8" hidden="1" x14ac:dyDescent="0.3">
      <c r="A1547" t="s">
        <v>759</v>
      </c>
      <c r="B1547" t="s">
        <v>860</v>
      </c>
      <c r="C1547" t="s">
        <v>27</v>
      </c>
      <c r="D1547" s="68"/>
      <c r="E1547" s="68">
        <v>74</v>
      </c>
      <c r="F1547" s="68"/>
      <c r="G1547" s="68">
        <v>74</v>
      </c>
      <c r="H15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48" spans="1:8" hidden="1" x14ac:dyDescent="0.3">
      <c r="A1548" t="s">
        <v>759</v>
      </c>
      <c r="B1548" t="s">
        <v>860</v>
      </c>
      <c r="C1548" t="s">
        <v>5</v>
      </c>
      <c r="D1548" s="68">
        <v>1</v>
      </c>
      <c r="E1548" s="68"/>
      <c r="F1548" s="68"/>
      <c r="G1548" s="68">
        <v>1</v>
      </c>
      <c r="H15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49" spans="1:8" hidden="1" x14ac:dyDescent="0.3">
      <c r="A1549" t="s">
        <v>759</v>
      </c>
      <c r="B1549" t="s">
        <v>861</v>
      </c>
      <c r="C1549" t="s">
        <v>26</v>
      </c>
      <c r="D1549" s="68">
        <v>1931</v>
      </c>
      <c r="E1549" s="68"/>
      <c r="F1549" s="68">
        <v>5023</v>
      </c>
      <c r="G1549" s="68">
        <v>6954</v>
      </c>
      <c r="H15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50" spans="1:8" hidden="1" x14ac:dyDescent="0.3">
      <c r="A1550" t="s">
        <v>759</v>
      </c>
      <c r="B1550" t="s">
        <v>861</v>
      </c>
      <c r="C1550" t="s">
        <v>30</v>
      </c>
      <c r="D1550" s="68">
        <v>21</v>
      </c>
      <c r="E1550" s="68"/>
      <c r="F1550" s="68">
        <v>231</v>
      </c>
      <c r="G1550" s="68">
        <v>252</v>
      </c>
      <c r="H15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51" spans="1:8" hidden="1" x14ac:dyDescent="0.3">
      <c r="A1551" t="s">
        <v>759</v>
      </c>
      <c r="B1551" t="s">
        <v>861</v>
      </c>
      <c r="C1551" t="s">
        <v>27</v>
      </c>
      <c r="D1551" s="68"/>
      <c r="E1551" s="68">
        <v>50</v>
      </c>
      <c r="F1551" s="68"/>
      <c r="G1551" s="68">
        <v>50</v>
      </c>
      <c r="H15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52" spans="1:8" hidden="1" x14ac:dyDescent="0.3">
      <c r="A1552" t="s">
        <v>759</v>
      </c>
      <c r="B1552" t="s">
        <v>861</v>
      </c>
      <c r="C1552" t="s">
        <v>5</v>
      </c>
      <c r="D1552" s="68">
        <v>3</v>
      </c>
      <c r="E1552" s="68"/>
      <c r="F1552" s="68"/>
      <c r="G1552" s="68">
        <v>3</v>
      </c>
      <c r="H15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53" spans="1:8" hidden="1" x14ac:dyDescent="0.3">
      <c r="A1553" t="s">
        <v>759</v>
      </c>
      <c r="B1553" t="s">
        <v>862</v>
      </c>
      <c r="C1553" t="s">
        <v>26</v>
      </c>
      <c r="D1553" s="68">
        <v>216</v>
      </c>
      <c r="E1553" s="68"/>
      <c r="F1553" s="68">
        <v>1104</v>
      </c>
      <c r="G1553" s="68">
        <v>1320</v>
      </c>
      <c r="H15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54" spans="1:8" hidden="1" x14ac:dyDescent="0.3">
      <c r="A1554" t="s">
        <v>759</v>
      </c>
      <c r="B1554" t="s">
        <v>862</v>
      </c>
      <c r="C1554" t="s">
        <v>5</v>
      </c>
      <c r="D1554" s="68">
        <v>183</v>
      </c>
      <c r="E1554" s="68"/>
      <c r="F1554" s="68">
        <v>862</v>
      </c>
      <c r="G1554" s="68">
        <v>1045</v>
      </c>
      <c r="H15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55" spans="1:8" hidden="1" x14ac:dyDescent="0.3">
      <c r="A1555" t="s">
        <v>759</v>
      </c>
      <c r="B1555" t="s">
        <v>862</v>
      </c>
      <c r="C1555" t="s">
        <v>27</v>
      </c>
      <c r="D1555" s="68"/>
      <c r="E1555" s="68">
        <v>25</v>
      </c>
      <c r="F1555" s="68"/>
      <c r="G1555" s="68">
        <v>25</v>
      </c>
      <c r="H15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56" spans="1:8" hidden="1" x14ac:dyDescent="0.3">
      <c r="A1556" t="s">
        <v>759</v>
      </c>
      <c r="B1556" t="s">
        <v>862</v>
      </c>
      <c r="C1556" t="s">
        <v>30</v>
      </c>
      <c r="D1556" s="68"/>
      <c r="E1556" s="68"/>
      <c r="F1556" s="68">
        <v>2</v>
      </c>
      <c r="G1556" s="68">
        <v>2</v>
      </c>
      <c r="H15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57" spans="1:8" hidden="1" x14ac:dyDescent="0.3">
      <c r="A1557" t="s">
        <v>759</v>
      </c>
      <c r="B1557" t="s">
        <v>863</v>
      </c>
      <c r="C1557" t="s">
        <v>26</v>
      </c>
      <c r="D1557" s="68">
        <v>295</v>
      </c>
      <c r="E1557" s="68"/>
      <c r="F1557" s="68">
        <v>1408</v>
      </c>
      <c r="G1557" s="68">
        <v>1703</v>
      </c>
      <c r="H15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58" spans="1:8" hidden="1" x14ac:dyDescent="0.3">
      <c r="A1558" t="s">
        <v>759</v>
      </c>
      <c r="B1558" t="s">
        <v>863</v>
      </c>
      <c r="C1558" t="s">
        <v>30</v>
      </c>
      <c r="D1558" s="68">
        <v>20</v>
      </c>
      <c r="E1558" s="68"/>
      <c r="F1558" s="68">
        <v>1273</v>
      </c>
      <c r="G1558" s="68">
        <v>1293</v>
      </c>
      <c r="H15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59" spans="1:8" hidden="1" x14ac:dyDescent="0.3">
      <c r="A1559" t="s">
        <v>759</v>
      </c>
      <c r="B1559" t="s">
        <v>863</v>
      </c>
      <c r="C1559" t="s">
        <v>27</v>
      </c>
      <c r="D1559" s="68"/>
      <c r="E1559" s="68">
        <v>32</v>
      </c>
      <c r="F1559" s="68"/>
      <c r="G1559" s="68">
        <v>32</v>
      </c>
      <c r="H15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0" spans="1:8" hidden="1" x14ac:dyDescent="0.3">
      <c r="A1560" t="s">
        <v>759</v>
      </c>
      <c r="B1560" t="s">
        <v>864</v>
      </c>
      <c r="C1560" t="s">
        <v>26</v>
      </c>
      <c r="D1560" s="68">
        <v>1711</v>
      </c>
      <c r="E1560" s="68"/>
      <c r="F1560" s="68">
        <v>4250</v>
      </c>
      <c r="G1560" s="68">
        <v>5961</v>
      </c>
      <c r="H15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61" spans="1:8" hidden="1" x14ac:dyDescent="0.3">
      <c r="A1561" t="s">
        <v>759</v>
      </c>
      <c r="B1561" t="s">
        <v>864</v>
      </c>
      <c r="C1561" t="s">
        <v>30</v>
      </c>
      <c r="D1561" s="68">
        <v>180</v>
      </c>
      <c r="E1561" s="68"/>
      <c r="F1561" s="68">
        <v>2311</v>
      </c>
      <c r="G1561" s="68">
        <v>2491</v>
      </c>
      <c r="H15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2" spans="1:8" hidden="1" x14ac:dyDescent="0.3">
      <c r="A1562" t="s">
        <v>759</v>
      </c>
      <c r="B1562" t="s">
        <v>864</v>
      </c>
      <c r="C1562" t="s">
        <v>5</v>
      </c>
      <c r="D1562" s="68">
        <v>131</v>
      </c>
      <c r="E1562" s="68"/>
      <c r="F1562" s="68">
        <v>231</v>
      </c>
      <c r="G1562" s="68">
        <v>362</v>
      </c>
      <c r="H15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63" spans="1:8" hidden="1" x14ac:dyDescent="0.3">
      <c r="A1563" t="s">
        <v>759</v>
      </c>
      <c r="B1563" t="s">
        <v>864</v>
      </c>
      <c r="C1563" t="s">
        <v>27</v>
      </c>
      <c r="D1563" s="68"/>
      <c r="E1563" s="68">
        <v>99</v>
      </c>
      <c r="F1563" s="68"/>
      <c r="G1563" s="68">
        <v>99</v>
      </c>
      <c r="H15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4" spans="1:8" hidden="1" x14ac:dyDescent="0.3">
      <c r="A1564" t="s">
        <v>759</v>
      </c>
      <c r="B1564" t="s">
        <v>865</v>
      </c>
      <c r="C1564" t="s">
        <v>30</v>
      </c>
      <c r="D1564" s="68">
        <v>27</v>
      </c>
      <c r="E1564" s="68"/>
      <c r="F1564" s="68">
        <v>2252</v>
      </c>
      <c r="G1564" s="68">
        <v>2279</v>
      </c>
      <c r="H15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5" spans="1:8" hidden="1" x14ac:dyDescent="0.3">
      <c r="A1565" t="s">
        <v>759</v>
      </c>
      <c r="B1565" t="s">
        <v>865</v>
      </c>
      <c r="C1565" t="s">
        <v>26</v>
      </c>
      <c r="D1565" s="68">
        <v>200</v>
      </c>
      <c r="E1565" s="68"/>
      <c r="F1565" s="68">
        <v>1561</v>
      </c>
      <c r="G1565" s="68">
        <v>1761</v>
      </c>
      <c r="H15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66" spans="1:8" hidden="1" x14ac:dyDescent="0.3">
      <c r="A1566" t="s">
        <v>759</v>
      </c>
      <c r="B1566" t="s">
        <v>865</v>
      </c>
      <c r="C1566" t="s">
        <v>27</v>
      </c>
      <c r="D1566" s="68"/>
      <c r="E1566" s="68">
        <v>26</v>
      </c>
      <c r="F1566" s="68"/>
      <c r="G1566" s="68">
        <v>26</v>
      </c>
      <c r="H15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7" spans="1:8" hidden="1" x14ac:dyDescent="0.3">
      <c r="A1567" t="s">
        <v>759</v>
      </c>
      <c r="B1567" t="s">
        <v>866</v>
      </c>
      <c r="C1567" t="s">
        <v>26</v>
      </c>
      <c r="D1567" s="68">
        <v>836</v>
      </c>
      <c r="E1567" s="68"/>
      <c r="F1567" s="68">
        <v>1934</v>
      </c>
      <c r="G1567" s="68">
        <v>2770</v>
      </c>
      <c r="H15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68" spans="1:8" hidden="1" x14ac:dyDescent="0.3">
      <c r="A1568" t="s">
        <v>759</v>
      </c>
      <c r="B1568" t="s">
        <v>866</v>
      </c>
      <c r="C1568" t="s">
        <v>27</v>
      </c>
      <c r="D1568" s="68"/>
      <c r="E1568" s="68">
        <v>24</v>
      </c>
      <c r="F1568" s="68"/>
      <c r="G1568" s="68">
        <v>24</v>
      </c>
      <c r="H15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9" spans="1:8" hidden="1" x14ac:dyDescent="0.3">
      <c r="A1569" t="s">
        <v>759</v>
      </c>
      <c r="B1569" t="s">
        <v>866</v>
      </c>
      <c r="C1569" t="s">
        <v>30</v>
      </c>
      <c r="D1569" s="68"/>
      <c r="E1569" s="68"/>
      <c r="F1569" s="68">
        <v>8</v>
      </c>
      <c r="G1569" s="68">
        <v>8</v>
      </c>
      <c r="H15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70" spans="1:8" hidden="1" x14ac:dyDescent="0.3">
      <c r="A1570" t="s">
        <v>759</v>
      </c>
      <c r="B1570" t="s">
        <v>867</v>
      </c>
      <c r="C1570" t="s">
        <v>26</v>
      </c>
      <c r="D1570" s="68">
        <v>243</v>
      </c>
      <c r="E1570" s="68"/>
      <c r="F1570" s="68">
        <v>2970</v>
      </c>
      <c r="G1570" s="68">
        <v>3213</v>
      </c>
      <c r="H15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71" spans="1:8" hidden="1" x14ac:dyDescent="0.3">
      <c r="A1571" t="s">
        <v>759</v>
      </c>
      <c r="B1571" t="s">
        <v>867</v>
      </c>
      <c r="C1571" t="s">
        <v>31</v>
      </c>
      <c r="D1571" s="68">
        <v>59</v>
      </c>
      <c r="E1571" s="68"/>
      <c r="F1571" s="68">
        <v>1053</v>
      </c>
      <c r="G1571" s="68">
        <v>1112</v>
      </c>
      <c r="H15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72" spans="1:8" hidden="1" x14ac:dyDescent="0.3">
      <c r="A1572" t="s">
        <v>759</v>
      </c>
      <c r="B1572" t="s">
        <v>867</v>
      </c>
      <c r="C1572" t="s">
        <v>5</v>
      </c>
      <c r="D1572" s="68">
        <v>16</v>
      </c>
      <c r="E1572" s="68"/>
      <c r="F1572" s="68">
        <v>6</v>
      </c>
      <c r="G1572" s="68">
        <v>22</v>
      </c>
      <c r="H15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73" spans="1:8" hidden="1" x14ac:dyDescent="0.3">
      <c r="A1573" t="s">
        <v>759</v>
      </c>
      <c r="B1573" t="s">
        <v>867</v>
      </c>
      <c r="C1573" t="s">
        <v>27</v>
      </c>
      <c r="D1573" s="68"/>
      <c r="E1573" s="68">
        <v>17</v>
      </c>
      <c r="F1573" s="68"/>
      <c r="G1573" s="68">
        <v>17</v>
      </c>
      <c r="H15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74" spans="1:8" hidden="1" x14ac:dyDescent="0.3">
      <c r="A1574" t="s">
        <v>759</v>
      </c>
      <c r="B1574" t="s">
        <v>868</v>
      </c>
      <c r="C1574" t="s">
        <v>5</v>
      </c>
      <c r="D1574" s="68">
        <v>67534</v>
      </c>
      <c r="E1574" s="68"/>
      <c r="F1574" s="68">
        <v>12820</v>
      </c>
      <c r="G1574" s="68">
        <v>80354</v>
      </c>
      <c r="H15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75" spans="1:8" hidden="1" x14ac:dyDescent="0.3">
      <c r="A1575" t="s">
        <v>759</v>
      </c>
      <c r="B1575" t="s">
        <v>868</v>
      </c>
      <c r="C1575" t="s">
        <v>26</v>
      </c>
      <c r="D1575" s="68">
        <v>32234</v>
      </c>
      <c r="E1575" s="68"/>
      <c r="F1575" s="68">
        <v>29686</v>
      </c>
      <c r="G1575" s="68">
        <v>61920</v>
      </c>
      <c r="H15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76" spans="1:8" hidden="1" x14ac:dyDescent="0.3">
      <c r="A1576" t="s">
        <v>759</v>
      </c>
      <c r="B1576" t="s">
        <v>868</v>
      </c>
      <c r="C1576" t="s">
        <v>37</v>
      </c>
      <c r="D1576" s="68">
        <v>20452</v>
      </c>
      <c r="E1576" s="68"/>
      <c r="F1576" s="68">
        <v>9386</v>
      </c>
      <c r="G1576" s="68">
        <v>29838</v>
      </c>
      <c r="H15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77" spans="1:8" hidden="1" x14ac:dyDescent="0.3">
      <c r="A1577" t="s">
        <v>759</v>
      </c>
      <c r="B1577" t="s">
        <v>868</v>
      </c>
      <c r="C1577" t="s">
        <v>31</v>
      </c>
      <c r="D1577" s="68">
        <v>4998</v>
      </c>
      <c r="E1577" s="68"/>
      <c r="F1577" s="68">
        <v>10756</v>
      </c>
      <c r="G1577" s="68">
        <v>15754</v>
      </c>
      <c r="H15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78" spans="1:8" hidden="1" x14ac:dyDescent="0.3">
      <c r="A1578" t="s">
        <v>759</v>
      </c>
      <c r="B1578" t="s">
        <v>868</v>
      </c>
      <c r="C1578" t="s">
        <v>27</v>
      </c>
      <c r="D1578" s="68"/>
      <c r="E1578" s="68">
        <v>12470</v>
      </c>
      <c r="F1578" s="68"/>
      <c r="G1578" s="68">
        <v>12470</v>
      </c>
      <c r="H15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79" spans="1:8" hidden="1" x14ac:dyDescent="0.3">
      <c r="A1579" t="s">
        <v>759</v>
      </c>
      <c r="B1579" t="s">
        <v>868</v>
      </c>
      <c r="C1579" t="s">
        <v>36</v>
      </c>
      <c r="D1579" s="68">
        <v>9389</v>
      </c>
      <c r="E1579" s="68"/>
      <c r="F1579" s="68">
        <v>2925</v>
      </c>
      <c r="G1579" s="68">
        <v>12314</v>
      </c>
      <c r="H15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80" spans="1:8" hidden="1" x14ac:dyDescent="0.3">
      <c r="A1580" t="s">
        <v>759</v>
      </c>
      <c r="B1580" t="s">
        <v>868</v>
      </c>
      <c r="C1580" t="s">
        <v>34</v>
      </c>
      <c r="D1580" s="68">
        <v>5738</v>
      </c>
      <c r="E1580" s="68"/>
      <c r="F1580" s="68">
        <v>1524</v>
      </c>
      <c r="G1580" s="68">
        <v>7262</v>
      </c>
      <c r="H15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81" spans="1:8" hidden="1" x14ac:dyDescent="0.3">
      <c r="A1581" t="s">
        <v>759</v>
      </c>
      <c r="B1581" t="s">
        <v>868</v>
      </c>
      <c r="C1581" t="s">
        <v>30</v>
      </c>
      <c r="D1581" s="68">
        <v>567</v>
      </c>
      <c r="E1581" s="68"/>
      <c r="F1581" s="68">
        <v>3344</v>
      </c>
      <c r="G1581" s="68">
        <v>3911</v>
      </c>
      <c r="H15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82" spans="1:8" hidden="1" x14ac:dyDescent="0.3">
      <c r="A1582" t="s">
        <v>759</v>
      </c>
      <c r="B1582" t="s">
        <v>868</v>
      </c>
      <c r="C1582" t="s">
        <v>35</v>
      </c>
      <c r="D1582" s="68">
        <v>82</v>
      </c>
      <c r="E1582" s="68"/>
      <c r="F1582" s="68"/>
      <c r="G1582" s="68">
        <v>82</v>
      </c>
      <c r="H15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83" spans="1:8" hidden="1" x14ac:dyDescent="0.3">
      <c r="A1583" t="s">
        <v>759</v>
      </c>
      <c r="B1583" t="s">
        <v>868</v>
      </c>
      <c r="C1583" t="s">
        <v>536</v>
      </c>
      <c r="D1583" s="68"/>
      <c r="E1583" s="68"/>
      <c r="F1583" s="68">
        <v>1</v>
      </c>
      <c r="G1583" s="68">
        <v>1</v>
      </c>
      <c r="H15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84" spans="1:8" hidden="1" x14ac:dyDescent="0.3">
      <c r="A1584" t="s">
        <v>759</v>
      </c>
      <c r="B1584" t="s">
        <v>869</v>
      </c>
      <c r="C1584" t="s">
        <v>26</v>
      </c>
      <c r="D1584" s="68">
        <v>107</v>
      </c>
      <c r="E1584" s="68"/>
      <c r="F1584" s="68">
        <v>1229</v>
      </c>
      <c r="G1584" s="68">
        <v>1336</v>
      </c>
      <c r="H15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85" spans="1:8" hidden="1" x14ac:dyDescent="0.3">
      <c r="A1585" t="s">
        <v>759</v>
      </c>
      <c r="B1585" t="s">
        <v>869</v>
      </c>
      <c r="C1585" t="s">
        <v>27</v>
      </c>
      <c r="D1585" s="68"/>
      <c r="E1585" s="68">
        <v>25</v>
      </c>
      <c r="F1585" s="68"/>
      <c r="G1585" s="68">
        <v>25</v>
      </c>
      <c r="H15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86" spans="1:8" hidden="1" x14ac:dyDescent="0.3">
      <c r="A1586" t="s">
        <v>759</v>
      </c>
      <c r="B1586" t="s">
        <v>870</v>
      </c>
      <c r="C1586" t="s">
        <v>30</v>
      </c>
      <c r="D1586" s="68">
        <v>125</v>
      </c>
      <c r="E1586" s="68"/>
      <c r="F1586" s="68">
        <v>2328</v>
      </c>
      <c r="G1586" s="68">
        <v>2453</v>
      </c>
      <c r="H15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87" spans="1:8" hidden="1" x14ac:dyDescent="0.3">
      <c r="A1587" t="s">
        <v>759</v>
      </c>
      <c r="B1587" t="s">
        <v>870</v>
      </c>
      <c r="C1587" t="s">
        <v>26</v>
      </c>
      <c r="D1587" s="68">
        <v>305</v>
      </c>
      <c r="E1587" s="68"/>
      <c r="F1587" s="68">
        <v>1971</v>
      </c>
      <c r="G1587" s="68">
        <v>2276</v>
      </c>
      <c r="H15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88" spans="1:8" hidden="1" x14ac:dyDescent="0.3">
      <c r="A1588" t="s">
        <v>759</v>
      </c>
      <c r="B1588" t="s">
        <v>870</v>
      </c>
      <c r="C1588" t="s">
        <v>27</v>
      </c>
      <c r="D1588" s="68"/>
      <c r="E1588" s="68">
        <v>130</v>
      </c>
      <c r="F1588" s="68"/>
      <c r="G1588" s="68">
        <v>130</v>
      </c>
      <c r="H15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89" spans="1:8" hidden="1" x14ac:dyDescent="0.3">
      <c r="A1589" t="s">
        <v>759</v>
      </c>
      <c r="B1589" t="s">
        <v>871</v>
      </c>
      <c r="C1589" t="s">
        <v>26</v>
      </c>
      <c r="D1589" s="68">
        <v>1483</v>
      </c>
      <c r="E1589" s="68"/>
      <c r="F1589" s="68">
        <v>4274</v>
      </c>
      <c r="G1589" s="68">
        <v>5757</v>
      </c>
      <c r="H15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90" spans="1:8" hidden="1" x14ac:dyDescent="0.3">
      <c r="A1590" t="s">
        <v>759</v>
      </c>
      <c r="B1590" t="s">
        <v>871</v>
      </c>
      <c r="C1590" t="s">
        <v>30</v>
      </c>
      <c r="D1590" s="68">
        <v>13</v>
      </c>
      <c r="E1590" s="68"/>
      <c r="F1590" s="68">
        <v>232</v>
      </c>
      <c r="G1590" s="68">
        <v>245</v>
      </c>
      <c r="H15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91" spans="1:8" hidden="1" x14ac:dyDescent="0.3">
      <c r="A1591" t="s">
        <v>759</v>
      </c>
      <c r="B1591" t="s">
        <v>871</v>
      </c>
      <c r="C1591" t="s">
        <v>27</v>
      </c>
      <c r="D1591" s="68"/>
      <c r="E1591" s="68">
        <v>62</v>
      </c>
      <c r="F1591" s="68"/>
      <c r="G1591" s="68">
        <v>62</v>
      </c>
      <c r="H15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92" spans="1:8" hidden="1" x14ac:dyDescent="0.3">
      <c r="A1592" t="s">
        <v>759</v>
      </c>
      <c r="B1592" t="s">
        <v>871</v>
      </c>
      <c r="C1592" t="s">
        <v>5</v>
      </c>
      <c r="D1592" s="68">
        <v>1</v>
      </c>
      <c r="E1592" s="68"/>
      <c r="F1592" s="68"/>
      <c r="G1592" s="68">
        <v>1</v>
      </c>
      <c r="H15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93" spans="1:8" hidden="1" x14ac:dyDescent="0.3">
      <c r="A1593" t="s">
        <v>759</v>
      </c>
      <c r="B1593" t="s">
        <v>872</v>
      </c>
      <c r="C1593" t="s">
        <v>30</v>
      </c>
      <c r="D1593" s="68">
        <v>38</v>
      </c>
      <c r="E1593" s="68"/>
      <c r="F1593" s="68">
        <v>1109</v>
      </c>
      <c r="G1593" s="68">
        <v>1147</v>
      </c>
      <c r="H15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94" spans="1:8" hidden="1" x14ac:dyDescent="0.3">
      <c r="A1594" t="s">
        <v>759</v>
      </c>
      <c r="B1594" t="s">
        <v>872</v>
      </c>
      <c r="C1594" t="s">
        <v>26</v>
      </c>
      <c r="D1594" s="68">
        <v>78</v>
      </c>
      <c r="E1594" s="68"/>
      <c r="F1594" s="68">
        <v>184</v>
      </c>
      <c r="G1594" s="68">
        <v>262</v>
      </c>
      <c r="H15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95" spans="1:8" hidden="1" x14ac:dyDescent="0.3">
      <c r="A1595" t="s">
        <v>759</v>
      </c>
      <c r="B1595" t="s">
        <v>872</v>
      </c>
      <c r="C1595" t="s">
        <v>27</v>
      </c>
      <c r="D1595" s="68"/>
      <c r="E1595" s="68">
        <v>12</v>
      </c>
      <c r="F1595" s="68"/>
      <c r="G1595" s="68">
        <v>12</v>
      </c>
      <c r="H15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96" spans="1:8" hidden="1" x14ac:dyDescent="0.3">
      <c r="A1596" t="s">
        <v>759</v>
      </c>
      <c r="B1596" t="s">
        <v>872</v>
      </c>
      <c r="C1596" t="s">
        <v>5</v>
      </c>
      <c r="D1596" s="68">
        <v>8</v>
      </c>
      <c r="E1596" s="68"/>
      <c r="F1596" s="68"/>
      <c r="G1596" s="68">
        <v>8</v>
      </c>
      <c r="H15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97" spans="1:8" hidden="1" x14ac:dyDescent="0.3">
      <c r="A1597" t="s">
        <v>759</v>
      </c>
      <c r="B1597" t="s">
        <v>873</v>
      </c>
      <c r="C1597" t="s">
        <v>26</v>
      </c>
      <c r="D1597" s="68">
        <v>450</v>
      </c>
      <c r="E1597" s="68"/>
      <c r="F1597" s="68">
        <v>4742</v>
      </c>
      <c r="G1597" s="68">
        <v>5192</v>
      </c>
      <c r="H15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98" spans="1:8" hidden="1" x14ac:dyDescent="0.3">
      <c r="A1598" t="s">
        <v>759</v>
      </c>
      <c r="B1598" t="s">
        <v>873</v>
      </c>
      <c r="C1598" t="s">
        <v>27</v>
      </c>
      <c r="D1598" s="68"/>
      <c r="E1598" s="68">
        <v>99</v>
      </c>
      <c r="F1598" s="68"/>
      <c r="G1598" s="68">
        <v>99</v>
      </c>
      <c r="H15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99" spans="1:8" hidden="1" x14ac:dyDescent="0.3">
      <c r="A1599" t="s">
        <v>759</v>
      </c>
      <c r="B1599" t="s">
        <v>873</v>
      </c>
      <c r="C1599" t="s">
        <v>30</v>
      </c>
      <c r="D1599" s="68">
        <v>4</v>
      </c>
      <c r="E1599" s="68"/>
      <c r="F1599" s="68">
        <v>74</v>
      </c>
      <c r="G1599" s="68">
        <v>78</v>
      </c>
      <c r="H15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00" spans="1:8" hidden="1" x14ac:dyDescent="0.3">
      <c r="A1600" t="s">
        <v>759</v>
      </c>
      <c r="B1600" t="s">
        <v>874</v>
      </c>
      <c r="C1600" t="s">
        <v>26</v>
      </c>
      <c r="D1600" s="68">
        <v>1907</v>
      </c>
      <c r="E1600" s="68"/>
      <c r="F1600" s="68">
        <v>5887</v>
      </c>
      <c r="G1600" s="68">
        <v>7794</v>
      </c>
      <c r="H16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01" spans="1:8" hidden="1" x14ac:dyDescent="0.3">
      <c r="A1601" t="s">
        <v>759</v>
      </c>
      <c r="B1601" t="s">
        <v>874</v>
      </c>
      <c r="C1601" t="s">
        <v>5</v>
      </c>
      <c r="D1601" s="68">
        <v>357</v>
      </c>
      <c r="E1601" s="68"/>
      <c r="F1601" s="68">
        <v>2320</v>
      </c>
      <c r="G1601" s="68">
        <v>2677</v>
      </c>
      <c r="H16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02" spans="1:8" hidden="1" x14ac:dyDescent="0.3">
      <c r="A1602" t="s">
        <v>759</v>
      </c>
      <c r="B1602" t="s">
        <v>874</v>
      </c>
      <c r="C1602" t="s">
        <v>31</v>
      </c>
      <c r="D1602" s="68">
        <v>85</v>
      </c>
      <c r="E1602" s="68"/>
      <c r="F1602" s="68">
        <v>2438</v>
      </c>
      <c r="G1602" s="68">
        <v>2523</v>
      </c>
      <c r="H16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03" spans="1:8" hidden="1" x14ac:dyDescent="0.3">
      <c r="A1603" t="s">
        <v>759</v>
      </c>
      <c r="B1603" t="s">
        <v>874</v>
      </c>
      <c r="C1603" t="s">
        <v>27</v>
      </c>
      <c r="D1603" s="68"/>
      <c r="E1603" s="68">
        <v>72</v>
      </c>
      <c r="F1603" s="68"/>
      <c r="G1603" s="68">
        <v>72</v>
      </c>
      <c r="H16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04" spans="1:8" hidden="1" x14ac:dyDescent="0.3">
      <c r="A1604" t="s">
        <v>759</v>
      </c>
      <c r="B1604" t="s">
        <v>874</v>
      </c>
      <c r="C1604" t="s">
        <v>36</v>
      </c>
      <c r="D1604" s="68">
        <v>21</v>
      </c>
      <c r="E1604" s="68"/>
      <c r="F1604" s="68">
        <v>5</v>
      </c>
      <c r="G1604" s="68">
        <v>26</v>
      </c>
      <c r="H16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05" spans="1:8" hidden="1" x14ac:dyDescent="0.3">
      <c r="A1605" t="s">
        <v>759</v>
      </c>
      <c r="B1605" t="s">
        <v>874</v>
      </c>
      <c r="C1605" t="s">
        <v>30</v>
      </c>
      <c r="D1605" s="68">
        <v>2</v>
      </c>
      <c r="E1605" s="68"/>
      <c r="F1605" s="68">
        <v>10</v>
      </c>
      <c r="G1605" s="68">
        <v>12</v>
      </c>
      <c r="H16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06" spans="1:8" hidden="1" x14ac:dyDescent="0.3">
      <c r="A1606" t="s">
        <v>759</v>
      </c>
      <c r="B1606" t="s">
        <v>875</v>
      </c>
      <c r="C1606" t="s">
        <v>26</v>
      </c>
      <c r="D1606" s="68">
        <v>3663</v>
      </c>
      <c r="E1606" s="68"/>
      <c r="F1606" s="68">
        <v>6681</v>
      </c>
      <c r="G1606" s="68">
        <v>10344</v>
      </c>
      <c r="H16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07" spans="1:8" hidden="1" x14ac:dyDescent="0.3">
      <c r="A1607" t="s">
        <v>759</v>
      </c>
      <c r="B1607" t="s">
        <v>875</v>
      </c>
      <c r="C1607" t="s">
        <v>37</v>
      </c>
      <c r="D1607" s="68">
        <v>2059</v>
      </c>
      <c r="E1607" s="68"/>
      <c r="F1607" s="68">
        <v>2552</v>
      </c>
      <c r="G1607" s="68">
        <v>4611</v>
      </c>
      <c r="H16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08" spans="1:8" hidden="1" x14ac:dyDescent="0.3">
      <c r="A1608" t="s">
        <v>759</v>
      </c>
      <c r="B1608" t="s">
        <v>875</v>
      </c>
      <c r="C1608" t="s">
        <v>5</v>
      </c>
      <c r="D1608" s="68">
        <v>439</v>
      </c>
      <c r="E1608" s="68"/>
      <c r="F1608" s="68">
        <v>103</v>
      </c>
      <c r="G1608" s="68">
        <v>542</v>
      </c>
      <c r="H16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09" spans="1:8" hidden="1" x14ac:dyDescent="0.3">
      <c r="A1609" t="s">
        <v>759</v>
      </c>
      <c r="B1609" t="s">
        <v>875</v>
      </c>
      <c r="C1609" t="s">
        <v>27</v>
      </c>
      <c r="D1609" s="68"/>
      <c r="E1609" s="68">
        <v>206</v>
      </c>
      <c r="F1609" s="68"/>
      <c r="G1609" s="68">
        <v>206</v>
      </c>
      <c r="H16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10" spans="1:8" hidden="1" x14ac:dyDescent="0.3">
      <c r="A1610" t="s">
        <v>759</v>
      </c>
      <c r="B1610" t="s">
        <v>875</v>
      </c>
      <c r="C1610" t="s">
        <v>30</v>
      </c>
      <c r="D1610" s="68">
        <v>14</v>
      </c>
      <c r="E1610" s="68"/>
      <c r="F1610" s="68">
        <v>59</v>
      </c>
      <c r="G1610" s="68">
        <v>73</v>
      </c>
      <c r="H16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11" spans="1:8" hidden="1" x14ac:dyDescent="0.3">
      <c r="A1611" t="s">
        <v>759</v>
      </c>
      <c r="B1611" t="s">
        <v>876</v>
      </c>
      <c r="C1611" t="s">
        <v>26</v>
      </c>
      <c r="D1611" s="68">
        <v>113</v>
      </c>
      <c r="E1611" s="68"/>
      <c r="F1611" s="68">
        <v>1369</v>
      </c>
      <c r="G1611" s="68">
        <v>1482</v>
      </c>
      <c r="H16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12" spans="1:8" hidden="1" x14ac:dyDescent="0.3">
      <c r="A1612" t="s">
        <v>759</v>
      </c>
      <c r="B1612" t="s">
        <v>876</v>
      </c>
      <c r="C1612" t="s">
        <v>5</v>
      </c>
      <c r="D1612" s="68">
        <v>45</v>
      </c>
      <c r="E1612" s="68"/>
      <c r="F1612" s="68">
        <v>519</v>
      </c>
      <c r="G1612" s="68">
        <v>564</v>
      </c>
      <c r="H16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13" spans="1:8" hidden="1" x14ac:dyDescent="0.3">
      <c r="A1613" t="s">
        <v>759</v>
      </c>
      <c r="B1613" t="s">
        <v>876</v>
      </c>
      <c r="C1613" t="s">
        <v>27</v>
      </c>
      <c r="D1613" s="68"/>
      <c r="E1613" s="68">
        <v>17</v>
      </c>
      <c r="F1613" s="68"/>
      <c r="G1613" s="68">
        <v>17</v>
      </c>
      <c r="H16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14" spans="1:8" hidden="1" x14ac:dyDescent="0.3">
      <c r="A1614" t="s">
        <v>759</v>
      </c>
      <c r="B1614" t="s">
        <v>877</v>
      </c>
      <c r="C1614" t="s">
        <v>26</v>
      </c>
      <c r="D1614" s="68">
        <v>268</v>
      </c>
      <c r="E1614" s="68"/>
      <c r="F1614" s="68">
        <v>2508</v>
      </c>
      <c r="G1614" s="68">
        <v>2776</v>
      </c>
      <c r="H16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15" spans="1:8" hidden="1" x14ac:dyDescent="0.3">
      <c r="A1615" t="s">
        <v>759</v>
      </c>
      <c r="B1615" t="s">
        <v>877</v>
      </c>
      <c r="C1615" t="s">
        <v>31</v>
      </c>
      <c r="D1615" s="68">
        <v>75</v>
      </c>
      <c r="E1615" s="68"/>
      <c r="F1615" s="68">
        <v>1072</v>
      </c>
      <c r="G1615" s="68">
        <v>1147</v>
      </c>
      <c r="H16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16" spans="1:8" hidden="1" x14ac:dyDescent="0.3">
      <c r="A1616" t="s">
        <v>759</v>
      </c>
      <c r="B1616" t="s">
        <v>877</v>
      </c>
      <c r="C1616" t="s">
        <v>27</v>
      </c>
      <c r="D1616" s="68"/>
      <c r="E1616" s="68">
        <v>72</v>
      </c>
      <c r="F1616" s="68"/>
      <c r="G1616" s="68">
        <v>72</v>
      </c>
      <c r="H16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17" spans="1:8" hidden="1" x14ac:dyDescent="0.3">
      <c r="A1617" t="s">
        <v>759</v>
      </c>
      <c r="B1617" t="s">
        <v>877</v>
      </c>
      <c r="C1617" t="s">
        <v>30</v>
      </c>
      <c r="D1617" s="68">
        <v>1</v>
      </c>
      <c r="E1617" s="68"/>
      <c r="F1617" s="68">
        <v>2</v>
      </c>
      <c r="G1617" s="68">
        <v>3</v>
      </c>
      <c r="H16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18" spans="1:8" hidden="1" x14ac:dyDescent="0.3">
      <c r="A1618" t="s">
        <v>575</v>
      </c>
      <c r="B1618" t="s">
        <v>878</v>
      </c>
      <c r="C1618" t="s">
        <v>26</v>
      </c>
      <c r="D1618" s="68">
        <v>4505</v>
      </c>
      <c r="E1618" s="68"/>
      <c r="F1618" s="68">
        <v>4676</v>
      </c>
      <c r="G1618" s="68">
        <v>9181</v>
      </c>
      <c r="H16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19" spans="1:8" hidden="1" x14ac:dyDescent="0.3">
      <c r="A1619" t="s">
        <v>575</v>
      </c>
      <c r="B1619" t="s">
        <v>878</v>
      </c>
      <c r="C1619" t="s">
        <v>34</v>
      </c>
      <c r="D1619" s="68">
        <v>668</v>
      </c>
      <c r="E1619" s="68"/>
      <c r="F1619" s="68">
        <v>4669</v>
      </c>
      <c r="G1619" s="68">
        <v>5337</v>
      </c>
      <c r="H16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0" spans="1:8" hidden="1" x14ac:dyDescent="0.3">
      <c r="A1620" t="s">
        <v>575</v>
      </c>
      <c r="B1620" t="s">
        <v>878</v>
      </c>
      <c r="C1620" t="s">
        <v>36</v>
      </c>
      <c r="D1620" s="68">
        <v>630</v>
      </c>
      <c r="E1620" s="68"/>
      <c r="F1620" s="68">
        <v>4633</v>
      </c>
      <c r="G1620" s="68">
        <v>5263</v>
      </c>
      <c r="H16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1" spans="1:8" hidden="1" x14ac:dyDescent="0.3">
      <c r="A1621" t="s">
        <v>575</v>
      </c>
      <c r="B1621" t="s">
        <v>878</v>
      </c>
      <c r="C1621" t="s">
        <v>27</v>
      </c>
      <c r="D1621" s="68"/>
      <c r="E1621" s="68">
        <v>653</v>
      </c>
      <c r="F1621" s="68"/>
      <c r="G1621" s="68">
        <v>653</v>
      </c>
      <c r="H16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2" spans="1:8" hidden="1" x14ac:dyDescent="0.3">
      <c r="A1622" t="s">
        <v>575</v>
      </c>
      <c r="B1622" t="s">
        <v>878</v>
      </c>
      <c r="C1622" t="s">
        <v>5</v>
      </c>
      <c r="D1622" s="68">
        <v>1</v>
      </c>
      <c r="E1622" s="68"/>
      <c r="F1622" s="68"/>
      <c r="G1622" s="68">
        <v>1</v>
      </c>
      <c r="H16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23" spans="1:8" hidden="1" x14ac:dyDescent="0.3">
      <c r="A1623" t="s">
        <v>575</v>
      </c>
      <c r="B1623" t="s">
        <v>879</v>
      </c>
      <c r="C1623" t="s">
        <v>26</v>
      </c>
      <c r="D1623" s="68">
        <v>5297</v>
      </c>
      <c r="E1623" s="68"/>
      <c r="F1623" s="68">
        <v>7458</v>
      </c>
      <c r="G1623" s="68">
        <v>12755</v>
      </c>
      <c r="H16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24" spans="1:8" hidden="1" x14ac:dyDescent="0.3">
      <c r="A1624" t="s">
        <v>575</v>
      </c>
      <c r="B1624" t="s">
        <v>879</v>
      </c>
      <c r="C1624" t="s">
        <v>34</v>
      </c>
      <c r="D1624" s="68">
        <v>1436</v>
      </c>
      <c r="E1624" s="68"/>
      <c r="F1624" s="68">
        <v>7821</v>
      </c>
      <c r="G1624" s="68">
        <v>9257</v>
      </c>
      <c r="H16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5" spans="1:8" hidden="1" x14ac:dyDescent="0.3">
      <c r="A1625" t="s">
        <v>575</v>
      </c>
      <c r="B1625" t="s">
        <v>879</v>
      </c>
      <c r="C1625" t="s">
        <v>36</v>
      </c>
      <c r="D1625" s="68">
        <v>1054</v>
      </c>
      <c r="E1625" s="68"/>
      <c r="F1625" s="68">
        <v>8169</v>
      </c>
      <c r="G1625" s="68">
        <v>9223</v>
      </c>
      <c r="H16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6" spans="1:8" hidden="1" x14ac:dyDescent="0.3">
      <c r="A1626" t="s">
        <v>575</v>
      </c>
      <c r="B1626" t="s">
        <v>879</v>
      </c>
      <c r="C1626" t="s">
        <v>27</v>
      </c>
      <c r="D1626" s="68"/>
      <c r="E1626" s="68">
        <v>834</v>
      </c>
      <c r="F1626" s="68"/>
      <c r="G1626" s="68">
        <v>834</v>
      </c>
      <c r="H16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7" spans="1:8" hidden="1" x14ac:dyDescent="0.3">
      <c r="A1627" t="s">
        <v>575</v>
      </c>
      <c r="B1627" t="s">
        <v>880</v>
      </c>
      <c r="C1627" t="s">
        <v>26</v>
      </c>
      <c r="D1627" s="68">
        <v>2241</v>
      </c>
      <c r="E1627" s="68"/>
      <c r="F1627" s="68">
        <v>3065</v>
      </c>
      <c r="G1627" s="68">
        <v>5306</v>
      </c>
      <c r="H16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28" spans="1:8" hidden="1" x14ac:dyDescent="0.3">
      <c r="A1628" t="s">
        <v>575</v>
      </c>
      <c r="B1628" t="s">
        <v>880</v>
      </c>
      <c r="C1628" t="s">
        <v>36</v>
      </c>
      <c r="D1628" s="68">
        <v>565</v>
      </c>
      <c r="E1628" s="68"/>
      <c r="F1628" s="68">
        <v>2987</v>
      </c>
      <c r="G1628" s="68">
        <v>3552</v>
      </c>
      <c r="H16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9" spans="1:8" hidden="1" x14ac:dyDescent="0.3">
      <c r="A1629" t="s">
        <v>575</v>
      </c>
      <c r="B1629" t="s">
        <v>880</v>
      </c>
      <c r="C1629" t="s">
        <v>34</v>
      </c>
      <c r="D1629" s="68">
        <v>319</v>
      </c>
      <c r="E1629" s="68"/>
      <c r="F1629" s="68">
        <v>2850</v>
      </c>
      <c r="G1629" s="68">
        <v>3169</v>
      </c>
      <c r="H16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30" spans="1:8" hidden="1" x14ac:dyDescent="0.3">
      <c r="A1630" t="s">
        <v>575</v>
      </c>
      <c r="B1630" t="s">
        <v>880</v>
      </c>
      <c r="C1630" t="s">
        <v>27</v>
      </c>
      <c r="D1630" s="68"/>
      <c r="E1630" s="68">
        <v>378</v>
      </c>
      <c r="F1630" s="68"/>
      <c r="G1630" s="68">
        <v>378</v>
      </c>
      <c r="H16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31" spans="1:8" hidden="1" x14ac:dyDescent="0.3">
      <c r="A1631" t="s">
        <v>575</v>
      </c>
      <c r="B1631" t="s">
        <v>880</v>
      </c>
      <c r="C1631" t="s">
        <v>30</v>
      </c>
      <c r="D1631" s="68"/>
      <c r="E1631" s="68"/>
      <c r="F1631" s="68">
        <v>1</v>
      </c>
      <c r="G1631" s="68">
        <v>1</v>
      </c>
      <c r="H16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32" spans="1:8" hidden="1" x14ac:dyDescent="0.3">
      <c r="A1632" t="s">
        <v>575</v>
      </c>
      <c r="B1632" t="s">
        <v>881</v>
      </c>
      <c r="C1632" t="s">
        <v>26</v>
      </c>
      <c r="D1632" s="68">
        <v>1545</v>
      </c>
      <c r="E1632" s="68"/>
      <c r="F1632" s="68">
        <v>3471</v>
      </c>
      <c r="G1632" s="68">
        <v>5016</v>
      </c>
      <c r="H16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33" spans="1:8" hidden="1" x14ac:dyDescent="0.3">
      <c r="A1633" t="s">
        <v>575</v>
      </c>
      <c r="B1633" t="s">
        <v>881</v>
      </c>
      <c r="C1633" t="s">
        <v>36</v>
      </c>
      <c r="D1633" s="68">
        <v>426</v>
      </c>
      <c r="E1633" s="68"/>
      <c r="F1633" s="68">
        <v>2519</v>
      </c>
      <c r="G1633" s="68">
        <v>2945</v>
      </c>
      <c r="H16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34" spans="1:8" hidden="1" x14ac:dyDescent="0.3">
      <c r="A1634" t="s">
        <v>575</v>
      </c>
      <c r="B1634" t="s">
        <v>881</v>
      </c>
      <c r="C1634" t="s">
        <v>25</v>
      </c>
      <c r="D1634" s="68">
        <v>60</v>
      </c>
      <c r="E1634" s="68"/>
      <c r="F1634" s="68">
        <v>877</v>
      </c>
      <c r="G1634" s="68">
        <v>937</v>
      </c>
      <c r="H16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35" spans="1:8" hidden="1" x14ac:dyDescent="0.3">
      <c r="A1635" t="s">
        <v>575</v>
      </c>
      <c r="B1635" t="s">
        <v>881</v>
      </c>
      <c r="C1635" t="s">
        <v>27</v>
      </c>
      <c r="D1635" s="68"/>
      <c r="E1635" s="68">
        <v>173</v>
      </c>
      <c r="F1635" s="68"/>
      <c r="G1635" s="68">
        <v>173</v>
      </c>
      <c r="H16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36" spans="1:8" hidden="1" x14ac:dyDescent="0.3">
      <c r="A1636" t="s">
        <v>575</v>
      </c>
      <c r="B1636" t="s">
        <v>881</v>
      </c>
      <c r="C1636" t="s">
        <v>33</v>
      </c>
      <c r="D1636" s="68">
        <v>1</v>
      </c>
      <c r="E1636" s="68"/>
      <c r="F1636" s="68"/>
      <c r="G1636" s="68">
        <v>1</v>
      </c>
      <c r="H16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37" spans="1:8" hidden="1" x14ac:dyDescent="0.3">
      <c r="A1637" t="s">
        <v>575</v>
      </c>
      <c r="B1637" t="s">
        <v>882</v>
      </c>
      <c r="C1637" t="s">
        <v>36</v>
      </c>
      <c r="D1637" s="68">
        <v>15491</v>
      </c>
      <c r="E1637" s="68"/>
      <c r="F1637" s="68">
        <v>13013</v>
      </c>
      <c r="G1637" s="68">
        <v>28504</v>
      </c>
      <c r="H16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38" spans="1:8" hidden="1" x14ac:dyDescent="0.3">
      <c r="A1638" t="s">
        <v>575</v>
      </c>
      <c r="B1638" t="s">
        <v>882</v>
      </c>
      <c r="C1638" t="s">
        <v>26</v>
      </c>
      <c r="D1638" s="68">
        <v>11235</v>
      </c>
      <c r="E1638" s="68"/>
      <c r="F1638" s="68">
        <v>15772</v>
      </c>
      <c r="G1638" s="68">
        <v>27007</v>
      </c>
      <c r="H16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39" spans="1:8" hidden="1" x14ac:dyDescent="0.3">
      <c r="A1639" t="s">
        <v>575</v>
      </c>
      <c r="B1639" t="s">
        <v>882</v>
      </c>
      <c r="C1639" t="s">
        <v>27</v>
      </c>
      <c r="D1639" s="68"/>
      <c r="E1639" s="68">
        <v>856</v>
      </c>
      <c r="F1639" s="68"/>
      <c r="G1639" s="68">
        <v>856</v>
      </c>
      <c r="H16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40" spans="1:8" hidden="1" x14ac:dyDescent="0.3">
      <c r="A1640" t="s">
        <v>575</v>
      </c>
      <c r="B1640" t="s">
        <v>882</v>
      </c>
      <c r="C1640" t="s">
        <v>5</v>
      </c>
      <c r="D1640" s="68">
        <v>6</v>
      </c>
      <c r="E1640" s="68"/>
      <c r="F1640" s="68"/>
      <c r="G1640" s="68">
        <v>6</v>
      </c>
      <c r="H16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41" spans="1:8" hidden="1" x14ac:dyDescent="0.3">
      <c r="A1641" t="s">
        <v>575</v>
      </c>
      <c r="B1641" t="s">
        <v>882</v>
      </c>
      <c r="C1641" t="s">
        <v>34</v>
      </c>
      <c r="D1641" s="68">
        <v>1</v>
      </c>
      <c r="E1641" s="68"/>
      <c r="F1641" s="68"/>
      <c r="G1641" s="68">
        <v>1</v>
      </c>
      <c r="H16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42" spans="1:8" hidden="1" x14ac:dyDescent="0.3">
      <c r="A1642" t="s">
        <v>575</v>
      </c>
      <c r="B1642" t="s">
        <v>883</v>
      </c>
      <c r="C1642" t="s">
        <v>26</v>
      </c>
      <c r="D1642" s="68">
        <v>1406</v>
      </c>
      <c r="E1642" s="68"/>
      <c r="F1642" s="68">
        <v>5305</v>
      </c>
      <c r="G1642" s="68">
        <v>6711</v>
      </c>
      <c r="H16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43" spans="1:8" hidden="1" x14ac:dyDescent="0.3">
      <c r="A1643" t="s">
        <v>575</v>
      </c>
      <c r="B1643" t="s">
        <v>883</v>
      </c>
      <c r="C1643" t="s">
        <v>31</v>
      </c>
      <c r="D1643" s="68">
        <v>50</v>
      </c>
      <c r="E1643" s="68"/>
      <c r="F1643" s="68">
        <v>655</v>
      </c>
      <c r="G1643" s="68">
        <v>705</v>
      </c>
      <c r="H16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44" spans="1:8" hidden="1" x14ac:dyDescent="0.3">
      <c r="A1644" t="s">
        <v>575</v>
      </c>
      <c r="B1644" t="s">
        <v>883</v>
      </c>
      <c r="C1644" t="s">
        <v>27</v>
      </c>
      <c r="D1644" s="68"/>
      <c r="E1644" s="68">
        <v>173</v>
      </c>
      <c r="F1644" s="68"/>
      <c r="G1644" s="68">
        <v>173</v>
      </c>
      <c r="H16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45" spans="1:8" hidden="1" x14ac:dyDescent="0.3">
      <c r="A1645" t="s">
        <v>575</v>
      </c>
      <c r="B1645" t="s">
        <v>883</v>
      </c>
      <c r="C1645" t="s">
        <v>36</v>
      </c>
      <c r="D1645" s="68">
        <v>69</v>
      </c>
      <c r="E1645" s="68"/>
      <c r="F1645" s="68">
        <v>92</v>
      </c>
      <c r="G1645" s="68">
        <v>161</v>
      </c>
      <c r="H16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46" spans="1:8" hidden="1" x14ac:dyDescent="0.3">
      <c r="A1646" t="s">
        <v>575</v>
      </c>
      <c r="B1646" t="s">
        <v>884</v>
      </c>
      <c r="C1646" t="s">
        <v>26</v>
      </c>
      <c r="D1646" s="68">
        <v>21192</v>
      </c>
      <c r="E1646" s="68"/>
      <c r="F1646" s="68">
        <v>26194</v>
      </c>
      <c r="G1646" s="68">
        <v>47386</v>
      </c>
      <c r="H16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47" spans="1:8" hidden="1" x14ac:dyDescent="0.3">
      <c r="A1647" t="s">
        <v>575</v>
      </c>
      <c r="B1647" t="s">
        <v>884</v>
      </c>
      <c r="C1647" t="s">
        <v>37</v>
      </c>
      <c r="D1647" s="68">
        <v>4942</v>
      </c>
      <c r="E1647" s="68"/>
      <c r="F1647" s="68">
        <v>10239</v>
      </c>
      <c r="G1647" s="68">
        <v>15181</v>
      </c>
      <c r="H16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48" spans="1:8" hidden="1" x14ac:dyDescent="0.3">
      <c r="A1648" t="s">
        <v>575</v>
      </c>
      <c r="B1648" t="s">
        <v>884</v>
      </c>
      <c r="C1648" t="s">
        <v>36</v>
      </c>
      <c r="D1648" s="68">
        <v>1441</v>
      </c>
      <c r="E1648" s="68"/>
      <c r="F1648" s="68">
        <v>3899</v>
      </c>
      <c r="G1648" s="68">
        <v>5340</v>
      </c>
      <c r="H16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49" spans="1:8" hidden="1" x14ac:dyDescent="0.3">
      <c r="A1649" t="s">
        <v>575</v>
      </c>
      <c r="B1649" t="s">
        <v>884</v>
      </c>
      <c r="C1649" t="s">
        <v>27</v>
      </c>
      <c r="D1649" s="68"/>
      <c r="E1649" s="68">
        <v>1464</v>
      </c>
      <c r="F1649" s="68"/>
      <c r="G1649" s="68">
        <v>1464</v>
      </c>
      <c r="H16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0" spans="1:8" hidden="1" x14ac:dyDescent="0.3">
      <c r="A1650" t="s">
        <v>575</v>
      </c>
      <c r="B1650" t="s">
        <v>884</v>
      </c>
      <c r="C1650" t="s">
        <v>35</v>
      </c>
      <c r="D1650" s="68">
        <v>383</v>
      </c>
      <c r="E1650" s="68"/>
      <c r="F1650" s="68"/>
      <c r="G1650" s="68">
        <v>383</v>
      </c>
      <c r="H16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1" spans="1:8" hidden="1" x14ac:dyDescent="0.3">
      <c r="A1651" t="s">
        <v>575</v>
      </c>
      <c r="B1651" t="s">
        <v>884</v>
      </c>
      <c r="C1651" t="s">
        <v>5</v>
      </c>
      <c r="D1651" s="68">
        <v>16</v>
      </c>
      <c r="E1651" s="68"/>
      <c r="F1651" s="68"/>
      <c r="G1651" s="68">
        <v>16</v>
      </c>
      <c r="H16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52" spans="1:8" hidden="1" x14ac:dyDescent="0.3">
      <c r="A1652" t="s">
        <v>575</v>
      </c>
      <c r="B1652" t="s">
        <v>884</v>
      </c>
      <c r="C1652" t="s">
        <v>34</v>
      </c>
      <c r="D1652" s="68">
        <v>2</v>
      </c>
      <c r="E1652" s="68"/>
      <c r="F1652" s="68"/>
      <c r="G1652" s="68">
        <v>2</v>
      </c>
      <c r="H16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3" spans="1:8" hidden="1" x14ac:dyDescent="0.3">
      <c r="A1653" t="s">
        <v>575</v>
      </c>
      <c r="B1653" t="s">
        <v>885</v>
      </c>
      <c r="C1653" t="s">
        <v>36</v>
      </c>
      <c r="D1653" s="68">
        <v>356</v>
      </c>
      <c r="E1653" s="68"/>
      <c r="F1653" s="68">
        <v>2567</v>
      </c>
      <c r="G1653" s="68">
        <v>2923</v>
      </c>
      <c r="H16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4" spans="1:8" hidden="1" x14ac:dyDescent="0.3">
      <c r="A1654" t="s">
        <v>575</v>
      </c>
      <c r="B1654" t="s">
        <v>885</v>
      </c>
      <c r="C1654" t="s">
        <v>26</v>
      </c>
      <c r="D1654" s="68">
        <v>639</v>
      </c>
      <c r="E1654" s="68"/>
      <c r="F1654" s="68">
        <v>866</v>
      </c>
      <c r="G1654" s="68">
        <v>1505</v>
      </c>
      <c r="H16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55" spans="1:8" hidden="1" x14ac:dyDescent="0.3">
      <c r="A1655" t="s">
        <v>575</v>
      </c>
      <c r="B1655" t="s">
        <v>885</v>
      </c>
      <c r="C1655" t="s">
        <v>27</v>
      </c>
      <c r="D1655" s="68"/>
      <c r="E1655" s="68">
        <v>123</v>
      </c>
      <c r="F1655" s="68"/>
      <c r="G1655" s="68">
        <v>123</v>
      </c>
      <c r="H16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6" spans="1:8" hidden="1" x14ac:dyDescent="0.3">
      <c r="A1656" t="s">
        <v>575</v>
      </c>
      <c r="B1656" t="s">
        <v>886</v>
      </c>
      <c r="C1656" t="s">
        <v>34</v>
      </c>
      <c r="D1656" s="68">
        <v>123128</v>
      </c>
      <c r="E1656" s="68"/>
      <c r="F1656" s="68">
        <v>22128</v>
      </c>
      <c r="G1656" s="68">
        <v>145256</v>
      </c>
      <c r="H16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7" spans="1:8" hidden="1" x14ac:dyDescent="0.3">
      <c r="A1657" t="s">
        <v>575</v>
      </c>
      <c r="B1657" t="s">
        <v>886</v>
      </c>
      <c r="C1657" t="s">
        <v>36</v>
      </c>
      <c r="D1657" s="68">
        <v>89721</v>
      </c>
      <c r="E1657" s="68"/>
      <c r="F1657" s="68">
        <v>31560</v>
      </c>
      <c r="G1657" s="68">
        <v>121281</v>
      </c>
      <c r="H16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8" spans="1:8" hidden="1" x14ac:dyDescent="0.3">
      <c r="A1658" t="s">
        <v>575</v>
      </c>
      <c r="B1658" t="s">
        <v>886</v>
      </c>
      <c r="C1658" t="s">
        <v>26</v>
      </c>
      <c r="D1658" s="68">
        <v>67897</v>
      </c>
      <c r="E1658" s="68"/>
      <c r="F1658" s="68">
        <v>39044</v>
      </c>
      <c r="G1658" s="68">
        <v>106941</v>
      </c>
      <c r="H16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59" spans="1:8" hidden="1" x14ac:dyDescent="0.3">
      <c r="A1659" t="s">
        <v>575</v>
      </c>
      <c r="B1659" t="s">
        <v>886</v>
      </c>
      <c r="C1659" t="s">
        <v>5</v>
      </c>
      <c r="D1659" s="68">
        <v>47341</v>
      </c>
      <c r="E1659" s="68"/>
      <c r="F1659" s="68">
        <v>11194</v>
      </c>
      <c r="G1659" s="68">
        <v>58535</v>
      </c>
      <c r="H16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60" spans="1:8" hidden="1" x14ac:dyDescent="0.3">
      <c r="A1660" t="s">
        <v>575</v>
      </c>
      <c r="B1660" t="s">
        <v>886</v>
      </c>
      <c r="C1660" t="s">
        <v>27</v>
      </c>
      <c r="D1660" s="68"/>
      <c r="E1660" s="68">
        <v>11549</v>
      </c>
      <c r="F1660" s="68"/>
      <c r="G1660" s="68">
        <v>11549</v>
      </c>
      <c r="H16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61" spans="1:8" hidden="1" x14ac:dyDescent="0.3">
      <c r="A1661" t="s">
        <v>575</v>
      </c>
      <c r="B1661" t="s">
        <v>886</v>
      </c>
      <c r="C1661" t="s">
        <v>37</v>
      </c>
      <c r="D1661" s="68">
        <v>1487</v>
      </c>
      <c r="E1661" s="68"/>
      <c r="F1661" s="68">
        <v>3843</v>
      </c>
      <c r="G1661" s="68">
        <v>5330</v>
      </c>
      <c r="H16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62" spans="1:8" hidden="1" x14ac:dyDescent="0.3">
      <c r="A1662" t="s">
        <v>575</v>
      </c>
      <c r="B1662" t="s">
        <v>886</v>
      </c>
      <c r="C1662" t="s">
        <v>35</v>
      </c>
      <c r="D1662" s="68">
        <v>75</v>
      </c>
      <c r="E1662" s="68"/>
      <c r="F1662" s="68"/>
      <c r="G1662" s="68">
        <v>75</v>
      </c>
      <c r="H16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63" spans="1:8" hidden="1" x14ac:dyDescent="0.3">
      <c r="A1663" t="s">
        <v>575</v>
      </c>
      <c r="B1663" t="s">
        <v>886</v>
      </c>
      <c r="C1663" t="s">
        <v>31</v>
      </c>
      <c r="D1663" s="68">
        <v>4</v>
      </c>
      <c r="E1663" s="68"/>
      <c r="F1663" s="68"/>
      <c r="G1663" s="68">
        <v>4</v>
      </c>
      <c r="H16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64" spans="1:8" hidden="1" x14ac:dyDescent="0.3">
      <c r="A1664" t="s">
        <v>575</v>
      </c>
      <c r="B1664" t="s">
        <v>886</v>
      </c>
      <c r="C1664" t="s">
        <v>553</v>
      </c>
      <c r="D1664" s="68">
        <v>2</v>
      </c>
      <c r="E1664" s="68"/>
      <c r="F1664" s="68"/>
      <c r="G1664" s="68">
        <v>2</v>
      </c>
      <c r="H16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65" spans="1:8" hidden="1" x14ac:dyDescent="0.3">
      <c r="A1665" t="s">
        <v>575</v>
      </c>
      <c r="B1665" t="s">
        <v>886</v>
      </c>
      <c r="C1665" t="s">
        <v>33</v>
      </c>
      <c r="D1665" s="68">
        <v>2</v>
      </c>
      <c r="E1665" s="68"/>
      <c r="F1665" s="68"/>
      <c r="G1665" s="68">
        <v>2</v>
      </c>
      <c r="H16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66" spans="1:8" hidden="1" x14ac:dyDescent="0.3">
      <c r="A1666" t="s">
        <v>575</v>
      </c>
      <c r="B1666" t="s">
        <v>887</v>
      </c>
      <c r="C1666" t="s">
        <v>26</v>
      </c>
      <c r="D1666" s="68">
        <v>2147</v>
      </c>
      <c r="E1666" s="68"/>
      <c r="F1666" s="68">
        <v>6251</v>
      </c>
      <c r="G1666" s="68">
        <v>8398</v>
      </c>
      <c r="H16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67" spans="1:8" hidden="1" x14ac:dyDescent="0.3">
      <c r="A1667" t="s">
        <v>575</v>
      </c>
      <c r="B1667" t="s">
        <v>887</v>
      </c>
      <c r="C1667" t="s">
        <v>36</v>
      </c>
      <c r="D1667" s="68">
        <v>626</v>
      </c>
      <c r="E1667" s="68"/>
      <c r="F1667" s="68">
        <v>6059</v>
      </c>
      <c r="G1667" s="68">
        <v>6685</v>
      </c>
      <c r="H16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68" spans="1:8" hidden="1" x14ac:dyDescent="0.3">
      <c r="A1668" t="s">
        <v>575</v>
      </c>
      <c r="B1668" t="s">
        <v>887</v>
      </c>
      <c r="C1668" t="s">
        <v>27</v>
      </c>
      <c r="D1668" s="68"/>
      <c r="E1668" s="68">
        <v>410</v>
      </c>
      <c r="F1668" s="68"/>
      <c r="G1668" s="68">
        <v>410</v>
      </c>
      <c r="H16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69" spans="1:8" hidden="1" x14ac:dyDescent="0.3">
      <c r="A1669" t="s">
        <v>575</v>
      </c>
      <c r="B1669" t="s">
        <v>887</v>
      </c>
      <c r="C1669" t="s">
        <v>5</v>
      </c>
      <c r="D1669" s="68">
        <v>2</v>
      </c>
      <c r="E1669" s="68"/>
      <c r="F1669" s="68"/>
      <c r="G1669" s="68">
        <v>2</v>
      </c>
      <c r="H16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70" spans="1:8" hidden="1" x14ac:dyDescent="0.3">
      <c r="A1670" t="s">
        <v>575</v>
      </c>
      <c r="B1670" t="s">
        <v>888</v>
      </c>
      <c r="C1670" t="s">
        <v>26</v>
      </c>
      <c r="D1670" s="68">
        <v>2997</v>
      </c>
      <c r="E1670" s="68"/>
      <c r="F1670" s="68">
        <v>2784</v>
      </c>
      <c r="G1670" s="68">
        <v>5781</v>
      </c>
      <c r="H16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71" spans="1:8" hidden="1" x14ac:dyDescent="0.3">
      <c r="A1671" t="s">
        <v>575</v>
      </c>
      <c r="B1671" t="s">
        <v>888</v>
      </c>
      <c r="C1671" t="s">
        <v>36</v>
      </c>
      <c r="D1671" s="68">
        <v>604</v>
      </c>
      <c r="E1671" s="68"/>
      <c r="F1671" s="68">
        <v>2345</v>
      </c>
      <c r="G1671" s="68">
        <v>2949</v>
      </c>
      <c r="H16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72" spans="1:8" hidden="1" x14ac:dyDescent="0.3">
      <c r="A1672" t="s">
        <v>575</v>
      </c>
      <c r="B1672" t="s">
        <v>888</v>
      </c>
      <c r="C1672" t="s">
        <v>25</v>
      </c>
      <c r="D1672" s="68">
        <v>120</v>
      </c>
      <c r="E1672" s="68"/>
      <c r="F1672" s="68">
        <v>706</v>
      </c>
      <c r="G1672" s="68">
        <v>826</v>
      </c>
      <c r="H16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73" spans="1:8" hidden="1" x14ac:dyDescent="0.3">
      <c r="A1673" t="s">
        <v>575</v>
      </c>
      <c r="B1673" t="s">
        <v>888</v>
      </c>
      <c r="C1673" t="s">
        <v>27</v>
      </c>
      <c r="D1673" s="68"/>
      <c r="E1673" s="68">
        <v>166</v>
      </c>
      <c r="F1673" s="68"/>
      <c r="G1673" s="68">
        <v>166</v>
      </c>
      <c r="H16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74" spans="1:8" hidden="1" x14ac:dyDescent="0.3">
      <c r="A1674" t="s">
        <v>575</v>
      </c>
      <c r="B1674" t="s">
        <v>889</v>
      </c>
      <c r="C1674" t="s">
        <v>26</v>
      </c>
      <c r="D1674" s="68">
        <v>1438</v>
      </c>
      <c r="E1674" s="68"/>
      <c r="F1674" s="68">
        <v>5632</v>
      </c>
      <c r="G1674" s="68">
        <v>7070</v>
      </c>
      <c r="H16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75" spans="1:8" hidden="1" x14ac:dyDescent="0.3">
      <c r="A1675" t="s">
        <v>575</v>
      </c>
      <c r="B1675" t="s">
        <v>889</v>
      </c>
      <c r="C1675" t="s">
        <v>36</v>
      </c>
      <c r="D1675" s="68">
        <v>203</v>
      </c>
      <c r="E1675" s="68"/>
      <c r="F1675" s="68">
        <v>2486</v>
      </c>
      <c r="G1675" s="68">
        <v>2689</v>
      </c>
      <c r="H16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76" spans="1:8" hidden="1" x14ac:dyDescent="0.3">
      <c r="A1676" t="s">
        <v>575</v>
      </c>
      <c r="B1676" t="s">
        <v>889</v>
      </c>
      <c r="C1676" t="s">
        <v>5</v>
      </c>
      <c r="D1676" s="68">
        <v>109</v>
      </c>
      <c r="E1676" s="68"/>
      <c r="F1676" s="68">
        <v>2306</v>
      </c>
      <c r="G1676" s="68">
        <v>2415</v>
      </c>
      <c r="H16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77" spans="1:8" hidden="1" x14ac:dyDescent="0.3">
      <c r="A1677" t="s">
        <v>575</v>
      </c>
      <c r="B1677" t="s">
        <v>889</v>
      </c>
      <c r="C1677" t="s">
        <v>27</v>
      </c>
      <c r="D1677" s="68"/>
      <c r="E1677" s="68">
        <v>531</v>
      </c>
      <c r="F1677" s="68"/>
      <c r="G1677" s="68">
        <v>531</v>
      </c>
      <c r="H16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78" spans="1:8" hidden="1" x14ac:dyDescent="0.3">
      <c r="A1678" t="s">
        <v>575</v>
      </c>
      <c r="B1678" t="s">
        <v>890</v>
      </c>
      <c r="C1678" t="s">
        <v>36</v>
      </c>
      <c r="D1678" s="68">
        <v>93</v>
      </c>
      <c r="E1678" s="68"/>
      <c r="F1678" s="68">
        <v>1062</v>
      </c>
      <c r="G1678" s="68">
        <v>1155</v>
      </c>
      <c r="H16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79" spans="1:8" hidden="1" x14ac:dyDescent="0.3">
      <c r="A1679" t="s">
        <v>575</v>
      </c>
      <c r="B1679" t="s">
        <v>890</v>
      </c>
      <c r="C1679" t="s">
        <v>26</v>
      </c>
      <c r="D1679" s="68">
        <v>321</v>
      </c>
      <c r="E1679" s="68"/>
      <c r="F1679" s="68">
        <v>247</v>
      </c>
      <c r="G1679" s="68">
        <v>568</v>
      </c>
      <c r="H16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80" spans="1:8" hidden="1" x14ac:dyDescent="0.3">
      <c r="A1680" t="s">
        <v>575</v>
      </c>
      <c r="B1680" t="s">
        <v>890</v>
      </c>
      <c r="C1680" t="s">
        <v>27</v>
      </c>
      <c r="D1680" s="68"/>
      <c r="E1680" s="68">
        <v>60</v>
      </c>
      <c r="F1680" s="68"/>
      <c r="G1680" s="68">
        <v>60</v>
      </c>
      <c r="H16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81" spans="1:8" hidden="1" x14ac:dyDescent="0.3">
      <c r="A1681" t="s">
        <v>575</v>
      </c>
      <c r="B1681" t="s">
        <v>891</v>
      </c>
      <c r="C1681" t="s">
        <v>26</v>
      </c>
      <c r="D1681" s="68">
        <v>4939</v>
      </c>
      <c r="E1681" s="68"/>
      <c r="F1681" s="68">
        <v>8871</v>
      </c>
      <c r="G1681" s="68">
        <v>13810</v>
      </c>
      <c r="H16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82" spans="1:8" hidden="1" x14ac:dyDescent="0.3">
      <c r="A1682" t="s">
        <v>575</v>
      </c>
      <c r="B1682" t="s">
        <v>891</v>
      </c>
      <c r="C1682" t="s">
        <v>36</v>
      </c>
      <c r="D1682" s="68">
        <v>714</v>
      </c>
      <c r="E1682" s="68"/>
      <c r="F1682" s="68">
        <v>2137</v>
      </c>
      <c r="G1682" s="68">
        <v>2851</v>
      </c>
      <c r="H16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83" spans="1:8" hidden="1" x14ac:dyDescent="0.3">
      <c r="A1683" t="s">
        <v>575</v>
      </c>
      <c r="B1683" t="s">
        <v>891</v>
      </c>
      <c r="C1683" t="s">
        <v>27</v>
      </c>
      <c r="D1683" s="68"/>
      <c r="E1683" s="68">
        <v>342</v>
      </c>
      <c r="F1683" s="68"/>
      <c r="G1683" s="68">
        <v>342</v>
      </c>
      <c r="H16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84" spans="1:8" hidden="1" x14ac:dyDescent="0.3">
      <c r="A1684" t="s">
        <v>575</v>
      </c>
      <c r="B1684" t="s">
        <v>891</v>
      </c>
      <c r="C1684" t="s">
        <v>33</v>
      </c>
      <c r="D1684" s="68"/>
      <c r="E1684" s="68"/>
      <c r="F1684" s="68">
        <v>1</v>
      </c>
      <c r="G1684" s="68">
        <v>1</v>
      </c>
      <c r="H16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85" spans="1:8" hidden="1" x14ac:dyDescent="0.3">
      <c r="A1685" t="s">
        <v>575</v>
      </c>
      <c r="B1685" t="s">
        <v>892</v>
      </c>
      <c r="C1685" t="s">
        <v>36</v>
      </c>
      <c r="D1685" s="68">
        <v>381</v>
      </c>
      <c r="E1685" s="68"/>
      <c r="F1685" s="68">
        <v>3529</v>
      </c>
      <c r="G1685" s="68">
        <v>3910</v>
      </c>
      <c r="H16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86" spans="1:8" hidden="1" x14ac:dyDescent="0.3">
      <c r="A1686" t="s">
        <v>575</v>
      </c>
      <c r="B1686" t="s">
        <v>892</v>
      </c>
      <c r="C1686" t="s">
        <v>26</v>
      </c>
      <c r="D1686" s="68">
        <v>969</v>
      </c>
      <c r="E1686" s="68"/>
      <c r="F1686" s="68">
        <v>1071</v>
      </c>
      <c r="G1686" s="68">
        <v>2040</v>
      </c>
      <c r="H16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87" spans="1:8" hidden="1" x14ac:dyDescent="0.3">
      <c r="A1687" t="s">
        <v>575</v>
      </c>
      <c r="B1687" t="s">
        <v>892</v>
      </c>
      <c r="C1687" t="s">
        <v>27</v>
      </c>
      <c r="D1687" s="68"/>
      <c r="E1687" s="68">
        <v>140</v>
      </c>
      <c r="F1687" s="68"/>
      <c r="G1687" s="68">
        <v>140</v>
      </c>
      <c r="H16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88" spans="1:8" hidden="1" x14ac:dyDescent="0.3">
      <c r="A1688" t="s">
        <v>575</v>
      </c>
      <c r="B1688" t="s">
        <v>893</v>
      </c>
      <c r="C1688" t="s">
        <v>36</v>
      </c>
      <c r="D1688" s="68">
        <v>851</v>
      </c>
      <c r="E1688" s="68"/>
      <c r="F1688" s="68">
        <v>5044</v>
      </c>
      <c r="G1688" s="68">
        <v>5895</v>
      </c>
      <c r="H16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89" spans="1:8" hidden="1" x14ac:dyDescent="0.3">
      <c r="A1689" t="s">
        <v>575</v>
      </c>
      <c r="B1689" t="s">
        <v>893</v>
      </c>
      <c r="C1689" t="s">
        <v>26</v>
      </c>
      <c r="D1689" s="68">
        <v>2257</v>
      </c>
      <c r="E1689" s="68"/>
      <c r="F1689" s="68">
        <v>3138</v>
      </c>
      <c r="G1689" s="68">
        <v>5395</v>
      </c>
      <c r="H16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90" spans="1:8" hidden="1" x14ac:dyDescent="0.3">
      <c r="A1690" t="s">
        <v>575</v>
      </c>
      <c r="B1690" t="s">
        <v>893</v>
      </c>
      <c r="C1690" t="s">
        <v>34</v>
      </c>
      <c r="D1690" s="68">
        <v>292</v>
      </c>
      <c r="E1690" s="68"/>
      <c r="F1690" s="68">
        <v>623</v>
      </c>
      <c r="G1690" s="68">
        <v>915</v>
      </c>
      <c r="H16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91" spans="1:8" hidden="1" x14ac:dyDescent="0.3">
      <c r="A1691" t="s">
        <v>575</v>
      </c>
      <c r="B1691" t="s">
        <v>893</v>
      </c>
      <c r="C1691" t="s">
        <v>27</v>
      </c>
      <c r="D1691" s="68"/>
      <c r="E1691" s="68">
        <v>418</v>
      </c>
      <c r="F1691" s="68"/>
      <c r="G1691" s="68">
        <v>418</v>
      </c>
      <c r="H16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92" spans="1:8" hidden="1" x14ac:dyDescent="0.3">
      <c r="A1692" t="s">
        <v>575</v>
      </c>
      <c r="B1692" t="s">
        <v>894</v>
      </c>
      <c r="C1692" t="s">
        <v>26</v>
      </c>
      <c r="D1692" s="68">
        <v>2689</v>
      </c>
      <c r="E1692" s="68"/>
      <c r="F1692" s="68">
        <v>6771</v>
      </c>
      <c r="G1692" s="68">
        <v>9460</v>
      </c>
      <c r="H16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93" spans="1:8" hidden="1" x14ac:dyDescent="0.3">
      <c r="A1693" t="s">
        <v>575</v>
      </c>
      <c r="B1693" t="s">
        <v>894</v>
      </c>
      <c r="C1693" t="s">
        <v>36</v>
      </c>
      <c r="D1693" s="68">
        <v>428</v>
      </c>
      <c r="E1693" s="68"/>
      <c r="F1693" s="68">
        <v>1113</v>
      </c>
      <c r="G1693" s="68">
        <v>1541</v>
      </c>
      <c r="H16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94" spans="1:8" hidden="1" x14ac:dyDescent="0.3">
      <c r="A1694" t="s">
        <v>575</v>
      </c>
      <c r="B1694" t="s">
        <v>894</v>
      </c>
      <c r="C1694" t="s">
        <v>27</v>
      </c>
      <c r="D1694" s="68"/>
      <c r="E1694" s="68">
        <v>144</v>
      </c>
      <c r="F1694" s="68"/>
      <c r="G1694" s="68">
        <v>144</v>
      </c>
      <c r="H16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95" spans="1:8" hidden="1" x14ac:dyDescent="0.3">
      <c r="A1695" t="s">
        <v>575</v>
      </c>
      <c r="B1695" t="s">
        <v>895</v>
      </c>
      <c r="C1695" t="s">
        <v>26</v>
      </c>
      <c r="D1695" s="68">
        <v>2516</v>
      </c>
      <c r="E1695" s="68"/>
      <c r="F1695" s="68">
        <v>3449</v>
      </c>
      <c r="G1695" s="68">
        <v>5965</v>
      </c>
      <c r="H16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96" spans="1:8" hidden="1" x14ac:dyDescent="0.3">
      <c r="A1696" t="s">
        <v>575</v>
      </c>
      <c r="B1696" t="s">
        <v>895</v>
      </c>
      <c r="C1696" t="s">
        <v>36</v>
      </c>
      <c r="D1696" s="68">
        <v>591</v>
      </c>
      <c r="E1696" s="68"/>
      <c r="F1696" s="68">
        <v>4506</v>
      </c>
      <c r="G1696" s="68">
        <v>5097</v>
      </c>
      <c r="H16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97" spans="1:8" hidden="1" x14ac:dyDescent="0.3">
      <c r="A1697" t="s">
        <v>575</v>
      </c>
      <c r="B1697" t="s">
        <v>895</v>
      </c>
      <c r="C1697" t="s">
        <v>34</v>
      </c>
      <c r="D1697" s="68">
        <v>382</v>
      </c>
      <c r="E1697" s="68"/>
      <c r="F1697" s="68">
        <v>4468</v>
      </c>
      <c r="G1697" s="68">
        <v>4850</v>
      </c>
      <c r="H16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98" spans="1:8" hidden="1" x14ac:dyDescent="0.3">
      <c r="A1698" t="s">
        <v>575</v>
      </c>
      <c r="B1698" t="s">
        <v>895</v>
      </c>
      <c r="C1698" t="s">
        <v>27</v>
      </c>
      <c r="D1698" s="68"/>
      <c r="E1698" s="68">
        <v>672</v>
      </c>
      <c r="F1698" s="68"/>
      <c r="G1698" s="68">
        <v>672</v>
      </c>
      <c r="H16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99" spans="1:8" hidden="1" x14ac:dyDescent="0.3">
      <c r="A1699" t="s">
        <v>575</v>
      </c>
      <c r="B1699" t="s">
        <v>896</v>
      </c>
      <c r="C1699" t="s">
        <v>26</v>
      </c>
      <c r="D1699" s="68">
        <v>10079</v>
      </c>
      <c r="E1699" s="68"/>
      <c r="F1699" s="68">
        <v>35057</v>
      </c>
      <c r="G1699" s="68">
        <v>45136</v>
      </c>
      <c r="H16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00" spans="1:8" hidden="1" x14ac:dyDescent="0.3">
      <c r="A1700" t="s">
        <v>575</v>
      </c>
      <c r="B1700" t="s">
        <v>896</v>
      </c>
      <c r="C1700" t="s">
        <v>36</v>
      </c>
      <c r="D1700" s="68">
        <v>816</v>
      </c>
      <c r="E1700" s="68"/>
      <c r="F1700" s="68">
        <v>1161</v>
      </c>
      <c r="G1700" s="68">
        <v>1977</v>
      </c>
      <c r="H17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01" spans="1:8" hidden="1" x14ac:dyDescent="0.3">
      <c r="A1701" t="s">
        <v>575</v>
      </c>
      <c r="B1701" t="s">
        <v>896</v>
      </c>
      <c r="C1701" t="s">
        <v>27</v>
      </c>
      <c r="D1701" s="68"/>
      <c r="E1701" s="68">
        <v>1274</v>
      </c>
      <c r="F1701" s="68"/>
      <c r="G1701" s="68">
        <v>1274</v>
      </c>
      <c r="H17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02" spans="1:8" hidden="1" x14ac:dyDescent="0.3">
      <c r="A1702" t="s">
        <v>575</v>
      </c>
      <c r="B1702" t="s">
        <v>897</v>
      </c>
      <c r="C1702" t="s">
        <v>26</v>
      </c>
      <c r="D1702" s="68">
        <v>1702</v>
      </c>
      <c r="E1702" s="68"/>
      <c r="F1702" s="68">
        <v>5373</v>
      </c>
      <c r="G1702" s="68">
        <v>7075</v>
      </c>
      <c r="H17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03" spans="1:8" hidden="1" x14ac:dyDescent="0.3">
      <c r="A1703" t="s">
        <v>575</v>
      </c>
      <c r="B1703" t="s">
        <v>897</v>
      </c>
      <c r="C1703" t="s">
        <v>31</v>
      </c>
      <c r="D1703" s="68">
        <v>112</v>
      </c>
      <c r="E1703" s="68"/>
      <c r="F1703" s="68">
        <v>1618</v>
      </c>
      <c r="G1703" s="68">
        <v>1730</v>
      </c>
      <c r="H17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04" spans="1:8" hidden="1" x14ac:dyDescent="0.3">
      <c r="A1704" t="s">
        <v>575</v>
      </c>
      <c r="B1704" t="s">
        <v>897</v>
      </c>
      <c r="C1704" t="s">
        <v>36</v>
      </c>
      <c r="D1704" s="68">
        <v>248</v>
      </c>
      <c r="E1704" s="68"/>
      <c r="F1704" s="68">
        <v>444</v>
      </c>
      <c r="G1704" s="68">
        <v>692</v>
      </c>
      <c r="H17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05" spans="1:8" hidden="1" x14ac:dyDescent="0.3">
      <c r="A1705" t="s">
        <v>575</v>
      </c>
      <c r="B1705" t="s">
        <v>897</v>
      </c>
      <c r="C1705" t="s">
        <v>25</v>
      </c>
      <c r="D1705" s="68">
        <v>10</v>
      </c>
      <c r="E1705" s="68"/>
      <c r="F1705" s="68">
        <v>201</v>
      </c>
      <c r="G1705" s="68">
        <v>211</v>
      </c>
      <c r="H17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06" spans="1:8" hidden="1" x14ac:dyDescent="0.3">
      <c r="A1706" t="s">
        <v>575</v>
      </c>
      <c r="B1706" t="s">
        <v>897</v>
      </c>
      <c r="C1706" t="s">
        <v>27</v>
      </c>
      <c r="D1706" s="68"/>
      <c r="E1706" s="68">
        <v>178</v>
      </c>
      <c r="F1706" s="68"/>
      <c r="G1706" s="68">
        <v>178</v>
      </c>
      <c r="H17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07" spans="1:8" hidden="1" x14ac:dyDescent="0.3">
      <c r="A1707" t="s">
        <v>575</v>
      </c>
      <c r="B1707" t="s">
        <v>897</v>
      </c>
      <c r="C1707" t="s">
        <v>5</v>
      </c>
      <c r="D1707" s="68">
        <v>1</v>
      </c>
      <c r="E1707" s="68"/>
      <c r="F1707" s="68"/>
      <c r="G1707" s="68">
        <v>1</v>
      </c>
      <c r="H17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08" spans="1:8" hidden="1" x14ac:dyDescent="0.3">
      <c r="A1708" t="s">
        <v>575</v>
      </c>
      <c r="B1708" t="s">
        <v>898</v>
      </c>
      <c r="C1708" t="s">
        <v>26</v>
      </c>
      <c r="D1708" s="68">
        <v>3988</v>
      </c>
      <c r="E1708" s="68"/>
      <c r="F1708" s="68">
        <v>5656</v>
      </c>
      <c r="G1708" s="68">
        <v>9644</v>
      </c>
      <c r="H17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09" spans="1:8" hidden="1" x14ac:dyDescent="0.3">
      <c r="A1709" t="s">
        <v>575</v>
      </c>
      <c r="B1709" t="s">
        <v>898</v>
      </c>
      <c r="C1709" t="s">
        <v>36</v>
      </c>
      <c r="D1709" s="68">
        <v>894</v>
      </c>
      <c r="E1709" s="68"/>
      <c r="F1709" s="68">
        <v>3938</v>
      </c>
      <c r="G1709" s="68">
        <v>4832</v>
      </c>
      <c r="H17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0" spans="1:8" hidden="1" x14ac:dyDescent="0.3">
      <c r="A1710" t="s">
        <v>575</v>
      </c>
      <c r="B1710" t="s">
        <v>898</v>
      </c>
      <c r="C1710" t="s">
        <v>27</v>
      </c>
      <c r="D1710" s="68"/>
      <c r="E1710" s="68">
        <v>462</v>
      </c>
      <c r="F1710" s="68"/>
      <c r="G1710" s="68">
        <v>462</v>
      </c>
      <c r="H17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1" spans="1:8" hidden="1" x14ac:dyDescent="0.3">
      <c r="A1711" t="s">
        <v>575</v>
      </c>
      <c r="B1711" t="s">
        <v>899</v>
      </c>
      <c r="C1711" t="s">
        <v>26</v>
      </c>
      <c r="D1711" s="68">
        <v>1690</v>
      </c>
      <c r="E1711" s="68"/>
      <c r="F1711" s="68">
        <v>6977</v>
      </c>
      <c r="G1711" s="68">
        <v>8667</v>
      </c>
      <c r="H17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12" spans="1:8" hidden="1" x14ac:dyDescent="0.3">
      <c r="A1712" t="s">
        <v>575</v>
      </c>
      <c r="B1712" t="s">
        <v>899</v>
      </c>
      <c r="C1712" t="s">
        <v>36</v>
      </c>
      <c r="D1712" s="68">
        <v>405</v>
      </c>
      <c r="E1712" s="68"/>
      <c r="F1712" s="68">
        <v>4387</v>
      </c>
      <c r="G1712" s="68">
        <v>4792</v>
      </c>
      <c r="H17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3" spans="1:8" hidden="1" x14ac:dyDescent="0.3">
      <c r="A1713" t="s">
        <v>575</v>
      </c>
      <c r="B1713" t="s">
        <v>899</v>
      </c>
      <c r="C1713" t="s">
        <v>31</v>
      </c>
      <c r="D1713" s="68">
        <v>172</v>
      </c>
      <c r="E1713" s="68"/>
      <c r="F1713" s="68">
        <v>4297</v>
      </c>
      <c r="G1713" s="68">
        <v>4469</v>
      </c>
      <c r="H17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14" spans="1:8" hidden="1" x14ac:dyDescent="0.3">
      <c r="A1714" t="s">
        <v>575</v>
      </c>
      <c r="B1714" t="s">
        <v>899</v>
      </c>
      <c r="C1714" t="s">
        <v>27</v>
      </c>
      <c r="D1714" s="68"/>
      <c r="E1714" s="68">
        <v>524</v>
      </c>
      <c r="F1714" s="68"/>
      <c r="G1714" s="68">
        <v>524</v>
      </c>
      <c r="H17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5" spans="1:8" hidden="1" x14ac:dyDescent="0.3">
      <c r="A1715" t="s">
        <v>575</v>
      </c>
      <c r="B1715" t="s">
        <v>899</v>
      </c>
      <c r="C1715" t="s">
        <v>5</v>
      </c>
      <c r="D1715" s="68">
        <v>1</v>
      </c>
      <c r="E1715" s="68"/>
      <c r="F1715" s="68"/>
      <c r="G1715" s="68">
        <v>1</v>
      </c>
      <c r="H17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16" spans="1:8" hidden="1" x14ac:dyDescent="0.3">
      <c r="A1716" t="s">
        <v>575</v>
      </c>
      <c r="B1716" t="s">
        <v>900</v>
      </c>
      <c r="C1716" t="s">
        <v>36</v>
      </c>
      <c r="D1716" s="68">
        <v>381</v>
      </c>
      <c r="E1716" s="68"/>
      <c r="F1716" s="68">
        <v>2250</v>
      </c>
      <c r="G1716" s="68">
        <v>2631</v>
      </c>
      <c r="H17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7" spans="1:8" hidden="1" x14ac:dyDescent="0.3">
      <c r="A1717" t="s">
        <v>575</v>
      </c>
      <c r="B1717" t="s">
        <v>900</v>
      </c>
      <c r="C1717" t="s">
        <v>26</v>
      </c>
      <c r="D1717" s="68">
        <v>345</v>
      </c>
      <c r="E1717" s="68"/>
      <c r="F1717" s="68">
        <v>820</v>
      </c>
      <c r="G1717" s="68">
        <v>1165</v>
      </c>
      <c r="H17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18" spans="1:8" hidden="1" x14ac:dyDescent="0.3">
      <c r="A1718" t="s">
        <v>575</v>
      </c>
      <c r="B1718" t="s">
        <v>900</v>
      </c>
      <c r="C1718" t="s">
        <v>27</v>
      </c>
      <c r="D1718" s="68"/>
      <c r="E1718" s="68">
        <v>73</v>
      </c>
      <c r="F1718" s="68"/>
      <c r="G1718" s="68">
        <v>73</v>
      </c>
      <c r="H17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9" spans="1:8" hidden="1" x14ac:dyDescent="0.3">
      <c r="A1719" t="s">
        <v>575</v>
      </c>
      <c r="B1719" t="s">
        <v>900</v>
      </c>
      <c r="C1719" t="s">
        <v>34</v>
      </c>
      <c r="D1719" s="68">
        <v>1</v>
      </c>
      <c r="E1719" s="68"/>
      <c r="F1719" s="68"/>
      <c r="G1719" s="68">
        <v>1</v>
      </c>
      <c r="H17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0" spans="1:8" hidden="1" x14ac:dyDescent="0.3">
      <c r="A1720" t="s">
        <v>575</v>
      </c>
      <c r="B1720" t="s">
        <v>901</v>
      </c>
      <c r="C1720" t="s">
        <v>26</v>
      </c>
      <c r="D1720" s="68">
        <v>7673</v>
      </c>
      <c r="E1720" s="68"/>
      <c r="F1720" s="68">
        <v>10123</v>
      </c>
      <c r="G1720" s="68">
        <v>17796</v>
      </c>
      <c r="H17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21" spans="1:8" hidden="1" x14ac:dyDescent="0.3">
      <c r="A1721" t="s">
        <v>575</v>
      </c>
      <c r="B1721" t="s">
        <v>901</v>
      </c>
      <c r="C1721" t="s">
        <v>36</v>
      </c>
      <c r="D1721" s="68">
        <v>881</v>
      </c>
      <c r="E1721" s="68"/>
      <c r="F1721" s="68">
        <v>4587</v>
      </c>
      <c r="G1721" s="68">
        <v>5468</v>
      </c>
      <c r="H17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2" spans="1:8" hidden="1" x14ac:dyDescent="0.3">
      <c r="A1722" t="s">
        <v>575</v>
      </c>
      <c r="B1722" t="s">
        <v>901</v>
      </c>
      <c r="C1722" t="s">
        <v>25</v>
      </c>
      <c r="D1722" s="68">
        <v>575</v>
      </c>
      <c r="E1722" s="68"/>
      <c r="F1722" s="68">
        <v>4356</v>
      </c>
      <c r="G1722" s="68">
        <v>4931</v>
      </c>
      <c r="H17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3" spans="1:8" hidden="1" x14ac:dyDescent="0.3">
      <c r="A1723" t="s">
        <v>575</v>
      </c>
      <c r="B1723" t="s">
        <v>901</v>
      </c>
      <c r="C1723" t="s">
        <v>27</v>
      </c>
      <c r="D1723" s="68"/>
      <c r="E1723" s="68">
        <v>516</v>
      </c>
      <c r="F1723" s="68"/>
      <c r="G1723" s="68">
        <v>516</v>
      </c>
      <c r="H17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4" spans="1:8" hidden="1" x14ac:dyDescent="0.3">
      <c r="A1724" t="s">
        <v>575</v>
      </c>
      <c r="B1724" t="s">
        <v>901</v>
      </c>
      <c r="C1724" t="s">
        <v>33</v>
      </c>
      <c r="D1724" s="68">
        <v>1</v>
      </c>
      <c r="E1724" s="68"/>
      <c r="F1724" s="68"/>
      <c r="G1724" s="68">
        <v>1</v>
      </c>
      <c r="H17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25" spans="1:8" hidden="1" x14ac:dyDescent="0.3">
      <c r="A1725" t="s">
        <v>575</v>
      </c>
      <c r="B1725" t="s">
        <v>902</v>
      </c>
      <c r="C1725" t="s">
        <v>26</v>
      </c>
      <c r="D1725" s="68">
        <v>1740</v>
      </c>
      <c r="E1725" s="68"/>
      <c r="F1725" s="68">
        <v>5360</v>
      </c>
      <c r="G1725" s="68">
        <v>7100</v>
      </c>
      <c r="H17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26" spans="1:8" hidden="1" x14ac:dyDescent="0.3">
      <c r="A1726" t="s">
        <v>575</v>
      </c>
      <c r="B1726" t="s">
        <v>902</v>
      </c>
      <c r="C1726" t="s">
        <v>27</v>
      </c>
      <c r="D1726" s="68"/>
      <c r="E1726" s="68">
        <v>180</v>
      </c>
      <c r="F1726" s="68"/>
      <c r="G1726" s="68">
        <v>180</v>
      </c>
      <c r="H17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7" spans="1:8" hidden="1" x14ac:dyDescent="0.3">
      <c r="A1727" t="s">
        <v>575</v>
      </c>
      <c r="B1727" t="s">
        <v>903</v>
      </c>
      <c r="C1727" t="s">
        <v>26</v>
      </c>
      <c r="D1727" s="68">
        <v>6630</v>
      </c>
      <c r="E1727" s="68"/>
      <c r="F1727" s="68">
        <v>7869</v>
      </c>
      <c r="G1727" s="68">
        <v>14499</v>
      </c>
      <c r="H17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28" spans="1:8" hidden="1" x14ac:dyDescent="0.3">
      <c r="A1728" t="s">
        <v>575</v>
      </c>
      <c r="B1728" t="s">
        <v>903</v>
      </c>
      <c r="C1728" t="s">
        <v>36</v>
      </c>
      <c r="D1728" s="68">
        <v>7016</v>
      </c>
      <c r="E1728" s="68"/>
      <c r="F1728" s="68">
        <v>5303</v>
      </c>
      <c r="G1728" s="68">
        <v>12319</v>
      </c>
      <c r="H17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9" spans="1:8" hidden="1" x14ac:dyDescent="0.3">
      <c r="A1729" t="s">
        <v>575</v>
      </c>
      <c r="B1729" t="s">
        <v>903</v>
      </c>
      <c r="C1729" t="s">
        <v>27</v>
      </c>
      <c r="D1729" s="68"/>
      <c r="E1729" s="68">
        <v>517</v>
      </c>
      <c r="F1729" s="68"/>
      <c r="G1729" s="68">
        <v>517</v>
      </c>
      <c r="H17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30" spans="1:8" hidden="1" x14ac:dyDescent="0.3">
      <c r="A1730" t="s">
        <v>575</v>
      </c>
      <c r="B1730" t="s">
        <v>903</v>
      </c>
      <c r="C1730" t="s">
        <v>5</v>
      </c>
      <c r="D1730" s="68">
        <v>7</v>
      </c>
      <c r="E1730" s="68"/>
      <c r="F1730" s="68">
        <v>2</v>
      </c>
      <c r="G1730" s="68">
        <v>9</v>
      </c>
      <c r="H17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31" spans="1:8" hidden="1" x14ac:dyDescent="0.3">
      <c r="A1731" t="s">
        <v>575</v>
      </c>
      <c r="B1731" t="s">
        <v>903</v>
      </c>
      <c r="C1731" t="s">
        <v>31</v>
      </c>
      <c r="D1731" s="68">
        <v>1</v>
      </c>
      <c r="E1731" s="68"/>
      <c r="F1731" s="68"/>
      <c r="G1731" s="68">
        <v>1</v>
      </c>
      <c r="H17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32" spans="1:8" hidden="1" x14ac:dyDescent="0.3">
      <c r="A1732" t="s">
        <v>575</v>
      </c>
      <c r="B1732" t="s">
        <v>903</v>
      </c>
      <c r="C1732" t="s">
        <v>34</v>
      </c>
      <c r="D1732" s="68">
        <v>1</v>
      </c>
      <c r="E1732" s="68"/>
      <c r="F1732" s="68"/>
      <c r="G1732" s="68">
        <v>1</v>
      </c>
      <c r="H17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33" spans="1:8" hidden="1" x14ac:dyDescent="0.3">
      <c r="A1733" t="s">
        <v>575</v>
      </c>
      <c r="B1733" t="s">
        <v>904</v>
      </c>
      <c r="C1733" t="s">
        <v>26</v>
      </c>
      <c r="D1733" s="68">
        <v>4262</v>
      </c>
      <c r="E1733" s="68"/>
      <c r="F1733" s="68">
        <v>2980</v>
      </c>
      <c r="G1733" s="68">
        <v>7242</v>
      </c>
      <c r="H17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34" spans="1:8" hidden="1" x14ac:dyDescent="0.3">
      <c r="A1734" t="s">
        <v>575</v>
      </c>
      <c r="B1734" t="s">
        <v>904</v>
      </c>
      <c r="C1734" t="s">
        <v>36</v>
      </c>
      <c r="D1734" s="68">
        <v>556</v>
      </c>
      <c r="E1734" s="68"/>
      <c r="F1734" s="68">
        <v>3795</v>
      </c>
      <c r="G1734" s="68">
        <v>4351</v>
      </c>
      <c r="H17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35" spans="1:8" hidden="1" x14ac:dyDescent="0.3">
      <c r="A1735" t="s">
        <v>575</v>
      </c>
      <c r="B1735" t="s">
        <v>904</v>
      </c>
      <c r="C1735" t="s">
        <v>27</v>
      </c>
      <c r="D1735" s="68"/>
      <c r="E1735" s="68">
        <v>264</v>
      </c>
      <c r="F1735" s="68"/>
      <c r="G1735" s="68">
        <v>264</v>
      </c>
      <c r="H17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36" spans="1:8" hidden="1" x14ac:dyDescent="0.3">
      <c r="A1736" t="s">
        <v>575</v>
      </c>
      <c r="B1736" t="s">
        <v>904</v>
      </c>
      <c r="C1736" t="s">
        <v>34</v>
      </c>
      <c r="D1736" s="68">
        <v>1</v>
      </c>
      <c r="E1736" s="68"/>
      <c r="F1736" s="68"/>
      <c r="G1736" s="68">
        <v>1</v>
      </c>
      <c r="H17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37" spans="1:8" hidden="1" x14ac:dyDescent="0.3">
      <c r="A1737" t="s">
        <v>575</v>
      </c>
      <c r="B1737" t="s">
        <v>904</v>
      </c>
      <c r="C1737" t="s">
        <v>5</v>
      </c>
      <c r="D1737" s="68">
        <v>1</v>
      </c>
      <c r="E1737" s="68"/>
      <c r="F1737" s="68"/>
      <c r="G1737" s="68">
        <v>1</v>
      </c>
      <c r="H17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38" spans="1:8" hidden="1" x14ac:dyDescent="0.3">
      <c r="A1738" t="s">
        <v>905</v>
      </c>
      <c r="B1738" t="s">
        <v>906</v>
      </c>
      <c r="C1738" t="s">
        <v>38</v>
      </c>
      <c r="D1738" s="68">
        <v>210</v>
      </c>
      <c r="E1738" s="68"/>
      <c r="F1738" s="68">
        <v>3740</v>
      </c>
      <c r="G1738" s="68">
        <v>3950</v>
      </c>
      <c r="H17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39" spans="1:8" hidden="1" x14ac:dyDescent="0.3">
      <c r="A1739" t="s">
        <v>905</v>
      </c>
      <c r="B1739" t="s">
        <v>906</v>
      </c>
      <c r="C1739" t="s">
        <v>26</v>
      </c>
      <c r="D1739" s="68">
        <v>263</v>
      </c>
      <c r="E1739" s="68"/>
      <c r="F1739" s="68">
        <v>250</v>
      </c>
      <c r="G1739" s="68">
        <v>513</v>
      </c>
      <c r="H17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0" spans="1:8" hidden="1" x14ac:dyDescent="0.3">
      <c r="A1740" t="s">
        <v>905</v>
      </c>
      <c r="B1740" t="s">
        <v>906</v>
      </c>
      <c r="C1740" t="s">
        <v>27</v>
      </c>
      <c r="D1740" s="68"/>
      <c r="E1740" s="68">
        <v>174</v>
      </c>
      <c r="F1740" s="68"/>
      <c r="G1740" s="68">
        <v>174</v>
      </c>
      <c r="H17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41" spans="1:8" hidden="1" x14ac:dyDescent="0.3">
      <c r="A1741" t="s">
        <v>905</v>
      </c>
      <c r="B1741" t="s">
        <v>907</v>
      </c>
      <c r="C1741" t="s">
        <v>38</v>
      </c>
      <c r="D1741" s="68">
        <v>363</v>
      </c>
      <c r="E1741" s="68"/>
      <c r="F1741" s="68">
        <v>7272</v>
      </c>
      <c r="G1741" s="68">
        <v>7635</v>
      </c>
      <c r="H17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2" spans="1:8" hidden="1" x14ac:dyDescent="0.3">
      <c r="A1742" t="s">
        <v>905</v>
      </c>
      <c r="B1742" t="s">
        <v>907</v>
      </c>
      <c r="C1742" t="s">
        <v>26</v>
      </c>
      <c r="D1742" s="68">
        <v>489</v>
      </c>
      <c r="E1742" s="68"/>
      <c r="F1742" s="68">
        <v>829</v>
      </c>
      <c r="G1742" s="68">
        <v>1318</v>
      </c>
      <c r="H17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3" spans="1:8" hidden="1" x14ac:dyDescent="0.3">
      <c r="A1743" t="s">
        <v>905</v>
      </c>
      <c r="B1743" t="s">
        <v>907</v>
      </c>
      <c r="C1743" t="s">
        <v>27</v>
      </c>
      <c r="D1743" s="68"/>
      <c r="E1743" s="68">
        <v>324</v>
      </c>
      <c r="F1743" s="68"/>
      <c r="G1743" s="68">
        <v>324</v>
      </c>
      <c r="H17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44" spans="1:8" hidden="1" x14ac:dyDescent="0.3">
      <c r="A1744" t="s">
        <v>905</v>
      </c>
      <c r="B1744" t="s">
        <v>907</v>
      </c>
      <c r="C1744" t="s">
        <v>5</v>
      </c>
      <c r="D1744" s="68">
        <v>122</v>
      </c>
      <c r="E1744" s="68"/>
      <c r="F1744" s="68">
        <v>155</v>
      </c>
      <c r="G1744" s="68">
        <v>277</v>
      </c>
      <c r="H17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5" spans="1:8" hidden="1" x14ac:dyDescent="0.3">
      <c r="A1745" t="s">
        <v>905</v>
      </c>
      <c r="B1745" t="s">
        <v>908</v>
      </c>
      <c r="C1745" t="s">
        <v>38</v>
      </c>
      <c r="D1745" s="68">
        <v>781</v>
      </c>
      <c r="E1745" s="68"/>
      <c r="F1745" s="68">
        <v>30598</v>
      </c>
      <c r="G1745" s="68">
        <v>31379</v>
      </c>
      <c r="H17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6" spans="1:8" hidden="1" x14ac:dyDescent="0.3">
      <c r="A1746" t="s">
        <v>905</v>
      </c>
      <c r="B1746" t="s">
        <v>908</v>
      </c>
      <c r="C1746" t="s">
        <v>26</v>
      </c>
      <c r="D1746" s="68">
        <v>745</v>
      </c>
      <c r="E1746" s="68"/>
      <c r="F1746" s="68">
        <v>1070</v>
      </c>
      <c r="G1746" s="68">
        <v>1815</v>
      </c>
      <c r="H17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7" spans="1:8" hidden="1" x14ac:dyDescent="0.3">
      <c r="A1747" t="s">
        <v>905</v>
      </c>
      <c r="B1747" t="s">
        <v>908</v>
      </c>
      <c r="C1747" t="s">
        <v>27</v>
      </c>
      <c r="D1747" s="68"/>
      <c r="E1747" s="68">
        <v>910</v>
      </c>
      <c r="F1747" s="68"/>
      <c r="G1747" s="68">
        <v>910</v>
      </c>
      <c r="H17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48" spans="1:8" hidden="1" x14ac:dyDescent="0.3">
      <c r="A1748" t="s">
        <v>905</v>
      </c>
      <c r="B1748" t="s">
        <v>908</v>
      </c>
      <c r="C1748" t="s">
        <v>5</v>
      </c>
      <c r="D1748" s="68">
        <v>287</v>
      </c>
      <c r="E1748" s="68"/>
      <c r="F1748" s="68">
        <v>363</v>
      </c>
      <c r="G1748" s="68">
        <v>650</v>
      </c>
      <c r="H17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9" spans="1:8" hidden="1" x14ac:dyDescent="0.3">
      <c r="A1749" t="s">
        <v>905</v>
      </c>
      <c r="B1749" t="s">
        <v>909</v>
      </c>
      <c r="C1749" t="s">
        <v>38</v>
      </c>
      <c r="D1749" s="68">
        <v>291</v>
      </c>
      <c r="E1749" s="68"/>
      <c r="F1749" s="68">
        <v>8373</v>
      </c>
      <c r="G1749" s="68">
        <v>8664</v>
      </c>
      <c r="H17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0" spans="1:8" hidden="1" x14ac:dyDescent="0.3">
      <c r="A1750" t="s">
        <v>905</v>
      </c>
      <c r="B1750" t="s">
        <v>909</v>
      </c>
      <c r="C1750" t="s">
        <v>26</v>
      </c>
      <c r="D1750" s="68">
        <v>287</v>
      </c>
      <c r="E1750" s="68"/>
      <c r="F1750" s="68">
        <v>309</v>
      </c>
      <c r="G1750" s="68">
        <v>596</v>
      </c>
      <c r="H17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1" spans="1:8" hidden="1" x14ac:dyDescent="0.3">
      <c r="A1751" t="s">
        <v>905</v>
      </c>
      <c r="B1751" t="s">
        <v>909</v>
      </c>
      <c r="C1751" t="s">
        <v>27</v>
      </c>
      <c r="D1751" s="68"/>
      <c r="E1751" s="68">
        <v>246</v>
      </c>
      <c r="F1751" s="68"/>
      <c r="G1751" s="68">
        <v>246</v>
      </c>
      <c r="H17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52" spans="1:8" hidden="1" x14ac:dyDescent="0.3">
      <c r="A1752" t="s">
        <v>905</v>
      </c>
      <c r="B1752" t="s">
        <v>910</v>
      </c>
      <c r="C1752" t="s">
        <v>38</v>
      </c>
      <c r="D1752" s="68">
        <v>662</v>
      </c>
      <c r="E1752" s="68"/>
      <c r="F1752" s="68">
        <v>14281</v>
      </c>
      <c r="G1752" s="68">
        <v>14943</v>
      </c>
      <c r="H17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3" spans="1:8" hidden="1" x14ac:dyDescent="0.3">
      <c r="A1753" t="s">
        <v>905</v>
      </c>
      <c r="B1753" t="s">
        <v>910</v>
      </c>
      <c r="C1753" t="s">
        <v>26</v>
      </c>
      <c r="D1753" s="68">
        <v>1492</v>
      </c>
      <c r="E1753" s="68"/>
      <c r="F1753" s="68">
        <v>1642</v>
      </c>
      <c r="G1753" s="68">
        <v>3134</v>
      </c>
      <c r="H17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4" spans="1:8" hidden="1" x14ac:dyDescent="0.3">
      <c r="A1754" t="s">
        <v>905</v>
      </c>
      <c r="B1754" t="s">
        <v>910</v>
      </c>
      <c r="C1754" t="s">
        <v>27</v>
      </c>
      <c r="D1754" s="68"/>
      <c r="E1754" s="68">
        <v>695</v>
      </c>
      <c r="F1754" s="68"/>
      <c r="G1754" s="68">
        <v>695</v>
      </c>
      <c r="H17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55" spans="1:8" hidden="1" x14ac:dyDescent="0.3">
      <c r="A1755" t="s">
        <v>905</v>
      </c>
      <c r="B1755" t="s">
        <v>910</v>
      </c>
      <c r="C1755" t="s">
        <v>5</v>
      </c>
      <c r="D1755" s="68">
        <v>366</v>
      </c>
      <c r="E1755" s="68"/>
      <c r="F1755" s="68">
        <v>275</v>
      </c>
      <c r="G1755" s="68">
        <v>641</v>
      </c>
      <c r="H17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6" spans="1:8" hidden="1" x14ac:dyDescent="0.3">
      <c r="A1756" t="s">
        <v>905</v>
      </c>
      <c r="B1756" t="s">
        <v>911</v>
      </c>
      <c r="C1756" t="s">
        <v>38</v>
      </c>
      <c r="D1756" s="68">
        <v>531</v>
      </c>
      <c r="E1756" s="68"/>
      <c r="F1756" s="68">
        <v>12324</v>
      </c>
      <c r="G1756" s="68">
        <v>12855</v>
      </c>
      <c r="H17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7" spans="1:8" hidden="1" x14ac:dyDescent="0.3">
      <c r="A1757" t="s">
        <v>905</v>
      </c>
      <c r="B1757" t="s">
        <v>911</v>
      </c>
      <c r="C1757" t="s">
        <v>26</v>
      </c>
      <c r="D1757" s="68">
        <v>571</v>
      </c>
      <c r="E1757" s="68"/>
      <c r="F1757" s="68">
        <v>591</v>
      </c>
      <c r="G1757" s="68">
        <v>1162</v>
      </c>
      <c r="H17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8" spans="1:8" hidden="1" x14ac:dyDescent="0.3">
      <c r="A1758" t="s">
        <v>905</v>
      </c>
      <c r="B1758" t="s">
        <v>911</v>
      </c>
      <c r="C1758" t="s">
        <v>27</v>
      </c>
      <c r="D1758" s="68"/>
      <c r="E1758" s="68">
        <v>348</v>
      </c>
      <c r="F1758" s="68"/>
      <c r="G1758" s="68">
        <v>348</v>
      </c>
      <c r="H17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59" spans="1:8" hidden="1" x14ac:dyDescent="0.3">
      <c r="A1759" t="s">
        <v>905</v>
      </c>
      <c r="B1759" t="s">
        <v>911</v>
      </c>
      <c r="C1759" t="s">
        <v>5</v>
      </c>
      <c r="D1759" s="68">
        <v>62</v>
      </c>
      <c r="E1759" s="68"/>
      <c r="F1759" s="68">
        <v>43</v>
      </c>
      <c r="G1759" s="68">
        <v>105</v>
      </c>
      <c r="H17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60" spans="1:8" hidden="1" x14ac:dyDescent="0.3">
      <c r="A1760" t="s">
        <v>905</v>
      </c>
      <c r="B1760" t="s">
        <v>912</v>
      </c>
      <c r="C1760" t="s">
        <v>38</v>
      </c>
      <c r="D1760" s="68">
        <v>6230</v>
      </c>
      <c r="E1760" s="68"/>
      <c r="F1760" s="68">
        <v>89845</v>
      </c>
      <c r="G1760" s="68">
        <v>96075</v>
      </c>
      <c r="H17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61" spans="1:8" hidden="1" x14ac:dyDescent="0.3">
      <c r="A1761" t="s">
        <v>905</v>
      </c>
      <c r="B1761" t="s">
        <v>912</v>
      </c>
      <c r="C1761" t="s">
        <v>26</v>
      </c>
      <c r="D1761" s="68">
        <v>23697</v>
      </c>
      <c r="E1761" s="68"/>
      <c r="F1761" s="68">
        <v>20760</v>
      </c>
      <c r="G1761" s="68">
        <v>44457</v>
      </c>
      <c r="H17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62" spans="1:8" hidden="1" x14ac:dyDescent="0.3">
      <c r="A1762" t="s">
        <v>905</v>
      </c>
      <c r="B1762" t="s">
        <v>912</v>
      </c>
      <c r="C1762" t="s">
        <v>5</v>
      </c>
      <c r="D1762" s="68">
        <v>26328</v>
      </c>
      <c r="E1762" s="68"/>
      <c r="F1762" s="68">
        <v>10280</v>
      </c>
      <c r="G1762" s="68">
        <v>36608</v>
      </c>
      <c r="H17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63" spans="1:8" hidden="1" x14ac:dyDescent="0.3">
      <c r="A1763" t="s">
        <v>905</v>
      </c>
      <c r="B1763" t="s">
        <v>912</v>
      </c>
      <c r="C1763" t="s">
        <v>27</v>
      </c>
      <c r="D1763" s="68"/>
      <c r="E1763" s="68">
        <v>4891</v>
      </c>
      <c r="F1763" s="68"/>
      <c r="G1763" s="68">
        <v>4891</v>
      </c>
      <c r="H17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64" spans="1:8" hidden="1" x14ac:dyDescent="0.3">
      <c r="A1764" t="s">
        <v>905</v>
      </c>
      <c r="B1764" t="s">
        <v>912</v>
      </c>
      <c r="C1764" t="s">
        <v>36</v>
      </c>
      <c r="D1764" s="68">
        <v>303</v>
      </c>
      <c r="E1764" s="68"/>
      <c r="F1764" s="68">
        <v>159</v>
      </c>
      <c r="G1764" s="68">
        <v>462</v>
      </c>
      <c r="H17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65" spans="1:8" hidden="1" x14ac:dyDescent="0.3">
      <c r="A1765" t="s">
        <v>905</v>
      </c>
      <c r="B1765" t="s">
        <v>912</v>
      </c>
      <c r="C1765" t="s">
        <v>32</v>
      </c>
      <c r="D1765" s="68">
        <v>1</v>
      </c>
      <c r="E1765" s="68"/>
      <c r="F1765" s="68"/>
      <c r="G1765" s="68">
        <v>1</v>
      </c>
      <c r="H17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66" spans="1:8" hidden="1" x14ac:dyDescent="0.3">
      <c r="A1766" t="s">
        <v>905</v>
      </c>
      <c r="B1766" t="s">
        <v>913</v>
      </c>
      <c r="C1766" t="s">
        <v>38</v>
      </c>
      <c r="D1766" s="68">
        <v>464</v>
      </c>
      <c r="E1766" s="68"/>
      <c r="F1766" s="68">
        <v>12106</v>
      </c>
      <c r="G1766" s="68">
        <v>12570</v>
      </c>
      <c r="H17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67" spans="1:8" hidden="1" x14ac:dyDescent="0.3">
      <c r="A1767" t="s">
        <v>905</v>
      </c>
      <c r="B1767" t="s">
        <v>913</v>
      </c>
      <c r="C1767" t="s">
        <v>26</v>
      </c>
      <c r="D1767" s="68">
        <v>387</v>
      </c>
      <c r="E1767" s="68"/>
      <c r="F1767" s="68">
        <v>595</v>
      </c>
      <c r="G1767" s="68">
        <v>982</v>
      </c>
      <c r="H17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68" spans="1:8" hidden="1" x14ac:dyDescent="0.3">
      <c r="A1768" t="s">
        <v>905</v>
      </c>
      <c r="B1768" t="s">
        <v>913</v>
      </c>
      <c r="C1768" t="s">
        <v>27</v>
      </c>
      <c r="D1768" s="68"/>
      <c r="E1768" s="68">
        <v>543</v>
      </c>
      <c r="F1768" s="68"/>
      <c r="G1768" s="68">
        <v>543</v>
      </c>
      <c r="H17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69" spans="1:8" hidden="1" x14ac:dyDescent="0.3">
      <c r="A1769" t="s">
        <v>905</v>
      </c>
      <c r="B1769" t="s">
        <v>914</v>
      </c>
      <c r="C1769" t="s">
        <v>38</v>
      </c>
      <c r="D1769" s="68">
        <v>308</v>
      </c>
      <c r="E1769" s="68"/>
      <c r="F1769" s="68">
        <v>6961</v>
      </c>
      <c r="G1769" s="68">
        <v>7269</v>
      </c>
      <c r="H17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0" spans="1:8" hidden="1" x14ac:dyDescent="0.3">
      <c r="A1770" t="s">
        <v>905</v>
      </c>
      <c r="B1770" t="s">
        <v>914</v>
      </c>
      <c r="C1770" t="s">
        <v>26</v>
      </c>
      <c r="D1770" s="68">
        <v>176</v>
      </c>
      <c r="E1770" s="68"/>
      <c r="F1770" s="68">
        <v>206</v>
      </c>
      <c r="G1770" s="68">
        <v>382</v>
      </c>
      <c r="H17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1" spans="1:8" hidden="1" x14ac:dyDescent="0.3">
      <c r="A1771" t="s">
        <v>905</v>
      </c>
      <c r="B1771" t="s">
        <v>914</v>
      </c>
      <c r="C1771" t="s">
        <v>27</v>
      </c>
      <c r="D1771" s="68"/>
      <c r="E1771" s="68">
        <v>352</v>
      </c>
      <c r="F1771" s="68"/>
      <c r="G1771" s="68">
        <v>352</v>
      </c>
      <c r="H17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72" spans="1:8" hidden="1" x14ac:dyDescent="0.3">
      <c r="A1772" t="s">
        <v>905</v>
      </c>
      <c r="B1772" t="s">
        <v>915</v>
      </c>
      <c r="C1772" t="s">
        <v>38</v>
      </c>
      <c r="D1772" s="68">
        <v>225</v>
      </c>
      <c r="E1772" s="68"/>
      <c r="F1772" s="68">
        <v>3146</v>
      </c>
      <c r="G1772" s="68">
        <v>3371</v>
      </c>
      <c r="H17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3" spans="1:8" hidden="1" x14ac:dyDescent="0.3">
      <c r="A1773" t="s">
        <v>905</v>
      </c>
      <c r="B1773" t="s">
        <v>915</v>
      </c>
      <c r="C1773" t="s">
        <v>26</v>
      </c>
      <c r="D1773" s="68">
        <v>189</v>
      </c>
      <c r="E1773" s="68"/>
      <c r="F1773" s="68">
        <v>184</v>
      </c>
      <c r="G1773" s="68">
        <v>373</v>
      </c>
      <c r="H17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4" spans="1:8" hidden="1" x14ac:dyDescent="0.3">
      <c r="A1774" t="s">
        <v>905</v>
      </c>
      <c r="B1774" t="s">
        <v>915</v>
      </c>
      <c r="C1774" t="s">
        <v>27</v>
      </c>
      <c r="D1774" s="68"/>
      <c r="E1774" s="68">
        <v>122</v>
      </c>
      <c r="F1774" s="68"/>
      <c r="G1774" s="68">
        <v>122</v>
      </c>
      <c r="H17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75" spans="1:8" hidden="1" x14ac:dyDescent="0.3">
      <c r="A1775" t="s">
        <v>905</v>
      </c>
      <c r="B1775" t="s">
        <v>916</v>
      </c>
      <c r="C1775" t="s">
        <v>38</v>
      </c>
      <c r="D1775" s="68">
        <v>903</v>
      </c>
      <c r="E1775" s="68"/>
      <c r="F1775" s="68">
        <v>20877</v>
      </c>
      <c r="G1775" s="68">
        <v>21780</v>
      </c>
      <c r="H17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6" spans="1:8" hidden="1" x14ac:dyDescent="0.3">
      <c r="A1776" t="s">
        <v>905</v>
      </c>
      <c r="B1776" t="s">
        <v>916</v>
      </c>
      <c r="C1776" t="s">
        <v>26</v>
      </c>
      <c r="D1776" s="68">
        <v>730</v>
      </c>
      <c r="E1776" s="68"/>
      <c r="F1776" s="68">
        <v>1081</v>
      </c>
      <c r="G1776" s="68">
        <v>1811</v>
      </c>
      <c r="H17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7" spans="1:8" hidden="1" x14ac:dyDescent="0.3">
      <c r="A1777" t="s">
        <v>905</v>
      </c>
      <c r="B1777" t="s">
        <v>916</v>
      </c>
      <c r="C1777" t="s">
        <v>5</v>
      </c>
      <c r="D1777" s="68">
        <v>553</v>
      </c>
      <c r="E1777" s="68"/>
      <c r="F1777" s="68">
        <v>460</v>
      </c>
      <c r="G1777" s="68">
        <v>1013</v>
      </c>
      <c r="H17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8" spans="1:8" hidden="1" x14ac:dyDescent="0.3">
      <c r="A1778" t="s">
        <v>905</v>
      </c>
      <c r="B1778" t="s">
        <v>916</v>
      </c>
      <c r="C1778" t="s">
        <v>27</v>
      </c>
      <c r="D1778" s="68"/>
      <c r="E1778" s="68">
        <v>868</v>
      </c>
      <c r="F1778" s="68"/>
      <c r="G1778" s="68">
        <v>868</v>
      </c>
      <c r="H17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79" spans="1:8" hidden="1" x14ac:dyDescent="0.3">
      <c r="A1779" t="s">
        <v>905</v>
      </c>
      <c r="B1779" t="s">
        <v>916</v>
      </c>
      <c r="C1779" t="s">
        <v>40</v>
      </c>
      <c r="D1779" s="68"/>
      <c r="E1779" s="68"/>
      <c r="F1779" s="68">
        <v>1</v>
      </c>
      <c r="G1779" s="68">
        <v>1</v>
      </c>
      <c r="H17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0" spans="1:8" hidden="1" x14ac:dyDescent="0.3">
      <c r="A1780" t="s">
        <v>905</v>
      </c>
      <c r="B1780" t="s">
        <v>917</v>
      </c>
      <c r="C1780" t="s">
        <v>38</v>
      </c>
      <c r="D1780" s="68">
        <v>422</v>
      </c>
      <c r="E1780" s="68"/>
      <c r="F1780" s="68">
        <v>10688</v>
      </c>
      <c r="G1780" s="68">
        <v>11110</v>
      </c>
      <c r="H17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1" spans="1:8" hidden="1" x14ac:dyDescent="0.3">
      <c r="A1781" t="s">
        <v>905</v>
      </c>
      <c r="B1781" t="s">
        <v>917</v>
      </c>
      <c r="C1781" t="s">
        <v>26</v>
      </c>
      <c r="D1781" s="68">
        <v>527</v>
      </c>
      <c r="E1781" s="68"/>
      <c r="F1781" s="68">
        <v>1329</v>
      </c>
      <c r="G1781" s="68">
        <v>1856</v>
      </c>
      <c r="H17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2" spans="1:8" hidden="1" x14ac:dyDescent="0.3">
      <c r="A1782" t="s">
        <v>905</v>
      </c>
      <c r="B1782" t="s">
        <v>917</v>
      </c>
      <c r="C1782" t="s">
        <v>27</v>
      </c>
      <c r="D1782" s="68"/>
      <c r="E1782" s="68">
        <v>453</v>
      </c>
      <c r="F1782" s="68"/>
      <c r="G1782" s="68">
        <v>453</v>
      </c>
      <c r="H17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83" spans="1:8" hidden="1" x14ac:dyDescent="0.3">
      <c r="A1783" t="s">
        <v>905</v>
      </c>
      <c r="B1783" t="s">
        <v>917</v>
      </c>
      <c r="C1783" t="s">
        <v>5</v>
      </c>
      <c r="D1783" s="68">
        <v>62</v>
      </c>
      <c r="E1783" s="68"/>
      <c r="F1783" s="68">
        <v>136</v>
      </c>
      <c r="G1783" s="68">
        <v>198</v>
      </c>
      <c r="H17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4" spans="1:8" hidden="1" x14ac:dyDescent="0.3">
      <c r="A1784" t="s">
        <v>905</v>
      </c>
      <c r="B1784" t="s">
        <v>918</v>
      </c>
      <c r="C1784" t="s">
        <v>38</v>
      </c>
      <c r="D1784" s="68">
        <v>2157</v>
      </c>
      <c r="E1784" s="68"/>
      <c r="F1784" s="68">
        <v>47008</v>
      </c>
      <c r="G1784" s="68">
        <v>49165</v>
      </c>
      <c r="H17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5" spans="1:8" hidden="1" x14ac:dyDescent="0.3">
      <c r="A1785" t="s">
        <v>905</v>
      </c>
      <c r="B1785" t="s">
        <v>918</v>
      </c>
      <c r="C1785" t="s">
        <v>26</v>
      </c>
      <c r="D1785" s="68">
        <v>3415</v>
      </c>
      <c r="E1785" s="68"/>
      <c r="F1785" s="68">
        <v>5300</v>
      </c>
      <c r="G1785" s="68">
        <v>8715</v>
      </c>
      <c r="H17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6" spans="1:8" hidden="1" x14ac:dyDescent="0.3">
      <c r="A1786" t="s">
        <v>905</v>
      </c>
      <c r="B1786" t="s">
        <v>918</v>
      </c>
      <c r="C1786" t="s">
        <v>27</v>
      </c>
      <c r="D1786" s="68"/>
      <c r="E1786" s="68">
        <v>1692</v>
      </c>
      <c r="F1786" s="68"/>
      <c r="G1786" s="68">
        <v>1692</v>
      </c>
      <c r="H17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87" spans="1:8" hidden="1" x14ac:dyDescent="0.3">
      <c r="A1787" t="s">
        <v>905</v>
      </c>
      <c r="B1787" t="s">
        <v>918</v>
      </c>
      <c r="C1787" t="s">
        <v>5</v>
      </c>
      <c r="D1787" s="68">
        <v>309</v>
      </c>
      <c r="E1787" s="68"/>
      <c r="F1787" s="68">
        <v>376</v>
      </c>
      <c r="G1787" s="68">
        <v>685</v>
      </c>
      <c r="H17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8" spans="1:8" hidden="1" x14ac:dyDescent="0.3">
      <c r="A1788" t="s">
        <v>905</v>
      </c>
      <c r="B1788" t="s">
        <v>918</v>
      </c>
      <c r="C1788" t="s">
        <v>34</v>
      </c>
      <c r="D1788" s="68">
        <v>1</v>
      </c>
      <c r="E1788" s="68"/>
      <c r="F1788" s="68"/>
      <c r="G1788" s="68">
        <v>1</v>
      </c>
      <c r="H17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89" spans="1:8" hidden="1" x14ac:dyDescent="0.3">
      <c r="A1789" t="s">
        <v>905</v>
      </c>
      <c r="B1789" t="s">
        <v>919</v>
      </c>
      <c r="C1789" t="s">
        <v>38</v>
      </c>
      <c r="D1789" s="68">
        <v>306</v>
      </c>
      <c r="E1789" s="68"/>
      <c r="F1789" s="68">
        <v>8942</v>
      </c>
      <c r="G1789" s="68">
        <v>9248</v>
      </c>
      <c r="H17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90" spans="1:8" hidden="1" x14ac:dyDescent="0.3">
      <c r="A1790" t="s">
        <v>905</v>
      </c>
      <c r="B1790" t="s">
        <v>919</v>
      </c>
      <c r="C1790" t="s">
        <v>26</v>
      </c>
      <c r="D1790" s="68">
        <v>196</v>
      </c>
      <c r="E1790" s="68"/>
      <c r="F1790" s="68">
        <v>263</v>
      </c>
      <c r="G1790" s="68">
        <v>459</v>
      </c>
      <c r="H17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91" spans="1:8" hidden="1" x14ac:dyDescent="0.3">
      <c r="A1791" t="s">
        <v>905</v>
      </c>
      <c r="B1791" t="s">
        <v>919</v>
      </c>
      <c r="C1791" t="s">
        <v>27</v>
      </c>
      <c r="D1791" s="68"/>
      <c r="E1791" s="68">
        <v>387</v>
      </c>
      <c r="F1791" s="68"/>
      <c r="G1791" s="68">
        <v>387</v>
      </c>
      <c r="H17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92" spans="1:8" hidden="1" x14ac:dyDescent="0.3">
      <c r="A1792" t="s">
        <v>905</v>
      </c>
      <c r="B1792" t="s">
        <v>920</v>
      </c>
      <c r="C1792" t="s">
        <v>38</v>
      </c>
      <c r="D1792" s="68">
        <v>208</v>
      </c>
      <c r="E1792" s="68"/>
      <c r="F1792" s="68">
        <v>8013</v>
      </c>
      <c r="G1792" s="68">
        <v>8221</v>
      </c>
      <c r="H17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93" spans="1:8" hidden="1" x14ac:dyDescent="0.3">
      <c r="A1793" t="s">
        <v>905</v>
      </c>
      <c r="B1793" t="s">
        <v>920</v>
      </c>
      <c r="C1793" t="s">
        <v>26</v>
      </c>
      <c r="D1793" s="68">
        <v>171</v>
      </c>
      <c r="E1793" s="68"/>
      <c r="F1793" s="68">
        <v>255</v>
      </c>
      <c r="G1793" s="68">
        <v>426</v>
      </c>
      <c r="H17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94" spans="1:8" hidden="1" x14ac:dyDescent="0.3">
      <c r="A1794" t="s">
        <v>905</v>
      </c>
      <c r="B1794" t="s">
        <v>920</v>
      </c>
      <c r="C1794" t="s">
        <v>27</v>
      </c>
      <c r="D1794" s="68"/>
      <c r="E1794" s="68">
        <v>244</v>
      </c>
      <c r="F1794" s="68"/>
      <c r="G1794" s="68">
        <v>244</v>
      </c>
      <c r="H17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95" spans="1:8" hidden="1" x14ac:dyDescent="0.3">
      <c r="A1795" t="s">
        <v>905</v>
      </c>
      <c r="B1795" t="s">
        <v>669</v>
      </c>
      <c r="C1795" t="s">
        <v>38</v>
      </c>
      <c r="D1795" s="68">
        <v>309</v>
      </c>
      <c r="E1795" s="68"/>
      <c r="F1795" s="68">
        <v>5173</v>
      </c>
      <c r="G1795" s="68">
        <v>5482</v>
      </c>
      <c r="H17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96" spans="1:8" hidden="1" x14ac:dyDescent="0.3">
      <c r="A1796" t="s">
        <v>905</v>
      </c>
      <c r="B1796" t="s">
        <v>669</v>
      </c>
      <c r="C1796" t="s">
        <v>26</v>
      </c>
      <c r="D1796" s="68">
        <v>167</v>
      </c>
      <c r="E1796" s="68"/>
      <c r="F1796" s="68">
        <v>176</v>
      </c>
      <c r="G1796" s="68">
        <v>343</v>
      </c>
      <c r="H17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97" spans="1:8" hidden="1" x14ac:dyDescent="0.3">
      <c r="A1797" t="s">
        <v>905</v>
      </c>
      <c r="B1797" t="s">
        <v>669</v>
      </c>
      <c r="C1797" t="s">
        <v>27</v>
      </c>
      <c r="D1797" s="68"/>
      <c r="E1797" s="68">
        <v>248</v>
      </c>
      <c r="F1797" s="68"/>
      <c r="G1797" s="68">
        <v>248</v>
      </c>
      <c r="H17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98" spans="1:8" hidden="1" x14ac:dyDescent="0.3">
      <c r="A1798" t="s">
        <v>921</v>
      </c>
      <c r="B1798" t="s">
        <v>922</v>
      </c>
      <c r="C1798" t="s">
        <v>536</v>
      </c>
      <c r="D1798" s="68">
        <v>1931</v>
      </c>
      <c r="E1798" s="68"/>
      <c r="F1798" s="68">
        <v>11384</v>
      </c>
      <c r="G1798" s="68">
        <v>13315</v>
      </c>
      <c r="H17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99" spans="1:8" hidden="1" x14ac:dyDescent="0.3">
      <c r="A1799" t="s">
        <v>921</v>
      </c>
      <c r="B1799" t="s">
        <v>922</v>
      </c>
      <c r="C1799" t="s">
        <v>26</v>
      </c>
      <c r="D1799" s="68">
        <v>5647</v>
      </c>
      <c r="E1799" s="68"/>
      <c r="F1799" s="68">
        <v>6544</v>
      </c>
      <c r="G1799" s="68">
        <v>12191</v>
      </c>
      <c r="H17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00" spans="1:8" hidden="1" x14ac:dyDescent="0.3">
      <c r="A1800" t="s">
        <v>921</v>
      </c>
      <c r="B1800" t="s">
        <v>922</v>
      </c>
      <c r="C1800" t="s">
        <v>5</v>
      </c>
      <c r="D1800" s="68">
        <v>4377</v>
      </c>
      <c r="E1800" s="68"/>
      <c r="F1800" s="68">
        <v>3433</v>
      </c>
      <c r="G1800" s="68">
        <v>7810</v>
      </c>
      <c r="H18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01" spans="1:8" hidden="1" x14ac:dyDescent="0.3">
      <c r="A1801" t="s">
        <v>921</v>
      </c>
      <c r="B1801" t="s">
        <v>922</v>
      </c>
      <c r="C1801" t="s">
        <v>27</v>
      </c>
      <c r="D1801" s="68"/>
      <c r="E1801" s="68">
        <v>641</v>
      </c>
      <c r="F1801" s="68"/>
      <c r="G1801" s="68">
        <v>641</v>
      </c>
      <c r="H18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02" spans="1:8" hidden="1" x14ac:dyDescent="0.3">
      <c r="A1802" t="s">
        <v>921</v>
      </c>
      <c r="B1802" t="s">
        <v>922</v>
      </c>
      <c r="C1802" t="s">
        <v>36</v>
      </c>
      <c r="D1802" s="68">
        <v>147</v>
      </c>
      <c r="E1802" s="68"/>
      <c r="F1802" s="68">
        <v>47</v>
      </c>
      <c r="G1802" s="68">
        <v>194</v>
      </c>
      <c r="H18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03" spans="1:8" hidden="1" x14ac:dyDescent="0.3">
      <c r="A1803" t="s">
        <v>921</v>
      </c>
      <c r="B1803" t="s">
        <v>922</v>
      </c>
      <c r="C1803" t="s">
        <v>30</v>
      </c>
      <c r="D1803" s="68"/>
      <c r="E1803" s="68"/>
      <c r="F1803" s="68">
        <v>2</v>
      </c>
      <c r="G1803" s="68">
        <v>2</v>
      </c>
      <c r="H18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04" spans="1:8" hidden="1" x14ac:dyDescent="0.3">
      <c r="A1804" t="s">
        <v>921</v>
      </c>
      <c r="B1804" t="s">
        <v>923</v>
      </c>
      <c r="C1804" t="s">
        <v>536</v>
      </c>
      <c r="D1804" s="68">
        <v>218</v>
      </c>
      <c r="E1804" s="68"/>
      <c r="F1804" s="68">
        <v>1514</v>
      </c>
      <c r="G1804" s="68">
        <v>1732</v>
      </c>
      <c r="H18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05" spans="1:8" hidden="1" x14ac:dyDescent="0.3">
      <c r="A1805" t="s">
        <v>921</v>
      </c>
      <c r="B1805" t="s">
        <v>923</v>
      </c>
      <c r="C1805" t="s">
        <v>26</v>
      </c>
      <c r="D1805" s="68">
        <v>128</v>
      </c>
      <c r="E1805" s="68"/>
      <c r="F1805" s="68">
        <v>89</v>
      </c>
      <c r="G1805" s="68">
        <v>217</v>
      </c>
      <c r="H18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06" spans="1:8" hidden="1" x14ac:dyDescent="0.3">
      <c r="A1806" t="s">
        <v>921</v>
      </c>
      <c r="B1806" t="s">
        <v>923</v>
      </c>
      <c r="C1806" t="s">
        <v>27</v>
      </c>
      <c r="D1806" s="68"/>
      <c r="E1806" s="68">
        <v>41</v>
      </c>
      <c r="F1806" s="68"/>
      <c r="G1806" s="68">
        <v>41</v>
      </c>
      <c r="H18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07" spans="1:8" hidden="1" x14ac:dyDescent="0.3">
      <c r="A1807" t="s">
        <v>921</v>
      </c>
      <c r="B1807" t="s">
        <v>924</v>
      </c>
      <c r="C1807" t="s">
        <v>536</v>
      </c>
      <c r="D1807" s="68">
        <v>750</v>
      </c>
      <c r="E1807" s="68"/>
      <c r="F1807" s="68">
        <v>8010</v>
      </c>
      <c r="G1807" s="68">
        <v>8760</v>
      </c>
      <c r="H18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08" spans="1:8" hidden="1" x14ac:dyDescent="0.3">
      <c r="A1808" t="s">
        <v>921</v>
      </c>
      <c r="B1808" t="s">
        <v>924</v>
      </c>
      <c r="C1808" t="s">
        <v>26</v>
      </c>
      <c r="D1808" s="68">
        <v>393</v>
      </c>
      <c r="E1808" s="68"/>
      <c r="F1808" s="68">
        <v>1405</v>
      </c>
      <c r="G1808" s="68">
        <v>1798</v>
      </c>
      <c r="H18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09" spans="1:8" hidden="1" x14ac:dyDescent="0.3">
      <c r="A1809" t="s">
        <v>921</v>
      </c>
      <c r="B1809" t="s">
        <v>924</v>
      </c>
      <c r="C1809" t="s">
        <v>5</v>
      </c>
      <c r="D1809" s="68">
        <v>268</v>
      </c>
      <c r="E1809" s="68"/>
      <c r="F1809" s="68">
        <v>276</v>
      </c>
      <c r="G1809" s="68">
        <v>544</v>
      </c>
      <c r="H18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10" spans="1:8" hidden="1" x14ac:dyDescent="0.3">
      <c r="A1810" t="s">
        <v>921</v>
      </c>
      <c r="B1810" t="s">
        <v>924</v>
      </c>
      <c r="C1810" t="s">
        <v>27</v>
      </c>
      <c r="D1810" s="68"/>
      <c r="E1810" s="68">
        <v>305</v>
      </c>
      <c r="F1810" s="68"/>
      <c r="G1810" s="68">
        <v>305</v>
      </c>
      <c r="H18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11" spans="1:8" hidden="1" x14ac:dyDescent="0.3">
      <c r="A1811" t="s">
        <v>921</v>
      </c>
      <c r="B1811" t="s">
        <v>925</v>
      </c>
      <c r="C1811" t="s">
        <v>536</v>
      </c>
      <c r="D1811" s="68">
        <v>136</v>
      </c>
      <c r="E1811" s="68"/>
      <c r="F1811" s="68">
        <v>560</v>
      </c>
      <c r="G1811" s="68">
        <v>696</v>
      </c>
      <c r="H18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12" spans="1:8" hidden="1" x14ac:dyDescent="0.3">
      <c r="A1812" t="s">
        <v>921</v>
      </c>
      <c r="B1812" t="s">
        <v>925</v>
      </c>
      <c r="C1812" t="s">
        <v>26</v>
      </c>
      <c r="D1812" s="68">
        <v>101</v>
      </c>
      <c r="E1812" s="68"/>
      <c r="F1812" s="68">
        <v>34</v>
      </c>
      <c r="G1812" s="68">
        <v>135</v>
      </c>
      <c r="H18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13" spans="1:8" hidden="1" x14ac:dyDescent="0.3">
      <c r="A1813" t="s">
        <v>921</v>
      </c>
      <c r="B1813" t="s">
        <v>925</v>
      </c>
      <c r="C1813" t="s">
        <v>27</v>
      </c>
      <c r="D1813" s="68"/>
      <c r="E1813" s="68">
        <v>42</v>
      </c>
      <c r="F1813" s="68"/>
      <c r="G1813" s="68">
        <v>42</v>
      </c>
      <c r="H18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14" spans="1:8" hidden="1" x14ac:dyDescent="0.3">
      <c r="A1814" t="s">
        <v>921</v>
      </c>
      <c r="B1814" t="s">
        <v>926</v>
      </c>
      <c r="C1814" t="s">
        <v>26</v>
      </c>
      <c r="D1814" s="68">
        <v>5553</v>
      </c>
      <c r="E1814" s="68"/>
      <c r="F1814" s="68">
        <v>5695</v>
      </c>
      <c r="G1814" s="68">
        <v>11248</v>
      </c>
      <c r="H18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15" spans="1:8" hidden="1" x14ac:dyDescent="0.3">
      <c r="A1815" t="s">
        <v>921</v>
      </c>
      <c r="B1815" t="s">
        <v>926</v>
      </c>
      <c r="C1815" t="s">
        <v>536</v>
      </c>
      <c r="D1815" s="68">
        <v>631</v>
      </c>
      <c r="E1815" s="68"/>
      <c r="F1815" s="68">
        <v>4752</v>
      </c>
      <c r="G1815" s="68">
        <v>5383</v>
      </c>
      <c r="H18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16" spans="1:8" hidden="1" x14ac:dyDescent="0.3">
      <c r="A1816" t="s">
        <v>921</v>
      </c>
      <c r="B1816" t="s">
        <v>926</v>
      </c>
      <c r="C1816" t="s">
        <v>5</v>
      </c>
      <c r="D1816" s="68">
        <v>472</v>
      </c>
      <c r="E1816" s="68"/>
      <c r="F1816" s="68">
        <v>390</v>
      </c>
      <c r="G1816" s="68">
        <v>862</v>
      </c>
      <c r="H18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17" spans="1:8" hidden="1" x14ac:dyDescent="0.3">
      <c r="A1817" t="s">
        <v>921</v>
      </c>
      <c r="B1817" t="s">
        <v>926</v>
      </c>
      <c r="C1817" t="s">
        <v>27</v>
      </c>
      <c r="D1817" s="68"/>
      <c r="E1817" s="68">
        <v>279</v>
      </c>
      <c r="F1817" s="68"/>
      <c r="G1817" s="68">
        <v>279</v>
      </c>
      <c r="H18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18" spans="1:8" hidden="1" x14ac:dyDescent="0.3">
      <c r="A1818" t="s">
        <v>921</v>
      </c>
      <c r="B1818" t="s">
        <v>926</v>
      </c>
      <c r="C1818" t="s">
        <v>31</v>
      </c>
      <c r="D1818" s="68">
        <v>4</v>
      </c>
      <c r="E1818" s="68"/>
      <c r="F1818" s="68"/>
      <c r="G1818" s="68">
        <v>4</v>
      </c>
      <c r="H18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19" spans="1:8" hidden="1" x14ac:dyDescent="0.3">
      <c r="A1819" t="s">
        <v>921</v>
      </c>
      <c r="B1819" t="s">
        <v>927</v>
      </c>
      <c r="C1819" t="s">
        <v>536</v>
      </c>
      <c r="D1819" s="68">
        <v>1188</v>
      </c>
      <c r="E1819" s="68"/>
      <c r="F1819" s="68">
        <v>7803</v>
      </c>
      <c r="G1819" s="68">
        <v>8991</v>
      </c>
      <c r="H18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20" spans="1:8" hidden="1" x14ac:dyDescent="0.3">
      <c r="A1820" t="s">
        <v>921</v>
      </c>
      <c r="B1820" t="s">
        <v>927</v>
      </c>
      <c r="C1820" t="s">
        <v>26</v>
      </c>
      <c r="D1820" s="68">
        <v>1500</v>
      </c>
      <c r="E1820" s="68"/>
      <c r="F1820" s="68">
        <v>1514</v>
      </c>
      <c r="G1820" s="68">
        <v>3014</v>
      </c>
      <c r="H18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21" spans="1:8" hidden="1" x14ac:dyDescent="0.3">
      <c r="A1821" t="s">
        <v>921</v>
      </c>
      <c r="B1821" t="s">
        <v>927</v>
      </c>
      <c r="C1821" t="s">
        <v>5</v>
      </c>
      <c r="D1821" s="68">
        <v>1550</v>
      </c>
      <c r="E1821" s="68"/>
      <c r="F1821" s="68">
        <v>1014</v>
      </c>
      <c r="G1821" s="68">
        <v>2564</v>
      </c>
      <c r="H18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22" spans="1:8" hidden="1" x14ac:dyDescent="0.3">
      <c r="A1822" t="s">
        <v>921</v>
      </c>
      <c r="B1822" t="s">
        <v>927</v>
      </c>
      <c r="C1822" t="s">
        <v>27</v>
      </c>
      <c r="D1822" s="68"/>
      <c r="E1822" s="68">
        <v>449</v>
      </c>
      <c r="F1822" s="68"/>
      <c r="G1822" s="68">
        <v>449</v>
      </c>
      <c r="H18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23" spans="1:8" hidden="1" x14ac:dyDescent="0.3">
      <c r="A1823" t="s">
        <v>921</v>
      </c>
      <c r="B1823" t="s">
        <v>927</v>
      </c>
      <c r="C1823" t="s">
        <v>30</v>
      </c>
      <c r="D1823" s="68"/>
      <c r="E1823" s="68"/>
      <c r="F1823" s="68">
        <v>2</v>
      </c>
      <c r="G1823" s="68">
        <v>2</v>
      </c>
      <c r="H18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24" spans="1:8" hidden="1" x14ac:dyDescent="0.3">
      <c r="A1824" t="s">
        <v>921</v>
      </c>
      <c r="B1824" t="s">
        <v>928</v>
      </c>
      <c r="C1824" t="s">
        <v>536</v>
      </c>
      <c r="D1824" s="68">
        <v>528</v>
      </c>
      <c r="E1824" s="68"/>
      <c r="F1824" s="68">
        <v>4653</v>
      </c>
      <c r="G1824" s="68">
        <v>5181</v>
      </c>
      <c r="H18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25" spans="1:8" hidden="1" x14ac:dyDescent="0.3">
      <c r="A1825" t="s">
        <v>921</v>
      </c>
      <c r="B1825" t="s">
        <v>928</v>
      </c>
      <c r="C1825" t="s">
        <v>26</v>
      </c>
      <c r="D1825" s="68">
        <v>388</v>
      </c>
      <c r="E1825" s="68"/>
      <c r="F1825" s="68">
        <v>1215</v>
      </c>
      <c r="G1825" s="68">
        <v>1603</v>
      </c>
      <c r="H18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26" spans="1:8" hidden="1" x14ac:dyDescent="0.3">
      <c r="A1826" t="s">
        <v>921</v>
      </c>
      <c r="B1826" t="s">
        <v>928</v>
      </c>
      <c r="C1826" t="s">
        <v>27</v>
      </c>
      <c r="D1826" s="68"/>
      <c r="E1826" s="68">
        <v>148</v>
      </c>
      <c r="F1826" s="68"/>
      <c r="G1826" s="68">
        <v>148</v>
      </c>
      <c r="H18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27" spans="1:8" hidden="1" x14ac:dyDescent="0.3">
      <c r="A1827" t="s">
        <v>921</v>
      </c>
      <c r="B1827" t="s">
        <v>928</v>
      </c>
      <c r="C1827" t="s">
        <v>5</v>
      </c>
      <c r="D1827" s="68">
        <v>73</v>
      </c>
      <c r="E1827" s="68"/>
      <c r="F1827" s="68">
        <v>52</v>
      </c>
      <c r="G1827" s="68">
        <v>125</v>
      </c>
      <c r="H18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28" spans="1:8" hidden="1" x14ac:dyDescent="0.3">
      <c r="A1828" t="s">
        <v>921</v>
      </c>
      <c r="B1828" t="s">
        <v>929</v>
      </c>
      <c r="C1828" t="s">
        <v>26</v>
      </c>
      <c r="D1828" s="68">
        <v>1055</v>
      </c>
      <c r="E1828" s="68"/>
      <c r="F1828" s="68">
        <v>3633</v>
      </c>
      <c r="G1828" s="68">
        <v>4688</v>
      </c>
      <c r="H18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29" spans="1:8" hidden="1" x14ac:dyDescent="0.3">
      <c r="A1829" t="s">
        <v>921</v>
      </c>
      <c r="B1829" t="s">
        <v>929</v>
      </c>
      <c r="C1829" t="s">
        <v>536</v>
      </c>
      <c r="D1829" s="68">
        <v>587</v>
      </c>
      <c r="E1829" s="68"/>
      <c r="F1829" s="68">
        <v>4034</v>
      </c>
      <c r="G1829" s="68">
        <v>4621</v>
      </c>
      <c r="H18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30" spans="1:8" hidden="1" x14ac:dyDescent="0.3">
      <c r="A1830" t="s">
        <v>921</v>
      </c>
      <c r="B1830" t="s">
        <v>929</v>
      </c>
      <c r="C1830" t="s">
        <v>5</v>
      </c>
      <c r="D1830" s="68">
        <v>293</v>
      </c>
      <c r="E1830" s="68"/>
      <c r="F1830" s="68">
        <v>180</v>
      </c>
      <c r="G1830" s="68">
        <v>473</v>
      </c>
      <c r="H18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31" spans="1:8" hidden="1" x14ac:dyDescent="0.3">
      <c r="A1831" t="s">
        <v>921</v>
      </c>
      <c r="B1831" t="s">
        <v>929</v>
      </c>
      <c r="C1831" t="s">
        <v>27</v>
      </c>
      <c r="D1831" s="68"/>
      <c r="E1831" s="68">
        <v>224</v>
      </c>
      <c r="F1831" s="68"/>
      <c r="G1831" s="68">
        <v>224</v>
      </c>
      <c r="H18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32" spans="1:8" hidden="1" x14ac:dyDescent="0.3">
      <c r="A1832" t="s">
        <v>921</v>
      </c>
      <c r="B1832" t="s">
        <v>930</v>
      </c>
      <c r="C1832" t="s">
        <v>536</v>
      </c>
      <c r="D1832" s="68">
        <v>2117</v>
      </c>
      <c r="E1832" s="68"/>
      <c r="F1832" s="68">
        <v>20219</v>
      </c>
      <c r="G1832" s="68">
        <v>22336</v>
      </c>
      <c r="H18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33" spans="1:8" hidden="1" x14ac:dyDescent="0.3">
      <c r="A1833" t="s">
        <v>921</v>
      </c>
      <c r="B1833" t="s">
        <v>930</v>
      </c>
      <c r="C1833" t="s">
        <v>26</v>
      </c>
      <c r="D1833" s="68">
        <v>3384</v>
      </c>
      <c r="E1833" s="68"/>
      <c r="F1833" s="68">
        <v>9679</v>
      </c>
      <c r="G1833" s="68">
        <v>13063</v>
      </c>
      <c r="H18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34" spans="1:8" hidden="1" x14ac:dyDescent="0.3">
      <c r="A1834" t="s">
        <v>921</v>
      </c>
      <c r="B1834" t="s">
        <v>930</v>
      </c>
      <c r="C1834" t="s">
        <v>5</v>
      </c>
      <c r="D1834" s="68">
        <v>1475</v>
      </c>
      <c r="E1834" s="68"/>
      <c r="F1834" s="68">
        <v>1114</v>
      </c>
      <c r="G1834" s="68">
        <v>2589</v>
      </c>
      <c r="H18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35" spans="1:8" hidden="1" x14ac:dyDescent="0.3">
      <c r="A1835" t="s">
        <v>921</v>
      </c>
      <c r="B1835" t="s">
        <v>930</v>
      </c>
      <c r="C1835" t="s">
        <v>27</v>
      </c>
      <c r="D1835" s="68"/>
      <c r="E1835" s="68">
        <v>862</v>
      </c>
      <c r="F1835" s="68"/>
      <c r="G1835" s="68">
        <v>862</v>
      </c>
      <c r="H18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36" spans="1:8" hidden="1" x14ac:dyDescent="0.3">
      <c r="A1836" t="s">
        <v>921</v>
      </c>
      <c r="B1836" t="s">
        <v>931</v>
      </c>
      <c r="C1836" t="s">
        <v>536</v>
      </c>
      <c r="D1836" s="68">
        <v>715</v>
      </c>
      <c r="E1836" s="68"/>
      <c r="F1836" s="68">
        <v>5779</v>
      </c>
      <c r="G1836" s="68">
        <v>6494</v>
      </c>
      <c r="H18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37" spans="1:8" hidden="1" x14ac:dyDescent="0.3">
      <c r="A1837" t="s">
        <v>921</v>
      </c>
      <c r="B1837" t="s">
        <v>931</v>
      </c>
      <c r="C1837" t="s">
        <v>26</v>
      </c>
      <c r="D1837" s="68">
        <v>943</v>
      </c>
      <c r="E1837" s="68"/>
      <c r="F1837" s="68">
        <v>2644</v>
      </c>
      <c r="G1837" s="68">
        <v>3587</v>
      </c>
      <c r="H18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38" spans="1:8" hidden="1" x14ac:dyDescent="0.3">
      <c r="A1838" t="s">
        <v>921</v>
      </c>
      <c r="B1838" t="s">
        <v>931</v>
      </c>
      <c r="C1838" t="s">
        <v>5</v>
      </c>
      <c r="D1838" s="68">
        <v>458</v>
      </c>
      <c r="E1838" s="68"/>
      <c r="F1838" s="68">
        <v>406</v>
      </c>
      <c r="G1838" s="68">
        <v>864</v>
      </c>
      <c r="H18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39" spans="1:8" hidden="1" x14ac:dyDescent="0.3">
      <c r="A1839" t="s">
        <v>921</v>
      </c>
      <c r="B1839" t="s">
        <v>931</v>
      </c>
      <c r="C1839" t="s">
        <v>27</v>
      </c>
      <c r="D1839" s="68"/>
      <c r="E1839" s="68">
        <v>226</v>
      </c>
      <c r="F1839" s="68"/>
      <c r="G1839" s="68">
        <v>226</v>
      </c>
      <c r="H18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40" spans="1:8" hidden="1" x14ac:dyDescent="0.3">
      <c r="A1840" t="s">
        <v>921</v>
      </c>
      <c r="B1840" t="s">
        <v>932</v>
      </c>
      <c r="C1840" t="s">
        <v>536</v>
      </c>
      <c r="D1840" s="68">
        <v>148</v>
      </c>
      <c r="E1840" s="68"/>
      <c r="F1840" s="68">
        <v>768</v>
      </c>
      <c r="G1840" s="68">
        <v>916</v>
      </c>
      <c r="H18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41" spans="1:8" hidden="1" x14ac:dyDescent="0.3">
      <c r="A1841" t="s">
        <v>921</v>
      </c>
      <c r="B1841" t="s">
        <v>932</v>
      </c>
      <c r="C1841" t="s">
        <v>26</v>
      </c>
      <c r="D1841" s="68">
        <v>68</v>
      </c>
      <c r="E1841" s="68"/>
      <c r="F1841" s="68">
        <v>60</v>
      </c>
      <c r="G1841" s="68">
        <v>128</v>
      </c>
      <c r="H18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42" spans="1:8" hidden="1" x14ac:dyDescent="0.3">
      <c r="A1842" t="s">
        <v>921</v>
      </c>
      <c r="B1842" t="s">
        <v>932</v>
      </c>
      <c r="C1842" t="s">
        <v>27</v>
      </c>
      <c r="D1842" s="68"/>
      <c r="E1842" s="68">
        <v>40</v>
      </c>
      <c r="F1842" s="68"/>
      <c r="G1842" s="68">
        <v>40</v>
      </c>
      <c r="H18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43" spans="1:8" hidden="1" x14ac:dyDescent="0.3">
      <c r="A1843" t="s">
        <v>921</v>
      </c>
      <c r="B1843" t="s">
        <v>638</v>
      </c>
      <c r="C1843" t="s">
        <v>536</v>
      </c>
      <c r="D1843" s="68">
        <v>300</v>
      </c>
      <c r="E1843" s="68"/>
      <c r="F1843" s="68">
        <v>1648</v>
      </c>
      <c r="G1843" s="68">
        <v>1948</v>
      </c>
      <c r="H18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44" spans="1:8" hidden="1" x14ac:dyDescent="0.3">
      <c r="A1844" t="s">
        <v>921</v>
      </c>
      <c r="B1844" t="s">
        <v>638</v>
      </c>
      <c r="C1844" t="s">
        <v>26</v>
      </c>
      <c r="D1844" s="68">
        <v>186</v>
      </c>
      <c r="E1844" s="68"/>
      <c r="F1844" s="68">
        <v>148</v>
      </c>
      <c r="G1844" s="68">
        <v>334</v>
      </c>
      <c r="H18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45" spans="1:8" hidden="1" x14ac:dyDescent="0.3">
      <c r="A1845" t="s">
        <v>921</v>
      </c>
      <c r="B1845" t="s">
        <v>638</v>
      </c>
      <c r="C1845" t="s">
        <v>5</v>
      </c>
      <c r="D1845" s="68">
        <v>110</v>
      </c>
      <c r="E1845" s="68"/>
      <c r="F1845" s="68">
        <v>71</v>
      </c>
      <c r="G1845" s="68">
        <v>181</v>
      </c>
      <c r="H18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46" spans="1:8" hidden="1" x14ac:dyDescent="0.3">
      <c r="A1846" t="s">
        <v>921</v>
      </c>
      <c r="B1846" t="s">
        <v>638</v>
      </c>
      <c r="C1846" t="s">
        <v>27</v>
      </c>
      <c r="D1846" s="68"/>
      <c r="E1846" s="68">
        <v>83</v>
      </c>
      <c r="F1846" s="68"/>
      <c r="G1846" s="68">
        <v>83</v>
      </c>
      <c r="H18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47" spans="1:8" hidden="1" x14ac:dyDescent="0.3">
      <c r="A1847" t="s">
        <v>921</v>
      </c>
      <c r="B1847" t="s">
        <v>933</v>
      </c>
      <c r="C1847" t="s">
        <v>536</v>
      </c>
      <c r="D1847" s="68">
        <v>232</v>
      </c>
      <c r="E1847" s="68"/>
      <c r="F1847" s="68">
        <v>1067</v>
      </c>
      <c r="G1847" s="68">
        <v>1299</v>
      </c>
      <c r="H18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48" spans="1:8" hidden="1" x14ac:dyDescent="0.3">
      <c r="A1848" t="s">
        <v>921</v>
      </c>
      <c r="B1848" t="s">
        <v>933</v>
      </c>
      <c r="C1848" t="s">
        <v>26</v>
      </c>
      <c r="D1848" s="68">
        <v>159</v>
      </c>
      <c r="E1848" s="68"/>
      <c r="F1848" s="68">
        <v>114</v>
      </c>
      <c r="G1848" s="68">
        <v>273</v>
      </c>
      <c r="H18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49" spans="1:8" hidden="1" x14ac:dyDescent="0.3">
      <c r="A1849" t="s">
        <v>921</v>
      </c>
      <c r="B1849" t="s">
        <v>933</v>
      </c>
      <c r="C1849" t="s">
        <v>27</v>
      </c>
      <c r="D1849" s="68"/>
      <c r="E1849" s="68">
        <v>30</v>
      </c>
      <c r="F1849" s="68"/>
      <c r="G1849" s="68">
        <v>30</v>
      </c>
      <c r="H18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0" spans="1:8" hidden="1" x14ac:dyDescent="0.3">
      <c r="A1850" t="s">
        <v>921</v>
      </c>
      <c r="B1850" t="s">
        <v>934</v>
      </c>
      <c r="C1850" t="s">
        <v>26</v>
      </c>
      <c r="D1850" s="68">
        <v>851</v>
      </c>
      <c r="E1850" s="68"/>
      <c r="F1850" s="68">
        <v>2881</v>
      </c>
      <c r="G1850" s="68">
        <v>3732</v>
      </c>
      <c r="H18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51" spans="1:8" hidden="1" x14ac:dyDescent="0.3">
      <c r="A1851" t="s">
        <v>921</v>
      </c>
      <c r="B1851" t="s">
        <v>934</v>
      </c>
      <c r="C1851" t="s">
        <v>536</v>
      </c>
      <c r="D1851" s="68">
        <v>409</v>
      </c>
      <c r="E1851" s="68"/>
      <c r="F1851" s="68">
        <v>2810</v>
      </c>
      <c r="G1851" s="68">
        <v>3219</v>
      </c>
      <c r="H18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2" spans="1:8" hidden="1" x14ac:dyDescent="0.3">
      <c r="A1852" t="s">
        <v>921</v>
      </c>
      <c r="B1852" t="s">
        <v>934</v>
      </c>
      <c r="C1852" t="s">
        <v>5</v>
      </c>
      <c r="D1852" s="68">
        <v>230</v>
      </c>
      <c r="E1852" s="68"/>
      <c r="F1852" s="68">
        <v>216</v>
      </c>
      <c r="G1852" s="68">
        <v>446</v>
      </c>
      <c r="H18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53" spans="1:8" hidden="1" x14ac:dyDescent="0.3">
      <c r="A1853" t="s">
        <v>921</v>
      </c>
      <c r="B1853" t="s">
        <v>934</v>
      </c>
      <c r="C1853" t="s">
        <v>27</v>
      </c>
      <c r="D1853" s="68"/>
      <c r="E1853" s="68">
        <v>140</v>
      </c>
      <c r="F1853" s="68"/>
      <c r="G1853" s="68">
        <v>140</v>
      </c>
      <c r="H18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4" spans="1:8" hidden="1" x14ac:dyDescent="0.3">
      <c r="A1854" t="s">
        <v>921</v>
      </c>
      <c r="B1854" t="s">
        <v>934</v>
      </c>
      <c r="C1854" t="s">
        <v>36</v>
      </c>
      <c r="D1854" s="68">
        <v>1</v>
      </c>
      <c r="E1854" s="68"/>
      <c r="F1854" s="68"/>
      <c r="G1854" s="68">
        <v>1</v>
      </c>
      <c r="H18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5" spans="1:8" hidden="1" x14ac:dyDescent="0.3">
      <c r="A1855" t="s">
        <v>921</v>
      </c>
      <c r="B1855" t="s">
        <v>935</v>
      </c>
      <c r="C1855" t="s">
        <v>536</v>
      </c>
      <c r="D1855" s="68">
        <v>431</v>
      </c>
      <c r="E1855" s="68"/>
      <c r="F1855" s="68">
        <v>4920</v>
      </c>
      <c r="G1855" s="68">
        <v>5351</v>
      </c>
      <c r="H18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6" spans="1:8" hidden="1" x14ac:dyDescent="0.3">
      <c r="A1856" t="s">
        <v>921</v>
      </c>
      <c r="B1856" t="s">
        <v>935</v>
      </c>
      <c r="C1856" t="s">
        <v>26</v>
      </c>
      <c r="D1856" s="68">
        <v>186</v>
      </c>
      <c r="E1856" s="68"/>
      <c r="F1856" s="68">
        <v>185</v>
      </c>
      <c r="G1856" s="68">
        <v>371</v>
      </c>
      <c r="H18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57" spans="1:8" hidden="1" x14ac:dyDescent="0.3">
      <c r="A1857" t="s">
        <v>921</v>
      </c>
      <c r="B1857" t="s">
        <v>935</v>
      </c>
      <c r="C1857" t="s">
        <v>27</v>
      </c>
      <c r="D1857" s="68"/>
      <c r="E1857" s="68">
        <v>144</v>
      </c>
      <c r="F1857" s="68"/>
      <c r="G1857" s="68">
        <v>144</v>
      </c>
      <c r="H18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8" spans="1:8" hidden="1" x14ac:dyDescent="0.3">
      <c r="A1858" t="s">
        <v>921</v>
      </c>
      <c r="B1858" t="s">
        <v>936</v>
      </c>
      <c r="C1858" t="s">
        <v>536</v>
      </c>
      <c r="D1858" s="68">
        <v>1214</v>
      </c>
      <c r="E1858" s="68"/>
      <c r="F1858" s="68">
        <v>8056</v>
      </c>
      <c r="G1858" s="68">
        <v>9270</v>
      </c>
      <c r="H18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9" spans="1:8" hidden="1" x14ac:dyDescent="0.3">
      <c r="A1859" t="s">
        <v>921</v>
      </c>
      <c r="B1859" t="s">
        <v>936</v>
      </c>
      <c r="C1859" t="s">
        <v>26</v>
      </c>
      <c r="D1859" s="68">
        <v>4244</v>
      </c>
      <c r="E1859" s="68"/>
      <c r="F1859" s="68">
        <v>4475</v>
      </c>
      <c r="G1859" s="68">
        <v>8719</v>
      </c>
      <c r="H18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60" spans="1:8" hidden="1" x14ac:dyDescent="0.3">
      <c r="A1860" t="s">
        <v>921</v>
      </c>
      <c r="B1860" t="s">
        <v>936</v>
      </c>
      <c r="C1860" t="s">
        <v>5</v>
      </c>
      <c r="D1860" s="68">
        <v>3200</v>
      </c>
      <c r="E1860" s="68"/>
      <c r="F1860" s="68">
        <v>2089</v>
      </c>
      <c r="G1860" s="68">
        <v>5289</v>
      </c>
      <c r="H18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61" spans="1:8" hidden="1" x14ac:dyDescent="0.3">
      <c r="A1861" t="s">
        <v>921</v>
      </c>
      <c r="B1861" t="s">
        <v>936</v>
      </c>
      <c r="C1861" t="s">
        <v>27</v>
      </c>
      <c r="D1861" s="68"/>
      <c r="E1861" s="68">
        <v>443</v>
      </c>
      <c r="F1861" s="68"/>
      <c r="G1861" s="68">
        <v>443</v>
      </c>
      <c r="H18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62" spans="1:8" hidden="1" x14ac:dyDescent="0.3">
      <c r="A1862" t="s">
        <v>921</v>
      </c>
      <c r="B1862" t="s">
        <v>936</v>
      </c>
      <c r="C1862" t="s">
        <v>36</v>
      </c>
      <c r="D1862" s="68">
        <v>82</v>
      </c>
      <c r="E1862" s="68"/>
      <c r="F1862" s="68">
        <v>31</v>
      </c>
      <c r="G1862" s="68">
        <v>113</v>
      </c>
      <c r="H18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63" spans="1:8" hidden="1" x14ac:dyDescent="0.3">
      <c r="A1863" t="s">
        <v>921</v>
      </c>
      <c r="B1863" t="s">
        <v>936</v>
      </c>
      <c r="C1863" t="s">
        <v>31</v>
      </c>
      <c r="D1863" s="68">
        <v>5</v>
      </c>
      <c r="E1863" s="68"/>
      <c r="F1863" s="68"/>
      <c r="G1863" s="68">
        <v>5</v>
      </c>
      <c r="H18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64" spans="1:8" hidden="1" x14ac:dyDescent="0.3">
      <c r="A1864" t="s">
        <v>921</v>
      </c>
      <c r="B1864" t="s">
        <v>937</v>
      </c>
      <c r="C1864" t="s">
        <v>26</v>
      </c>
      <c r="D1864" s="68">
        <v>1385</v>
      </c>
      <c r="E1864" s="68"/>
      <c r="F1864" s="68">
        <v>4580</v>
      </c>
      <c r="G1864" s="68">
        <v>5965</v>
      </c>
      <c r="H18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65" spans="1:8" hidden="1" x14ac:dyDescent="0.3">
      <c r="A1865" t="s">
        <v>921</v>
      </c>
      <c r="B1865" t="s">
        <v>937</v>
      </c>
      <c r="C1865" t="s">
        <v>536</v>
      </c>
      <c r="D1865" s="68">
        <v>519</v>
      </c>
      <c r="E1865" s="68"/>
      <c r="F1865" s="68">
        <v>4748</v>
      </c>
      <c r="G1865" s="68">
        <v>5267</v>
      </c>
      <c r="H18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66" spans="1:8" hidden="1" x14ac:dyDescent="0.3">
      <c r="A1866" t="s">
        <v>921</v>
      </c>
      <c r="B1866" t="s">
        <v>937</v>
      </c>
      <c r="C1866" t="s">
        <v>5</v>
      </c>
      <c r="D1866" s="68">
        <v>310</v>
      </c>
      <c r="E1866" s="68"/>
      <c r="F1866" s="68">
        <v>263</v>
      </c>
      <c r="G1866" s="68">
        <v>573</v>
      </c>
      <c r="H18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67" spans="1:8" hidden="1" x14ac:dyDescent="0.3">
      <c r="A1867" t="s">
        <v>921</v>
      </c>
      <c r="B1867" t="s">
        <v>937</v>
      </c>
      <c r="C1867" t="s">
        <v>27</v>
      </c>
      <c r="D1867" s="68"/>
      <c r="E1867" s="68">
        <v>290</v>
      </c>
      <c r="F1867" s="68"/>
      <c r="G1867" s="68">
        <v>290</v>
      </c>
      <c r="H18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68" spans="1:8" hidden="1" x14ac:dyDescent="0.3">
      <c r="A1868" t="s">
        <v>921</v>
      </c>
      <c r="B1868" t="s">
        <v>757</v>
      </c>
      <c r="C1868" t="s">
        <v>26</v>
      </c>
      <c r="D1868" s="68">
        <v>11743</v>
      </c>
      <c r="E1868" s="68"/>
      <c r="F1868" s="68">
        <v>10448</v>
      </c>
      <c r="G1868" s="68">
        <v>22191</v>
      </c>
      <c r="H18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69" spans="1:8" hidden="1" x14ac:dyDescent="0.3">
      <c r="A1869" t="s">
        <v>921</v>
      </c>
      <c r="B1869" t="s">
        <v>757</v>
      </c>
      <c r="C1869" t="s">
        <v>536</v>
      </c>
      <c r="D1869" s="68">
        <v>982</v>
      </c>
      <c r="E1869" s="68"/>
      <c r="F1869" s="68">
        <v>7862</v>
      </c>
      <c r="G1869" s="68">
        <v>8844</v>
      </c>
      <c r="H18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70" spans="1:8" hidden="1" x14ac:dyDescent="0.3">
      <c r="A1870" t="s">
        <v>921</v>
      </c>
      <c r="B1870" t="s">
        <v>757</v>
      </c>
      <c r="C1870" t="s">
        <v>5</v>
      </c>
      <c r="D1870" s="68">
        <v>5195</v>
      </c>
      <c r="E1870" s="68"/>
      <c r="F1870" s="68">
        <v>2648</v>
      </c>
      <c r="G1870" s="68">
        <v>7843</v>
      </c>
      <c r="H18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71" spans="1:8" hidden="1" x14ac:dyDescent="0.3">
      <c r="A1871" t="s">
        <v>921</v>
      </c>
      <c r="B1871" t="s">
        <v>757</v>
      </c>
      <c r="C1871" t="s">
        <v>27</v>
      </c>
      <c r="D1871" s="68"/>
      <c r="E1871" s="68">
        <v>609</v>
      </c>
      <c r="F1871" s="68"/>
      <c r="G1871" s="68">
        <v>609</v>
      </c>
      <c r="H18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72" spans="1:8" hidden="1" x14ac:dyDescent="0.3">
      <c r="A1872" t="s">
        <v>921</v>
      </c>
      <c r="B1872" t="s">
        <v>757</v>
      </c>
      <c r="C1872" t="s">
        <v>31</v>
      </c>
      <c r="D1872" s="68">
        <v>1</v>
      </c>
      <c r="E1872" s="68"/>
      <c r="F1872" s="68"/>
      <c r="G1872" s="68">
        <v>1</v>
      </c>
      <c r="H18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73" spans="1:8" hidden="1" x14ac:dyDescent="0.3">
      <c r="A1873" t="s">
        <v>921</v>
      </c>
      <c r="B1873" t="s">
        <v>938</v>
      </c>
      <c r="C1873" t="s">
        <v>5</v>
      </c>
      <c r="D1873" s="68">
        <v>60281</v>
      </c>
      <c r="E1873" s="68"/>
      <c r="F1873" s="68">
        <v>14571</v>
      </c>
      <c r="G1873" s="68">
        <v>74852</v>
      </c>
      <c r="H18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74" spans="1:8" hidden="1" x14ac:dyDescent="0.3">
      <c r="A1874" t="s">
        <v>921</v>
      </c>
      <c r="B1874" t="s">
        <v>938</v>
      </c>
      <c r="C1874" t="s">
        <v>26</v>
      </c>
      <c r="D1874" s="68">
        <v>29734</v>
      </c>
      <c r="E1874" s="68"/>
      <c r="F1874" s="68">
        <v>34655</v>
      </c>
      <c r="G1874" s="68">
        <v>64389</v>
      </c>
      <c r="H18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75" spans="1:8" hidden="1" x14ac:dyDescent="0.3">
      <c r="A1875" t="s">
        <v>921</v>
      </c>
      <c r="B1875" t="s">
        <v>938</v>
      </c>
      <c r="C1875" t="s">
        <v>536</v>
      </c>
      <c r="D1875" s="68">
        <v>7314</v>
      </c>
      <c r="E1875" s="68"/>
      <c r="F1875" s="68">
        <v>46810</v>
      </c>
      <c r="G1875" s="68">
        <v>54124</v>
      </c>
      <c r="H18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76" spans="1:8" hidden="1" x14ac:dyDescent="0.3">
      <c r="A1876" t="s">
        <v>921</v>
      </c>
      <c r="B1876" t="s">
        <v>938</v>
      </c>
      <c r="C1876" t="s">
        <v>27</v>
      </c>
      <c r="D1876" s="68"/>
      <c r="E1876" s="68">
        <v>5804</v>
      </c>
      <c r="F1876" s="68"/>
      <c r="G1876" s="68">
        <v>5804</v>
      </c>
      <c r="H18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77" spans="1:8" hidden="1" x14ac:dyDescent="0.3">
      <c r="A1877" t="s">
        <v>921</v>
      </c>
      <c r="B1877" t="s">
        <v>938</v>
      </c>
      <c r="C1877" t="s">
        <v>31</v>
      </c>
      <c r="D1877" s="68">
        <v>1393</v>
      </c>
      <c r="E1877" s="68"/>
      <c r="F1877" s="68">
        <v>2055</v>
      </c>
      <c r="G1877" s="68">
        <v>3448</v>
      </c>
      <c r="H18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78" spans="1:8" hidden="1" x14ac:dyDescent="0.3">
      <c r="A1878" t="s">
        <v>921</v>
      </c>
      <c r="B1878" t="s">
        <v>938</v>
      </c>
      <c r="C1878" t="s">
        <v>36</v>
      </c>
      <c r="D1878" s="68">
        <v>1</v>
      </c>
      <c r="E1878" s="68"/>
      <c r="F1878" s="68"/>
      <c r="G1878" s="68">
        <v>1</v>
      </c>
      <c r="H18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79" spans="1:8" hidden="1" x14ac:dyDescent="0.3">
      <c r="A1879" t="s">
        <v>939</v>
      </c>
      <c r="B1879" t="s">
        <v>940</v>
      </c>
      <c r="C1879" t="s">
        <v>38</v>
      </c>
      <c r="D1879" s="68">
        <v>227</v>
      </c>
      <c r="E1879" s="68"/>
      <c r="F1879" s="68">
        <v>8506</v>
      </c>
      <c r="G1879" s="68">
        <v>8733</v>
      </c>
      <c r="H18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0" spans="1:8" hidden="1" x14ac:dyDescent="0.3">
      <c r="A1880" t="s">
        <v>939</v>
      </c>
      <c r="B1880" t="s">
        <v>940</v>
      </c>
      <c r="C1880" t="s">
        <v>26</v>
      </c>
      <c r="D1880" s="68">
        <v>423</v>
      </c>
      <c r="E1880" s="68"/>
      <c r="F1880" s="68">
        <v>3213</v>
      </c>
      <c r="G1880" s="68">
        <v>3636</v>
      </c>
      <c r="H18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1" spans="1:8" hidden="1" x14ac:dyDescent="0.3">
      <c r="A1881" t="s">
        <v>939</v>
      </c>
      <c r="B1881" t="s">
        <v>940</v>
      </c>
      <c r="C1881" t="s">
        <v>941</v>
      </c>
      <c r="D1881" s="68">
        <v>231</v>
      </c>
      <c r="E1881" s="68"/>
      <c r="F1881" s="68">
        <v>3070</v>
      </c>
      <c r="G1881" s="68">
        <v>3301</v>
      </c>
      <c r="H18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82" spans="1:8" hidden="1" x14ac:dyDescent="0.3">
      <c r="A1882" t="s">
        <v>939</v>
      </c>
      <c r="B1882" t="s">
        <v>940</v>
      </c>
      <c r="C1882" t="s">
        <v>27</v>
      </c>
      <c r="D1882" s="68"/>
      <c r="E1882" s="68">
        <v>298</v>
      </c>
      <c r="F1882" s="68"/>
      <c r="G1882" s="68">
        <v>298</v>
      </c>
      <c r="H18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83" spans="1:8" hidden="1" x14ac:dyDescent="0.3">
      <c r="A1883" t="s">
        <v>939</v>
      </c>
      <c r="B1883" t="s">
        <v>940</v>
      </c>
      <c r="C1883" t="s">
        <v>33</v>
      </c>
      <c r="D1883" s="68"/>
      <c r="E1883" s="68"/>
      <c r="F1883" s="68">
        <v>1</v>
      </c>
      <c r="G1883" s="68">
        <v>1</v>
      </c>
      <c r="H18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4" spans="1:8" hidden="1" x14ac:dyDescent="0.3">
      <c r="A1884" t="s">
        <v>939</v>
      </c>
      <c r="B1884" t="s">
        <v>49</v>
      </c>
      <c r="C1884" t="s">
        <v>38</v>
      </c>
      <c r="D1884" s="68">
        <v>632</v>
      </c>
      <c r="E1884" s="68"/>
      <c r="F1884" s="68">
        <v>21893</v>
      </c>
      <c r="G1884" s="68">
        <v>22525</v>
      </c>
      <c r="H18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5" spans="1:8" hidden="1" x14ac:dyDescent="0.3">
      <c r="A1885" t="s">
        <v>939</v>
      </c>
      <c r="B1885" t="s">
        <v>49</v>
      </c>
      <c r="C1885" t="s">
        <v>26</v>
      </c>
      <c r="D1885" s="68">
        <v>327</v>
      </c>
      <c r="E1885" s="68"/>
      <c r="F1885" s="68">
        <v>4473</v>
      </c>
      <c r="G1885" s="68">
        <v>4800</v>
      </c>
      <c r="H18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6" spans="1:8" hidden="1" x14ac:dyDescent="0.3">
      <c r="A1886" t="s">
        <v>939</v>
      </c>
      <c r="B1886" t="s">
        <v>49</v>
      </c>
      <c r="C1886" t="s">
        <v>27</v>
      </c>
      <c r="D1886" s="68"/>
      <c r="E1886" s="68">
        <v>487</v>
      </c>
      <c r="F1886" s="68"/>
      <c r="G1886" s="68">
        <v>487</v>
      </c>
      <c r="H18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87" spans="1:8" hidden="1" x14ac:dyDescent="0.3">
      <c r="A1887" t="s">
        <v>939</v>
      </c>
      <c r="B1887" t="s">
        <v>49</v>
      </c>
      <c r="C1887" t="s">
        <v>33</v>
      </c>
      <c r="D1887" s="68">
        <v>2</v>
      </c>
      <c r="E1887" s="68"/>
      <c r="F1887" s="68"/>
      <c r="G1887" s="68">
        <v>2</v>
      </c>
      <c r="H18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8" spans="1:8" hidden="1" x14ac:dyDescent="0.3">
      <c r="A1888" t="s">
        <v>939</v>
      </c>
      <c r="B1888" t="s">
        <v>942</v>
      </c>
      <c r="C1888" t="s">
        <v>38</v>
      </c>
      <c r="D1888" s="68">
        <v>639</v>
      </c>
      <c r="E1888" s="68"/>
      <c r="F1888" s="68">
        <v>19911</v>
      </c>
      <c r="G1888" s="68">
        <v>20550</v>
      </c>
      <c r="H18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9" spans="1:8" hidden="1" x14ac:dyDescent="0.3">
      <c r="A1889" t="s">
        <v>939</v>
      </c>
      <c r="B1889" t="s">
        <v>942</v>
      </c>
      <c r="C1889" t="s">
        <v>26</v>
      </c>
      <c r="D1889" s="68">
        <v>236</v>
      </c>
      <c r="E1889" s="68"/>
      <c r="F1889" s="68">
        <v>300</v>
      </c>
      <c r="G1889" s="68">
        <v>536</v>
      </c>
      <c r="H18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90" spans="1:8" hidden="1" x14ac:dyDescent="0.3">
      <c r="A1890" t="s">
        <v>939</v>
      </c>
      <c r="B1890" t="s">
        <v>942</v>
      </c>
      <c r="C1890" t="s">
        <v>27</v>
      </c>
      <c r="D1890" s="68"/>
      <c r="E1890" s="68">
        <v>319</v>
      </c>
      <c r="F1890" s="68"/>
      <c r="G1890" s="68">
        <v>319</v>
      </c>
      <c r="H18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91" spans="1:8" hidden="1" x14ac:dyDescent="0.3">
      <c r="A1891" t="s">
        <v>939</v>
      </c>
      <c r="B1891" t="s">
        <v>39</v>
      </c>
      <c r="C1891" t="s">
        <v>26</v>
      </c>
      <c r="D1891" s="68">
        <v>1670</v>
      </c>
      <c r="E1891" s="68"/>
      <c r="F1891" s="68">
        <v>21181</v>
      </c>
      <c r="G1891" s="68">
        <v>22851</v>
      </c>
      <c r="H18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92" spans="1:8" hidden="1" x14ac:dyDescent="0.3">
      <c r="A1892" t="s">
        <v>939</v>
      </c>
      <c r="B1892" t="s">
        <v>39</v>
      </c>
      <c r="C1892" t="s">
        <v>38</v>
      </c>
      <c r="D1892" s="68">
        <v>502</v>
      </c>
      <c r="E1892" s="68"/>
      <c r="F1892" s="68">
        <v>9219</v>
      </c>
      <c r="G1892" s="68">
        <v>9721</v>
      </c>
      <c r="H18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93" spans="1:8" hidden="1" x14ac:dyDescent="0.3">
      <c r="A1893" t="s">
        <v>939</v>
      </c>
      <c r="B1893" t="s">
        <v>39</v>
      </c>
      <c r="C1893" t="s">
        <v>941</v>
      </c>
      <c r="D1893" s="68">
        <v>233</v>
      </c>
      <c r="E1893" s="68"/>
      <c r="F1893" s="68">
        <v>2073</v>
      </c>
      <c r="G1893" s="68">
        <v>2306</v>
      </c>
      <c r="H18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94" spans="1:8" hidden="1" x14ac:dyDescent="0.3">
      <c r="A1894" t="s">
        <v>939</v>
      </c>
      <c r="B1894" t="s">
        <v>39</v>
      </c>
      <c r="C1894" t="s">
        <v>27</v>
      </c>
      <c r="D1894" s="68"/>
      <c r="E1894" s="68">
        <v>607</v>
      </c>
      <c r="F1894" s="68"/>
      <c r="G1894" s="68">
        <v>607</v>
      </c>
      <c r="H18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95" spans="1:8" hidden="1" x14ac:dyDescent="0.3">
      <c r="A1895" t="s">
        <v>939</v>
      </c>
      <c r="B1895" t="s">
        <v>39</v>
      </c>
      <c r="C1895" t="s">
        <v>33</v>
      </c>
      <c r="D1895" s="68">
        <v>1</v>
      </c>
      <c r="E1895" s="68"/>
      <c r="F1895" s="68"/>
      <c r="G1895" s="68">
        <v>1</v>
      </c>
      <c r="H18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96" spans="1:8" hidden="1" x14ac:dyDescent="0.3">
      <c r="A1896" t="s">
        <v>939</v>
      </c>
      <c r="B1896" t="s">
        <v>943</v>
      </c>
      <c r="C1896" t="s">
        <v>38</v>
      </c>
      <c r="D1896" s="68">
        <v>886</v>
      </c>
      <c r="E1896" s="68"/>
      <c r="F1896" s="68">
        <v>15532</v>
      </c>
      <c r="G1896" s="68">
        <v>16418</v>
      </c>
      <c r="H18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97" spans="1:8" hidden="1" x14ac:dyDescent="0.3">
      <c r="A1897" t="s">
        <v>939</v>
      </c>
      <c r="B1897" t="s">
        <v>943</v>
      </c>
      <c r="C1897" t="s">
        <v>941</v>
      </c>
      <c r="D1897" s="68">
        <v>210</v>
      </c>
      <c r="E1897" s="68"/>
      <c r="F1897" s="68">
        <v>4382</v>
      </c>
      <c r="G1897" s="68">
        <v>4592</v>
      </c>
      <c r="H18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98" spans="1:8" hidden="1" x14ac:dyDescent="0.3">
      <c r="A1898" t="s">
        <v>939</v>
      </c>
      <c r="B1898" t="s">
        <v>943</v>
      </c>
      <c r="C1898" t="s">
        <v>26</v>
      </c>
      <c r="D1898" s="68">
        <v>745</v>
      </c>
      <c r="E1898" s="68"/>
      <c r="F1898" s="68">
        <v>1106</v>
      </c>
      <c r="G1898" s="68">
        <v>1851</v>
      </c>
      <c r="H18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99" spans="1:8" hidden="1" x14ac:dyDescent="0.3">
      <c r="A1899" t="s">
        <v>939</v>
      </c>
      <c r="B1899" t="s">
        <v>943</v>
      </c>
      <c r="C1899" t="s">
        <v>25</v>
      </c>
      <c r="D1899" s="68">
        <v>31</v>
      </c>
      <c r="E1899" s="68"/>
      <c r="F1899" s="68">
        <v>1469</v>
      </c>
      <c r="G1899" s="68">
        <v>1500</v>
      </c>
      <c r="H18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00" spans="1:8" hidden="1" x14ac:dyDescent="0.3">
      <c r="A1900" t="s">
        <v>939</v>
      </c>
      <c r="B1900" t="s">
        <v>943</v>
      </c>
      <c r="C1900" t="s">
        <v>27</v>
      </c>
      <c r="D1900" s="68"/>
      <c r="E1900" s="68">
        <v>337</v>
      </c>
      <c r="F1900" s="68"/>
      <c r="G1900" s="68">
        <v>337</v>
      </c>
      <c r="H19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01" spans="1:8" hidden="1" x14ac:dyDescent="0.3">
      <c r="A1901" t="s">
        <v>939</v>
      </c>
      <c r="B1901" t="s">
        <v>943</v>
      </c>
      <c r="C1901" t="s">
        <v>33</v>
      </c>
      <c r="D1901" s="68">
        <v>3</v>
      </c>
      <c r="E1901" s="68"/>
      <c r="F1901" s="68">
        <v>2</v>
      </c>
      <c r="G1901" s="68">
        <v>5</v>
      </c>
      <c r="H19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02" spans="1:8" hidden="1" x14ac:dyDescent="0.3">
      <c r="A1902" t="s">
        <v>939</v>
      </c>
      <c r="B1902" t="s">
        <v>943</v>
      </c>
      <c r="C1902" t="s">
        <v>36</v>
      </c>
      <c r="D1902" s="68">
        <v>1</v>
      </c>
      <c r="E1902" s="68"/>
      <c r="F1902" s="68"/>
      <c r="G1902" s="68">
        <v>1</v>
      </c>
      <c r="H19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03" spans="1:8" hidden="1" x14ac:dyDescent="0.3">
      <c r="A1903" t="s">
        <v>939</v>
      </c>
      <c r="B1903" t="s">
        <v>944</v>
      </c>
      <c r="C1903" t="s">
        <v>38</v>
      </c>
      <c r="D1903" s="68">
        <v>1294</v>
      </c>
      <c r="E1903" s="68"/>
      <c r="F1903" s="68">
        <v>29287</v>
      </c>
      <c r="G1903" s="68">
        <v>30581</v>
      </c>
      <c r="H19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04" spans="1:8" hidden="1" x14ac:dyDescent="0.3">
      <c r="A1904" t="s">
        <v>939</v>
      </c>
      <c r="B1904" t="s">
        <v>944</v>
      </c>
      <c r="C1904" t="s">
        <v>25</v>
      </c>
      <c r="D1904" s="68">
        <v>122</v>
      </c>
      <c r="E1904" s="68"/>
      <c r="F1904" s="68">
        <v>909</v>
      </c>
      <c r="G1904" s="68">
        <v>1031</v>
      </c>
      <c r="H19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05" spans="1:8" hidden="1" x14ac:dyDescent="0.3">
      <c r="A1905" t="s">
        <v>939</v>
      </c>
      <c r="B1905" t="s">
        <v>944</v>
      </c>
      <c r="C1905" t="s">
        <v>26</v>
      </c>
      <c r="D1905" s="68">
        <v>400</v>
      </c>
      <c r="E1905" s="68"/>
      <c r="F1905" s="68">
        <v>461</v>
      </c>
      <c r="G1905" s="68">
        <v>861</v>
      </c>
      <c r="H19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06" spans="1:8" hidden="1" x14ac:dyDescent="0.3">
      <c r="A1906" t="s">
        <v>939</v>
      </c>
      <c r="B1906" t="s">
        <v>944</v>
      </c>
      <c r="C1906" t="s">
        <v>941</v>
      </c>
      <c r="D1906" s="68">
        <v>132</v>
      </c>
      <c r="E1906" s="68"/>
      <c r="F1906" s="68">
        <v>582</v>
      </c>
      <c r="G1906" s="68">
        <v>714</v>
      </c>
      <c r="H19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07" spans="1:8" hidden="1" x14ac:dyDescent="0.3">
      <c r="A1907" t="s">
        <v>939</v>
      </c>
      <c r="B1907" t="s">
        <v>944</v>
      </c>
      <c r="C1907" t="s">
        <v>27</v>
      </c>
      <c r="D1907" s="68"/>
      <c r="E1907" s="68">
        <v>330</v>
      </c>
      <c r="F1907" s="68"/>
      <c r="G1907" s="68">
        <v>330</v>
      </c>
      <c r="H19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08" spans="1:8" hidden="1" x14ac:dyDescent="0.3">
      <c r="A1908" t="s">
        <v>939</v>
      </c>
      <c r="B1908" t="s">
        <v>944</v>
      </c>
      <c r="C1908" t="s">
        <v>33</v>
      </c>
      <c r="D1908" s="68">
        <v>85</v>
      </c>
      <c r="E1908" s="68"/>
      <c r="F1908" s="68">
        <v>78</v>
      </c>
      <c r="G1908" s="68">
        <v>163</v>
      </c>
      <c r="H19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09" spans="1:8" hidden="1" x14ac:dyDescent="0.3">
      <c r="A1909" t="s">
        <v>939</v>
      </c>
      <c r="B1909" t="s">
        <v>945</v>
      </c>
      <c r="C1909" t="s">
        <v>941</v>
      </c>
      <c r="D1909" s="68">
        <v>1695</v>
      </c>
      <c r="E1909" s="68"/>
      <c r="F1909" s="68">
        <v>25622</v>
      </c>
      <c r="G1909" s="68">
        <v>27317</v>
      </c>
      <c r="H19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10" spans="1:8" hidden="1" x14ac:dyDescent="0.3">
      <c r="A1910" t="s">
        <v>939</v>
      </c>
      <c r="B1910" t="s">
        <v>945</v>
      </c>
      <c r="C1910" t="s">
        <v>38</v>
      </c>
      <c r="D1910" s="68">
        <v>288</v>
      </c>
      <c r="E1910" s="68"/>
      <c r="F1910" s="68">
        <v>5547</v>
      </c>
      <c r="G1910" s="68">
        <v>5835</v>
      </c>
      <c r="H19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11" spans="1:8" hidden="1" x14ac:dyDescent="0.3">
      <c r="A1911" t="s">
        <v>939</v>
      </c>
      <c r="B1911" t="s">
        <v>945</v>
      </c>
      <c r="C1911" t="s">
        <v>25</v>
      </c>
      <c r="D1911" s="68">
        <v>226</v>
      </c>
      <c r="E1911" s="68"/>
      <c r="F1911" s="68">
        <v>2467</v>
      </c>
      <c r="G1911" s="68">
        <v>2693</v>
      </c>
      <c r="H19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12" spans="1:8" hidden="1" x14ac:dyDescent="0.3">
      <c r="A1912" t="s">
        <v>939</v>
      </c>
      <c r="B1912" t="s">
        <v>945</v>
      </c>
      <c r="C1912" t="s">
        <v>26</v>
      </c>
      <c r="D1912" s="68">
        <v>430</v>
      </c>
      <c r="E1912" s="68"/>
      <c r="F1912" s="68">
        <v>2033</v>
      </c>
      <c r="G1912" s="68">
        <v>2463</v>
      </c>
      <c r="H19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13" spans="1:8" hidden="1" x14ac:dyDescent="0.3">
      <c r="A1913" t="s">
        <v>939</v>
      </c>
      <c r="B1913" t="s">
        <v>945</v>
      </c>
      <c r="C1913" t="s">
        <v>27</v>
      </c>
      <c r="D1913" s="68"/>
      <c r="E1913" s="68">
        <v>543</v>
      </c>
      <c r="F1913" s="68"/>
      <c r="G1913" s="68">
        <v>543</v>
      </c>
      <c r="H19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14" spans="1:8" hidden="1" x14ac:dyDescent="0.3">
      <c r="A1914" t="s">
        <v>939</v>
      </c>
      <c r="B1914" t="s">
        <v>945</v>
      </c>
      <c r="C1914" t="s">
        <v>33</v>
      </c>
      <c r="D1914" s="68">
        <v>79</v>
      </c>
      <c r="E1914" s="68"/>
      <c r="F1914" s="68">
        <v>65</v>
      </c>
      <c r="G1914" s="68">
        <v>144</v>
      </c>
      <c r="H19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15" spans="1:8" hidden="1" x14ac:dyDescent="0.3">
      <c r="A1915" t="s">
        <v>939</v>
      </c>
      <c r="B1915" t="s">
        <v>946</v>
      </c>
      <c r="C1915" t="s">
        <v>941</v>
      </c>
      <c r="D1915" s="68">
        <v>806</v>
      </c>
      <c r="E1915" s="68"/>
      <c r="F1915" s="68">
        <v>9831</v>
      </c>
      <c r="G1915" s="68">
        <v>10637</v>
      </c>
      <c r="H19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16" spans="1:8" hidden="1" x14ac:dyDescent="0.3">
      <c r="A1916" t="s">
        <v>939</v>
      </c>
      <c r="B1916" t="s">
        <v>946</v>
      </c>
      <c r="C1916" t="s">
        <v>40</v>
      </c>
      <c r="D1916" s="68">
        <v>276</v>
      </c>
      <c r="E1916" s="68"/>
      <c r="F1916" s="68">
        <v>4475</v>
      </c>
      <c r="G1916" s="68">
        <v>4751</v>
      </c>
      <c r="H19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17" spans="1:8" hidden="1" x14ac:dyDescent="0.3">
      <c r="A1917" t="s">
        <v>939</v>
      </c>
      <c r="B1917" t="s">
        <v>946</v>
      </c>
      <c r="C1917" t="s">
        <v>26</v>
      </c>
      <c r="D1917" s="68">
        <v>1625</v>
      </c>
      <c r="E1917" s="68"/>
      <c r="F1917" s="68">
        <v>1563</v>
      </c>
      <c r="G1917" s="68">
        <v>3188</v>
      </c>
      <c r="H19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18" spans="1:8" hidden="1" x14ac:dyDescent="0.3">
      <c r="A1918" t="s">
        <v>939</v>
      </c>
      <c r="B1918" t="s">
        <v>946</v>
      </c>
      <c r="C1918" t="s">
        <v>38</v>
      </c>
      <c r="D1918" s="68">
        <v>193</v>
      </c>
      <c r="E1918" s="68"/>
      <c r="F1918" s="68">
        <v>1952</v>
      </c>
      <c r="G1918" s="68">
        <v>2145</v>
      </c>
      <c r="H19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19" spans="1:8" hidden="1" x14ac:dyDescent="0.3">
      <c r="A1919" t="s">
        <v>939</v>
      </c>
      <c r="B1919" t="s">
        <v>946</v>
      </c>
      <c r="C1919" t="s">
        <v>33</v>
      </c>
      <c r="D1919" s="68">
        <v>1344</v>
      </c>
      <c r="E1919" s="68"/>
      <c r="F1919" s="68">
        <v>335</v>
      </c>
      <c r="G1919" s="68">
        <v>1679</v>
      </c>
      <c r="H19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20" spans="1:8" hidden="1" x14ac:dyDescent="0.3">
      <c r="A1920" t="s">
        <v>939</v>
      </c>
      <c r="B1920" t="s">
        <v>946</v>
      </c>
      <c r="C1920" t="s">
        <v>27</v>
      </c>
      <c r="D1920" s="68"/>
      <c r="E1920" s="68">
        <v>344</v>
      </c>
      <c r="F1920" s="68"/>
      <c r="G1920" s="68">
        <v>344</v>
      </c>
      <c r="H19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21" spans="1:8" hidden="1" x14ac:dyDescent="0.3">
      <c r="A1921" t="s">
        <v>939</v>
      </c>
      <c r="B1921" t="s">
        <v>947</v>
      </c>
      <c r="C1921" t="s">
        <v>38</v>
      </c>
      <c r="D1921" s="68">
        <v>351</v>
      </c>
      <c r="E1921" s="68"/>
      <c r="F1921" s="68">
        <v>10660</v>
      </c>
      <c r="G1921" s="68">
        <v>11011</v>
      </c>
      <c r="H19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22" spans="1:8" hidden="1" x14ac:dyDescent="0.3">
      <c r="A1922" t="s">
        <v>939</v>
      </c>
      <c r="B1922" t="s">
        <v>947</v>
      </c>
      <c r="C1922" t="s">
        <v>941</v>
      </c>
      <c r="D1922" s="68">
        <v>493</v>
      </c>
      <c r="E1922" s="68"/>
      <c r="F1922" s="68">
        <v>9307</v>
      </c>
      <c r="G1922" s="68">
        <v>9800</v>
      </c>
      <c r="H19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23" spans="1:8" hidden="1" x14ac:dyDescent="0.3">
      <c r="A1923" t="s">
        <v>939</v>
      </c>
      <c r="B1923" t="s">
        <v>947</v>
      </c>
      <c r="C1923" t="s">
        <v>26</v>
      </c>
      <c r="D1923" s="68">
        <v>1877</v>
      </c>
      <c r="E1923" s="68"/>
      <c r="F1923" s="68">
        <v>1869</v>
      </c>
      <c r="G1923" s="68">
        <v>3746</v>
      </c>
      <c r="H19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24" spans="1:8" hidden="1" x14ac:dyDescent="0.3">
      <c r="A1924" t="s">
        <v>939</v>
      </c>
      <c r="B1924" t="s">
        <v>947</v>
      </c>
      <c r="C1924" t="s">
        <v>33</v>
      </c>
      <c r="D1924" s="68">
        <v>1598</v>
      </c>
      <c r="E1924" s="68"/>
      <c r="F1924" s="68">
        <v>815</v>
      </c>
      <c r="G1924" s="68">
        <v>2413</v>
      </c>
      <c r="H19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25" spans="1:8" hidden="1" x14ac:dyDescent="0.3">
      <c r="A1925" t="s">
        <v>939</v>
      </c>
      <c r="B1925" t="s">
        <v>947</v>
      </c>
      <c r="C1925" t="s">
        <v>27</v>
      </c>
      <c r="D1925" s="68"/>
      <c r="E1925" s="68">
        <v>471</v>
      </c>
      <c r="F1925" s="68"/>
      <c r="G1925" s="68">
        <v>471</v>
      </c>
      <c r="H19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26" spans="1:8" hidden="1" x14ac:dyDescent="0.3">
      <c r="A1926" t="s">
        <v>939</v>
      </c>
      <c r="B1926" t="s">
        <v>948</v>
      </c>
      <c r="C1926" t="s">
        <v>38</v>
      </c>
      <c r="D1926" s="68">
        <v>1162</v>
      </c>
      <c r="E1926" s="68"/>
      <c r="F1926" s="68">
        <v>32024</v>
      </c>
      <c r="G1926" s="68">
        <v>33186</v>
      </c>
      <c r="H19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27" spans="1:8" hidden="1" x14ac:dyDescent="0.3">
      <c r="A1927" t="s">
        <v>939</v>
      </c>
      <c r="B1927" t="s">
        <v>948</v>
      </c>
      <c r="C1927" t="s">
        <v>26</v>
      </c>
      <c r="D1927" s="68">
        <v>1123</v>
      </c>
      <c r="E1927" s="68"/>
      <c r="F1927" s="68">
        <v>5963</v>
      </c>
      <c r="G1927" s="68">
        <v>7086</v>
      </c>
      <c r="H19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28" spans="1:8" hidden="1" x14ac:dyDescent="0.3">
      <c r="A1928" t="s">
        <v>939</v>
      </c>
      <c r="B1928" t="s">
        <v>948</v>
      </c>
      <c r="C1928" t="s">
        <v>941</v>
      </c>
      <c r="D1928" s="68">
        <v>290</v>
      </c>
      <c r="E1928" s="68"/>
      <c r="F1928" s="68">
        <v>2458</v>
      </c>
      <c r="G1928" s="68">
        <v>2748</v>
      </c>
      <c r="H19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29" spans="1:8" hidden="1" x14ac:dyDescent="0.3">
      <c r="A1929" t="s">
        <v>939</v>
      </c>
      <c r="B1929" t="s">
        <v>948</v>
      </c>
      <c r="C1929" t="s">
        <v>27</v>
      </c>
      <c r="D1929" s="68"/>
      <c r="E1929" s="68">
        <v>639</v>
      </c>
      <c r="F1929" s="68"/>
      <c r="G1929" s="68">
        <v>639</v>
      </c>
      <c r="H19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30" spans="1:8" hidden="1" x14ac:dyDescent="0.3">
      <c r="A1930" t="s">
        <v>939</v>
      </c>
      <c r="B1930" t="s">
        <v>948</v>
      </c>
      <c r="C1930" t="s">
        <v>33</v>
      </c>
      <c r="D1930" s="68">
        <v>140</v>
      </c>
      <c r="E1930" s="68"/>
      <c r="F1930" s="68">
        <v>92</v>
      </c>
      <c r="G1930" s="68">
        <v>232</v>
      </c>
      <c r="H19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1" spans="1:8" hidden="1" x14ac:dyDescent="0.3">
      <c r="A1931" t="s">
        <v>939</v>
      </c>
      <c r="B1931" t="s">
        <v>912</v>
      </c>
      <c r="C1931" t="s">
        <v>38</v>
      </c>
      <c r="D1931" s="68">
        <v>196</v>
      </c>
      <c r="E1931" s="68"/>
      <c r="F1931" s="68">
        <v>5334</v>
      </c>
      <c r="G1931" s="68">
        <v>5530</v>
      </c>
      <c r="H19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2" spans="1:8" hidden="1" x14ac:dyDescent="0.3">
      <c r="A1932" t="s">
        <v>939</v>
      </c>
      <c r="B1932" t="s">
        <v>912</v>
      </c>
      <c r="C1932" t="s">
        <v>26</v>
      </c>
      <c r="D1932" s="68">
        <v>136</v>
      </c>
      <c r="E1932" s="68"/>
      <c r="F1932" s="68">
        <v>113</v>
      </c>
      <c r="G1932" s="68">
        <v>249</v>
      </c>
      <c r="H19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3" spans="1:8" hidden="1" x14ac:dyDescent="0.3">
      <c r="A1933" t="s">
        <v>939</v>
      </c>
      <c r="B1933" t="s">
        <v>912</v>
      </c>
      <c r="C1933" t="s">
        <v>27</v>
      </c>
      <c r="D1933" s="68"/>
      <c r="E1933" s="68">
        <v>116</v>
      </c>
      <c r="F1933" s="68"/>
      <c r="G1933" s="68">
        <v>116</v>
      </c>
      <c r="H19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34" spans="1:8" hidden="1" x14ac:dyDescent="0.3">
      <c r="A1934" t="s">
        <v>939</v>
      </c>
      <c r="B1934" t="s">
        <v>949</v>
      </c>
      <c r="C1934" t="s">
        <v>38</v>
      </c>
      <c r="D1934" s="68">
        <v>608</v>
      </c>
      <c r="E1934" s="68"/>
      <c r="F1934" s="68">
        <v>5930</v>
      </c>
      <c r="G1934" s="68">
        <v>6538</v>
      </c>
      <c r="H19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5" spans="1:8" hidden="1" x14ac:dyDescent="0.3">
      <c r="A1935" t="s">
        <v>939</v>
      </c>
      <c r="B1935" t="s">
        <v>949</v>
      </c>
      <c r="C1935" t="s">
        <v>33</v>
      </c>
      <c r="D1935" s="68">
        <v>3262</v>
      </c>
      <c r="E1935" s="68"/>
      <c r="F1935" s="68">
        <v>947</v>
      </c>
      <c r="G1935" s="68">
        <v>4209</v>
      </c>
      <c r="H19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6" spans="1:8" hidden="1" x14ac:dyDescent="0.3">
      <c r="A1936" t="s">
        <v>939</v>
      </c>
      <c r="B1936" t="s">
        <v>949</v>
      </c>
      <c r="C1936" t="s">
        <v>26</v>
      </c>
      <c r="D1936" s="68">
        <v>809</v>
      </c>
      <c r="E1936" s="68"/>
      <c r="F1936" s="68">
        <v>341</v>
      </c>
      <c r="G1936" s="68">
        <v>1150</v>
      </c>
      <c r="H19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7" spans="1:8" hidden="1" x14ac:dyDescent="0.3">
      <c r="A1937" t="s">
        <v>939</v>
      </c>
      <c r="B1937" t="s">
        <v>949</v>
      </c>
      <c r="C1937" t="s">
        <v>27</v>
      </c>
      <c r="D1937" s="68"/>
      <c r="E1937" s="68">
        <v>56</v>
      </c>
      <c r="F1937" s="68"/>
      <c r="G1937" s="68">
        <v>56</v>
      </c>
      <c r="H19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38" spans="1:8" hidden="1" x14ac:dyDescent="0.3">
      <c r="A1938" t="s">
        <v>939</v>
      </c>
      <c r="B1938" t="s">
        <v>950</v>
      </c>
      <c r="C1938" t="s">
        <v>26</v>
      </c>
      <c r="D1938" s="68">
        <v>2572</v>
      </c>
      <c r="E1938" s="68"/>
      <c r="F1938" s="68">
        <v>12976</v>
      </c>
      <c r="G1938" s="68">
        <v>15548</v>
      </c>
      <c r="H19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9" spans="1:8" hidden="1" x14ac:dyDescent="0.3">
      <c r="A1939" t="s">
        <v>939</v>
      </c>
      <c r="B1939" t="s">
        <v>950</v>
      </c>
      <c r="C1939" t="s">
        <v>38</v>
      </c>
      <c r="D1939" s="68">
        <v>300</v>
      </c>
      <c r="E1939" s="68"/>
      <c r="F1939" s="68">
        <v>7071</v>
      </c>
      <c r="G1939" s="68">
        <v>7371</v>
      </c>
      <c r="H19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40" spans="1:8" hidden="1" x14ac:dyDescent="0.3">
      <c r="A1940" t="s">
        <v>939</v>
      </c>
      <c r="B1940" t="s">
        <v>950</v>
      </c>
      <c r="C1940" t="s">
        <v>27</v>
      </c>
      <c r="D1940" s="68"/>
      <c r="E1940" s="68">
        <v>904</v>
      </c>
      <c r="F1940" s="68"/>
      <c r="G1940" s="68">
        <v>904</v>
      </c>
      <c r="H19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41" spans="1:8" hidden="1" x14ac:dyDescent="0.3">
      <c r="A1941" t="s">
        <v>939</v>
      </c>
      <c r="B1941" t="s">
        <v>950</v>
      </c>
      <c r="C1941" t="s">
        <v>941</v>
      </c>
      <c r="D1941" s="68">
        <v>15</v>
      </c>
      <c r="E1941" s="68"/>
      <c r="F1941" s="68">
        <v>168</v>
      </c>
      <c r="G1941" s="68">
        <v>183</v>
      </c>
      <c r="H19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42" spans="1:8" hidden="1" x14ac:dyDescent="0.3">
      <c r="A1942" t="s">
        <v>939</v>
      </c>
      <c r="B1942" t="s">
        <v>950</v>
      </c>
      <c r="C1942" t="s">
        <v>33</v>
      </c>
      <c r="D1942" s="68">
        <v>3</v>
      </c>
      <c r="E1942" s="68"/>
      <c r="F1942" s="68"/>
      <c r="G1942" s="68">
        <v>3</v>
      </c>
      <c r="H19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43" spans="1:8" hidden="1" x14ac:dyDescent="0.3">
      <c r="A1943" t="s">
        <v>939</v>
      </c>
      <c r="B1943" t="s">
        <v>950</v>
      </c>
      <c r="C1943" t="s">
        <v>5</v>
      </c>
      <c r="D1943" s="68">
        <v>2</v>
      </c>
      <c r="E1943" s="68"/>
      <c r="F1943" s="68"/>
      <c r="G1943" s="68">
        <v>2</v>
      </c>
      <c r="H19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44" spans="1:8" hidden="1" x14ac:dyDescent="0.3">
      <c r="A1944" t="s">
        <v>939</v>
      </c>
      <c r="B1944" t="s">
        <v>951</v>
      </c>
      <c r="C1944" t="s">
        <v>941</v>
      </c>
      <c r="D1944" s="68">
        <v>834</v>
      </c>
      <c r="E1944" s="68"/>
      <c r="F1944" s="68">
        <v>12355</v>
      </c>
      <c r="G1944" s="68">
        <v>13189</v>
      </c>
      <c r="H19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45" spans="1:8" hidden="1" x14ac:dyDescent="0.3">
      <c r="A1945" t="s">
        <v>939</v>
      </c>
      <c r="B1945" t="s">
        <v>951</v>
      </c>
      <c r="C1945" t="s">
        <v>26</v>
      </c>
      <c r="D1945" s="68">
        <v>859</v>
      </c>
      <c r="E1945" s="68"/>
      <c r="F1945" s="68">
        <v>5651</v>
      </c>
      <c r="G1945" s="68">
        <v>6510</v>
      </c>
      <c r="H19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46" spans="1:8" hidden="1" x14ac:dyDescent="0.3">
      <c r="A1946" t="s">
        <v>939</v>
      </c>
      <c r="B1946" t="s">
        <v>951</v>
      </c>
      <c r="C1946" t="s">
        <v>40</v>
      </c>
      <c r="D1946" s="68">
        <v>125</v>
      </c>
      <c r="E1946" s="68"/>
      <c r="F1946" s="68">
        <v>3985</v>
      </c>
      <c r="G1946" s="68">
        <v>4110</v>
      </c>
      <c r="H19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47" spans="1:8" hidden="1" x14ac:dyDescent="0.3">
      <c r="A1947" t="s">
        <v>939</v>
      </c>
      <c r="B1947" t="s">
        <v>951</v>
      </c>
      <c r="C1947" t="s">
        <v>38</v>
      </c>
      <c r="D1947" s="68">
        <v>72</v>
      </c>
      <c r="E1947" s="68"/>
      <c r="F1947" s="68">
        <v>2226</v>
      </c>
      <c r="G1947" s="68">
        <v>2298</v>
      </c>
      <c r="H19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48" spans="1:8" hidden="1" x14ac:dyDescent="0.3">
      <c r="A1948" t="s">
        <v>939</v>
      </c>
      <c r="B1948" t="s">
        <v>951</v>
      </c>
      <c r="C1948" t="s">
        <v>27</v>
      </c>
      <c r="D1948" s="68"/>
      <c r="E1948" s="68">
        <v>601</v>
      </c>
      <c r="F1948" s="68"/>
      <c r="G1948" s="68">
        <v>601</v>
      </c>
      <c r="H19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49" spans="1:8" hidden="1" x14ac:dyDescent="0.3">
      <c r="A1949" t="s">
        <v>939</v>
      </c>
      <c r="B1949" t="s">
        <v>951</v>
      </c>
      <c r="C1949" t="s">
        <v>33</v>
      </c>
      <c r="D1949" s="68">
        <v>1</v>
      </c>
      <c r="E1949" s="68"/>
      <c r="F1949" s="68"/>
      <c r="G1949" s="68">
        <v>1</v>
      </c>
      <c r="H19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50" spans="1:8" hidden="1" x14ac:dyDescent="0.3">
      <c r="A1950" t="s">
        <v>939</v>
      </c>
      <c r="B1950" t="s">
        <v>951</v>
      </c>
      <c r="C1950" t="s">
        <v>5</v>
      </c>
      <c r="D1950" s="68">
        <v>1</v>
      </c>
      <c r="E1950" s="68"/>
      <c r="F1950" s="68"/>
      <c r="G1950" s="68">
        <v>1</v>
      </c>
      <c r="H19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51" spans="1:8" hidden="1" x14ac:dyDescent="0.3">
      <c r="A1951" t="s">
        <v>939</v>
      </c>
      <c r="B1951" t="s">
        <v>952</v>
      </c>
      <c r="C1951" t="s">
        <v>941</v>
      </c>
      <c r="D1951" s="68">
        <v>907</v>
      </c>
      <c r="E1951" s="68"/>
      <c r="F1951" s="68">
        <v>14919</v>
      </c>
      <c r="G1951" s="68">
        <v>15826</v>
      </c>
      <c r="H19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52" spans="1:8" hidden="1" x14ac:dyDescent="0.3">
      <c r="A1952" t="s">
        <v>939</v>
      </c>
      <c r="B1952" t="s">
        <v>952</v>
      </c>
      <c r="C1952" t="s">
        <v>25</v>
      </c>
      <c r="D1952" s="68">
        <v>36</v>
      </c>
      <c r="E1952" s="68"/>
      <c r="F1952" s="68">
        <v>444</v>
      </c>
      <c r="G1952" s="68">
        <v>480</v>
      </c>
      <c r="H19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53" spans="1:8" hidden="1" x14ac:dyDescent="0.3">
      <c r="A1953" t="s">
        <v>939</v>
      </c>
      <c r="B1953" t="s">
        <v>952</v>
      </c>
      <c r="C1953" t="s">
        <v>27</v>
      </c>
      <c r="D1953" s="68"/>
      <c r="E1953" s="68">
        <v>282</v>
      </c>
      <c r="F1953" s="68"/>
      <c r="G1953" s="68">
        <v>282</v>
      </c>
      <c r="H19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54" spans="1:8" hidden="1" x14ac:dyDescent="0.3">
      <c r="A1954" t="s">
        <v>939</v>
      </c>
      <c r="B1954" t="s">
        <v>952</v>
      </c>
      <c r="C1954" t="s">
        <v>26</v>
      </c>
      <c r="D1954" s="68">
        <v>36</v>
      </c>
      <c r="E1954" s="68"/>
      <c r="F1954" s="68">
        <v>104</v>
      </c>
      <c r="G1954" s="68">
        <v>140</v>
      </c>
      <c r="H19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55" spans="1:8" hidden="1" x14ac:dyDescent="0.3">
      <c r="A1955" t="s">
        <v>939</v>
      </c>
      <c r="B1955" t="s">
        <v>952</v>
      </c>
      <c r="C1955" t="s">
        <v>33</v>
      </c>
      <c r="D1955" s="68">
        <v>94</v>
      </c>
      <c r="E1955" s="68"/>
      <c r="F1955" s="68">
        <v>30</v>
      </c>
      <c r="G1955" s="68">
        <v>124</v>
      </c>
      <c r="H19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56" spans="1:8" hidden="1" x14ac:dyDescent="0.3">
      <c r="A1956" t="s">
        <v>939</v>
      </c>
      <c r="B1956" t="s">
        <v>953</v>
      </c>
      <c r="C1956" t="s">
        <v>38</v>
      </c>
      <c r="D1956" s="68">
        <v>185</v>
      </c>
      <c r="E1956" s="68"/>
      <c r="F1956" s="68">
        <v>5373</v>
      </c>
      <c r="G1956" s="68">
        <v>5558</v>
      </c>
      <c r="H19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57" spans="1:8" hidden="1" x14ac:dyDescent="0.3">
      <c r="A1957" t="s">
        <v>939</v>
      </c>
      <c r="B1957" t="s">
        <v>953</v>
      </c>
      <c r="C1957" t="s">
        <v>26</v>
      </c>
      <c r="D1957" s="68">
        <v>320</v>
      </c>
      <c r="E1957" s="68"/>
      <c r="F1957" s="68">
        <v>2064</v>
      </c>
      <c r="G1957" s="68">
        <v>2384</v>
      </c>
      <c r="H19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58" spans="1:8" hidden="1" x14ac:dyDescent="0.3">
      <c r="A1958" t="s">
        <v>939</v>
      </c>
      <c r="B1958" t="s">
        <v>953</v>
      </c>
      <c r="C1958" t="s">
        <v>941</v>
      </c>
      <c r="D1958" s="68">
        <v>265</v>
      </c>
      <c r="E1958" s="68"/>
      <c r="F1958" s="68">
        <v>1567</v>
      </c>
      <c r="G1958" s="68">
        <v>1832</v>
      </c>
      <c r="H19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59" spans="1:8" hidden="1" x14ac:dyDescent="0.3">
      <c r="A1959" t="s">
        <v>939</v>
      </c>
      <c r="B1959" t="s">
        <v>953</v>
      </c>
      <c r="C1959" t="s">
        <v>27</v>
      </c>
      <c r="D1959" s="68"/>
      <c r="E1959" s="68">
        <v>160</v>
      </c>
      <c r="F1959" s="68"/>
      <c r="G1959" s="68">
        <v>160</v>
      </c>
      <c r="H19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60" spans="1:8" hidden="1" x14ac:dyDescent="0.3">
      <c r="A1960" t="s">
        <v>939</v>
      </c>
      <c r="B1960" t="s">
        <v>953</v>
      </c>
      <c r="C1960" t="s">
        <v>33</v>
      </c>
      <c r="D1960" s="68">
        <v>26</v>
      </c>
      <c r="E1960" s="68"/>
      <c r="F1960" s="68">
        <v>15</v>
      </c>
      <c r="G1960" s="68">
        <v>41</v>
      </c>
      <c r="H19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1" spans="1:8" hidden="1" x14ac:dyDescent="0.3">
      <c r="A1961" t="s">
        <v>939</v>
      </c>
      <c r="B1961" t="s">
        <v>954</v>
      </c>
      <c r="C1961" t="s">
        <v>38</v>
      </c>
      <c r="D1961" s="68">
        <v>306</v>
      </c>
      <c r="E1961" s="68"/>
      <c r="F1961" s="68">
        <v>7283</v>
      </c>
      <c r="G1961" s="68">
        <v>7589</v>
      </c>
      <c r="H19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2" spans="1:8" hidden="1" x14ac:dyDescent="0.3">
      <c r="A1962" t="s">
        <v>939</v>
      </c>
      <c r="B1962" t="s">
        <v>954</v>
      </c>
      <c r="C1962" t="s">
        <v>941</v>
      </c>
      <c r="D1962" s="68">
        <v>765</v>
      </c>
      <c r="E1962" s="68"/>
      <c r="F1962" s="68">
        <v>6421</v>
      </c>
      <c r="G1962" s="68">
        <v>7186</v>
      </c>
      <c r="H19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63" spans="1:8" hidden="1" x14ac:dyDescent="0.3">
      <c r="A1963" t="s">
        <v>939</v>
      </c>
      <c r="B1963" t="s">
        <v>954</v>
      </c>
      <c r="C1963" t="s">
        <v>26</v>
      </c>
      <c r="D1963" s="68">
        <v>326</v>
      </c>
      <c r="E1963" s="68"/>
      <c r="F1963" s="68">
        <v>2303</v>
      </c>
      <c r="G1963" s="68">
        <v>2629</v>
      </c>
      <c r="H19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4" spans="1:8" hidden="1" x14ac:dyDescent="0.3">
      <c r="A1964" t="s">
        <v>939</v>
      </c>
      <c r="B1964" t="s">
        <v>954</v>
      </c>
      <c r="C1964" t="s">
        <v>27</v>
      </c>
      <c r="D1964" s="68"/>
      <c r="E1964" s="68">
        <v>341</v>
      </c>
      <c r="F1964" s="68"/>
      <c r="G1964" s="68">
        <v>341</v>
      </c>
      <c r="H19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65" spans="1:8" hidden="1" x14ac:dyDescent="0.3">
      <c r="A1965" t="s">
        <v>939</v>
      </c>
      <c r="B1965" t="s">
        <v>954</v>
      </c>
      <c r="C1965" t="s">
        <v>33</v>
      </c>
      <c r="D1965" s="68">
        <v>52</v>
      </c>
      <c r="E1965" s="68"/>
      <c r="F1965" s="68">
        <v>9</v>
      </c>
      <c r="G1965" s="68">
        <v>61</v>
      </c>
      <c r="H19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6" spans="1:8" hidden="1" x14ac:dyDescent="0.3">
      <c r="A1966" t="s">
        <v>939</v>
      </c>
      <c r="B1966" t="s">
        <v>955</v>
      </c>
      <c r="C1966" t="s">
        <v>38</v>
      </c>
      <c r="D1966" s="68">
        <v>285</v>
      </c>
      <c r="E1966" s="68"/>
      <c r="F1966" s="68">
        <v>8481</v>
      </c>
      <c r="G1966" s="68">
        <v>8766</v>
      </c>
      <c r="H19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7" spans="1:8" hidden="1" x14ac:dyDescent="0.3">
      <c r="A1967" t="s">
        <v>939</v>
      </c>
      <c r="B1967" t="s">
        <v>955</v>
      </c>
      <c r="C1967" t="s">
        <v>26</v>
      </c>
      <c r="D1967" s="68">
        <v>234</v>
      </c>
      <c r="E1967" s="68"/>
      <c r="F1967" s="68">
        <v>2182</v>
      </c>
      <c r="G1967" s="68">
        <v>2416</v>
      </c>
      <c r="H19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8" spans="1:8" hidden="1" x14ac:dyDescent="0.3">
      <c r="A1968" t="s">
        <v>939</v>
      </c>
      <c r="B1968" t="s">
        <v>955</v>
      </c>
      <c r="C1968" t="s">
        <v>941</v>
      </c>
      <c r="D1968" s="68">
        <v>160</v>
      </c>
      <c r="E1968" s="68"/>
      <c r="F1968" s="68">
        <v>1040</v>
      </c>
      <c r="G1968" s="68">
        <v>1200</v>
      </c>
      <c r="H19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69" spans="1:8" hidden="1" x14ac:dyDescent="0.3">
      <c r="A1969" t="s">
        <v>939</v>
      </c>
      <c r="B1969" t="s">
        <v>955</v>
      </c>
      <c r="C1969" t="s">
        <v>27</v>
      </c>
      <c r="D1969" s="68"/>
      <c r="E1969" s="68">
        <v>389</v>
      </c>
      <c r="F1969" s="68"/>
      <c r="G1969" s="68">
        <v>389</v>
      </c>
      <c r="H19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70" spans="1:8" hidden="1" x14ac:dyDescent="0.3">
      <c r="A1970" t="s">
        <v>939</v>
      </c>
      <c r="B1970" t="s">
        <v>955</v>
      </c>
      <c r="C1970" t="s">
        <v>33</v>
      </c>
      <c r="D1970" s="68"/>
      <c r="E1970" s="68"/>
      <c r="F1970" s="68">
        <v>1</v>
      </c>
      <c r="G1970" s="68">
        <v>1</v>
      </c>
      <c r="H19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1" spans="1:8" hidden="1" x14ac:dyDescent="0.3">
      <c r="A1971" t="s">
        <v>939</v>
      </c>
      <c r="B1971" t="s">
        <v>956</v>
      </c>
      <c r="C1971" t="s">
        <v>38</v>
      </c>
      <c r="D1971" s="68">
        <v>635</v>
      </c>
      <c r="E1971" s="68"/>
      <c r="F1971" s="68">
        <v>13434</v>
      </c>
      <c r="G1971" s="68">
        <v>14069</v>
      </c>
      <c r="H19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2" spans="1:8" hidden="1" x14ac:dyDescent="0.3">
      <c r="A1972" t="s">
        <v>939</v>
      </c>
      <c r="B1972" t="s">
        <v>956</v>
      </c>
      <c r="C1972" t="s">
        <v>26</v>
      </c>
      <c r="D1972" s="68">
        <v>316</v>
      </c>
      <c r="E1972" s="68"/>
      <c r="F1972" s="68">
        <v>256</v>
      </c>
      <c r="G1972" s="68">
        <v>572</v>
      </c>
      <c r="H19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3" spans="1:8" hidden="1" x14ac:dyDescent="0.3">
      <c r="A1973" t="s">
        <v>939</v>
      </c>
      <c r="B1973" t="s">
        <v>956</v>
      </c>
      <c r="C1973" t="s">
        <v>27</v>
      </c>
      <c r="D1973" s="68"/>
      <c r="E1973" s="68">
        <v>344</v>
      </c>
      <c r="F1973" s="68"/>
      <c r="G1973" s="68">
        <v>344</v>
      </c>
      <c r="H19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74" spans="1:8" hidden="1" x14ac:dyDescent="0.3">
      <c r="A1974" t="s">
        <v>939</v>
      </c>
      <c r="B1974" t="s">
        <v>956</v>
      </c>
      <c r="C1974" t="s">
        <v>33</v>
      </c>
      <c r="D1974" s="68">
        <v>63</v>
      </c>
      <c r="E1974" s="68"/>
      <c r="F1974" s="68">
        <v>34</v>
      </c>
      <c r="G1974" s="68">
        <v>97</v>
      </c>
      <c r="H19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5" spans="1:8" hidden="1" x14ac:dyDescent="0.3">
      <c r="A1975" t="s">
        <v>939</v>
      </c>
      <c r="B1975" t="s">
        <v>957</v>
      </c>
      <c r="C1975" t="s">
        <v>38</v>
      </c>
      <c r="D1975" s="68">
        <v>588</v>
      </c>
      <c r="E1975" s="68"/>
      <c r="F1975" s="68">
        <v>8710</v>
      </c>
      <c r="G1975" s="68">
        <v>9298</v>
      </c>
      <c r="H19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6" spans="1:8" hidden="1" x14ac:dyDescent="0.3">
      <c r="A1976" t="s">
        <v>939</v>
      </c>
      <c r="B1976" t="s">
        <v>957</v>
      </c>
      <c r="C1976" t="s">
        <v>26</v>
      </c>
      <c r="D1976" s="68">
        <v>3748</v>
      </c>
      <c r="E1976" s="68"/>
      <c r="F1976" s="68">
        <v>2696</v>
      </c>
      <c r="G1976" s="68">
        <v>6444</v>
      </c>
      <c r="H19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7" spans="1:8" hidden="1" x14ac:dyDescent="0.3">
      <c r="A1977" t="s">
        <v>939</v>
      </c>
      <c r="B1977" t="s">
        <v>957</v>
      </c>
      <c r="C1977" t="s">
        <v>33</v>
      </c>
      <c r="D1977" s="68">
        <v>3967</v>
      </c>
      <c r="E1977" s="68"/>
      <c r="F1977" s="68">
        <v>1541</v>
      </c>
      <c r="G1977" s="68">
        <v>5508</v>
      </c>
      <c r="H19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8" spans="1:8" hidden="1" x14ac:dyDescent="0.3">
      <c r="A1978" t="s">
        <v>939</v>
      </c>
      <c r="B1978" t="s">
        <v>957</v>
      </c>
      <c r="C1978" t="s">
        <v>941</v>
      </c>
      <c r="D1978" s="68">
        <v>342</v>
      </c>
      <c r="E1978" s="68"/>
      <c r="F1978" s="68">
        <v>3994</v>
      </c>
      <c r="G1978" s="68">
        <v>4336</v>
      </c>
      <c r="H19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79" spans="1:8" hidden="1" x14ac:dyDescent="0.3">
      <c r="A1979" t="s">
        <v>939</v>
      </c>
      <c r="B1979" t="s">
        <v>957</v>
      </c>
      <c r="C1979" t="s">
        <v>27</v>
      </c>
      <c r="D1979" s="68"/>
      <c r="E1979" s="68">
        <v>404</v>
      </c>
      <c r="F1979" s="68"/>
      <c r="G1979" s="68">
        <v>404</v>
      </c>
      <c r="H19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80" spans="1:8" hidden="1" x14ac:dyDescent="0.3">
      <c r="A1980" t="s">
        <v>939</v>
      </c>
      <c r="B1980" t="s">
        <v>957</v>
      </c>
      <c r="C1980" t="s">
        <v>34</v>
      </c>
      <c r="D1980" s="68">
        <v>1</v>
      </c>
      <c r="E1980" s="68"/>
      <c r="F1980" s="68"/>
      <c r="G1980" s="68">
        <v>1</v>
      </c>
      <c r="H19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81" spans="1:8" hidden="1" x14ac:dyDescent="0.3">
      <c r="A1981" t="s">
        <v>939</v>
      </c>
      <c r="B1981" t="s">
        <v>734</v>
      </c>
      <c r="C1981" t="s">
        <v>941</v>
      </c>
      <c r="D1981" s="68">
        <v>747</v>
      </c>
      <c r="E1981" s="68"/>
      <c r="F1981" s="68">
        <v>12696</v>
      </c>
      <c r="G1981" s="68">
        <v>13443</v>
      </c>
      <c r="H19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82" spans="1:8" hidden="1" x14ac:dyDescent="0.3">
      <c r="A1982" t="s">
        <v>939</v>
      </c>
      <c r="B1982" t="s">
        <v>734</v>
      </c>
      <c r="C1982" t="s">
        <v>38</v>
      </c>
      <c r="D1982" s="68">
        <v>342</v>
      </c>
      <c r="E1982" s="68"/>
      <c r="F1982" s="68">
        <v>10278</v>
      </c>
      <c r="G1982" s="68">
        <v>10620</v>
      </c>
      <c r="H19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83" spans="1:8" hidden="1" x14ac:dyDescent="0.3">
      <c r="A1983" t="s">
        <v>939</v>
      </c>
      <c r="B1983" t="s">
        <v>734</v>
      </c>
      <c r="C1983" t="s">
        <v>26</v>
      </c>
      <c r="D1983" s="68">
        <v>538</v>
      </c>
      <c r="E1983" s="68"/>
      <c r="F1983" s="68">
        <v>4557</v>
      </c>
      <c r="G1983" s="68">
        <v>5095</v>
      </c>
      <c r="H19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84" spans="1:8" hidden="1" x14ac:dyDescent="0.3">
      <c r="A1984" t="s">
        <v>939</v>
      </c>
      <c r="B1984" t="s">
        <v>734</v>
      </c>
      <c r="C1984" t="s">
        <v>25</v>
      </c>
      <c r="D1984" s="68">
        <v>122</v>
      </c>
      <c r="E1984" s="68"/>
      <c r="F1984" s="68">
        <v>2143</v>
      </c>
      <c r="G1984" s="68">
        <v>2265</v>
      </c>
      <c r="H19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85" spans="1:8" hidden="1" x14ac:dyDescent="0.3">
      <c r="A1985" t="s">
        <v>939</v>
      </c>
      <c r="B1985" t="s">
        <v>734</v>
      </c>
      <c r="C1985" t="s">
        <v>27</v>
      </c>
      <c r="D1985" s="68"/>
      <c r="E1985" s="68">
        <v>425</v>
      </c>
      <c r="F1985" s="68"/>
      <c r="G1985" s="68">
        <v>425</v>
      </c>
      <c r="H19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86" spans="1:8" hidden="1" x14ac:dyDescent="0.3">
      <c r="A1986" t="s">
        <v>939</v>
      </c>
      <c r="B1986" t="s">
        <v>734</v>
      </c>
      <c r="C1986" t="s">
        <v>33</v>
      </c>
      <c r="D1986" s="68">
        <v>87</v>
      </c>
      <c r="E1986" s="68"/>
      <c r="F1986" s="68">
        <v>73</v>
      </c>
      <c r="G1986" s="68">
        <v>160</v>
      </c>
      <c r="H19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87" spans="1:8" hidden="1" x14ac:dyDescent="0.3">
      <c r="A1987" t="s">
        <v>939</v>
      </c>
      <c r="B1987" t="s">
        <v>958</v>
      </c>
      <c r="C1987" t="s">
        <v>38</v>
      </c>
      <c r="D1987" s="68">
        <v>569</v>
      </c>
      <c r="E1987" s="68"/>
      <c r="F1987" s="68">
        <v>4734</v>
      </c>
      <c r="G1987" s="68">
        <v>5303</v>
      </c>
      <c r="H19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88" spans="1:8" hidden="1" x14ac:dyDescent="0.3">
      <c r="A1988" t="s">
        <v>939</v>
      </c>
      <c r="B1988" t="s">
        <v>958</v>
      </c>
      <c r="C1988" t="s">
        <v>26</v>
      </c>
      <c r="D1988" s="68">
        <v>696</v>
      </c>
      <c r="E1988" s="68"/>
      <c r="F1988" s="68">
        <v>219</v>
      </c>
      <c r="G1988" s="68">
        <v>915</v>
      </c>
      <c r="H19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89" spans="1:8" hidden="1" x14ac:dyDescent="0.3">
      <c r="A1989" t="s">
        <v>939</v>
      </c>
      <c r="B1989" t="s">
        <v>958</v>
      </c>
      <c r="C1989" t="s">
        <v>33</v>
      </c>
      <c r="D1989" s="68">
        <v>627</v>
      </c>
      <c r="E1989" s="68"/>
      <c r="F1989" s="68">
        <v>204</v>
      </c>
      <c r="G1989" s="68">
        <v>831</v>
      </c>
      <c r="H19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90" spans="1:8" hidden="1" x14ac:dyDescent="0.3">
      <c r="A1990" t="s">
        <v>939</v>
      </c>
      <c r="B1990" t="s">
        <v>958</v>
      </c>
      <c r="C1990" t="s">
        <v>27</v>
      </c>
      <c r="D1990" s="68"/>
      <c r="E1990" s="68">
        <v>67</v>
      </c>
      <c r="F1990" s="68"/>
      <c r="G1990" s="68">
        <v>67</v>
      </c>
      <c r="H19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91" spans="1:8" hidden="1" x14ac:dyDescent="0.3">
      <c r="A1991" t="s">
        <v>939</v>
      </c>
      <c r="B1991" t="s">
        <v>817</v>
      </c>
      <c r="C1991" t="s">
        <v>941</v>
      </c>
      <c r="D1991" s="68">
        <v>1608</v>
      </c>
      <c r="E1991" s="68"/>
      <c r="F1991" s="68">
        <v>25394</v>
      </c>
      <c r="G1991" s="68">
        <v>27002</v>
      </c>
      <c r="H19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92" spans="1:8" hidden="1" x14ac:dyDescent="0.3">
      <c r="A1992" t="s">
        <v>939</v>
      </c>
      <c r="B1992" t="s">
        <v>817</v>
      </c>
      <c r="C1992" t="s">
        <v>26</v>
      </c>
      <c r="D1992" s="68">
        <v>759</v>
      </c>
      <c r="E1992" s="68"/>
      <c r="F1992" s="68">
        <v>5777</v>
      </c>
      <c r="G1992" s="68">
        <v>6536</v>
      </c>
      <c r="H19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93" spans="1:8" hidden="1" x14ac:dyDescent="0.3">
      <c r="A1993" t="s">
        <v>939</v>
      </c>
      <c r="B1993" t="s">
        <v>817</v>
      </c>
      <c r="C1993" t="s">
        <v>38</v>
      </c>
      <c r="D1993" s="68">
        <v>59</v>
      </c>
      <c r="E1993" s="68"/>
      <c r="F1993" s="68">
        <v>1926</v>
      </c>
      <c r="G1993" s="68">
        <v>1985</v>
      </c>
      <c r="H19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94" spans="1:8" hidden="1" x14ac:dyDescent="0.3">
      <c r="A1994" t="s">
        <v>939</v>
      </c>
      <c r="B1994" t="s">
        <v>817</v>
      </c>
      <c r="C1994" t="s">
        <v>27</v>
      </c>
      <c r="D1994" s="68"/>
      <c r="E1994" s="68">
        <v>947</v>
      </c>
      <c r="F1994" s="68"/>
      <c r="G1994" s="68">
        <v>947</v>
      </c>
      <c r="H19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95" spans="1:8" hidden="1" x14ac:dyDescent="0.3">
      <c r="A1995" t="s">
        <v>939</v>
      </c>
      <c r="B1995" t="s">
        <v>959</v>
      </c>
      <c r="C1995" t="s">
        <v>38</v>
      </c>
      <c r="D1995" s="68">
        <v>1642</v>
      </c>
      <c r="E1995" s="68"/>
      <c r="F1995" s="68">
        <v>25930</v>
      </c>
      <c r="G1995" s="68">
        <v>27572</v>
      </c>
      <c r="H19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96" spans="1:8" hidden="1" x14ac:dyDescent="0.3">
      <c r="A1996" t="s">
        <v>939</v>
      </c>
      <c r="B1996" t="s">
        <v>959</v>
      </c>
      <c r="C1996" t="s">
        <v>26</v>
      </c>
      <c r="D1996" s="68">
        <v>2064</v>
      </c>
      <c r="E1996" s="68"/>
      <c r="F1996" s="68">
        <v>2343</v>
      </c>
      <c r="G1996" s="68">
        <v>4407</v>
      </c>
      <c r="H19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97" spans="1:8" hidden="1" x14ac:dyDescent="0.3">
      <c r="A1997" t="s">
        <v>939</v>
      </c>
      <c r="B1997" t="s">
        <v>959</v>
      </c>
      <c r="C1997" t="s">
        <v>27</v>
      </c>
      <c r="D1997" s="68"/>
      <c r="E1997" s="68">
        <v>914</v>
      </c>
      <c r="F1997" s="68"/>
      <c r="G1997" s="68">
        <v>914</v>
      </c>
      <c r="H19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98" spans="1:8" hidden="1" x14ac:dyDescent="0.3">
      <c r="A1998" t="s">
        <v>939</v>
      </c>
      <c r="B1998" t="s">
        <v>959</v>
      </c>
      <c r="C1998" t="s">
        <v>33</v>
      </c>
      <c r="D1998" s="68">
        <v>118</v>
      </c>
      <c r="E1998" s="68"/>
      <c r="F1998" s="68">
        <v>98</v>
      </c>
      <c r="G1998" s="68">
        <v>216</v>
      </c>
      <c r="H19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99" spans="1:8" hidden="1" x14ac:dyDescent="0.3">
      <c r="A1999" t="s">
        <v>939</v>
      </c>
      <c r="B1999" t="s">
        <v>959</v>
      </c>
      <c r="C1999" t="s">
        <v>5</v>
      </c>
      <c r="D1999" s="68">
        <v>1</v>
      </c>
      <c r="E1999" s="68"/>
      <c r="F1999" s="68"/>
      <c r="G1999" s="68">
        <v>1</v>
      </c>
      <c r="H19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00" spans="1:8" hidden="1" x14ac:dyDescent="0.3">
      <c r="A2000" t="s">
        <v>939</v>
      </c>
      <c r="B2000" t="s">
        <v>960</v>
      </c>
      <c r="C2000" t="s">
        <v>40</v>
      </c>
      <c r="D2000" s="68">
        <v>105</v>
      </c>
      <c r="E2000" s="68"/>
      <c r="F2000" s="68">
        <v>6066</v>
      </c>
      <c r="G2000" s="68">
        <v>6171</v>
      </c>
      <c r="H20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01" spans="1:8" hidden="1" x14ac:dyDescent="0.3">
      <c r="A2001" t="s">
        <v>939</v>
      </c>
      <c r="B2001" t="s">
        <v>960</v>
      </c>
      <c r="C2001" t="s">
        <v>26</v>
      </c>
      <c r="D2001" s="68">
        <v>466</v>
      </c>
      <c r="E2001" s="68"/>
      <c r="F2001" s="68">
        <v>1648</v>
      </c>
      <c r="G2001" s="68">
        <v>2114</v>
      </c>
      <c r="H20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02" spans="1:8" hidden="1" x14ac:dyDescent="0.3">
      <c r="A2002" t="s">
        <v>939</v>
      </c>
      <c r="B2002" t="s">
        <v>960</v>
      </c>
      <c r="C2002" t="s">
        <v>941</v>
      </c>
      <c r="D2002" s="68">
        <v>22</v>
      </c>
      <c r="E2002" s="68"/>
      <c r="F2002" s="68">
        <v>159</v>
      </c>
      <c r="G2002" s="68">
        <v>181</v>
      </c>
      <c r="H20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03" spans="1:8" hidden="1" x14ac:dyDescent="0.3">
      <c r="A2003" t="s">
        <v>939</v>
      </c>
      <c r="B2003" t="s">
        <v>960</v>
      </c>
      <c r="C2003" t="s">
        <v>27</v>
      </c>
      <c r="D2003" s="68"/>
      <c r="E2003" s="68">
        <v>115</v>
      </c>
      <c r="F2003" s="68"/>
      <c r="G2003" s="68">
        <v>115</v>
      </c>
      <c r="H20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04" spans="1:8" hidden="1" x14ac:dyDescent="0.3">
      <c r="A2004" t="s">
        <v>939</v>
      </c>
      <c r="B2004" t="s">
        <v>961</v>
      </c>
      <c r="C2004" t="s">
        <v>38</v>
      </c>
      <c r="D2004" s="68">
        <v>557</v>
      </c>
      <c r="E2004" s="68"/>
      <c r="F2004" s="68">
        <v>12606</v>
      </c>
      <c r="G2004" s="68">
        <v>13163</v>
      </c>
      <c r="H20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05" spans="1:8" hidden="1" x14ac:dyDescent="0.3">
      <c r="A2005" t="s">
        <v>939</v>
      </c>
      <c r="B2005" t="s">
        <v>961</v>
      </c>
      <c r="C2005" t="s">
        <v>26</v>
      </c>
      <c r="D2005" s="68">
        <v>1443</v>
      </c>
      <c r="E2005" s="68"/>
      <c r="F2005" s="68">
        <v>4872</v>
      </c>
      <c r="G2005" s="68">
        <v>6315</v>
      </c>
      <c r="H20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06" spans="1:8" hidden="1" x14ac:dyDescent="0.3">
      <c r="A2006" t="s">
        <v>939</v>
      </c>
      <c r="B2006" t="s">
        <v>961</v>
      </c>
      <c r="C2006" t="s">
        <v>25</v>
      </c>
      <c r="D2006" s="68">
        <v>593</v>
      </c>
      <c r="E2006" s="68"/>
      <c r="F2006" s="68">
        <v>5603</v>
      </c>
      <c r="G2006" s="68">
        <v>6196</v>
      </c>
      <c r="H20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07" spans="1:8" hidden="1" x14ac:dyDescent="0.3">
      <c r="A2007" t="s">
        <v>939</v>
      </c>
      <c r="B2007" t="s">
        <v>961</v>
      </c>
      <c r="C2007" t="s">
        <v>5</v>
      </c>
      <c r="D2007" s="68">
        <v>3351</v>
      </c>
      <c r="E2007" s="68"/>
      <c r="F2007" s="68">
        <v>2169</v>
      </c>
      <c r="G2007" s="68">
        <v>5520</v>
      </c>
      <c r="H20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08" spans="1:8" hidden="1" x14ac:dyDescent="0.3">
      <c r="A2008" t="s">
        <v>939</v>
      </c>
      <c r="B2008" t="s">
        <v>961</v>
      </c>
      <c r="C2008" t="s">
        <v>40</v>
      </c>
      <c r="D2008" s="68">
        <v>195</v>
      </c>
      <c r="E2008" s="68"/>
      <c r="F2008" s="68">
        <v>4557</v>
      </c>
      <c r="G2008" s="68">
        <v>4752</v>
      </c>
      <c r="H20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09" spans="1:8" hidden="1" x14ac:dyDescent="0.3">
      <c r="A2009" t="s">
        <v>939</v>
      </c>
      <c r="B2009" t="s">
        <v>961</v>
      </c>
      <c r="C2009" t="s">
        <v>941</v>
      </c>
      <c r="D2009" s="68">
        <v>228</v>
      </c>
      <c r="E2009" s="68"/>
      <c r="F2009" s="68">
        <v>2004</v>
      </c>
      <c r="G2009" s="68">
        <v>2232</v>
      </c>
      <c r="H20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10" spans="1:8" hidden="1" x14ac:dyDescent="0.3">
      <c r="A2010" t="s">
        <v>939</v>
      </c>
      <c r="B2010" t="s">
        <v>961</v>
      </c>
      <c r="C2010" t="s">
        <v>27</v>
      </c>
      <c r="D2010" s="68"/>
      <c r="E2010" s="68">
        <v>550</v>
      </c>
      <c r="F2010" s="68"/>
      <c r="G2010" s="68">
        <v>550</v>
      </c>
      <c r="H20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11" spans="1:8" hidden="1" x14ac:dyDescent="0.3">
      <c r="A2011" t="s">
        <v>939</v>
      </c>
      <c r="B2011" t="s">
        <v>961</v>
      </c>
      <c r="C2011" t="s">
        <v>33</v>
      </c>
      <c r="D2011" s="68">
        <v>173</v>
      </c>
      <c r="E2011" s="68"/>
      <c r="F2011" s="68">
        <v>141</v>
      </c>
      <c r="G2011" s="68">
        <v>314</v>
      </c>
      <c r="H20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2" spans="1:8" hidden="1" x14ac:dyDescent="0.3">
      <c r="A2012" t="s">
        <v>939</v>
      </c>
      <c r="B2012" t="s">
        <v>962</v>
      </c>
      <c r="C2012" t="s">
        <v>26</v>
      </c>
      <c r="D2012" s="68">
        <v>58928</v>
      </c>
      <c r="E2012" s="68"/>
      <c r="F2012" s="68">
        <v>45052</v>
      </c>
      <c r="G2012" s="68">
        <v>103980</v>
      </c>
      <c r="H20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3" spans="1:8" hidden="1" x14ac:dyDescent="0.3">
      <c r="A2013" t="s">
        <v>939</v>
      </c>
      <c r="B2013" t="s">
        <v>962</v>
      </c>
      <c r="C2013" t="s">
        <v>5</v>
      </c>
      <c r="D2013" s="68">
        <v>72144</v>
      </c>
      <c r="E2013" s="68"/>
      <c r="F2013" s="68">
        <v>26337</v>
      </c>
      <c r="G2013" s="68">
        <v>98481</v>
      </c>
      <c r="H20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4" spans="1:8" hidden="1" x14ac:dyDescent="0.3">
      <c r="A2014" t="s">
        <v>939</v>
      </c>
      <c r="B2014" t="s">
        <v>962</v>
      </c>
      <c r="C2014" t="s">
        <v>38</v>
      </c>
      <c r="D2014" s="68">
        <v>3610</v>
      </c>
      <c r="E2014" s="68"/>
      <c r="F2014" s="68">
        <v>48440</v>
      </c>
      <c r="G2014" s="68">
        <v>52050</v>
      </c>
      <c r="H20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5" spans="1:8" hidden="1" x14ac:dyDescent="0.3">
      <c r="A2015" t="s">
        <v>939</v>
      </c>
      <c r="B2015" t="s">
        <v>962</v>
      </c>
      <c r="C2015" t="s">
        <v>40</v>
      </c>
      <c r="D2015" s="68">
        <v>3037</v>
      </c>
      <c r="E2015" s="68"/>
      <c r="F2015" s="68">
        <v>43786</v>
      </c>
      <c r="G2015" s="68">
        <v>46823</v>
      </c>
      <c r="H20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6" spans="1:8" hidden="1" x14ac:dyDescent="0.3">
      <c r="A2016" t="s">
        <v>939</v>
      </c>
      <c r="B2016" t="s">
        <v>962</v>
      </c>
      <c r="C2016" t="s">
        <v>27</v>
      </c>
      <c r="D2016" s="68"/>
      <c r="E2016" s="68">
        <v>14834</v>
      </c>
      <c r="F2016" s="68"/>
      <c r="G2016" s="68">
        <v>14834</v>
      </c>
      <c r="H20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17" spans="1:8" hidden="1" x14ac:dyDescent="0.3">
      <c r="A2017" t="s">
        <v>939</v>
      </c>
      <c r="B2017" t="s">
        <v>962</v>
      </c>
      <c r="C2017" t="s">
        <v>33</v>
      </c>
      <c r="D2017" s="68">
        <v>6676</v>
      </c>
      <c r="E2017" s="68"/>
      <c r="F2017" s="68">
        <v>3840</v>
      </c>
      <c r="G2017" s="68">
        <v>10516</v>
      </c>
      <c r="H20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8" spans="1:8" hidden="1" x14ac:dyDescent="0.3">
      <c r="A2018" t="s">
        <v>939</v>
      </c>
      <c r="B2018" t="s">
        <v>962</v>
      </c>
      <c r="C2018" t="s">
        <v>31</v>
      </c>
      <c r="D2018" s="68">
        <v>980</v>
      </c>
      <c r="E2018" s="68"/>
      <c r="F2018" s="68">
        <v>5417</v>
      </c>
      <c r="G2018" s="68">
        <v>6397</v>
      </c>
      <c r="H20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9" spans="1:8" hidden="1" x14ac:dyDescent="0.3">
      <c r="A2019" t="s">
        <v>939</v>
      </c>
      <c r="B2019" t="s">
        <v>962</v>
      </c>
      <c r="C2019" t="s">
        <v>34</v>
      </c>
      <c r="D2019" s="68">
        <v>2522</v>
      </c>
      <c r="E2019" s="68"/>
      <c r="F2019" s="68">
        <v>2777</v>
      </c>
      <c r="G2019" s="68">
        <v>5299</v>
      </c>
      <c r="H20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20" spans="1:8" hidden="1" x14ac:dyDescent="0.3">
      <c r="A2020" t="s">
        <v>939</v>
      </c>
      <c r="B2020" t="s">
        <v>962</v>
      </c>
      <c r="C2020" t="s">
        <v>941</v>
      </c>
      <c r="D2020" s="68">
        <v>655</v>
      </c>
      <c r="E2020" s="68"/>
      <c r="F2020" s="68">
        <v>3509</v>
      </c>
      <c r="G2020" s="68">
        <v>4164</v>
      </c>
      <c r="H20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21" spans="1:8" hidden="1" x14ac:dyDescent="0.3">
      <c r="A2021" t="s">
        <v>939</v>
      </c>
      <c r="B2021" t="s">
        <v>962</v>
      </c>
      <c r="C2021" t="s">
        <v>32</v>
      </c>
      <c r="D2021" s="68">
        <v>103</v>
      </c>
      <c r="E2021" s="68"/>
      <c r="F2021" s="68">
        <v>4024</v>
      </c>
      <c r="G2021" s="68">
        <v>4127</v>
      </c>
      <c r="H20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22" spans="1:8" hidden="1" x14ac:dyDescent="0.3">
      <c r="A2022" t="s">
        <v>939</v>
      </c>
      <c r="B2022" t="s">
        <v>962</v>
      </c>
      <c r="C2022" t="s">
        <v>36</v>
      </c>
      <c r="D2022" s="68">
        <v>145</v>
      </c>
      <c r="E2022" s="68"/>
      <c r="F2022" s="68">
        <v>120</v>
      </c>
      <c r="G2022" s="68">
        <v>265</v>
      </c>
      <c r="H20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23" spans="1:8" hidden="1" x14ac:dyDescent="0.3">
      <c r="A2023" t="s">
        <v>939</v>
      </c>
      <c r="B2023" t="s">
        <v>962</v>
      </c>
      <c r="C2023" t="s">
        <v>35</v>
      </c>
      <c r="D2023" s="68">
        <v>67</v>
      </c>
      <c r="E2023" s="68"/>
      <c r="F2023" s="68"/>
      <c r="G2023" s="68">
        <v>67</v>
      </c>
      <c r="H20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24" spans="1:8" hidden="1" x14ac:dyDescent="0.3">
      <c r="A2024" t="s">
        <v>939</v>
      </c>
      <c r="B2024" t="s">
        <v>963</v>
      </c>
      <c r="C2024" t="s">
        <v>33</v>
      </c>
      <c r="D2024" s="68">
        <v>15620</v>
      </c>
      <c r="E2024" s="68"/>
      <c r="F2024" s="68">
        <v>4700</v>
      </c>
      <c r="G2024" s="68">
        <v>20320</v>
      </c>
      <c r="H20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25" spans="1:8" hidden="1" x14ac:dyDescent="0.3">
      <c r="A2025" t="s">
        <v>939</v>
      </c>
      <c r="B2025" t="s">
        <v>963</v>
      </c>
      <c r="C2025" t="s">
        <v>38</v>
      </c>
      <c r="D2025" s="68">
        <v>1468</v>
      </c>
      <c r="E2025" s="68"/>
      <c r="F2025" s="68">
        <v>16839</v>
      </c>
      <c r="G2025" s="68">
        <v>18307</v>
      </c>
      <c r="H20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26" spans="1:8" hidden="1" x14ac:dyDescent="0.3">
      <c r="A2026" t="s">
        <v>939</v>
      </c>
      <c r="B2026" t="s">
        <v>963</v>
      </c>
      <c r="C2026" t="s">
        <v>26</v>
      </c>
      <c r="D2026" s="68">
        <v>10864</v>
      </c>
      <c r="E2026" s="68"/>
      <c r="F2026" s="68">
        <v>3900</v>
      </c>
      <c r="G2026" s="68">
        <v>14764</v>
      </c>
      <c r="H20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27" spans="1:8" hidden="1" x14ac:dyDescent="0.3">
      <c r="A2027" t="s">
        <v>939</v>
      </c>
      <c r="B2027" t="s">
        <v>963</v>
      </c>
      <c r="C2027" t="s">
        <v>27</v>
      </c>
      <c r="D2027" s="68"/>
      <c r="E2027" s="68">
        <v>1098</v>
      </c>
      <c r="F2027" s="68"/>
      <c r="G2027" s="68">
        <v>1098</v>
      </c>
      <c r="H20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28" spans="1:8" hidden="1" x14ac:dyDescent="0.3">
      <c r="A2028" t="s">
        <v>939</v>
      </c>
      <c r="B2028" t="s">
        <v>963</v>
      </c>
      <c r="C2028" t="s">
        <v>31</v>
      </c>
      <c r="D2028" s="68">
        <v>23</v>
      </c>
      <c r="E2028" s="68"/>
      <c r="F2028" s="68">
        <v>112</v>
      </c>
      <c r="G2028" s="68">
        <v>135</v>
      </c>
      <c r="H20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29" spans="1:8" hidden="1" x14ac:dyDescent="0.3">
      <c r="A2029" t="s">
        <v>939</v>
      </c>
      <c r="B2029" t="s">
        <v>963</v>
      </c>
      <c r="C2029" t="s">
        <v>36</v>
      </c>
      <c r="D2029" s="68">
        <v>90</v>
      </c>
      <c r="E2029" s="68"/>
      <c r="F2029" s="68">
        <v>19</v>
      </c>
      <c r="G2029" s="68">
        <v>109</v>
      </c>
      <c r="H20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30" spans="1:8" hidden="1" x14ac:dyDescent="0.3">
      <c r="A2030" t="s">
        <v>939</v>
      </c>
      <c r="B2030" t="s">
        <v>963</v>
      </c>
      <c r="C2030" t="s">
        <v>5</v>
      </c>
      <c r="D2030" s="68">
        <v>1</v>
      </c>
      <c r="E2030" s="68"/>
      <c r="F2030" s="68">
        <v>2</v>
      </c>
      <c r="G2030" s="68">
        <v>3</v>
      </c>
      <c r="H20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31" spans="1:8" hidden="1" x14ac:dyDescent="0.3">
      <c r="A2031" t="s">
        <v>939</v>
      </c>
      <c r="B2031" t="s">
        <v>964</v>
      </c>
      <c r="C2031" t="s">
        <v>941</v>
      </c>
      <c r="D2031" s="68">
        <v>768</v>
      </c>
      <c r="E2031" s="68"/>
      <c r="F2031" s="68">
        <v>7245</v>
      </c>
      <c r="G2031" s="68">
        <v>8013</v>
      </c>
      <c r="H20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32" spans="1:8" hidden="1" x14ac:dyDescent="0.3">
      <c r="A2032" t="s">
        <v>939</v>
      </c>
      <c r="B2032" t="s">
        <v>964</v>
      </c>
      <c r="C2032" t="s">
        <v>38</v>
      </c>
      <c r="D2032" s="68">
        <v>424</v>
      </c>
      <c r="E2032" s="68"/>
      <c r="F2032" s="68">
        <v>7145</v>
      </c>
      <c r="G2032" s="68">
        <v>7569</v>
      </c>
      <c r="H20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33" spans="1:8" hidden="1" x14ac:dyDescent="0.3">
      <c r="A2033" t="s">
        <v>939</v>
      </c>
      <c r="B2033" t="s">
        <v>964</v>
      </c>
      <c r="C2033" t="s">
        <v>26</v>
      </c>
      <c r="D2033" s="68">
        <v>229</v>
      </c>
      <c r="E2033" s="68"/>
      <c r="F2033" s="68">
        <v>97</v>
      </c>
      <c r="G2033" s="68">
        <v>326</v>
      </c>
      <c r="H20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34" spans="1:8" hidden="1" x14ac:dyDescent="0.3">
      <c r="A2034" t="s">
        <v>939</v>
      </c>
      <c r="B2034" t="s">
        <v>964</v>
      </c>
      <c r="C2034" t="s">
        <v>33</v>
      </c>
      <c r="D2034" s="68">
        <v>115</v>
      </c>
      <c r="E2034" s="68"/>
      <c r="F2034" s="68">
        <v>30</v>
      </c>
      <c r="G2034" s="68">
        <v>145</v>
      </c>
      <c r="H20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35" spans="1:8" hidden="1" x14ac:dyDescent="0.3">
      <c r="A2035" t="s">
        <v>939</v>
      </c>
      <c r="B2035" t="s">
        <v>964</v>
      </c>
      <c r="C2035" t="s">
        <v>27</v>
      </c>
      <c r="D2035" s="68"/>
      <c r="E2035" s="68">
        <v>130</v>
      </c>
      <c r="F2035" s="68"/>
      <c r="G2035" s="68">
        <v>130</v>
      </c>
      <c r="H20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36" spans="1:8" hidden="1" x14ac:dyDescent="0.3">
      <c r="A2036" t="s">
        <v>939</v>
      </c>
      <c r="B2036" t="s">
        <v>965</v>
      </c>
      <c r="C2036" t="s">
        <v>38</v>
      </c>
      <c r="D2036" s="68">
        <v>347</v>
      </c>
      <c r="E2036" s="68"/>
      <c r="F2036" s="68">
        <v>5448</v>
      </c>
      <c r="G2036" s="68">
        <v>5795</v>
      </c>
      <c r="H20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37" spans="1:8" hidden="1" x14ac:dyDescent="0.3">
      <c r="A2037" t="s">
        <v>939</v>
      </c>
      <c r="B2037" t="s">
        <v>965</v>
      </c>
      <c r="C2037" t="s">
        <v>26</v>
      </c>
      <c r="D2037" s="68">
        <v>329</v>
      </c>
      <c r="E2037" s="68"/>
      <c r="F2037" s="68">
        <v>2286</v>
      </c>
      <c r="G2037" s="68">
        <v>2615</v>
      </c>
      <c r="H20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38" spans="1:8" hidden="1" x14ac:dyDescent="0.3">
      <c r="A2038" t="s">
        <v>939</v>
      </c>
      <c r="B2038" t="s">
        <v>965</v>
      </c>
      <c r="C2038" t="s">
        <v>941</v>
      </c>
      <c r="D2038" s="68">
        <v>55</v>
      </c>
      <c r="E2038" s="68"/>
      <c r="F2038" s="68">
        <v>419</v>
      </c>
      <c r="G2038" s="68">
        <v>474</v>
      </c>
      <c r="H20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39" spans="1:8" hidden="1" x14ac:dyDescent="0.3">
      <c r="A2039" t="s">
        <v>939</v>
      </c>
      <c r="B2039" t="s">
        <v>965</v>
      </c>
      <c r="C2039" t="s">
        <v>27</v>
      </c>
      <c r="D2039" s="68"/>
      <c r="E2039" s="68">
        <v>163</v>
      </c>
      <c r="F2039" s="68"/>
      <c r="G2039" s="68">
        <v>163</v>
      </c>
      <c r="H20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40" spans="1:8" hidden="1" x14ac:dyDescent="0.3">
      <c r="A2040" t="s">
        <v>939</v>
      </c>
      <c r="B2040" t="s">
        <v>965</v>
      </c>
      <c r="C2040" t="s">
        <v>33</v>
      </c>
      <c r="D2040" s="68">
        <v>98</v>
      </c>
      <c r="E2040" s="68"/>
      <c r="F2040" s="68">
        <v>38</v>
      </c>
      <c r="G2040" s="68">
        <v>136</v>
      </c>
      <c r="H20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41" spans="1:8" hidden="1" x14ac:dyDescent="0.3">
      <c r="A2041" t="s">
        <v>939</v>
      </c>
      <c r="B2041" t="s">
        <v>966</v>
      </c>
      <c r="C2041" t="s">
        <v>40</v>
      </c>
      <c r="D2041" s="68">
        <v>94</v>
      </c>
      <c r="E2041" s="68"/>
      <c r="F2041" s="68">
        <v>4238</v>
      </c>
      <c r="G2041" s="68">
        <v>4332</v>
      </c>
      <c r="H20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42" spans="1:8" hidden="1" x14ac:dyDescent="0.3">
      <c r="A2042" t="s">
        <v>939</v>
      </c>
      <c r="B2042" t="s">
        <v>966</v>
      </c>
      <c r="C2042" t="s">
        <v>941</v>
      </c>
      <c r="D2042" s="68">
        <v>436</v>
      </c>
      <c r="E2042" s="68"/>
      <c r="F2042" s="68">
        <v>3217</v>
      </c>
      <c r="G2042" s="68">
        <v>3653</v>
      </c>
      <c r="H20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43" spans="1:8" hidden="1" x14ac:dyDescent="0.3">
      <c r="A2043" t="s">
        <v>939</v>
      </c>
      <c r="B2043" t="s">
        <v>966</v>
      </c>
      <c r="C2043" t="s">
        <v>26</v>
      </c>
      <c r="D2043" s="68">
        <v>147</v>
      </c>
      <c r="E2043" s="68"/>
      <c r="F2043" s="68">
        <v>158</v>
      </c>
      <c r="G2043" s="68">
        <v>305</v>
      </c>
      <c r="H20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44" spans="1:8" hidden="1" x14ac:dyDescent="0.3">
      <c r="A2044" t="s">
        <v>939</v>
      </c>
      <c r="B2044" t="s">
        <v>966</v>
      </c>
      <c r="C2044" t="s">
        <v>27</v>
      </c>
      <c r="D2044" s="68"/>
      <c r="E2044" s="68">
        <v>160</v>
      </c>
      <c r="F2044" s="68"/>
      <c r="G2044" s="68">
        <v>160</v>
      </c>
      <c r="H20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45" spans="1:8" hidden="1" x14ac:dyDescent="0.3">
      <c r="A2045" t="s">
        <v>939</v>
      </c>
      <c r="B2045" t="s">
        <v>749</v>
      </c>
      <c r="C2045" t="s">
        <v>38</v>
      </c>
      <c r="D2045" s="68">
        <v>314</v>
      </c>
      <c r="E2045" s="68"/>
      <c r="F2045" s="68">
        <v>3044</v>
      </c>
      <c r="G2045" s="68">
        <v>3358</v>
      </c>
      <c r="H20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46" spans="1:8" hidden="1" x14ac:dyDescent="0.3">
      <c r="A2046" t="s">
        <v>939</v>
      </c>
      <c r="B2046" t="s">
        <v>749</v>
      </c>
      <c r="C2046" t="s">
        <v>26</v>
      </c>
      <c r="D2046" s="68">
        <v>84</v>
      </c>
      <c r="E2046" s="68"/>
      <c r="F2046" s="68">
        <v>63</v>
      </c>
      <c r="G2046" s="68">
        <v>147</v>
      </c>
      <c r="H20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47" spans="1:8" hidden="1" x14ac:dyDescent="0.3">
      <c r="A2047" t="s">
        <v>939</v>
      </c>
      <c r="B2047" t="s">
        <v>749</v>
      </c>
      <c r="C2047" t="s">
        <v>27</v>
      </c>
      <c r="D2047" s="68"/>
      <c r="E2047" s="68">
        <v>97</v>
      </c>
      <c r="F2047" s="68"/>
      <c r="G2047" s="68">
        <v>97</v>
      </c>
      <c r="H20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48" spans="1:8" hidden="1" x14ac:dyDescent="0.3">
      <c r="A2048" t="s">
        <v>939</v>
      </c>
      <c r="B2048" t="s">
        <v>749</v>
      </c>
      <c r="C2048" t="s">
        <v>941</v>
      </c>
      <c r="D2048" s="68">
        <v>2</v>
      </c>
      <c r="E2048" s="68"/>
      <c r="F2048" s="68">
        <v>16</v>
      </c>
      <c r="G2048" s="68">
        <v>18</v>
      </c>
      <c r="H20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49" spans="1:8" hidden="1" x14ac:dyDescent="0.3">
      <c r="A2049" t="s">
        <v>939</v>
      </c>
      <c r="B2049" t="s">
        <v>967</v>
      </c>
      <c r="C2049" t="s">
        <v>26</v>
      </c>
      <c r="D2049" s="68">
        <v>12959</v>
      </c>
      <c r="E2049" s="68"/>
      <c r="F2049" s="68">
        <v>12217</v>
      </c>
      <c r="G2049" s="68">
        <v>25176</v>
      </c>
      <c r="H20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0" spans="1:8" hidden="1" x14ac:dyDescent="0.3">
      <c r="A2050" t="s">
        <v>939</v>
      </c>
      <c r="B2050" t="s">
        <v>967</v>
      </c>
      <c r="C2050" t="s">
        <v>38</v>
      </c>
      <c r="D2050" s="68">
        <v>1180</v>
      </c>
      <c r="E2050" s="68"/>
      <c r="F2050" s="68">
        <v>21307</v>
      </c>
      <c r="G2050" s="68">
        <v>22487</v>
      </c>
      <c r="H20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1" spans="1:8" hidden="1" x14ac:dyDescent="0.3">
      <c r="A2051" t="s">
        <v>939</v>
      </c>
      <c r="B2051" t="s">
        <v>967</v>
      </c>
      <c r="C2051" t="s">
        <v>5</v>
      </c>
      <c r="D2051" s="68">
        <v>15520</v>
      </c>
      <c r="E2051" s="68"/>
      <c r="F2051" s="68">
        <v>5082</v>
      </c>
      <c r="G2051" s="68">
        <v>20602</v>
      </c>
      <c r="H20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2" spans="1:8" hidden="1" x14ac:dyDescent="0.3">
      <c r="A2052" t="s">
        <v>939</v>
      </c>
      <c r="B2052" t="s">
        <v>967</v>
      </c>
      <c r="C2052" t="s">
        <v>941</v>
      </c>
      <c r="D2052" s="68">
        <v>1615</v>
      </c>
      <c r="E2052" s="68"/>
      <c r="F2052" s="68">
        <v>17680</v>
      </c>
      <c r="G2052" s="68">
        <v>19295</v>
      </c>
      <c r="H20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53" spans="1:8" hidden="1" x14ac:dyDescent="0.3">
      <c r="A2053" t="s">
        <v>939</v>
      </c>
      <c r="B2053" t="s">
        <v>967</v>
      </c>
      <c r="C2053" t="s">
        <v>40</v>
      </c>
      <c r="D2053" s="68">
        <v>697</v>
      </c>
      <c r="E2053" s="68"/>
      <c r="F2053" s="68">
        <v>12141</v>
      </c>
      <c r="G2053" s="68">
        <v>12838</v>
      </c>
      <c r="H20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4" spans="1:8" hidden="1" x14ac:dyDescent="0.3">
      <c r="A2054" t="s">
        <v>939</v>
      </c>
      <c r="B2054" t="s">
        <v>967</v>
      </c>
      <c r="C2054" t="s">
        <v>33</v>
      </c>
      <c r="D2054" s="68">
        <v>6568</v>
      </c>
      <c r="E2054" s="68"/>
      <c r="F2054" s="68">
        <v>2876</v>
      </c>
      <c r="G2054" s="68">
        <v>9444</v>
      </c>
      <c r="H20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5" spans="1:8" hidden="1" x14ac:dyDescent="0.3">
      <c r="A2055" t="s">
        <v>939</v>
      </c>
      <c r="B2055" t="s">
        <v>967</v>
      </c>
      <c r="C2055" t="s">
        <v>32</v>
      </c>
      <c r="D2055" s="68">
        <v>88</v>
      </c>
      <c r="E2055" s="68"/>
      <c r="F2055" s="68">
        <v>5051</v>
      </c>
      <c r="G2055" s="68">
        <v>5139</v>
      </c>
      <c r="H20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6" spans="1:8" hidden="1" x14ac:dyDescent="0.3">
      <c r="A2056" t="s">
        <v>939</v>
      </c>
      <c r="B2056" t="s">
        <v>967</v>
      </c>
      <c r="C2056" t="s">
        <v>27</v>
      </c>
      <c r="D2056" s="68"/>
      <c r="E2056" s="68">
        <v>2795</v>
      </c>
      <c r="F2056" s="68"/>
      <c r="G2056" s="68">
        <v>2795</v>
      </c>
      <c r="H20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57" spans="1:8" hidden="1" x14ac:dyDescent="0.3">
      <c r="A2057" t="s">
        <v>939</v>
      </c>
      <c r="B2057" t="s">
        <v>967</v>
      </c>
      <c r="C2057" t="s">
        <v>25</v>
      </c>
      <c r="D2057" s="68">
        <v>128</v>
      </c>
      <c r="E2057" s="68"/>
      <c r="F2057" s="68">
        <v>2083</v>
      </c>
      <c r="G2057" s="68">
        <v>2211</v>
      </c>
      <c r="H20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58" spans="1:8" hidden="1" x14ac:dyDescent="0.3">
      <c r="A2058" t="s">
        <v>939</v>
      </c>
      <c r="B2058" t="s">
        <v>967</v>
      </c>
      <c r="C2058" t="s">
        <v>36</v>
      </c>
      <c r="D2058" s="68">
        <v>41</v>
      </c>
      <c r="E2058" s="68"/>
      <c r="F2058" s="68">
        <v>23</v>
      </c>
      <c r="G2058" s="68">
        <v>64</v>
      </c>
      <c r="H20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59" spans="1:8" hidden="1" x14ac:dyDescent="0.3">
      <c r="A2059" t="s">
        <v>939</v>
      </c>
      <c r="B2059" t="s">
        <v>968</v>
      </c>
      <c r="C2059" t="s">
        <v>25</v>
      </c>
      <c r="D2059" s="68">
        <v>1259</v>
      </c>
      <c r="E2059" s="68"/>
      <c r="F2059" s="68">
        <v>14175</v>
      </c>
      <c r="G2059" s="68">
        <v>15434</v>
      </c>
      <c r="H20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60" spans="1:8" hidden="1" x14ac:dyDescent="0.3">
      <c r="A2060" t="s">
        <v>939</v>
      </c>
      <c r="B2060" t="s">
        <v>968</v>
      </c>
      <c r="C2060" t="s">
        <v>941</v>
      </c>
      <c r="D2060" s="68">
        <v>875</v>
      </c>
      <c r="E2060" s="68"/>
      <c r="F2060" s="68">
        <v>13966</v>
      </c>
      <c r="G2060" s="68">
        <v>14841</v>
      </c>
      <c r="H20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61" spans="1:8" hidden="1" x14ac:dyDescent="0.3">
      <c r="A2061" t="s">
        <v>939</v>
      </c>
      <c r="B2061" t="s">
        <v>968</v>
      </c>
      <c r="C2061" t="s">
        <v>40</v>
      </c>
      <c r="D2061" s="68">
        <v>181</v>
      </c>
      <c r="E2061" s="68"/>
      <c r="F2061" s="68">
        <v>2302</v>
      </c>
      <c r="G2061" s="68">
        <v>2483</v>
      </c>
      <c r="H20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62" spans="1:8" hidden="1" x14ac:dyDescent="0.3">
      <c r="A2062" t="s">
        <v>939</v>
      </c>
      <c r="B2062" t="s">
        <v>968</v>
      </c>
      <c r="C2062" t="s">
        <v>26</v>
      </c>
      <c r="D2062" s="68">
        <v>486</v>
      </c>
      <c r="E2062" s="68"/>
      <c r="F2062" s="68">
        <v>1046</v>
      </c>
      <c r="G2062" s="68">
        <v>1532</v>
      </c>
      <c r="H20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63" spans="1:8" hidden="1" x14ac:dyDescent="0.3">
      <c r="A2063" t="s">
        <v>939</v>
      </c>
      <c r="B2063" t="s">
        <v>968</v>
      </c>
      <c r="C2063" t="s">
        <v>27</v>
      </c>
      <c r="D2063" s="68"/>
      <c r="E2063" s="68">
        <v>614</v>
      </c>
      <c r="F2063" s="68"/>
      <c r="G2063" s="68">
        <v>614</v>
      </c>
      <c r="H20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64" spans="1:8" hidden="1" x14ac:dyDescent="0.3">
      <c r="A2064" t="s">
        <v>939</v>
      </c>
      <c r="B2064" t="s">
        <v>968</v>
      </c>
      <c r="C2064" t="s">
        <v>33</v>
      </c>
      <c r="D2064" s="68">
        <v>199</v>
      </c>
      <c r="E2064" s="68"/>
      <c r="F2064" s="68">
        <v>61</v>
      </c>
      <c r="G2064" s="68">
        <v>260</v>
      </c>
      <c r="H20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65" spans="1:8" hidden="1" x14ac:dyDescent="0.3">
      <c r="A2065" t="s">
        <v>939</v>
      </c>
      <c r="B2065" t="s">
        <v>968</v>
      </c>
      <c r="C2065" t="s">
        <v>5</v>
      </c>
      <c r="D2065" s="68">
        <v>1</v>
      </c>
      <c r="E2065" s="68"/>
      <c r="F2065" s="68"/>
      <c r="G2065" s="68">
        <v>1</v>
      </c>
      <c r="H20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66" spans="1:8" hidden="1" x14ac:dyDescent="0.3">
      <c r="A2066" t="s">
        <v>939</v>
      </c>
      <c r="B2066" t="s">
        <v>969</v>
      </c>
      <c r="C2066" t="s">
        <v>26</v>
      </c>
      <c r="D2066" s="68">
        <v>494</v>
      </c>
      <c r="E2066" s="68"/>
      <c r="F2066" s="68">
        <v>4669</v>
      </c>
      <c r="G2066" s="68">
        <v>5163</v>
      </c>
      <c r="H20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67" spans="1:8" hidden="1" x14ac:dyDescent="0.3">
      <c r="A2067" t="s">
        <v>939</v>
      </c>
      <c r="B2067" t="s">
        <v>969</v>
      </c>
      <c r="C2067" t="s">
        <v>941</v>
      </c>
      <c r="D2067" s="68">
        <v>485</v>
      </c>
      <c r="E2067" s="68"/>
      <c r="F2067" s="68">
        <v>3346</v>
      </c>
      <c r="G2067" s="68">
        <v>3831</v>
      </c>
      <c r="H20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68" spans="1:8" hidden="1" x14ac:dyDescent="0.3">
      <c r="A2068" t="s">
        <v>939</v>
      </c>
      <c r="B2068" t="s">
        <v>969</v>
      </c>
      <c r="C2068" t="s">
        <v>40</v>
      </c>
      <c r="D2068" s="68">
        <v>16</v>
      </c>
      <c r="E2068" s="68"/>
      <c r="F2068" s="68">
        <v>215</v>
      </c>
      <c r="G2068" s="68">
        <v>231</v>
      </c>
      <c r="H20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69" spans="1:8" hidden="1" x14ac:dyDescent="0.3">
      <c r="A2069" t="s">
        <v>939</v>
      </c>
      <c r="B2069" t="s">
        <v>969</v>
      </c>
      <c r="C2069" t="s">
        <v>27</v>
      </c>
      <c r="D2069" s="68"/>
      <c r="E2069" s="68">
        <v>87</v>
      </c>
      <c r="F2069" s="68"/>
      <c r="G2069" s="68">
        <v>87</v>
      </c>
      <c r="H20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70" spans="1:8" hidden="1" x14ac:dyDescent="0.3">
      <c r="A2070" t="s">
        <v>939</v>
      </c>
      <c r="B2070" t="s">
        <v>970</v>
      </c>
      <c r="C2070" t="s">
        <v>38</v>
      </c>
      <c r="D2070" s="68">
        <v>378</v>
      </c>
      <c r="E2070" s="68"/>
      <c r="F2070" s="68">
        <v>12767</v>
      </c>
      <c r="G2070" s="68">
        <v>13145</v>
      </c>
      <c r="H20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71" spans="1:8" hidden="1" x14ac:dyDescent="0.3">
      <c r="A2071" t="s">
        <v>939</v>
      </c>
      <c r="B2071" t="s">
        <v>970</v>
      </c>
      <c r="C2071" t="s">
        <v>941</v>
      </c>
      <c r="D2071" s="68">
        <v>168</v>
      </c>
      <c r="E2071" s="68"/>
      <c r="F2071" s="68">
        <v>4350</v>
      </c>
      <c r="G2071" s="68">
        <v>4518</v>
      </c>
      <c r="H20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72" spans="1:8" hidden="1" x14ac:dyDescent="0.3">
      <c r="A2072" t="s">
        <v>939</v>
      </c>
      <c r="B2072" t="s">
        <v>970</v>
      </c>
      <c r="C2072" t="s">
        <v>26</v>
      </c>
      <c r="D2072" s="68">
        <v>545</v>
      </c>
      <c r="E2072" s="68"/>
      <c r="F2072" s="68">
        <v>2431</v>
      </c>
      <c r="G2072" s="68">
        <v>2976</v>
      </c>
      <c r="H20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73" spans="1:8" hidden="1" x14ac:dyDescent="0.3">
      <c r="A2073" t="s">
        <v>939</v>
      </c>
      <c r="B2073" t="s">
        <v>970</v>
      </c>
      <c r="C2073" t="s">
        <v>27</v>
      </c>
      <c r="D2073" s="68"/>
      <c r="E2073" s="68">
        <v>353</v>
      </c>
      <c r="F2073" s="68"/>
      <c r="G2073" s="68">
        <v>353</v>
      </c>
      <c r="H20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74" spans="1:8" hidden="1" x14ac:dyDescent="0.3">
      <c r="A2074" t="s">
        <v>939</v>
      </c>
      <c r="B2074" t="s">
        <v>970</v>
      </c>
      <c r="C2074" t="s">
        <v>33</v>
      </c>
      <c r="D2074" s="68">
        <v>128</v>
      </c>
      <c r="E2074" s="68"/>
      <c r="F2074" s="68">
        <v>137</v>
      </c>
      <c r="G2074" s="68">
        <v>265</v>
      </c>
      <c r="H20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75" spans="1:8" hidden="1" x14ac:dyDescent="0.3">
      <c r="A2075" t="s">
        <v>939</v>
      </c>
      <c r="B2075" t="s">
        <v>970</v>
      </c>
      <c r="C2075" t="s">
        <v>36</v>
      </c>
      <c r="D2075" s="68">
        <v>1</v>
      </c>
      <c r="E2075" s="68"/>
      <c r="F2075" s="68"/>
      <c r="G2075" s="68">
        <v>1</v>
      </c>
      <c r="H20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76" spans="1:8" hidden="1" x14ac:dyDescent="0.3">
      <c r="A2076" t="s">
        <v>939</v>
      </c>
      <c r="B2076" t="s">
        <v>971</v>
      </c>
      <c r="C2076" t="s">
        <v>38</v>
      </c>
      <c r="D2076" s="68">
        <v>215</v>
      </c>
      <c r="E2076" s="68"/>
      <c r="F2076" s="68">
        <v>3911</v>
      </c>
      <c r="G2076" s="68">
        <v>4126</v>
      </c>
      <c r="H20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77" spans="1:8" hidden="1" x14ac:dyDescent="0.3">
      <c r="A2077" t="s">
        <v>939</v>
      </c>
      <c r="B2077" t="s">
        <v>971</v>
      </c>
      <c r="C2077" t="s">
        <v>26</v>
      </c>
      <c r="D2077" s="68">
        <v>179</v>
      </c>
      <c r="E2077" s="68"/>
      <c r="F2077" s="68">
        <v>2293</v>
      </c>
      <c r="G2077" s="68">
        <v>2472</v>
      </c>
      <c r="H20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78" spans="1:8" hidden="1" x14ac:dyDescent="0.3">
      <c r="A2078" t="s">
        <v>939</v>
      </c>
      <c r="B2078" t="s">
        <v>971</v>
      </c>
      <c r="C2078" t="s">
        <v>27</v>
      </c>
      <c r="D2078" s="68"/>
      <c r="E2078" s="68">
        <v>75</v>
      </c>
      <c r="F2078" s="68"/>
      <c r="G2078" s="68">
        <v>75</v>
      </c>
      <c r="H20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79" spans="1:8" hidden="1" x14ac:dyDescent="0.3">
      <c r="A2079" t="s">
        <v>939</v>
      </c>
      <c r="B2079" t="s">
        <v>971</v>
      </c>
      <c r="C2079" t="s">
        <v>33</v>
      </c>
      <c r="D2079" s="68"/>
      <c r="E2079" s="68"/>
      <c r="F2079" s="68">
        <v>1</v>
      </c>
      <c r="G2079" s="68">
        <v>1</v>
      </c>
      <c r="H20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0" spans="1:8" hidden="1" x14ac:dyDescent="0.3">
      <c r="A2080" t="s">
        <v>939</v>
      </c>
      <c r="B2080" t="s">
        <v>972</v>
      </c>
      <c r="C2080" t="s">
        <v>38</v>
      </c>
      <c r="D2080" s="68">
        <v>926</v>
      </c>
      <c r="E2080" s="68"/>
      <c r="F2080" s="68">
        <v>20114</v>
      </c>
      <c r="G2080" s="68">
        <v>21040</v>
      </c>
      <c r="H20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1" spans="1:8" hidden="1" x14ac:dyDescent="0.3">
      <c r="A2081" t="s">
        <v>939</v>
      </c>
      <c r="B2081" t="s">
        <v>972</v>
      </c>
      <c r="C2081" t="s">
        <v>26</v>
      </c>
      <c r="D2081" s="68">
        <v>2834</v>
      </c>
      <c r="E2081" s="68"/>
      <c r="F2081" s="68">
        <v>4447</v>
      </c>
      <c r="G2081" s="68">
        <v>7281</v>
      </c>
      <c r="H20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2" spans="1:8" hidden="1" x14ac:dyDescent="0.3">
      <c r="A2082" t="s">
        <v>939</v>
      </c>
      <c r="B2082" t="s">
        <v>972</v>
      </c>
      <c r="C2082" t="s">
        <v>941</v>
      </c>
      <c r="D2082" s="68">
        <v>76</v>
      </c>
      <c r="E2082" s="68"/>
      <c r="F2082" s="68">
        <v>692</v>
      </c>
      <c r="G2082" s="68">
        <v>768</v>
      </c>
      <c r="H20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83" spans="1:8" hidden="1" x14ac:dyDescent="0.3">
      <c r="A2083" t="s">
        <v>939</v>
      </c>
      <c r="B2083" t="s">
        <v>972</v>
      </c>
      <c r="C2083" t="s">
        <v>27</v>
      </c>
      <c r="D2083" s="68"/>
      <c r="E2083" s="68">
        <v>383</v>
      </c>
      <c r="F2083" s="68"/>
      <c r="G2083" s="68">
        <v>383</v>
      </c>
      <c r="H20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84" spans="1:8" hidden="1" x14ac:dyDescent="0.3">
      <c r="A2084" t="s">
        <v>939</v>
      </c>
      <c r="B2084" t="s">
        <v>972</v>
      </c>
      <c r="C2084" t="s">
        <v>33</v>
      </c>
      <c r="D2084" s="68">
        <v>201</v>
      </c>
      <c r="E2084" s="68"/>
      <c r="F2084" s="68">
        <v>170</v>
      </c>
      <c r="G2084" s="68">
        <v>371</v>
      </c>
      <c r="H20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5" spans="1:8" hidden="1" x14ac:dyDescent="0.3">
      <c r="A2085" t="s">
        <v>939</v>
      </c>
      <c r="B2085" t="s">
        <v>973</v>
      </c>
      <c r="C2085" t="s">
        <v>26</v>
      </c>
      <c r="D2085" s="68">
        <v>832</v>
      </c>
      <c r="E2085" s="68"/>
      <c r="F2085" s="68">
        <v>9824</v>
      </c>
      <c r="G2085" s="68">
        <v>10656</v>
      </c>
      <c r="H20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6" spans="1:8" hidden="1" x14ac:dyDescent="0.3">
      <c r="A2086" t="s">
        <v>939</v>
      </c>
      <c r="B2086" t="s">
        <v>973</v>
      </c>
      <c r="C2086" t="s">
        <v>38</v>
      </c>
      <c r="D2086" s="68">
        <v>183</v>
      </c>
      <c r="E2086" s="68"/>
      <c r="F2086" s="68">
        <v>4719</v>
      </c>
      <c r="G2086" s="68">
        <v>4902</v>
      </c>
      <c r="H20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7" spans="1:8" hidden="1" x14ac:dyDescent="0.3">
      <c r="A2087" t="s">
        <v>939</v>
      </c>
      <c r="B2087" t="s">
        <v>973</v>
      </c>
      <c r="C2087" t="s">
        <v>941</v>
      </c>
      <c r="D2087" s="68">
        <v>329</v>
      </c>
      <c r="E2087" s="68"/>
      <c r="F2087" s="68">
        <v>3579</v>
      </c>
      <c r="G2087" s="68">
        <v>3908</v>
      </c>
      <c r="H20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88" spans="1:8" hidden="1" x14ac:dyDescent="0.3">
      <c r="A2088" t="s">
        <v>939</v>
      </c>
      <c r="B2088" t="s">
        <v>973</v>
      </c>
      <c r="C2088" t="s">
        <v>27</v>
      </c>
      <c r="D2088" s="68"/>
      <c r="E2088" s="68">
        <v>472</v>
      </c>
      <c r="F2088" s="68"/>
      <c r="G2088" s="68">
        <v>472</v>
      </c>
      <c r="H20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89" spans="1:8" hidden="1" x14ac:dyDescent="0.3">
      <c r="A2089" t="s">
        <v>939</v>
      </c>
      <c r="B2089" t="s">
        <v>973</v>
      </c>
      <c r="C2089" t="s">
        <v>33</v>
      </c>
      <c r="D2089" s="68"/>
      <c r="E2089" s="68"/>
      <c r="F2089" s="68">
        <v>1</v>
      </c>
      <c r="G2089" s="68">
        <v>1</v>
      </c>
      <c r="H20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90" spans="1:8" hidden="1" x14ac:dyDescent="0.3">
      <c r="A2090" t="s">
        <v>939</v>
      </c>
      <c r="B2090" t="s">
        <v>974</v>
      </c>
      <c r="C2090" t="s">
        <v>941</v>
      </c>
      <c r="D2090" s="68">
        <v>1350</v>
      </c>
      <c r="E2090" s="68"/>
      <c r="F2090" s="68">
        <v>29630</v>
      </c>
      <c r="G2090" s="68">
        <v>30980</v>
      </c>
      <c r="H20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91" spans="1:8" hidden="1" x14ac:dyDescent="0.3">
      <c r="A2091" t="s">
        <v>939</v>
      </c>
      <c r="B2091" t="s">
        <v>974</v>
      </c>
      <c r="C2091" t="s">
        <v>25</v>
      </c>
      <c r="D2091" s="68">
        <v>75</v>
      </c>
      <c r="E2091" s="68"/>
      <c r="F2091" s="68">
        <v>2053</v>
      </c>
      <c r="G2091" s="68">
        <v>2128</v>
      </c>
      <c r="H20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92" spans="1:8" hidden="1" x14ac:dyDescent="0.3">
      <c r="A2092" t="s">
        <v>939</v>
      </c>
      <c r="B2092" t="s">
        <v>974</v>
      </c>
      <c r="C2092" t="s">
        <v>26</v>
      </c>
      <c r="D2092" s="68">
        <v>209</v>
      </c>
      <c r="E2092" s="68"/>
      <c r="F2092" s="68">
        <v>399</v>
      </c>
      <c r="G2092" s="68">
        <v>608</v>
      </c>
      <c r="H20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93" spans="1:8" hidden="1" x14ac:dyDescent="0.3">
      <c r="A2093" t="s">
        <v>939</v>
      </c>
      <c r="B2093" t="s">
        <v>974</v>
      </c>
      <c r="C2093" t="s">
        <v>27</v>
      </c>
      <c r="D2093" s="68"/>
      <c r="E2093" s="68">
        <v>578</v>
      </c>
      <c r="F2093" s="68"/>
      <c r="G2093" s="68">
        <v>578</v>
      </c>
      <c r="H20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94" spans="1:8" hidden="1" x14ac:dyDescent="0.3">
      <c r="A2094" t="s">
        <v>939</v>
      </c>
      <c r="B2094" t="s">
        <v>974</v>
      </c>
      <c r="C2094" t="s">
        <v>33</v>
      </c>
      <c r="D2094" s="68">
        <v>104</v>
      </c>
      <c r="E2094" s="68"/>
      <c r="F2094" s="68">
        <v>44</v>
      </c>
      <c r="G2094" s="68">
        <v>148</v>
      </c>
      <c r="H20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95" spans="1:8" hidden="1" x14ac:dyDescent="0.3">
      <c r="A2095" t="s">
        <v>939</v>
      </c>
      <c r="B2095" t="s">
        <v>975</v>
      </c>
      <c r="C2095" t="s">
        <v>941</v>
      </c>
      <c r="D2095" s="68">
        <v>1189</v>
      </c>
      <c r="E2095" s="68"/>
      <c r="F2095" s="68">
        <v>13827</v>
      </c>
      <c r="G2095" s="68">
        <v>15016</v>
      </c>
      <c r="H20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96" spans="1:8" hidden="1" x14ac:dyDescent="0.3">
      <c r="A2096" t="s">
        <v>939</v>
      </c>
      <c r="B2096" t="s">
        <v>975</v>
      </c>
      <c r="C2096" t="s">
        <v>25</v>
      </c>
      <c r="D2096" s="68">
        <v>210</v>
      </c>
      <c r="E2096" s="68"/>
      <c r="F2096" s="68">
        <v>2655</v>
      </c>
      <c r="G2096" s="68">
        <v>2865</v>
      </c>
      <c r="H20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97" spans="1:8" hidden="1" x14ac:dyDescent="0.3">
      <c r="A2097" t="s">
        <v>939</v>
      </c>
      <c r="B2097" t="s">
        <v>975</v>
      </c>
      <c r="C2097" t="s">
        <v>40</v>
      </c>
      <c r="D2097" s="68">
        <v>74</v>
      </c>
      <c r="E2097" s="68"/>
      <c r="F2097" s="68">
        <v>2248</v>
      </c>
      <c r="G2097" s="68">
        <v>2322</v>
      </c>
      <c r="H20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98" spans="1:8" hidden="1" x14ac:dyDescent="0.3">
      <c r="A2098" t="s">
        <v>939</v>
      </c>
      <c r="B2098" t="s">
        <v>975</v>
      </c>
      <c r="C2098" t="s">
        <v>26</v>
      </c>
      <c r="D2098" s="68">
        <v>208</v>
      </c>
      <c r="E2098" s="68"/>
      <c r="F2098" s="68">
        <v>238</v>
      </c>
      <c r="G2098" s="68">
        <v>446</v>
      </c>
      <c r="H20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99" spans="1:8" hidden="1" x14ac:dyDescent="0.3">
      <c r="A2099" t="s">
        <v>939</v>
      </c>
      <c r="B2099" t="s">
        <v>975</v>
      </c>
      <c r="C2099" t="s">
        <v>27</v>
      </c>
      <c r="D2099" s="68"/>
      <c r="E2099" s="68">
        <v>179</v>
      </c>
      <c r="F2099" s="68"/>
      <c r="G2099" s="68">
        <v>179</v>
      </c>
      <c r="H20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00" spans="1:8" hidden="1" x14ac:dyDescent="0.3">
      <c r="A2100" t="s">
        <v>939</v>
      </c>
      <c r="B2100" t="s">
        <v>975</v>
      </c>
      <c r="C2100" t="s">
        <v>33</v>
      </c>
      <c r="D2100" s="68">
        <v>43</v>
      </c>
      <c r="E2100" s="68"/>
      <c r="F2100" s="68">
        <v>12</v>
      </c>
      <c r="G2100" s="68">
        <v>55</v>
      </c>
      <c r="H21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1" spans="1:8" hidden="1" x14ac:dyDescent="0.3">
      <c r="A2101" t="s">
        <v>939</v>
      </c>
      <c r="B2101" t="s">
        <v>976</v>
      </c>
      <c r="C2101" t="s">
        <v>38</v>
      </c>
      <c r="D2101" s="68">
        <v>647</v>
      </c>
      <c r="E2101" s="68"/>
      <c r="F2101" s="68">
        <v>6758</v>
      </c>
      <c r="G2101" s="68">
        <v>7405</v>
      </c>
      <c r="H21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2" spans="1:8" hidden="1" x14ac:dyDescent="0.3">
      <c r="A2102" t="s">
        <v>939</v>
      </c>
      <c r="B2102" t="s">
        <v>976</v>
      </c>
      <c r="C2102" t="s">
        <v>33</v>
      </c>
      <c r="D2102" s="68">
        <v>2897</v>
      </c>
      <c r="E2102" s="68"/>
      <c r="F2102" s="68">
        <v>970</v>
      </c>
      <c r="G2102" s="68">
        <v>3867</v>
      </c>
      <c r="H21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3" spans="1:8" hidden="1" x14ac:dyDescent="0.3">
      <c r="A2103" t="s">
        <v>939</v>
      </c>
      <c r="B2103" t="s">
        <v>976</v>
      </c>
      <c r="C2103" t="s">
        <v>26</v>
      </c>
      <c r="D2103" s="68">
        <v>1892</v>
      </c>
      <c r="E2103" s="68"/>
      <c r="F2103" s="68">
        <v>1350</v>
      </c>
      <c r="G2103" s="68">
        <v>3242</v>
      </c>
      <c r="H21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4" spans="1:8" hidden="1" x14ac:dyDescent="0.3">
      <c r="A2104" t="s">
        <v>939</v>
      </c>
      <c r="B2104" t="s">
        <v>976</v>
      </c>
      <c r="C2104" t="s">
        <v>27</v>
      </c>
      <c r="D2104" s="68"/>
      <c r="E2104" s="68">
        <v>102</v>
      </c>
      <c r="F2104" s="68"/>
      <c r="G2104" s="68">
        <v>102</v>
      </c>
      <c r="H21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05" spans="1:8" hidden="1" x14ac:dyDescent="0.3">
      <c r="A2105" t="s">
        <v>977</v>
      </c>
      <c r="B2105" t="s">
        <v>978</v>
      </c>
      <c r="C2105" t="s">
        <v>26</v>
      </c>
      <c r="D2105" s="68">
        <v>15776</v>
      </c>
      <c r="E2105" s="68"/>
      <c r="F2105" s="68">
        <v>48701</v>
      </c>
      <c r="G2105" s="68">
        <v>64477</v>
      </c>
      <c r="H21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6" spans="1:8" hidden="1" x14ac:dyDescent="0.3">
      <c r="A2106" t="s">
        <v>977</v>
      </c>
      <c r="B2106" t="s">
        <v>978</v>
      </c>
      <c r="C2106" t="s">
        <v>5</v>
      </c>
      <c r="D2106" s="68">
        <v>10543</v>
      </c>
      <c r="E2106" s="68"/>
      <c r="F2106" s="68">
        <v>9426</v>
      </c>
      <c r="G2106" s="68">
        <v>19969</v>
      </c>
      <c r="H21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7" spans="1:8" hidden="1" x14ac:dyDescent="0.3">
      <c r="A2107" t="s">
        <v>977</v>
      </c>
      <c r="B2107" t="s">
        <v>978</v>
      </c>
      <c r="C2107" t="s">
        <v>38</v>
      </c>
      <c r="D2107" s="68">
        <v>763</v>
      </c>
      <c r="E2107" s="68"/>
      <c r="F2107" s="68">
        <v>18272</v>
      </c>
      <c r="G2107" s="68">
        <v>19035</v>
      </c>
      <c r="H21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8" spans="1:8" hidden="1" x14ac:dyDescent="0.3">
      <c r="A2108" t="s">
        <v>977</v>
      </c>
      <c r="B2108" t="s">
        <v>978</v>
      </c>
      <c r="C2108" t="s">
        <v>36</v>
      </c>
      <c r="D2108" s="68">
        <v>3739</v>
      </c>
      <c r="E2108" s="68"/>
      <c r="F2108" s="68">
        <v>5034</v>
      </c>
      <c r="G2108" s="68">
        <v>8773</v>
      </c>
      <c r="H21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09" spans="1:8" hidden="1" x14ac:dyDescent="0.3">
      <c r="A2109" t="s">
        <v>977</v>
      </c>
      <c r="B2109" t="s">
        <v>978</v>
      </c>
      <c r="C2109" t="s">
        <v>30</v>
      </c>
      <c r="D2109" s="68">
        <v>112</v>
      </c>
      <c r="E2109" s="68"/>
      <c r="F2109" s="68">
        <v>3126</v>
      </c>
      <c r="G2109" s="68">
        <v>3238</v>
      </c>
      <c r="H21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10" spans="1:8" hidden="1" x14ac:dyDescent="0.3">
      <c r="A2110" t="s">
        <v>977</v>
      </c>
      <c r="B2110" t="s">
        <v>978</v>
      </c>
      <c r="C2110" t="s">
        <v>27</v>
      </c>
      <c r="D2110" s="68"/>
      <c r="E2110" s="68">
        <v>2556</v>
      </c>
      <c r="F2110" s="68"/>
      <c r="G2110" s="68">
        <v>2556</v>
      </c>
      <c r="H21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11" spans="1:8" hidden="1" x14ac:dyDescent="0.3">
      <c r="A2111" t="s">
        <v>977</v>
      </c>
      <c r="B2111" t="s">
        <v>978</v>
      </c>
      <c r="C2111" t="s">
        <v>35</v>
      </c>
      <c r="D2111" s="68">
        <v>116</v>
      </c>
      <c r="E2111" s="68"/>
      <c r="F2111" s="68"/>
      <c r="G2111" s="68">
        <v>116</v>
      </c>
      <c r="H21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12" spans="1:8" hidden="1" x14ac:dyDescent="0.3">
      <c r="A2112" t="s">
        <v>977</v>
      </c>
      <c r="B2112" t="s">
        <v>978</v>
      </c>
      <c r="C2112" t="s">
        <v>31</v>
      </c>
      <c r="D2112" s="68">
        <v>2</v>
      </c>
      <c r="E2112" s="68"/>
      <c r="F2112" s="68"/>
      <c r="G2112" s="68">
        <v>2</v>
      </c>
      <c r="H21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13" spans="1:8" hidden="1" x14ac:dyDescent="0.3">
      <c r="A2113" t="s">
        <v>977</v>
      </c>
      <c r="B2113" t="s">
        <v>979</v>
      </c>
      <c r="C2113" t="s">
        <v>26</v>
      </c>
      <c r="D2113" s="68">
        <v>6199</v>
      </c>
      <c r="E2113" s="68"/>
      <c r="F2113" s="68">
        <v>19296</v>
      </c>
      <c r="G2113" s="68">
        <v>25495</v>
      </c>
      <c r="H21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14" spans="1:8" hidden="1" x14ac:dyDescent="0.3">
      <c r="A2114" t="s">
        <v>977</v>
      </c>
      <c r="B2114" t="s">
        <v>979</v>
      </c>
      <c r="C2114" t="s">
        <v>37</v>
      </c>
      <c r="D2114" s="68">
        <v>5199</v>
      </c>
      <c r="E2114" s="68"/>
      <c r="F2114" s="68">
        <v>7026</v>
      </c>
      <c r="G2114" s="68">
        <v>12225</v>
      </c>
      <c r="H21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15" spans="1:8" hidden="1" x14ac:dyDescent="0.3">
      <c r="A2115" t="s">
        <v>977</v>
      </c>
      <c r="B2115" t="s">
        <v>979</v>
      </c>
      <c r="C2115" t="s">
        <v>537</v>
      </c>
      <c r="D2115" s="68">
        <v>511</v>
      </c>
      <c r="E2115" s="68"/>
      <c r="F2115" s="68">
        <v>9474</v>
      </c>
      <c r="G2115" s="68">
        <v>9985</v>
      </c>
      <c r="H21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16" spans="1:8" hidden="1" x14ac:dyDescent="0.3">
      <c r="A2116" t="s">
        <v>977</v>
      </c>
      <c r="B2116" t="s">
        <v>979</v>
      </c>
      <c r="C2116" t="s">
        <v>31</v>
      </c>
      <c r="D2116" s="68">
        <v>387</v>
      </c>
      <c r="E2116" s="68"/>
      <c r="F2116" s="68">
        <v>9426</v>
      </c>
      <c r="G2116" s="68">
        <v>9813</v>
      </c>
      <c r="H21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17" spans="1:8" hidden="1" x14ac:dyDescent="0.3">
      <c r="A2117" t="s">
        <v>977</v>
      </c>
      <c r="B2117" t="s">
        <v>979</v>
      </c>
      <c r="C2117" t="s">
        <v>30</v>
      </c>
      <c r="D2117" s="68">
        <v>173</v>
      </c>
      <c r="E2117" s="68"/>
      <c r="F2117" s="68">
        <v>8517</v>
      </c>
      <c r="G2117" s="68">
        <v>8690</v>
      </c>
      <c r="H21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18" spans="1:8" hidden="1" x14ac:dyDescent="0.3">
      <c r="A2118" t="s">
        <v>977</v>
      </c>
      <c r="B2118" t="s">
        <v>979</v>
      </c>
      <c r="C2118" t="s">
        <v>36</v>
      </c>
      <c r="D2118" s="68">
        <v>2668</v>
      </c>
      <c r="E2118" s="68"/>
      <c r="F2118" s="68">
        <v>754</v>
      </c>
      <c r="G2118" s="68">
        <v>3422</v>
      </c>
      <c r="H21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19" spans="1:8" hidden="1" x14ac:dyDescent="0.3">
      <c r="A2119" t="s">
        <v>977</v>
      </c>
      <c r="B2119" t="s">
        <v>979</v>
      </c>
      <c r="C2119" t="s">
        <v>38</v>
      </c>
      <c r="D2119" s="68">
        <v>59</v>
      </c>
      <c r="E2119" s="68"/>
      <c r="F2119" s="68">
        <v>2718</v>
      </c>
      <c r="G2119" s="68">
        <v>2777</v>
      </c>
      <c r="H21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20" spans="1:8" hidden="1" x14ac:dyDescent="0.3">
      <c r="A2120" t="s">
        <v>977</v>
      </c>
      <c r="B2120" t="s">
        <v>979</v>
      </c>
      <c r="C2120" t="s">
        <v>27</v>
      </c>
      <c r="D2120" s="68"/>
      <c r="E2120" s="68">
        <v>1269</v>
      </c>
      <c r="F2120" s="68"/>
      <c r="G2120" s="68">
        <v>1269</v>
      </c>
      <c r="H21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21" spans="1:8" hidden="1" x14ac:dyDescent="0.3">
      <c r="A2121" t="s">
        <v>977</v>
      </c>
      <c r="B2121" t="s">
        <v>980</v>
      </c>
      <c r="C2121" t="s">
        <v>26</v>
      </c>
      <c r="D2121" s="68">
        <v>1281</v>
      </c>
      <c r="E2121" s="68"/>
      <c r="F2121" s="68">
        <v>10163</v>
      </c>
      <c r="G2121" s="68">
        <v>11444</v>
      </c>
      <c r="H21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22" spans="1:8" hidden="1" x14ac:dyDescent="0.3">
      <c r="A2122" t="s">
        <v>977</v>
      </c>
      <c r="B2122" t="s">
        <v>980</v>
      </c>
      <c r="C2122" t="s">
        <v>38</v>
      </c>
      <c r="D2122" s="68">
        <v>242</v>
      </c>
      <c r="E2122" s="68"/>
      <c r="F2122" s="68">
        <v>7370</v>
      </c>
      <c r="G2122" s="68">
        <v>7612</v>
      </c>
      <c r="H21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23" spans="1:8" hidden="1" x14ac:dyDescent="0.3">
      <c r="A2123" t="s">
        <v>977</v>
      </c>
      <c r="B2123" t="s">
        <v>980</v>
      </c>
      <c r="C2123" t="s">
        <v>30</v>
      </c>
      <c r="D2123" s="68">
        <v>31</v>
      </c>
      <c r="E2123" s="68"/>
      <c r="F2123" s="68">
        <v>1191</v>
      </c>
      <c r="G2123" s="68">
        <v>1222</v>
      </c>
      <c r="H21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24" spans="1:8" hidden="1" x14ac:dyDescent="0.3">
      <c r="A2124" t="s">
        <v>977</v>
      </c>
      <c r="B2124" t="s">
        <v>980</v>
      </c>
      <c r="C2124" t="s">
        <v>27</v>
      </c>
      <c r="D2124" s="68"/>
      <c r="E2124" s="68">
        <v>429</v>
      </c>
      <c r="F2124" s="68"/>
      <c r="G2124" s="68">
        <v>429</v>
      </c>
      <c r="H21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25" spans="1:8" hidden="1" x14ac:dyDescent="0.3">
      <c r="A2125" t="s">
        <v>977</v>
      </c>
      <c r="B2125" t="s">
        <v>980</v>
      </c>
      <c r="C2125" t="s">
        <v>5</v>
      </c>
      <c r="D2125" s="68">
        <v>1</v>
      </c>
      <c r="E2125" s="68"/>
      <c r="F2125" s="68"/>
      <c r="G2125" s="68">
        <v>1</v>
      </c>
      <c r="H21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26" spans="1:8" hidden="1" x14ac:dyDescent="0.3">
      <c r="A2126" t="s">
        <v>977</v>
      </c>
      <c r="B2126" t="s">
        <v>981</v>
      </c>
      <c r="C2126" t="s">
        <v>26</v>
      </c>
      <c r="D2126" s="68">
        <v>1651</v>
      </c>
      <c r="E2126" s="68"/>
      <c r="F2126" s="68">
        <v>9179</v>
      </c>
      <c r="G2126" s="68">
        <v>10830</v>
      </c>
      <c r="H21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27" spans="1:8" hidden="1" x14ac:dyDescent="0.3">
      <c r="A2127" t="s">
        <v>977</v>
      </c>
      <c r="B2127" t="s">
        <v>981</v>
      </c>
      <c r="C2127" t="s">
        <v>30</v>
      </c>
      <c r="D2127" s="68">
        <v>207</v>
      </c>
      <c r="E2127" s="68"/>
      <c r="F2127" s="68">
        <v>6633</v>
      </c>
      <c r="G2127" s="68">
        <v>6840</v>
      </c>
      <c r="H21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28" spans="1:8" hidden="1" x14ac:dyDescent="0.3">
      <c r="A2128" t="s">
        <v>977</v>
      </c>
      <c r="B2128" t="s">
        <v>981</v>
      </c>
      <c r="C2128" t="s">
        <v>537</v>
      </c>
      <c r="D2128" s="68">
        <v>89</v>
      </c>
      <c r="E2128" s="68"/>
      <c r="F2128" s="68">
        <v>3514</v>
      </c>
      <c r="G2128" s="68">
        <v>3603</v>
      </c>
      <c r="H21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29" spans="1:8" hidden="1" x14ac:dyDescent="0.3">
      <c r="A2129" t="s">
        <v>977</v>
      </c>
      <c r="B2129" t="s">
        <v>981</v>
      </c>
      <c r="C2129" t="s">
        <v>27</v>
      </c>
      <c r="D2129" s="68"/>
      <c r="E2129" s="68">
        <v>343</v>
      </c>
      <c r="F2129" s="68"/>
      <c r="G2129" s="68">
        <v>343</v>
      </c>
      <c r="H21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30" spans="1:8" hidden="1" x14ac:dyDescent="0.3">
      <c r="A2130" t="s">
        <v>977</v>
      </c>
      <c r="B2130" t="s">
        <v>981</v>
      </c>
      <c r="C2130" t="s">
        <v>5</v>
      </c>
      <c r="D2130" s="68">
        <v>52</v>
      </c>
      <c r="E2130" s="68"/>
      <c r="F2130" s="68">
        <v>25</v>
      </c>
      <c r="G2130" s="68">
        <v>77</v>
      </c>
      <c r="H21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31" spans="1:8" hidden="1" x14ac:dyDescent="0.3">
      <c r="A2131" t="s">
        <v>977</v>
      </c>
      <c r="B2131" t="s">
        <v>982</v>
      </c>
      <c r="C2131" t="s">
        <v>30</v>
      </c>
      <c r="D2131" s="68">
        <v>810</v>
      </c>
      <c r="E2131" s="68"/>
      <c r="F2131" s="68">
        <v>17802</v>
      </c>
      <c r="G2131" s="68">
        <v>18612</v>
      </c>
      <c r="H21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32" spans="1:8" hidden="1" x14ac:dyDescent="0.3">
      <c r="A2132" t="s">
        <v>977</v>
      </c>
      <c r="B2132" t="s">
        <v>982</v>
      </c>
      <c r="C2132" t="s">
        <v>36</v>
      </c>
      <c r="D2132" s="68">
        <v>7418</v>
      </c>
      <c r="E2132" s="68"/>
      <c r="F2132" s="68">
        <v>4438</v>
      </c>
      <c r="G2132" s="68">
        <v>11856</v>
      </c>
      <c r="H21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33" spans="1:8" hidden="1" x14ac:dyDescent="0.3">
      <c r="A2133" t="s">
        <v>977</v>
      </c>
      <c r="B2133" t="s">
        <v>982</v>
      </c>
      <c r="C2133" t="s">
        <v>26</v>
      </c>
      <c r="D2133" s="68">
        <v>2540</v>
      </c>
      <c r="E2133" s="68"/>
      <c r="F2133" s="68">
        <v>8061</v>
      </c>
      <c r="G2133" s="68">
        <v>10601</v>
      </c>
      <c r="H21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34" spans="1:8" hidden="1" x14ac:dyDescent="0.3">
      <c r="A2134" t="s">
        <v>977</v>
      </c>
      <c r="B2134" t="s">
        <v>982</v>
      </c>
      <c r="C2134" t="s">
        <v>38</v>
      </c>
      <c r="D2134" s="68">
        <v>213</v>
      </c>
      <c r="E2134" s="68"/>
      <c r="F2134" s="68">
        <v>5498</v>
      </c>
      <c r="G2134" s="68">
        <v>5711</v>
      </c>
      <c r="H21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35" spans="1:8" hidden="1" x14ac:dyDescent="0.3">
      <c r="A2135" t="s">
        <v>977</v>
      </c>
      <c r="B2135" t="s">
        <v>982</v>
      </c>
      <c r="C2135" t="s">
        <v>31</v>
      </c>
      <c r="D2135" s="68">
        <v>108</v>
      </c>
      <c r="E2135" s="68"/>
      <c r="F2135" s="68">
        <v>1709</v>
      </c>
      <c r="G2135" s="68">
        <v>1817</v>
      </c>
      <c r="H21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36" spans="1:8" hidden="1" x14ac:dyDescent="0.3">
      <c r="A2136" t="s">
        <v>977</v>
      </c>
      <c r="B2136" t="s">
        <v>982</v>
      </c>
      <c r="C2136" t="s">
        <v>27</v>
      </c>
      <c r="D2136" s="68"/>
      <c r="E2136" s="68">
        <v>580</v>
      </c>
      <c r="F2136" s="68"/>
      <c r="G2136" s="68">
        <v>580</v>
      </c>
      <c r="H21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37" spans="1:8" hidden="1" x14ac:dyDescent="0.3">
      <c r="A2137" t="s">
        <v>977</v>
      </c>
      <c r="B2137" t="s">
        <v>982</v>
      </c>
      <c r="C2137" t="s">
        <v>35</v>
      </c>
      <c r="D2137" s="68">
        <v>61</v>
      </c>
      <c r="E2137" s="68"/>
      <c r="F2137" s="68"/>
      <c r="G2137" s="68">
        <v>61</v>
      </c>
      <c r="H21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38" spans="1:8" hidden="1" x14ac:dyDescent="0.3">
      <c r="A2138" t="s">
        <v>977</v>
      </c>
      <c r="B2138" t="s">
        <v>982</v>
      </c>
      <c r="C2138" t="s">
        <v>5</v>
      </c>
      <c r="D2138" s="68">
        <v>3</v>
      </c>
      <c r="E2138" s="68"/>
      <c r="F2138" s="68"/>
      <c r="G2138" s="68">
        <v>3</v>
      </c>
      <c r="H21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39" spans="1:8" hidden="1" x14ac:dyDescent="0.3">
      <c r="A2139" t="s">
        <v>977</v>
      </c>
      <c r="B2139" t="s">
        <v>982</v>
      </c>
      <c r="C2139" t="s">
        <v>537</v>
      </c>
      <c r="D2139" s="68">
        <v>1</v>
      </c>
      <c r="E2139" s="68"/>
      <c r="F2139" s="68"/>
      <c r="G2139" s="68">
        <v>1</v>
      </c>
      <c r="H21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0" spans="1:8" hidden="1" x14ac:dyDescent="0.3">
      <c r="A2140" t="s">
        <v>977</v>
      </c>
      <c r="B2140" t="s">
        <v>983</v>
      </c>
      <c r="C2140" t="s">
        <v>26</v>
      </c>
      <c r="D2140" s="68">
        <v>1776</v>
      </c>
      <c r="E2140" s="68"/>
      <c r="F2140" s="68">
        <v>9905</v>
      </c>
      <c r="G2140" s="68">
        <v>11681</v>
      </c>
      <c r="H21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41" spans="1:8" hidden="1" x14ac:dyDescent="0.3">
      <c r="A2141" t="s">
        <v>977</v>
      </c>
      <c r="B2141" t="s">
        <v>983</v>
      </c>
      <c r="C2141" t="s">
        <v>30</v>
      </c>
      <c r="D2141" s="68">
        <v>200</v>
      </c>
      <c r="E2141" s="68"/>
      <c r="F2141" s="68">
        <v>10895</v>
      </c>
      <c r="G2141" s="68">
        <v>11095</v>
      </c>
      <c r="H21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2" spans="1:8" hidden="1" x14ac:dyDescent="0.3">
      <c r="A2142" t="s">
        <v>977</v>
      </c>
      <c r="B2142" t="s">
        <v>983</v>
      </c>
      <c r="C2142" t="s">
        <v>38</v>
      </c>
      <c r="D2142" s="68">
        <v>75</v>
      </c>
      <c r="E2142" s="68"/>
      <c r="F2142" s="68">
        <v>2741</v>
      </c>
      <c r="G2142" s="68">
        <v>2816</v>
      </c>
      <c r="H21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43" spans="1:8" hidden="1" x14ac:dyDescent="0.3">
      <c r="A2143" t="s">
        <v>977</v>
      </c>
      <c r="B2143" t="s">
        <v>983</v>
      </c>
      <c r="C2143" t="s">
        <v>31</v>
      </c>
      <c r="D2143" s="68">
        <v>119</v>
      </c>
      <c r="E2143" s="68"/>
      <c r="F2143" s="68">
        <v>2472</v>
      </c>
      <c r="G2143" s="68">
        <v>2591</v>
      </c>
      <c r="H21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44" spans="1:8" hidden="1" x14ac:dyDescent="0.3">
      <c r="A2144" t="s">
        <v>977</v>
      </c>
      <c r="B2144" t="s">
        <v>983</v>
      </c>
      <c r="C2144" t="s">
        <v>537</v>
      </c>
      <c r="D2144" s="68">
        <v>46</v>
      </c>
      <c r="E2144" s="68"/>
      <c r="F2144" s="68">
        <v>1674</v>
      </c>
      <c r="G2144" s="68">
        <v>1720</v>
      </c>
      <c r="H21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5" spans="1:8" hidden="1" x14ac:dyDescent="0.3">
      <c r="A2145" t="s">
        <v>977</v>
      </c>
      <c r="B2145" t="s">
        <v>983</v>
      </c>
      <c r="C2145" t="s">
        <v>27</v>
      </c>
      <c r="D2145" s="68"/>
      <c r="E2145" s="68">
        <v>827</v>
      </c>
      <c r="F2145" s="68"/>
      <c r="G2145" s="68">
        <v>827</v>
      </c>
      <c r="H21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6" spans="1:8" hidden="1" x14ac:dyDescent="0.3">
      <c r="A2146" t="s">
        <v>977</v>
      </c>
      <c r="B2146" t="s">
        <v>983</v>
      </c>
      <c r="C2146" t="s">
        <v>36</v>
      </c>
      <c r="D2146" s="68">
        <v>104</v>
      </c>
      <c r="E2146" s="68"/>
      <c r="F2146" s="68">
        <v>41</v>
      </c>
      <c r="G2146" s="68">
        <v>145</v>
      </c>
      <c r="H21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7" spans="1:8" hidden="1" x14ac:dyDescent="0.3">
      <c r="A2147" t="s">
        <v>977</v>
      </c>
      <c r="B2147" t="s">
        <v>984</v>
      </c>
      <c r="C2147" t="s">
        <v>30</v>
      </c>
      <c r="D2147" s="68">
        <v>574</v>
      </c>
      <c r="E2147" s="68"/>
      <c r="F2147" s="68">
        <v>14175</v>
      </c>
      <c r="G2147" s="68">
        <v>14749</v>
      </c>
      <c r="H21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8" spans="1:8" hidden="1" x14ac:dyDescent="0.3">
      <c r="A2148" t="s">
        <v>977</v>
      </c>
      <c r="B2148" t="s">
        <v>984</v>
      </c>
      <c r="C2148" t="s">
        <v>26</v>
      </c>
      <c r="D2148" s="68">
        <v>1789</v>
      </c>
      <c r="E2148" s="68"/>
      <c r="F2148" s="68">
        <v>6004</v>
      </c>
      <c r="G2148" s="68">
        <v>7793</v>
      </c>
      <c r="H21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49" spans="1:8" hidden="1" x14ac:dyDescent="0.3">
      <c r="A2149" t="s">
        <v>977</v>
      </c>
      <c r="B2149" t="s">
        <v>984</v>
      </c>
      <c r="C2149" t="s">
        <v>36</v>
      </c>
      <c r="D2149" s="68">
        <v>2462</v>
      </c>
      <c r="E2149" s="68"/>
      <c r="F2149" s="68">
        <v>1792</v>
      </c>
      <c r="G2149" s="68">
        <v>4254</v>
      </c>
      <c r="H21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50" spans="1:8" hidden="1" x14ac:dyDescent="0.3">
      <c r="A2150" t="s">
        <v>977</v>
      </c>
      <c r="B2150" t="s">
        <v>984</v>
      </c>
      <c r="C2150" t="s">
        <v>31</v>
      </c>
      <c r="D2150" s="68">
        <v>134</v>
      </c>
      <c r="E2150" s="68"/>
      <c r="F2150" s="68">
        <v>2336</v>
      </c>
      <c r="G2150" s="68">
        <v>2470</v>
      </c>
      <c r="H21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51" spans="1:8" hidden="1" x14ac:dyDescent="0.3">
      <c r="A2151" t="s">
        <v>977</v>
      </c>
      <c r="B2151" t="s">
        <v>984</v>
      </c>
      <c r="C2151" t="s">
        <v>27</v>
      </c>
      <c r="D2151" s="68"/>
      <c r="E2151" s="68">
        <v>606</v>
      </c>
      <c r="F2151" s="68"/>
      <c r="G2151" s="68">
        <v>606</v>
      </c>
      <c r="H21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52" spans="1:8" hidden="1" x14ac:dyDescent="0.3">
      <c r="A2152" t="s">
        <v>977</v>
      </c>
      <c r="B2152" t="s">
        <v>984</v>
      </c>
      <c r="C2152" t="s">
        <v>35</v>
      </c>
      <c r="D2152" s="68">
        <v>37</v>
      </c>
      <c r="E2152" s="68"/>
      <c r="F2152" s="68"/>
      <c r="G2152" s="68">
        <v>37</v>
      </c>
      <c r="H21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53" spans="1:8" hidden="1" x14ac:dyDescent="0.3">
      <c r="A2153" t="s">
        <v>977</v>
      </c>
      <c r="B2153" t="s">
        <v>984</v>
      </c>
      <c r="C2153" t="s">
        <v>536</v>
      </c>
      <c r="D2153" s="68"/>
      <c r="E2153" s="68"/>
      <c r="F2153" s="68">
        <v>1</v>
      </c>
      <c r="G2153" s="68">
        <v>1</v>
      </c>
      <c r="H21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54" spans="1:8" hidden="1" x14ac:dyDescent="0.3">
      <c r="A2154" t="s">
        <v>977</v>
      </c>
      <c r="B2154" t="s">
        <v>985</v>
      </c>
      <c r="C2154" t="s">
        <v>26</v>
      </c>
      <c r="D2154" s="68">
        <v>4116</v>
      </c>
      <c r="E2154" s="68"/>
      <c r="F2154" s="68">
        <v>11579</v>
      </c>
      <c r="G2154" s="68">
        <v>15695</v>
      </c>
      <c r="H21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55" spans="1:8" hidden="1" x14ac:dyDescent="0.3">
      <c r="A2155" t="s">
        <v>977</v>
      </c>
      <c r="B2155" t="s">
        <v>985</v>
      </c>
      <c r="C2155" t="s">
        <v>38</v>
      </c>
      <c r="D2155" s="68">
        <v>461</v>
      </c>
      <c r="E2155" s="68"/>
      <c r="F2155" s="68">
        <v>11191</v>
      </c>
      <c r="G2155" s="68">
        <v>11652</v>
      </c>
      <c r="H21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56" spans="1:8" hidden="1" x14ac:dyDescent="0.3">
      <c r="A2156" t="s">
        <v>977</v>
      </c>
      <c r="B2156" t="s">
        <v>985</v>
      </c>
      <c r="C2156" t="s">
        <v>31</v>
      </c>
      <c r="D2156" s="68">
        <v>419</v>
      </c>
      <c r="E2156" s="68"/>
      <c r="F2156" s="68">
        <v>9694</v>
      </c>
      <c r="G2156" s="68">
        <v>10113</v>
      </c>
      <c r="H21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57" spans="1:8" hidden="1" x14ac:dyDescent="0.3">
      <c r="A2157" t="s">
        <v>977</v>
      </c>
      <c r="B2157" t="s">
        <v>985</v>
      </c>
      <c r="C2157" t="s">
        <v>30</v>
      </c>
      <c r="D2157" s="68">
        <v>137</v>
      </c>
      <c r="E2157" s="68"/>
      <c r="F2157" s="68">
        <v>4013</v>
      </c>
      <c r="G2157" s="68">
        <v>4150</v>
      </c>
      <c r="H21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58" spans="1:8" hidden="1" x14ac:dyDescent="0.3">
      <c r="A2158" t="s">
        <v>977</v>
      </c>
      <c r="B2158" t="s">
        <v>985</v>
      </c>
      <c r="C2158" t="s">
        <v>27</v>
      </c>
      <c r="D2158" s="68"/>
      <c r="E2158" s="68">
        <v>755</v>
      </c>
      <c r="F2158" s="68"/>
      <c r="G2158" s="68">
        <v>755</v>
      </c>
      <c r="H21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59" spans="1:8" hidden="1" x14ac:dyDescent="0.3">
      <c r="A2159" t="s">
        <v>977</v>
      </c>
      <c r="B2159" t="s">
        <v>985</v>
      </c>
      <c r="C2159" t="s">
        <v>35</v>
      </c>
      <c r="D2159" s="68">
        <v>29</v>
      </c>
      <c r="E2159" s="68"/>
      <c r="F2159" s="68"/>
      <c r="G2159" s="68">
        <v>29</v>
      </c>
      <c r="H21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60" spans="1:8" hidden="1" x14ac:dyDescent="0.3">
      <c r="A2160" t="s">
        <v>977</v>
      </c>
      <c r="B2160" t="s">
        <v>986</v>
      </c>
      <c r="C2160" t="s">
        <v>31</v>
      </c>
      <c r="D2160" s="68">
        <v>450</v>
      </c>
      <c r="E2160" s="68"/>
      <c r="F2160" s="68">
        <v>8826</v>
      </c>
      <c r="G2160" s="68">
        <v>9276</v>
      </c>
      <c r="H21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61" spans="1:8" hidden="1" x14ac:dyDescent="0.3">
      <c r="A2161" t="s">
        <v>977</v>
      </c>
      <c r="B2161" t="s">
        <v>986</v>
      </c>
      <c r="C2161" t="s">
        <v>26</v>
      </c>
      <c r="D2161" s="68">
        <v>1349</v>
      </c>
      <c r="E2161" s="68"/>
      <c r="F2161" s="68">
        <v>7451</v>
      </c>
      <c r="G2161" s="68">
        <v>8800</v>
      </c>
      <c r="H21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62" spans="1:8" hidden="1" x14ac:dyDescent="0.3">
      <c r="A2162" t="s">
        <v>977</v>
      </c>
      <c r="B2162" t="s">
        <v>986</v>
      </c>
      <c r="C2162" t="s">
        <v>36</v>
      </c>
      <c r="D2162" s="68">
        <v>4623</v>
      </c>
      <c r="E2162" s="68"/>
      <c r="F2162" s="68">
        <v>3793</v>
      </c>
      <c r="G2162" s="68">
        <v>8416</v>
      </c>
      <c r="H21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63" spans="1:8" hidden="1" x14ac:dyDescent="0.3">
      <c r="A2163" t="s">
        <v>977</v>
      </c>
      <c r="B2163" t="s">
        <v>986</v>
      </c>
      <c r="C2163" t="s">
        <v>38</v>
      </c>
      <c r="D2163" s="68">
        <v>109</v>
      </c>
      <c r="E2163" s="68"/>
      <c r="F2163" s="68">
        <v>3444</v>
      </c>
      <c r="G2163" s="68">
        <v>3553</v>
      </c>
      <c r="H21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64" spans="1:8" hidden="1" x14ac:dyDescent="0.3">
      <c r="A2164" t="s">
        <v>977</v>
      </c>
      <c r="B2164" t="s">
        <v>986</v>
      </c>
      <c r="C2164" t="s">
        <v>30</v>
      </c>
      <c r="D2164" s="68">
        <v>45</v>
      </c>
      <c r="E2164" s="68"/>
      <c r="F2164" s="68">
        <v>1507</v>
      </c>
      <c r="G2164" s="68">
        <v>1552</v>
      </c>
      <c r="H21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65" spans="1:8" hidden="1" x14ac:dyDescent="0.3">
      <c r="A2165" t="s">
        <v>977</v>
      </c>
      <c r="B2165" t="s">
        <v>986</v>
      </c>
      <c r="C2165" t="s">
        <v>27</v>
      </c>
      <c r="D2165" s="68"/>
      <c r="E2165" s="68">
        <v>549</v>
      </c>
      <c r="F2165" s="68"/>
      <c r="G2165" s="68">
        <v>549</v>
      </c>
      <c r="H21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66" spans="1:8" hidden="1" x14ac:dyDescent="0.3">
      <c r="A2166" t="s">
        <v>977</v>
      </c>
      <c r="B2166" t="s">
        <v>986</v>
      </c>
      <c r="C2166" t="s">
        <v>5</v>
      </c>
      <c r="D2166" s="68">
        <v>1</v>
      </c>
      <c r="E2166" s="68"/>
      <c r="F2166" s="68"/>
      <c r="G2166" s="68">
        <v>1</v>
      </c>
      <c r="H21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67" spans="1:8" hidden="1" x14ac:dyDescent="0.3">
      <c r="A2167" t="s">
        <v>977</v>
      </c>
      <c r="B2167" t="s">
        <v>987</v>
      </c>
      <c r="C2167" t="s">
        <v>36</v>
      </c>
      <c r="D2167" s="68">
        <v>10753</v>
      </c>
      <c r="E2167" s="68"/>
      <c r="F2167" s="68">
        <v>7240</v>
      </c>
      <c r="G2167" s="68">
        <v>17993</v>
      </c>
      <c r="H21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68" spans="1:8" hidden="1" x14ac:dyDescent="0.3">
      <c r="A2168" t="s">
        <v>977</v>
      </c>
      <c r="B2168" t="s">
        <v>987</v>
      </c>
      <c r="C2168" t="s">
        <v>30</v>
      </c>
      <c r="D2168" s="68">
        <v>367</v>
      </c>
      <c r="E2168" s="68"/>
      <c r="F2168" s="68">
        <v>13149</v>
      </c>
      <c r="G2168" s="68">
        <v>13516</v>
      </c>
      <c r="H21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69" spans="1:8" hidden="1" x14ac:dyDescent="0.3">
      <c r="A2169" t="s">
        <v>977</v>
      </c>
      <c r="B2169" t="s">
        <v>987</v>
      </c>
      <c r="C2169" t="s">
        <v>26</v>
      </c>
      <c r="D2169" s="68">
        <v>999</v>
      </c>
      <c r="E2169" s="68"/>
      <c r="F2169" s="68">
        <v>6128</v>
      </c>
      <c r="G2169" s="68">
        <v>7127</v>
      </c>
      <c r="H21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70" spans="1:8" hidden="1" x14ac:dyDescent="0.3">
      <c r="A2170" t="s">
        <v>977</v>
      </c>
      <c r="B2170" t="s">
        <v>987</v>
      </c>
      <c r="C2170" t="s">
        <v>31</v>
      </c>
      <c r="D2170" s="68">
        <v>125</v>
      </c>
      <c r="E2170" s="68"/>
      <c r="F2170" s="68">
        <v>2421</v>
      </c>
      <c r="G2170" s="68">
        <v>2546</v>
      </c>
      <c r="H21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71" spans="1:8" hidden="1" x14ac:dyDescent="0.3">
      <c r="A2171" t="s">
        <v>977</v>
      </c>
      <c r="B2171" t="s">
        <v>987</v>
      </c>
      <c r="C2171" t="s">
        <v>27</v>
      </c>
      <c r="D2171" s="68"/>
      <c r="E2171" s="68">
        <v>643</v>
      </c>
      <c r="F2171" s="68"/>
      <c r="G2171" s="68">
        <v>643</v>
      </c>
      <c r="H21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72" spans="1:8" hidden="1" x14ac:dyDescent="0.3">
      <c r="A2172" t="s">
        <v>977</v>
      </c>
      <c r="B2172" t="s">
        <v>988</v>
      </c>
      <c r="C2172" t="s">
        <v>26</v>
      </c>
      <c r="D2172" s="68">
        <v>949</v>
      </c>
      <c r="E2172" s="68"/>
      <c r="F2172" s="68">
        <v>6482</v>
      </c>
      <c r="G2172" s="68">
        <v>7431</v>
      </c>
      <c r="H21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73" spans="1:8" hidden="1" x14ac:dyDescent="0.3">
      <c r="A2173" t="s">
        <v>977</v>
      </c>
      <c r="B2173" t="s">
        <v>988</v>
      </c>
      <c r="C2173" t="s">
        <v>30</v>
      </c>
      <c r="D2173" s="68">
        <v>79</v>
      </c>
      <c r="E2173" s="68"/>
      <c r="F2173" s="68">
        <v>2200</v>
      </c>
      <c r="G2173" s="68">
        <v>2279</v>
      </c>
      <c r="H21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74" spans="1:8" hidden="1" x14ac:dyDescent="0.3">
      <c r="A2174" t="s">
        <v>977</v>
      </c>
      <c r="B2174" t="s">
        <v>988</v>
      </c>
      <c r="C2174" t="s">
        <v>38</v>
      </c>
      <c r="D2174" s="68">
        <v>72</v>
      </c>
      <c r="E2174" s="68"/>
      <c r="F2174" s="68">
        <v>1391</v>
      </c>
      <c r="G2174" s="68">
        <v>1463</v>
      </c>
      <c r="H21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75" spans="1:8" hidden="1" x14ac:dyDescent="0.3">
      <c r="A2175" t="s">
        <v>977</v>
      </c>
      <c r="B2175" t="s">
        <v>988</v>
      </c>
      <c r="C2175" t="s">
        <v>27</v>
      </c>
      <c r="D2175" s="68"/>
      <c r="E2175" s="68">
        <v>169</v>
      </c>
      <c r="F2175" s="68"/>
      <c r="G2175" s="68">
        <v>169</v>
      </c>
      <c r="H21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76" spans="1:8" hidden="1" x14ac:dyDescent="0.3">
      <c r="A2176" t="s">
        <v>977</v>
      </c>
      <c r="B2176" t="s">
        <v>988</v>
      </c>
      <c r="C2176" t="s">
        <v>35</v>
      </c>
      <c r="D2176" s="68">
        <v>27</v>
      </c>
      <c r="E2176" s="68"/>
      <c r="F2176" s="68"/>
      <c r="G2176" s="68">
        <v>27</v>
      </c>
      <c r="H21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77" spans="1:8" hidden="1" x14ac:dyDescent="0.3">
      <c r="A2177" t="s">
        <v>977</v>
      </c>
      <c r="B2177" t="s">
        <v>989</v>
      </c>
      <c r="C2177" t="s">
        <v>26</v>
      </c>
      <c r="D2177" s="68">
        <v>179</v>
      </c>
      <c r="E2177" s="68"/>
      <c r="F2177" s="68">
        <v>1965</v>
      </c>
      <c r="G2177" s="68">
        <v>2144</v>
      </c>
      <c r="H21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78" spans="1:8" hidden="1" x14ac:dyDescent="0.3">
      <c r="A2178" t="s">
        <v>977</v>
      </c>
      <c r="B2178" t="s">
        <v>989</v>
      </c>
      <c r="C2178" t="s">
        <v>30</v>
      </c>
      <c r="D2178" s="68">
        <v>18</v>
      </c>
      <c r="E2178" s="68"/>
      <c r="F2178" s="68">
        <v>1667</v>
      </c>
      <c r="G2178" s="68">
        <v>1685</v>
      </c>
      <c r="H21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79" spans="1:8" hidden="1" x14ac:dyDescent="0.3">
      <c r="A2179" t="s">
        <v>977</v>
      </c>
      <c r="B2179" t="s">
        <v>989</v>
      </c>
      <c r="C2179" t="s">
        <v>27</v>
      </c>
      <c r="D2179" s="68"/>
      <c r="E2179" s="68">
        <v>130</v>
      </c>
      <c r="F2179" s="68"/>
      <c r="G2179" s="68">
        <v>130</v>
      </c>
      <c r="H21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0" spans="1:8" hidden="1" x14ac:dyDescent="0.3">
      <c r="A2180" t="s">
        <v>977</v>
      </c>
      <c r="B2180" t="s">
        <v>990</v>
      </c>
      <c r="C2180" t="s">
        <v>26</v>
      </c>
      <c r="D2180" s="68">
        <v>1678</v>
      </c>
      <c r="E2180" s="68"/>
      <c r="F2180" s="68">
        <v>7220</v>
      </c>
      <c r="G2180" s="68">
        <v>8898</v>
      </c>
      <c r="H21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81" spans="1:8" hidden="1" x14ac:dyDescent="0.3">
      <c r="A2181" t="s">
        <v>977</v>
      </c>
      <c r="B2181" t="s">
        <v>990</v>
      </c>
      <c r="C2181" t="s">
        <v>30</v>
      </c>
      <c r="D2181" s="68">
        <v>162</v>
      </c>
      <c r="E2181" s="68"/>
      <c r="F2181" s="68">
        <v>2744</v>
      </c>
      <c r="G2181" s="68">
        <v>2906</v>
      </c>
      <c r="H21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2" spans="1:8" hidden="1" x14ac:dyDescent="0.3">
      <c r="A2182" t="s">
        <v>977</v>
      </c>
      <c r="B2182" t="s">
        <v>990</v>
      </c>
      <c r="C2182" t="s">
        <v>27</v>
      </c>
      <c r="D2182" s="68"/>
      <c r="E2182" s="68">
        <v>262</v>
      </c>
      <c r="F2182" s="68"/>
      <c r="G2182" s="68">
        <v>262</v>
      </c>
      <c r="H21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3" spans="1:8" hidden="1" x14ac:dyDescent="0.3">
      <c r="A2183" t="s">
        <v>977</v>
      </c>
      <c r="B2183" t="s">
        <v>990</v>
      </c>
      <c r="C2183" t="s">
        <v>588</v>
      </c>
      <c r="D2183" s="68"/>
      <c r="E2183" s="68"/>
      <c r="F2183" s="68">
        <v>1</v>
      </c>
      <c r="G2183" s="68">
        <v>1</v>
      </c>
      <c r="H21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4" spans="1:8" hidden="1" x14ac:dyDescent="0.3">
      <c r="A2184" t="s">
        <v>977</v>
      </c>
      <c r="B2184" t="s">
        <v>991</v>
      </c>
      <c r="C2184" t="s">
        <v>36</v>
      </c>
      <c r="D2184" s="68">
        <v>11417</v>
      </c>
      <c r="E2184" s="68"/>
      <c r="F2184" s="68">
        <v>5536</v>
      </c>
      <c r="G2184" s="68">
        <v>16953</v>
      </c>
      <c r="H21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5" spans="1:8" hidden="1" x14ac:dyDescent="0.3">
      <c r="A2185" t="s">
        <v>977</v>
      </c>
      <c r="B2185" t="s">
        <v>991</v>
      </c>
      <c r="C2185" t="s">
        <v>31</v>
      </c>
      <c r="D2185" s="68">
        <v>463</v>
      </c>
      <c r="E2185" s="68"/>
      <c r="F2185" s="68">
        <v>10848</v>
      </c>
      <c r="G2185" s="68">
        <v>11311</v>
      </c>
      <c r="H21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86" spans="1:8" hidden="1" x14ac:dyDescent="0.3">
      <c r="A2186" t="s">
        <v>977</v>
      </c>
      <c r="B2186" t="s">
        <v>991</v>
      </c>
      <c r="C2186" t="s">
        <v>26</v>
      </c>
      <c r="D2186" s="68">
        <v>1653</v>
      </c>
      <c r="E2186" s="68"/>
      <c r="F2186" s="68">
        <v>6709</v>
      </c>
      <c r="G2186" s="68">
        <v>8362</v>
      </c>
      <c r="H21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87" spans="1:8" hidden="1" x14ac:dyDescent="0.3">
      <c r="A2187" t="s">
        <v>977</v>
      </c>
      <c r="B2187" t="s">
        <v>991</v>
      </c>
      <c r="C2187" t="s">
        <v>38</v>
      </c>
      <c r="D2187" s="68">
        <v>171</v>
      </c>
      <c r="E2187" s="68"/>
      <c r="F2187" s="68">
        <v>7250</v>
      </c>
      <c r="G2187" s="68">
        <v>7421</v>
      </c>
      <c r="H21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88" spans="1:8" hidden="1" x14ac:dyDescent="0.3">
      <c r="A2188" t="s">
        <v>977</v>
      </c>
      <c r="B2188" t="s">
        <v>991</v>
      </c>
      <c r="C2188" t="s">
        <v>30</v>
      </c>
      <c r="D2188" s="68">
        <v>50</v>
      </c>
      <c r="E2188" s="68"/>
      <c r="F2188" s="68">
        <v>1072</v>
      </c>
      <c r="G2188" s="68">
        <v>1122</v>
      </c>
      <c r="H21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9" spans="1:8" hidden="1" x14ac:dyDescent="0.3">
      <c r="A2189" t="s">
        <v>977</v>
      </c>
      <c r="B2189" t="s">
        <v>991</v>
      </c>
      <c r="C2189" t="s">
        <v>27</v>
      </c>
      <c r="D2189" s="68"/>
      <c r="E2189" s="68">
        <v>661</v>
      </c>
      <c r="F2189" s="68"/>
      <c r="G2189" s="68">
        <v>661</v>
      </c>
      <c r="H21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0" spans="1:8" hidden="1" x14ac:dyDescent="0.3">
      <c r="A2190" t="s">
        <v>977</v>
      </c>
      <c r="B2190" t="s">
        <v>992</v>
      </c>
      <c r="C2190" t="s">
        <v>26</v>
      </c>
      <c r="D2190" s="68">
        <v>1286</v>
      </c>
      <c r="E2190" s="68"/>
      <c r="F2190" s="68">
        <v>10287</v>
      </c>
      <c r="G2190" s="68">
        <v>11573</v>
      </c>
      <c r="H21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91" spans="1:8" hidden="1" x14ac:dyDescent="0.3">
      <c r="A2191" t="s">
        <v>977</v>
      </c>
      <c r="B2191" t="s">
        <v>992</v>
      </c>
      <c r="C2191" t="s">
        <v>30</v>
      </c>
      <c r="D2191" s="68">
        <v>190</v>
      </c>
      <c r="E2191" s="68"/>
      <c r="F2191" s="68">
        <v>8509</v>
      </c>
      <c r="G2191" s="68">
        <v>8699</v>
      </c>
      <c r="H21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2" spans="1:8" hidden="1" x14ac:dyDescent="0.3">
      <c r="A2192" t="s">
        <v>977</v>
      </c>
      <c r="B2192" t="s">
        <v>992</v>
      </c>
      <c r="C2192" t="s">
        <v>31</v>
      </c>
      <c r="D2192" s="68">
        <v>99</v>
      </c>
      <c r="E2192" s="68"/>
      <c r="F2192" s="68">
        <v>2312</v>
      </c>
      <c r="G2192" s="68">
        <v>2411</v>
      </c>
      <c r="H21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93" spans="1:8" hidden="1" x14ac:dyDescent="0.3">
      <c r="A2193" t="s">
        <v>977</v>
      </c>
      <c r="B2193" t="s">
        <v>992</v>
      </c>
      <c r="C2193" t="s">
        <v>537</v>
      </c>
      <c r="D2193" s="68">
        <v>61</v>
      </c>
      <c r="E2193" s="68"/>
      <c r="F2193" s="68">
        <v>1354</v>
      </c>
      <c r="G2193" s="68">
        <v>1415</v>
      </c>
      <c r="H21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4" spans="1:8" hidden="1" x14ac:dyDescent="0.3">
      <c r="A2194" t="s">
        <v>977</v>
      </c>
      <c r="B2194" t="s">
        <v>992</v>
      </c>
      <c r="C2194" t="s">
        <v>27</v>
      </c>
      <c r="D2194" s="68"/>
      <c r="E2194" s="68">
        <v>353</v>
      </c>
      <c r="F2194" s="68"/>
      <c r="G2194" s="68">
        <v>353</v>
      </c>
      <c r="H21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5" spans="1:8" hidden="1" x14ac:dyDescent="0.3">
      <c r="A2195" t="s">
        <v>977</v>
      </c>
      <c r="B2195" t="s">
        <v>992</v>
      </c>
      <c r="C2195" t="s">
        <v>5</v>
      </c>
      <c r="D2195" s="68">
        <v>3</v>
      </c>
      <c r="E2195" s="68"/>
      <c r="F2195" s="68"/>
      <c r="G2195" s="68">
        <v>3</v>
      </c>
      <c r="H21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96" spans="1:8" hidden="1" x14ac:dyDescent="0.3">
      <c r="A2196" t="s">
        <v>977</v>
      </c>
      <c r="B2196" t="s">
        <v>993</v>
      </c>
      <c r="C2196" t="s">
        <v>26</v>
      </c>
      <c r="D2196" s="68">
        <v>747</v>
      </c>
      <c r="E2196" s="68"/>
      <c r="F2196" s="68">
        <v>8464</v>
      </c>
      <c r="G2196" s="68">
        <v>9211</v>
      </c>
      <c r="H21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97" spans="1:8" hidden="1" x14ac:dyDescent="0.3">
      <c r="A2197" t="s">
        <v>977</v>
      </c>
      <c r="B2197" t="s">
        <v>993</v>
      </c>
      <c r="C2197" t="s">
        <v>30</v>
      </c>
      <c r="D2197" s="68">
        <v>25</v>
      </c>
      <c r="E2197" s="68"/>
      <c r="F2197" s="68">
        <v>1026</v>
      </c>
      <c r="G2197" s="68">
        <v>1051</v>
      </c>
      <c r="H21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8" spans="1:8" hidden="1" x14ac:dyDescent="0.3">
      <c r="A2198" t="s">
        <v>977</v>
      </c>
      <c r="B2198" t="s">
        <v>993</v>
      </c>
      <c r="C2198" t="s">
        <v>27</v>
      </c>
      <c r="D2198" s="68"/>
      <c r="E2198" s="68">
        <v>287</v>
      </c>
      <c r="F2198" s="68"/>
      <c r="G2198" s="68">
        <v>287</v>
      </c>
      <c r="H21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9" spans="1:8" hidden="1" x14ac:dyDescent="0.3">
      <c r="A2199" t="s">
        <v>977</v>
      </c>
      <c r="B2199" t="s">
        <v>993</v>
      </c>
      <c r="C2199" t="s">
        <v>5</v>
      </c>
      <c r="D2199" s="68">
        <v>1</v>
      </c>
      <c r="E2199" s="68"/>
      <c r="F2199" s="68"/>
      <c r="G2199" s="68">
        <v>1</v>
      </c>
      <c r="H21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00" spans="1:8" hidden="1" x14ac:dyDescent="0.3">
      <c r="A2200" t="s">
        <v>977</v>
      </c>
      <c r="B2200" t="s">
        <v>994</v>
      </c>
      <c r="C2200" t="s">
        <v>26</v>
      </c>
      <c r="D2200" s="68">
        <v>1453</v>
      </c>
      <c r="E2200" s="68"/>
      <c r="F2200" s="68">
        <v>8318</v>
      </c>
      <c r="G2200" s="68">
        <v>9771</v>
      </c>
      <c r="H22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01" spans="1:8" hidden="1" x14ac:dyDescent="0.3">
      <c r="A2201" t="s">
        <v>977</v>
      </c>
      <c r="B2201" t="s">
        <v>994</v>
      </c>
      <c r="C2201" t="s">
        <v>30</v>
      </c>
      <c r="D2201" s="68">
        <v>280</v>
      </c>
      <c r="E2201" s="68"/>
      <c r="F2201" s="68">
        <v>6830</v>
      </c>
      <c r="G2201" s="68">
        <v>7110</v>
      </c>
      <c r="H22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02" spans="1:8" hidden="1" x14ac:dyDescent="0.3">
      <c r="A2202" t="s">
        <v>977</v>
      </c>
      <c r="B2202" t="s">
        <v>994</v>
      </c>
      <c r="C2202" t="s">
        <v>38</v>
      </c>
      <c r="D2202" s="68">
        <v>182</v>
      </c>
      <c r="E2202" s="68"/>
      <c r="F2202" s="68">
        <v>4417</v>
      </c>
      <c r="G2202" s="68">
        <v>4599</v>
      </c>
      <c r="H22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03" spans="1:8" hidden="1" x14ac:dyDescent="0.3">
      <c r="A2203" t="s">
        <v>977</v>
      </c>
      <c r="B2203" t="s">
        <v>994</v>
      </c>
      <c r="C2203" t="s">
        <v>27</v>
      </c>
      <c r="D2203" s="68"/>
      <c r="E2203" s="68">
        <v>401</v>
      </c>
      <c r="F2203" s="68"/>
      <c r="G2203" s="68">
        <v>401</v>
      </c>
      <c r="H22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04" spans="1:8" hidden="1" x14ac:dyDescent="0.3">
      <c r="A2204" t="s">
        <v>977</v>
      </c>
      <c r="B2204" t="s">
        <v>994</v>
      </c>
      <c r="C2204" t="s">
        <v>36</v>
      </c>
      <c r="D2204" s="68">
        <v>72</v>
      </c>
      <c r="E2204" s="68"/>
      <c r="F2204" s="68">
        <v>24</v>
      </c>
      <c r="G2204" s="68">
        <v>96</v>
      </c>
      <c r="H22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05" spans="1:8" hidden="1" x14ac:dyDescent="0.3">
      <c r="A2205" t="s">
        <v>977</v>
      </c>
      <c r="B2205" t="s">
        <v>994</v>
      </c>
      <c r="C2205" t="s">
        <v>35</v>
      </c>
      <c r="D2205" s="68">
        <v>11</v>
      </c>
      <c r="E2205" s="68"/>
      <c r="F2205" s="68"/>
      <c r="G2205" s="68">
        <v>11</v>
      </c>
      <c r="H22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06" spans="1:8" hidden="1" x14ac:dyDescent="0.3">
      <c r="A2206" t="s">
        <v>977</v>
      </c>
      <c r="B2206" t="s">
        <v>994</v>
      </c>
      <c r="C2206" t="s">
        <v>31</v>
      </c>
      <c r="D2206" s="68">
        <v>1</v>
      </c>
      <c r="E2206" s="68"/>
      <c r="F2206" s="68"/>
      <c r="G2206" s="68">
        <v>1</v>
      </c>
      <c r="H22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07" spans="1:8" hidden="1" x14ac:dyDescent="0.3">
      <c r="A2207" t="s">
        <v>977</v>
      </c>
      <c r="B2207" t="s">
        <v>995</v>
      </c>
      <c r="C2207" t="s">
        <v>26</v>
      </c>
      <c r="D2207" s="68">
        <v>2917</v>
      </c>
      <c r="E2207" s="68"/>
      <c r="F2207" s="68">
        <v>15054</v>
      </c>
      <c r="G2207" s="68">
        <v>17971</v>
      </c>
      <c r="H22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08" spans="1:8" hidden="1" x14ac:dyDescent="0.3">
      <c r="A2208" t="s">
        <v>977</v>
      </c>
      <c r="B2208" t="s">
        <v>995</v>
      </c>
      <c r="C2208" t="s">
        <v>38</v>
      </c>
      <c r="D2208" s="68">
        <v>159</v>
      </c>
      <c r="E2208" s="68"/>
      <c r="F2208" s="68">
        <v>3877</v>
      </c>
      <c r="G2208" s="68">
        <v>4036</v>
      </c>
      <c r="H22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09" spans="1:8" hidden="1" x14ac:dyDescent="0.3">
      <c r="A2209" t="s">
        <v>977</v>
      </c>
      <c r="B2209" t="s">
        <v>995</v>
      </c>
      <c r="C2209" t="s">
        <v>27</v>
      </c>
      <c r="D2209" s="68"/>
      <c r="E2209" s="68">
        <v>426</v>
      </c>
      <c r="F2209" s="68"/>
      <c r="G2209" s="68">
        <v>426</v>
      </c>
      <c r="H22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10" spans="1:8" hidden="1" x14ac:dyDescent="0.3">
      <c r="A2210" t="s">
        <v>977</v>
      </c>
      <c r="B2210" t="s">
        <v>995</v>
      </c>
      <c r="C2210" t="s">
        <v>35</v>
      </c>
      <c r="D2210" s="68">
        <v>14</v>
      </c>
      <c r="E2210" s="68"/>
      <c r="F2210" s="68"/>
      <c r="G2210" s="68">
        <v>14</v>
      </c>
      <c r="H22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11" spans="1:8" hidden="1" x14ac:dyDescent="0.3">
      <c r="A2211" t="s">
        <v>977</v>
      </c>
      <c r="B2211" t="s">
        <v>996</v>
      </c>
      <c r="C2211" t="s">
        <v>537</v>
      </c>
      <c r="D2211" s="68">
        <v>460</v>
      </c>
      <c r="E2211" s="68"/>
      <c r="F2211" s="68">
        <v>29463</v>
      </c>
      <c r="G2211" s="68">
        <v>29923</v>
      </c>
      <c r="H22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12" spans="1:8" hidden="1" x14ac:dyDescent="0.3">
      <c r="A2212" t="s">
        <v>977</v>
      </c>
      <c r="B2212" t="s">
        <v>996</v>
      </c>
      <c r="C2212" t="s">
        <v>26</v>
      </c>
      <c r="D2212" s="68">
        <v>506</v>
      </c>
      <c r="E2212" s="68"/>
      <c r="F2212" s="68">
        <v>3650</v>
      </c>
      <c r="G2212" s="68">
        <v>4156</v>
      </c>
      <c r="H22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13" spans="1:8" hidden="1" x14ac:dyDescent="0.3">
      <c r="A2213" t="s">
        <v>977</v>
      </c>
      <c r="B2213" t="s">
        <v>996</v>
      </c>
      <c r="C2213" t="s">
        <v>30</v>
      </c>
      <c r="D2213" s="68">
        <v>78</v>
      </c>
      <c r="E2213" s="68"/>
      <c r="F2213" s="68">
        <v>3682</v>
      </c>
      <c r="G2213" s="68">
        <v>3760</v>
      </c>
      <c r="H22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14" spans="1:8" hidden="1" x14ac:dyDescent="0.3">
      <c r="A2214" t="s">
        <v>977</v>
      </c>
      <c r="B2214" t="s">
        <v>996</v>
      </c>
      <c r="C2214" t="s">
        <v>27</v>
      </c>
      <c r="D2214" s="68"/>
      <c r="E2214" s="68">
        <v>343</v>
      </c>
      <c r="F2214" s="68"/>
      <c r="G2214" s="68">
        <v>343</v>
      </c>
      <c r="H22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15" spans="1:8" hidden="1" x14ac:dyDescent="0.3">
      <c r="A2215" t="s">
        <v>977</v>
      </c>
      <c r="B2215" t="s">
        <v>996</v>
      </c>
      <c r="C2215" t="s">
        <v>5</v>
      </c>
      <c r="D2215" s="68"/>
      <c r="E2215" s="68"/>
      <c r="F2215" s="68">
        <v>1</v>
      </c>
      <c r="G2215" s="68">
        <v>1</v>
      </c>
      <c r="H22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16" spans="1:8" hidden="1" x14ac:dyDescent="0.3">
      <c r="A2216" t="s">
        <v>977</v>
      </c>
      <c r="B2216" t="s">
        <v>997</v>
      </c>
      <c r="C2216" t="s">
        <v>38</v>
      </c>
      <c r="D2216" s="68">
        <v>372</v>
      </c>
      <c r="E2216" s="68"/>
      <c r="F2216" s="68">
        <v>6835</v>
      </c>
      <c r="G2216" s="68">
        <v>7207</v>
      </c>
      <c r="H22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17" spans="1:8" hidden="1" x14ac:dyDescent="0.3">
      <c r="A2217" t="s">
        <v>977</v>
      </c>
      <c r="B2217" t="s">
        <v>997</v>
      </c>
      <c r="C2217" t="s">
        <v>30</v>
      </c>
      <c r="D2217" s="68">
        <v>49</v>
      </c>
      <c r="E2217" s="68"/>
      <c r="F2217" s="68">
        <v>1390</v>
      </c>
      <c r="G2217" s="68">
        <v>1439</v>
      </c>
      <c r="H22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18" spans="1:8" hidden="1" x14ac:dyDescent="0.3">
      <c r="A2218" t="s">
        <v>977</v>
      </c>
      <c r="B2218" t="s">
        <v>997</v>
      </c>
      <c r="C2218" t="s">
        <v>27</v>
      </c>
      <c r="D2218" s="68"/>
      <c r="E2218" s="68">
        <v>544</v>
      </c>
      <c r="F2218" s="68"/>
      <c r="G2218" s="68">
        <v>544</v>
      </c>
      <c r="H22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19" spans="1:8" hidden="1" x14ac:dyDescent="0.3">
      <c r="A2219" t="s">
        <v>977</v>
      </c>
      <c r="B2219" t="s">
        <v>997</v>
      </c>
      <c r="C2219" t="s">
        <v>26</v>
      </c>
      <c r="D2219" s="68">
        <v>294</v>
      </c>
      <c r="E2219" s="68"/>
      <c r="F2219" s="68">
        <v>230</v>
      </c>
      <c r="G2219" s="68">
        <v>524</v>
      </c>
      <c r="H22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20" spans="1:8" hidden="1" x14ac:dyDescent="0.3">
      <c r="A2220" t="s">
        <v>977</v>
      </c>
      <c r="B2220" t="s">
        <v>997</v>
      </c>
      <c r="C2220" t="s">
        <v>36</v>
      </c>
      <c r="D2220" s="68">
        <v>6</v>
      </c>
      <c r="E2220" s="68"/>
      <c r="F2220" s="68">
        <v>3</v>
      </c>
      <c r="G2220" s="68">
        <v>9</v>
      </c>
      <c r="H22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21" spans="1:8" hidden="1" x14ac:dyDescent="0.3">
      <c r="A2221" t="s">
        <v>977</v>
      </c>
      <c r="B2221" t="s">
        <v>998</v>
      </c>
      <c r="C2221" t="s">
        <v>26</v>
      </c>
      <c r="D2221" s="68">
        <v>12147</v>
      </c>
      <c r="E2221" s="68"/>
      <c r="F2221" s="68">
        <v>12751</v>
      </c>
      <c r="G2221" s="68">
        <v>24898</v>
      </c>
      <c r="H22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22" spans="1:8" hidden="1" x14ac:dyDescent="0.3">
      <c r="A2222" t="s">
        <v>977</v>
      </c>
      <c r="B2222" t="s">
        <v>998</v>
      </c>
      <c r="C2222" t="s">
        <v>31</v>
      </c>
      <c r="D2222" s="68">
        <v>682</v>
      </c>
      <c r="E2222" s="68"/>
      <c r="F2222" s="68">
        <v>1819</v>
      </c>
      <c r="G2222" s="68">
        <v>2501</v>
      </c>
      <c r="H22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23" spans="1:8" hidden="1" x14ac:dyDescent="0.3">
      <c r="A2223" t="s">
        <v>977</v>
      </c>
      <c r="B2223" t="s">
        <v>998</v>
      </c>
      <c r="C2223" t="s">
        <v>38</v>
      </c>
      <c r="D2223" s="68">
        <v>69</v>
      </c>
      <c r="E2223" s="68"/>
      <c r="F2223" s="68">
        <v>1535</v>
      </c>
      <c r="G2223" s="68">
        <v>1604</v>
      </c>
      <c r="H22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24" spans="1:8" hidden="1" x14ac:dyDescent="0.3">
      <c r="A2224" t="s">
        <v>977</v>
      </c>
      <c r="B2224" t="s">
        <v>998</v>
      </c>
      <c r="C2224" t="s">
        <v>30</v>
      </c>
      <c r="D2224" s="68">
        <v>159</v>
      </c>
      <c r="E2224" s="68"/>
      <c r="F2224" s="68">
        <v>976</v>
      </c>
      <c r="G2224" s="68">
        <v>1135</v>
      </c>
      <c r="H22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25" spans="1:8" hidden="1" x14ac:dyDescent="0.3">
      <c r="A2225" t="s">
        <v>977</v>
      </c>
      <c r="B2225" t="s">
        <v>998</v>
      </c>
      <c r="C2225" t="s">
        <v>27</v>
      </c>
      <c r="D2225" s="68"/>
      <c r="E2225" s="68">
        <v>530</v>
      </c>
      <c r="F2225" s="68"/>
      <c r="G2225" s="68">
        <v>530</v>
      </c>
      <c r="H22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26" spans="1:8" hidden="1" x14ac:dyDescent="0.3">
      <c r="A2226" t="s">
        <v>977</v>
      </c>
      <c r="B2226" t="s">
        <v>998</v>
      </c>
      <c r="C2226" t="s">
        <v>5</v>
      </c>
      <c r="D2226" s="68">
        <v>1</v>
      </c>
      <c r="E2226" s="68"/>
      <c r="F2226" s="68"/>
      <c r="G2226" s="68">
        <v>1</v>
      </c>
      <c r="H22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27" spans="1:8" hidden="1" x14ac:dyDescent="0.3">
      <c r="A2227" t="s">
        <v>977</v>
      </c>
      <c r="B2227" t="s">
        <v>999</v>
      </c>
      <c r="C2227" t="s">
        <v>26</v>
      </c>
      <c r="D2227" s="68">
        <v>1024</v>
      </c>
      <c r="E2227" s="68"/>
      <c r="F2227" s="68">
        <v>7813</v>
      </c>
      <c r="G2227" s="68">
        <v>8837</v>
      </c>
      <c r="H22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28" spans="1:8" hidden="1" x14ac:dyDescent="0.3">
      <c r="A2228" t="s">
        <v>977</v>
      </c>
      <c r="B2228" t="s">
        <v>999</v>
      </c>
      <c r="C2228" t="s">
        <v>30</v>
      </c>
      <c r="D2228" s="68">
        <v>92</v>
      </c>
      <c r="E2228" s="68"/>
      <c r="F2228" s="68">
        <v>4958</v>
      </c>
      <c r="G2228" s="68">
        <v>5050</v>
      </c>
      <c r="H22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29" spans="1:8" hidden="1" x14ac:dyDescent="0.3">
      <c r="A2229" t="s">
        <v>977</v>
      </c>
      <c r="B2229" t="s">
        <v>999</v>
      </c>
      <c r="C2229" t="s">
        <v>38</v>
      </c>
      <c r="D2229" s="68">
        <v>91</v>
      </c>
      <c r="E2229" s="68"/>
      <c r="F2229" s="68">
        <v>2433</v>
      </c>
      <c r="G2229" s="68">
        <v>2524</v>
      </c>
      <c r="H22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0" spans="1:8" hidden="1" x14ac:dyDescent="0.3">
      <c r="A2230" t="s">
        <v>977</v>
      </c>
      <c r="B2230" t="s">
        <v>999</v>
      </c>
      <c r="C2230" t="s">
        <v>31</v>
      </c>
      <c r="D2230" s="68">
        <v>105</v>
      </c>
      <c r="E2230" s="68"/>
      <c r="F2230" s="68">
        <v>2134</v>
      </c>
      <c r="G2230" s="68">
        <v>2239</v>
      </c>
      <c r="H22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1" spans="1:8" hidden="1" x14ac:dyDescent="0.3">
      <c r="A2231" t="s">
        <v>977</v>
      </c>
      <c r="B2231" t="s">
        <v>999</v>
      </c>
      <c r="C2231" t="s">
        <v>27</v>
      </c>
      <c r="D2231" s="68"/>
      <c r="E2231" s="68">
        <v>258</v>
      </c>
      <c r="F2231" s="68"/>
      <c r="G2231" s="68">
        <v>258</v>
      </c>
      <c r="H22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32" spans="1:8" hidden="1" x14ac:dyDescent="0.3">
      <c r="A2232" t="s">
        <v>977</v>
      </c>
      <c r="B2232" t="s">
        <v>999</v>
      </c>
      <c r="C2232" t="s">
        <v>5</v>
      </c>
      <c r="D2232" s="68">
        <v>37</v>
      </c>
      <c r="E2232" s="68"/>
      <c r="F2232" s="68">
        <v>24</v>
      </c>
      <c r="G2232" s="68">
        <v>61</v>
      </c>
      <c r="H22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3" spans="1:8" hidden="1" x14ac:dyDescent="0.3">
      <c r="A2233" t="s">
        <v>977</v>
      </c>
      <c r="B2233" t="s">
        <v>1000</v>
      </c>
      <c r="C2233" t="s">
        <v>26</v>
      </c>
      <c r="D2233" s="68">
        <v>6332</v>
      </c>
      <c r="E2233" s="68"/>
      <c r="F2233" s="68">
        <v>11480</v>
      </c>
      <c r="G2233" s="68">
        <v>17812</v>
      </c>
      <c r="H22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4" spans="1:8" hidden="1" x14ac:dyDescent="0.3">
      <c r="A2234" t="s">
        <v>977</v>
      </c>
      <c r="B2234" t="s">
        <v>1000</v>
      </c>
      <c r="C2234" t="s">
        <v>38</v>
      </c>
      <c r="D2234" s="68">
        <v>269</v>
      </c>
      <c r="E2234" s="68"/>
      <c r="F2234" s="68">
        <v>4472</v>
      </c>
      <c r="G2234" s="68">
        <v>4741</v>
      </c>
      <c r="H22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5" spans="1:8" hidden="1" x14ac:dyDescent="0.3">
      <c r="A2235" t="s">
        <v>977</v>
      </c>
      <c r="B2235" t="s">
        <v>1000</v>
      </c>
      <c r="C2235" t="s">
        <v>30</v>
      </c>
      <c r="D2235" s="68">
        <v>231</v>
      </c>
      <c r="E2235" s="68"/>
      <c r="F2235" s="68">
        <v>1914</v>
      </c>
      <c r="G2235" s="68">
        <v>2145</v>
      </c>
      <c r="H22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36" spans="1:8" hidden="1" x14ac:dyDescent="0.3">
      <c r="A2236" t="s">
        <v>977</v>
      </c>
      <c r="B2236" t="s">
        <v>1000</v>
      </c>
      <c r="C2236" t="s">
        <v>27</v>
      </c>
      <c r="D2236" s="68"/>
      <c r="E2236" s="68">
        <v>492</v>
      </c>
      <c r="F2236" s="68"/>
      <c r="G2236" s="68">
        <v>492</v>
      </c>
      <c r="H22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37" spans="1:8" hidden="1" x14ac:dyDescent="0.3">
      <c r="A2237" t="s">
        <v>977</v>
      </c>
      <c r="B2237" t="s">
        <v>1000</v>
      </c>
      <c r="C2237" t="s">
        <v>36</v>
      </c>
      <c r="D2237" s="68">
        <v>36</v>
      </c>
      <c r="E2237" s="68"/>
      <c r="F2237" s="68">
        <v>22</v>
      </c>
      <c r="G2237" s="68">
        <v>58</v>
      </c>
      <c r="H22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38" spans="1:8" hidden="1" x14ac:dyDescent="0.3">
      <c r="A2238" t="s">
        <v>977</v>
      </c>
      <c r="B2238" t="s">
        <v>1000</v>
      </c>
      <c r="C2238" t="s">
        <v>5</v>
      </c>
      <c r="D2238" s="68">
        <v>1</v>
      </c>
      <c r="E2238" s="68"/>
      <c r="F2238" s="68"/>
      <c r="G2238" s="68">
        <v>1</v>
      </c>
      <c r="H22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9" spans="1:8" hidden="1" x14ac:dyDescent="0.3">
      <c r="A2239" t="s">
        <v>977</v>
      </c>
      <c r="B2239" t="s">
        <v>1001</v>
      </c>
      <c r="C2239" t="s">
        <v>26</v>
      </c>
      <c r="D2239" s="68">
        <v>1008</v>
      </c>
      <c r="E2239" s="68"/>
      <c r="F2239" s="68">
        <v>9114</v>
      </c>
      <c r="G2239" s="68">
        <v>10122</v>
      </c>
      <c r="H22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40" spans="1:8" hidden="1" x14ac:dyDescent="0.3">
      <c r="A2240" t="s">
        <v>977</v>
      </c>
      <c r="B2240" t="s">
        <v>1001</v>
      </c>
      <c r="C2240" t="s">
        <v>38</v>
      </c>
      <c r="D2240" s="68">
        <v>59</v>
      </c>
      <c r="E2240" s="68"/>
      <c r="F2240" s="68">
        <v>1564</v>
      </c>
      <c r="G2240" s="68">
        <v>1623</v>
      </c>
      <c r="H22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41" spans="1:8" hidden="1" x14ac:dyDescent="0.3">
      <c r="A2241" t="s">
        <v>977</v>
      </c>
      <c r="B2241" t="s">
        <v>1001</v>
      </c>
      <c r="C2241" t="s">
        <v>27</v>
      </c>
      <c r="D2241" s="68"/>
      <c r="E2241" s="68">
        <v>355</v>
      </c>
      <c r="F2241" s="68"/>
      <c r="G2241" s="68">
        <v>355</v>
      </c>
      <c r="H22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42" spans="1:8" hidden="1" x14ac:dyDescent="0.3">
      <c r="A2242" t="s">
        <v>977</v>
      </c>
      <c r="B2242" t="s">
        <v>1001</v>
      </c>
      <c r="C2242" t="s">
        <v>35</v>
      </c>
      <c r="D2242" s="68">
        <v>13</v>
      </c>
      <c r="E2242" s="68"/>
      <c r="F2242" s="68"/>
      <c r="G2242" s="68">
        <v>13</v>
      </c>
      <c r="H22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43" spans="1:8" hidden="1" x14ac:dyDescent="0.3">
      <c r="A2243" t="s">
        <v>977</v>
      </c>
      <c r="B2243" t="s">
        <v>1001</v>
      </c>
      <c r="C2243" t="s">
        <v>30</v>
      </c>
      <c r="D2243" s="68"/>
      <c r="E2243" s="68"/>
      <c r="F2243" s="68">
        <v>1</v>
      </c>
      <c r="G2243" s="68">
        <v>1</v>
      </c>
      <c r="H22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44" spans="1:8" hidden="1" x14ac:dyDescent="0.3">
      <c r="A2244" t="s">
        <v>977</v>
      </c>
      <c r="B2244" t="s">
        <v>1002</v>
      </c>
      <c r="C2244" t="s">
        <v>36</v>
      </c>
      <c r="D2244" s="68">
        <v>96576</v>
      </c>
      <c r="E2244" s="68"/>
      <c r="F2244" s="68">
        <v>45566</v>
      </c>
      <c r="G2244" s="68">
        <v>142142</v>
      </c>
      <c r="H22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45" spans="1:8" hidden="1" x14ac:dyDescent="0.3">
      <c r="A2245" t="s">
        <v>977</v>
      </c>
      <c r="B2245" t="s">
        <v>1002</v>
      </c>
      <c r="C2245" t="s">
        <v>26</v>
      </c>
      <c r="D2245" s="68">
        <v>30233</v>
      </c>
      <c r="E2245" s="68"/>
      <c r="F2245" s="68">
        <v>58154</v>
      </c>
      <c r="G2245" s="68">
        <v>88387</v>
      </c>
      <c r="H22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46" spans="1:8" hidden="1" x14ac:dyDescent="0.3">
      <c r="A2246" t="s">
        <v>977</v>
      </c>
      <c r="B2246" t="s">
        <v>1002</v>
      </c>
      <c r="C2246" t="s">
        <v>30</v>
      </c>
      <c r="D2246" s="68">
        <v>3666</v>
      </c>
      <c r="E2246" s="68"/>
      <c r="F2246" s="68">
        <v>79714</v>
      </c>
      <c r="G2246" s="68">
        <v>83380</v>
      </c>
      <c r="H22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47" spans="1:8" hidden="1" x14ac:dyDescent="0.3">
      <c r="A2247" t="s">
        <v>977</v>
      </c>
      <c r="B2247" t="s">
        <v>1002</v>
      </c>
      <c r="C2247" t="s">
        <v>5</v>
      </c>
      <c r="D2247" s="68">
        <v>49043</v>
      </c>
      <c r="E2247" s="68"/>
      <c r="F2247" s="68">
        <v>16072</v>
      </c>
      <c r="G2247" s="68">
        <v>65115</v>
      </c>
      <c r="H22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48" spans="1:8" hidden="1" x14ac:dyDescent="0.3">
      <c r="A2248" t="s">
        <v>977</v>
      </c>
      <c r="B2248" t="s">
        <v>1002</v>
      </c>
      <c r="C2248" t="s">
        <v>31</v>
      </c>
      <c r="D2248" s="68">
        <v>3185</v>
      </c>
      <c r="E2248" s="68"/>
      <c r="F2248" s="68">
        <v>54881</v>
      </c>
      <c r="G2248" s="68">
        <v>58066</v>
      </c>
      <c r="H22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49" spans="1:8" hidden="1" x14ac:dyDescent="0.3">
      <c r="A2249" t="s">
        <v>977</v>
      </c>
      <c r="B2249" t="s">
        <v>1002</v>
      </c>
      <c r="C2249" t="s">
        <v>537</v>
      </c>
      <c r="D2249" s="68">
        <v>2470</v>
      </c>
      <c r="E2249" s="68"/>
      <c r="F2249" s="68">
        <v>43240</v>
      </c>
      <c r="G2249" s="68">
        <v>45710</v>
      </c>
      <c r="H22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0" spans="1:8" hidden="1" x14ac:dyDescent="0.3">
      <c r="A2250" t="s">
        <v>977</v>
      </c>
      <c r="B2250" t="s">
        <v>1002</v>
      </c>
      <c r="C2250" t="s">
        <v>37</v>
      </c>
      <c r="D2250" s="68">
        <v>11404</v>
      </c>
      <c r="E2250" s="68"/>
      <c r="F2250" s="68">
        <v>13034</v>
      </c>
      <c r="G2250" s="68">
        <v>24438</v>
      </c>
      <c r="H22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51" spans="1:8" hidden="1" x14ac:dyDescent="0.3">
      <c r="A2251" t="s">
        <v>977</v>
      </c>
      <c r="B2251" t="s">
        <v>1002</v>
      </c>
      <c r="C2251" t="s">
        <v>38</v>
      </c>
      <c r="D2251" s="68">
        <v>466</v>
      </c>
      <c r="E2251" s="68"/>
      <c r="F2251" s="68">
        <v>18890</v>
      </c>
      <c r="G2251" s="68">
        <v>19356</v>
      </c>
      <c r="H22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52" spans="1:8" hidden="1" x14ac:dyDescent="0.3">
      <c r="A2252" t="s">
        <v>977</v>
      </c>
      <c r="B2252" t="s">
        <v>1002</v>
      </c>
      <c r="C2252" t="s">
        <v>588</v>
      </c>
      <c r="D2252" s="68">
        <v>1296</v>
      </c>
      <c r="E2252" s="68"/>
      <c r="F2252" s="68">
        <v>12172</v>
      </c>
      <c r="G2252" s="68">
        <v>13468</v>
      </c>
      <c r="H22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3" spans="1:8" hidden="1" x14ac:dyDescent="0.3">
      <c r="A2253" t="s">
        <v>977</v>
      </c>
      <c r="B2253" t="s">
        <v>1002</v>
      </c>
      <c r="C2253" t="s">
        <v>27</v>
      </c>
      <c r="D2253" s="68"/>
      <c r="E2253" s="68">
        <v>12318</v>
      </c>
      <c r="F2253" s="68"/>
      <c r="G2253" s="68">
        <v>12318</v>
      </c>
      <c r="H22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4" spans="1:8" hidden="1" x14ac:dyDescent="0.3">
      <c r="A2254" t="s">
        <v>977</v>
      </c>
      <c r="B2254" t="s">
        <v>1002</v>
      </c>
      <c r="C2254" t="s">
        <v>32</v>
      </c>
      <c r="D2254" s="68">
        <v>224</v>
      </c>
      <c r="E2254" s="68"/>
      <c r="F2254" s="68">
        <v>8637</v>
      </c>
      <c r="G2254" s="68">
        <v>8861</v>
      </c>
      <c r="H22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55" spans="1:8" hidden="1" x14ac:dyDescent="0.3">
      <c r="A2255" t="s">
        <v>977</v>
      </c>
      <c r="B2255" t="s">
        <v>1002</v>
      </c>
      <c r="C2255" t="s">
        <v>35</v>
      </c>
      <c r="D2255" s="68">
        <v>98</v>
      </c>
      <c r="E2255" s="68"/>
      <c r="F2255" s="68"/>
      <c r="G2255" s="68">
        <v>98</v>
      </c>
      <c r="H22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6" spans="1:8" hidden="1" x14ac:dyDescent="0.3">
      <c r="A2256" t="s">
        <v>977</v>
      </c>
      <c r="B2256" t="s">
        <v>1002</v>
      </c>
      <c r="C2256" t="s">
        <v>536</v>
      </c>
      <c r="D2256" s="68">
        <v>2</v>
      </c>
      <c r="E2256" s="68"/>
      <c r="F2256" s="68"/>
      <c r="G2256" s="68">
        <v>2</v>
      </c>
      <c r="H22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7" spans="1:8" hidden="1" x14ac:dyDescent="0.3">
      <c r="A2257" t="s">
        <v>977</v>
      </c>
      <c r="B2257" t="s">
        <v>1002</v>
      </c>
      <c r="C2257" t="s">
        <v>34</v>
      </c>
      <c r="D2257" s="68">
        <v>1</v>
      </c>
      <c r="E2257" s="68"/>
      <c r="F2257" s="68"/>
      <c r="G2257" s="68">
        <v>1</v>
      </c>
      <c r="H22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8" spans="1:8" hidden="1" x14ac:dyDescent="0.3">
      <c r="A2258" t="s">
        <v>1003</v>
      </c>
      <c r="B2258" t="s">
        <v>1004</v>
      </c>
      <c r="C2258" t="s">
        <v>26</v>
      </c>
      <c r="D2258" s="68">
        <v>872</v>
      </c>
      <c r="E2258" s="68"/>
      <c r="F2258" s="68">
        <v>7027</v>
      </c>
      <c r="G2258" s="68">
        <v>7899</v>
      </c>
      <c r="H22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59" spans="1:8" hidden="1" x14ac:dyDescent="0.3">
      <c r="A2259" t="s">
        <v>1003</v>
      </c>
      <c r="B2259" t="s">
        <v>1004</v>
      </c>
      <c r="C2259" t="s">
        <v>1005</v>
      </c>
      <c r="D2259" s="68">
        <v>41</v>
      </c>
      <c r="E2259" s="68"/>
      <c r="F2259" s="68">
        <v>5144</v>
      </c>
      <c r="G2259" s="68">
        <v>5185</v>
      </c>
      <c r="H22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60" spans="1:8" hidden="1" x14ac:dyDescent="0.3">
      <c r="A2260" t="s">
        <v>1003</v>
      </c>
      <c r="B2260" t="s">
        <v>1004</v>
      </c>
      <c r="C2260" t="s">
        <v>27</v>
      </c>
      <c r="D2260" s="68"/>
      <c r="E2260" s="68">
        <v>267</v>
      </c>
      <c r="F2260" s="68"/>
      <c r="G2260" s="68">
        <v>267</v>
      </c>
      <c r="H22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61" spans="1:8" hidden="1" x14ac:dyDescent="0.3">
      <c r="A2261" t="s">
        <v>1003</v>
      </c>
      <c r="B2261" t="s">
        <v>1006</v>
      </c>
      <c r="C2261" t="s">
        <v>26</v>
      </c>
      <c r="D2261" s="68">
        <v>768</v>
      </c>
      <c r="E2261" s="68"/>
      <c r="F2261" s="68">
        <v>14289</v>
      </c>
      <c r="G2261" s="68">
        <v>15057</v>
      </c>
      <c r="H22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62" spans="1:8" hidden="1" x14ac:dyDescent="0.3">
      <c r="A2262" t="s">
        <v>1003</v>
      </c>
      <c r="B2262" t="s">
        <v>1006</v>
      </c>
      <c r="C2262" t="s">
        <v>1005</v>
      </c>
      <c r="D2262" s="68">
        <v>21</v>
      </c>
      <c r="E2262" s="68"/>
      <c r="F2262" s="68">
        <v>2582</v>
      </c>
      <c r="G2262" s="68">
        <v>2603</v>
      </c>
      <c r="H22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63" spans="1:8" hidden="1" x14ac:dyDescent="0.3">
      <c r="A2263" t="s">
        <v>1003</v>
      </c>
      <c r="B2263" t="s">
        <v>1006</v>
      </c>
      <c r="C2263" t="s">
        <v>5</v>
      </c>
      <c r="D2263" s="68">
        <v>87</v>
      </c>
      <c r="E2263" s="68"/>
      <c r="F2263" s="68">
        <v>1903</v>
      </c>
      <c r="G2263" s="68">
        <v>1990</v>
      </c>
      <c r="H22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64" spans="1:8" hidden="1" x14ac:dyDescent="0.3">
      <c r="A2264" t="s">
        <v>1003</v>
      </c>
      <c r="B2264" t="s">
        <v>1006</v>
      </c>
      <c r="C2264" t="s">
        <v>27</v>
      </c>
      <c r="D2264" s="68"/>
      <c r="E2264" s="68">
        <v>245</v>
      </c>
      <c r="F2264" s="68"/>
      <c r="G2264" s="68">
        <v>245</v>
      </c>
      <c r="H22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65" spans="1:8" hidden="1" x14ac:dyDescent="0.3">
      <c r="A2265" t="s">
        <v>1003</v>
      </c>
      <c r="B2265" t="s">
        <v>1007</v>
      </c>
      <c r="C2265" t="s">
        <v>1005</v>
      </c>
      <c r="D2265" s="68">
        <v>62</v>
      </c>
      <c r="E2265" s="68"/>
      <c r="F2265" s="68">
        <v>2761</v>
      </c>
      <c r="G2265" s="68">
        <v>2823</v>
      </c>
      <c r="H22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66" spans="1:8" hidden="1" x14ac:dyDescent="0.3">
      <c r="A2266" t="s">
        <v>1003</v>
      </c>
      <c r="B2266" t="s">
        <v>1007</v>
      </c>
      <c r="C2266" t="s">
        <v>5</v>
      </c>
      <c r="D2266" s="68">
        <v>140</v>
      </c>
      <c r="E2266" s="68"/>
      <c r="F2266" s="68">
        <v>1494</v>
      </c>
      <c r="G2266" s="68">
        <v>1634</v>
      </c>
      <c r="H22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67" spans="1:8" hidden="1" x14ac:dyDescent="0.3">
      <c r="A2267" t="s">
        <v>1003</v>
      </c>
      <c r="B2267" t="s">
        <v>1007</v>
      </c>
      <c r="C2267" t="s">
        <v>26</v>
      </c>
      <c r="D2267" s="68">
        <v>138</v>
      </c>
      <c r="E2267" s="68"/>
      <c r="F2267" s="68">
        <v>212</v>
      </c>
      <c r="G2267" s="68">
        <v>350</v>
      </c>
      <c r="H22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68" spans="1:8" hidden="1" x14ac:dyDescent="0.3">
      <c r="A2268" t="s">
        <v>1003</v>
      </c>
      <c r="B2268" t="s">
        <v>1007</v>
      </c>
      <c r="C2268" t="s">
        <v>27</v>
      </c>
      <c r="D2268" s="68"/>
      <c r="E2268" s="68">
        <v>77</v>
      </c>
      <c r="F2268" s="68"/>
      <c r="G2268" s="68">
        <v>77</v>
      </c>
      <c r="H22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69" spans="1:8" hidden="1" x14ac:dyDescent="0.3">
      <c r="A2269" t="s">
        <v>1003</v>
      </c>
      <c r="B2269" t="s">
        <v>1008</v>
      </c>
      <c r="C2269" t="s">
        <v>26</v>
      </c>
      <c r="D2269" s="68">
        <v>478</v>
      </c>
      <c r="E2269" s="68"/>
      <c r="F2269" s="68">
        <v>7574</v>
      </c>
      <c r="G2269" s="68">
        <v>8052</v>
      </c>
      <c r="H22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70" spans="1:8" hidden="1" x14ac:dyDescent="0.3">
      <c r="A2270" t="s">
        <v>1003</v>
      </c>
      <c r="B2270" t="s">
        <v>1008</v>
      </c>
      <c r="C2270" t="s">
        <v>1005</v>
      </c>
      <c r="D2270" s="68">
        <v>24</v>
      </c>
      <c r="E2270" s="68"/>
      <c r="F2270" s="68">
        <v>2007</v>
      </c>
      <c r="G2270" s="68">
        <v>2031</v>
      </c>
      <c r="H22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71" spans="1:8" hidden="1" x14ac:dyDescent="0.3">
      <c r="A2271" t="s">
        <v>1003</v>
      </c>
      <c r="B2271" t="s">
        <v>1008</v>
      </c>
      <c r="C2271" t="s">
        <v>27</v>
      </c>
      <c r="D2271" s="68"/>
      <c r="E2271" s="68">
        <v>192</v>
      </c>
      <c r="F2271" s="68"/>
      <c r="G2271" s="68">
        <v>192</v>
      </c>
      <c r="H22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72" spans="1:8" hidden="1" x14ac:dyDescent="0.3">
      <c r="A2272" t="s">
        <v>1003</v>
      </c>
      <c r="B2272" t="s">
        <v>1009</v>
      </c>
      <c r="C2272" t="s">
        <v>1005</v>
      </c>
      <c r="D2272" s="68">
        <v>163</v>
      </c>
      <c r="E2272" s="68"/>
      <c r="F2272" s="68">
        <v>9742</v>
      </c>
      <c r="G2272" s="68">
        <v>9905</v>
      </c>
      <c r="H22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73" spans="1:8" hidden="1" x14ac:dyDescent="0.3">
      <c r="A2273" t="s">
        <v>1003</v>
      </c>
      <c r="B2273" t="s">
        <v>1009</v>
      </c>
      <c r="C2273" t="s">
        <v>26</v>
      </c>
      <c r="D2273" s="68">
        <v>203</v>
      </c>
      <c r="E2273" s="68"/>
      <c r="F2273" s="68">
        <v>215</v>
      </c>
      <c r="G2273" s="68">
        <v>418</v>
      </c>
      <c r="H22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74" spans="1:8" hidden="1" x14ac:dyDescent="0.3">
      <c r="A2274" t="s">
        <v>1003</v>
      </c>
      <c r="B2274" t="s">
        <v>1009</v>
      </c>
      <c r="C2274" t="s">
        <v>27</v>
      </c>
      <c r="D2274" s="68"/>
      <c r="E2274" s="68">
        <v>312</v>
      </c>
      <c r="F2274" s="68"/>
      <c r="G2274" s="68">
        <v>312</v>
      </c>
      <c r="H22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75" spans="1:8" hidden="1" x14ac:dyDescent="0.3">
      <c r="A2275" t="s">
        <v>1003</v>
      </c>
      <c r="B2275" t="s">
        <v>1010</v>
      </c>
      <c r="C2275" t="s">
        <v>26</v>
      </c>
      <c r="D2275" s="68">
        <v>432</v>
      </c>
      <c r="E2275" s="68"/>
      <c r="F2275" s="68">
        <v>10911</v>
      </c>
      <c r="G2275" s="68">
        <v>11343</v>
      </c>
      <c r="H22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76" spans="1:8" hidden="1" x14ac:dyDescent="0.3">
      <c r="A2276" t="s">
        <v>1003</v>
      </c>
      <c r="B2276" t="s">
        <v>1010</v>
      </c>
      <c r="C2276" t="s">
        <v>1005</v>
      </c>
      <c r="D2276" s="68">
        <v>44</v>
      </c>
      <c r="E2276" s="68"/>
      <c r="F2276" s="68">
        <v>4734</v>
      </c>
      <c r="G2276" s="68">
        <v>4778</v>
      </c>
      <c r="H22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77" spans="1:8" hidden="1" x14ac:dyDescent="0.3">
      <c r="A2277" t="s">
        <v>1003</v>
      </c>
      <c r="B2277" t="s">
        <v>1010</v>
      </c>
      <c r="C2277" t="s">
        <v>27</v>
      </c>
      <c r="D2277" s="68"/>
      <c r="E2277" s="68">
        <v>354</v>
      </c>
      <c r="F2277" s="68"/>
      <c r="G2277" s="68">
        <v>354</v>
      </c>
      <c r="H22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78" spans="1:8" hidden="1" x14ac:dyDescent="0.3">
      <c r="A2278" t="s">
        <v>1003</v>
      </c>
      <c r="B2278" t="s">
        <v>1011</v>
      </c>
      <c r="C2278" t="s">
        <v>27</v>
      </c>
      <c r="D2278" s="68"/>
      <c r="E2278" s="68">
        <v>57</v>
      </c>
      <c r="F2278" s="68"/>
      <c r="G2278" s="68">
        <v>57</v>
      </c>
      <c r="H22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79" spans="1:8" hidden="1" x14ac:dyDescent="0.3">
      <c r="A2279" t="s">
        <v>1003</v>
      </c>
      <c r="B2279" t="s">
        <v>1012</v>
      </c>
      <c r="C2279" t="s">
        <v>26</v>
      </c>
      <c r="D2279" s="68">
        <v>603</v>
      </c>
      <c r="E2279" s="68"/>
      <c r="F2279" s="68">
        <v>9452</v>
      </c>
      <c r="G2279" s="68">
        <v>10055</v>
      </c>
      <c r="H22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80" spans="1:8" hidden="1" x14ac:dyDescent="0.3">
      <c r="A2280" t="s">
        <v>1003</v>
      </c>
      <c r="B2280" t="s">
        <v>1012</v>
      </c>
      <c r="C2280" t="s">
        <v>5</v>
      </c>
      <c r="D2280" s="68">
        <v>98</v>
      </c>
      <c r="E2280" s="68"/>
      <c r="F2280" s="68">
        <v>1245</v>
      </c>
      <c r="G2280" s="68">
        <v>1343</v>
      </c>
      <c r="H22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81" spans="1:8" hidden="1" x14ac:dyDescent="0.3">
      <c r="A2281" t="s">
        <v>1003</v>
      </c>
      <c r="B2281" t="s">
        <v>1012</v>
      </c>
      <c r="C2281" t="s">
        <v>1005</v>
      </c>
      <c r="D2281" s="68">
        <v>14</v>
      </c>
      <c r="E2281" s="68"/>
      <c r="F2281" s="68">
        <v>1287</v>
      </c>
      <c r="G2281" s="68">
        <v>1301</v>
      </c>
      <c r="H22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82" spans="1:8" hidden="1" x14ac:dyDescent="0.3">
      <c r="A2282" t="s">
        <v>1003</v>
      </c>
      <c r="B2282" t="s">
        <v>1012</v>
      </c>
      <c r="C2282" t="s">
        <v>27</v>
      </c>
      <c r="D2282" s="68"/>
      <c r="E2282" s="68">
        <v>155</v>
      </c>
      <c r="F2282" s="68"/>
      <c r="G2282" s="68">
        <v>155</v>
      </c>
      <c r="H22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83" spans="1:8" hidden="1" x14ac:dyDescent="0.3">
      <c r="A2283" t="s">
        <v>1003</v>
      </c>
      <c r="B2283" t="s">
        <v>1013</v>
      </c>
      <c r="C2283" t="s">
        <v>26</v>
      </c>
      <c r="D2283" s="68">
        <v>347</v>
      </c>
      <c r="E2283" s="68"/>
      <c r="F2283" s="68">
        <v>5297</v>
      </c>
      <c r="G2283" s="68">
        <v>5644</v>
      </c>
      <c r="H22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84" spans="1:8" hidden="1" x14ac:dyDescent="0.3">
      <c r="A2284" t="s">
        <v>1003</v>
      </c>
      <c r="B2284" t="s">
        <v>1013</v>
      </c>
      <c r="C2284" t="s">
        <v>1005</v>
      </c>
      <c r="D2284" s="68">
        <v>36</v>
      </c>
      <c r="E2284" s="68"/>
      <c r="F2284" s="68">
        <v>4544</v>
      </c>
      <c r="G2284" s="68">
        <v>4580</v>
      </c>
      <c r="H22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85" spans="1:8" hidden="1" x14ac:dyDescent="0.3">
      <c r="A2285" t="s">
        <v>1003</v>
      </c>
      <c r="B2285" t="s">
        <v>1013</v>
      </c>
      <c r="C2285" t="s">
        <v>27</v>
      </c>
      <c r="D2285" s="68"/>
      <c r="E2285" s="68">
        <v>183</v>
      </c>
      <c r="F2285" s="68"/>
      <c r="G2285" s="68">
        <v>183</v>
      </c>
      <c r="H22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86" spans="1:8" hidden="1" x14ac:dyDescent="0.3">
      <c r="A2286" t="s">
        <v>1003</v>
      </c>
      <c r="B2286" t="s">
        <v>1014</v>
      </c>
      <c r="C2286" t="s">
        <v>1005</v>
      </c>
      <c r="D2286" s="68">
        <v>32</v>
      </c>
      <c r="E2286" s="68"/>
      <c r="F2286" s="68">
        <v>1956</v>
      </c>
      <c r="G2286" s="68">
        <v>1988</v>
      </c>
      <c r="H22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87" spans="1:8" hidden="1" x14ac:dyDescent="0.3">
      <c r="A2287" t="s">
        <v>1003</v>
      </c>
      <c r="B2287" t="s">
        <v>1014</v>
      </c>
      <c r="C2287" t="s">
        <v>26</v>
      </c>
      <c r="D2287" s="68">
        <v>147</v>
      </c>
      <c r="E2287" s="68"/>
      <c r="F2287" s="68">
        <v>1671</v>
      </c>
      <c r="G2287" s="68">
        <v>1818</v>
      </c>
      <c r="H22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88" spans="1:8" hidden="1" x14ac:dyDescent="0.3">
      <c r="A2288" t="s">
        <v>1003</v>
      </c>
      <c r="B2288" t="s">
        <v>1014</v>
      </c>
      <c r="C2288" t="s">
        <v>27</v>
      </c>
      <c r="D2288" s="68"/>
      <c r="E2288" s="68">
        <v>49</v>
      </c>
      <c r="F2288" s="68"/>
      <c r="G2288" s="68">
        <v>49</v>
      </c>
      <c r="H22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89" spans="1:8" hidden="1" x14ac:dyDescent="0.3">
      <c r="A2289" t="s">
        <v>1003</v>
      </c>
      <c r="B2289" t="s">
        <v>1015</v>
      </c>
      <c r="C2289" t="s">
        <v>1005</v>
      </c>
      <c r="D2289" s="68">
        <v>71</v>
      </c>
      <c r="E2289" s="68"/>
      <c r="F2289" s="68">
        <v>4232</v>
      </c>
      <c r="G2289" s="68">
        <v>4303</v>
      </c>
      <c r="H22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90" spans="1:8" hidden="1" x14ac:dyDescent="0.3">
      <c r="A2290" t="s">
        <v>1003</v>
      </c>
      <c r="B2290" t="s">
        <v>1015</v>
      </c>
      <c r="C2290" t="s">
        <v>26</v>
      </c>
      <c r="D2290" s="68">
        <v>650</v>
      </c>
      <c r="E2290" s="68"/>
      <c r="F2290" s="68">
        <v>3582</v>
      </c>
      <c r="G2290" s="68">
        <v>4232</v>
      </c>
      <c r="H22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91" spans="1:8" hidden="1" x14ac:dyDescent="0.3">
      <c r="A2291" t="s">
        <v>1003</v>
      </c>
      <c r="B2291" t="s">
        <v>1015</v>
      </c>
      <c r="C2291" t="s">
        <v>5</v>
      </c>
      <c r="D2291" s="68">
        <v>153</v>
      </c>
      <c r="E2291" s="68"/>
      <c r="F2291" s="68">
        <v>1749</v>
      </c>
      <c r="G2291" s="68">
        <v>1902</v>
      </c>
      <c r="H22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92" spans="1:8" hidden="1" x14ac:dyDescent="0.3">
      <c r="A2292" t="s">
        <v>1003</v>
      </c>
      <c r="B2292" t="s">
        <v>1015</v>
      </c>
      <c r="C2292" t="s">
        <v>27</v>
      </c>
      <c r="D2292" s="68"/>
      <c r="E2292" s="68">
        <v>384</v>
      </c>
      <c r="F2292" s="68"/>
      <c r="G2292" s="68">
        <v>384</v>
      </c>
      <c r="H22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93" spans="1:8" hidden="1" x14ac:dyDescent="0.3">
      <c r="A2293" t="s">
        <v>1003</v>
      </c>
      <c r="B2293" t="s">
        <v>1015</v>
      </c>
      <c r="C2293" t="s">
        <v>30</v>
      </c>
      <c r="D2293" s="68"/>
      <c r="E2293" s="68"/>
      <c r="F2293" s="68">
        <v>1</v>
      </c>
      <c r="G2293" s="68">
        <v>1</v>
      </c>
      <c r="H22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94" spans="1:8" hidden="1" x14ac:dyDescent="0.3">
      <c r="A2294" t="s">
        <v>1003</v>
      </c>
      <c r="B2294" t="s">
        <v>1016</v>
      </c>
      <c r="C2294" t="s">
        <v>26</v>
      </c>
      <c r="D2294" s="68">
        <v>222</v>
      </c>
      <c r="E2294" s="68"/>
      <c r="F2294" s="68">
        <v>3236</v>
      </c>
      <c r="G2294" s="68">
        <v>3458</v>
      </c>
      <c r="H22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95" spans="1:8" hidden="1" x14ac:dyDescent="0.3">
      <c r="A2295" t="s">
        <v>1003</v>
      </c>
      <c r="B2295" t="s">
        <v>1016</v>
      </c>
      <c r="C2295" t="s">
        <v>1005</v>
      </c>
      <c r="D2295" s="68">
        <v>15</v>
      </c>
      <c r="E2295" s="68"/>
      <c r="F2295" s="68">
        <v>1679</v>
      </c>
      <c r="G2295" s="68">
        <v>1694</v>
      </c>
      <c r="H22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96" spans="1:8" hidden="1" x14ac:dyDescent="0.3">
      <c r="A2296" t="s">
        <v>1003</v>
      </c>
      <c r="B2296" t="s">
        <v>1016</v>
      </c>
      <c r="C2296" t="s">
        <v>27</v>
      </c>
      <c r="D2296" s="68"/>
      <c r="E2296" s="68">
        <v>92</v>
      </c>
      <c r="F2296" s="68"/>
      <c r="G2296" s="68">
        <v>92</v>
      </c>
      <c r="H22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97" spans="1:8" hidden="1" x14ac:dyDescent="0.3">
      <c r="A2297" t="s">
        <v>1003</v>
      </c>
      <c r="B2297" t="s">
        <v>1017</v>
      </c>
      <c r="C2297" t="s">
        <v>26</v>
      </c>
      <c r="D2297" s="68">
        <v>1934</v>
      </c>
      <c r="E2297" s="68"/>
      <c r="F2297" s="68">
        <v>6294</v>
      </c>
      <c r="G2297" s="68">
        <v>8228</v>
      </c>
      <c r="H22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98" spans="1:8" hidden="1" x14ac:dyDescent="0.3">
      <c r="A2298" t="s">
        <v>1003</v>
      </c>
      <c r="B2298" t="s">
        <v>1017</v>
      </c>
      <c r="C2298" t="s">
        <v>1005</v>
      </c>
      <c r="D2298" s="68">
        <v>12</v>
      </c>
      <c r="E2298" s="68"/>
      <c r="F2298" s="68">
        <v>392</v>
      </c>
      <c r="G2298" s="68">
        <v>404</v>
      </c>
      <c r="H22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99" spans="1:8" hidden="1" x14ac:dyDescent="0.3">
      <c r="A2299" t="s">
        <v>1003</v>
      </c>
      <c r="B2299" t="s">
        <v>1017</v>
      </c>
      <c r="C2299" t="s">
        <v>27</v>
      </c>
      <c r="D2299" s="68"/>
      <c r="E2299" s="68">
        <v>177</v>
      </c>
      <c r="F2299" s="68"/>
      <c r="G2299" s="68">
        <v>177</v>
      </c>
      <c r="H22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00" spans="1:8" hidden="1" x14ac:dyDescent="0.3">
      <c r="A2300" t="s">
        <v>1003</v>
      </c>
      <c r="B2300" t="s">
        <v>1018</v>
      </c>
      <c r="C2300" t="s">
        <v>26</v>
      </c>
      <c r="D2300" s="68">
        <v>514</v>
      </c>
      <c r="E2300" s="68"/>
      <c r="F2300" s="68">
        <v>6347</v>
      </c>
      <c r="G2300" s="68">
        <v>6861</v>
      </c>
      <c r="H23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01" spans="1:8" hidden="1" x14ac:dyDescent="0.3">
      <c r="A2301" t="s">
        <v>1003</v>
      </c>
      <c r="B2301" t="s">
        <v>1018</v>
      </c>
      <c r="C2301" t="s">
        <v>1005</v>
      </c>
      <c r="D2301" s="68">
        <v>15</v>
      </c>
      <c r="E2301" s="68"/>
      <c r="F2301" s="68">
        <v>2708</v>
      </c>
      <c r="G2301" s="68">
        <v>2723</v>
      </c>
      <c r="H23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02" spans="1:8" hidden="1" x14ac:dyDescent="0.3">
      <c r="A2302" t="s">
        <v>1003</v>
      </c>
      <c r="B2302" t="s">
        <v>1018</v>
      </c>
      <c r="C2302" t="s">
        <v>27</v>
      </c>
      <c r="D2302" s="68"/>
      <c r="E2302" s="68">
        <v>161</v>
      </c>
      <c r="F2302" s="68"/>
      <c r="G2302" s="68">
        <v>161</v>
      </c>
      <c r="H23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03" spans="1:8" hidden="1" x14ac:dyDescent="0.3">
      <c r="A2303" t="s">
        <v>1003</v>
      </c>
      <c r="B2303" t="s">
        <v>1019</v>
      </c>
      <c r="C2303" t="s">
        <v>26</v>
      </c>
      <c r="D2303" s="68">
        <v>4632</v>
      </c>
      <c r="E2303" s="68"/>
      <c r="F2303" s="68">
        <v>14873</v>
      </c>
      <c r="G2303" s="68">
        <v>19505</v>
      </c>
      <c r="H23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04" spans="1:8" hidden="1" x14ac:dyDescent="0.3">
      <c r="A2304" t="s">
        <v>1003</v>
      </c>
      <c r="B2304" t="s">
        <v>1019</v>
      </c>
      <c r="C2304" t="s">
        <v>1005</v>
      </c>
      <c r="D2304" s="68">
        <v>188</v>
      </c>
      <c r="E2304" s="68"/>
      <c r="F2304" s="68">
        <v>8401</v>
      </c>
      <c r="G2304" s="68">
        <v>8589</v>
      </c>
      <c r="H23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05" spans="1:8" hidden="1" x14ac:dyDescent="0.3">
      <c r="A2305" t="s">
        <v>1003</v>
      </c>
      <c r="B2305" t="s">
        <v>1019</v>
      </c>
      <c r="C2305" t="s">
        <v>5</v>
      </c>
      <c r="D2305" s="68">
        <v>1221</v>
      </c>
      <c r="E2305" s="68"/>
      <c r="F2305" s="68">
        <v>2688</v>
      </c>
      <c r="G2305" s="68">
        <v>3909</v>
      </c>
      <c r="H23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06" spans="1:8" hidden="1" x14ac:dyDescent="0.3">
      <c r="A2306" t="s">
        <v>1003</v>
      </c>
      <c r="B2306" t="s">
        <v>1019</v>
      </c>
      <c r="C2306" t="s">
        <v>27</v>
      </c>
      <c r="D2306" s="68"/>
      <c r="E2306" s="68">
        <v>1220</v>
      </c>
      <c r="F2306" s="68"/>
      <c r="G2306" s="68">
        <v>1220</v>
      </c>
      <c r="H23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07" spans="1:8" hidden="1" x14ac:dyDescent="0.3">
      <c r="A2307" t="s">
        <v>1003</v>
      </c>
      <c r="B2307" t="s">
        <v>1020</v>
      </c>
      <c r="C2307" t="s">
        <v>1005</v>
      </c>
      <c r="D2307" s="68">
        <v>41</v>
      </c>
      <c r="E2307" s="68"/>
      <c r="F2307" s="68">
        <v>4450</v>
      </c>
      <c r="G2307" s="68">
        <v>4491</v>
      </c>
      <c r="H23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08" spans="1:8" hidden="1" x14ac:dyDescent="0.3">
      <c r="A2308" t="s">
        <v>1003</v>
      </c>
      <c r="B2308" t="s">
        <v>1020</v>
      </c>
      <c r="C2308" t="s">
        <v>26</v>
      </c>
      <c r="D2308" s="68">
        <v>74</v>
      </c>
      <c r="E2308" s="68"/>
      <c r="F2308" s="68">
        <v>136</v>
      </c>
      <c r="G2308" s="68">
        <v>210</v>
      </c>
      <c r="H23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09" spans="1:8" hidden="1" x14ac:dyDescent="0.3">
      <c r="A2309" t="s">
        <v>1003</v>
      </c>
      <c r="B2309" t="s">
        <v>1020</v>
      </c>
      <c r="C2309" t="s">
        <v>27</v>
      </c>
      <c r="D2309" s="68"/>
      <c r="E2309" s="68">
        <v>74</v>
      </c>
      <c r="F2309" s="68"/>
      <c r="G2309" s="68">
        <v>74</v>
      </c>
      <c r="H23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0" spans="1:8" hidden="1" x14ac:dyDescent="0.3">
      <c r="A2310" t="s">
        <v>1003</v>
      </c>
      <c r="B2310" t="s">
        <v>1021</v>
      </c>
      <c r="C2310" t="s">
        <v>26</v>
      </c>
      <c r="D2310" s="68">
        <v>368</v>
      </c>
      <c r="E2310" s="68"/>
      <c r="F2310" s="68">
        <v>7282</v>
      </c>
      <c r="G2310" s="68">
        <v>7650</v>
      </c>
      <c r="H23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11" spans="1:8" hidden="1" x14ac:dyDescent="0.3">
      <c r="A2311" t="s">
        <v>1003</v>
      </c>
      <c r="B2311" t="s">
        <v>1021</v>
      </c>
      <c r="C2311" t="s">
        <v>1005</v>
      </c>
      <c r="D2311" s="68">
        <v>48</v>
      </c>
      <c r="E2311" s="68"/>
      <c r="F2311" s="68">
        <v>2933</v>
      </c>
      <c r="G2311" s="68">
        <v>2981</v>
      </c>
      <c r="H23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2" spans="1:8" hidden="1" x14ac:dyDescent="0.3">
      <c r="A2312" t="s">
        <v>1003</v>
      </c>
      <c r="B2312" t="s">
        <v>1021</v>
      </c>
      <c r="C2312" t="s">
        <v>27</v>
      </c>
      <c r="D2312" s="68"/>
      <c r="E2312" s="68">
        <v>94</v>
      </c>
      <c r="F2312" s="68"/>
      <c r="G2312" s="68">
        <v>94</v>
      </c>
      <c r="H23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3" spans="1:8" hidden="1" x14ac:dyDescent="0.3">
      <c r="A2313" t="s">
        <v>1003</v>
      </c>
      <c r="B2313" t="s">
        <v>1022</v>
      </c>
      <c r="C2313" t="s">
        <v>26</v>
      </c>
      <c r="D2313" s="68">
        <v>113</v>
      </c>
      <c r="E2313" s="68"/>
      <c r="F2313" s="68">
        <v>3129</v>
      </c>
      <c r="G2313" s="68">
        <v>3242</v>
      </c>
      <c r="H23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14" spans="1:8" hidden="1" x14ac:dyDescent="0.3">
      <c r="A2314" t="s">
        <v>1003</v>
      </c>
      <c r="B2314" t="s">
        <v>1022</v>
      </c>
      <c r="C2314" t="s">
        <v>1005</v>
      </c>
      <c r="D2314" s="68">
        <v>23</v>
      </c>
      <c r="E2314" s="68"/>
      <c r="F2314" s="68">
        <v>2894</v>
      </c>
      <c r="G2314" s="68">
        <v>2917</v>
      </c>
      <c r="H23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5" spans="1:8" hidden="1" x14ac:dyDescent="0.3">
      <c r="A2315" t="s">
        <v>1003</v>
      </c>
      <c r="B2315" t="s">
        <v>1022</v>
      </c>
      <c r="C2315" t="s">
        <v>27</v>
      </c>
      <c r="D2315" s="68"/>
      <c r="E2315" s="68">
        <v>76</v>
      </c>
      <c r="F2315" s="68"/>
      <c r="G2315" s="68">
        <v>76</v>
      </c>
      <c r="H23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6" spans="1:8" hidden="1" x14ac:dyDescent="0.3">
      <c r="A2316" t="s">
        <v>1003</v>
      </c>
      <c r="B2316" t="s">
        <v>1023</v>
      </c>
      <c r="C2316" t="s">
        <v>26</v>
      </c>
      <c r="D2316" s="68">
        <v>388</v>
      </c>
      <c r="E2316" s="68"/>
      <c r="F2316" s="68">
        <v>6266</v>
      </c>
      <c r="G2316" s="68">
        <v>6654</v>
      </c>
      <c r="H23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17" spans="1:8" hidden="1" x14ac:dyDescent="0.3">
      <c r="A2317" t="s">
        <v>1003</v>
      </c>
      <c r="B2317" t="s">
        <v>1023</v>
      </c>
      <c r="C2317" t="s">
        <v>1005</v>
      </c>
      <c r="D2317" s="68">
        <v>26</v>
      </c>
      <c r="E2317" s="68"/>
      <c r="F2317" s="68">
        <v>2393</v>
      </c>
      <c r="G2317" s="68">
        <v>2419</v>
      </c>
      <c r="H23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8" spans="1:8" hidden="1" x14ac:dyDescent="0.3">
      <c r="A2318" t="s">
        <v>1003</v>
      </c>
      <c r="B2318" t="s">
        <v>1023</v>
      </c>
      <c r="C2318" t="s">
        <v>5</v>
      </c>
      <c r="D2318" s="68">
        <v>105</v>
      </c>
      <c r="E2318" s="68"/>
      <c r="F2318" s="68">
        <v>1882</v>
      </c>
      <c r="G2318" s="68">
        <v>1987</v>
      </c>
      <c r="H23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19" spans="1:8" hidden="1" x14ac:dyDescent="0.3">
      <c r="A2319" t="s">
        <v>1003</v>
      </c>
      <c r="B2319" t="s">
        <v>1023</v>
      </c>
      <c r="C2319" t="s">
        <v>27</v>
      </c>
      <c r="D2319" s="68"/>
      <c r="E2319" s="68">
        <v>149</v>
      </c>
      <c r="F2319" s="68"/>
      <c r="G2319" s="68">
        <v>149</v>
      </c>
      <c r="H23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20" spans="1:8" hidden="1" x14ac:dyDescent="0.3">
      <c r="A2320" t="s">
        <v>1003</v>
      </c>
      <c r="B2320" t="s">
        <v>1024</v>
      </c>
      <c r="C2320" t="s">
        <v>26</v>
      </c>
      <c r="D2320" s="68">
        <v>205</v>
      </c>
      <c r="E2320" s="68"/>
      <c r="F2320" s="68">
        <v>3180</v>
      </c>
      <c r="G2320" s="68">
        <v>3385</v>
      </c>
      <c r="H23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21" spans="1:8" hidden="1" x14ac:dyDescent="0.3">
      <c r="A2321" t="s">
        <v>1003</v>
      </c>
      <c r="B2321" t="s">
        <v>1024</v>
      </c>
      <c r="C2321" t="s">
        <v>1005</v>
      </c>
      <c r="D2321" s="68">
        <v>55</v>
      </c>
      <c r="E2321" s="68"/>
      <c r="F2321" s="68">
        <v>2732</v>
      </c>
      <c r="G2321" s="68">
        <v>2787</v>
      </c>
      <c r="H23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22" spans="1:8" hidden="1" x14ac:dyDescent="0.3">
      <c r="A2322" t="s">
        <v>1003</v>
      </c>
      <c r="B2322" t="s">
        <v>1024</v>
      </c>
      <c r="C2322" t="s">
        <v>5</v>
      </c>
      <c r="D2322" s="68">
        <v>89</v>
      </c>
      <c r="E2322" s="68"/>
      <c r="F2322" s="68">
        <v>1696</v>
      </c>
      <c r="G2322" s="68">
        <v>1785</v>
      </c>
      <c r="H23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23" spans="1:8" hidden="1" x14ac:dyDescent="0.3">
      <c r="A2323" t="s">
        <v>1003</v>
      </c>
      <c r="B2323" t="s">
        <v>1024</v>
      </c>
      <c r="C2323" t="s">
        <v>27</v>
      </c>
      <c r="D2323" s="68"/>
      <c r="E2323" s="68">
        <v>166</v>
      </c>
      <c r="F2323" s="68"/>
      <c r="G2323" s="68">
        <v>166</v>
      </c>
      <c r="H23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24" spans="1:8" hidden="1" x14ac:dyDescent="0.3">
      <c r="A2324" t="s">
        <v>1003</v>
      </c>
      <c r="B2324" t="s">
        <v>1024</v>
      </c>
      <c r="C2324" t="s">
        <v>30</v>
      </c>
      <c r="D2324" s="68"/>
      <c r="E2324" s="68"/>
      <c r="F2324" s="68">
        <v>1</v>
      </c>
      <c r="G2324" s="68">
        <v>1</v>
      </c>
      <c r="H23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25" spans="1:8" hidden="1" x14ac:dyDescent="0.3">
      <c r="A2325" t="s">
        <v>1003</v>
      </c>
      <c r="B2325" t="s">
        <v>1025</v>
      </c>
      <c r="C2325" t="s">
        <v>1005</v>
      </c>
      <c r="D2325" s="68">
        <v>43</v>
      </c>
      <c r="E2325" s="68"/>
      <c r="F2325" s="68">
        <v>3061</v>
      </c>
      <c r="G2325" s="68">
        <v>3104</v>
      </c>
      <c r="H23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26" spans="1:8" hidden="1" x14ac:dyDescent="0.3">
      <c r="A2326" t="s">
        <v>1003</v>
      </c>
      <c r="B2326" t="s">
        <v>1025</v>
      </c>
      <c r="C2326" t="s">
        <v>26</v>
      </c>
      <c r="D2326" s="68">
        <v>169</v>
      </c>
      <c r="E2326" s="68"/>
      <c r="F2326" s="68">
        <v>2190</v>
      </c>
      <c r="G2326" s="68">
        <v>2359</v>
      </c>
      <c r="H23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27" spans="1:8" hidden="1" x14ac:dyDescent="0.3">
      <c r="A2327" t="s">
        <v>1003</v>
      </c>
      <c r="B2327" t="s">
        <v>1025</v>
      </c>
      <c r="C2327" t="s">
        <v>27</v>
      </c>
      <c r="D2327" s="68"/>
      <c r="E2327" s="68">
        <v>146</v>
      </c>
      <c r="F2327" s="68"/>
      <c r="G2327" s="68">
        <v>146</v>
      </c>
      <c r="H23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28" spans="1:8" hidden="1" x14ac:dyDescent="0.3">
      <c r="A2328" t="s">
        <v>1003</v>
      </c>
      <c r="B2328" t="s">
        <v>1026</v>
      </c>
      <c r="C2328" t="s">
        <v>1005</v>
      </c>
      <c r="D2328" s="68">
        <v>6</v>
      </c>
      <c r="E2328" s="68"/>
      <c r="F2328" s="68">
        <v>3558</v>
      </c>
      <c r="G2328" s="68">
        <v>3564</v>
      </c>
      <c r="H23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29" spans="1:8" hidden="1" x14ac:dyDescent="0.3">
      <c r="A2329" t="s">
        <v>1003</v>
      </c>
      <c r="B2329" t="s">
        <v>1027</v>
      </c>
      <c r="C2329" t="s">
        <v>1005</v>
      </c>
      <c r="D2329" s="68">
        <v>63</v>
      </c>
      <c r="E2329" s="68"/>
      <c r="F2329" s="68">
        <v>5675</v>
      </c>
      <c r="G2329" s="68">
        <v>5738</v>
      </c>
      <c r="H23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30" spans="1:8" hidden="1" x14ac:dyDescent="0.3">
      <c r="A2330" t="s">
        <v>1003</v>
      </c>
      <c r="B2330" t="s">
        <v>1027</v>
      </c>
      <c r="C2330" t="s">
        <v>5</v>
      </c>
      <c r="D2330" s="68">
        <v>161</v>
      </c>
      <c r="E2330" s="68"/>
      <c r="F2330" s="68">
        <v>1314</v>
      </c>
      <c r="G2330" s="68">
        <v>1475</v>
      </c>
      <c r="H23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31" spans="1:8" hidden="1" x14ac:dyDescent="0.3">
      <c r="A2331" t="s">
        <v>1003</v>
      </c>
      <c r="B2331" t="s">
        <v>1027</v>
      </c>
      <c r="C2331" t="s">
        <v>26</v>
      </c>
      <c r="D2331" s="68">
        <v>94</v>
      </c>
      <c r="E2331" s="68"/>
      <c r="F2331" s="68">
        <v>167</v>
      </c>
      <c r="G2331" s="68">
        <v>261</v>
      </c>
      <c r="H23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32" spans="1:8" hidden="1" x14ac:dyDescent="0.3">
      <c r="A2332" t="s">
        <v>1003</v>
      </c>
      <c r="B2332" t="s">
        <v>1027</v>
      </c>
      <c r="C2332" t="s">
        <v>27</v>
      </c>
      <c r="D2332" s="68"/>
      <c r="E2332" s="68">
        <v>191</v>
      </c>
      <c r="F2332" s="68"/>
      <c r="G2332" s="68">
        <v>191</v>
      </c>
      <c r="H23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33" spans="1:8" hidden="1" x14ac:dyDescent="0.3">
      <c r="A2333" t="s">
        <v>1003</v>
      </c>
      <c r="B2333" t="s">
        <v>1028</v>
      </c>
      <c r="C2333" t="s">
        <v>1005</v>
      </c>
      <c r="D2333" s="68">
        <v>2024</v>
      </c>
      <c r="E2333" s="68"/>
      <c r="F2333" s="68">
        <v>51184</v>
      </c>
      <c r="G2333" s="68">
        <v>53208</v>
      </c>
      <c r="H23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34" spans="1:8" hidden="1" x14ac:dyDescent="0.3">
      <c r="A2334" t="s">
        <v>1003</v>
      </c>
      <c r="B2334" t="s">
        <v>1028</v>
      </c>
      <c r="C2334" t="s">
        <v>26</v>
      </c>
      <c r="D2334" s="68">
        <v>17238</v>
      </c>
      <c r="E2334" s="68"/>
      <c r="F2334" s="68">
        <v>33711</v>
      </c>
      <c r="G2334" s="68">
        <v>50949</v>
      </c>
      <c r="H23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35" spans="1:8" hidden="1" x14ac:dyDescent="0.3">
      <c r="A2335" t="s">
        <v>1003</v>
      </c>
      <c r="B2335" t="s">
        <v>1028</v>
      </c>
      <c r="C2335" t="s">
        <v>5</v>
      </c>
      <c r="D2335" s="68">
        <v>13475</v>
      </c>
      <c r="E2335" s="68"/>
      <c r="F2335" s="68">
        <v>14527</v>
      </c>
      <c r="G2335" s="68">
        <v>28002</v>
      </c>
      <c r="H23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36" spans="1:8" hidden="1" x14ac:dyDescent="0.3">
      <c r="A2336" t="s">
        <v>1003</v>
      </c>
      <c r="B2336" t="s">
        <v>1028</v>
      </c>
      <c r="C2336" t="s">
        <v>31</v>
      </c>
      <c r="D2336" s="68">
        <v>1331</v>
      </c>
      <c r="E2336" s="68"/>
      <c r="F2336" s="68">
        <v>6767</v>
      </c>
      <c r="G2336" s="68">
        <v>8098</v>
      </c>
      <c r="H23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37" spans="1:8" hidden="1" x14ac:dyDescent="0.3">
      <c r="A2337" t="s">
        <v>1003</v>
      </c>
      <c r="B2337" t="s">
        <v>1028</v>
      </c>
      <c r="C2337" t="s">
        <v>27</v>
      </c>
      <c r="D2337" s="68"/>
      <c r="E2337" s="68">
        <v>6995</v>
      </c>
      <c r="F2337" s="68"/>
      <c r="G2337" s="68">
        <v>6995</v>
      </c>
      <c r="H23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38" spans="1:8" hidden="1" x14ac:dyDescent="0.3">
      <c r="A2338" t="s">
        <v>1003</v>
      </c>
      <c r="B2338" t="s">
        <v>1028</v>
      </c>
      <c r="C2338" t="s">
        <v>36</v>
      </c>
      <c r="D2338" s="68">
        <v>347</v>
      </c>
      <c r="E2338" s="68"/>
      <c r="F2338" s="68">
        <v>237</v>
      </c>
      <c r="G2338" s="68">
        <v>584</v>
      </c>
      <c r="H23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39" spans="1:8" hidden="1" x14ac:dyDescent="0.3">
      <c r="A2339" t="s">
        <v>1003</v>
      </c>
      <c r="B2339" t="s">
        <v>1029</v>
      </c>
      <c r="C2339" t="s">
        <v>26</v>
      </c>
      <c r="D2339" s="68">
        <v>177</v>
      </c>
      <c r="E2339" s="68"/>
      <c r="F2339" s="68">
        <v>2322</v>
      </c>
      <c r="G2339" s="68">
        <v>2499</v>
      </c>
      <c r="H23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40" spans="1:8" hidden="1" x14ac:dyDescent="0.3">
      <c r="A2340" t="s">
        <v>1003</v>
      </c>
      <c r="B2340" t="s">
        <v>1029</v>
      </c>
      <c r="C2340" t="s">
        <v>5</v>
      </c>
      <c r="D2340" s="68">
        <v>65</v>
      </c>
      <c r="E2340" s="68"/>
      <c r="F2340" s="68">
        <v>1262</v>
      </c>
      <c r="G2340" s="68">
        <v>1327</v>
      </c>
      <c r="H23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41" spans="1:8" hidden="1" x14ac:dyDescent="0.3">
      <c r="A2341" t="s">
        <v>1003</v>
      </c>
      <c r="B2341" t="s">
        <v>1029</v>
      </c>
      <c r="C2341" t="s">
        <v>1005</v>
      </c>
      <c r="D2341" s="68">
        <v>3</v>
      </c>
      <c r="E2341" s="68"/>
      <c r="F2341" s="68">
        <v>377</v>
      </c>
      <c r="G2341" s="68">
        <v>380</v>
      </c>
      <c r="H23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42" spans="1:8" hidden="1" x14ac:dyDescent="0.3">
      <c r="A2342" t="s">
        <v>1003</v>
      </c>
      <c r="B2342" t="s">
        <v>1029</v>
      </c>
      <c r="C2342" t="s">
        <v>27</v>
      </c>
      <c r="D2342" s="68"/>
      <c r="E2342" s="68">
        <v>74</v>
      </c>
      <c r="F2342" s="68"/>
      <c r="G2342" s="68">
        <v>74</v>
      </c>
      <c r="H23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43" spans="1:8" hidden="1" x14ac:dyDescent="0.3">
      <c r="A2343" t="s">
        <v>1003</v>
      </c>
      <c r="B2343" t="s">
        <v>1030</v>
      </c>
      <c r="C2343" t="s">
        <v>26</v>
      </c>
      <c r="D2343" s="68">
        <v>244</v>
      </c>
      <c r="E2343" s="68"/>
      <c r="F2343" s="68">
        <v>5612</v>
      </c>
      <c r="G2343" s="68">
        <v>5856</v>
      </c>
      <c r="H23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44" spans="1:8" hidden="1" x14ac:dyDescent="0.3">
      <c r="A2344" t="s">
        <v>1003</v>
      </c>
      <c r="B2344" t="s">
        <v>1030</v>
      </c>
      <c r="C2344" t="s">
        <v>5</v>
      </c>
      <c r="D2344" s="68">
        <v>53</v>
      </c>
      <c r="E2344" s="68"/>
      <c r="F2344" s="68">
        <v>841</v>
      </c>
      <c r="G2344" s="68">
        <v>894</v>
      </c>
      <c r="H23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45" spans="1:8" hidden="1" x14ac:dyDescent="0.3">
      <c r="A2345" t="s">
        <v>1003</v>
      </c>
      <c r="B2345" t="s">
        <v>1030</v>
      </c>
      <c r="C2345" t="s">
        <v>1005</v>
      </c>
      <c r="D2345" s="68">
        <v>7</v>
      </c>
      <c r="E2345" s="68"/>
      <c r="F2345" s="68">
        <v>795</v>
      </c>
      <c r="G2345" s="68">
        <v>802</v>
      </c>
      <c r="H23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46" spans="1:8" hidden="1" x14ac:dyDescent="0.3">
      <c r="A2346" t="s">
        <v>1003</v>
      </c>
      <c r="B2346" t="s">
        <v>1030</v>
      </c>
      <c r="C2346" t="s">
        <v>27</v>
      </c>
      <c r="D2346" s="68"/>
      <c r="E2346" s="68">
        <v>66</v>
      </c>
      <c r="F2346" s="68"/>
      <c r="G2346" s="68">
        <v>66</v>
      </c>
      <c r="H23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47" spans="1:8" hidden="1" x14ac:dyDescent="0.3">
      <c r="A2347" t="s">
        <v>1003</v>
      </c>
      <c r="B2347" t="s">
        <v>896</v>
      </c>
      <c r="C2347" t="s">
        <v>26</v>
      </c>
      <c r="D2347" s="68">
        <v>1599</v>
      </c>
      <c r="E2347" s="68"/>
      <c r="F2347" s="68">
        <v>16062</v>
      </c>
      <c r="G2347" s="68">
        <v>17661</v>
      </c>
      <c r="H23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48" spans="1:8" hidden="1" x14ac:dyDescent="0.3">
      <c r="A2348" t="s">
        <v>1003</v>
      </c>
      <c r="B2348" t="s">
        <v>896</v>
      </c>
      <c r="C2348" t="s">
        <v>1005</v>
      </c>
      <c r="D2348" s="68">
        <v>66</v>
      </c>
      <c r="E2348" s="68"/>
      <c r="F2348" s="68">
        <v>7602</v>
      </c>
      <c r="G2348" s="68">
        <v>7668</v>
      </c>
      <c r="H23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49" spans="1:8" hidden="1" x14ac:dyDescent="0.3">
      <c r="A2349" t="s">
        <v>1003</v>
      </c>
      <c r="B2349" t="s">
        <v>896</v>
      </c>
      <c r="C2349" t="s">
        <v>27</v>
      </c>
      <c r="D2349" s="68"/>
      <c r="E2349" s="68">
        <v>629</v>
      </c>
      <c r="F2349" s="68"/>
      <c r="G2349" s="68">
        <v>629</v>
      </c>
      <c r="H23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50" spans="1:8" hidden="1" x14ac:dyDescent="0.3">
      <c r="A2350" t="s">
        <v>1003</v>
      </c>
      <c r="B2350" t="s">
        <v>1031</v>
      </c>
      <c r="C2350" t="s">
        <v>1005</v>
      </c>
      <c r="D2350" s="68">
        <v>14</v>
      </c>
      <c r="E2350" s="68"/>
      <c r="F2350" s="68">
        <v>3576</v>
      </c>
      <c r="G2350" s="68">
        <v>3590</v>
      </c>
      <c r="H23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51" spans="1:8" hidden="1" x14ac:dyDescent="0.3">
      <c r="A2351" t="s">
        <v>1003</v>
      </c>
      <c r="B2351" t="s">
        <v>1031</v>
      </c>
      <c r="C2351" t="s">
        <v>26</v>
      </c>
      <c r="D2351" s="68">
        <v>73</v>
      </c>
      <c r="E2351" s="68"/>
      <c r="F2351" s="68">
        <v>245</v>
      </c>
      <c r="G2351" s="68">
        <v>318</v>
      </c>
      <c r="H23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52" spans="1:8" hidden="1" x14ac:dyDescent="0.3">
      <c r="A2352" t="s">
        <v>1003</v>
      </c>
      <c r="B2352" t="s">
        <v>1031</v>
      </c>
      <c r="C2352" t="s">
        <v>27</v>
      </c>
      <c r="D2352" s="68"/>
      <c r="E2352" s="68">
        <v>102</v>
      </c>
      <c r="F2352" s="68"/>
      <c r="G2352" s="68">
        <v>102</v>
      </c>
      <c r="H23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53" spans="1:8" hidden="1" x14ac:dyDescent="0.3">
      <c r="A2353" t="s">
        <v>1003</v>
      </c>
      <c r="B2353" t="s">
        <v>1032</v>
      </c>
      <c r="C2353" t="s">
        <v>26</v>
      </c>
      <c r="D2353" s="68">
        <v>59</v>
      </c>
      <c r="E2353" s="68"/>
      <c r="F2353" s="68">
        <v>1763</v>
      </c>
      <c r="G2353" s="68">
        <v>1822</v>
      </c>
      <c r="H23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54" spans="1:8" hidden="1" x14ac:dyDescent="0.3">
      <c r="A2354" t="s">
        <v>1003</v>
      </c>
      <c r="B2354" t="s">
        <v>1032</v>
      </c>
      <c r="C2354" t="s">
        <v>1005</v>
      </c>
      <c r="D2354" s="68">
        <v>30</v>
      </c>
      <c r="E2354" s="68"/>
      <c r="F2354" s="68">
        <v>1544</v>
      </c>
      <c r="G2354" s="68">
        <v>1574</v>
      </c>
      <c r="H23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55" spans="1:8" hidden="1" x14ac:dyDescent="0.3">
      <c r="A2355" t="s">
        <v>1003</v>
      </c>
      <c r="B2355" t="s">
        <v>1032</v>
      </c>
      <c r="C2355" t="s">
        <v>27</v>
      </c>
      <c r="D2355" s="68"/>
      <c r="E2355" s="68">
        <v>51</v>
      </c>
      <c r="F2355" s="68"/>
      <c r="G2355" s="68">
        <v>51</v>
      </c>
      <c r="H23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56" spans="1:8" hidden="1" x14ac:dyDescent="0.3">
      <c r="A2356" t="s">
        <v>1003</v>
      </c>
      <c r="B2356" t="s">
        <v>1033</v>
      </c>
      <c r="C2356" t="s">
        <v>26</v>
      </c>
      <c r="D2356" s="68">
        <v>903</v>
      </c>
      <c r="E2356" s="68"/>
      <c r="F2356" s="68">
        <v>8959</v>
      </c>
      <c r="G2356" s="68">
        <v>9862</v>
      </c>
      <c r="H23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57" spans="1:8" hidden="1" x14ac:dyDescent="0.3">
      <c r="A2357" t="s">
        <v>1003</v>
      </c>
      <c r="B2357" t="s">
        <v>1033</v>
      </c>
      <c r="C2357" t="s">
        <v>1005</v>
      </c>
      <c r="D2357" s="68">
        <v>127</v>
      </c>
      <c r="E2357" s="68"/>
      <c r="F2357" s="68">
        <v>7185</v>
      </c>
      <c r="G2357" s="68">
        <v>7312</v>
      </c>
      <c r="H23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58" spans="1:8" hidden="1" x14ac:dyDescent="0.3">
      <c r="A2358" t="s">
        <v>1003</v>
      </c>
      <c r="B2358" t="s">
        <v>1033</v>
      </c>
      <c r="C2358" t="s">
        <v>27</v>
      </c>
      <c r="D2358" s="68"/>
      <c r="E2358" s="68">
        <v>473</v>
      </c>
      <c r="F2358" s="68"/>
      <c r="G2358" s="68">
        <v>473</v>
      </c>
      <c r="H23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59" spans="1:8" hidden="1" x14ac:dyDescent="0.3">
      <c r="A2359" t="s">
        <v>1003</v>
      </c>
      <c r="B2359" t="s">
        <v>1034</v>
      </c>
      <c r="C2359" t="s">
        <v>1005</v>
      </c>
      <c r="D2359" s="68">
        <v>45</v>
      </c>
      <c r="E2359" s="68"/>
      <c r="F2359" s="68">
        <v>8796</v>
      </c>
      <c r="G2359" s="68">
        <v>8841</v>
      </c>
      <c r="H23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60" spans="1:8" hidden="1" x14ac:dyDescent="0.3">
      <c r="A2360" t="s">
        <v>1003</v>
      </c>
      <c r="B2360" t="s">
        <v>1034</v>
      </c>
      <c r="C2360" t="s">
        <v>26</v>
      </c>
      <c r="D2360" s="68">
        <v>198</v>
      </c>
      <c r="E2360" s="68"/>
      <c r="F2360" s="68">
        <v>802</v>
      </c>
      <c r="G2360" s="68">
        <v>1000</v>
      </c>
      <c r="H23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61" spans="1:8" hidden="1" x14ac:dyDescent="0.3">
      <c r="A2361" t="s">
        <v>1003</v>
      </c>
      <c r="B2361" t="s">
        <v>1034</v>
      </c>
      <c r="C2361" t="s">
        <v>27</v>
      </c>
      <c r="D2361" s="68"/>
      <c r="E2361" s="68">
        <v>281</v>
      </c>
      <c r="F2361" s="68"/>
      <c r="G2361" s="68">
        <v>281</v>
      </c>
      <c r="H23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62" spans="1:8" hidden="1" x14ac:dyDescent="0.3">
      <c r="A2362" t="s">
        <v>1003</v>
      </c>
      <c r="B2362" t="s">
        <v>1034</v>
      </c>
      <c r="C2362" t="s">
        <v>31</v>
      </c>
      <c r="D2362" s="68"/>
      <c r="E2362" s="68"/>
      <c r="F2362" s="68">
        <v>1</v>
      </c>
      <c r="G2362" s="68">
        <v>1</v>
      </c>
      <c r="H23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63" spans="1:8" hidden="1" x14ac:dyDescent="0.3">
      <c r="A2363" t="s">
        <v>1003</v>
      </c>
      <c r="B2363" t="s">
        <v>1035</v>
      </c>
      <c r="C2363" t="s">
        <v>1005</v>
      </c>
      <c r="D2363" s="68">
        <v>58</v>
      </c>
      <c r="E2363" s="68"/>
      <c r="F2363" s="68">
        <v>3137</v>
      </c>
      <c r="G2363" s="68">
        <v>3195</v>
      </c>
      <c r="H23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64" spans="1:8" hidden="1" x14ac:dyDescent="0.3">
      <c r="A2364" t="s">
        <v>1003</v>
      </c>
      <c r="B2364" t="s">
        <v>1035</v>
      </c>
      <c r="C2364" t="s">
        <v>26</v>
      </c>
      <c r="D2364" s="68">
        <v>224</v>
      </c>
      <c r="E2364" s="68"/>
      <c r="F2364" s="68">
        <v>1917</v>
      </c>
      <c r="G2364" s="68">
        <v>2141</v>
      </c>
      <c r="H23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65" spans="1:8" hidden="1" x14ac:dyDescent="0.3">
      <c r="A2365" t="s">
        <v>1003</v>
      </c>
      <c r="B2365" t="s">
        <v>1035</v>
      </c>
      <c r="C2365" t="s">
        <v>27</v>
      </c>
      <c r="D2365" s="68"/>
      <c r="E2365" s="68">
        <v>53</v>
      </c>
      <c r="F2365" s="68"/>
      <c r="G2365" s="68">
        <v>53</v>
      </c>
      <c r="H23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66" spans="1:8" hidden="1" x14ac:dyDescent="0.3">
      <c r="A2366" t="s">
        <v>724</v>
      </c>
      <c r="B2366" t="s">
        <v>1036</v>
      </c>
      <c r="C2366" t="s">
        <v>26</v>
      </c>
      <c r="D2366" s="68">
        <v>3556</v>
      </c>
      <c r="E2366" s="68"/>
      <c r="F2366" s="68">
        <v>30877</v>
      </c>
      <c r="G2366" s="68">
        <v>34433</v>
      </c>
      <c r="H23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67" spans="1:8" hidden="1" x14ac:dyDescent="0.3">
      <c r="A2367" t="s">
        <v>724</v>
      </c>
      <c r="B2367" t="s">
        <v>1036</v>
      </c>
      <c r="C2367" t="s">
        <v>31</v>
      </c>
      <c r="D2367" s="68">
        <v>243</v>
      </c>
      <c r="E2367" s="68"/>
      <c r="F2367" s="68">
        <v>4765</v>
      </c>
      <c r="G2367" s="68">
        <v>5008</v>
      </c>
      <c r="H23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68" spans="1:8" hidden="1" x14ac:dyDescent="0.3">
      <c r="A2368" t="s">
        <v>724</v>
      </c>
      <c r="B2368" t="s">
        <v>1036</v>
      </c>
      <c r="C2368" t="s">
        <v>588</v>
      </c>
      <c r="D2368" s="68">
        <v>193</v>
      </c>
      <c r="E2368" s="68"/>
      <c r="F2368" s="68">
        <v>1682</v>
      </c>
      <c r="G2368" s="68">
        <v>1875</v>
      </c>
      <c r="H23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69" spans="1:8" hidden="1" x14ac:dyDescent="0.3">
      <c r="A2369" t="s">
        <v>724</v>
      </c>
      <c r="B2369" t="s">
        <v>1036</v>
      </c>
      <c r="C2369" t="s">
        <v>27</v>
      </c>
      <c r="D2369" s="68"/>
      <c r="E2369" s="68">
        <v>1057</v>
      </c>
      <c r="F2369" s="68"/>
      <c r="G2369" s="68">
        <v>1057</v>
      </c>
      <c r="H23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70" spans="1:8" hidden="1" x14ac:dyDescent="0.3">
      <c r="A2370" t="s">
        <v>724</v>
      </c>
      <c r="B2370" t="s">
        <v>1036</v>
      </c>
      <c r="C2370" t="s">
        <v>30</v>
      </c>
      <c r="D2370" s="68">
        <v>2</v>
      </c>
      <c r="E2370" s="68"/>
      <c r="F2370" s="68">
        <v>302</v>
      </c>
      <c r="G2370" s="68">
        <v>304</v>
      </c>
      <c r="H23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71" spans="1:8" hidden="1" x14ac:dyDescent="0.3">
      <c r="A2371" t="s">
        <v>724</v>
      </c>
      <c r="B2371" t="s">
        <v>1036</v>
      </c>
      <c r="C2371" t="s">
        <v>32</v>
      </c>
      <c r="D2371" s="68">
        <v>1</v>
      </c>
      <c r="E2371" s="68"/>
      <c r="F2371" s="68">
        <v>1</v>
      </c>
      <c r="G2371" s="68">
        <v>2</v>
      </c>
      <c r="H23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72" spans="1:8" hidden="1" x14ac:dyDescent="0.3">
      <c r="A2372" t="s">
        <v>724</v>
      </c>
      <c r="B2372" t="s">
        <v>1036</v>
      </c>
      <c r="C2372" t="s">
        <v>36</v>
      </c>
      <c r="D2372" s="68">
        <v>1</v>
      </c>
      <c r="E2372" s="68"/>
      <c r="F2372" s="68"/>
      <c r="G2372" s="68">
        <v>1</v>
      </c>
      <c r="H23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73" spans="1:8" hidden="1" x14ac:dyDescent="0.3">
      <c r="A2373" t="s">
        <v>724</v>
      </c>
      <c r="B2373" t="s">
        <v>767</v>
      </c>
      <c r="C2373" t="s">
        <v>26</v>
      </c>
      <c r="D2373" s="68">
        <v>2235</v>
      </c>
      <c r="E2373" s="68"/>
      <c r="F2373" s="68">
        <v>12136</v>
      </c>
      <c r="G2373" s="68">
        <v>14371</v>
      </c>
      <c r="H23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74" spans="1:8" hidden="1" x14ac:dyDescent="0.3">
      <c r="A2374" t="s">
        <v>724</v>
      </c>
      <c r="B2374" t="s">
        <v>767</v>
      </c>
      <c r="C2374" t="s">
        <v>588</v>
      </c>
      <c r="D2374" s="68">
        <v>214</v>
      </c>
      <c r="E2374" s="68"/>
      <c r="F2374" s="68">
        <v>2290</v>
      </c>
      <c r="G2374" s="68">
        <v>2504</v>
      </c>
      <c r="H23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75" spans="1:8" hidden="1" x14ac:dyDescent="0.3">
      <c r="A2375" t="s">
        <v>724</v>
      </c>
      <c r="B2375" t="s">
        <v>767</v>
      </c>
      <c r="C2375" t="s">
        <v>31</v>
      </c>
      <c r="D2375" s="68">
        <v>46</v>
      </c>
      <c r="E2375" s="68"/>
      <c r="F2375" s="68">
        <v>749</v>
      </c>
      <c r="G2375" s="68">
        <v>795</v>
      </c>
      <c r="H23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76" spans="1:8" hidden="1" x14ac:dyDescent="0.3">
      <c r="A2376" t="s">
        <v>724</v>
      </c>
      <c r="B2376" t="s">
        <v>767</v>
      </c>
      <c r="C2376" t="s">
        <v>30</v>
      </c>
      <c r="D2376" s="68">
        <v>8</v>
      </c>
      <c r="E2376" s="68"/>
      <c r="F2376" s="68">
        <v>530</v>
      </c>
      <c r="G2376" s="68">
        <v>538</v>
      </c>
      <c r="H23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77" spans="1:8" hidden="1" x14ac:dyDescent="0.3">
      <c r="A2377" t="s">
        <v>724</v>
      </c>
      <c r="B2377" t="s">
        <v>767</v>
      </c>
      <c r="C2377" t="s">
        <v>27</v>
      </c>
      <c r="D2377" s="68"/>
      <c r="E2377" s="68">
        <v>352</v>
      </c>
      <c r="F2377" s="68"/>
      <c r="G2377" s="68">
        <v>352</v>
      </c>
      <c r="H23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78" spans="1:8" hidden="1" x14ac:dyDescent="0.3">
      <c r="A2378" t="s">
        <v>724</v>
      </c>
      <c r="B2378" t="s">
        <v>767</v>
      </c>
      <c r="C2378" t="s">
        <v>36</v>
      </c>
      <c r="D2378" s="68"/>
      <c r="E2378" s="68"/>
      <c r="F2378" s="68">
        <v>1</v>
      </c>
      <c r="G2378" s="68">
        <v>1</v>
      </c>
      <c r="H23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79" spans="1:8" hidden="1" x14ac:dyDescent="0.3">
      <c r="A2379" t="s">
        <v>724</v>
      </c>
      <c r="B2379" t="s">
        <v>767</v>
      </c>
      <c r="C2379" t="s">
        <v>5</v>
      </c>
      <c r="D2379" s="68">
        <v>1</v>
      </c>
      <c r="E2379" s="68"/>
      <c r="F2379" s="68"/>
      <c r="G2379" s="68">
        <v>1</v>
      </c>
      <c r="H23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80" spans="1:8" hidden="1" x14ac:dyDescent="0.3">
      <c r="A2380" t="s">
        <v>724</v>
      </c>
      <c r="B2380" t="s">
        <v>1037</v>
      </c>
      <c r="C2380" t="s">
        <v>588</v>
      </c>
      <c r="D2380" s="68">
        <v>879</v>
      </c>
      <c r="E2380" s="68"/>
      <c r="F2380" s="68">
        <v>8435</v>
      </c>
      <c r="G2380" s="68">
        <v>9314</v>
      </c>
      <c r="H23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81" spans="1:8" hidden="1" x14ac:dyDescent="0.3">
      <c r="A2381" t="s">
        <v>724</v>
      </c>
      <c r="B2381" t="s">
        <v>1037</v>
      </c>
      <c r="C2381" t="s">
        <v>31</v>
      </c>
      <c r="D2381" s="68">
        <v>147</v>
      </c>
      <c r="E2381" s="68"/>
      <c r="F2381" s="68">
        <v>3720</v>
      </c>
      <c r="G2381" s="68">
        <v>3867</v>
      </c>
      <c r="H23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82" spans="1:8" hidden="1" x14ac:dyDescent="0.3">
      <c r="A2382" t="s">
        <v>724</v>
      </c>
      <c r="B2382" t="s">
        <v>1037</v>
      </c>
      <c r="C2382" t="s">
        <v>26</v>
      </c>
      <c r="D2382" s="68">
        <v>450</v>
      </c>
      <c r="E2382" s="68"/>
      <c r="F2382" s="68">
        <v>2195</v>
      </c>
      <c r="G2382" s="68">
        <v>2645</v>
      </c>
      <c r="H23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83" spans="1:8" hidden="1" x14ac:dyDescent="0.3">
      <c r="A2383" t="s">
        <v>724</v>
      </c>
      <c r="B2383" t="s">
        <v>1037</v>
      </c>
      <c r="C2383" t="s">
        <v>30</v>
      </c>
      <c r="D2383" s="68">
        <v>27</v>
      </c>
      <c r="E2383" s="68"/>
      <c r="F2383" s="68">
        <v>1560</v>
      </c>
      <c r="G2383" s="68">
        <v>1587</v>
      </c>
      <c r="H23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84" spans="1:8" hidden="1" x14ac:dyDescent="0.3">
      <c r="A2384" t="s">
        <v>724</v>
      </c>
      <c r="B2384" t="s">
        <v>1037</v>
      </c>
      <c r="C2384" t="s">
        <v>27</v>
      </c>
      <c r="D2384" s="68"/>
      <c r="E2384" s="68">
        <v>156</v>
      </c>
      <c r="F2384" s="68"/>
      <c r="G2384" s="68">
        <v>156</v>
      </c>
      <c r="H23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85" spans="1:8" hidden="1" x14ac:dyDescent="0.3">
      <c r="A2385" t="s">
        <v>724</v>
      </c>
      <c r="B2385" t="s">
        <v>1038</v>
      </c>
      <c r="C2385" t="s">
        <v>588</v>
      </c>
      <c r="D2385" s="68">
        <v>5312</v>
      </c>
      <c r="E2385" s="68"/>
      <c r="F2385" s="68">
        <v>34731</v>
      </c>
      <c r="G2385" s="68">
        <v>40043</v>
      </c>
      <c r="H23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86" spans="1:8" hidden="1" x14ac:dyDescent="0.3">
      <c r="A2386" t="s">
        <v>724</v>
      </c>
      <c r="B2386" t="s">
        <v>1038</v>
      </c>
      <c r="C2386" t="s">
        <v>26</v>
      </c>
      <c r="D2386" s="68">
        <v>7507</v>
      </c>
      <c r="E2386" s="68"/>
      <c r="F2386" s="68">
        <v>21638</v>
      </c>
      <c r="G2386" s="68">
        <v>29145</v>
      </c>
      <c r="H23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87" spans="1:8" hidden="1" x14ac:dyDescent="0.3">
      <c r="A2387" t="s">
        <v>724</v>
      </c>
      <c r="B2387" t="s">
        <v>1038</v>
      </c>
      <c r="C2387" t="s">
        <v>36</v>
      </c>
      <c r="D2387" s="68">
        <v>12918</v>
      </c>
      <c r="E2387" s="68"/>
      <c r="F2387" s="68">
        <v>7219</v>
      </c>
      <c r="G2387" s="68">
        <v>20137</v>
      </c>
      <c r="H23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88" spans="1:8" hidden="1" x14ac:dyDescent="0.3">
      <c r="A2388" t="s">
        <v>724</v>
      </c>
      <c r="B2388" t="s">
        <v>1038</v>
      </c>
      <c r="C2388" t="s">
        <v>30</v>
      </c>
      <c r="D2388" s="68">
        <v>178</v>
      </c>
      <c r="E2388" s="68"/>
      <c r="F2388" s="68">
        <v>4869</v>
      </c>
      <c r="G2388" s="68">
        <v>5047</v>
      </c>
      <c r="H23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89" spans="1:8" hidden="1" x14ac:dyDescent="0.3">
      <c r="A2389" t="s">
        <v>724</v>
      </c>
      <c r="B2389" t="s">
        <v>1038</v>
      </c>
      <c r="C2389" t="s">
        <v>27</v>
      </c>
      <c r="D2389" s="68"/>
      <c r="E2389" s="68">
        <v>2271</v>
      </c>
      <c r="F2389" s="68"/>
      <c r="G2389" s="68">
        <v>2271</v>
      </c>
      <c r="H23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90" spans="1:8" hidden="1" x14ac:dyDescent="0.3">
      <c r="A2390" t="s">
        <v>724</v>
      </c>
      <c r="B2390" t="s">
        <v>1038</v>
      </c>
      <c r="C2390" t="s">
        <v>31</v>
      </c>
      <c r="D2390" s="68">
        <v>77</v>
      </c>
      <c r="E2390" s="68"/>
      <c r="F2390" s="68">
        <v>938</v>
      </c>
      <c r="G2390" s="68">
        <v>1015</v>
      </c>
      <c r="H23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91" spans="1:8" hidden="1" x14ac:dyDescent="0.3">
      <c r="A2391" t="s">
        <v>724</v>
      </c>
      <c r="B2391" t="s">
        <v>1038</v>
      </c>
      <c r="C2391" t="s">
        <v>32</v>
      </c>
      <c r="D2391" s="68">
        <v>2</v>
      </c>
      <c r="E2391" s="68"/>
      <c r="F2391" s="68">
        <v>3</v>
      </c>
      <c r="G2391" s="68">
        <v>5</v>
      </c>
      <c r="H23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92" spans="1:8" hidden="1" x14ac:dyDescent="0.3">
      <c r="A2392" t="s">
        <v>724</v>
      </c>
      <c r="B2392" t="s">
        <v>1038</v>
      </c>
      <c r="C2392" t="s">
        <v>5</v>
      </c>
      <c r="D2392" s="68">
        <v>3</v>
      </c>
      <c r="E2392" s="68"/>
      <c r="F2392" s="68"/>
      <c r="G2392" s="68">
        <v>3</v>
      </c>
      <c r="H23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93" spans="1:8" hidden="1" x14ac:dyDescent="0.3">
      <c r="A2393" t="s">
        <v>724</v>
      </c>
      <c r="B2393" t="s">
        <v>1039</v>
      </c>
      <c r="C2393" t="s">
        <v>26</v>
      </c>
      <c r="D2393" s="68">
        <v>548</v>
      </c>
      <c r="E2393" s="68"/>
      <c r="F2393" s="68">
        <v>7105</v>
      </c>
      <c r="G2393" s="68">
        <v>7653</v>
      </c>
      <c r="H23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94" spans="1:8" hidden="1" x14ac:dyDescent="0.3">
      <c r="A2394" t="s">
        <v>724</v>
      </c>
      <c r="B2394" t="s">
        <v>1039</v>
      </c>
      <c r="C2394" t="s">
        <v>588</v>
      </c>
      <c r="D2394" s="68">
        <v>279</v>
      </c>
      <c r="E2394" s="68"/>
      <c r="F2394" s="68">
        <v>2628</v>
      </c>
      <c r="G2394" s="68">
        <v>2907</v>
      </c>
      <c r="H23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95" spans="1:8" hidden="1" x14ac:dyDescent="0.3">
      <c r="A2395" t="s">
        <v>724</v>
      </c>
      <c r="B2395" t="s">
        <v>1039</v>
      </c>
      <c r="C2395" t="s">
        <v>30</v>
      </c>
      <c r="D2395" s="68">
        <v>32</v>
      </c>
      <c r="E2395" s="68"/>
      <c r="F2395" s="68">
        <v>1382</v>
      </c>
      <c r="G2395" s="68">
        <v>1414</v>
      </c>
      <c r="H23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96" spans="1:8" hidden="1" x14ac:dyDescent="0.3">
      <c r="A2396" t="s">
        <v>724</v>
      </c>
      <c r="B2396" t="s">
        <v>1039</v>
      </c>
      <c r="C2396" t="s">
        <v>27</v>
      </c>
      <c r="D2396" s="68"/>
      <c r="E2396" s="68">
        <v>283</v>
      </c>
      <c r="F2396" s="68"/>
      <c r="G2396" s="68">
        <v>283</v>
      </c>
      <c r="H23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97" spans="1:8" hidden="1" x14ac:dyDescent="0.3">
      <c r="A2397" t="s">
        <v>724</v>
      </c>
      <c r="B2397" t="s">
        <v>1039</v>
      </c>
      <c r="C2397" t="s">
        <v>31</v>
      </c>
      <c r="D2397" s="68">
        <v>7</v>
      </c>
      <c r="E2397" s="68"/>
      <c r="F2397" s="68">
        <v>133</v>
      </c>
      <c r="G2397" s="68">
        <v>140</v>
      </c>
      <c r="H23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98" spans="1:8" hidden="1" x14ac:dyDescent="0.3">
      <c r="A2398" t="s">
        <v>724</v>
      </c>
      <c r="B2398" t="s">
        <v>1040</v>
      </c>
      <c r="C2398" t="s">
        <v>588</v>
      </c>
      <c r="D2398" s="68">
        <v>3373</v>
      </c>
      <c r="E2398" s="68"/>
      <c r="F2398" s="68">
        <v>29561</v>
      </c>
      <c r="G2398" s="68">
        <v>32934</v>
      </c>
      <c r="H23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99" spans="1:8" hidden="1" x14ac:dyDescent="0.3">
      <c r="A2399" t="s">
        <v>724</v>
      </c>
      <c r="B2399" t="s">
        <v>1040</v>
      </c>
      <c r="C2399" t="s">
        <v>26</v>
      </c>
      <c r="D2399" s="68">
        <v>1433</v>
      </c>
      <c r="E2399" s="68"/>
      <c r="F2399" s="68">
        <v>3581</v>
      </c>
      <c r="G2399" s="68">
        <v>5014</v>
      </c>
      <c r="H23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00" spans="1:8" hidden="1" x14ac:dyDescent="0.3">
      <c r="A2400" t="s">
        <v>724</v>
      </c>
      <c r="B2400" t="s">
        <v>1040</v>
      </c>
      <c r="C2400" t="s">
        <v>30</v>
      </c>
      <c r="D2400" s="68">
        <v>76</v>
      </c>
      <c r="E2400" s="68"/>
      <c r="F2400" s="68">
        <v>4422</v>
      </c>
      <c r="G2400" s="68">
        <v>4498</v>
      </c>
      <c r="H24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01" spans="1:8" hidden="1" x14ac:dyDescent="0.3">
      <c r="A2401" t="s">
        <v>724</v>
      </c>
      <c r="B2401" t="s">
        <v>1040</v>
      </c>
      <c r="C2401" t="s">
        <v>27</v>
      </c>
      <c r="D2401" s="68"/>
      <c r="E2401" s="68">
        <v>842</v>
      </c>
      <c r="F2401" s="68"/>
      <c r="G2401" s="68">
        <v>842</v>
      </c>
      <c r="H24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02" spans="1:8" hidden="1" x14ac:dyDescent="0.3">
      <c r="A2402" t="s">
        <v>724</v>
      </c>
      <c r="B2402" t="s">
        <v>1040</v>
      </c>
      <c r="C2402" t="s">
        <v>32</v>
      </c>
      <c r="D2402" s="68"/>
      <c r="E2402" s="68"/>
      <c r="F2402" s="68">
        <v>4</v>
      </c>
      <c r="G2402" s="68">
        <v>4</v>
      </c>
      <c r="H24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03" spans="1:8" hidden="1" x14ac:dyDescent="0.3">
      <c r="A2403" t="s">
        <v>724</v>
      </c>
      <c r="B2403" t="s">
        <v>1040</v>
      </c>
      <c r="C2403" t="s">
        <v>36</v>
      </c>
      <c r="D2403" s="68">
        <v>2</v>
      </c>
      <c r="E2403" s="68"/>
      <c r="F2403" s="68"/>
      <c r="G2403" s="68">
        <v>2</v>
      </c>
      <c r="H24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04" spans="1:8" hidden="1" x14ac:dyDescent="0.3">
      <c r="A2404" t="s">
        <v>724</v>
      </c>
      <c r="B2404" t="s">
        <v>1041</v>
      </c>
      <c r="C2404" t="s">
        <v>588</v>
      </c>
      <c r="D2404" s="68">
        <v>3730</v>
      </c>
      <c r="E2404" s="68"/>
      <c r="F2404" s="68">
        <v>25336</v>
      </c>
      <c r="G2404" s="68">
        <v>29066</v>
      </c>
      <c r="H24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05" spans="1:8" hidden="1" x14ac:dyDescent="0.3">
      <c r="A2405" t="s">
        <v>724</v>
      </c>
      <c r="B2405" t="s">
        <v>1041</v>
      </c>
      <c r="C2405" t="s">
        <v>26</v>
      </c>
      <c r="D2405" s="68">
        <v>3646</v>
      </c>
      <c r="E2405" s="68"/>
      <c r="F2405" s="68">
        <v>13026</v>
      </c>
      <c r="G2405" s="68">
        <v>16672</v>
      </c>
      <c r="H24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06" spans="1:8" hidden="1" x14ac:dyDescent="0.3">
      <c r="A2406" t="s">
        <v>724</v>
      </c>
      <c r="B2406" t="s">
        <v>1041</v>
      </c>
      <c r="C2406" t="s">
        <v>30</v>
      </c>
      <c r="D2406" s="68">
        <v>169</v>
      </c>
      <c r="E2406" s="68"/>
      <c r="F2406" s="68">
        <v>6422</v>
      </c>
      <c r="G2406" s="68">
        <v>6591</v>
      </c>
      <c r="H24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07" spans="1:8" hidden="1" x14ac:dyDescent="0.3">
      <c r="A2407" t="s">
        <v>724</v>
      </c>
      <c r="B2407" t="s">
        <v>1041</v>
      </c>
      <c r="C2407" t="s">
        <v>31</v>
      </c>
      <c r="D2407" s="68">
        <v>171</v>
      </c>
      <c r="E2407" s="68"/>
      <c r="F2407" s="68">
        <v>2993</v>
      </c>
      <c r="G2407" s="68">
        <v>3164</v>
      </c>
      <c r="H24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08" spans="1:8" hidden="1" x14ac:dyDescent="0.3">
      <c r="A2408" t="s">
        <v>724</v>
      </c>
      <c r="B2408" t="s">
        <v>1041</v>
      </c>
      <c r="C2408" t="s">
        <v>27</v>
      </c>
      <c r="D2408" s="68"/>
      <c r="E2408" s="68">
        <v>939</v>
      </c>
      <c r="F2408" s="68"/>
      <c r="G2408" s="68">
        <v>939</v>
      </c>
      <c r="H24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09" spans="1:8" hidden="1" x14ac:dyDescent="0.3">
      <c r="A2409" t="s">
        <v>724</v>
      </c>
      <c r="B2409" t="s">
        <v>1041</v>
      </c>
      <c r="C2409" t="s">
        <v>5</v>
      </c>
      <c r="D2409" s="68"/>
      <c r="E2409" s="68"/>
      <c r="F2409" s="68">
        <v>1</v>
      </c>
      <c r="G2409" s="68">
        <v>1</v>
      </c>
      <c r="H24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10" spans="1:8" hidden="1" x14ac:dyDescent="0.3">
      <c r="A2410" t="s">
        <v>724</v>
      </c>
      <c r="B2410" t="s">
        <v>1042</v>
      </c>
      <c r="C2410" t="s">
        <v>588</v>
      </c>
      <c r="D2410" s="68">
        <v>1575</v>
      </c>
      <c r="E2410" s="68"/>
      <c r="F2410" s="68">
        <v>13701</v>
      </c>
      <c r="G2410" s="68">
        <v>15276</v>
      </c>
      <c r="H24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11" spans="1:8" hidden="1" x14ac:dyDescent="0.3">
      <c r="A2411" t="s">
        <v>724</v>
      </c>
      <c r="B2411" t="s">
        <v>1042</v>
      </c>
      <c r="C2411" t="s">
        <v>26</v>
      </c>
      <c r="D2411" s="68">
        <v>275</v>
      </c>
      <c r="E2411" s="68"/>
      <c r="F2411" s="68">
        <v>365</v>
      </c>
      <c r="G2411" s="68">
        <v>640</v>
      </c>
      <c r="H24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12" spans="1:8" hidden="1" x14ac:dyDescent="0.3">
      <c r="A2412" t="s">
        <v>724</v>
      </c>
      <c r="B2412" t="s">
        <v>1042</v>
      </c>
      <c r="C2412" t="s">
        <v>30</v>
      </c>
      <c r="D2412" s="68">
        <v>4</v>
      </c>
      <c r="E2412" s="68"/>
      <c r="F2412" s="68">
        <v>363</v>
      </c>
      <c r="G2412" s="68">
        <v>367</v>
      </c>
      <c r="H24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13" spans="1:8" hidden="1" x14ac:dyDescent="0.3">
      <c r="A2413" t="s">
        <v>724</v>
      </c>
      <c r="B2413" t="s">
        <v>1042</v>
      </c>
      <c r="C2413" t="s">
        <v>27</v>
      </c>
      <c r="D2413" s="68"/>
      <c r="E2413" s="68">
        <v>109</v>
      </c>
      <c r="F2413" s="68"/>
      <c r="G2413" s="68">
        <v>109</v>
      </c>
      <c r="H24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14" spans="1:8" hidden="1" x14ac:dyDescent="0.3">
      <c r="A2414" t="s">
        <v>724</v>
      </c>
      <c r="B2414" t="s">
        <v>1042</v>
      </c>
      <c r="C2414" t="s">
        <v>5</v>
      </c>
      <c r="D2414" s="68">
        <v>9</v>
      </c>
      <c r="E2414" s="68"/>
      <c r="F2414" s="68">
        <v>1</v>
      </c>
      <c r="G2414" s="68">
        <v>10</v>
      </c>
      <c r="H24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15" spans="1:8" hidden="1" x14ac:dyDescent="0.3">
      <c r="A2415" t="s">
        <v>724</v>
      </c>
      <c r="B2415" t="s">
        <v>1043</v>
      </c>
      <c r="C2415" t="s">
        <v>26</v>
      </c>
      <c r="D2415" s="68">
        <v>588</v>
      </c>
      <c r="E2415" s="68"/>
      <c r="F2415" s="68">
        <v>4191</v>
      </c>
      <c r="G2415" s="68">
        <v>4779</v>
      </c>
      <c r="H24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16" spans="1:8" hidden="1" x14ac:dyDescent="0.3">
      <c r="A2416" t="s">
        <v>724</v>
      </c>
      <c r="B2416" t="s">
        <v>1043</v>
      </c>
      <c r="C2416" t="s">
        <v>31</v>
      </c>
      <c r="D2416" s="68">
        <v>190</v>
      </c>
      <c r="E2416" s="68"/>
      <c r="F2416" s="68">
        <v>2724</v>
      </c>
      <c r="G2416" s="68">
        <v>2914</v>
      </c>
      <c r="H24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17" spans="1:8" hidden="1" x14ac:dyDescent="0.3">
      <c r="A2417" t="s">
        <v>724</v>
      </c>
      <c r="B2417" t="s">
        <v>1043</v>
      </c>
      <c r="C2417" t="s">
        <v>588</v>
      </c>
      <c r="D2417" s="68">
        <v>195</v>
      </c>
      <c r="E2417" s="68"/>
      <c r="F2417" s="68">
        <v>2114</v>
      </c>
      <c r="G2417" s="68">
        <v>2309</v>
      </c>
      <c r="H24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18" spans="1:8" hidden="1" x14ac:dyDescent="0.3">
      <c r="A2418" t="s">
        <v>724</v>
      </c>
      <c r="B2418" t="s">
        <v>1043</v>
      </c>
      <c r="C2418" t="s">
        <v>30</v>
      </c>
      <c r="D2418" s="68">
        <v>37</v>
      </c>
      <c r="E2418" s="68"/>
      <c r="F2418" s="68">
        <v>1080</v>
      </c>
      <c r="G2418" s="68">
        <v>1117</v>
      </c>
      <c r="H24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19" spans="1:8" hidden="1" x14ac:dyDescent="0.3">
      <c r="A2419" t="s">
        <v>724</v>
      </c>
      <c r="B2419" t="s">
        <v>1043</v>
      </c>
      <c r="C2419" t="s">
        <v>27</v>
      </c>
      <c r="D2419" s="68"/>
      <c r="E2419" s="68">
        <v>114</v>
      </c>
      <c r="F2419" s="68"/>
      <c r="G2419" s="68">
        <v>114</v>
      </c>
      <c r="H24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20" spans="1:8" hidden="1" x14ac:dyDescent="0.3">
      <c r="A2420" t="s">
        <v>724</v>
      </c>
      <c r="B2420" t="s">
        <v>1044</v>
      </c>
      <c r="C2420" t="s">
        <v>588</v>
      </c>
      <c r="D2420" s="68">
        <v>4077</v>
      </c>
      <c r="E2420" s="68"/>
      <c r="F2420" s="68">
        <v>47749</v>
      </c>
      <c r="G2420" s="68">
        <v>51826</v>
      </c>
      <c r="H24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21" spans="1:8" hidden="1" x14ac:dyDescent="0.3">
      <c r="A2421" t="s">
        <v>724</v>
      </c>
      <c r="B2421" t="s">
        <v>1044</v>
      </c>
      <c r="C2421" t="s">
        <v>26</v>
      </c>
      <c r="D2421" s="68">
        <v>6798</v>
      </c>
      <c r="E2421" s="68"/>
      <c r="F2421" s="68">
        <v>31449</v>
      </c>
      <c r="G2421" s="68">
        <v>38247</v>
      </c>
      <c r="H24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22" spans="1:8" hidden="1" x14ac:dyDescent="0.3">
      <c r="A2422" t="s">
        <v>724</v>
      </c>
      <c r="B2422" t="s">
        <v>1044</v>
      </c>
      <c r="C2422" t="s">
        <v>36</v>
      </c>
      <c r="D2422" s="68">
        <v>6374</v>
      </c>
      <c r="E2422" s="68"/>
      <c r="F2422" s="68">
        <v>4779</v>
      </c>
      <c r="G2422" s="68">
        <v>11153</v>
      </c>
      <c r="H24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23" spans="1:8" hidden="1" x14ac:dyDescent="0.3">
      <c r="A2423" t="s">
        <v>724</v>
      </c>
      <c r="B2423" t="s">
        <v>1044</v>
      </c>
      <c r="C2423" t="s">
        <v>30</v>
      </c>
      <c r="D2423" s="68">
        <v>84</v>
      </c>
      <c r="E2423" s="68"/>
      <c r="F2423" s="68">
        <v>6417</v>
      </c>
      <c r="G2423" s="68">
        <v>6501</v>
      </c>
      <c r="H24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24" spans="1:8" hidden="1" x14ac:dyDescent="0.3">
      <c r="A2424" t="s">
        <v>724</v>
      </c>
      <c r="B2424" t="s">
        <v>1044</v>
      </c>
      <c r="C2424" t="s">
        <v>27</v>
      </c>
      <c r="D2424" s="68"/>
      <c r="E2424" s="68">
        <v>3664</v>
      </c>
      <c r="F2424" s="68"/>
      <c r="G2424" s="68">
        <v>3664</v>
      </c>
      <c r="H24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25" spans="1:8" hidden="1" x14ac:dyDescent="0.3">
      <c r="A2425" t="s">
        <v>724</v>
      </c>
      <c r="B2425" t="s">
        <v>1044</v>
      </c>
      <c r="C2425" t="s">
        <v>31</v>
      </c>
      <c r="D2425" s="68">
        <v>90</v>
      </c>
      <c r="E2425" s="68"/>
      <c r="F2425" s="68">
        <v>2185</v>
      </c>
      <c r="G2425" s="68">
        <v>2275</v>
      </c>
      <c r="H24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26" spans="1:8" hidden="1" x14ac:dyDescent="0.3">
      <c r="A2426" t="s">
        <v>724</v>
      </c>
      <c r="B2426" t="s">
        <v>1044</v>
      </c>
      <c r="C2426" t="s">
        <v>32</v>
      </c>
      <c r="D2426" s="68"/>
      <c r="E2426" s="68"/>
      <c r="F2426" s="68">
        <v>3</v>
      </c>
      <c r="G2426" s="68">
        <v>3</v>
      </c>
      <c r="H24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27" spans="1:8" hidden="1" x14ac:dyDescent="0.3">
      <c r="A2427" t="s">
        <v>724</v>
      </c>
      <c r="B2427" t="s">
        <v>1044</v>
      </c>
      <c r="C2427" t="s">
        <v>34</v>
      </c>
      <c r="D2427" s="68">
        <v>2</v>
      </c>
      <c r="E2427" s="68"/>
      <c r="F2427" s="68"/>
      <c r="G2427" s="68">
        <v>2</v>
      </c>
      <c r="H24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28" spans="1:8" hidden="1" x14ac:dyDescent="0.3">
      <c r="A2428" t="s">
        <v>724</v>
      </c>
      <c r="B2428" t="s">
        <v>1045</v>
      </c>
      <c r="C2428" t="s">
        <v>30</v>
      </c>
      <c r="D2428" s="68">
        <v>110</v>
      </c>
      <c r="E2428" s="68"/>
      <c r="F2428" s="68">
        <v>7621</v>
      </c>
      <c r="G2428" s="68">
        <v>7731</v>
      </c>
      <c r="H24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29" spans="1:8" hidden="1" x14ac:dyDescent="0.3">
      <c r="A2429" t="s">
        <v>724</v>
      </c>
      <c r="B2429" t="s">
        <v>1045</v>
      </c>
      <c r="C2429" t="s">
        <v>31</v>
      </c>
      <c r="D2429" s="68">
        <v>131</v>
      </c>
      <c r="E2429" s="68"/>
      <c r="F2429" s="68">
        <v>3330</v>
      </c>
      <c r="G2429" s="68">
        <v>3461</v>
      </c>
      <c r="H24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30" spans="1:8" hidden="1" x14ac:dyDescent="0.3">
      <c r="A2430" t="s">
        <v>724</v>
      </c>
      <c r="B2430" t="s">
        <v>1045</v>
      </c>
      <c r="C2430" t="s">
        <v>26</v>
      </c>
      <c r="D2430" s="68">
        <v>495</v>
      </c>
      <c r="E2430" s="68"/>
      <c r="F2430" s="68">
        <v>2924</v>
      </c>
      <c r="G2430" s="68">
        <v>3419</v>
      </c>
      <c r="H24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31" spans="1:8" hidden="1" x14ac:dyDescent="0.3">
      <c r="A2431" t="s">
        <v>724</v>
      </c>
      <c r="B2431" t="s">
        <v>1045</v>
      </c>
      <c r="C2431" t="s">
        <v>27</v>
      </c>
      <c r="D2431" s="68"/>
      <c r="E2431" s="68">
        <v>73</v>
      </c>
      <c r="F2431" s="68"/>
      <c r="G2431" s="68">
        <v>73</v>
      </c>
      <c r="H24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32" spans="1:8" hidden="1" x14ac:dyDescent="0.3">
      <c r="A2432" t="s">
        <v>724</v>
      </c>
      <c r="B2432" t="s">
        <v>1046</v>
      </c>
      <c r="C2432" t="s">
        <v>26</v>
      </c>
      <c r="D2432" s="68">
        <v>798</v>
      </c>
      <c r="E2432" s="68"/>
      <c r="F2432" s="68">
        <v>6362</v>
      </c>
      <c r="G2432" s="68">
        <v>7160</v>
      </c>
      <c r="H24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33" spans="1:8" hidden="1" x14ac:dyDescent="0.3">
      <c r="A2433" t="s">
        <v>724</v>
      </c>
      <c r="B2433" t="s">
        <v>1046</v>
      </c>
      <c r="C2433" t="s">
        <v>588</v>
      </c>
      <c r="D2433" s="68">
        <v>652</v>
      </c>
      <c r="E2433" s="68"/>
      <c r="F2433" s="68">
        <v>6125</v>
      </c>
      <c r="G2433" s="68">
        <v>6777</v>
      </c>
      <c r="H24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34" spans="1:8" hidden="1" x14ac:dyDescent="0.3">
      <c r="A2434" t="s">
        <v>724</v>
      </c>
      <c r="B2434" t="s">
        <v>1046</v>
      </c>
      <c r="C2434" t="s">
        <v>30</v>
      </c>
      <c r="D2434" s="68">
        <v>14</v>
      </c>
      <c r="E2434" s="68"/>
      <c r="F2434" s="68">
        <v>1097</v>
      </c>
      <c r="G2434" s="68">
        <v>1111</v>
      </c>
      <c r="H24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35" spans="1:8" hidden="1" x14ac:dyDescent="0.3">
      <c r="A2435" t="s">
        <v>724</v>
      </c>
      <c r="B2435" t="s">
        <v>1046</v>
      </c>
      <c r="C2435" t="s">
        <v>27</v>
      </c>
      <c r="D2435" s="68"/>
      <c r="E2435" s="68">
        <v>191</v>
      </c>
      <c r="F2435" s="68"/>
      <c r="G2435" s="68">
        <v>191</v>
      </c>
      <c r="H24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36" spans="1:8" hidden="1" x14ac:dyDescent="0.3">
      <c r="A2436" t="s">
        <v>724</v>
      </c>
      <c r="B2436" t="s">
        <v>1047</v>
      </c>
      <c r="C2436" t="s">
        <v>26</v>
      </c>
      <c r="D2436" s="68">
        <v>7036</v>
      </c>
      <c r="E2436" s="68"/>
      <c r="F2436" s="68">
        <v>28842</v>
      </c>
      <c r="G2436" s="68">
        <v>35878</v>
      </c>
      <c r="H24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37" spans="1:8" hidden="1" x14ac:dyDescent="0.3">
      <c r="A2437" t="s">
        <v>724</v>
      </c>
      <c r="B2437" t="s">
        <v>1047</v>
      </c>
      <c r="C2437" t="s">
        <v>5</v>
      </c>
      <c r="D2437" s="68">
        <v>14860</v>
      </c>
      <c r="E2437" s="68"/>
      <c r="F2437" s="68">
        <v>6584</v>
      </c>
      <c r="G2437" s="68">
        <v>21444</v>
      </c>
      <c r="H24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38" spans="1:8" hidden="1" x14ac:dyDescent="0.3">
      <c r="A2438" t="s">
        <v>724</v>
      </c>
      <c r="B2438" t="s">
        <v>1047</v>
      </c>
      <c r="C2438" t="s">
        <v>30</v>
      </c>
      <c r="D2438" s="68">
        <v>361</v>
      </c>
      <c r="E2438" s="68"/>
      <c r="F2438" s="68">
        <v>9715</v>
      </c>
      <c r="G2438" s="68">
        <v>10076</v>
      </c>
      <c r="H24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39" spans="1:8" hidden="1" x14ac:dyDescent="0.3">
      <c r="A2439" t="s">
        <v>724</v>
      </c>
      <c r="B2439" t="s">
        <v>1047</v>
      </c>
      <c r="C2439" t="s">
        <v>31</v>
      </c>
      <c r="D2439" s="68">
        <v>473</v>
      </c>
      <c r="E2439" s="68"/>
      <c r="F2439" s="68">
        <v>8487</v>
      </c>
      <c r="G2439" s="68">
        <v>8960</v>
      </c>
      <c r="H24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40" spans="1:8" hidden="1" x14ac:dyDescent="0.3">
      <c r="A2440" t="s">
        <v>724</v>
      </c>
      <c r="B2440" t="s">
        <v>1047</v>
      </c>
      <c r="C2440" t="s">
        <v>588</v>
      </c>
      <c r="D2440" s="68">
        <v>734</v>
      </c>
      <c r="E2440" s="68"/>
      <c r="F2440" s="68">
        <v>5825</v>
      </c>
      <c r="G2440" s="68">
        <v>6559</v>
      </c>
      <c r="H24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1" spans="1:8" hidden="1" x14ac:dyDescent="0.3">
      <c r="A2441" t="s">
        <v>724</v>
      </c>
      <c r="B2441" t="s">
        <v>1047</v>
      </c>
      <c r="C2441" t="s">
        <v>27</v>
      </c>
      <c r="D2441" s="68"/>
      <c r="E2441" s="68">
        <v>1714</v>
      </c>
      <c r="F2441" s="68"/>
      <c r="G2441" s="68">
        <v>1714</v>
      </c>
      <c r="H24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2" spans="1:8" hidden="1" x14ac:dyDescent="0.3">
      <c r="A2442" t="s">
        <v>724</v>
      </c>
      <c r="B2442" t="s">
        <v>1048</v>
      </c>
      <c r="C2442" t="s">
        <v>588</v>
      </c>
      <c r="D2442" s="68">
        <v>22560</v>
      </c>
      <c r="E2442" s="68"/>
      <c r="F2442" s="68">
        <v>127117</v>
      </c>
      <c r="G2442" s="68">
        <v>149677</v>
      </c>
      <c r="H24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3" spans="1:8" hidden="1" x14ac:dyDescent="0.3">
      <c r="A2443" t="s">
        <v>724</v>
      </c>
      <c r="B2443" t="s">
        <v>1048</v>
      </c>
      <c r="C2443" t="s">
        <v>36</v>
      </c>
      <c r="D2443" s="68">
        <v>92084</v>
      </c>
      <c r="E2443" s="68"/>
      <c r="F2443" s="68">
        <v>41724</v>
      </c>
      <c r="G2443" s="68">
        <v>133808</v>
      </c>
      <c r="H24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4" spans="1:8" hidden="1" x14ac:dyDescent="0.3">
      <c r="A2444" t="s">
        <v>724</v>
      </c>
      <c r="B2444" t="s">
        <v>1048</v>
      </c>
      <c r="C2444" t="s">
        <v>26</v>
      </c>
      <c r="D2444" s="68">
        <v>35948</v>
      </c>
      <c r="E2444" s="68"/>
      <c r="F2444" s="68">
        <v>77330</v>
      </c>
      <c r="G2444" s="68">
        <v>113278</v>
      </c>
      <c r="H24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45" spans="1:8" hidden="1" x14ac:dyDescent="0.3">
      <c r="A2445" t="s">
        <v>724</v>
      </c>
      <c r="B2445" t="s">
        <v>1048</v>
      </c>
      <c r="C2445" t="s">
        <v>5</v>
      </c>
      <c r="D2445" s="68">
        <v>28177</v>
      </c>
      <c r="E2445" s="68"/>
      <c r="F2445" s="68">
        <v>10304</v>
      </c>
      <c r="G2445" s="68">
        <v>38481</v>
      </c>
      <c r="H24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46" spans="1:8" hidden="1" x14ac:dyDescent="0.3">
      <c r="A2446" t="s">
        <v>724</v>
      </c>
      <c r="B2446" t="s">
        <v>1048</v>
      </c>
      <c r="C2446" t="s">
        <v>31</v>
      </c>
      <c r="D2446" s="68">
        <v>1823</v>
      </c>
      <c r="E2446" s="68"/>
      <c r="F2446" s="68">
        <v>30534</v>
      </c>
      <c r="G2446" s="68">
        <v>32357</v>
      </c>
      <c r="H24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47" spans="1:8" hidden="1" x14ac:dyDescent="0.3">
      <c r="A2447" t="s">
        <v>724</v>
      </c>
      <c r="B2447" t="s">
        <v>1048</v>
      </c>
      <c r="C2447" t="s">
        <v>30</v>
      </c>
      <c r="D2447" s="68">
        <v>1084</v>
      </c>
      <c r="E2447" s="68"/>
      <c r="F2447" s="68">
        <v>26676</v>
      </c>
      <c r="G2447" s="68">
        <v>27760</v>
      </c>
      <c r="H24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8" spans="1:8" hidden="1" x14ac:dyDescent="0.3">
      <c r="A2448" t="s">
        <v>724</v>
      </c>
      <c r="B2448" t="s">
        <v>1048</v>
      </c>
      <c r="C2448" t="s">
        <v>27</v>
      </c>
      <c r="D2448" s="68"/>
      <c r="E2448" s="68">
        <v>17472</v>
      </c>
      <c r="F2448" s="68"/>
      <c r="G2448" s="68">
        <v>17472</v>
      </c>
      <c r="H24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9" spans="1:8" hidden="1" x14ac:dyDescent="0.3">
      <c r="A2449" t="s">
        <v>724</v>
      </c>
      <c r="B2449" t="s">
        <v>1048</v>
      </c>
      <c r="C2449" t="s">
        <v>34</v>
      </c>
      <c r="D2449" s="68">
        <v>10703</v>
      </c>
      <c r="E2449" s="68"/>
      <c r="F2449" s="68">
        <v>2331</v>
      </c>
      <c r="G2449" s="68">
        <v>13034</v>
      </c>
      <c r="H24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50" spans="1:8" hidden="1" x14ac:dyDescent="0.3">
      <c r="A2450" t="s">
        <v>724</v>
      </c>
      <c r="B2450" t="s">
        <v>1048</v>
      </c>
      <c r="C2450" t="s">
        <v>32</v>
      </c>
      <c r="D2450" s="68">
        <v>261</v>
      </c>
      <c r="E2450" s="68"/>
      <c r="F2450" s="68">
        <v>10946</v>
      </c>
      <c r="G2450" s="68">
        <v>11207</v>
      </c>
      <c r="H24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51" spans="1:8" hidden="1" x14ac:dyDescent="0.3">
      <c r="A2451" t="s">
        <v>724</v>
      </c>
      <c r="B2451" t="s">
        <v>1048</v>
      </c>
      <c r="C2451" t="s">
        <v>538</v>
      </c>
      <c r="D2451" s="68"/>
      <c r="E2451" s="68"/>
      <c r="F2451" s="68">
        <v>1</v>
      </c>
      <c r="G2451" s="68">
        <v>1</v>
      </c>
      <c r="H24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52" spans="1:8" hidden="1" x14ac:dyDescent="0.3">
      <c r="A2452" t="s">
        <v>724</v>
      </c>
      <c r="B2452" t="s">
        <v>1049</v>
      </c>
      <c r="C2452" t="s">
        <v>31</v>
      </c>
      <c r="D2452" s="68">
        <v>361</v>
      </c>
      <c r="E2452" s="68"/>
      <c r="F2452" s="68">
        <v>9369</v>
      </c>
      <c r="G2452" s="68">
        <v>9730</v>
      </c>
      <c r="H24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53" spans="1:8" hidden="1" x14ac:dyDescent="0.3">
      <c r="A2453" t="s">
        <v>724</v>
      </c>
      <c r="B2453" t="s">
        <v>1049</v>
      </c>
      <c r="C2453" t="s">
        <v>588</v>
      </c>
      <c r="D2453" s="68">
        <v>598</v>
      </c>
      <c r="E2453" s="68"/>
      <c r="F2453" s="68">
        <v>7826</v>
      </c>
      <c r="G2453" s="68">
        <v>8424</v>
      </c>
      <c r="H24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54" spans="1:8" hidden="1" x14ac:dyDescent="0.3">
      <c r="A2454" t="s">
        <v>724</v>
      </c>
      <c r="B2454" t="s">
        <v>1049</v>
      </c>
      <c r="C2454" t="s">
        <v>26</v>
      </c>
      <c r="D2454" s="68">
        <v>956</v>
      </c>
      <c r="E2454" s="68"/>
      <c r="F2454" s="68">
        <v>6129</v>
      </c>
      <c r="G2454" s="68">
        <v>7085</v>
      </c>
      <c r="H24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55" spans="1:8" hidden="1" x14ac:dyDescent="0.3">
      <c r="A2455" t="s">
        <v>724</v>
      </c>
      <c r="B2455" t="s">
        <v>1049</v>
      </c>
      <c r="C2455" t="s">
        <v>27</v>
      </c>
      <c r="D2455" s="68"/>
      <c r="E2455" s="68">
        <v>464</v>
      </c>
      <c r="F2455" s="68"/>
      <c r="G2455" s="68">
        <v>464</v>
      </c>
      <c r="H24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56" spans="1:8" hidden="1" x14ac:dyDescent="0.3">
      <c r="A2456" t="s">
        <v>724</v>
      </c>
      <c r="B2456" t="s">
        <v>1049</v>
      </c>
      <c r="C2456" t="s">
        <v>553</v>
      </c>
      <c r="D2456" s="68">
        <v>1</v>
      </c>
      <c r="E2456" s="68"/>
      <c r="F2456" s="68"/>
      <c r="G2456" s="68">
        <v>1</v>
      </c>
      <c r="H24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57" spans="1:8" hidden="1" x14ac:dyDescent="0.3">
      <c r="A2457" t="s">
        <v>724</v>
      </c>
      <c r="B2457" t="s">
        <v>1050</v>
      </c>
      <c r="C2457" t="s">
        <v>588</v>
      </c>
      <c r="D2457" s="68">
        <v>4707</v>
      </c>
      <c r="E2457" s="68"/>
      <c r="F2457" s="68">
        <v>28945</v>
      </c>
      <c r="G2457" s="68">
        <v>33652</v>
      </c>
      <c r="H24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58" spans="1:8" hidden="1" x14ac:dyDescent="0.3">
      <c r="A2458" t="s">
        <v>724</v>
      </c>
      <c r="B2458" t="s">
        <v>1050</v>
      </c>
      <c r="C2458" t="s">
        <v>26</v>
      </c>
      <c r="D2458" s="68">
        <v>8274</v>
      </c>
      <c r="E2458" s="68"/>
      <c r="F2458" s="68">
        <v>13502</v>
      </c>
      <c r="G2458" s="68">
        <v>21776</v>
      </c>
      <c r="H24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59" spans="1:8" hidden="1" x14ac:dyDescent="0.3">
      <c r="A2459" t="s">
        <v>724</v>
      </c>
      <c r="B2459" t="s">
        <v>1050</v>
      </c>
      <c r="C2459" t="s">
        <v>31</v>
      </c>
      <c r="D2459" s="68">
        <v>617</v>
      </c>
      <c r="E2459" s="68"/>
      <c r="F2459" s="68">
        <v>8999</v>
      </c>
      <c r="G2459" s="68">
        <v>9616</v>
      </c>
      <c r="H24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60" spans="1:8" hidden="1" x14ac:dyDescent="0.3">
      <c r="A2460" t="s">
        <v>724</v>
      </c>
      <c r="B2460" t="s">
        <v>1050</v>
      </c>
      <c r="C2460" t="s">
        <v>30</v>
      </c>
      <c r="D2460" s="68">
        <v>71</v>
      </c>
      <c r="E2460" s="68"/>
      <c r="F2460" s="68">
        <v>1992</v>
      </c>
      <c r="G2460" s="68">
        <v>2063</v>
      </c>
      <c r="H24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1" spans="1:8" hidden="1" x14ac:dyDescent="0.3">
      <c r="A2461" t="s">
        <v>724</v>
      </c>
      <c r="B2461" t="s">
        <v>1050</v>
      </c>
      <c r="C2461" t="s">
        <v>27</v>
      </c>
      <c r="D2461" s="68"/>
      <c r="E2461" s="68">
        <v>1594</v>
      </c>
      <c r="F2461" s="68"/>
      <c r="G2461" s="68">
        <v>1594</v>
      </c>
      <c r="H24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2" spans="1:8" hidden="1" x14ac:dyDescent="0.3">
      <c r="A2462" t="s">
        <v>724</v>
      </c>
      <c r="B2462" t="s">
        <v>1050</v>
      </c>
      <c r="C2462" t="s">
        <v>36</v>
      </c>
      <c r="D2462" s="68">
        <v>2</v>
      </c>
      <c r="E2462" s="68"/>
      <c r="F2462" s="68">
        <v>1</v>
      </c>
      <c r="G2462" s="68">
        <v>3</v>
      </c>
      <c r="H24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3" spans="1:8" hidden="1" x14ac:dyDescent="0.3">
      <c r="A2463" t="s">
        <v>724</v>
      </c>
      <c r="B2463" t="s">
        <v>1051</v>
      </c>
      <c r="C2463" t="s">
        <v>588</v>
      </c>
      <c r="D2463" s="68">
        <v>3498</v>
      </c>
      <c r="E2463" s="68"/>
      <c r="F2463" s="68">
        <v>20280</v>
      </c>
      <c r="G2463" s="68">
        <v>23778</v>
      </c>
      <c r="H24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4" spans="1:8" hidden="1" x14ac:dyDescent="0.3">
      <c r="A2464" t="s">
        <v>724</v>
      </c>
      <c r="B2464" t="s">
        <v>1051</v>
      </c>
      <c r="C2464" t="s">
        <v>26</v>
      </c>
      <c r="D2464" s="68">
        <v>1436</v>
      </c>
      <c r="E2464" s="68"/>
      <c r="F2464" s="68">
        <v>3885</v>
      </c>
      <c r="G2464" s="68">
        <v>5321</v>
      </c>
      <c r="H24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65" spans="1:8" hidden="1" x14ac:dyDescent="0.3">
      <c r="A2465" t="s">
        <v>724</v>
      </c>
      <c r="B2465" t="s">
        <v>1051</v>
      </c>
      <c r="C2465" t="s">
        <v>30</v>
      </c>
      <c r="D2465" s="68">
        <v>59</v>
      </c>
      <c r="E2465" s="68"/>
      <c r="F2465" s="68">
        <v>1514</v>
      </c>
      <c r="G2465" s="68">
        <v>1573</v>
      </c>
      <c r="H24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6" spans="1:8" hidden="1" x14ac:dyDescent="0.3">
      <c r="A2466" t="s">
        <v>724</v>
      </c>
      <c r="B2466" t="s">
        <v>1051</v>
      </c>
      <c r="C2466" t="s">
        <v>27</v>
      </c>
      <c r="D2466" s="68"/>
      <c r="E2466" s="68">
        <v>576</v>
      </c>
      <c r="F2466" s="68"/>
      <c r="G2466" s="68">
        <v>576</v>
      </c>
      <c r="H24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7" spans="1:8" hidden="1" x14ac:dyDescent="0.3">
      <c r="A2467" t="s">
        <v>724</v>
      </c>
      <c r="B2467" t="s">
        <v>1051</v>
      </c>
      <c r="C2467" t="s">
        <v>31</v>
      </c>
      <c r="D2467" s="68"/>
      <c r="E2467" s="68"/>
      <c r="F2467" s="68">
        <v>1</v>
      </c>
      <c r="G2467" s="68">
        <v>1</v>
      </c>
      <c r="H24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68" spans="1:8" hidden="1" x14ac:dyDescent="0.3">
      <c r="A2468" t="s">
        <v>724</v>
      </c>
      <c r="B2468" t="s">
        <v>1051</v>
      </c>
      <c r="C2468" t="s">
        <v>32</v>
      </c>
      <c r="D2468" s="68"/>
      <c r="E2468" s="68"/>
      <c r="F2468" s="68">
        <v>1</v>
      </c>
      <c r="G2468" s="68">
        <v>1</v>
      </c>
      <c r="H24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69" spans="1:8" hidden="1" x14ac:dyDescent="0.3">
      <c r="A2469" t="s">
        <v>724</v>
      </c>
      <c r="B2469" t="s">
        <v>1051</v>
      </c>
      <c r="C2469" t="s">
        <v>5</v>
      </c>
      <c r="D2469" s="68">
        <v>1</v>
      </c>
      <c r="E2469" s="68"/>
      <c r="F2469" s="68"/>
      <c r="G2469" s="68">
        <v>1</v>
      </c>
      <c r="H24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70" spans="1:8" hidden="1" x14ac:dyDescent="0.3">
      <c r="A2470" t="s">
        <v>724</v>
      </c>
      <c r="B2470" t="s">
        <v>1052</v>
      </c>
      <c r="C2470" t="s">
        <v>588</v>
      </c>
      <c r="D2470" s="68">
        <v>789</v>
      </c>
      <c r="E2470" s="68"/>
      <c r="F2470" s="68">
        <v>10269</v>
      </c>
      <c r="G2470" s="68">
        <v>11058</v>
      </c>
      <c r="H24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71" spans="1:8" hidden="1" x14ac:dyDescent="0.3">
      <c r="A2471" t="s">
        <v>724</v>
      </c>
      <c r="B2471" t="s">
        <v>1052</v>
      </c>
      <c r="C2471" t="s">
        <v>31</v>
      </c>
      <c r="D2471" s="68">
        <v>256</v>
      </c>
      <c r="E2471" s="68"/>
      <c r="F2471" s="68">
        <v>5689</v>
      </c>
      <c r="G2471" s="68">
        <v>5945</v>
      </c>
      <c r="H24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72" spans="1:8" hidden="1" x14ac:dyDescent="0.3">
      <c r="A2472" t="s">
        <v>724</v>
      </c>
      <c r="B2472" t="s">
        <v>1052</v>
      </c>
      <c r="C2472" t="s">
        <v>26</v>
      </c>
      <c r="D2472" s="68">
        <v>296</v>
      </c>
      <c r="E2472" s="68"/>
      <c r="F2472" s="68">
        <v>1664</v>
      </c>
      <c r="G2472" s="68">
        <v>1960</v>
      </c>
      <c r="H24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73" spans="1:8" hidden="1" x14ac:dyDescent="0.3">
      <c r="A2473" t="s">
        <v>724</v>
      </c>
      <c r="B2473" t="s">
        <v>1052</v>
      </c>
      <c r="C2473" t="s">
        <v>30</v>
      </c>
      <c r="D2473" s="68">
        <v>13</v>
      </c>
      <c r="E2473" s="68"/>
      <c r="F2473" s="68">
        <v>1230</v>
      </c>
      <c r="G2473" s="68">
        <v>1243</v>
      </c>
      <c r="H24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74" spans="1:8" hidden="1" x14ac:dyDescent="0.3">
      <c r="A2474" t="s">
        <v>724</v>
      </c>
      <c r="B2474" t="s">
        <v>1052</v>
      </c>
      <c r="C2474" t="s">
        <v>27</v>
      </c>
      <c r="D2474" s="68"/>
      <c r="E2474" s="68">
        <v>297</v>
      </c>
      <c r="F2474" s="68"/>
      <c r="G2474" s="68">
        <v>297</v>
      </c>
      <c r="H24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75" spans="1:8" hidden="1" x14ac:dyDescent="0.3">
      <c r="A2475" t="s">
        <v>724</v>
      </c>
      <c r="B2475" t="s">
        <v>1052</v>
      </c>
      <c r="C2475" t="s">
        <v>32</v>
      </c>
      <c r="D2475" s="68"/>
      <c r="E2475" s="68"/>
      <c r="F2475" s="68">
        <v>4</v>
      </c>
      <c r="G2475" s="68">
        <v>4</v>
      </c>
      <c r="H24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76" spans="1:8" hidden="1" x14ac:dyDescent="0.3">
      <c r="A2476" t="s">
        <v>724</v>
      </c>
      <c r="B2476" t="s">
        <v>1053</v>
      </c>
      <c r="C2476" t="s">
        <v>26</v>
      </c>
      <c r="D2476" s="68">
        <v>3349</v>
      </c>
      <c r="E2476" s="68"/>
      <c r="F2476" s="68">
        <v>19017</v>
      </c>
      <c r="G2476" s="68">
        <v>22366</v>
      </c>
      <c r="H24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77" spans="1:8" hidden="1" x14ac:dyDescent="0.3">
      <c r="A2477" t="s">
        <v>724</v>
      </c>
      <c r="B2477" t="s">
        <v>1053</v>
      </c>
      <c r="C2477" t="s">
        <v>31</v>
      </c>
      <c r="D2477" s="68">
        <v>617</v>
      </c>
      <c r="E2477" s="68"/>
      <c r="F2477" s="68">
        <v>11657</v>
      </c>
      <c r="G2477" s="68">
        <v>12274</v>
      </c>
      <c r="H24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78" spans="1:8" hidden="1" x14ac:dyDescent="0.3">
      <c r="A2478" t="s">
        <v>724</v>
      </c>
      <c r="B2478" t="s">
        <v>1053</v>
      </c>
      <c r="C2478" t="s">
        <v>588</v>
      </c>
      <c r="D2478" s="68">
        <v>476</v>
      </c>
      <c r="E2478" s="68"/>
      <c r="F2478" s="68">
        <v>3902</v>
      </c>
      <c r="G2478" s="68">
        <v>4378</v>
      </c>
      <c r="H24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79" spans="1:8" hidden="1" x14ac:dyDescent="0.3">
      <c r="A2479" t="s">
        <v>724</v>
      </c>
      <c r="B2479" t="s">
        <v>1053</v>
      </c>
      <c r="C2479" t="s">
        <v>30</v>
      </c>
      <c r="D2479" s="68">
        <v>39</v>
      </c>
      <c r="E2479" s="68"/>
      <c r="F2479" s="68">
        <v>1441</v>
      </c>
      <c r="G2479" s="68">
        <v>1480</v>
      </c>
      <c r="H24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80" spans="1:8" hidden="1" x14ac:dyDescent="0.3">
      <c r="A2480" t="s">
        <v>724</v>
      </c>
      <c r="B2480" t="s">
        <v>1053</v>
      </c>
      <c r="C2480" t="s">
        <v>27</v>
      </c>
      <c r="D2480" s="68"/>
      <c r="E2480" s="68">
        <v>584</v>
      </c>
      <c r="F2480" s="68"/>
      <c r="G2480" s="68">
        <v>584</v>
      </c>
      <c r="H24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81" spans="1:8" hidden="1" x14ac:dyDescent="0.3">
      <c r="A2481" t="s">
        <v>724</v>
      </c>
      <c r="B2481" t="s">
        <v>1053</v>
      </c>
      <c r="C2481" t="s">
        <v>32</v>
      </c>
      <c r="D2481" s="68">
        <v>15</v>
      </c>
      <c r="E2481" s="68"/>
      <c r="F2481" s="68">
        <v>427</v>
      </c>
      <c r="G2481" s="68">
        <v>442</v>
      </c>
      <c r="H24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82" spans="1:8" hidden="1" x14ac:dyDescent="0.3">
      <c r="A2482" t="s">
        <v>724</v>
      </c>
      <c r="B2482" t="s">
        <v>1054</v>
      </c>
      <c r="C2482" t="s">
        <v>588</v>
      </c>
      <c r="D2482" s="68">
        <v>728</v>
      </c>
      <c r="E2482" s="68"/>
      <c r="F2482" s="68">
        <v>7179</v>
      </c>
      <c r="G2482" s="68">
        <v>7907</v>
      </c>
      <c r="H24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83" spans="1:8" hidden="1" x14ac:dyDescent="0.3">
      <c r="A2483" t="s">
        <v>724</v>
      </c>
      <c r="B2483" t="s">
        <v>1054</v>
      </c>
      <c r="C2483" t="s">
        <v>26</v>
      </c>
      <c r="D2483" s="68">
        <v>643</v>
      </c>
      <c r="E2483" s="68"/>
      <c r="F2483" s="68">
        <v>5656</v>
      </c>
      <c r="G2483" s="68">
        <v>6299</v>
      </c>
      <c r="H24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84" spans="1:8" hidden="1" x14ac:dyDescent="0.3">
      <c r="A2484" t="s">
        <v>724</v>
      </c>
      <c r="B2484" t="s">
        <v>1054</v>
      </c>
      <c r="C2484" t="s">
        <v>30</v>
      </c>
      <c r="D2484" s="68">
        <v>13</v>
      </c>
      <c r="E2484" s="68"/>
      <c r="F2484" s="68">
        <v>583</v>
      </c>
      <c r="G2484" s="68">
        <v>596</v>
      </c>
      <c r="H24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85" spans="1:8" hidden="1" x14ac:dyDescent="0.3">
      <c r="A2485" t="s">
        <v>724</v>
      </c>
      <c r="B2485" t="s">
        <v>1054</v>
      </c>
      <c r="C2485" t="s">
        <v>27</v>
      </c>
      <c r="D2485" s="68"/>
      <c r="E2485" s="68">
        <v>232</v>
      </c>
      <c r="F2485" s="68"/>
      <c r="G2485" s="68">
        <v>232</v>
      </c>
      <c r="H24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86" spans="1:8" hidden="1" x14ac:dyDescent="0.3">
      <c r="A2486" t="s">
        <v>724</v>
      </c>
      <c r="B2486" t="s">
        <v>1055</v>
      </c>
      <c r="C2486" t="s">
        <v>26</v>
      </c>
      <c r="D2486" s="68">
        <v>10503</v>
      </c>
      <c r="E2486" s="68"/>
      <c r="F2486" s="68">
        <v>39982</v>
      </c>
      <c r="G2486" s="68">
        <v>50485</v>
      </c>
      <c r="H24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87" spans="1:8" hidden="1" x14ac:dyDescent="0.3">
      <c r="A2487" t="s">
        <v>724</v>
      </c>
      <c r="B2487" t="s">
        <v>1055</v>
      </c>
      <c r="C2487" t="s">
        <v>588</v>
      </c>
      <c r="D2487" s="68">
        <v>3401</v>
      </c>
      <c r="E2487" s="68"/>
      <c r="F2487" s="68">
        <v>22467</v>
      </c>
      <c r="G2487" s="68">
        <v>25868</v>
      </c>
      <c r="H24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88" spans="1:8" hidden="1" x14ac:dyDescent="0.3">
      <c r="A2488" t="s">
        <v>724</v>
      </c>
      <c r="B2488" t="s">
        <v>1055</v>
      </c>
      <c r="C2488" t="s">
        <v>30</v>
      </c>
      <c r="D2488" s="68">
        <v>338</v>
      </c>
      <c r="E2488" s="68"/>
      <c r="F2488" s="68">
        <v>12294</v>
      </c>
      <c r="G2488" s="68">
        <v>12632</v>
      </c>
      <c r="H24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89" spans="1:8" hidden="1" x14ac:dyDescent="0.3">
      <c r="A2489" t="s">
        <v>724</v>
      </c>
      <c r="B2489" t="s">
        <v>1055</v>
      </c>
      <c r="C2489" t="s">
        <v>27</v>
      </c>
      <c r="D2489" s="68"/>
      <c r="E2489" s="68">
        <v>3870</v>
      </c>
      <c r="F2489" s="68"/>
      <c r="G2489" s="68">
        <v>3870</v>
      </c>
      <c r="H24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90" spans="1:8" hidden="1" x14ac:dyDescent="0.3">
      <c r="A2490" t="s">
        <v>724</v>
      </c>
      <c r="B2490" t="s">
        <v>1055</v>
      </c>
      <c r="C2490" t="s">
        <v>31</v>
      </c>
      <c r="D2490" s="68">
        <v>106</v>
      </c>
      <c r="E2490" s="68"/>
      <c r="F2490" s="68">
        <v>2023</v>
      </c>
      <c r="G2490" s="68">
        <v>2129</v>
      </c>
      <c r="H24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91" spans="1:8" hidden="1" x14ac:dyDescent="0.3">
      <c r="A2491" t="s">
        <v>724</v>
      </c>
      <c r="B2491" t="s">
        <v>1055</v>
      </c>
      <c r="C2491" t="s">
        <v>36</v>
      </c>
      <c r="D2491" s="68">
        <v>3</v>
      </c>
      <c r="E2491" s="68"/>
      <c r="F2491" s="68"/>
      <c r="G2491" s="68">
        <v>3</v>
      </c>
      <c r="H24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92" spans="1:8" hidden="1" x14ac:dyDescent="0.3">
      <c r="A2492" t="s">
        <v>724</v>
      </c>
      <c r="B2492" t="s">
        <v>1055</v>
      </c>
      <c r="C2492" t="s">
        <v>5</v>
      </c>
      <c r="D2492" s="68">
        <v>2</v>
      </c>
      <c r="E2492" s="68"/>
      <c r="F2492" s="68"/>
      <c r="G2492" s="68">
        <v>2</v>
      </c>
      <c r="H24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93" spans="1:8" hidden="1" x14ac:dyDescent="0.3">
      <c r="A2493" t="s">
        <v>724</v>
      </c>
      <c r="B2493" t="s">
        <v>1056</v>
      </c>
      <c r="C2493" t="s">
        <v>588</v>
      </c>
      <c r="D2493" s="68">
        <v>2676</v>
      </c>
      <c r="E2493" s="68"/>
      <c r="F2493" s="68">
        <v>29152</v>
      </c>
      <c r="G2493" s="68">
        <v>31828</v>
      </c>
      <c r="H24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94" spans="1:8" hidden="1" x14ac:dyDescent="0.3">
      <c r="A2494" t="s">
        <v>724</v>
      </c>
      <c r="B2494" t="s">
        <v>1056</v>
      </c>
      <c r="C2494" t="s">
        <v>30</v>
      </c>
      <c r="D2494" s="68">
        <v>123</v>
      </c>
      <c r="E2494" s="68"/>
      <c r="F2494" s="68">
        <v>6946</v>
      </c>
      <c r="G2494" s="68">
        <v>7069</v>
      </c>
      <c r="H24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95" spans="1:8" hidden="1" x14ac:dyDescent="0.3">
      <c r="A2495" t="s">
        <v>724</v>
      </c>
      <c r="B2495" t="s">
        <v>1056</v>
      </c>
      <c r="C2495" t="s">
        <v>27</v>
      </c>
      <c r="D2495" s="68"/>
      <c r="E2495" s="68">
        <v>1182</v>
      </c>
      <c r="F2495" s="68"/>
      <c r="G2495" s="68">
        <v>1182</v>
      </c>
      <c r="H24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96" spans="1:8" hidden="1" x14ac:dyDescent="0.3">
      <c r="A2496" t="s">
        <v>724</v>
      </c>
      <c r="B2496" t="s">
        <v>1056</v>
      </c>
      <c r="C2496" t="s">
        <v>26</v>
      </c>
      <c r="D2496" s="68">
        <v>410</v>
      </c>
      <c r="E2496" s="68"/>
      <c r="F2496" s="68">
        <v>420</v>
      </c>
      <c r="G2496" s="68">
        <v>830</v>
      </c>
      <c r="H24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97" spans="1:8" hidden="1" x14ac:dyDescent="0.3">
      <c r="A2497" t="s">
        <v>724</v>
      </c>
      <c r="B2497" t="s">
        <v>1056</v>
      </c>
      <c r="C2497" t="s">
        <v>32</v>
      </c>
      <c r="D2497" s="68"/>
      <c r="E2497" s="68"/>
      <c r="F2497" s="68">
        <v>1</v>
      </c>
      <c r="G2497" s="68">
        <v>1</v>
      </c>
      <c r="H24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98" spans="1:8" hidden="1" x14ac:dyDescent="0.3">
      <c r="A2498" t="s">
        <v>724</v>
      </c>
      <c r="B2498" t="s">
        <v>1057</v>
      </c>
      <c r="C2498" t="s">
        <v>588</v>
      </c>
      <c r="D2498" s="68">
        <v>1774</v>
      </c>
      <c r="E2498" s="68"/>
      <c r="F2498" s="68">
        <v>16357</v>
      </c>
      <c r="G2498" s="68">
        <v>18131</v>
      </c>
      <c r="H24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99" spans="1:8" hidden="1" x14ac:dyDescent="0.3">
      <c r="A2499" t="s">
        <v>724</v>
      </c>
      <c r="B2499" t="s">
        <v>1057</v>
      </c>
      <c r="C2499" t="s">
        <v>26</v>
      </c>
      <c r="D2499" s="68">
        <v>1900</v>
      </c>
      <c r="E2499" s="68"/>
      <c r="F2499" s="68">
        <v>7931</v>
      </c>
      <c r="G2499" s="68">
        <v>9831</v>
      </c>
      <c r="H24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00" spans="1:8" hidden="1" x14ac:dyDescent="0.3">
      <c r="A2500" t="s">
        <v>724</v>
      </c>
      <c r="B2500" t="s">
        <v>1057</v>
      </c>
      <c r="C2500" t="s">
        <v>30</v>
      </c>
      <c r="D2500" s="68">
        <v>31</v>
      </c>
      <c r="E2500" s="68"/>
      <c r="F2500" s="68">
        <v>1488</v>
      </c>
      <c r="G2500" s="68">
        <v>1519</v>
      </c>
      <c r="H25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1" spans="1:8" hidden="1" x14ac:dyDescent="0.3">
      <c r="A2501" t="s">
        <v>724</v>
      </c>
      <c r="B2501" t="s">
        <v>1057</v>
      </c>
      <c r="C2501" t="s">
        <v>27</v>
      </c>
      <c r="D2501" s="68"/>
      <c r="E2501" s="68">
        <v>491</v>
      </c>
      <c r="F2501" s="68"/>
      <c r="G2501" s="68">
        <v>491</v>
      </c>
      <c r="H25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2" spans="1:8" hidden="1" x14ac:dyDescent="0.3">
      <c r="A2502" t="s">
        <v>724</v>
      </c>
      <c r="B2502" t="s">
        <v>1058</v>
      </c>
      <c r="C2502" t="s">
        <v>588</v>
      </c>
      <c r="D2502" s="68">
        <v>1811</v>
      </c>
      <c r="E2502" s="68"/>
      <c r="F2502" s="68">
        <v>23591</v>
      </c>
      <c r="G2502" s="68">
        <v>25402</v>
      </c>
      <c r="H25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3" spans="1:8" hidden="1" x14ac:dyDescent="0.3">
      <c r="A2503" t="s">
        <v>724</v>
      </c>
      <c r="B2503" t="s">
        <v>1058</v>
      </c>
      <c r="C2503" t="s">
        <v>26</v>
      </c>
      <c r="D2503" s="68">
        <v>1101</v>
      </c>
      <c r="E2503" s="68"/>
      <c r="F2503" s="68">
        <v>3479</v>
      </c>
      <c r="G2503" s="68">
        <v>4580</v>
      </c>
      <c r="H25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04" spans="1:8" hidden="1" x14ac:dyDescent="0.3">
      <c r="A2504" t="s">
        <v>724</v>
      </c>
      <c r="B2504" t="s">
        <v>1058</v>
      </c>
      <c r="C2504" t="s">
        <v>31</v>
      </c>
      <c r="D2504" s="68">
        <v>36</v>
      </c>
      <c r="E2504" s="68"/>
      <c r="F2504" s="68">
        <v>1195</v>
      </c>
      <c r="G2504" s="68">
        <v>1231</v>
      </c>
      <c r="H25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05" spans="1:8" hidden="1" x14ac:dyDescent="0.3">
      <c r="A2505" t="s">
        <v>724</v>
      </c>
      <c r="B2505" t="s">
        <v>1058</v>
      </c>
      <c r="C2505" t="s">
        <v>30</v>
      </c>
      <c r="D2505" s="68">
        <v>17</v>
      </c>
      <c r="E2505" s="68"/>
      <c r="F2505" s="68">
        <v>1147</v>
      </c>
      <c r="G2505" s="68">
        <v>1164</v>
      </c>
      <c r="H25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6" spans="1:8" hidden="1" x14ac:dyDescent="0.3">
      <c r="A2506" t="s">
        <v>724</v>
      </c>
      <c r="B2506" t="s">
        <v>1058</v>
      </c>
      <c r="C2506" t="s">
        <v>27</v>
      </c>
      <c r="D2506" s="68"/>
      <c r="E2506" s="68">
        <v>706</v>
      </c>
      <c r="F2506" s="68"/>
      <c r="G2506" s="68">
        <v>706</v>
      </c>
      <c r="H25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7" spans="1:8" hidden="1" x14ac:dyDescent="0.3">
      <c r="A2507" t="s">
        <v>724</v>
      </c>
      <c r="B2507" t="s">
        <v>1058</v>
      </c>
      <c r="C2507" t="s">
        <v>36</v>
      </c>
      <c r="D2507" s="68">
        <v>6</v>
      </c>
      <c r="E2507" s="68"/>
      <c r="F2507" s="68"/>
      <c r="G2507" s="68">
        <v>6</v>
      </c>
      <c r="H25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8" spans="1:8" hidden="1" x14ac:dyDescent="0.3">
      <c r="A2508" t="s">
        <v>724</v>
      </c>
      <c r="B2508" t="s">
        <v>1058</v>
      </c>
      <c r="C2508" t="s">
        <v>37</v>
      </c>
      <c r="D2508" s="68">
        <v>2</v>
      </c>
      <c r="E2508" s="68"/>
      <c r="F2508" s="68"/>
      <c r="G2508" s="68">
        <v>2</v>
      </c>
      <c r="H25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09" spans="1:8" hidden="1" x14ac:dyDescent="0.3">
      <c r="A2509" t="s">
        <v>724</v>
      </c>
      <c r="B2509" t="s">
        <v>642</v>
      </c>
      <c r="C2509" t="s">
        <v>26</v>
      </c>
      <c r="D2509" s="68">
        <v>868</v>
      </c>
      <c r="E2509" s="68"/>
      <c r="F2509" s="68">
        <v>11517</v>
      </c>
      <c r="G2509" s="68">
        <v>12385</v>
      </c>
      <c r="H25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10" spans="1:8" hidden="1" x14ac:dyDescent="0.3">
      <c r="A2510" t="s">
        <v>724</v>
      </c>
      <c r="B2510" t="s">
        <v>642</v>
      </c>
      <c r="C2510" t="s">
        <v>588</v>
      </c>
      <c r="D2510" s="68">
        <v>260</v>
      </c>
      <c r="E2510" s="68"/>
      <c r="F2510" s="68">
        <v>3168</v>
      </c>
      <c r="G2510" s="68">
        <v>3428</v>
      </c>
      <c r="H25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11" spans="1:8" hidden="1" x14ac:dyDescent="0.3">
      <c r="A2511" t="s">
        <v>724</v>
      </c>
      <c r="B2511" t="s">
        <v>642</v>
      </c>
      <c r="C2511" t="s">
        <v>30</v>
      </c>
      <c r="D2511" s="68">
        <v>39</v>
      </c>
      <c r="E2511" s="68"/>
      <c r="F2511" s="68">
        <v>1903</v>
      </c>
      <c r="G2511" s="68">
        <v>1942</v>
      </c>
      <c r="H25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12" spans="1:8" hidden="1" x14ac:dyDescent="0.3">
      <c r="A2512" t="s">
        <v>724</v>
      </c>
      <c r="B2512" t="s">
        <v>642</v>
      </c>
      <c r="C2512" t="s">
        <v>27</v>
      </c>
      <c r="D2512" s="68"/>
      <c r="E2512" s="68">
        <v>214</v>
      </c>
      <c r="F2512" s="68"/>
      <c r="G2512" s="68">
        <v>214</v>
      </c>
      <c r="H25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13" spans="1:8" hidden="1" x14ac:dyDescent="0.3">
      <c r="A2513" t="s">
        <v>724</v>
      </c>
      <c r="B2513" t="s">
        <v>642</v>
      </c>
      <c r="C2513" t="s">
        <v>5</v>
      </c>
      <c r="D2513" s="68">
        <v>6</v>
      </c>
      <c r="E2513" s="68"/>
      <c r="F2513" s="68">
        <v>2</v>
      </c>
      <c r="G2513" s="68">
        <v>8</v>
      </c>
      <c r="H25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14" spans="1:8" hidden="1" x14ac:dyDescent="0.3">
      <c r="A2514" t="s">
        <v>724</v>
      </c>
      <c r="B2514" t="s">
        <v>1059</v>
      </c>
      <c r="C2514" t="s">
        <v>588</v>
      </c>
      <c r="D2514" s="68">
        <v>417</v>
      </c>
      <c r="E2514" s="68"/>
      <c r="F2514" s="68">
        <v>4647</v>
      </c>
      <c r="G2514" s="68">
        <v>5064</v>
      </c>
      <c r="H25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15" spans="1:8" hidden="1" x14ac:dyDescent="0.3">
      <c r="A2515" t="s">
        <v>724</v>
      </c>
      <c r="B2515" t="s">
        <v>1059</v>
      </c>
      <c r="C2515" t="s">
        <v>26</v>
      </c>
      <c r="D2515" s="68">
        <v>207</v>
      </c>
      <c r="E2515" s="68"/>
      <c r="F2515" s="68">
        <v>2742</v>
      </c>
      <c r="G2515" s="68">
        <v>2949</v>
      </c>
      <c r="H25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16" spans="1:8" hidden="1" x14ac:dyDescent="0.3">
      <c r="A2516" t="s">
        <v>724</v>
      </c>
      <c r="B2516" t="s">
        <v>1059</v>
      </c>
      <c r="C2516" t="s">
        <v>30</v>
      </c>
      <c r="D2516" s="68">
        <v>9</v>
      </c>
      <c r="E2516" s="68"/>
      <c r="F2516" s="68">
        <v>660</v>
      </c>
      <c r="G2516" s="68">
        <v>669</v>
      </c>
      <c r="H25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17" spans="1:8" hidden="1" x14ac:dyDescent="0.3">
      <c r="A2517" t="s">
        <v>724</v>
      </c>
      <c r="B2517" t="s">
        <v>1059</v>
      </c>
      <c r="C2517" t="s">
        <v>27</v>
      </c>
      <c r="D2517" s="68"/>
      <c r="E2517" s="68">
        <v>98</v>
      </c>
      <c r="F2517" s="68"/>
      <c r="G2517" s="68">
        <v>98</v>
      </c>
      <c r="H25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18" spans="1:8" hidden="1" x14ac:dyDescent="0.3">
      <c r="A2518" t="s">
        <v>724</v>
      </c>
      <c r="B2518" t="s">
        <v>1060</v>
      </c>
      <c r="C2518" t="s">
        <v>588</v>
      </c>
      <c r="D2518" s="68">
        <v>1513</v>
      </c>
      <c r="E2518" s="68"/>
      <c r="F2518" s="68">
        <v>16122</v>
      </c>
      <c r="G2518" s="68">
        <v>17635</v>
      </c>
      <c r="H25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19" spans="1:8" hidden="1" x14ac:dyDescent="0.3">
      <c r="A2519" t="s">
        <v>724</v>
      </c>
      <c r="B2519" t="s">
        <v>1060</v>
      </c>
      <c r="C2519" t="s">
        <v>26</v>
      </c>
      <c r="D2519" s="68">
        <v>1806</v>
      </c>
      <c r="E2519" s="68"/>
      <c r="F2519" s="68">
        <v>10766</v>
      </c>
      <c r="G2519" s="68">
        <v>12572</v>
      </c>
      <c r="H25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20" spans="1:8" hidden="1" x14ac:dyDescent="0.3">
      <c r="A2520" t="s">
        <v>724</v>
      </c>
      <c r="B2520" t="s">
        <v>1060</v>
      </c>
      <c r="C2520" t="s">
        <v>30</v>
      </c>
      <c r="D2520" s="68">
        <v>141</v>
      </c>
      <c r="E2520" s="68"/>
      <c r="F2520" s="68">
        <v>6086</v>
      </c>
      <c r="G2520" s="68">
        <v>6227</v>
      </c>
      <c r="H25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21" spans="1:8" hidden="1" x14ac:dyDescent="0.3">
      <c r="A2521" t="s">
        <v>724</v>
      </c>
      <c r="B2521" t="s">
        <v>1060</v>
      </c>
      <c r="C2521" t="s">
        <v>27</v>
      </c>
      <c r="D2521" s="68"/>
      <c r="E2521" s="68">
        <v>657</v>
      </c>
      <c r="F2521" s="68"/>
      <c r="G2521" s="68">
        <v>657</v>
      </c>
      <c r="H25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22" spans="1:8" hidden="1" x14ac:dyDescent="0.3">
      <c r="A2522" t="s">
        <v>724</v>
      </c>
      <c r="B2522" t="s">
        <v>1061</v>
      </c>
      <c r="C2522" t="s">
        <v>26</v>
      </c>
      <c r="D2522" s="68">
        <v>6730</v>
      </c>
      <c r="E2522" s="68"/>
      <c r="F2522" s="68">
        <v>43438</v>
      </c>
      <c r="G2522" s="68">
        <v>50168</v>
      </c>
      <c r="H25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23" spans="1:8" hidden="1" x14ac:dyDescent="0.3">
      <c r="A2523" t="s">
        <v>724</v>
      </c>
      <c r="B2523" t="s">
        <v>1061</v>
      </c>
      <c r="C2523" t="s">
        <v>588</v>
      </c>
      <c r="D2523" s="68">
        <v>2070</v>
      </c>
      <c r="E2523" s="68"/>
      <c r="F2523" s="68">
        <v>24313</v>
      </c>
      <c r="G2523" s="68">
        <v>26383</v>
      </c>
      <c r="H25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24" spans="1:8" hidden="1" x14ac:dyDescent="0.3">
      <c r="A2524" t="s">
        <v>724</v>
      </c>
      <c r="B2524" t="s">
        <v>1061</v>
      </c>
      <c r="C2524" t="s">
        <v>30</v>
      </c>
      <c r="D2524" s="68">
        <v>209</v>
      </c>
      <c r="E2524" s="68"/>
      <c r="F2524" s="68">
        <v>12560</v>
      </c>
      <c r="G2524" s="68">
        <v>12769</v>
      </c>
      <c r="H25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25" spans="1:8" hidden="1" x14ac:dyDescent="0.3">
      <c r="A2525" t="s">
        <v>724</v>
      </c>
      <c r="B2525" t="s">
        <v>1061</v>
      </c>
      <c r="C2525" t="s">
        <v>31</v>
      </c>
      <c r="D2525" s="68">
        <v>175</v>
      </c>
      <c r="E2525" s="68"/>
      <c r="F2525" s="68">
        <v>5111</v>
      </c>
      <c r="G2525" s="68">
        <v>5286</v>
      </c>
      <c r="H25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26" spans="1:8" hidden="1" x14ac:dyDescent="0.3">
      <c r="A2526" t="s">
        <v>724</v>
      </c>
      <c r="B2526" t="s">
        <v>1061</v>
      </c>
      <c r="C2526" t="s">
        <v>27</v>
      </c>
      <c r="D2526" s="68"/>
      <c r="E2526" s="68">
        <v>1968</v>
      </c>
      <c r="F2526" s="68"/>
      <c r="G2526" s="68">
        <v>1968</v>
      </c>
      <c r="H25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27" spans="1:8" hidden="1" x14ac:dyDescent="0.3">
      <c r="A2527" t="s">
        <v>724</v>
      </c>
      <c r="B2527" t="s">
        <v>1061</v>
      </c>
      <c r="C2527" t="s">
        <v>32</v>
      </c>
      <c r="D2527" s="68">
        <v>15</v>
      </c>
      <c r="E2527" s="68"/>
      <c r="F2527" s="68">
        <v>418</v>
      </c>
      <c r="G2527" s="68">
        <v>433</v>
      </c>
      <c r="H25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28" spans="1:8" hidden="1" x14ac:dyDescent="0.3">
      <c r="A2528" t="s">
        <v>724</v>
      </c>
      <c r="B2528" t="s">
        <v>1061</v>
      </c>
      <c r="C2528" t="s">
        <v>36</v>
      </c>
      <c r="D2528" s="68">
        <v>2</v>
      </c>
      <c r="E2528" s="68"/>
      <c r="F2528" s="68"/>
      <c r="G2528" s="68">
        <v>2</v>
      </c>
      <c r="H25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29" spans="1:8" hidden="1" x14ac:dyDescent="0.3">
      <c r="A2529" t="s">
        <v>724</v>
      </c>
      <c r="B2529" t="s">
        <v>1062</v>
      </c>
      <c r="C2529" t="s">
        <v>588</v>
      </c>
      <c r="D2529" s="68">
        <v>1805</v>
      </c>
      <c r="E2529" s="68"/>
      <c r="F2529" s="68">
        <v>32141</v>
      </c>
      <c r="G2529" s="68">
        <v>33946</v>
      </c>
      <c r="H25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30" spans="1:8" hidden="1" x14ac:dyDescent="0.3">
      <c r="A2530" t="s">
        <v>724</v>
      </c>
      <c r="B2530" t="s">
        <v>1062</v>
      </c>
      <c r="C2530" t="s">
        <v>30</v>
      </c>
      <c r="D2530" s="68">
        <v>70</v>
      </c>
      <c r="E2530" s="68"/>
      <c r="F2530" s="68">
        <v>4733</v>
      </c>
      <c r="G2530" s="68">
        <v>4803</v>
      </c>
      <c r="H25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31" spans="1:8" hidden="1" x14ac:dyDescent="0.3">
      <c r="A2531" t="s">
        <v>724</v>
      </c>
      <c r="B2531" t="s">
        <v>1062</v>
      </c>
      <c r="C2531" t="s">
        <v>26</v>
      </c>
      <c r="D2531" s="68">
        <v>141</v>
      </c>
      <c r="E2531" s="68"/>
      <c r="F2531" s="68">
        <v>110</v>
      </c>
      <c r="G2531" s="68">
        <v>251</v>
      </c>
      <c r="H25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32" spans="1:8" hidden="1" x14ac:dyDescent="0.3">
      <c r="A2532" t="s">
        <v>724</v>
      </c>
      <c r="B2532" t="s">
        <v>1062</v>
      </c>
      <c r="C2532" t="s">
        <v>27</v>
      </c>
      <c r="D2532" s="68"/>
      <c r="E2532" s="68">
        <v>57</v>
      </c>
      <c r="F2532" s="68"/>
      <c r="G2532" s="68">
        <v>57</v>
      </c>
      <c r="H25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33" spans="1:8" hidden="1" x14ac:dyDescent="0.3">
      <c r="A2533" t="s">
        <v>724</v>
      </c>
      <c r="B2533" t="s">
        <v>1063</v>
      </c>
      <c r="C2533" t="s">
        <v>26</v>
      </c>
      <c r="D2533" s="68">
        <v>2609</v>
      </c>
      <c r="E2533" s="68"/>
      <c r="F2533" s="68">
        <v>19501</v>
      </c>
      <c r="G2533" s="68">
        <v>22110</v>
      </c>
      <c r="H25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34" spans="1:8" hidden="1" x14ac:dyDescent="0.3">
      <c r="A2534" t="s">
        <v>724</v>
      </c>
      <c r="B2534" t="s">
        <v>1063</v>
      </c>
      <c r="C2534" t="s">
        <v>30</v>
      </c>
      <c r="D2534" s="68">
        <v>86</v>
      </c>
      <c r="E2534" s="68"/>
      <c r="F2534" s="68">
        <v>5389</v>
      </c>
      <c r="G2534" s="68">
        <v>5475</v>
      </c>
      <c r="H25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35" spans="1:8" hidden="1" x14ac:dyDescent="0.3">
      <c r="A2535" t="s">
        <v>724</v>
      </c>
      <c r="B2535" t="s">
        <v>1063</v>
      </c>
      <c r="C2535" t="s">
        <v>588</v>
      </c>
      <c r="D2535" s="68">
        <v>194</v>
      </c>
      <c r="E2535" s="68"/>
      <c r="F2535" s="68">
        <v>2614</v>
      </c>
      <c r="G2535" s="68">
        <v>2808</v>
      </c>
      <c r="H25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36" spans="1:8" hidden="1" x14ac:dyDescent="0.3">
      <c r="A2536" t="s">
        <v>724</v>
      </c>
      <c r="B2536" t="s">
        <v>1063</v>
      </c>
      <c r="C2536" t="s">
        <v>31</v>
      </c>
      <c r="D2536" s="68">
        <v>54</v>
      </c>
      <c r="E2536" s="68"/>
      <c r="F2536" s="68">
        <v>1463</v>
      </c>
      <c r="G2536" s="68">
        <v>1517</v>
      </c>
      <c r="H25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37" spans="1:8" hidden="1" x14ac:dyDescent="0.3">
      <c r="A2537" t="s">
        <v>724</v>
      </c>
      <c r="B2537" t="s">
        <v>1063</v>
      </c>
      <c r="C2537" t="s">
        <v>27</v>
      </c>
      <c r="D2537" s="68"/>
      <c r="E2537" s="68">
        <v>797</v>
      </c>
      <c r="F2537" s="68"/>
      <c r="G2537" s="68">
        <v>797</v>
      </c>
      <c r="H25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38" spans="1:8" hidden="1" x14ac:dyDescent="0.3">
      <c r="A2538" t="s">
        <v>724</v>
      </c>
      <c r="B2538" t="s">
        <v>1063</v>
      </c>
      <c r="C2538" t="s">
        <v>32</v>
      </c>
      <c r="D2538" s="68">
        <v>1</v>
      </c>
      <c r="E2538" s="68"/>
      <c r="F2538" s="68">
        <v>5</v>
      </c>
      <c r="G2538" s="68">
        <v>6</v>
      </c>
      <c r="H25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39" spans="1:8" hidden="1" x14ac:dyDescent="0.3">
      <c r="A2539" t="s">
        <v>1064</v>
      </c>
      <c r="B2539" t="s">
        <v>1065</v>
      </c>
      <c r="C2539" t="s">
        <v>37</v>
      </c>
      <c r="D2539" s="68">
        <v>1795</v>
      </c>
      <c r="E2539" s="68"/>
      <c r="F2539" s="68">
        <v>2465</v>
      </c>
      <c r="G2539" s="68">
        <v>4260</v>
      </c>
      <c r="H25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40" spans="1:8" hidden="1" x14ac:dyDescent="0.3">
      <c r="A2540" t="s">
        <v>1064</v>
      </c>
      <c r="B2540" t="s">
        <v>1065</v>
      </c>
      <c r="C2540" t="s">
        <v>26</v>
      </c>
      <c r="D2540" s="68">
        <v>648</v>
      </c>
      <c r="E2540" s="68"/>
      <c r="F2540" s="68">
        <v>1499</v>
      </c>
      <c r="G2540" s="68">
        <v>2147</v>
      </c>
      <c r="H25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41" spans="1:8" hidden="1" x14ac:dyDescent="0.3">
      <c r="A2541" t="s">
        <v>1064</v>
      </c>
      <c r="B2541" t="s">
        <v>1065</v>
      </c>
      <c r="C2541" t="s">
        <v>36</v>
      </c>
      <c r="D2541" s="68">
        <v>946</v>
      </c>
      <c r="E2541" s="68"/>
      <c r="F2541" s="68">
        <v>396</v>
      </c>
      <c r="G2541" s="68">
        <v>1342</v>
      </c>
      <c r="H25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42" spans="1:8" hidden="1" x14ac:dyDescent="0.3">
      <c r="A2542" t="s">
        <v>1064</v>
      </c>
      <c r="B2542" t="s">
        <v>1065</v>
      </c>
      <c r="C2542" t="s">
        <v>27</v>
      </c>
      <c r="D2542" s="68"/>
      <c r="E2542" s="68">
        <v>781</v>
      </c>
      <c r="F2542" s="68"/>
      <c r="G2542" s="68">
        <v>781</v>
      </c>
      <c r="H25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43" spans="1:8" hidden="1" x14ac:dyDescent="0.3">
      <c r="A2543" t="s">
        <v>1064</v>
      </c>
      <c r="B2543" t="s">
        <v>1065</v>
      </c>
      <c r="C2543" t="s">
        <v>712</v>
      </c>
      <c r="D2543" s="68">
        <v>245</v>
      </c>
      <c r="E2543" s="68"/>
      <c r="F2543" s="68">
        <v>362</v>
      </c>
      <c r="G2543" s="68">
        <v>607</v>
      </c>
      <c r="H25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44" spans="1:8" hidden="1" x14ac:dyDescent="0.3">
      <c r="A2544" t="s">
        <v>1064</v>
      </c>
      <c r="B2544" t="s">
        <v>1065</v>
      </c>
      <c r="C2544" t="s">
        <v>5</v>
      </c>
      <c r="D2544" s="68">
        <v>10</v>
      </c>
      <c r="E2544" s="68"/>
      <c r="F2544" s="68">
        <v>1</v>
      </c>
      <c r="G2544" s="68">
        <v>11</v>
      </c>
      <c r="H25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45" spans="1:8" hidden="1" x14ac:dyDescent="0.3">
      <c r="A2545" t="s">
        <v>1064</v>
      </c>
      <c r="B2545" t="s">
        <v>1066</v>
      </c>
      <c r="C2545" t="s">
        <v>26</v>
      </c>
      <c r="D2545" s="68">
        <v>464</v>
      </c>
      <c r="E2545" s="68"/>
      <c r="F2545" s="68">
        <v>1212</v>
      </c>
      <c r="G2545" s="68">
        <v>1676</v>
      </c>
      <c r="H25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46" spans="1:8" hidden="1" x14ac:dyDescent="0.3">
      <c r="A2546" t="s">
        <v>1064</v>
      </c>
      <c r="B2546" t="s">
        <v>1066</v>
      </c>
      <c r="C2546" t="s">
        <v>5</v>
      </c>
      <c r="D2546" s="68">
        <v>188</v>
      </c>
      <c r="E2546" s="68"/>
      <c r="F2546" s="68">
        <v>1012</v>
      </c>
      <c r="G2546" s="68">
        <v>1200</v>
      </c>
      <c r="H25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47" spans="1:8" hidden="1" x14ac:dyDescent="0.3">
      <c r="A2547" t="s">
        <v>1064</v>
      </c>
      <c r="B2547" t="s">
        <v>1066</v>
      </c>
      <c r="C2547" t="s">
        <v>36</v>
      </c>
      <c r="D2547" s="68">
        <v>39</v>
      </c>
      <c r="E2547" s="68"/>
      <c r="F2547" s="68">
        <v>8</v>
      </c>
      <c r="G2547" s="68">
        <v>47</v>
      </c>
      <c r="H25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48" spans="1:8" hidden="1" x14ac:dyDescent="0.3">
      <c r="A2548" t="s">
        <v>1064</v>
      </c>
      <c r="B2548" t="s">
        <v>1066</v>
      </c>
      <c r="C2548" t="s">
        <v>27</v>
      </c>
      <c r="D2548" s="68"/>
      <c r="E2548" s="68">
        <v>36</v>
      </c>
      <c r="F2548" s="68"/>
      <c r="G2548" s="68">
        <v>36</v>
      </c>
      <c r="H25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49" spans="1:8" hidden="1" x14ac:dyDescent="0.3">
      <c r="A2549" t="s">
        <v>1064</v>
      </c>
      <c r="B2549" t="s">
        <v>1067</v>
      </c>
      <c r="C2549" t="s">
        <v>37</v>
      </c>
      <c r="D2549" s="68">
        <v>1742</v>
      </c>
      <c r="E2549" s="68"/>
      <c r="F2549" s="68">
        <v>2351</v>
      </c>
      <c r="G2549" s="68">
        <v>4093</v>
      </c>
      <c r="H25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50" spans="1:8" hidden="1" x14ac:dyDescent="0.3">
      <c r="A2550" t="s">
        <v>1064</v>
      </c>
      <c r="B2550" t="s">
        <v>1067</v>
      </c>
      <c r="C2550" t="s">
        <v>26</v>
      </c>
      <c r="D2550" s="68">
        <v>930</v>
      </c>
      <c r="E2550" s="68"/>
      <c r="F2550" s="68">
        <v>2429</v>
      </c>
      <c r="G2550" s="68">
        <v>3359</v>
      </c>
      <c r="H25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51" spans="1:8" hidden="1" x14ac:dyDescent="0.3">
      <c r="A2551" t="s">
        <v>1064</v>
      </c>
      <c r="B2551" t="s">
        <v>1067</v>
      </c>
      <c r="C2551" t="s">
        <v>712</v>
      </c>
      <c r="D2551" s="68">
        <v>1514</v>
      </c>
      <c r="E2551" s="68"/>
      <c r="F2551" s="68">
        <v>887</v>
      </c>
      <c r="G2551" s="68">
        <v>2401</v>
      </c>
      <c r="H25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52" spans="1:8" hidden="1" x14ac:dyDescent="0.3">
      <c r="A2552" t="s">
        <v>1064</v>
      </c>
      <c r="B2552" t="s">
        <v>1067</v>
      </c>
      <c r="C2552" t="s">
        <v>27</v>
      </c>
      <c r="D2552" s="68"/>
      <c r="E2552" s="68">
        <v>96</v>
      </c>
      <c r="F2552" s="68"/>
      <c r="G2552" s="68">
        <v>96</v>
      </c>
      <c r="H25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53" spans="1:8" hidden="1" x14ac:dyDescent="0.3">
      <c r="A2553" t="s">
        <v>1064</v>
      </c>
      <c r="B2553" t="s">
        <v>1067</v>
      </c>
      <c r="C2553" t="s">
        <v>36</v>
      </c>
      <c r="D2553" s="68">
        <v>63</v>
      </c>
      <c r="E2553" s="68"/>
      <c r="F2553" s="68">
        <v>22</v>
      </c>
      <c r="G2553" s="68">
        <v>85</v>
      </c>
      <c r="H25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54" spans="1:8" hidden="1" x14ac:dyDescent="0.3">
      <c r="A2554" t="s">
        <v>1064</v>
      </c>
      <c r="B2554" t="s">
        <v>1067</v>
      </c>
      <c r="C2554" t="s">
        <v>5</v>
      </c>
      <c r="D2554" s="68">
        <v>26</v>
      </c>
      <c r="E2554" s="68"/>
      <c r="F2554" s="68">
        <v>1</v>
      </c>
      <c r="G2554" s="68">
        <v>27</v>
      </c>
      <c r="H25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55" spans="1:8" hidden="1" x14ac:dyDescent="0.3">
      <c r="A2555" t="s">
        <v>1064</v>
      </c>
      <c r="B2555" t="s">
        <v>1068</v>
      </c>
      <c r="C2555" t="s">
        <v>37</v>
      </c>
      <c r="D2555" s="68">
        <v>1482</v>
      </c>
      <c r="E2555" s="68"/>
      <c r="F2555" s="68">
        <v>3172</v>
      </c>
      <c r="G2555" s="68">
        <v>4654</v>
      </c>
      <c r="H25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56" spans="1:8" hidden="1" x14ac:dyDescent="0.3">
      <c r="A2556" t="s">
        <v>1064</v>
      </c>
      <c r="B2556" t="s">
        <v>1068</v>
      </c>
      <c r="C2556" t="s">
        <v>26</v>
      </c>
      <c r="D2556" s="68">
        <v>771</v>
      </c>
      <c r="E2556" s="68"/>
      <c r="F2556" s="68">
        <v>2645</v>
      </c>
      <c r="G2556" s="68">
        <v>3416</v>
      </c>
      <c r="H25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57" spans="1:8" hidden="1" x14ac:dyDescent="0.3">
      <c r="A2557" t="s">
        <v>1064</v>
      </c>
      <c r="B2557" t="s">
        <v>1068</v>
      </c>
      <c r="C2557" t="s">
        <v>712</v>
      </c>
      <c r="D2557" s="68">
        <v>334</v>
      </c>
      <c r="E2557" s="68"/>
      <c r="F2557" s="68">
        <v>1128</v>
      </c>
      <c r="G2557" s="68">
        <v>1462</v>
      </c>
      <c r="H25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58" spans="1:8" hidden="1" x14ac:dyDescent="0.3">
      <c r="A2558" t="s">
        <v>1064</v>
      </c>
      <c r="B2558" t="s">
        <v>1068</v>
      </c>
      <c r="C2558" t="s">
        <v>36</v>
      </c>
      <c r="D2558" s="68">
        <v>105</v>
      </c>
      <c r="E2558" s="68"/>
      <c r="F2558" s="68">
        <v>106</v>
      </c>
      <c r="G2558" s="68">
        <v>211</v>
      </c>
      <c r="H25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59" spans="1:8" hidden="1" x14ac:dyDescent="0.3">
      <c r="A2559" t="s">
        <v>1064</v>
      </c>
      <c r="B2559" t="s">
        <v>1068</v>
      </c>
      <c r="C2559" t="s">
        <v>27</v>
      </c>
      <c r="D2559" s="68"/>
      <c r="E2559" s="68">
        <v>143</v>
      </c>
      <c r="F2559" s="68"/>
      <c r="G2559" s="68">
        <v>143</v>
      </c>
      <c r="H25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60" spans="1:8" hidden="1" x14ac:dyDescent="0.3">
      <c r="A2560" t="s">
        <v>1064</v>
      </c>
      <c r="B2560" t="s">
        <v>1068</v>
      </c>
      <c r="C2560" t="s">
        <v>5</v>
      </c>
      <c r="D2560" s="68">
        <v>7</v>
      </c>
      <c r="E2560" s="68"/>
      <c r="F2560" s="68"/>
      <c r="G2560" s="68">
        <v>7</v>
      </c>
      <c r="H25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61" spans="1:8" hidden="1" x14ac:dyDescent="0.3">
      <c r="A2561" t="s">
        <v>1064</v>
      </c>
      <c r="B2561" t="s">
        <v>1068</v>
      </c>
      <c r="C2561" t="s">
        <v>691</v>
      </c>
      <c r="D2561" s="68">
        <v>1</v>
      </c>
      <c r="E2561" s="68"/>
      <c r="F2561" s="68"/>
      <c r="G2561" s="68">
        <v>1</v>
      </c>
      <c r="H25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62" spans="1:8" hidden="1" x14ac:dyDescent="0.3">
      <c r="A2562" t="s">
        <v>1064</v>
      </c>
      <c r="B2562" t="s">
        <v>1069</v>
      </c>
      <c r="C2562" t="s">
        <v>37</v>
      </c>
      <c r="D2562" s="68">
        <v>1589</v>
      </c>
      <c r="E2562" s="68"/>
      <c r="F2562" s="68">
        <v>2317</v>
      </c>
      <c r="G2562" s="68">
        <v>3906</v>
      </c>
      <c r="H25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63" spans="1:8" hidden="1" x14ac:dyDescent="0.3">
      <c r="A2563" t="s">
        <v>1064</v>
      </c>
      <c r="B2563" t="s">
        <v>1069</v>
      </c>
      <c r="C2563" t="s">
        <v>26</v>
      </c>
      <c r="D2563" s="68">
        <v>445</v>
      </c>
      <c r="E2563" s="68"/>
      <c r="F2563" s="68">
        <v>1547</v>
      </c>
      <c r="G2563" s="68">
        <v>1992</v>
      </c>
      <c r="H25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64" spans="1:8" hidden="1" x14ac:dyDescent="0.3">
      <c r="A2564" t="s">
        <v>1064</v>
      </c>
      <c r="B2564" t="s">
        <v>1069</v>
      </c>
      <c r="C2564" t="s">
        <v>36</v>
      </c>
      <c r="D2564" s="68">
        <v>53</v>
      </c>
      <c r="E2564" s="68"/>
      <c r="F2564" s="68">
        <v>28</v>
      </c>
      <c r="G2564" s="68">
        <v>81</v>
      </c>
      <c r="H25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65" spans="1:8" hidden="1" x14ac:dyDescent="0.3">
      <c r="A2565" t="s">
        <v>1064</v>
      </c>
      <c r="B2565" t="s">
        <v>1069</v>
      </c>
      <c r="C2565" t="s">
        <v>27</v>
      </c>
      <c r="D2565" s="68"/>
      <c r="E2565" s="68">
        <v>60</v>
      </c>
      <c r="F2565" s="68"/>
      <c r="G2565" s="68">
        <v>60</v>
      </c>
      <c r="H25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66" spans="1:8" hidden="1" x14ac:dyDescent="0.3">
      <c r="A2566" t="s">
        <v>1064</v>
      </c>
      <c r="B2566" t="s">
        <v>1069</v>
      </c>
      <c r="C2566" t="s">
        <v>5</v>
      </c>
      <c r="D2566" s="68">
        <v>1</v>
      </c>
      <c r="E2566" s="68"/>
      <c r="F2566" s="68">
        <v>1</v>
      </c>
      <c r="G2566" s="68">
        <v>2</v>
      </c>
      <c r="H25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67" spans="1:8" hidden="1" x14ac:dyDescent="0.3">
      <c r="A2567" t="s">
        <v>1064</v>
      </c>
      <c r="B2567" t="s">
        <v>1070</v>
      </c>
      <c r="C2567" t="s">
        <v>37</v>
      </c>
      <c r="D2567" s="68">
        <v>1273</v>
      </c>
      <c r="E2567" s="68"/>
      <c r="F2567" s="68">
        <v>2767</v>
      </c>
      <c r="G2567" s="68">
        <v>4040</v>
      </c>
      <c r="H25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68" spans="1:8" hidden="1" x14ac:dyDescent="0.3">
      <c r="A2568" t="s">
        <v>1064</v>
      </c>
      <c r="B2568" t="s">
        <v>1070</v>
      </c>
      <c r="C2568" t="s">
        <v>26</v>
      </c>
      <c r="D2568" s="68">
        <v>876</v>
      </c>
      <c r="E2568" s="68"/>
      <c r="F2568" s="68">
        <v>2427</v>
      </c>
      <c r="G2568" s="68">
        <v>3303</v>
      </c>
      <c r="H25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69" spans="1:8" hidden="1" x14ac:dyDescent="0.3">
      <c r="A2569" t="s">
        <v>1064</v>
      </c>
      <c r="B2569" t="s">
        <v>1070</v>
      </c>
      <c r="C2569" t="s">
        <v>36</v>
      </c>
      <c r="D2569" s="68">
        <v>104</v>
      </c>
      <c r="E2569" s="68"/>
      <c r="F2569" s="68">
        <v>314</v>
      </c>
      <c r="G2569" s="68">
        <v>418</v>
      </c>
      <c r="H25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70" spans="1:8" hidden="1" x14ac:dyDescent="0.3">
      <c r="A2570" t="s">
        <v>1064</v>
      </c>
      <c r="B2570" t="s">
        <v>1070</v>
      </c>
      <c r="C2570" t="s">
        <v>27</v>
      </c>
      <c r="D2570" s="68"/>
      <c r="E2570" s="68">
        <v>116</v>
      </c>
      <c r="F2570" s="68"/>
      <c r="G2570" s="68">
        <v>116</v>
      </c>
      <c r="H25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71" spans="1:8" hidden="1" x14ac:dyDescent="0.3">
      <c r="A2571" t="s">
        <v>1064</v>
      </c>
      <c r="B2571" t="s">
        <v>1070</v>
      </c>
      <c r="C2571" t="s">
        <v>5</v>
      </c>
      <c r="D2571" s="68">
        <v>15</v>
      </c>
      <c r="E2571" s="68"/>
      <c r="F2571" s="68">
        <v>18</v>
      </c>
      <c r="G2571" s="68">
        <v>33</v>
      </c>
      <c r="H25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72" spans="1:8" hidden="1" x14ac:dyDescent="0.3">
      <c r="A2572" t="s">
        <v>1064</v>
      </c>
      <c r="B2572" t="s">
        <v>1071</v>
      </c>
      <c r="C2572" t="s">
        <v>36</v>
      </c>
      <c r="D2572" s="68">
        <v>61</v>
      </c>
      <c r="E2572" s="68"/>
      <c r="F2572" s="68">
        <v>591</v>
      </c>
      <c r="G2572" s="68">
        <v>652</v>
      </c>
      <c r="H25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73" spans="1:8" hidden="1" x14ac:dyDescent="0.3">
      <c r="A2573" t="s">
        <v>1064</v>
      </c>
      <c r="B2573" t="s">
        <v>1071</v>
      </c>
      <c r="C2573" t="s">
        <v>26</v>
      </c>
      <c r="D2573" s="68">
        <v>85</v>
      </c>
      <c r="E2573" s="68"/>
      <c r="F2573" s="68">
        <v>335</v>
      </c>
      <c r="G2573" s="68">
        <v>420</v>
      </c>
      <c r="H25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74" spans="1:8" hidden="1" x14ac:dyDescent="0.3">
      <c r="A2574" t="s">
        <v>1064</v>
      </c>
      <c r="B2574" t="s">
        <v>1071</v>
      </c>
      <c r="C2574" t="s">
        <v>27</v>
      </c>
      <c r="D2574" s="68"/>
      <c r="E2574" s="68">
        <v>26</v>
      </c>
      <c r="F2574" s="68"/>
      <c r="G2574" s="68">
        <v>26</v>
      </c>
      <c r="H25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75" spans="1:8" hidden="1" x14ac:dyDescent="0.3">
      <c r="A2575" t="s">
        <v>1064</v>
      </c>
      <c r="B2575" t="s">
        <v>1072</v>
      </c>
      <c r="C2575" t="s">
        <v>5</v>
      </c>
      <c r="D2575" s="68">
        <v>89</v>
      </c>
      <c r="E2575" s="68"/>
      <c r="F2575" s="68">
        <v>875</v>
      </c>
      <c r="G2575" s="68">
        <v>964</v>
      </c>
      <c r="H25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76" spans="1:8" hidden="1" x14ac:dyDescent="0.3">
      <c r="A2576" t="s">
        <v>1064</v>
      </c>
      <c r="B2576" t="s">
        <v>1072</v>
      </c>
      <c r="C2576" t="s">
        <v>26</v>
      </c>
      <c r="D2576" s="68">
        <v>89</v>
      </c>
      <c r="E2576" s="68"/>
      <c r="F2576" s="68">
        <v>201</v>
      </c>
      <c r="G2576" s="68">
        <v>290</v>
      </c>
      <c r="H25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77" spans="1:8" hidden="1" x14ac:dyDescent="0.3">
      <c r="A2577" t="s">
        <v>1064</v>
      </c>
      <c r="B2577" t="s">
        <v>1072</v>
      </c>
      <c r="C2577" t="s">
        <v>27</v>
      </c>
      <c r="D2577" s="68"/>
      <c r="E2577" s="68">
        <v>27</v>
      </c>
      <c r="F2577" s="68"/>
      <c r="G2577" s="68">
        <v>27</v>
      </c>
      <c r="H25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78" spans="1:8" hidden="1" x14ac:dyDescent="0.3">
      <c r="A2578" t="s">
        <v>1064</v>
      </c>
      <c r="B2578" t="s">
        <v>1072</v>
      </c>
      <c r="C2578" t="s">
        <v>36</v>
      </c>
      <c r="D2578" s="68">
        <v>4</v>
      </c>
      <c r="E2578" s="68"/>
      <c r="F2578" s="68">
        <v>12</v>
      </c>
      <c r="G2578" s="68">
        <v>16</v>
      </c>
      <c r="H25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79" spans="1:8" hidden="1" x14ac:dyDescent="0.3">
      <c r="A2579" t="s">
        <v>1064</v>
      </c>
      <c r="B2579" t="s">
        <v>1073</v>
      </c>
      <c r="C2579" t="s">
        <v>37</v>
      </c>
      <c r="D2579" s="68">
        <v>1708</v>
      </c>
      <c r="E2579" s="68"/>
      <c r="F2579" s="68">
        <v>1016</v>
      </c>
      <c r="G2579" s="68">
        <v>2724</v>
      </c>
      <c r="H25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80" spans="1:8" hidden="1" x14ac:dyDescent="0.3">
      <c r="A2580" t="s">
        <v>1064</v>
      </c>
      <c r="B2580" t="s">
        <v>1073</v>
      </c>
      <c r="C2580" t="s">
        <v>26</v>
      </c>
      <c r="D2580" s="68">
        <v>914</v>
      </c>
      <c r="E2580" s="68"/>
      <c r="F2580" s="68">
        <v>729</v>
      </c>
      <c r="G2580" s="68">
        <v>1643</v>
      </c>
      <c r="H25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81" spans="1:8" hidden="1" x14ac:dyDescent="0.3">
      <c r="A2581" t="s">
        <v>1064</v>
      </c>
      <c r="B2581" t="s">
        <v>1073</v>
      </c>
      <c r="C2581" t="s">
        <v>712</v>
      </c>
      <c r="D2581" s="68">
        <v>400</v>
      </c>
      <c r="E2581" s="68"/>
      <c r="F2581" s="68">
        <v>217</v>
      </c>
      <c r="G2581" s="68">
        <v>617</v>
      </c>
      <c r="H25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82" spans="1:8" hidden="1" x14ac:dyDescent="0.3">
      <c r="A2582" t="s">
        <v>1064</v>
      </c>
      <c r="B2582" t="s">
        <v>1073</v>
      </c>
      <c r="C2582" t="s">
        <v>36</v>
      </c>
      <c r="D2582" s="68">
        <v>104</v>
      </c>
      <c r="E2582" s="68"/>
      <c r="F2582" s="68">
        <v>26</v>
      </c>
      <c r="G2582" s="68">
        <v>130</v>
      </c>
      <c r="H25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83" spans="1:8" hidden="1" x14ac:dyDescent="0.3">
      <c r="A2583" t="s">
        <v>1064</v>
      </c>
      <c r="B2583" t="s">
        <v>1073</v>
      </c>
      <c r="C2583" t="s">
        <v>27</v>
      </c>
      <c r="D2583" s="68"/>
      <c r="E2583" s="68">
        <v>50</v>
      </c>
      <c r="F2583" s="68"/>
      <c r="G2583" s="68">
        <v>50</v>
      </c>
      <c r="H25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84" spans="1:8" hidden="1" x14ac:dyDescent="0.3">
      <c r="A2584" t="s">
        <v>1064</v>
      </c>
      <c r="B2584" t="s">
        <v>1073</v>
      </c>
      <c r="C2584" t="s">
        <v>5</v>
      </c>
      <c r="D2584" s="68">
        <v>1</v>
      </c>
      <c r="E2584" s="68"/>
      <c r="F2584" s="68">
        <v>1</v>
      </c>
      <c r="G2584" s="68">
        <v>2</v>
      </c>
      <c r="H25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85" spans="1:8" hidden="1" x14ac:dyDescent="0.3">
      <c r="A2585" t="s">
        <v>1064</v>
      </c>
      <c r="B2585" t="s">
        <v>1074</v>
      </c>
      <c r="C2585" t="s">
        <v>5</v>
      </c>
      <c r="D2585" s="68">
        <v>182</v>
      </c>
      <c r="E2585" s="68"/>
      <c r="F2585" s="68">
        <v>2612</v>
      </c>
      <c r="G2585" s="68">
        <v>2794</v>
      </c>
      <c r="H25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86" spans="1:8" hidden="1" x14ac:dyDescent="0.3">
      <c r="A2586" t="s">
        <v>1064</v>
      </c>
      <c r="B2586" t="s">
        <v>1074</v>
      </c>
      <c r="C2586" t="s">
        <v>26</v>
      </c>
      <c r="D2586" s="68">
        <v>109</v>
      </c>
      <c r="E2586" s="68"/>
      <c r="F2586" s="68">
        <v>231</v>
      </c>
      <c r="G2586" s="68">
        <v>340</v>
      </c>
      <c r="H25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87" spans="1:8" hidden="1" x14ac:dyDescent="0.3">
      <c r="A2587" t="s">
        <v>1064</v>
      </c>
      <c r="B2587" t="s">
        <v>1074</v>
      </c>
      <c r="C2587" t="s">
        <v>36</v>
      </c>
      <c r="D2587" s="68">
        <v>18</v>
      </c>
      <c r="E2587" s="68"/>
      <c r="F2587" s="68">
        <v>56</v>
      </c>
      <c r="G2587" s="68">
        <v>74</v>
      </c>
      <c r="H25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88" spans="1:8" hidden="1" x14ac:dyDescent="0.3">
      <c r="A2588" t="s">
        <v>1064</v>
      </c>
      <c r="B2588" t="s">
        <v>1074</v>
      </c>
      <c r="C2588" t="s">
        <v>27</v>
      </c>
      <c r="D2588" s="68"/>
      <c r="E2588" s="68">
        <v>40</v>
      </c>
      <c r="F2588" s="68"/>
      <c r="G2588" s="68">
        <v>40</v>
      </c>
      <c r="H25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89" spans="1:8" hidden="1" x14ac:dyDescent="0.3">
      <c r="A2589" t="s">
        <v>1064</v>
      </c>
      <c r="B2589" t="s">
        <v>1075</v>
      </c>
      <c r="C2589" t="s">
        <v>37</v>
      </c>
      <c r="D2589" s="68">
        <v>1176</v>
      </c>
      <c r="E2589" s="68"/>
      <c r="F2589" s="68">
        <v>2800</v>
      </c>
      <c r="G2589" s="68">
        <v>3976</v>
      </c>
      <c r="H25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90" spans="1:8" hidden="1" x14ac:dyDescent="0.3">
      <c r="A2590" t="s">
        <v>1064</v>
      </c>
      <c r="B2590" t="s">
        <v>1075</v>
      </c>
      <c r="C2590" t="s">
        <v>26</v>
      </c>
      <c r="D2590" s="68">
        <v>691</v>
      </c>
      <c r="E2590" s="68"/>
      <c r="F2590" s="68">
        <v>2839</v>
      </c>
      <c r="G2590" s="68">
        <v>3530</v>
      </c>
      <c r="H25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91" spans="1:8" hidden="1" x14ac:dyDescent="0.3">
      <c r="A2591" t="s">
        <v>1064</v>
      </c>
      <c r="B2591" t="s">
        <v>1075</v>
      </c>
      <c r="C2591" t="s">
        <v>27</v>
      </c>
      <c r="D2591" s="68"/>
      <c r="E2591" s="68">
        <v>70</v>
      </c>
      <c r="F2591" s="68"/>
      <c r="G2591" s="68">
        <v>70</v>
      </c>
      <c r="H25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92" spans="1:8" hidden="1" x14ac:dyDescent="0.3">
      <c r="A2592" t="s">
        <v>1064</v>
      </c>
      <c r="B2592" t="s">
        <v>1075</v>
      </c>
      <c r="C2592" t="s">
        <v>36</v>
      </c>
      <c r="D2592" s="68">
        <v>53</v>
      </c>
      <c r="E2592" s="68"/>
      <c r="F2592" s="68">
        <v>17</v>
      </c>
      <c r="G2592" s="68">
        <v>70</v>
      </c>
      <c r="H25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93" spans="1:8" hidden="1" x14ac:dyDescent="0.3">
      <c r="A2593" t="s">
        <v>1064</v>
      </c>
      <c r="B2593" t="s">
        <v>1075</v>
      </c>
      <c r="C2593" t="s">
        <v>35</v>
      </c>
      <c r="D2593" s="68">
        <v>9</v>
      </c>
      <c r="E2593" s="68"/>
      <c r="F2593" s="68"/>
      <c r="G2593" s="68">
        <v>9</v>
      </c>
      <c r="H25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94" spans="1:8" hidden="1" x14ac:dyDescent="0.3">
      <c r="A2594" t="s">
        <v>1064</v>
      </c>
      <c r="B2594" t="s">
        <v>1075</v>
      </c>
      <c r="C2594" t="s">
        <v>5</v>
      </c>
      <c r="D2594" s="68">
        <v>6</v>
      </c>
      <c r="E2594" s="68"/>
      <c r="F2594" s="68">
        <v>1</v>
      </c>
      <c r="G2594" s="68">
        <v>7</v>
      </c>
      <c r="H25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95" spans="1:8" hidden="1" x14ac:dyDescent="0.3">
      <c r="A2595" t="s">
        <v>1064</v>
      </c>
      <c r="B2595" t="s">
        <v>1076</v>
      </c>
      <c r="C2595" t="s">
        <v>37</v>
      </c>
      <c r="D2595" s="68">
        <v>23288</v>
      </c>
      <c r="E2595" s="68"/>
      <c r="F2595" s="68">
        <v>6271</v>
      </c>
      <c r="G2595" s="68">
        <v>29559</v>
      </c>
      <c r="H25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96" spans="1:8" hidden="1" x14ac:dyDescent="0.3">
      <c r="A2596" t="s">
        <v>1064</v>
      </c>
      <c r="B2596" t="s">
        <v>1076</v>
      </c>
      <c r="C2596" t="s">
        <v>5</v>
      </c>
      <c r="D2596" s="68">
        <v>17025</v>
      </c>
      <c r="E2596" s="68"/>
      <c r="F2596" s="68">
        <v>2308</v>
      </c>
      <c r="G2596" s="68">
        <v>19333</v>
      </c>
      <c r="H25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97" spans="1:8" hidden="1" x14ac:dyDescent="0.3">
      <c r="A2597" t="s">
        <v>1064</v>
      </c>
      <c r="B2597" t="s">
        <v>1076</v>
      </c>
      <c r="C2597" t="s">
        <v>712</v>
      </c>
      <c r="D2597" s="68">
        <v>12457</v>
      </c>
      <c r="E2597" s="68"/>
      <c r="F2597" s="68">
        <v>2259</v>
      </c>
      <c r="G2597" s="68">
        <v>14716</v>
      </c>
      <c r="H25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98" spans="1:8" hidden="1" x14ac:dyDescent="0.3">
      <c r="A2598" t="s">
        <v>1064</v>
      </c>
      <c r="B2598" t="s">
        <v>1076</v>
      </c>
      <c r="C2598" t="s">
        <v>26</v>
      </c>
      <c r="D2598" s="68">
        <v>7594</v>
      </c>
      <c r="E2598" s="68"/>
      <c r="F2598" s="68">
        <v>4343</v>
      </c>
      <c r="G2598" s="68">
        <v>11937</v>
      </c>
      <c r="H25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99" spans="1:8" hidden="1" x14ac:dyDescent="0.3">
      <c r="A2599" t="s">
        <v>1064</v>
      </c>
      <c r="B2599" t="s">
        <v>1076</v>
      </c>
      <c r="C2599" t="s">
        <v>36</v>
      </c>
      <c r="D2599" s="68">
        <v>1240</v>
      </c>
      <c r="E2599" s="68"/>
      <c r="F2599" s="68">
        <v>419</v>
      </c>
      <c r="G2599" s="68">
        <v>1659</v>
      </c>
      <c r="H25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00" spans="1:8" hidden="1" x14ac:dyDescent="0.3">
      <c r="A2600" t="s">
        <v>1064</v>
      </c>
      <c r="B2600" t="s">
        <v>1076</v>
      </c>
      <c r="C2600" t="s">
        <v>27</v>
      </c>
      <c r="D2600" s="68"/>
      <c r="E2600" s="68">
        <v>458</v>
      </c>
      <c r="F2600" s="68"/>
      <c r="G2600" s="68">
        <v>458</v>
      </c>
      <c r="H26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01" spans="1:8" hidden="1" x14ac:dyDescent="0.3">
      <c r="A2601" t="s">
        <v>1064</v>
      </c>
      <c r="B2601" t="s">
        <v>1076</v>
      </c>
      <c r="C2601" t="s">
        <v>1077</v>
      </c>
      <c r="D2601" s="68">
        <v>1</v>
      </c>
      <c r="E2601" s="68"/>
      <c r="F2601" s="68"/>
      <c r="G2601" s="68">
        <v>1</v>
      </c>
      <c r="H26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02" spans="1:8" hidden="1" x14ac:dyDescent="0.3">
      <c r="A2602" t="s">
        <v>1064</v>
      </c>
      <c r="B2602" t="s">
        <v>1078</v>
      </c>
      <c r="C2602" t="s">
        <v>36</v>
      </c>
      <c r="D2602" s="68">
        <v>410</v>
      </c>
      <c r="E2602" s="68"/>
      <c r="F2602" s="68">
        <v>5251</v>
      </c>
      <c r="G2602" s="68">
        <v>5661</v>
      </c>
      <c r="H26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03" spans="1:8" hidden="1" x14ac:dyDescent="0.3">
      <c r="A2603" t="s">
        <v>1064</v>
      </c>
      <c r="B2603" t="s">
        <v>1078</v>
      </c>
      <c r="C2603" t="s">
        <v>26</v>
      </c>
      <c r="D2603" s="68">
        <v>336</v>
      </c>
      <c r="E2603" s="68"/>
      <c r="F2603" s="68">
        <v>2360</v>
      </c>
      <c r="G2603" s="68">
        <v>2696</v>
      </c>
      <c r="H26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04" spans="1:8" hidden="1" x14ac:dyDescent="0.3">
      <c r="A2604" t="s">
        <v>1064</v>
      </c>
      <c r="B2604" t="s">
        <v>1078</v>
      </c>
      <c r="C2604" t="s">
        <v>27</v>
      </c>
      <c r="D2604" s="68"/>
      <c r="E2604" s="68">
        <v>186</v>
      </c>
      <c r="F2604" s="68"/>
      <c r="G2604" s="68">
        <v>186</v>
      </c>
      <c r="H26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05" spans="1:8" hidden="1" x14ac:dyDescent="0.3">
      <c r="A2605" t="s">
        <v>1064</v>
      </c>
      <c r="B2605" t="s">
        <v>1078</v>
      </c>
      <c r="C2605" t="s">
        <v>5</v>
      </c>
      <c r="D2605" s="68">
        <v>2</v>
      </c>
      <c r="E2605" s="68"/>
      <c r="F2605" s="68">
        <v>2</v>
      </c>
      <c r="G2605" s="68">
        <v>4</v>
      </c>
      <c r="H26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06" spans="1:8" hidden="1" x14ac:dyDescent="0.3">
      <c r="A2606" t="s">
        <v>1064</v>
      </c>
      <c r="B2606" t="s">
        <v>1079</v>
      </c>
      <c r="C2606" t="s">
        <v>37</v>
      </c>
      <c r="D2606" s="68">
        <v>3226</v>
      </c>
      <c r="E2606" s="68"/>
      <c r="F2606" s="68">
        <v>6112</v>
      </c>
      <c r="G2606" s="68">
        <v>9338</v>
      </c>
      <c r="H26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07" spans="1:8" hidden="1" x14ac:dyDescent="0.3">
      <c r="A2607" t="s">
        <v>1064</v>
      </c>
      <c r="B2607" t="s">
        <v>1079</v>
      </c>
      <c r="C2607" t="s">
        <v>26</v>
      </c>
      <c r="D2607" s="68">
        <v>1447</v>
      </c>
      <c r="E2607" s="68"/>
      <c r="F2607" s="68">
        <v>4030</v>
      </c>
      <c r="G2607" s="68">
        <v>5477</v>
      </c>
      <c r="H26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08" spans="1:8" hidden="1" x14ac:dyDescent="0.3">
      <c r="A2608" t="s">
        <v>1064</v>
      </c>
      <c r="B2608" t="s">
        <v>1079</v>
      </c>
      <c r="C2608" t="s">
        <v>712</v>
      </c>
      <c r="D2608" s="68">
        <v>528</v>
      </c>
      <c r="E2608" s="68"/>
      <c r="F2608" s="68">
        <v>1579</v>
      </c>
      <c r="G2608" s="68">
        <v>2107</v>
      </c>
      <c r="H26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09" spans="1:8" hidden="1" x14ac:dyDescent="0.3">
      <c r="A2609" t="s">
        <v>1064</v>
      </c>
      <c r="B2609" t="s">
        <v>1079</v>
      </c>
      <c r="C2609" t="s">
        <v>27</v>
      </c>
      <c r="D2609" s="68"/>
      <c r="E2609" s="68">
        <v>656</v>
      </c>
      <c r="F2609" s="68"/>
      <c r="G2609" s="68">
        <v>656</v>
      </c>
      <c r="H26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10" spans="1:8" hidden="1" x14ac:dyDescent="0.3">
      <c r="A2610" t="s">
        <v>1064</v>
      </c>
      <c r="B2610" t="s">
        <v>1079</v>
      </c>
      <c r="C2610" t="s">
        <v>36</v>
      </c>
      <c r="D2610" s="68">
        <v>140</v>
      </c>
      <c r="E2610" s="68"/>
      <c r="F2610" s="68">
        <v>76</v>
      </c>
      <c r="G2610" s="68">
        <v>216</v>
      </c>
      <c r="H26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11" spans="1:8" hidden="1" x14ac:dyDescent="0.3">
      <c r="A2611" t="s">
        <v>1064</v>
      </c>
      <c r="B2611" t="s">
        <v>1079</v>
      </c>
      <c r="C2611" t="s">
        <v>5</v>
      </c>
      <c r="D2611" s="68">
        <v>23</v>
      </c>
      <c r="E2611" s="68"/>
      <c r="F2611" s="68">
        <v>3</v>
      </c>
      <c r="G2611" s="68">
        <v>26</v>
      </c>
      <c r="H26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12" spans="1:8" hidden="1" x14ac:dyDescent="0.3">
      <c r="A2612" t="s">
        <v>1064</v>
      </c>
      <c r="B2612" t="s">
        <v>1080</v>
      </c>
      <c r="C2612" t="s">
        <v>37</v>
      </c>
      <c r="D2612" s="68">
        <v>817</v>
      </c>
      <c r="E2612" s="68"/>
      <c r="F2612" s="68">
        <v>2771</v>
      </c>
      <c r="G2612" s="68">
        <v>3588</v>
      </c>
      <c r="H26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13" spans="1:8" hidden="1" x14ac:dyDescent="0.3">
      <c r="A2613" t="s">
        <v>1064</v>
      </c>
      <c r="B2613" t="s">
        <v>1080</v>
      </c>
      <c r="C2613" t="s">
        <v>26</v>
      </c>
      <c r="D2613" s="68">
        <v>408</v>
      </c>
      <c r="E2613" s="68"/>
      <c r="F2613" s="68">
        <v>2078</v>
      </c>
      <c r="G2613" s="68">
        <v>2486</v>
      </c>
      <c r="H26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14" spans="1:8" hidden="1" x14ac:dyDescent="0.3">
      <c r="A2614" t="s">
        <v>1064</v>
      </c>
      <c r="B2614" t="s">
        <v>1080</v>
      </c>
      <c r="C2614" t="s">
        <v>27</v>
      </c>
      <c r="D2614" s="68"/>
      <c r="E2614" s="68">
        <v>93</v>
      </c>
      <c r="F2614" s="68"/>
      <c r="G2614" s="68">
        <v>93</v>
      </c>
      <c r="H26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15" spans="1:8" hidden="1" x14ac:dyDescent="0.3">
      <c r="A2615" t="s">
        <v>1064</v>
      </c>
      <c r="B2615" t="s">
        <v>1080</v>
      </c>
      <c r="C2615" t="s">
        <v>36</v>
      </c>
      <c r="D2615" s="68">
        <v>6</v>
      </c>
      <c r="E2615" s="68"/>
      <c r="F2615" s="68">
        <v>2</v>
      </c>
      <c r="G2615" s="68">
        <v>8</v>
      </c>
      <c r="H26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16" spans="1:8" hidden="1" x14ac:dyDescent="0.3">
      <c r="A2616" t="s">
        <v>1064</v>
      </c>
      <c r="B2616" t="s">
        <v>1081</v>
      </c>
      <c r="C2616" t="s">
        <v>36</v>
      </c>
      <c r="D2616" s="68">
        <v>174</v>
      </c>
      <c r="E2616" s="68"/>
      <c r="F2616" s="68">
        <v>1698</v>
      </c>
      <c r="G2616" s="68">
        <v>1872</v>
      </c>
      <c r="H26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17" spans="1:8" hidden="1" x14ac:dyDescent="0.3">
      <c r="A2617" t="s">
        <v>1064</v>
      </c>
      <c r="B2617" t="s">
        <v>1081</v>
      </c>
      <c r="C2617" t="s">
        <v>26</v>
      </c>
      <c r="D2617" s="68">
        <v>93</v>
      </c>
      <c r="E2617" s="68"/>
      <c r="F2617" s="68">
        <v>181</v>
      </c>
      <c r="G2617" s="68">
        <v>274</v>
      </c>
      <c r="H26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18" spans="1:8" hidden="1" x14ac:dyDescent="0.3">
      <c r="A2618" t="s">
        <v>1064</v>
      </c>
      <c r="B2618" t="s">
        <v>1081</v>
      </c>
      <c r="C2618" t="s">
        <v>27</v>
      </c>
      <c r="D2618" s="68"/>
      <c r="E2618" s="68">
        <v>31</v>
      </c>
      <c r="F2618" s="68"/>
      <c r="G2618" s="68">
        <v>31</v>
      </c>
      <c r="H26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19" spans="1:8" hidden="1" x14ac:dyDescent="0.3">
      <c r="A2619" t="s">
        <v>1064</v>
      </c>
      <c r="B2619" t="s">
        <v>1081</v>
      </c>
      <c r="C2619" t="s">
        <v>5</v>
      </c>
      <c r="D2619" s="68">
        <v>2</v>
      </c>
      <c r="E2619" s="68"/>
      <c r="F2619" s="68"/>
      <c r="G2619" s="68">
        <v>2</v>
      </c>
      <c r="H26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20" spans="1:8" hidden="1" x14ac:dyDescent="0.3">
      <c r="A2620" t="s">
        <v>1064</v>
      </c>
      <c r="B2620" t="s">
        <v>1082</v>
      </c>
      <c r="C2620" t="s">
        <v>5</v>
      </c>
      <c r="D2620" s="68">
        <v>65635</v>
      </c>
      <c r="E2620" s="68"/>
      <c r="F2620" s="68">
        <v>5059</v>
      </c>
      <c r="G2620" s="68">
        <v>70694</v>
      </c>
      <c r="H26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21" spans="1:8" hidden="1" x14ac:dyDescent="0.3">
      <c r="A2621" t="s">
        <v>1064</v>
      </c>
      <c r="B2621" t="s">
        <v>1082</v>
      </c>
      <c r="C2621" t="s">
        <v>712</v>
      </c>
      <c r="D2621" s="68">
        <v>26413</v>
      </c>
      <c r="E2621" s="68"/>
      <c r="F2621" s="68">
        <v>4235</v>
      </c>
      <c r="G2621" s="68">
        <v>30648</v>
      </c>
      <c r="H26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22" spans="1:8" hidden="1" x14ac:dyDescent="0.3">
      <c r="A2622" t="s">
        <v>1064</v>
      </c>
      <c r="B2622" t="s">
        <v>1082</v>
      </c>
      <c r="C2622" t="s">
        <v>36</v>
      </c>
      <c r="D2622" s="68">
        <v>24272</v>
      </c>
      <c r="E2622" s="68"/>
      <c r="F2622" s="68">
        <v>4945</v>
      </c>
      <c r="G2622" s="68">
        <v>29217</v>
      </c>
      <c r="H26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23" spans="1:8" hidden="1" x14ac:dyDescent="0.3">
      <c r="A2623" t="s">
        <v>1064</v>
      </c>
      <c r="B2623" t="s">
        <v>1082</v>
      </c>
      <c r="C2623" t="s">
        <v>37</v>
      </c>
      <c r="D2623" s="68">
        <v>17063</v>
      </c>
      <c r="E2623" s="68"/>
      <c r="F2623" s="68">
        <v>5408</v>
      </c>
      <c r="G2623" s="68">
        <v>22471</v>
      </c>
      <c r="H26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24" spans="1:8" hidden="1" x14ac:dyDescent="0.3">
      <c r="A2624" t="s">
        <v>1064</v>
      </c>
      <c r="B2624" t="s">
        <v>1082</v>
      </c>
      <c r="C2624" t="s">
        <v>26</v>
      </c>
      <c r="D2624" s="68">
        <v>11616</v>
      </c>
      <c r="E2624" s="68"/>
      <c r="F2624" s="68">
        <v>6006</v>
      </c>
      <c r="G2624" s="68">
        <v>17622</v>
      </c>
      <c r="H26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25" spans="1:8" hidden="1" x14ac:dyDescent="0.3">
      <c r="A2625" t="s">
        <v>1064</v>
      </c>
      <c r="B2625" t="s">
        <v>1082</v>
      </c>
      <c r="C2625" t="s">
        <v>34</v>
      </c>
      <c r="D2625" s="68">
        <v>12468</v>
      </c>
      <c r="E2625" s="68"/>
      <c r="F2625" s="68">
        <v>1806</v>
      </c>
      <c r="G2625" s="68">
        <v>14274</v>
      </c>
      <c r="H26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26" spans="1:8" hidden="1" x14ac:dyDescent="0.3">
      <c r="A2626" t="s">
        <v>1064</v>
      </c>
      <c r="B2626" t="s">
        <v>1082</v>
      </c>
      <c r="C2626" t="s">
        <v>27</v>
      </c>
      <c r="D2626" s="68"/>
      <c r="E2626" s="68">
        <v>1726</v>
      </c>
      <c r="F2626" s="68"/>
      <c r="G2626" s="68">
        <v>1726</v>
      </c>
      <c r="H26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27" spans="1:8" hidden="1" x14ac:dyDescent="0.3">
      <c r="A2627" t="s">
        <v>1064</v>
      </c>
      <c r="B2627" t="s">
        <v>1082</v>
      </c>
      <c r="C2627" t="s">
        <v>31</v>
      </c>
      <c r="D2627" s="68">
        <v>196</v>
      </c>
      <c r="E2627" s="68"/>
      <c r="F2627" s="68">
        <v>890</v>
      </c>
      <c r="G2627" s="68">
        <v>1086</v>
      </c>
      <c r="H26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28" spans="1:8" hidden="1" x14ac:dyDescent="0.3">
      <c r="A2628" t="s">
        <v>1064</v>
      </c>
      <c r="B2628" t="s">
        <v>1082</v>
      </c>
      <c r="C2628" t="s">
        <v>1077</v>
      </c>
      <c r="D2628" s="68">
        <v>2</v>
      </c>
      <c r="E2628" s="68"/>
      <c r="F2628" s="68"/>
      <c r="G2628" s="68">
        <v>2</v>
      </c>
      <c r="H26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29" spans="1:8" hidden="1" x14ac:dyDescent="0.3">
      <c r="A2629" t="s">
        <v>1064</v>
      </c>
      <c r="B2629" t="s">
        <v>1082</v>
      </c>
      <c r="C2629" t="s">
        <v>588</v>
      </c>
      <c r="D2629" s="68"/>
      <c r="E2629" s="68"/>
      <c r="F2629" s="68">
        <v>1</v>
      </c>
      <c r="G2629" s="68">
        <v>1</v>
      </c>
      <c r="H26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30" spans="1:8" hidden="1" x14ac:dyDescent="0.3">
      <c r="A2630" t="s">
        <v>1064</v>
      </c>
      <c r="B2630" t="s">
        <v>1083</v>
      </c>
      <c r="C2630" t="s">
        <v>37</v>
      </c>
      <c r="D2630" s="68">
        <v>1154</v>
      </c>
      <c r="E2630" s="68"/>
      <c r="F2630" s="68">
        <v>3156</v>
      </c>
      <c r="G2630" s="68">
        <v>4310</v>
      </c>
      <c r="H26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31" spans="1:8" hidden="1" x14ac:dyDescent="0.3">
      <c r="A2631" t="s">
        <v>1064</v>
      </c>
      <c r="B2631" t="s">
        <v>1083</v>
      </c>
      <c r="C2631" t="s">
        <v>26</v>
      </c>
      <c r="D2631" s="68">
        <v>573</v>
      </c>
      <c r="E2631" s="68"/>
      <c r="F2631" s="68">
        <v>2412</v>
      </c>
      <c r="G2631" s="68">
        <v>2985</v>
      </c>
      <c r="H26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32" spans="1:8" hidden="1" x14ac:dyDescent="0.3">
      <c r="A2632" t="s">
        <v>1064</v>
      </c>
      <c r="B2632" t="s">
        <v>1083</v>
      </c>
      <c r="C2632" t="s">
        <v>36</v>
      </c>
      <c r="D2632" s="68">
        <v>91</v>
      </c>
      <c r="E2632" s="68"/>
      <c r="F2632" s="68">
        <v>21</v>
      </c>
      <c r="G2632" s="68">
        <v>112</v>
      </c>
      <c r="H26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33" spans="1:8" hidden="1" x14ac:dyDescent="0.3">
      <c r="A2633" t="s">
        <v>1064</v>
      </c>
      <c r="B2633" t="s">
        <v>1083</v>
      </c>
      <c r="C2633" t="s">
        <v>27</v>
      </c>
      <c r="D2633" s="68"/>
      <c r="E2633" s="68">
        <v>93</v>
      </c>
      <c r="F2633" s="68"/>
      <c r="G2633" s="68">
        <v>93</v>
      </c>
      <c r="H26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34" spans="1:8" hidden="1" x14ac:dyDescent="0.3">
      <c r="A2634" t="s">
        <v>1064</v>
      </c>
      <c r="B2634" t="s">
        <v>1083</v>
      </c>
      <c r="C2634" t="s">
        <v>5</v>
      </c>
      <c r="D2634" s="68">
        <v>3</v>
      </c>
      <c r="E2634" s="68"/>
      <c r="F2634" s="68"/>
      <c r="G2634" s="68">
        <v>3</v>
      </c>
      <c r="H26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35" spans="1:8" hidden="1" x14ac:dyDescent="0.3">
      <c r="A2635" t="s">
        <v>1064</v>
      </c>
      <c r="B2635" t="s">
        <v>1084</v>
      </c>
      <c r="C2635" t="s">
        <v>37</v>
      </c>
      <c r="D2635" s="68">
        <v>804</v>
      </c>
      <c r="E2635" s="68"/>
      <c r="F2635" s="68">
        <v>1823</v>
      </c>
      <c r="G2635" s="68">
        <v>2627</v>
      </c>
      <c r="H26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36" spans="1:8" hidden="1" x14ac:dyDescent="0.3">
      <c r="A2636" t="s">
        <v>1064</v>
      </c>
      <c r="B2636" t="s">
        <v>1084</v>
      </c>
      <c r="C2636" t="s">
        <v>26</v>
      </c>
      <c r="D2636" s="68">
        <v>510</v>
      </c>
      <c r="E2636" s="68"/>
      <c r="F2636" s="68">
        <v>1923</v>
      </c>
      <c r="G2636" s="68">
        <v>2433</v>
      </c>
      <c r="H26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37" spans="1:8" hidden="1" x14ac:dyDescent="0.3">
      <c r="A2637" t="s">
        <v>1064</v>
      </c>
      <c r="B2637" t="s">
        <v>1084</v>
      </c>
      <c r="C2637" t="s">
        <v>712</v>
      </c>
      <c r="D2637" s="68">
        <v>567</v>
      </c>
      <c r="E2637" s="68"/>
      <c r="F2637" s="68">
        <v>1381</v>
      </c>
      <c r="G2637" s="68">
        <v>1948</v>
      </c>
      <c r="H26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38" spans="1:8" hidden="1" x14ac:dyDescent="0.3">
      <c r="A2638" t="s">
        <v>1064</v>
      </c>
      <c r="B2638" t="s">
        <v>1084</v>
      </c>
      <c r="C2638" t="s">
        <v>27</v>
      </c>
      <c r="D2638" s="68"/>
      <c r="E2638" s="68">
        <v>176</v>
      </c>
      <c r="F2638" s="68"/>
      <c r="G2638" s="68">
        <v>176</v>
      </c>
      <c r="H26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39" spans="1:8" hidden="1" x14ac:dyDescent="0.3">
      <c r="A2639" t="s">
        <v>1064</v>
      </c>
      <c r="B2639" t="s">
        <v>1084</v>
      </c>
      <c r="C2639" t="s">
        <v>5</v>
      </c>
      <c r="D2639" s="68">
        <v>12</v>
      </c>
      <c r="E2639" s="68"/>
      <c r="F2639" s="68">
        <v>1</v>
      </c>
      <c r="G2639" s="68">
        <v>13</v>
      </c>
      <c r="H26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40" spans="1:8" hidden="1" x14ac:dyDescent="0.3">
      <c r="A2640" t="s">
        <v>1064</v>
      </c>
      <c r="B2640" t="s">
        <v>1085</v>
      </c>
      <c r="C2640" t="s">
        <v>37</v>
      </c>
      <c r="D2640" s="68">
        <v>4125</v>
      </c>
      <c r="E2640" s="68"/>
      <c r="F2640" s="68">
        <v>4990</v>
      </c>
      <c r="G2640" s="68">
        <v>9115</v>
      </c>
      <c r="H26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41" spans="1:8" hidden="1" x14ac:dyDescent="0.3">
      <c r="A2641" t="s">
        <v>1064</v>
      </c>
      <c r="B2641" t="s">
        <v>1085</v>
      </c>
      <c r="C2641" t="s">
        <v>26</v>
      </c>
      <c r="D2641" s="68">
        <v>3902</v>
      </c>
      <c r="E2641" s="68"/>
      <c r="F2641" s="68">
        <v>5038</v>
      </c>
      <c r="G2641" s="68">
        <v>8940</v>
      </c>
      <c r="H26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42" spans="1:8" hidden="1" x14ac:dyDescent="0.3">
      <c r="A2642" t="s">
        <v>1064</v>
      </c>
      <c r="B2642" t="s">
        <v>1085</v>
      </c>
      <c r="C2642" t="s">
        <v>712</v>
      </c>
      <c r="D2642" s="68">
        <v>700</v>
      </c>
      <c r="E2642" s="68"/>
      <c r="F2642" s="68">
        <v>1471</v>
      </c>
      <c r="G2642" s="68">
        <v>2171</v>
      </c>
      <c r="H26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43" spans="1:8" hidden="1" x14ac:dyDescent="0.3">
      <c r="A2643" t="s">
        <v>1064</v>
      </c>
      <c r="B2643" t="s">
        <v>1085</v>
      </c>
      <c r="C2643" t="s">
        <v>27</v>
      </c>
      <c r="D2643" s="68"/>
      <c r="E2643" s="68">
        <v>707</v>
      </c>
      <c r="F2643" s="68"/>
      <c r="G2643" s="68">
        <v>707</v>
      </c>
      <c r="H26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44" spans="1:8" hidden="1" x14ac:dyDescent="0.3">
      <c r="A2644" t="s">
        <v>1064</v>
      </c>
      <c r="B2644" t="s">
        <v>1085</v>
      </c>
      <c r="C2644" t="s">
        <v>36</v>
      </c>
      <c r="D2644" s="68">
        <v>75</v>
      </c>
      <c r="E2644" s="68"/>
      <c r="F2644" s="68">
        <v>9</v>
      </c>
      <c r="G2644" s="68">
        <v>84</v>
      </c>
      <c r="H26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45" spans="1:8" hidden="1" x14ac:dyDescent="0.3">
      <c r="A2645" t="s">
        <v>1064</v>
      </c>
      <c r="B2645" t="s">
        <v>1085</v>
      </c>
      <c r="C2645" t="s">
        <v>35</v>
      </c>
      <c r="D2645" s="68">
        <v>46</v>
      </c>
      <c r="E2645" s="68"/>
      <c r="F2645" s="68"/>
      <c r="G2645" s="68">
        <v>46</v>
      </c>
      <c r="H26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46" spans="1:8" hidden="1" x14ac:dyDescent="0.3">
      <c r="A2646" t="s">
        <v>1064</v>
      </c>
      <c r="B2646" t="s">
        <v>1085</v>
      </c>
      <c r="C2646" t="s">
        <v>5</v>
      </c>
      <c r="D2646" s="68">
        <v>18</v>
      </c>
      <c r="E2646" s="68"/>
      <c r="F2646" s="68"/>
      <c r="G2646" s="68">
        <v>18</v>
      </c>
      <c r="H26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47" spans="1:8" hidden="1" x14ac:dyDescent="0.3">
      <c r="A2647" t="s">
        <v>1064</v>
      </c>
      <c r="B2647" t="s">
        <v>1086</v>
      </c>
      <c r="C2647" t="s">
        <v>37</v>
      </c>
      <c r="D2647" s="68">
        <v>2359</v>
      </c>
      <c r="E2647" s="68"/>
      <c r="F2647" s="68">
        <v>1938</v>
      </c>
      <c r="G2647" s="68">
        <v>4297</v>
      </c>
      <c r="H26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48" spans="1:8" hidden="1" x14ac:dyDescent="0.3">
      <c r="A2648" t="s">
        <v>1064</v>
      </c>
      <c r="B2648" t="s">
        <v>1086</v>
      </c>
      <c r="C2648" t="s">
        <v>26</v>
      </c>
      <c r="D2648" s="68">
        <v>1735</v>
      </c>
      <c r="E2648" s="68"/>
      <c r="F2648" s="68">
        <v>1683</v>
      </c>
      <c r="G2648" s="68">
        <v>3418</v>
      </c>
      <c r="H26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49" spans="1:8" hidden="1" x14ac:dyDescent="0.3">
      <c r="A2649" t="s">
        <v>1064</v>
      </c>
      <c r="B2649" t="s">
        <v>1086</v>
      </c>
      <c r="C2649" t="s">
        <v>712</v>
      </c>
      <c r="D2649" s="68">
        <v>1823</v>
      </c>
      <c r="E2649" s="68"/>
      <c r="F2649" s="68">
        <v>908</v>
      </c>
      <c r="G2649" s="68">
        <v>2731</v>
      </c>
      <c r="H26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50" spans="1:8" hidden="1" x14ac:dyDescent="0.3">
      <c r="A2650" t="s">
        <v>1064</v>
      </c>
      <c r="B2650" t="s">
        <v>1086</v>
      </c>
      <c r="C2650" t="s">
        <v>36</v>
      </c>
      <c r="D2650" s="68">
        <v>292</v>
      </c>
      <c r="E2650" s="68"/>
      <c r="F2650" s="68">
        <v>267</v>
      </c>
      <c r="G2650" s="68">
        <v>559</v>
      </c>
      <c r="H26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51" spans="1:8" hidden="1" x14ac:dyDescent="0.3">
      <c r="A2651" t="s">
        <v>1064</v>
      </c>
      <c r="B2651" t="s">
        <v>1086</v>
      </c>
      <c r="C2651" t="s">
        <v>27</v>
      </c>
      <c r="D2651" s="68"/>
      <c r="E2651" s="68">
        <v>101</v>
      </c>
      <c r="F2651" s="68"/>
      <c r="G2651" s="68">
        <v>101</v>
      </c>
      <c r="H26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52" spans="1:8" hidden="1" x14ac:dyDescent="0.3">
      <c r="A2652" t="s">
        <v>1064</v>
      </c>
      <c r="B2652" t="s">
        <v>1086</v>
      </c>
      <c r="C2652" t="s">
        <v>5</v>
      </c>
      <c r="D2652" s="68">
        <v>6</v>
      </c>
      <c r="E2652" s="68"/>
      <c r="F2652" s="68">
        <v>2</v>
      </c>
      <c r="G2652" s="68">
        <v>8</v>
      </c>
      <c r="H26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53" spans="1:8" hidden="1" x14ac:dyDescent="0.3">
      <c r="A2653" t="s">
        <v>1064</v>
      </c>
      <c r="B2653" t="s">
        <v>1086</v>
      </c>
      <c r="C2653" t="s">
        <v>30</v>
      </c>
      <c r="D2653" s="68"/>
      <c r="E2653" s="68"/>
      <c r="F2653" s="68">
        <v>1</v>
      </c>
      <c r="G2653" s="68">
        <v>1</v>
      </c>
      <c r="H26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54" spans="1:8" hidden="1" x14ac:dyDescent="0.3">
      <c r="A2654" t="s">
        <v>1064</v>
      </c>
      <c r="B2654" t="s">
        <v>1087</v>
      </c>
      <c r="C2654" t="s">
        <v>5</v>
      </c>
      <c r="D2654" s="68">
        <v>5792</v>
      </c>
      <c r="E2654" s="68"/>
      <c r="F2654" s="68">
        <v>1188</v>
      </c>
      <c r="G2654" s="68">
        <v>6980</v>
      </c>
      <c r="H26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55" spans="1:8" hidden="1" x14ac:dyDescent="0.3">
      <c r="A2655" t="s">
        <v>1064</v>
      </c>
      <c r="B2655" t="s">
        <v>1087</v>
      </c>
      <c r="C2655" t="s">
        <v>37</v>
      </c>
      <c r="D2655" s="68">
        <v>3990</v>
      </c>
      <c r="E2655" s="68"/>
      <c r="F2655" s="68">
        <v>2117</v>
      </c>
      <c r="G2655" s="68">
        <v>6107</v>
      </c>
      <c r="H26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56" spans="1:8" hidden="1" x14ac:dyDescent="0.3">
      <c r="A2656" t="s">
        <v>1064</v>
      </c>
      <c r="B2656" t="s">
        <v>1087</v>
      </c>
      <c r="C2656" t="s">
        <v>712</v>
      </c>
      <c r="D2656" s="68">
        <v>4262</v>
      </c>
      <c r="E2656" s="68"/>
      <c r="F2656" s="68">
        <v>1376</v>
      </c>
      <c r="G2656" s="68">
        <v>5638</v>
      </c>
      <c r="H26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57" spans="1:8" hidden="1" x14ac:dyDescent="0.3">
      <c r="A2657" t="s">
        <v>1064</v>
      </c>
      <c r="B2657" t="s">
        <v>1087</v>
      </c>
      <c r="C2657" t="s">
        <v>26</v>
      </c>
      <c r="D2657" s="68">
        <v>1562</v>
      </c>
      <c r="E2657" s="68"/>
      <c r="F2657" s="68">
        <v>1924</v>
      </c>
      <c r="G2657" s="68">
        <v>3486</v>
      </c>
      <c r="H26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58" spans="1:8" hidden="1" x14ac:dyDescent="0.3">
      <c r="A2658" t="s">
        <v>1064</v>
      </c>
      <c r="B2658" t="s">
        <v>1087</v>
      </c>
      <c r="C2658" t="s">
        <v>36</v>
      </c>
      <c r="D2658" s="68">
        <v>1204</v>
      </c>
      <c r="E2658" s="68"/>
      <c r="F2658" s="68">
        <v>425</v>
      </c>
      <c r="G2658" s="68">
        <v>1629</v>
      </c>
      <c r="H26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59" spans="1:8" hidden="1" x14ac:dyDescent="0.3">
      <c r="A2659" t="s">
        <v>1064</v>
      </c>
      <c r="B2659" t="s">
        <v>1087</v>
      </c>
      <c r="C2659" t="s">
        <v>27</v>
      </c>
      <c r="D2659" s="68"/>
      <c r="E2659" s="68">
        <v>152</v>
      </c>
      <c r="F2659" s="68"/>
      <c r="G2659" s="68">
        <v>152</v>
      </c>
      <c r="H26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60" spans="1:8" hidden="1" x14ac:dyDescent="0.3">
      <c r="A2660" t="s">
        <v>1064</v>
      </c>
      <c r="B2660" t="s">
        <v>1088</v>
      </c>
      <c r="C2660" t="s">
        <v>26</v>
      </c>
      <c r="D2660" s="68">
        <v>2494</v>
      </c>
      <c r="E2660" s="68"/>
      <c r="F2660" s="68">
        <v>1519</v>
      </c>
      <c r="G2660" s="68">
        <v>4013</v>
      </c>
      <c r="H26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61" spans="1:8" hidden="1" x14ac:dyDescent="0.3">
      <c r="A2661" t="s">
        <v>1064</v>
      </c>
      <c r="B2661" t="s">
        <v>1088</v>
      </c>
      <c r="C2661" t="s">
        <v>37</v>
      </c>
      <c r="D2661" s="68">
        <v>540</v>
      </c>
      <c r="E2661" s="68"/>
      <c r="F2661" s="68">
        <v>659</v>
      </c>
      <c r="G2661" s="68">
        <v>1199</v>
      </c>
      <c r="H26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62" spans="1:8" hidden="1" x14ac:dyDescent="0.3">
      <c r="A2662" t="s">
        <v>1064</v>
      </c>
      <c r="B2662" t="s">
        <v>1088</v>
      </c>
      <c r="C2662" t="s">
        <v>27</v>
      </c>
      <c r="D2662" s="68"/>
      <c r="E2662" s="68">
        <v>62</v>
      </c>
      <c r="F2662" s="68"/>
      <c r="G2662" s="68">
        <v>62</v>
      </c>
      <c r="H26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63" spans="1:8" hidden="1" x14ac:dyDescent="0.3">
      <c r="A2663" t="s">
        <v>1064</v>
      </c>
      <c r="B2663" t="s">
        <v>1088</v>
      </c>
      <c r="C2663" t="s">
        <v>36</v>
      </c>
      <c r="D2663" s="68">
        <v>8</v>
      </c>
      <c r="E2663" s="68"/>
      <c r="F2663" s="68">
        <v>12</v>
      </c>
      <c r="G2663" s="68">
        <v>20</v>
      </c>
      <c r="H26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64" spans="1:8" hidden="1" x14ac:dyDescent="0.3">
      <c r="A2664" t="s">
        <v>1064</v>
      </c>
      <c r="B2664" t="s">
        <v>1088</v>
      </c>
      <c r="C2664" t="s">
        <v>5</v>
      </c>
      <c r="D2664" s="68">
        <v>5</v>
      </c>
      <c r="E2664" s="68"/>
      <c r="F2664" s="68"/>
      <c r="G2664" s="68">
        <v>5</v>
      </c>
      <c r="H26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65" spans="1:8" hidden="1" x14ac:dyDescent="0.3">
      <c r="A2665" t="s">
        <v>1064</v>
      </c>
      <c r="B2665" t="s">
        <v>1089</v>
      </c>
      <c r="C2665" t="s">
        <v>26</v>
      </c>
      <c r="D2665" s="68">
        <v>1626</v>
      </c>
      <c r="E2665" s="68"/>
      <c r="F2665" s="68">
        <v>5238</v>
      </c>
      <c r="G2665" s="68">
        <v>6864</v>
      </c>
      <c r="H26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66" spans="1:8" hidden="1" x14ac:dyDescent="0.3">
      <c r="A2666" t="s">
        <v>1064</v>
      </c>
      <c r="B2666" t="s">
        <v>1089</v>
      </c>
      <c r="C2666" t="s">
        <v>37</v>
      </c>
      <c r="D2666" s="68">
        <v>2214</v>
      </c>
      <c r="E2666" s="68"/>
      <c r="F2666" s="68">
        <v>4205</v>
      </c>
      <c r="G2666" s="68">
        <v>6419</v>
      </c>
      <c r="H26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67" spans="1:8" hidden="1" x14ac:dyDescent="0.3">
      <c r="A2667" t="s">
        <v>1064</v>
      </c>
      <c r="B2667" t="s">
        <v>1089</v>
      </c>
      <c r="C2667" t="s">
        <v>712</v>
      </c>
      <c r="D2667" s="68">
        <v>2298</v>
      </c>
      <c r="E2667" s="68"/>
      <c r="F2667" s="68">
        <v>3361</v>
      </c>
      <c r="G2667" s="68">
        <v>5659</v>
      </c>
      <c r="H26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68" spans="1:8" hidden="1" x14ac:dyDescent="0.3">
      <c r="A2668" t="s">
        <v>1064</v>
      </c>
      <c r="B2668" t="s">
        <v>1089</v>
      </c>
      <c r="C2668" t="s">
        <v>27</v>
      </c>
      <c r="D2668" s="68"/>
      <c r="E2668" s="68">
        <v>371</v>
      </c>
      <c r="F2668" s="68"/>
      <c r="G2668" s="68">
        <v>371</v>
      </c>
      <c r="H26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69" spans="1:8" hidden="1" x14ac:dyDescent="0.3">
      <c r="A2669" t="s">
        <v>1064</v>
      </c>
      <c r="B2669" t="s">
        <v>1089</v>
      </c>
      <c r="C2669" t="s">
        <v>36</v>
      </c>
      <c r="D2669" s="68">
        <v>141</v>
      </c>
      <c r="E2669" s="68"/>
      <c r="F2669" s="68">
        <v>75</v>
      </c>
      <c r="G2669" s="68">
        <v>216</v>
      </c>
      <c r="H26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70" spans="1:8" hidden="1" x14ac:dyDescent="0.3">
      <c r="A2670" t="s">
        <v>1064</v>
      </c>
      <c r="B2670" t="s">
        <v>1089</v>
      </c>
      <c r="C2670" t="s">
        <v>5</v>
      </c>
      <c r="D2670" s="68">
        <v>11</v>
      </c>
      <c r="E2670" s="68"/>
      <c r="F2670" s="68">
        <v>1</v>
      </c>
      <c r="G2670" s="68">
        <v>12</v>
      </c>
      <c r="H26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1" spans="1:8" hidden="1" x14ac:dyDescent="0.3">
      <c r="A2671" t="s">
        <v>1064</v>
      </c>
      <c r="B2671" t="s">
        <v>1089</v>
      </c>
      <c r="C2671" t="s">
        <v>31</v>
      </c>
      <c r="D2671" s="68">
        <v>1</v>
      </c>
      <c r="E2671" s="68"/>
      <c r="F2671" s="68"/>
      <c r="G2671" s="68">
        <v>1</v>
      </c>
      <c r="H26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2" spans="1:8" hidden="1" x14ac:dyDescent="0.3">
      <c r="A2672" t="s">
        <v>1064</v>
      </c>
      <c r="B2672" t="s">
        <v>727</v>
      </c>
      <c r="C2672" t="s">
        <v>37</v>
      </c>
      <c r="D2672" s="68">
        <v>221</v>
      </c>
      <c r="E2672" s="68"/>
      <c r="F2672" s="68">
        <v>1297</v>
      </c>
      <c r="G2672" s="68">
        <v>1518</v>
      </c>
      <c r="H26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3" spans="1:8" hidden="1" x14ac:dyDescent="0.3">
      <c r="A2673" t="s">
        <v>1064</v>
      </c>
      <c r="B2673" t="s">
        <v>727</v>
      </c>
      <c r="C2673" t="s">
        <v>26</v>
      </c>
      <c r="D2673" s="68">
        <v>136</v>
      </c>
      <c r="E2673" s="68"/>
      <c r="F2673" s="68">
        <v>1092</v>
      </c>
      <c r="G2673" s="68">
        <v>1228</v>
      </c>
      <c r="H26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4" spans="1:8" hidden="1" x14ac:dyDescent="0.3">
      <c r="A2674" t="s">
        <v>1064</v>
      </c>
      <c r="B2674" t="s">
        <v>727</v>
      </c>
      <c r="C2674" t="s">
        <v>27</v>
      </c>
      <c r="D2674" s="68"/>
      <c r="E2674" s="68">
        <v>66</v>
      </c>
      <c r="F2674" s="68"/>
      <c r="G2674" s="68">
        <v>66</v>
      </c>
      <c r="H26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75" spans="1:8" hidden="1" x14ac:dyDescent="0.3">
      <c r="A2675" t="s">
        <v>1064</v>
      </c>
      <c r="B2675" t="s">
        <v>727</v>
      </c>
      <c r="C2675" t="s">
        <v>36</v>
      </c>
      <c r="D2675" s="68">
        <v>3</v>
      </c>
      <c r="E2675" s="68"/>
      <c r="F2675" s="68">
        <v>6</v>
      </c>
      <c r="G2675" s="68">
        <v>9</v>
      </c>
      <c r="H26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76" spans="1:8" hidden="1" x14ac:dyDescent="0.3">
      <c r="A2676" t="s">
        <v>1064</v>
      </c>
      <c r="B2676" t="s">
        <v>727</v>
      </c>
      <c r="C2676" t="s">
        <v>5</v>
      </c>
      <c r="D2676" s="68">
        <v>1</v>
      </c>
      <c r="E2676" s="68"/>
      <c r="F2676" s="68">
        <v>2</v>
      </c>
      <c r="G2676" s="68">
        <v>3</v>
      </c>
      <c r="H26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7" spans="1:8" hidden="1" x14ac:dyDescent="0.3">
      <c r="A2677" t="s">
        <v>1064</v>
      </c>
      <c r="B2677" t="s">
        <v>1090</v>
      </c>
      <c r="C2677" t="s">
        <v>37</v>
      </c>
      <c r="D2677" s="68">
        <v>11729</v>
      </c>
      <c r="E2677" s="68"/>
      <c r="F2677" s="68">
        <v>4786</v>
      </c>
      <c r="G2677" s="68">
        <v>16515</v>
      </c>
      <c r="H26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8" spans="1:8" hidden="1" x14ac:dyDescent="0.3">
      <c r="A2678" t="s">
        <v>1064</v>
      </c>
      <c r="B2678" t="s">
        <v>1090</v>
      </c>
      <c r="C2678" t="s">
        <v>26</v>
      </c>
      <c r="D2678" s="68">
        <v>3856</v>
      </c>
      <c r="E2678" s="68"/>
      <c r="F2678" s="68">
        <v>2979</v>
      </c>
      <c r="G2678" s="68">
        <v>6835</v>
      </c>
      <c r="H26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9" spans="1:8" hidden="1" x14ac:dyDescent="0.3">
      <c r="A2679" t="s">
        <v>1064</v>
      </c>
      <c r="B2679" t="s">
        <v>1090</v>
      </c>
      <c r="C2679" t="s">
        <v>36</v>
      </c>
      <c r="D2679" s="68">
        <v>1332</v>
      </c>
      <c r="E2679" s="68"/>
      <c r="F2679" s="68">
        <v>202</v>
      </c>
      <c r="G2679" s="68">
        <v>1534</v>
      </c>
      <c r="H26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80" spans="1:8" hidden="1" x14ac:dyDescent="0.3">
      <c r="A2680" t="s">
        <v>1064</v>
      </c>
      <c r="B2680" t="s">
        <v>1090</v>
      </c>
      <c r="C2680" t="s">
        <v>27</v>
      </c>
      <c r="D2680" s="68"/>
      <c r="E2680" s="68">
        <v>87</v>
      </c>
      <c r="F2680" s="68"/>
      <c r="G2680" s="68">
        <v>87</v>
      </c>
      <c r="H26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81" spans="1:8" hidden="1" x14ac:dyDescent="0.3">
      <c r="A2681" t="s">
        <v>1064</v>
      </c>
      <c r="B2681" t="s">
        <v>1090</v>
      </c>
      <c r="C2681" t="s">
        <v>5</v>
      </c>
      <c r="D2681" s="68">
        <v>50</v>
      </c>
      <c r="E2681" s="68"/>
      <c r="F2681" s="68">
        <v>8</v>
      </c>
      <c r="G2681" s="68">
        <v>58</v>
      </c>
      <c r="H26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82" spans="1:8" hidden="1" x14ac:dyDescent="0.3">
      <c r="A2682" t="s">
        <v>1064</v>
      </c>
      <c r="B2682" t="s">
        <v>1091</v>
      </c>
      <c r="C2682" t="s">
        <v>37</v>
      </c>
      <c r="D2682" s="68">
        <v>40990</v>
      </c>
      <c r="E2682" s="68"/>
      <c r="F2682" s="68">
        <v>14453</v>
      </c>
      <c r="G2682" s="68">
        <v>55443</v>
      </c>
      <c r="H26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83" spans="1:8" hidden="1" x14ac:dyDescent="0.3">
      <c r="A2683" t="s">
        <v>1064</v>
      </c>
      <c r="B2683" t="s">
        <v>1091</v>
      </c>
      <c r="C2683" t="s">
        <v>36</v>
      </c>
      <c r="D2683" s="68">
        <v>31087</v>
      </c>
      <c r="E2683" s="68"/>
      <c r="F2683" s="68">
        <v>7285</v>
      </c>
      <c r="G2683" s="68">
        <v>38372</v>
      </c>
      <c r="H26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84" spans="1:8" hidden="1" x14ac:dyDescent="0.3">
      <c r="A2684" t="s">
        <v>1064</v>
      </c>
      <c r="B2684" t="s">
        <v>1091</v>
      </c>
      <c r="C2684" t="s">
        <v>26</v>
      </c>
      <c r="D2684" s="68">
        <v>17715</v>
      </c>
      <c r="E2684" s="68"/>
      <c r="F2684" s="68">
        <v>10868</v>
      </c>
      <c r="G2684" s="68">
        <v>28583</v>
      </c>
      <c r="H26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85" spans="1:8" hidden="1" x14ac:dyDescent="0.3">
      <c r="A2685" t="s">
        <v>1064</v>
      </c>
      <c r="B2685" t="s">
        <v>1091</v>
      </c>
      <c r="C2685" t="s">
        <v>712</v>
      </c>
      <c r="D2685" s="68">
        <v>18590</v>
      </c>
      <c r="E2685" s="68"/>
      <c r="F2685" s="68">
        <v>4696</v>
      </c>
      <c r="G2685" s="68">
        <v>23286</v>
      </c>
      <c r="H26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86" spans="1:8" hidden="1" x14ac:dyDescent="0.3">
      <c r="A2686" t="s">
        <v>1064</v>
      </c>
      <c r="B2686" t="s">
        <v>1091</v>
      </c>
      <c r="C2686" t="s">
        <v>5</v>
      </c>
      <c r="D2686" s="68">
        <v>14257</v>
      </c>
      <c r="E2686" s="68"/>
      <c r="F2686" s="68">
        <v>3642</v>
      </c>
      <c r="G2686" s="68">
        <v>17899</v>
      </c>
      <c r="H26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87" spans="1:8" hidden="1" x14ac:dyDescent="0.3">
      <c r="A2687" t="s">
        <v>1064</v>
      </c>
      <c r="B2687" t="s">
        <v>1091</v>
      </c>
      <c r="C2687" t="s">
        <v>27</v>
      </c>
      <c r="D2687" s="68"/>
      <c r="E2687" s="68">
        <v>3011</v>
      </c>
      <c r="F2687" s="68"/>
      <c r="G2687" s="68">
        <v>3011</v>
      </c>
      <c r="H26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88" spans="1:8" hidden="1" x14ac:dyDescent="0.3">
      <c r="A2688" t="s">
        <v>1064</v>
      </c>
      <c r="B2688" t="s">
        <v>1091</v>
      </c>
      <c r="C2688" t="s">
        <v>31</v>
      </c>
      <c r="D2688" s="68">
        <v>157</v>
      </c>
      <c r="E2688" s="68"/>
      <c r="F2688" s="68">
        <v>1232</v>
      </c>
      <c r="G2688" s="68">
        <v>1389</v>
      </c>
      <c r="H26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89" spans="1:8" hidden="1" x14ac:dyDescent="0.3">
      <c r="A2689" t="s">
        <v>1064</v>
      </c>
      <c r="B2689" t="s">
        <v>1091</v>
      </c>
      <c r="C2689" t="s">
        <v>35</v>
      </c>
      <c r="D2689" s="68">
        <v>703</v>
      </c>
      <c r="E2689" s="68"/>
      <c r="F2689" s="68"/>
      <c r="G2689" s="68">
        <v>703</v>
      </c>
      <c r="H26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0" spans="1:8" hidden="1" x14ac:dyDescent="0.3">
      <c r="A2690" t="s">
        <v>1064</v>
      </c>
      <c r="B2690" t="s">
        <v>1091</v>
      </c>
      <c r="C2690" t="s">
        <v>1077</v>
      </c>
      <c r="D2690" s="68">
        <v>1</v>
      </c>
      <c r="E2690" s="68"/>
      <c r="F2690" s="68"/>
      <c r="G2690" s="68">
        <v>1</v>
      </c>
      <c r="H26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1" spans="1:8" hidden="1" x14ac:dyDescent="0.3">
      <c r="A2691" t="s">
        <v>1064</v>
      </c>
      <c r="B2691" t="s">
        <v>1091</v>
      </c>
      <c r="C2691" t="s">
        <v>537</v>
      </c>
      <c r="D2691" s="68"/>
      <c r="E2691" s="68"/>
      <c r="F2691" s="68">
        <v>1</v>
      </c>
      <c r="G2691" s="68">
        <v>1</v>
      </c>
      <c r="H26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2" spans="1:8" hidden="1" x14ac:dyDescent="0.3">
      <c r="A2692" t="s">
        <v>1064</v>
      </c>
      <c r="B2692" t="s">
        <v>1092</v>
      </c>
      <c r="C2692" t="s">
        <v>37</v>
      </c>
      <c r="D2692" s="68">
        <v>1356</v>
      </c>
      <c r="E2692" s="68"/>
      <c r="F2692" s="68">
        <v>2983</v>
      </c>
      <c r="G2692" s="68">
        <v>4339</v>
      </c>
      <c r="H26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93" spans="1:8" hidden="1" x14ac:dyDescent="0.3">
      <c r="A2693" t="s">
        <v>1064</v>
      </c>
      <c r="B2693" t="s">
        <v>1092</v>
      </c>
      <c r="C2693" t="s">
        <v>26</v>
      </c>
      <c r="D2693" s="68">
        <v>1103</v>
      </c>
      <c r="E2693" s="68"/>
      <c r="F2693" s="68">
        <v>2905</v>
      </c>
      <c r="G2693" s="68">
        <v>4008</v>
      </c>
      <c r="H26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94" spans="1:8" hidden="1" x14ac:dyDescent="0.3">
      <c r="A2694" t="s">
        <v>1064</v>
      </c>
      <c r="B2694" t="s">
        <v>1092</v>
      </c>
      <c r="C2694" t="s">
        <v>712</v>
      </c>
      <c r="D2694" s="68">
        <v>425</v>
      </c>
      <c r="E2694" s="68"/>
      <c r="F2694" s="68">
        <v>1309</v>
      </c>
      <c r="G2694" s="68">
        <v>1734</v>
      </c>
      <c r="H26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5" spans="1:8" hidden="1" x14ac:dyDescent="0.3">
      <c r="A2695" t="s">
        <v>1064</v>
      </c>
      <c r="B2695" t="s">
        <v>1092</v>
      </c>
      <c r="C2695" t="s">
        <v>27</v>
      </c>
      <c r="D2695" s="68"/>
      <c r="E2695" s="68">
        <v>196</v>
      </c>
      <c r="F2695" s="68"/>
      <c r="G2695" s="68">
        <v>196</v>
      </c>
      <c r="H26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6" spans="1:8" hidden="1" x14ac:dyDescent="0.3">
      <c r="A2696" t="s">
        <v>1064</v>
      </c>
      <c r="B2696" t="s">
        <v>1092</v>
      </c>
      <c r="C2696" t="s">
        <v>5</v>
      </c>
      <c r="D2696" s="68"/>
      <c r="E2696" s="68"/>
      <c r="F2696" s="68">
        <v>2</v>
      </c>
      <c r="G2696" s="68">
        <v>2</v>
      </c>
      <c r="H26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97" spans="1:8" hidden="1" x14ac:dyDescent="0.3">
      <c r="A2697" t="s">
        <v>1064</v>
      </c>
      <c r="B2697" t="s">
        <v>1092</v>
      </c>
      <c r="C2697" t="s">
        <v>1077</v>
      </c>
      <c r="D2697" s="68">
        <v>1</v>
      </c>
      <c r="E2697" s="68"/>
      <c r="F2697" s="68"/>
      <c r="G2697" s="68">
        <v>1</v>
      </c>
      <c r="H26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8" spans="1:8" hidden="1" x14ac:dyDescent="0.3">
      <c r="A2698" t="s">
        <v>1064</v>
      </c>
      <c r="B2698" t="s">
        <v>1093</v>
      </c>
      <c r="C2698" t="s">
        <v>37</v>
      </c>
      <c r="D2698" s="68">
        <v>494</v>
      </c>
      <c r="E2698" s="68"/>
      <c r="F2698" s="68">
        <v>2962</v>
      </c>
      <c r="G2698" s="68">
        <v>3456</v>
      </c>
      <c r="H26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99" spans="1:8" hidden="1" x14ac:dyDescent="0.3">
      <c r="A2699" t="s">
        <v>1064</v>
      </c>
      <c r="B2699" t="s">
        <v>1093</v>
      </c>
      <c r="C2699" t="s">
        <v>26</v>
      </c>
      <c r="D2699" s="68">
        <v>159</v>
      </c>
      <c r="E2699" s="68"/>
      <c r="F2699" s="68">
        <v>1606</v>
      </c>
      <c r="G2699" s="68">
        <v>1765</v>
      </c>
      <c r="H26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00" spans="1:8" hidden="1" x14ac:dyDescent="0.3">
      <c r="A2700" t="s">
        <v>1064</v>
      </c>
      <c r="B2700" t="s">
        <v>1093</v>
      </c>
      <c r="C2700" t="s">
        <v>27</v>
      </c>
      <c r="D2700" s="68"/>
      <c r="E2700" s="68">
        <v>87</v>
      </c>
      <c r="F2700" s="68"/>
      <c r="G2700" s="68">
        <v>87</v>
      </c>
      <c r="H27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01" spans="1:8" hidden="1" x14ac:dyDescent="0.3">
      <c r="A2701" t="s">
        <v>1064</v>
      </c>
      <c r="B2701" t="s">
        <v>1093</v>
      </c>
      <c r="C2701" t="s">
        <v>5</v>
      </c>
      <c r="D2701" s="68">
        <v>1</v>
      </c>
      <c r="E2701" s="68"/>
      <c r="F2701" s="68">
        <v>1</v>
      </c>
      <c r="G2701" s="68">
        <v>2</v>
      </c>
      <c r="H27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02" spans="1:8" hidden="1" x14ac:dyDescent="0.3">
      <c r="A2702" t="s">
        <v>1064</v>
      </c>
      <c r="B2702" t="s">
        <v>1093</v>
      </c>
      <c r="C2702" t="s">
        <v>34</v>
      </c>
      <c r="D2702" s="68">
        <v>1</v>
      </c>
      <c r="E2702" s="68"/>
      <c r="F2702" s="68"/>
      <c r="G2702" s="68">
        <v>1</v>
      </c>
      <c r="H27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03" spans="1:8" hidden="1" x14ac:dyDescent="0.3">
      <c r="A2703" t="s">
        <v>1064</v>
      </c>
      <c r="B2703" t="s">
        <v>1094</v>
      </c>
      <c r="C2703" t="s">
        <v>37</v>
      </c>
      <c r="D2703" s="68">
        <v>49640</v>
      </c>
      <c r="E2703" s="68"/>
      <c r="F2703" s="68">
        <v>11040</v>
      </c>
      <c r="G2703" s="68">
        <v>60680</v>
      </c>
      <c r="H27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04" spans="1:8" hidden="1" x14ac:dyDescent="0.3">
      <c r="A2704" t="s">
        <v>1064</v>
      </c>
      <c r="B2704" t="s">
        <v>1094</v>
      </c>
      <c r="C2704" t="s">
        <v>26</v>
      </c>
      <c r="D2704" s="68">
        <v>9377</v>
      </c>
      <c r="E2704" s="68"/>
      <c r="F2704" s="68">
        <v>4520</v>
      </c>
      <c r="G2704" s="68">
        <v>13897</v>
      </c>
      <c r="H27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05" spans="1:8" hidden="1" x14ac:dyDescent="0.3">
      <c r="A2705" t="s">
        <v>1064</v>
      </c>
      <c r="B2705" t="s">
        <v>1094</v>
      </c>
      <c r="C2705" t="s">
        <v>712</v>
      </c>
      <c r="D2705" s="68">
        <v>7361</v>
      </c>
      <c r="E2705" s="68"/>
      <c r="F2705" s="68">
        <v>1602</v>
      </c>
      <c r="G2705" s="68">
        <v>8963</v>
      </c>
      <c r="H27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06" spans="1:8" hidden="1" x14ac:dyDescent="0.3">
      <c r="A2706" t="s">
        <v>1064</v>
      </c>
      <c r="B2706" t="s">
        <v>1094</v>
      </c>
      <c r="C2706" t="s">
        <v>34</v>
      </c>
      <c r="D2706" s="68">
        <v>6542</v>
      </c>
      <c r="E2706" s="68"/>
      <c r="F2706" s="68">
        <v>1192</v>
      </c>
      <c r="G2706" s="68">
        <v>7734</v>
      </c>
      <c r="H27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07" spans="1:8" hidden="1" x14ac:dyDescent="0.3">
      <c r="A2707" t="s">
        <v>1064</v>
      </c>
      <c r="B2707" t="s">
        <v>1094</v>
      </c>
      <c r="C2707" t="s">
        <v>5</v>
      </c>
      <c r="D2707" s="68">
        <v>6131</v>
      </c>
      <c r="E2707" s="68"/>
      <c r="F2707" s="68">
        <v>1416</v>
      </c>
      <c r="G2707" s="68">
        <v>7547</v>
      </c>
      <c r="H27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08" spans="1:8" hidden="1" x14ac:dyDescent="0.3">
      <c r="A2708" t="s">
        <v>1064</v>
      </c>
      <c r="B2708" t="s">
        <v>1094</v>
      </c>
      <c r="C2708" t="s">
        <v>36</v>
      </c>
      <c r="D2708" s="68">
        <v>3368</v>
      </c>
      <c r="E2708" s="68"/>
      <c r="F2708" s="68">
        <v>996</v>
      </c>
      <c r="G2708" s="68">
        <v>4364</v>
      </c>
      <c r="H27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09" spans="1:8" hidden="1" x14ac:dyDescent="0.3">
      <c r="A2709" t="s">
        <v>1064</v>
      </c>
      <c r="B2709" t="s">
        <v>1094</v>
      </c>
      <c r="C2709" t="s">
        <v>27</v>
      </c>
      <c r="D2709" s="68"/>
      <c r="E2709" s="68">
        <v>337</v>
      </c>
      <c r="F2709" s="68"/>
      <c r="G2709" s="68">
        <v>337</v>
      </c>
      <c r="H27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10" spans="1:8" hidden="1" x14ac:dyDescent="0.3">
      <c r="A2710" t="s">
        <v>1064</v>
      </c>
      <c r="B2710" t="s">
        <v>1094</v>
      </c>
      <c r="C2710" t="s">
        <v>32</v>
      </c>
      <c r="D2710" s="68">
        <v>9</v>
      </c>
      <c r="E2710" s="68"/>
      <c r="F2710" s="68">
        <v>158</v>
      </c>
      <c r="G2710" s="68">
        <v>167</v>
      </c>
      <c r="H27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11" spans="1:8" hidden="1" x14ac:dyDescent="0.3">
      <c r="A2711" t="s">
        <v>1064</v>
      </c>
      <c r="B2711" t="s">
        <v>1094</v>
      </c>
      <c r="C2711" t="s">
        <v>31</v>
      </c>
      <c r="D2711" s="68">
        <v>1</v>
      </c>
      <c r="E2711" s="68"/>
      <c r="F2711" s="68"/>
      <c r="G2711" s="68">
        <v>1</v>
      </c>
      <c r="H27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12" spans="1:8" hidden="1" x14ac:dyDescent="0.3">
      <c r="A2712" t="s">
        <v>1064</v>
      </c>
      <c r="B2712" t="s">
        <v>1094</v>
      </c>
      <c r="C2712" t="s">
        <v>1077</v>
      </c>
      <c r="D2712" s="68">
        <v>1</v>
      </c>
      <c r="E2712" s="68"/>
      <c r="F2712" s="68"/>
      <c r="G2712" s="68">
        <v>1</v>
      </c>
      <c r="H27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13" spans="1:8" hidden="1" x14ac:dyDescent="0.3">
      <c r="A2713" t="s">
        <v>1064</v>
      </c>
      <c r="B2713" t="s">
        <v>1095</v>
      </c>
      <c r="C2713" t="s">
        <v>26</v>
      </c>
      <c r="D2713" s="68">
        <v>890</v>
      </c>
      <c r="E2713" s="68"/>
      <c r="F2713" s="68">
        <v>1633</v>
      </c>
      <c r="G2713" s="68">
        <v>2523</v>
      </c>
      <c r="H27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14" spans="1:8" hidden="1" x14ac:dyDescent="0.3">
      <c r="A2714" t="s">
        <v>1064</v>
      </c>
      <c r="B2714" t="s">
        <v>1095</v>
      </c>
      <c r="C2714" t="s">
        <v>712</v>
      </c>
      <c r="D2714" s="68">
        <v>166</v>
      </c>
      <c r="E2714" s="68"/>
      <c r="F2714" s="68">
        <v>537</v>
      </c>
      <c r="G2714" s="68">
        <v>703</v>
      </c>
      <c r="H27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15" spans="1:8" hidden="1" x14ac:dyDescent="0.3">
      <c r="A2715" t="s">
        <v>1064</v>
      </c>
      <c r="B2715" t="s">
        <v>1095</v>
      </c>
      <c r="C2715" t="s">
        <v>27</v>
      </c>
      <c r="D2715" s="68"/>
      <c r="E2715" s="68">
        <v>47</v>
      </c>
      <c r="F2715" s="68"/>
      <c r="G2715" s="68">
        <v>47</v>
      </c>
      <c r="H27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16" spans="1:8" hidden="1" x14ac:dyDescent="0.3">
      <c r="A2716" t="s">
        <v>1064</v>
      </c>
      <c r="B2716" t="s">
        <v>1096</v>
      </c>
      <c r="C2716" t="s">
        <v>37</v>
      </c>
      <c r="D2716" s="68">
        <v>39575</v>
      </c>
      <c r="E2716" s="68"/>
      <c r="F2716" s="68">
        <v>25570</v>
      </c>
      <c r="G2716" s="68">
        <v>65145</v>
      </c>
      <c r="H27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17" spans="1:8" hidden="1" x14ac:dyDescent="0.3">
      <c r="A2717" t="s">
        <v>1064</v>
      </c>
      <c r="B2717" t="s">
        <v>1096</v>
      </c>
      <c r="C2717" t="s">
        <v>5</v>
      </c>
      <c r="D2717" s="68">
        <v>24201</v>
      </c>
      <c r="E2717" s="68"/>
      <c r="F2717" s="68">
        <v>9721</v>
      </c>
      <c r="G2717" s="68">
        <v>33922</v>
      </c>
      <c r="H27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18" spans="1:8" hidden="1" x14ac:dyDescent="0.3">
      <c r="A2718" t="s">
        <v>1064</v>
      </c>
      <c r="B2718" t="s">
        <v>1096</v>
      </c>
      <c r="C2718" t="s">
        <v>26</v>
      </c>
      <c r="D2718" s="68">
        <v>12889</v>
      </c>
      <c r="E2718" s="68"/>
      <c r="F2718" s="68">
        <v>16897</v>
      </c>
      <c r="G2718" s="68">
        <v>29786</v>
      </c>
      <c r="H27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19" spans="1:8" hidden="1" x14ac:dyDescent="0.3">
      <c r="A2719" t="s">
        <v>1064</v>
      </c>
      <c r="B2719" t="s">
        <v>1096</v>
      </c>
      <c r="C2719" t="s">
        <v>36</v>
      </c>
      <c r="D2719" s="68">
        <v>6365</v>
      </c>
      <c r="E2719" s="68"/>
      <c r="F2719" s="68">
        <v>6116</v>
      </c>
      <c r="G2719" s="68">
        <v>12481</v>
      </c>
      <c r="H27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20" spans="1:8" hidden="1" x14ac:dyDescent="0.3">
      <c r="A2720" t="s">
        <v>1064</v>
      </c>
      <c r="B2720" t="s">
        <v>1096</v>
      </c>
      <c r="C2720" t="s">
        <v>712</v>
      </c>
      <c r="D2720" s="68">
        <v>7440</v>
      </c>
      <c r="E2720" s="68"/>
      <c r="F2720" s="68">
        <v>4017</v>
      </c>
      <c r="G2720" s="68">
        <v>11457</v>
      </c>
      <c r="H27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21" spans="1:8" hidden="1" x14ac:dyDescent="0.3">
      <c r="A2721" t="s">
        <v>1064</v>
      </c>
      <c r="B2721" t="s">
        <v>1096</v>
      </c>
      <c r="C2721" t="s">
        <v>27</v>
      </c>
      <c r="D2721" s="68"/>
      <c r="E2721" s="68">
        <v>3862</v>
      </c>
      <c r="F2721" s="68"/>
      <c r="G2721" s="68">
        <v>3862</v>
      </c>
      <c r="H27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22" spans="1:8" hidden="1" x14ac:dyDescent="0.3">
      <c r="A2722" t="s">
        <v>1064</v>
      </c>
      <c r="B2722" t="s">
        <v>1096</v>
      </c>
      <c r="C2722" t="s">
        <v>35</v>
      </c>
      <c r="D2722" s="68">
        <v>123</v>
      </c>
      <c r="E2722" s="68"/>
      <c r="F2722" s="68"/>
      <c r="G2722" s="68">
        <v>123</v>
      </c>
      <c r="H27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23" spans="1:8" hidden="1" x14ac:dyDescent="0.3">
      <c r="A2723" t="s">
        <v>1064</v>
      </c>
      <c r="B2723" t="s">
        <v>1096</v>
      </c>
      <c r="C2723" t="s">
        <v>34</v>
      </c>
      <c r="D2723" s="68">
        <v>4</v>
      </c>
      <c r="E2723" s="68"/>
      <c r="F2723" s="68"/>
      <c r="G2723" s="68">
        <v>4</v>
      </c>
      <c r="H27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24" spans="1:8" hidden="1" x14ac:dyDescent="0.3">
      <c r="A2724" t="s">
        <v>1064</v>
      </c>
      <c r="B2724" t="s">
        <v>1097</v>
      </c>
      <c r="C2724" t="s">
        <v>37</v>
      </c>
      <c r="D2724" s="68">
        <v>453</v>
      </c>
      <c r="E2724" s="68"/>
      <c r="F2724" s="68">
        <v>1442</v>
      </c>
      <c r="G2724" s="68">
        <v>1895</v>
      </c>
      <c r="H27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25" spans="1:8" hidden="1" x14ac:dyDescent="0.3">
      <c r="A2725" t="s">
        <v>1064</v>
      </c>
      <c r="B2725" t="s">
        <v>1097</v>
      </c>
      <c r="C2725" t="s">
        <v>26</v>
      </c>
      <c r="D2725" s="68">
        <v>192</v>
      </c>
      <c r="E2725" s="68"/>
      <c r="F2725" s="68">
        <v>1126</v>
      </c>
      <c r="G2725" s="68">
        <v>1318</v>
      </c>
      <c r="H27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26" spans="1:8" hidden="1" x14ac:dyDescent="0.3">
      <c r="A2726" t="s">
        <v>1064</v>
      </c>
      <c r="B2726" t="s">
        <v>1097</v>
      </c>
      <c r="C2726" t="s">
        <v>27</v>
      </c>
      <c r="D2726" s="68"/>
      <c r="E2726" s="68">
        <v>93</v>
      </c>
      <c r="F2726" s="68"/>
      <c r="G2726" s="68">
        <v>93</v>
      </c>
      <c r="H27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27" spans="1:8" hidden="1" x14ac:dyDescent="0.3">
      <c r="A2727" t="s">
        <v>1064</v>
      </c>
      <c r="B2727" t="s">
        <v>1097</v>
      </c>
      <c r="C2727" t="s">
        <v>5</v>
      </c>
      <c r="D2727" s="68">
        <v>12</v>
      </c>
      <c r="E2727" s="68"/>
      <c r="F2727" s="68">
        <v>4</v>
      </c>
      <c r="G2727" s="68">
        <v>16</v>
      </c>
      <c r="H27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28" spans="1:8" hidden="1" x14ac:dyDescent="0.3">
      <c r="A2728" t="s">
        <v>1064</v>
      </c>
      <c r="B2728" t="s">
        <v>1098</v>
      </c>
      <c r="C2728" t="s">
        <v>26</v>
      </c>
      <c r="D2728" s="68">
        <v>3745</v>
      </c>
      <c r="E2728" s="68"/>
      <c r="F2728" s="68">
        <v>1588</v>
      </c>
      <c r="G2728" s="68">
        <v>5333</v>
      </c>
      <c r="H27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29" spans="1:8" hidden="1" x14ac:dyDescent="0.3">
      <c r="A2729" t="s">
        <v>1064</v>
      </c>
      <c r="B2729" t="s">
        <v>1098</v>
      </c>
      <c r="C2729" t="s">
        <v>37</v>
      </c>
      <c r="D2729" s="68">
        <v>2893</v>
      </c>
      <c r="E2729" s="68"/>
      <c r="F2729" s="68">
        <v>1164</v>
      </c>
      <c r="G2729" s="68">
        <v>4057</v>
      </c>
      <c r="H27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30" spans="1:8" hidden="1" x14ac:dyDescent="0.3">
      <c r="A2730" t="s">
        <v>1064</v>
      </c>
      <c r="B2730" t="s">
        <v>1098</v>
      </c>
      <c r="C2730" t="s">
        <v>712</v>
      </c>
      <c r="D2730" s="68">
        <v>1156</v>
      </c>
      <c r="E2730" s="68"/>
      <c r="F2730" s="68">
        <v>362</v>
      </c>
      <c r="G2730" s="68">
        <v>1518</v>
      </c>
      <c r="H27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31" spans="1:8" hidden="1" x14ac:dyDescent="0.3">
      <c r="A2731" t="s">
        <v>1064</v>
      </c>
      <c r="B2731" t="s">
        <v>1098</v>
      </c>
      <c r="C2731" t="s">
        <v>36</v>
      </c>
      <c r="D2731" s="68">
        <v>345</v>
      </c>
      <c r="E2731" s="68"/>
      <c r="F2731" s="68">
        <v>116</v>
      </c>
      <c r="G2731" s="68">
        <v>461</v>
      </c>
      <c r="H27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32" spans="1:8" hidden="1" x14ac:dyDescent="0.3">
      <c r="A2732" t="s">
        <v>1064</v>
      </c>
      <c r="B2732" t="s">
        <v>1098</v>
      </c>
      <c r="C2732" t="s">
        <v>27</v>
      </c>
      <c r="D2732" s="68"/>
      <c r="E2732" s="68">
        <v>58</v>
      </c>
      <c r="F2732" s="68"/>
      <c r="G2732" s="68">
        <v>58</v>
      </c>
      <c r="H27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33" spans="1:8" hidden="1" x14ac:dyDescent="0.3">
      <c r="A2733" t="s">
        <v>1064</v>
      </c>
      <c r="B2733" t="s">
        <v>1098</v>
      </c>
      <c r="C2733" t="s">
        <v>5</v>
      </c>
      <c r="D2733" s="68">
        <v>2</v>
      </c>
      <c r="E2733" s="68"/>
      <c r="F2733" s="68">
        <v>2</v>
      </c>
      <c r="G2733" s="68">
        <v>4</v>
      </c>
      <c r="H27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34" spans="1:8" hidden="1" x14ac:dyDescent="0.3">
      <c r="A2734" t="s">
        <v>1064</v>
      </c>
      <c r="B2734" t="s">
        <v>1099</v>
      </c>
      <c r="C2734" t="s">
        <v>37</v>
      </c>
      <c r="D2734" s="68">
        <v>1737</v>
      </c>
      <c r="E2734" s="68"/>
      <c r="F2734" s="68">
        <v>3000</v>
      </c>
      <c r="G2734" s="68">
        <v>4737</v>
      </c>
      <c r="H27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35" spans="1:8" hidden="1" x14ac:dyDescent="0.3">
      <c r="A2735" t="s">
        <v>1064</v>
      </c>
      <c r="B2735" t="s">
        <v>1099</v>
      </c>
      <c r="C2735" t="s">
        <v>26</v>
      </c>
      <c r="D2735" s="68">
        <v>773</v>
      </c>
      <c r="E2735" s="68"/>
      <c r="F2735" s="68">
        <v>2146</v>
      </c>
      <c r="G2735" s="68">
        <v>2919</v>
      </c>
      <c r="H27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36" spans="1:8" hidden="1" x14ac:dyDescent="0.3">
      <c r="A2736" t="s">
        <v>1064</v>
      </c>
      <c r="B2736" t="s">
        <v>1099</v>
      </c>
      <c r="C2736" t="s">
        <v>27</v>
      </c>
      <c r="D2736" s="68"/>
      <c r="E2736" s="68">
        <v>429</v>
      </c>
      <c r="F2736" s="68"/>
      <c r="G2736" s="68">
        <v>429</v>
      </c>
      <c r="H27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37" spans="1:8" hidden="1" x14ac:dyDescent="0.3">
      <c r="A2737" t="s">
        <v>1064</v>
      </c>
      <c r="B2737" t="s">
        <v>1099</v>
      </c>
      <c r="C2737" t="s">
        <v>5</v>
      </c>
      <c r="D2737" s="68">
        <v>73</v>
      </c>
      <c r="E2737" s="68"/>
      <c r="F2737" s="68">
        <v>50</v>
      </c>
      <c r="G2737" s="68">
        <v>123</v>
      </c>
      <c r="H27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38" spans="1:8" hidden="1" x14ac:dyDescent="0.3">
      <c r="A2738" t="s">
        <v>1064</v>
      </c>
      <c r="B2738" t="s">
        <v>1100</v>
      </c>
      <c r="C2738" t="s">
        <v>5</v>
      </c>
      <c r="D2738" s="68">
        <v>156</v>
      </c>
      <c r="E2738" s="68"/>
      <c r="F2738" s="68">
        <v>1381</v>
      </c>
      <c r="G2738" s="68">
        <v>1537</v>
      </c>
      <c r="H27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39" spans="1:8" hidden="1" x14ac:dyDescent="0.3">
      <c r="A2739" t="s">
        <v>1064</v>
      </c>
      <c r="B2739" t="s">
        <v>1100</v>
      </c>
      <c r="C2739" t="s">
        <v>26</v>
      </c>
      <c r="D2739" s="68">
        <v>151</v>
      </c>
      <c r="E2739" s="68"/>
      <c r="F2739" s="68">
        <v>532</v>
      </c>
      <c r="G2739" s="68">
        <v>683</v>
      </c>
      <c r="H27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40" spans="1:8" hidden="1" x14ac:dyDescent="0.3">
      <c r="A2740" t="s">
        <v>1064</v>
      </c>
      <c r="B2740" t="s">
        <v>1100</v>
      </c>
      <c r="C2740" t="s">
        <v>27</v>
      </c>
      <c r="D2740" s="68"/>
      <c r="E2740" s="68">
        <v>41</v>
      </c>
      <c r="F2740" s="68"/>
      <c r="G2740" s="68">
        <v>41</v>
      </c>
      <c r="H27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41" spans="1:8" hidden="1" x14ac:dyDescent="0.3">
      <c r="A2741" t="s">
        <v>1064</v>
      </c>
      <c r="B2741" t="s">
        <v>1100</v>
      </c>
      <c r="C2741" t="s">
        <v>36</v>
      </c>
      <c r="D2741" s="68">
        <v>15</v>
      </c>
      <c r="E2741" s="68"/>
      <c r="F2741" s="68">
        <v>1</v>
      </c>
      <c r="G2741" s="68">
        <v>16</v>
      </c>
      <c r="H27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42" spans="1:8" hidden="1" x14ac:dyDescent="0.3">
      <c r="A2742" t="s">
        <v>1064</v>
      </c>
      <c r="B2742" t="s">
        <v>1101</v>
      </c>
      <c r="C2742" t="s">
        <v>36</v>
      </c>
      <c r="D2742" s="68">
        <v>41738</v>
      </c>
      <c r="E2742" s="68"/>
      <c r="F2742" s="68">
        <v>20341</v>
      </c>
      <c r="G2742" s="68">
        <v>62079</v>
      </c>
      <c r="H27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43" spans="1:8" hidden="1" x14ac:dyDescent="0.3">
      <c r="A2743" t="s">
        <v>1064</v>
      </c>
      <c r="B2743" t="s">
        <v>1101</v>
      </c>
      <c r="C2743" t="s">
        <v>37</v>
      </c>
      <c r="D2743" s="68">
        <v>16401</v>
      </c>
      <c r="E2743" s="68"/>
      <c r="F2743" s="68">
        <v>12829</v>
      </c>
      <c r="G2743" s="68">
        <v>29230</v>
      </c>
      <c r="H27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44" spans="1:8" hidden="1" x14ac:dyDescent="0.3">
      <c r="A2744" t="s">
        <v>1064</v>
      </c>
      <c r="B2744" t="s">
        <v>1101</v>
      </c>
      <c r="C2744" t="s">
        <v>5</v>
      </c>
      <c r="D2744" s="68">
        <v>18491</v>
      </c>
      <c r="E2744" s="68"/>
      <c r="F2744" s="68">
        <v>6098</v>
      </c>
      <c r="G2744" s="68">
        <v>24589</v>
      </c>
      <c r="H27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45" spans="1:8" hidden="1" x14ac:dyDescent="0.3">
      <c r="A2745" t="s">
        <v>1064</v>
      </c>
      <c r="B2745" t="s">
        <v>1101</v>
      </c>
      <c r="C2745" t="s">
        <v>26</v>
      </c>
      <c r="D2745" s="68">
        <v>9103</v>
      </c>
      <c r="E2745" s="68"/>
      <c r="F2745" s="68">
        <v>8164</v>
      </c>
      <c r="G2745" s="68">
        <v>17267</v>
      </c>
      <c r="H27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46" spans="1:8" hidden="1" x14ac:dyDescent="0.3">
      <c r="A2746" t="s">
        <v>1064</v>
      </c>
      <c r="B2746" t="s">
        <v>1101</v>
      </c>
      <c r="C2746" t="s">
        <v>31</v>
      </c>
      <c r="D2746" s="68">
        <v>249</v>
      </c>
      <c r="E2746" s="68"/>
      <c r="F2746" s="68">
        <v>6919</v>
      </c>
      <c r="G2746" s="68">
        <v>7168</v>
      </c>
      <c r="H27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47" spans="1:8" hidden="1" x14ac:dyDescent="0.3">
      <c r="A2747" t="s">
        <v>1064</v>
      </c>
      <c r="B2747" t="s">
        <v>1101</v>
      </c>
      <c r="C2747" t="s">
        <v>712</v>
      </c>
      <c r="D2747" s="68">
        <v>1775</v>
      </c>
      <c r="E2747" s="68"/>
      <c r="F2747" s="68">
        <v>1597</v>
      </c>
      <c r="G2747" s="68">
        <v>3372</v>
      </c>
      <c r="H27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48" spans="1:8" hidden="1" x14ac:dyDescent="0.3">
      <c r="A2748" t="s">
        <v>1064</v>
      </c>
      <c r="B2748" t="s">
        <v>1101</v>
      </c>
      <c r="C2748" t="s">
        <v>27</v>
      </c>
      <c r="D2748" s="68"/>
      <c r="E2748" s="68">
        <v>2747</v>
      </c>
      <c r="F2748" s="68"/>
      <c r="G2748" s="68">
        <v>2747</v>
      </c>
      <c r="H27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49" spans="1:8" hidden="1" x14ac:dyDescent="0.3">
      <c r="A2749" t="s">
        <v>1064</v>
      </c>
      <c r="B2749" t="s">
        <v>1101</v>
      </c>
      <c r="C2749" t="s">
        <v>35</v>
      </c>
      <c r="D2749" s="68">
        <v>678</v>
      </c>
      <c r="E2749" s="68"/>
      <c r="F2749" s="68"/>
      <c r="G2749" s="68">
        <v>678</v>
      </c>
      <c r="H27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50" spans="1:8" hidden="1" x14ac:dyDescent="0.3">
      <c r="A2750" t="s">
        <v>1064</v>
      </c>
      <c r="B2750" t="s">
        <v>1101</v>
      </c>
      <c r="C2750" t="s">
        <v>1077</v>
      </c>
      <c r="D2750" s="68">
        <v>1</v>
      </c>
      <c r="E2750" s="68"/>
      <c r="F2750" s="68"/>
      <c r="G2750" s="68">
        <v>1</v>
      </c>
      <c r="H27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51" spans="1:8" hidden="1" x14ac:dyDescent="0.3">
      <c r="A2751" t="s">
        <v>1064</v>
      </c>
      <c r="B2751" t="s">
        <v>605</v>
      </c>
      <c r="C2751" t="s">
        <v>26</v>
      </c>
      <c r="D2751" s="68">
        <v>415</v>
      </c>
      <c r="E2751" s="68"/>
      <c r="F2751" s="68">
        <v>1548</v>
      </c>
      <c r="G2751" s="68">
        <v>1963</v>
      </c>
      <c r="H27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52" spans="1:8" hidden="1" x14ac:dyDescent="0.3">
      <c r="A2752" t="s">
        <v>1064</v>
      </c>
      <c r="B2752" t="s">
        <v>605</v>
      </c>
      <c r="C2752" t="s">
        <v>5</v>
      </c>
      <c r="D2752" s="68">
        <v>234</v>
      </c>
      <c r="E2752" s="68"/>
      <c r="F2752" s="68">
        <v>1551</v>
      </c>
      <c r="G2752" s="68">
        <v>1785</v>
      </c>
      <c r="H27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53" spans="1:8" hidden="1" x14ac:dyDescent="0.3">
      <c r="A2753" t="s">
        <v>1064</v>
      </c>
      <c r="B2753" t="s">
        <v>605</v>
      </c>
      <c r="C2753" t="s">
        <v>36</v>
      </c>
      <c r="D2753" s="68">
        <v>61</v>
      </c>
      <c r="E2753" s="68"/>
      <c r="F2753" s="68">
        <v>326</v>
      </c>
      <c r="G2753" s="68">
        <v>387</v>
      </c>
      <c r="H27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54" spans="1:8" hidden="1" x14ac:dyDescent="0.3">
      <c r="A2754" t="s">
        <v>1064</v>
      </c>
      <c r="B2754" t="s">
        <v>605</v>
      </c>
      <c r="C2754" t="s">
        <v>27</v>
      </c>
      <c r="D2754" s="68"/>
      <c r="E2754" s="68">
        <v>14</v>
      </c>
      <c r="F2754" s="68"/>
      <c r="G2754" s="68">
        <v>14</v>
      </c>
      <c r="H27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55" spans="1:8" hidden="1" x14ac:dyDescent="0.3">
      <c r="A2755" t="s">
        <v>1064</v>
      </c>
      <c r="B2755" t="s">
        <v>1102</v>
      </c>
      <c r="C2755" t="s">
        <v>26</v>
      </c>
      <c r="D2755" s="68">
        <v>4847</v>
      </c>
      <c r="E2755" s="68"/>
      <c r="F2755" s="68">
        <v>3163</v>
      </c>
      <c r="G2755" s="68">
        <v>8010</v>
      </c>
      <c r="H27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56" spans="1:8" hidden="1" x14ac:dyDescent="0.3">
      <c r="A2756" t="s">
        <v>1064</v>
      </c>
      <c r="B2756" t="s">
        <v>1102</v>
      </c>
      <c r="C2756" t="s">
        <v>37</v>
      </c>
      <c r="D2756" s="68">
        <v>2157</v>
      </c>
      <c r="E2756" s="68"/>
      <c r="F2756" s="68">
        <v>1531</v>
      </c>
      <c r="G2756" s="68">
        <v>3688</v>
      </c>
      <c r="H27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57" spans="1:8" hidden="1" x14ac:dyDescent="0.3">
      <c r="A2757" t="s">
        <v>1064</v>
      </c>
      <c r="B2757" t="s">
        <v>1102</v>
      </c>
      <c r="C2757" t="s">
        <v>712</v>
      </c>
      <c r="D2757" s="68">
        <v>484</v>
      </c>
      <c r="E2757" s="68"/>
      <c r="F2757" s="68">
        <v>498</v>
      </c>
      <c r="G2757" s="68">
        <v>982</v>
      </c>
      <c r="H27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58" spans="1:8" hidden="1" x14ac:dyDescent="0.3">
      <c r="A2758" t="s">
        <v>1064</v>
      </c>
      <c r="B2758" t="s">
        <v>1102</v>
      </c>
      <c r="C2758" t="s">
        <v>27</v>
      </c>
      <c r="D2758" s="68"/>
      <c r="E2758" s="68">
        <v>151</v>
      </c>
      <c r="F2758" s="68"/>
      <c r="G2758" s="68">
        <v>151</v>
      </c>
      <c r="H27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59" spans="1:8" hidden="1" x14ac:dyDescent="0.3">
      <c r="A2759" t="s">
        <v>1064</v>
      </c>
      <c r="B2759" t="s">
        <v>1102</v>
      </c>
      <c r="C2759" t="s">
        <v>31</v>
      </c>
      <c r="D2759" s="68">
        <v>1</v>
      </c>
      <c r="E2759" s="68"/>
      <c r="F2759" s="68"/>
      <c r="G2759" s="68">
        <v>1</v>
      </c>
      <c r="H27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60" spans="1:8" hidden="1" x14ac:dyDescent="0.3">
      <c r="A2760" t="s">
        <v>1064</v>
      </c>
      <c r="B2760" t="s">
        <v>1103</v>
      </c>
      <c r="C2760" t="s">
        <v>26</v>
      </c>
      <c r="D2760" s="68">
        <v>3771</v>
      </c>
      <c r="E2760" s="68"/>
      <c r="F2760" s="68">
        <v>7057</v>
      </c>
      <c r="G2760" s="68">
        <v>10828</v>
      </c>
      <c r="H27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61" spans="1:8" hidden="1" x14ac:dyDescent="0.3">
      <c r="A2761" t="s">
        <v>1064</v>
      </c>
      <c r="B2761" t="s">
        <v>1103</v>
      </c>
      <c r="C2761" t="s">
        <v>37</v>
      </c>
      <c r="D2761" s="68">
        <v>2444</v>
      </c>
      <c r="E2761" s="68"/>
      <c r="F2761" s="68">
        <v>3740</v>
      </c>
      <c r="G2761" s="68">
        <v>6184</v>
      </c>
      <c r="H27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62" spans="1:8" hidden="1" x14ac:dyDescent="0.3">
      <c r="A2762" t="s">
        <v>1064</v>
      </c>
      <c r="B2762" t="s">
        <v>1103</v>
      </c>
      <c r="C2762" t="s">
        <v>712</v>
      </c>
      <c r="D2762" s="68">
        <v>319</v>
      </c>
      <c r="E2762" s="68"/>
      <c r="F2762" s="68">
        <v>1152</v>
      </c>
      <c r="G2762" s="68">
        <v>1471</v>
      </c>
      <c r="H27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63" spans="1:8" hidden="1" x14ac:dyDescent="0.3">
      <c r="A2763" t="s">
        <v>1064</v>
      </c>
      <c r="B2763" t="s">
        <v>1103</v>
      </c>
      <c r="C2763" t="s">
        <v>36</v>
      </c>
      <c r="D2763" s="68">
        <v>316</v>
      </c>
      <c r="E2763" s="68"/>
      <c r="F2763" s="68">
        <v>1057</v>
      </c>
      <c r="G2763" s="68">
        <v>1373</v>
      </c>
      <c r="H27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64" spans="1:8" hidden="1" x14ac:dyDescent="0.3">
      <c r="A2764" t="s">
        <v>1064</v>
      </c>
      <c r="B2764" t="s">
        <v>1103</v>
      </c>
      <c r="C2764" t="s">
        <v>27</v>
      </c>
      <c r="D2764" s="68"/>
      <c r="E2764" s="68">
        <v>615</v>
      </c>
      <c r="F2764" s="68"/>
      <c r="G2764" s="68">
        <v>615</v>
      </c>
      <c r="H27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65" spans="1:8" hidden="1" x14ac:dyDescent="0.3">
      <c r="A2765" t="s">
        <v>1064</v>
      </c>
      <c r="B2765" t="s">
        <v>1103</v>
      </c>
      <c r="C2765" t="s">
        <v>5</v>
      </c>
      <c r="D2765" s="68">
        <v>18</v>
      </c>
      <c r="E2765" s="68"/>
      <c r="F2765" s="68">
        <v>2</v>
      </c>
      <c r="G2765" s="68">
        <v>20</v>
      </c>
      <c r="H27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66" spans="1:8" hidden="1" x14ac:dyDescent="0.3">
      <c r="A2766" t="s">
        <v>1064</v>
      </c>
      <c r="B2766" t="s">
        <v>1103</v>
      </c>
      <c r="C2766" t="s">
        <v>35</v>
      </c>
      <c r="D2766" s="68">
        <v>6</v>
      </c>
      <c r="E2766" s="68"/>
      <c r="F2766" s="68"/>
      <c r="G2766" s="68">
        <v>6</v>
      </c>
      <c r="H27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67" spans="1:8" hidden="1" x14ac:dyDescent="0.3">
      <c r="A2767" t="s">
        <v>1064</v>
      </c>
      <c r="B2767" t="s">
        <v>1104</v>
      </c>
      <c r="C2767" t="s">
        <v>37</v>
      </c>
      <c r="D2767" s="68">
        <v>4887</v>
      </c>
      <c r="E2767" s="68"/>
      <c r="F2767" s="68">
        <v>2023</v>
      </c>
      <c r="G2767" s="68">
        <v>6910</v>
      </c>
      <c r="H27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68" spans="1:8" hidden="1" x14ac:dyDescent="0.3">
      <c r="A2768" t="s">
        <v>1064</v>
      </c>
      <c r="B2768" t="s">
        <v>1104</v>
      </c>
      <c r="C2768" t="s">
        <v>26</v>
      </c>
      <c r="D2768" s="68">
        <v>2033</v>
      </c>
      <c r="E2768" s="68"/>
      <c r="F2768" s="68">
        <v>1290</v>
      </c>
      <c r="G2768" s="68">
        <v>3323</v>
      </c>
      <c r="H27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69" spans="1:8" hidden="1" x14ac:dyDescent="0.3">
      <c r="A2769" t="s">
        <v>1064</v>
      </c>
      <c r="B2769" t="s">
        <v>1104</v>
      </c>
      <c r="C2769" t="s">
        <v>712</v>
      </c>
      <c r="D2769" s="68">
        <v>865</v>
      </c>
      <c r="E2769" s="68"/>
      <c r="F2769" s="68">
        <v>395</v>
      </c>
      <c r="G2769" s="68">
        <v>1260</v>
      </c>
      <c r="H27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70" spans="1:8" hidden="1" x14ac:dyDescent="0.3">
      <c r="A2770" t="s">
        <v>1064</v>
      </c>
      <c r="B2770" t="s">
        <v>1104</v>
      </c>
      <c r="C2770" t="s">
        <v>27</v>
      </c>
      <c r="D2770" s="68"/>
      <c r="E2770" s="68">
        <v>190</v>
      </c>
      <c r="F2770" s="68"/>
      <c r="G2770" s="68">
        <v>190</v>
      </c>
      <c r="H27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71" spans="1:8" hidden="1" x14ac:dyDescent="0.3">
      <c r="A2771" t="s">
        <v>1064</v>
      </c>
      <c r="B2771" t="s">
        <v>1104</v>
      </c>
      <c r="C2771" t="s">
        <v>5</v>
      </c>
      <c r="D2771" s="68">
        <v>13</v>
      </c>
      <c r="E2771" s="68"/>
      <c r="F2771" s="68"/>
      <c r="G2771" s="68">
        <v>13</v>
      </c>
      <c r="H27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72" spans="1:8" hidden="1" x14ac:dyDescent="0.3">
      <c r="A2772" t="s">
        <v>1064</v>
      </c>
      <c r="B2772" t="s">
        <v>1105</v>
      </c>
      <c r="C2772" t="s">
        <v>36</v>
      </c>
      <c r="D2772" s="68">
        <v>246</v>
      </c>
      <c r="E2772" s="68"/>
      <c r="F2772" s="68">
        <v>811</v>
      </c>
      <c r="G2772" s="68">
        <v>1057</v>
      </c>
      <c r="H27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73" spans="1:8" hidden="1" x14ac:dyDescent="0.3">
      <c r="A2773" t="s">
        <v>1064</v>
      </c>
      <c r="B2773" t="s">
        <v>1105</v>
      </c>
      <c r="C2773" t="s">
        <v>26</v>
      </c>
      <c r="D2773" s="68">
        <v>71</v>
      </c>
      <c r="E2773" s="68"/>
      <c r="F2773" s="68">
        <v>258</v>
      </c>
      <c r="G2773" s="68">
        <v>329</v>
      </c>
      <c r="H27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74" spans="1:8" hidden="1" x14ac:dyDescent="0.3">
      <c r="A2774" t="s">
        <v>1064</v>
      </c>
      <c r="B2774" t="s">
        <v>1105</v>
      </c>
      <c r="C2774" t="s">
        <v>27</v>
      </c>
      <c r="D2774" s="68"/>
      <c r="E2774" s="68">
        <v>23</v>
      </c>
      <c r="F2774" s="68"/>
      <c r="G2774" s="68">
        <v>23</v>
      </c>
      <c r="H27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75" spans="1:8" hidden="1" x14ac:dyDescent="0.3">
      <c r="A2775" t="s">
        <v>1064</v>
      </c>
      <c r="B2775" t="s">
        <v>1106</v>
      </c>
      <c r="C2775" t="s">
        <v>37</v>
      </c>
      <c r="D2775" s="68">
        <v>1893</v>
      </c>
      <c r="E2775" s="68"/>
      <c r="F2775" s="68">
        <v>1783</v>
      </c>
      <c r="G2775" s="68">
        <v>3676</v>
      </c>
      <c r="H27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76" spans="1:8" hidden="1" x14ac:dyDescent="0.3">
      <c r="A2776" t="s">
        <v>1064</v>
      </c>
      <c r="B2776" t="s">
        <v>1106</v>
      </c>
      <c r="C2776" t="s">
        <v>26</v>
      </c>
      <c r="D2776" s="68">
        <v>604</v>
      </c>
      <c r="E2776" s="68"/>
      <c r="F2776" s="68">
        <v>986</v>
      </c>
      <c r="G2776" s="68">
        <v>1590</v>
      </c>
      <c r="H27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77" spans="1:8" hidden="1" x14ac:dyDescent="0.3">
      <c r="A2777" t="s">
        <v>1064</v>
      </c>
      <c r="B2777" t="s">
        <v>1106</v>
      </c>
      <c r="C2777" t="s">
        <v>27</v>
      </c>
      <c r="D2777" s="68"/>
      <c r="E2777" s="68">
        <v>126</v>
      </c>
      <c r="F2777" s="68"/>
      <c r="G2777" s="68">
        <v>126</v>
      </c>
      <c r="H27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78" spans="1:8" hidden="1" x14ac:dyDescent="0.3">
      <c r="A2778" t="s">
        <v>1064</v>
      </c>
      <c r="B2778" t="s">
        <v>1106</v>
      </c>
      <c r="C2778" t="s">
        <v>5</v>
      </c>
      <c r="D2778" s="68">
        <v>1</v>
      </c>
      <c r="E2778" s="68"/>
      <c r="F2778" s="68"/>
      <c r="G2778" s="68">
        <v>1</v>
      </c>
      <c r="H27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79" spans="1:8" hidden="1" x14ac:dyDescent="0.3">
      <c r="A2779" t="s">
        <v>1064</v>
      </c>
      <c r="B2779" t="s">
        <v>1107</v>
      </c>
      <c r="C2779" t="s">
        <v>5</v>
      </c>
      <c r="D2779" s="68">
        <v>223</v>
      </c>
      <c r="E2779" s="68"/>
      <c r="F2779" s="68">
        <v>1522</v>
      </c>
      <c r="G2779" s="68">
        <v>1745</v>
      </c>
      <c r="H27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0" spans="1:8" hidden="1" x14ac:dyDescent="0.3">
      <c r="A2780" t="s">
        <v>1064</v>
      </c>
      <c r="B2780" t="s">
        <v>1107</v>
      </c>
      <c r="C2780" t="s">
        <v>26</v>
      </c>
      <c r="D2780" s="68">
        <v>148</v>
      </c>
      <c r="E2780" s="68"/>
      <c r="F2780" s="68">
        <v>317</v>
      </c>
      <c r="G2780" s="68">
        <v>465</v>
      </c>
      <c r="H27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1" spans="1:8" hidden="1" x14ac:dyDescent="0.3">
      <c r="A2781" t="s">
        <v>1064</v>
      </c>
      <c r="B2781" t="s">
        <v>1107</v>
      </c>
      <c r="C2781" t="s">
        <v>36</v>
      </c>
      <c r="D2781" s="68">
        <v>22</v>
      </c>
      <c r="E2781" s="68"/>
      <c r="F2781" s="68">
        <v>25</v>
      </c>
      <c r="G2781" s="68">
        <v>47</v>
      </c>
      <c r="H27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82" spans="1:8" hidden="1" x14ac:dyDescent="0.3">
      <c r="A2782" t="s">
        <v>1064</v>
      </c>
      <c r="B2782" t="s">
        <v>1107</v>
      </c>
      <c r="C2782" t="s">
        <v>27</v>
      </c>
      <c r="D2782" s="68"/>
      <c r="E2782" s="68">
        <v>30</v>
      </c>
      <c r="F2782" s="68"/>
      <c r="G2782" s="68">
        <v>30</v>
      </c>
      <c r="H27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83" spans="1:8" hidden="1" x14ac:dyDescent="0.3">
      <c r="A2783" t="s">
        <v>1064</v>
      </c>
      <c r="B2783" t="s">
        <v>1108</v>
      </c>
      <c r="C2783" t="s">
        <v>26</v>
      </c>
      <c r="D2783" s="68">
        <v>271</v>
      </c>
      <c r="E2783" s="68"/>
      <c r="F2783" s="68">
        <v>1737</v>
      </c>
      <c r="G2783" s="68">
        <v>2008</v>
      </c>
      <c r="H27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4" spans="1:8" hidden="1" x14ac:dyDescent="0.3">
      <c r="A2784" t="s">
        <v>1064</v>
      </c>
      <c r="B2784" t="s">
        <v>1108</v>
      </c>
      <c r="C2784" t="s">
        <v>37</v>
      </c>
      <c r="D2784" s="68">
        <v>375</v>
      </c>
      <c r="E2784" s="68"/>
      <c r="F2784" s="68">
        <v>1552</v>
      </c>
      <c r="G2784" s="68">
        <v>1927</v>
      </c>
      <c r="H27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5" spans="1:8" hidden="1" x14ac:dyDescent="0.3">
      <c r="A2785" t="s">
        <v>1064</v>
      </c>
      <c r="B2785" t="s">
        <v>1108</v>
      </c>
      <c r="C2785" t="s">
        <v>27</v>
      </c>
      <c r="D2785" s="68"/>
      <c r="E2785" s="68">
        <v>74</v>
      </c>
      <c r="F2785" s="68"/>
      <c r="G2785" s="68">
        <v>74</v>
      </c>
      <c r="H27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86" spans="1:8" hidden="1" x14ac:dyDescent="0.3">
      <c r="A2786" t="s">
        <v>1064</v>
      </c>
      <c r="B2786" t="s">
        <v>1108</v>
      </c>
      <c r="C2786" t="s">
        <v>5</v>
      </c>
      <c r="D2786" s="68"/>
      <c r="E2786" s="68"/>
      <c r="F2786" s="68">
        <v>2</v>
      </c>
      <c r="G2786" s="68">
        <v>2</v>
      </c>
      <c r="H27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7" spans="1:8" hidden="1" x14ac:dyDescent="0.3">
      <c r="A2787" t="s">
        <v>1064</v>
      </c>
      <c r="B2787" t="s">
        <v>1109</v>
      </c>
      <c r="C2787" t="s">
        <v>5</v>
      </c>
      <c r="D2787" s="68">
        <v>162</v>
      </c>
      <c r="E2787" s="68"/>
      <c r="F2787" s="68">
        <v>1978</v>
      </c>
      <c r="G2787" s="68">
        <v>2140</v>
      </c>
      <c r="H27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8" spans="1:8" hidden="1" x14ac:dyDescent="0.3">
      <c r="A2788" t="s">
        <v>1064</v>
      </c>
      <c r="B2788" t="s">
        <v>1109</v>
      </c>
      <c r="C2788" t="s">
        <v>26</v>
      </c>
      <c r="D2788" s="68">
        <v>121</v>
      </c>
      <c r="E2788" s="68"/>
      <c r="F2788" s="68">
        <v>514</v>
      </c>
      <c r="G2788" s="68">
        <v>635</v>
      </c>
      <c r="H27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9" spans="1:8" hidden="1" x14ac:dyDescent="0.3">
      <c r="A2789" t="s">
        <v>1064</v>
      </c>
      <c r="B2789" t="s">
        <v>1109</v>
      </c>
      <c r="C2789" t="s">
        <v>27</v>
      </c>
      <c r="D2789" s="68"/>
      <c r="E2789" s="68">
        <v>37</v>
      </c>
      <c r="F2789" s="68"/>
      <c r="G2789" s="68">
        <v>37</v>
      </c>
      <c r="H27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0" spans="1:8" hidden="1" x14ac:dyDescent="0.3">
      <c r="A2790" t="s">
        <v>1064</v>
      </c>
      <c r="B2790" t="s">
        <v>1109</v>
      </c>
      <c r="C2790" t="s">
        <v>36</v>
      </c>
      <c r="D2790" s="68">
        <v>9</v>
      </c>
      <c r="E2790" s="68"/>
      <c r="F2790" s="68">
        <v>1</v>
      </c>
      <c r="G2790" s="68">
        <v>10</v>
      </c>
      <c r="H27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1" spans="1:8" hidden="1" x14ac:dyDescent="0.3">
      <c r="A2791" t="s">
        <v>1064</v>
      </c>
      <c r="B2791" t="s">
        <v>1110</v>
      </c>
      <c r="C2791" t="s">
        <v>36</v>
      </c>
      <c r="D2791" s="68">
        <v>116</v>
      </c>
      <c r="E2791" s="68"/>
      <c r="F2791" s="68">
        <v>742</v>
      </c>
      <c r="G2791" s="68">
        <v>858</v>
      </c>
      <c r="H27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2" spans="1:8" hidden="1" x14ac:dyDescent="0.3">
      <c r="A2792" t="s">
        <v>1064</v>
      </c>
      <c r="B2792" t="s">
        <v>1110</v>
      </c>
      <c r="C2792" t="s">
        <v>26</v>
      </c>
      <c r="D2792" s="68">
        <v>143</v>
      </c>
      <c r="E2792" s="68"/>
      <c r="F2792" s="68">
        <v>685</v>
      </c>
      <c r="G2792" s="68">
        <v>828</v>
      </c>
      <c r="H27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93" spans="1:8" hidden="1" x14ac:dyDescent="0.3">
      <c r="A2793" t="s">
        <v>1064</v>
      </c>
      <c r="B2793" t="s">
        <v>1110</v>
      </c>
      <c r="C2793" t="s">
        <v>27</v>
      </c>
      <c r="D2793" s="68"/>
      <c r="E2793" s="68">
        <v>27</v>
      </c>
      <c r="F2793" s="68"/>
      <c r="G2793" s="68">
        <v>27</v>
      </c>
      <c r="H27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4" spans="1:8" hidden="1" x14ac:dyDescent="0.3">
      <c r="A2794" t="s">
        <v>1064</v>
      </c>
      <c r="B2794" t="s">
        <v>1111</v>
      </c>
      <c r="C2794" t="s">
        <v>5</v>
      </c>
      <c r="D2794" s="68">
        <v>259</v>
      </c>
      <c r="E2794" s="68"/>
      <c r="F2794" s="68">
        <v>2546</v>
      </c>
      <c r="G2794" s="68">
        <v>2805</v>
      </c>
      <c r="H27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95" spans="1:8" hidden="1" x14ac:dyDescent="0.3">
      <c r="A2795" t="s">
        <v>1064</v>
      </c>
      <c r="B2795" t="s">
        <v>1111</v>
      </c>
      <c r="C2795" t="s">
        <v>26</v>
      </c>
      <c r="D2795" s="68">
        <v>264</v>
      </c>
      <c r="E2795" s="68"/>
      <c r="F2795" s="68">
        <v>718</v>
      </c>
      <c r="G2795" s="68">
        <v>982</v>
      </c>
      <c r="H27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96" spans="1:8" hidden="1" x14ac:dyDescent="0.3">
      <c r="A2796" t="s">
        <v>1064</v>
      </c>
      <c r="B2796" t="s">
        <v>1111</v>
      </c>
      <c r="C2796" t="s">
        <v>36</v>
      </c>
      <c r="D2796" s="68">
        <v>21</v>
      </c>
      <c r="E2796" s="68"/>
      <c r="F2796" s="68">
        <v>140</v>
      </c>
      <c r="G2796" s="68">
        <v>161</v>
      </c>
      <c r="H27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7" spans="1:8" hidden="1" x14ac:dyDescent="0.3">
      <c r="A2797" t="s">
        <v>1064</v>
      </c>
      <c r="B2797" t="s">
        <v>1111</v>
      </c>
      <c r="C2797" t="s">
        <v>27</v>
      </c>
      <c r="D2797" s="68"/>
      <c r="E2797" s="68">
        <v>122</v>
      </c>
      <c r="F2797" s="68"/>
      <c r="G2797" s="68">
        <v>122</v>
      </c>
      <c r="H27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8" spans="1:8" hidden="1" x14ac:dyDescent="0.3">
      <c r="A2798" t="s">
        <v>1064</v>
      </c>
      <c r="B2798" t="s">
        <v>1112</v>
      </c>
      <c r="C2798" t="s">
        <v>37</v>
      </c>
      <c r="D2798" s="68">
        <v>4451</v>
      </c>
      <c r="E2798" s="68"/>
      <c r="F2798" s="68">
        <v>1952</v>
      </c>
      <c r="G2798" s="68">
        <v>6403</v>
      </c>
      <c r="H27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99" spans="1:8" hidden="1" x14ac:dyDescent="0.3">
      <c r="A2799" t="s">
        <v>1064</v>
      </c>
      <c r="B2799" t="s">
        <v>1112</v>
      </c>
      <c r="C2799" t="s">
        <v>5</v>
      </c>
      <c r="D2799" s="68">
        <v>4326</v>
      </c>
      <c r="E2799" s="68"/>
      <c r="F2799" s="68">
        <v>1202</v>
      </c>
      <c r="G2799" s="68">
        <v>5528</v>
      </c>
      <c r="H27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00" spans="1:8" hidden="1" x14ac:dyDescent="0.3">
      <c r="A2800" t="s">
        <v>1064</v>
      </c>
      <c r="B2800" t="s">
        <v>1112</v>
      </c>
      <c r="C2800" t="s">
        <v>26</v>
      </c>
      <c r="D2800" s="68">
        <v>1659</v>
      </c>
      <c r="E2800" s="68"/>
      <c r="F2800" s="68">
        <v>1939</v>
      </c>
      <c r="G2800" s="68">
        <v>3598</v>
      </c>
      <c r="H28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01" spans="1:8" hidden="1" x14ac:dyDescent="0.3">
      <c r="A2801" t="s">
        <v>1064</v>
      </c>
      <c r="B2801" t="s">
        <v>1112</v>
      </c>
      <c r="C2801" t="s">
        <v>712</v>
      </c>
      <c r="D2801" s="68">
        <v>2829</v>
      </c>
      <c r="E2801" s="68"/>
      <c r="F2801" s="68">
        <v>737</v>
      </c>
      <c r="G2801" s="68">
        <v>3566</v>
      </c>
      <c r="H28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2" spans="1:8" hidden="1" x14ac:dyDescent="0.3">
      <c r="A2802" t="s">
        <v>1064</v>
      </c>
      <c r="B2802" t="s">
        <v>1112</v>
      </c>
      <c r="C2802" t="s">
        <v>36</v>
      </c>
      <c r="D2802" s="68">
        <v>341</v>
      </c>
      <c r="E2802" s="68"/>
      <c r="F2802" s="68">
        <v>62</v>
      </c>
      <c r="G2802" s="68">
        <v>403</v>
      </c>
      <c r="H28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3" spans="1:8" hidden="1" x14ac:dyDescent="0.3">
      <c r="A2803" t="s">
        <v>1064</v>
      </c>
      <c r="B2803" t="s">
        <v>1112</v>
      </c>
      <c r="C2803" t="s">
        <v>27</v>
      </c>
      <c r="D2803" s="68"/>
      <c r="E2803" s="68">
        <v>227</v>
      </c>
      <c r="F2803" s="68"/>
      <c r="G2803" s="68">
        <v>227</v>
      </c>
      <c r="H28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4" spans="1:8" hidden="1" x14ac:dyDescent="0.3">
      <c r="A2804" t="s">
        <v>1064</v>
      </c>
      <c r="B2804" t="s">
        <v>1113</v>
      </c>
      <c r="C2804" t="s">
        <v>37</v>
      </c>
      <c r="D2804" s="68">
        <v>13180</v>
      </c>
      <c r="E2804" s="68"/>
      <c r="F2804" s="68">
        <v>11283</v>
      </c>
      <c r="G2804" s="68">
        <v>24463</v>
      </c>
      <c r="H28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05" spans="1:8" hidden="1" x14ac:dyDescent="0.3">
      <c r="A2805" t="s">
        <v>1064</v>
      </c>
      <c r="B2805" t="s">
        <v>1113</v>
      </c>
      <c r="C2805" t="s">
        <v>26</v>
      </c>
      <c r="D2805" s="68">
        <v>2541</v>
      </c>
      <c r="E2805" s="68"/>
      <c r="F2805" s="68">
        <v>5159</v>
      </c>
      <c r="G2805" s="68">
        <v>7700</v>
      </c>
      <c r="H28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06" spans="1:8" hidden="1" x14ac:dyDescent="0.3">
      <c r="A2806" t="s">
        <v>1064</v>
      </c>
      <c r="B2806" t="s">
        <v>1113</v>
      </c>
      <c r="C2806" t="s">
        <v>712</v>
      </c>
      <c r="D2806" s="68">
        <v>2905</v>
      </c>
      <c r="E2806" s="68"/>
      <c r="F2806" s="68">
        <v>2586</v>
      </c>
      <c r="G2806" s="68">
        <v>5491</v>
      </c>
      <c r="H28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7" spans="1:8" hidden="1" x14ac:dyDescent="0.3">
      <c r="A2807" t="s">
        <v>1064</v>
      </c>
      <c r="B2807" t="s">
        <v>1113</v>
      </c>
      <c r="C2807" t="s">
        <v>36</v>
      </c>
      <c r="D2807" s="68">
        <v>648</v>
      </c>
      <c r="E2807" s="68"/>
      <c r="F2807" s="68">
        <v>728</v>
      </c>
      <c r="G2807" s="68">
        <v>1376</v>
      </c>
      <c r="H28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8" spans="1:8" hidden="1" x14ac:dyDescent="0.3">
      <c r="A2808" t="s">
        <v>1064</v>
      </c>
      <c r="B2808" t="s">
        <v>1113</v>
      </c>
      <c r="C2808" t="s">
        <v>27</v>
      </c>
      <c r="D2808" s="68"/>
      <c r="E2808" s="68">
        <v>702</v>
      </c>
      <c r="F2808" s="68"/>
      <c r="G2808" s="68">
        <v>702</v>
      </c>
      <c r="H28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9" spans="1:8" hidden="1" x14ac:dyDescent="0.3">
      <c r="A2809" t="s">
        <v>1064</v>
      </c>
      <c r="B2809" t="s">
        <v>1113</v>
      </c>
      <c r="C2809" t="s">
        <v>35</v>
      </c>
      <c r="D2809" s="68">
        <v>66</v>
      </c>
      <c r="E2809" s="68"/>
      <c r="F2809" s="68"/>
      <c r="G2809" s="68">
        <v>66</v>
      </c>
      <c r="H28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10" spans="1:8" hidden="1" x14ac:dyDescent="0.3">
      <c r="A2810" t="s">
        <v>1064</v>
      </c>
      <c r="B2810" t="s">
        <v>1113</v>
      </c>
      <c r="C2810" t="s">
        <v>5</v>
      </c>
      <c r="D2810" s="68">
        <v>20</v>
      </c>
      <c r="E2810" s="68"/>
      <c r="F2810" s="68"/>
      <c r="G2810" s="68">
        <v>20</v>
      </c>
      <c r="H28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11" spans="1:8" hidden="1" x14ac:dyDescent="0.3">
      <c r="A2811" t="s">
        <v>1064</v>
      </c>
      <c r="B2811" t="s">
        <v>1114</v>
      </c>
      <c r="C2811" t="s">
        <v>37</v>
      </c>
      <c r="D2811" s="68">
        <v>806</v>
      </c>
      <c r="E2811" s="68"/>
      <c r="F2811" s="68">
        <v>3728</v>
      </c>
      <c r="G2811" s="68">
        <v>4534</v>
      </c>
      <c r="H28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12" spans="1:8" hidden="1" x14ac:dyDescent="0.3">
      <c r="A2812" t="s">
        <v>1064</v>
      </c>
      <c r="B2812" t="s">
        <v>1114</v>
      </c>
      <c r="C2812" t="s">
        <v>26</v>
      </c>
      <c r="D2812" s="68">
        <v>239</v>
      </c>
      <c r="E2812" s="68"/>
      <c r="F2812" s="68">
        <v>2073</v>
      </c>
      <c r="G2812" s="68">
        <v>2312</v>
      </c>
      <c r="H28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13" spans="1:8" hidden="1" x14ac:dyDescent="0.3">
      <c r="A2813" t="s">
        <v>1064</v>
      </c>
      <c r="B2813" t="s">
        <v>1114</v>
      </c>
      <c r="C2813" t="s">
        <v>27</v>
      </c>
      <c r="D2813" s="68"/>
      <c r="E2813" s="68">
        <v>279</v>
      </c>
      <c r="F2813" s="68"/>
      <c r="G2813" s="68">
        <v>279</v>
      </c>
      <c r="H28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14" spans="1:8" hidden="1" x14ac:dyDescent="0.3">
      <c r="A2814" t="s">
        <v>1064</v>
      </c>
      <c r="B2814" t="s">
        <v>1114</v>
      </c>
      <c r="C2814" t="s">
        <v>36</v>
      </c>
      <c r="D2814" s="68">
        <v>28</v>
      </c>
      <c r="E2814" s="68"/>
      <c r="F2814" s="68">
        <v>34</v>
      </c>
      <c r="G2814" s="68">
        <v>62</v>
      </c>
      <c r="H28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15" spans="1:8" hidden="1" x14ac:dyDescent="0.3">
      <c r="A2815" t="s">
        <v>1064</v>
      </c>
      <c r="B2815" t="s">
        <v>1114</v>
      </c>
      <c r="C2815" t="s">
        <v>5</v>
      </c>
      <c r="D2815" s="68">
        <v>1</v>
      </c>
      <c r="E2815" s="68"/>
      <c r="F2815" s="68">
        <v>2</v>
      </c>
      <c r="G2815" s="68">
        <v>3</v>
      </c>
      <c r="H28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16" spans="1:8" hidden="1" x14ac:dyDescent="0.3">
      <c r="A2816" t="s">
        <v>1064</v>
      </c>
      <c r="B2816" t="s">
        <v>1115</v>
      </c>
      <c r="C2816" t="s">
        <v>5</v>
      </c>
      <c r="D2816" s="68">
        <v>222</v>
      </c>
      <c r="E2816" s="68"/>
      <c r="F2816" s="68">
        <v>3093</v>
      </c>
      <c r="G2816" s="68">
        <v>3315</v>
      </c>
      <c r="H28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17" spans="1:8" hidden="1" x14ac:dyDescent="0.3">
      <c r="A2817" t="s">
        <v>1064</v>
      </c>
      <c r="B2817" t="s">
        <v>1115</v>
      </c>
      <c r="C2817" t="s">
        <v>26</v>
      </c>
      <c r="D2817" s="68">
        <v>87</v>
      </c>
      <c r="E2817" s="68"/>
      <c r="F2817" s="68">
        <v>254</v>
      </c>
      <c r="G2817" s="68">
        <v>341</v>
      </c>
      <c r="H28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18" spans="1:8" hidden="1" x14ac:dyDescent="0.3">
      <c r="A2818" t="s">
        <v>1064</v>
      </c>
      <c r="B2818" t="s">
        <v>1115</v>
      </c>
      <c r="C2818" t="s">
        <v>27</v>
      </c>
      <c r="D2818" s="68"/>
      <c r="E2818" s="68">
        <v>59</v>
      </c>
      <c r="F2818" s="68"/>
      <c r="G2818" s="68">
        <v>59</v>
      </c>
      <c r="H28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19" spans="1:8" hidden="1" x14ac:dyDescent="0.3">
      <c r="A2819" t="s">
        <v>1064</v>
      </c>
      <c r="B2819" t="s">
        <v>1115</v>
      </c>
      <c r="C2819" t="s">
        <v>36</v>
      </c>
      <c r="D2819" s="68">
        <v>8</v>
      </c>
      <c r="E2819" s="68"/>
      <c r="F2819" s="68">
        <v>9</v>
      </c>
      <c r="G2819" s="68">
        <v>17</v>
      </c>
      <c r="H28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20" spans="1:8" hidden="1" x14ac:dyDescent="0.3">
      <c r="A2820" t="s">
        <v>1064</v>
      </c>
      <c r="B2820" t="s">
        <v>954</v>
      </c>
      <c r="C2820" t="s">
        <v>37</v>
      </c>
      <c r="D2820" s="68">
        <v>3711</v>
      </c>
      <c r="E2820" s="68"/>
      <c r="F2820" s="68">
        <v>4894</v>
      </c>
      <c r="G2820" s="68">
        <v>8605</v>
      </c>
      <c r="H28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21" spans="1:8" hidden="1" x14ac:dyDescent="0.3">
      <c r="A2821" t="s">
        <v>1064</v>
      </c>
      <c r="B2821" t="s">
        <v>954</v>
      </c>
      <c r="C2821" t="s">
        <v>26</v>
      </c>
      <c r="D2821" s="68">
        <v>1427</v>
      </c>
      <c r="E2821" s="68"/>
      <c r="F2821" s="68">
        <v>3134</v>
      </c>
      <c r="G2821" s="68">
        <v>4561</v>
      </c>
      <c r="H28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22" spans="1:8" hidden="1" x14ac:dyDescent="0.3">
      <c r="A2822" t="s">
        <v>1064</v>
      </c>
      <c r="B2822" t="s">
        <v>954</v>
      </c>
      <c r="C2822" t="s">
        <v>712</v>
      </c>
      <c r="D2822" s="68">
        <v>893</v>
      </c>
      <c r="E2822" s="68"/>
      <c r="F2822" s="68">
        <v>909</v>
      </c>
      <c r="G2822" s="68">
        <v>1802</v>
      </c>
      <c r="H28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23" spans="1:8" hidden="1" x14ac:dyDescent="0.3">
      <c r="A2823" t="s">
        <v>1064</v>
      </c>
      <c r="B2823" t="s">
        <v>954</v>
      </c>
      <c r="C2823" t="s">
        <v>36</v>
      </c>
      <c r="D2823" s="68">
        <v>336</v>
      </c>
      <c r="E2823" s="68"/>
      <c r="F2823" s="68">
        <v>252</v>
      </c>
      <c r="G2823" s="68">
        <v>588</v>
      </c>
      <c r="H28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24" spans="1:8" hidden="1" x14ac:dyDescent="0.3">
      <c r="A2824" t="s">
        <v>1064</v>
      </c>
      <c r="B2824" t="s">
        <v>954</v>
      </c>
      <c r="C2824" t="s">
        <v>27</v>
      </c>
      <c r="D2824" s="68"/>
      <c r="E2824" s="68">
        <v>478</v>
      </c>
      <c r="F2824" s="68"/>
      <c r="G2824" s="68">
        <v>478</v>
      </c>
      <c r="H28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25" spans="1:8" hidden="1" x14ac:dyDescent="0.3">
      <c r="A2825" t="s">
        <v>1064</v>
      </c>
      <c r="B2825" t="s">
        <v>954</v>
      </c>
      <c r="C2825" t="s">
        <v>5</v>
      </c>
      <c r="D2825" s="68">
        <v>33</v>
      </c>
      <c r="E2825" s="68"/>
      <c r="F2825" s="68">
        <v>5</v>
      </c>
      <c r="G2825" s="68">
        <v>38</v>
      </c>
      <c r="H28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26" spans="1:8" hidden="1" x14ac:dyDescent="0.3">
      <c r="A2826" t="s">
        <v>1064</v>
      </c>
      <c r="B2826" t="s">
        <v>1116</v>
      </c>
      <c r="C2826" t="s">
        <v>26</v>
      </c>
      <c r="D2826" s="68">
        <v>2399</v>
      </c>
      <c r="E2826" s="68"/>
      <c r="F2826" s="68">
        <v>2877</v>
      </c>
      <c r="G2826" s="68">
        <v>5276</v>
      </c>
      <c r="H28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27" spans="1:8" hidden="1" x14ac:dyDescent="0.3">
      <c r="A2827" t="s">
        <v>1064</v>
      </c>
      <c r="B2827" t="s">
        <v>1116</v>
      </c>
      <c r="C2827" t="s">
        <v>37</v>
      </c>
      <c r="D2827" s="68">
        <v>760</v>
      </c>
      <c r="E2827" s="68"/>
      <c r="F2827" s="68">
        <v>1553</v>
      </c>
      <c r="G2827" s="68">
        <v>2313</v>
      </c>
      <c r="H28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28" spans="1:8" hidden="1" x14ac:dyDescent="0.3">
      <c r="A2828" t="s">
        <v>1064</v>
      </c>
      <c r="B2828" t="s">
        <v>1116</v>
      </c>
      <c r="C2828" t="s">
        <v>27</v>
      </c>
      <c r="D2828" s="68"/>
      <c r="E2828" s="68">
        <v>78</v>
      </c>
      <c r="F2828" s="68"/>
      <c r="G2828" s="68">
        <v>78</v>
      </c>
      <c r="H28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29" spans="1:8" hidden="1" x14ac:dyDescent="0.3">
      <c r="A2829" t="s">
        <v>1064</v>
      </c>
      <c r="B2829" t="s">
        <v>1116</v>
      </c>
      <c r="C2829" t="s">
        <v>36</v>
      </c>
      <c r="D2829" s="68">
        <v>24</v>
      </c>
      <c r="E2829" s="68"/>
      <c r="F2829" s="68">
        <v>6</v>
      </c>
      <c r="G2829" s="68">
        <v>30</v>
      </c>
      <c r="H28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30" spans="1:8" hidden="1" x14ac:dyDescent="0.3">
      <c r="A2830" t="s">
        <v>1064</v>
      </c>
      <c r="B2830" t="s">
        <v>1117</v>
      </c>
      <c r="C2830" t="s">
        <v>31</v>
      </c>
      <c r="D2830" s="68">
        <v>216</v>
      </c>
      <c r="E2830" s="68"/>
      <c r="F2830" s="68">
        <v>2973</v>
      </c>
      <c r="G2830" s="68">
        <v>3189</v>
      </c>
      <c r="H28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31" spans="1:8" hidden="1" x14ac:dyDescent="0.3">
      <c r="A2831" t="s">
        <v>1064</v>
      </c>
      <c r="B2831" t="s">
        <v>1117</v>
      </c>
      <c r="C2831" t="s">
        <v>26</v>
      </c>
      <c r="D2831" s="68">
        <v>259</v>
      </c>
      <c r="E2831" s="68"/>
      <c r="F2831" s="68">
        <v>612</v>
      </c>
      <c r="G2831" s="68">
        <v>871</v>
      </c>
      <c r="H28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32" spans="1:8" hidden="1" x14ac:dyDescent="0.3">
      <c r="A2832" t="s">
        <v>1064</v>
      </c>
      <c r="B2832" t="s">
        <v>1117</v>
      </c>
      <c r="C2832" t="s">
        <v>37</v>
      </c>
      <c r="D2832" s="68">
        <v>261</v>
      </c>
      <c r="E2832" s="68"/>
      <c r="F2832" s="68">
        <v>468</v>
      </c>
      <c r="G2832" s="68">
        <v>729</v>
      </c>
      <c r="H28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33" spans="1:8" hidden="1" x14ac:dyDescent="0.3">
      <c r="A2833" t="s">
        <v>1064</v>
      </c>
      <c r="B2833" t="s">
        <v>1117</v>
      </c>
      <c r="C2833" t="s">
        <v>27</v>
      </c>
      <c r="D2833" s="68"/>
      <c r="E2833" s="68">
        <v>69</v>
      </c>
      <c r="F2833" s="68"/>
      <c r="G2833" s="68">
        <v>69</v>
      </c>
      <c r="H28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34" spans="1:8" hidden="1" x14ac:dyDescent="0.3">
      <c r="A2834" t="s">
        <v>1064</v>
      </c>
      <c r="B2834" t="s">
        <v>1117</v>
      </c>
      <c r="C2834" t="s">
        <v>5</v>
      </c>
      <c r="D2834" s="68">
        <v>1</v>
      </c>
      <c r="E2834" s="68"/>
      <c r="F2834" s="68">
        <v>1</v>
      </c>
      <c r="G2834" s="68">
        <v>2</v>
      </c>
      <c r="H28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35" spans="1:8" hidden="1" x14ac:dyDescent="0.3">
      <c r="A2835" t="s">
        <v>1064</v>
      </c>
      <c r="B2835" t="s">
        <v>1118</v>
      </c>
      <c r="C2835" t="s">
        <v>37</v>
      </c>
      <c r="D2835" s="68">
        <v>44454</v>
      </c>
      <c r="E2835" s="68"/>
      <c r="F2835" s="68">
        <v>12958</v>
      </c>
      <c r="G2835" s="68">
        <v>57412</v>
      </c>
      <c r="H28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36" spans="1:8" hidden="1" x14ac:dyDescent="0.3">
      <c r="A2836" t="s">
        <v>1064</v>
      </c>
      <c r="B2836" t="s">
        <v>1118</v>
      </c>
      <c r="C2836" t="s">
        <v>26</v>
      </c>
      <c r="D2836" s="68">
        <v>21229</v>
      </c>
      <c r="E2836" s="68"/>
      <c r="F2836" s="68">
        <v>9210</v>
      </c>
      <c r="G2836" s="68">
        <v>30439</v>
      </c>
      <c r="H28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37" spans="1:8" hidden="1" x14ac:dyDescent="0.3">
      <c r="A2837" t="s">
        <v>1064</v>
      </c>
      <c r="B2837" t="s">
        <v>1118</v>
      </c>
      <c r="C2837" t="s">
        <v>5</v>
      </c>
      <c r="D2837" s="68">
        <v>10355</v>
      </c>
      <c r="E2837" s="68"/>
      <c r="F2837" s="68">
        <v>1715</v>
      </c>
      <c r="G2837" s="68">
        <v>12070</v>
      </c>
      <c r="H28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38" spans="1:8" hidden="1" x14ac:dyDescent="0.3">
      <c r="A2838" t="s">
        <v>1064</v>
      </c>
      <c r="B2838" t="s">
        <v>1118</v>
      </c>
      <c r="C2838" t="s">
        <v>712</v>
      </c>
      <c r="D2838" s="68">
        <v>7046</v>
      </c>
      <c r="E2838" s="68"/>
      <c r="F2838" s="68">
        <v>1264</v>
      </c>
      <c r="G2838" s="68">
        <v>8310</v>
      </c>
      <c r="H28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39" spans="1:8" hidden="1" x14ac:dyDescent="0.3">
      <c r="A2839" t="s">
        <v>1064</v>
      </c>
      <c r="B2839" t="s">
        <v>1118</v>
      </c>
      <c r="C2839" t="s">
        <v>34</v>
      </c>
      <c r="D2839" s="68">
        <v>6102</v>
      </c>
      <c r="E2839" s="68"/>
      <c r="F2839" s="68">
        <v>1135</v>
      </c>
      <c r="G2839" s="68">
        <v>7237</v>
      </c>
      <c r="H28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40" spans="1:8" hidden="1" x14ac:dyDescent="0.3">
      <c r="A2840" t="s">
        <v>1064</v>
      </c>
      <c r="B2840" t="s">
        <v>1118</v>
      </c>
      <c r="C2840" t="s">
        <v>36</v>
      </c>
      <c r="D2840" s="68">
        <v>4182</v>
      </c>
      <c r="E2840" s="68"/>
      <c r="F2840" s="68">
        <v>892</v>
      </c>
      <c r="G2840" s="68">
        <v>5074</v>
      </c>
      <c r="H28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41" spans="1:8" hidden="1" x14ac:dyDescent="0.3">
      <c r="A2841" t="s">
        <v>1064</v>
      </c>
      <c r="B2841" t="s">
        <v>1118</v>
      </c>
      <c r="C2841" t="s">
        <v>27</v>
      </c>
      <c r="D2841" s="68"/>
      <c r="E2841" s="68">
        <v>429</v>
      </c>
      <c r="F2841" s="68"/>
      <c r="G2841" s="68">
        <v>429</v>
      </c>
      <c r="H28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42" spans="1:8" hidden="1" x14ac:dyDescent="0.3">
      <c r="A2842" t="s">
        <v>1064</v>
      </c>
      <c r="B2842" t="s">
        <v>1118</v>
      </c>
      <c r="C2842" t="s">
        <v>32</v>
      </c>
      <c r="D2842" s="68">
        <v>5</v>
      </c>
      <c r="E2842" s="68"/>
      <c r="F2842" s="68"/>
      <c r="G2842" s="68">
        <v>5</v>
      </c>
      <c r="H28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43" spans="1:8" hidden="1" x14ac:dyDescent="0.3">
      <c r="A2843" t="s">
        <v>1064</v>
      </c>
      <c r="B2843" t="s">
        <v>1118</v>
      </c>
      <c r="C2843" t="s">
        <v>31</v>
      </c>
      <c r="D2843" s="68">
        <v>1</v>
      </c>
      <c r="E2843" s="68"/>
      <c r="F2843" s="68"/>
      <c r="G2843" s="68">
        <v>1</v>
      </c>
      <c r="H28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44" spans="1:8" hidden="1" x14ac:dyDescent="0.3">
      <c r="A2844" t="s">
        <v>1064</v>
      </c>
      <c r="B2844" t="s">
        <v>1118</v>
      </c>
      <c r="C2844" t="s">
        <v>588</v>
      </c>
      <c r="D2844" s="68"/>
      <c r="E2844" s="68"/>
      <c r="F2844" s="68">
        <v>1</v>
      </c>
      <c r="G2844" s="68">
        <v>1</v>
      </c>
      <c r="H28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45" spans="1:8" hidden="1" x14ac:dyDescent="0.3">
      <c r="A2845" t="s">
        <v>1064</v>
      </c>
      <c r="B2845" t="s">
        <v>1119</v>
      </c>
      <c r="C2845" t="s">
        <v>31</v>
      </c>
      <c r="D2845" s="68">
        <v>171</v>
      </c>
      <c r="E2845" s="68"/>
      <c r="F2845" s="68">
        <v>1959</v>
      </c>
      <c r="G2845" s="68">
        <v>2130</v>
      </c>
      <c r="H28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46" spans="1:8" hidden="1" x14ac:dyDescent="0.3">
      <c r="A2846" t="s">
        <v>1064</v>
      </c>
      <c r="B2846" t="s">
        <v>1119</v>
      </c>
      <c r="C2846" t="s">
        <v>26</v>
      </c>
      <c r="D2846" s="68">
        <v>190</v>
      </c>
      <c r="E2846" s="68"/>
      <c r="F2846" s="68">
        <v>111</v>
      </c>
      <c r="G2846" s="68">
        <v>301</v>
      </c>
      <c r="H28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47" spans="1:8" hidden="1" x14ac:dyDescent="0.3">
      <c r="A2847" t="s">
        <v>1064</v>
      </c>
      <c r="B2847" t="s">
        <v>1119</v>
      </c>
      <c r="C2847" t="s">
        <v>27</v>
      </c>
      <c r="D2847" s="68"/>
      <c r="E2847" s="68">
        <v>58</v>
      </c>
      <c r="F2847" s="68"/>
      <c r="G2847" s="68">
        <v>58</v>
      </c>
      <c r="H28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48" spans="1:8" hidden="1" x14ac:dyDescent="0.3">
      <c r="A2848" t="s">
        <v>1064</v>
      </c>
      <c r="B2848" t="s">
        <v>1120</v>
      </c>
      <c r="C2848" t="s">
        <v>26</v>
      </c>
      <c r="D2848" s="68">
        <v>762</v>
      </c>
      <c r="E2848" s="68"/>
      <c r="F2848" s="68">
        <v>3023</v>
      </c>
      <c r="G2848" s="68">
        <v>3785</v>
      </c>
      <c r="H28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49" spans="1:8" hidden="1" x14ac:dyDescent="0.3">
      <c r="A2849" t="s">
        <v>1064</v>
      </c>
      <c r="B2849" t="s">
        <v>1120</v>
      </c>
      <c r="C2849" t="s">
        <v>37</v>
      </c>
      <c r="D2849" s="68">
        <v>767</v>
      </c>
      <c r="E2849" s="68"/>
      <c r="F2849" s="68">
        <v>2822</v>
      </c>
      <c r="G2849" s="68">
        <v>3589</v>
      </c>
      <c r="H28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50" spans="1:8" hidden="1" x14ac:dyDescent="0.3">
      <c r="A2850" t="s">
        <v>1064</v>
      </c>
      <c r="B2850" t="s">
        <v>1120</v>
      </c>
      <c r="C2850" t="s">
        <v>27</v>
      </c>
      <c r="D2850" s="68"/>
      <c r="E2850" s="68">
        <v>310</v>
      </c>
      <c r="F2850" s="68"/>
      <c r="G2850" s="68">
        <v>310</v>
      </c>
      <c r="H28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51" spans="1:8" hidden="1" x14ac:dyDescent="0.3">
      <c r="A2851" t="s">
        <v>1064</v>
      </c>
      <c r="B2851" t="s">
        <v>1120</v>
      </c>
      <c r="C2851" t="s">
        <v>36</v>
      </c>
      <c r="D2851" s="68">
        <v>54</v>
      </c>
      <c r="E2851" s="68"/>
      <c r="F2851" s="68">
        <v>56</v>
      </c>
      <c r="G2851" s="68">
        <v>110</v>
      </c>
      <c r="H28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52" spans="1:8" hidden="1" x14ac:dyDescent="0.3">
      <c r="A2852" t="s">
        <v>1064</v>
      </c>
      <c r="B2852" t="s">
        <v>1120</v>
      </c>
      <c r="C2852" t="s">
        <v>5</v>
      </c>
      <c r="D2852" s="68">
        <v>8</v>
      </c>
      <c r="E2852" s="68"/>
      <c r="F2852" s="68">
        <v>6</v>
      </c>
      <c r="G2852" s="68">
        <v>14</v>
      </c>
      <c r="H28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53" spans="1:8" hidden="1" x14ac:dyDescent="0.3">
      <c r="A2853" t="s">
        <v>1064</v>
      </c>
      <c r="B2853" t="s">
        <v>1121</v>
      </c>
      <c r="C2853" t="s">
        <v>37</v>
      </c>
      <c r="D2853" s="68">
        <v>29288</v>
      </c>
      <c r="E2853" s="68"/>
      <c r="F2853" s="68">
        <v>9115</v>
      </c>
      <c r="G2853" s="68">
        <v>38403</v>
      </c>
      <c r="H28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54" spans="1:8" hidden="1" x14ac:dyDescent="0.3">
      <c r="A2854" t="s">
        <v>1064</v>
      </c>
      <c r="B2854" t="s">
        <v>1121</v>
      </c>
      <c r="C2854" t="s">
        <v>712</v>
      </c>
      <c r="D2854" s="68">
        <v>15999</v>
      </c>
      <c r="E2854" s="68"/>
      <c r="F2854" s="68">
        <v>3633</v>
      </c>
      <c r="G2854" s="68">
        <v>19632</v>
      </c>
      <c r="H28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55" spans="1:8" hidden="1" x14ac:dyDescent="0.3">
      <c r="A2855" t="s">
        <v>1064</v>
      </c>
      <c r="B2855" t="s">
        <v>1121</v>
      </c>
      <c r="C2855" t="s">
        <v>5</v>
      </c>
      <c r="D2855" s="68">
        <v>15317</v>
      </c>
      <c r="E2855" s="68"/>
      <c r="F2855" s="68">
        <v>3157</v>
      </c>
      <c r="G2855" s="68">
        <v>18474</v>
      </c>
      <c r="H28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56" spans="1:8" hidden="1" x14ac:dyDescent="0.3">
      <c r="A2856" t="s">
        <v>1064</v>
      </c>
      <c r="B2856" t="s">
        <v>1121</v>
      </c>
      <c r="C2856" t="s">
        <v>26</v>
      </c>
      <c r="D2856" s="68">
        <v>11575</v>
      </c>
      <c r="E2856" s="68"/>
      <c r="F2856" s="68">
        <v>6319</v>
      </c>
      <c r="G2856" s="68">
        <v>17894</v>
      </c>
      <c r="H28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57" spans="1:8" hidden="1" x14ac:dyDescent="0.3">
      <c r="A2857" t="s">
        <v>1064</v>
      </c>
      <c r="B2857" t="s">
        <v>1121</v>
      </c>
      <c r="C2857" t="s">
        <v>36</v>
      </c>
      <c r="D2857" s="68">
        <v>5050</v>
      </c>
      <c r="E2857" s="68"/>
      <c r="F2857" s="68">
        <v>1594</v>
      </c>
      <c r="G2857" s="68">
        <v>6644</v>
      </c>
      <c r="H28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58" spans="1:8" hidden="1" x14ac:dyDescent="0.3">
      <c r="A2858" t="s">
        <v>1064</v>
      </c>
      <c r="B2858" t="s">
        <v>1121</v>
      </c>
      <c r="C2858" t="s">
        <v>31</v>
      </c>
      <c r="D2858" s="68">
        <v>312</v>
      </c>
      <c r="E2858" s="68"/>
      <c r="F2858" s="68">
        <v>2281</v>
      </c>
      <c r="G2858" s="68">
        <v>2593</v>
      </c>
      <c r="H28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59" spans="1:8" hidden="1" x14ac:dyDescent="0.3">
      <c r="A2859" t="s">
        <v>1064</v>
      </c>
      <c r="B2859" t="s">
        <v>1121</v>
      </c>
      <c r="C2859" t="s">
        <v>27</v>
      </c>
      <c r="D2859" s="68"/>
      <c r="E2859" s="68">
        <v>619</v>
      </c>
      <c r="F2859" s="68"/>
      <c r="G2859" s="68">
        <v>619</v>
      </c>
      <c r="H28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60" spans="1:8" hidden="1" x14ac:dyDescent="0.3">
      <c r="A2860" t="s">
        <v>1064</v>
      </c>
      <c r="B2860" t="s">
        <v>1121</v>
      </c>
      <c r="C2860" t="s">
        <v>32</v>
      </c>
      <c r="D2860" s="68">
        <v>4</v>
      </c>
      <c r="E2860" s="68"/>
      <c r="F2860" s="68"/>
      <c r="G2860" s="68">
        <v>4</v>
      </c>
      <c r="H28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61" spans="1:8" hidden="1" x14ac:dyDescent="0.3">
      <c r="A2861" t="s">
        <v>1064</v>
      </c>
      <c r="B2861" t="s">
        <v>625</v>
      </c>
      <c r="C2861" t="s">
        <v>5</v>
      </c>
      <c r="D2861" s="68">
        <v>67</v>
      </c>
      <c r="E2861" s="68"/>
      <c r="F2861" s="68">
        <v>481</v>
      </c>
      <c r="G2861" s="68">
        <v>548</v>
      </c>
      <c r="H28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62" spans="1:8" hidden="1" x14ac:dyDescent="0.3">
      <c r="A2862" t="s">
        <v>1064</v>
      </c>
      <c r="B2862" t="s">
        <v>625</v>
      </c>
      <c r="C2862" t="s">
        <v>26</v>
      </c>
      <c r="D2862" s="68">
        <v>106</v>
      </c>
      <c r="E2862" s="68"/>
      <c r="F2862" s="68">
        <v>400</v>
      </c>
      <c r="G2862" s="68">
        <v>506</v>
      </c>
      <c r="H28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63" spans="1:8" hidden="1" x14ac:dyDescent="0.3">
      <c r="A2863" t="s">
        <v>1064</v>
      </c>
      <c r="B2863" t="s">
        <v>625</v>
      </c>
      <c r="C2863" t="s">
        <v>36</v>
      </c>
      <c r="D2863" s="68">
        <v>64</v>
      </c>
      <c r="E2863" s="68"/>
      <c r="F2863" s="68">
        <v>200</v>
      </c>
      <c r="G2863" s="68">
        <v>264</v>
      </c>
      <c r="H28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64" spans="1:8" hidden="1" x14ac:dyDescent="0.3">
      <c r="A2864" t="s">
        <v>1064</v>
      </c>
      <c r="B2864" t="s">
        <v>625</v>
      </c>
      <c r="C2864" t="s">
        <v>27</v>
      </c>
      <c r="D2864" s="68"/>
      <c r="E2864" s="68">
        <v>11</v>
      </c>
      <c r="F2864" s="68"/>
      <c r="G2864" s="68">
        <v>11</v>
      </c>
      <c r="H28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65" spans="1:8" hidden="1" x14ac:dyDescent="0.3">
      <c r="A2865" t="s">
        <v>1064</v>
      </c>
      <c r="B2865" t="s">
        <v>1122</v>
      </c>
      <c r="C2865" t="s">
        <v>26</v>
      </c>
      <c r="D2865" s="68">
        <v>3492</v>
      </c>
      <c r="E2865" s="68"/>
      <c r="F2865" s="68">
        <v>2235</v>
      </c>
      <c r="G2865" s="68">
        <v>5727</v>
      </c>
      <c r="H28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66" spans="1:8" hidden="1" x14ac:dyDescent="0.3">
      <c r="A2866" t="s">
        <v>1064</v>
      </c>
      <c r="B2866" t="s">
        <v>1122</v>
      </c>
      <c r="C2866" t="s">
        <v>37</v>
      </c>
      <c r="D2866" s="68">
        <v>2850</v>
      </c>
      <c r="E2866" s="68"/>
      <c r="F2866" s="68">
        <v>1556</v>
      </c>
      <c r="G2866" s="68">
        <v>4406</v>
      </c>
      <c r="H28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67" spans="1:8" hidden="1" x14ac:dyDescent="0.3">
      <c r="A2867" t="s">
        <v>1064</v>
      </c>
      <c r="B2867" t="s">
        <v>1122</v>
      </c>
      <c r="C2867" t="s">
        <v>712</v>
      </c>
      <c r="D2867" s="68">
        <v>642</v>
      </c>
      <c r="E2867" s="68"/>
      <c r="F2867" s="68">
        <v>333</v>
      </c>
      <c r="G2867" s="68">
        <v>975</v>
      </c>
      <c r="H28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68" spans="1:8" hidden="1" x14ac:dyDescent="0.3">
      <c r="A2868" t="s">
        <v>1064</v>
      </c>
      <c r="B2868" t="s">
        <v>1122</v>
      </c>
      <c r="C2868" t="s">
        <v>36</v>
      </c>
      <c r="D2868" s="68">
        <v>162</v>
      </c>
      <c r="E2868" s="68"/>
      <c r="F2868" s="68">
        <v>26</v>
      </c>
      <c r="G2868" s="68">
        <v>188</v>
      </c>
      <c r="H28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69" spans="1:8" hidden="1" x14ac:dyDescent="0.3">
      <c r="A2869" t="s">
        <v>1064</v>
      </c>
      <c r="B2869" t="s">
        <v>1122</v>
      </c>
      <c r="C2869" t="s">
        <v>27</v>
      </c>
      <c r="D2869" s="68"/>
      <c r="E2869" s="68">
        <v>89</v>
      </c>
      <c r="F2869" s="68"/>
      <c r="G2869" s="68">
        <v>89</v>
      </c>
      <c r="H28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70" spans="1:8" hidden="1" x14ac:dyDescent="0.3">
      <c r="A2870" t="s">
        <v>1064</v>
      </c>
      <c r="B2870" t="s">
        <v>1122</v>
      </c>
      <c r="C2870" t="s">
        <v>5</v>
      </c>
      <c r="D2870" s="68">
        <v>13</v>
      </c>
      <c r="E2870" s="68"/>
      <c r="F2870" s="68"/>
      <c r="G2870" s="68">
        <v>13</v>
      </c>
      <c r="H28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71" spans="1:8" hidden="1" x14ac:dyDescent="0.3">
      <c r="A2871" t="s">
        <v>1064</v>
      </c>
      <c r="B2871" t="s">
        <v>1122</v>
      </c>
      <c r="C2871" t="s">
        <v>30</v>
      </c>
      <c r="D2871" s="68"/>
      <c r="E2871" s="68"/>
      <c r="F2871" s="68">
        <v>1</v>
      </c>
      <c r="G2871" s="68">
        <v>1</v>
      </c>
      <c r="H28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72" spans="1:8" hidden="1" x14ac:dyDescent="0.3">
      <c r="A2872" t="s">
        <v>1064</v>
      </c>
      <c r="B2872" t="s">
        <v>1123</v>
      </c>
      <c r="C2872" t="s">
        <v>26</v>
      </c>
      <c r="D2872" s="68">
        <v>366</v>
      </c>
      <c r="E2872" s="68"/>
      <c r="F2872" s="68">
        <v>999</v>
      </c>
      <c r="G2872" s="68">
        <v>1365</v>
      </c>
      <c r="H28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73" spans="1:8" hidden="1" x14ac:dyDescent="0.3">
      <c r="A2873" t="s">
        <v>1064</v>
      </c>
      <c r="B2873" t="s">
        <v>1123</v>
      </c>
      <c r="C2873" t="s">
        <v>37</v>
      </c>
      <c r="D2873" s="68">
        <v>291</v>
      </c>
      <c r="E2873" s="68"/>
      <c r="F2873" s="68">
        <v>627</v>
      </c>
      <c r="G2873" s="68">
        <v>918</v>
      </c>
      <c r="H28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74" spans="1:8" hidden="1" x14ac:dyDescent="0.3">
      <c r="A2874" t="s">
        <v>1064</v>
      </c>
      <c r="B2874" t="s">
        <v>1123</v>
      </c>
      <c r="C2874" t="s">
        <v>712</v>
      </c>
      <c r="D2874" s="68">
        <v>39</v>
      </c>
      <c r="E2874" s="68"/>
      <c r="F2874" s="68">
        <v>80</v>
      </c>
      <c r="G2874" s="68">
        <v>119</v>
      </c>
      <c r="H28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75" spans="1:8" hidden="1" x14ac:dyDescent="0.3">
      <c r="A2875" t="s">
        <v>1064</v>
      </c>
      <c r="B2875" t="s">
        <v>1123</v>
      </c>
      <c r="C2875" t="s">
        <v>36</v>
      </c>
      <c r="D2875" s="68">
        <v>40</v>
      </c>
      <c r="E2875" s="68"/>
      <c r="F2875" s="68">
        <v>22</v>
      </c>
      <c r="G2875" s="68">
        <v>62</v>
      </c>
      <c r="H28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76" spans="1:8" hidden="1" x14ac:dyDescent="0.3">
      <c r="A2876" t="s">
        <v>1064</v>
      </c>
      <c r="B2876" t="s">
        <v>1123</v>
      </c>
      <c r="C2876" t="s">
        <v>27</v>
      </c>
      <c r="D2876" s="68"/>
      <c r="E2876" s="68">
        <v>55</v>
      </c>
      <c r="F2876" s="68"/>
      <c r="G2876" s="68">
        <v>55</v>
      </c>
      <c r="H28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77" spans="1:8" hidden="1" x14ac:dyDescent="0.3">
      <c r="A2877" t="s">
        <v>1064</v>
      </c>
      <c r="B2877" t="s">
        <v>1123</v>
      </c>
      <c r="C2877" t="s">
        <v>5</v>
      </c>
      <c r="D2877" s="68"/>
      <c r="E2877" s="68"/>
      <c r="F2877" s="68">
        <v>1</v>
      </c>
      <c r="G2877" s="68">
        <v>1</v>
      </c>
      <c r="H28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78" spans="1:8" hidden="1" x14ac:dyDescent="0.3">
      <c r="A2878" t="s">
        <v>1064</v>
      </c>
      <c r="B2878" t="s">
        <v>1124</v>
      </c>
      <c r="C2878" t="s">
        <v>5</v>
      </c>
      <c r="D2878" s="68">
        <v>157</v>
      </c>
      <c r="E2878" s="68"/>
      <c r="F2878" s="68">
        <v>1286</v>
      </c>
      <c r="G2878" s="68">
        <v>1443</v>
      </c>
      <c r="H28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79" spans="1:8" hidden="1" x14ac:dyDescent="0.3">
      <c r="A2879" t="s">
        <v>1064</v>
      </c>
      <c r="B2879" t="s">
        <v>1124</v>
      </c>
      <c r="C2879" t="s">
        <v>26</v>
      </c>
      <c r="D2879" s="68">
        <v>124</v>
      </c>
      <c r="E2879" s="68"/>
      <c r="F2879" s="68">
        <v>294</v>
      </c>
      <c r="G2879" s="68">
        <v>418</v>
      </c>
      <c r="H28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80" spans="1:8" hidden="1" x14ac:dyDescent="0.3">
      <c r="A2880" t="s">
        <v>1064</v>
      </c>
      <c r="B2880" t="s">
        <v>1124</v>
      </c>
      <c r="C2880" t="s">
        <v>27</v>
      </c>
      <c r="D2880" s="68"/>
      <c r="E2880" s="68">
        <v>32</v>
      </c>
      <c r="F2880" s="68"/>
      <c r="G2880" s="68">
        <v>32</v>
      </c>
      <c r="H28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81" spans="1:8" hidden="1" x14ac:dyDescent="0.3">
      <c r="A2881" t="s">
        <v>1064</v>
      </c>
      <c r="B2881" t="s">
        <v>1124</v>
      </c>
      <c r="C2881" t="s">
        <v>36</v>
      </c>
      <c r="D2881" s="68">
        <v>3</v>
      </c>
      <c r="E2881" s="68"/>
      <c r="F2881" s="68"/>
      <c r="G2881" s="68">
        <v>3</v>
      </c>
      <c r="H28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82" spans="1:8" hidden="1" x14ac:dyDescent="0.3">
      <c r="A2882" t="s">
        <v>1064</v>
      </c>
      <c r="B2882" t="s">
        <v>1125</v>
      </c>
      <c r="C2882" t="s">
        <v>37</v>
      </c>
      <c r="D2882" s="68">
        <v>474</v>
      </c>
      <c r="E2882" s="68"/>
      <c r="F2882" s="68">
        <v>1419</v>
      </c>
      <c r="G2882" s="68">
        <v>1893</v>
      </c>
      <c r="H28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83" spans="1:8" hidden="1" x14ac:dyDescent="0.3">
      <c r="A2883" t="s">
        <v>1064</v>
      </c>
      <c r="B2883" t="s">
        <v>1125</v>
      </c>
      <c r="C2883" t="s">
        <v>26</v>
      </c>
      <c r="D2883" s="68">
        <v>201</v>
      </c>
      <c r="E2883" s="68"/>
      <c r="F2883" s="68">
        <v>1316</v>
      </c>
      <c r="G2883" s="68">
        <v>1517</v>
      </c>
      <c r="H28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84" spans="1:8" hidden="1" x14ac:dyDescent="0.3">
      <c r="A2884" t="s">
        <v>1064</v>
      </c>
      <c r="B2884" t="s">
        <v>1125</v>
      </c>
      <c r="C2884" t="s">
        <v>27</v>
      </c>
      <c r="D2884" s="68"/>
      <c r="E2884" s="68">
        <v>101</v>
      </c>
      <c r="F2884" s="68"/>
      <c r="G2884" s="68">
        <v>101</v>
      </c>
      <c r="H28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85" spans="1:8" hidden="1" x14ac:dyDescent="0.3">
      <c r="A2885" t="s">
        <v>1064</v>
      </c>
      <c r="B2885" t="s">
        <v>1125</v>
      </c>
      <c r="C2885" t="s">
        <v>36</v>
      </c>
      <c r="D2885" s="68">
        <v>10</v>
      </c>
      <c r="E2885" s="68"/>
      <c r="F2885" s="68">
        <v>11</v>
      </c>
      <c r="G2885" s="68">
        <v>21</v>
      </c>
      <c r="H28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86" spans="1:8" hidden="1" x14ac:dyDescent="0.3">
      <c r="A2886" t="s">
        <v>1064</v>
      </c>
      <c r="B2886" t="s">
        <v>1125</v>
      </c>
      <c r="C2886" t="s">
        <v>5</v>
      </c>
      <c r="D2886" s="68">
        <v>2</v>
      </c>
      <c r="E2886" s="68"/>
      <c r="F2886" s="68"/>
      <c r="G2886" s="68">
        <v>2</v>
      </c>
      <c r="H28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87" spans="1:8" hidden="1" x14ac:dyDescent="0.3">
      <c r="A2887" t="s">
        <v>1064</v>
      </c>
      <c r="B2887" t="s">
        <v>1126</v>
      </c>
      <c r="C2887" t="s">
        <v>37</v>
      </c>
      <c r="D2887" s="68">
        <v>4487</v>
      </c>
      <c r="E2887" s="68"/>
      <c r="F2887" s="68">
        <v>7929</v>
      </c>
      <c r="G2887" s="68">
        <v>12416</v>
      </c>
      <c r="H28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88" spans="1:8" hidden="1" x14ac:dyDescent="0.3">
      <c r="A2888" t="s">
        <v>1064</v>
      </c>
      <c r="B2888" t="s">
        <v>1126</v>
      </c>
      <c r="C2888" t="s">
        <v>26</v>
      </c>
      <c r="D2888" s="68">
        <v>3205</v>
      </c>
      <c r="E2888" s="68"/>
      <c r="F2888" s="68">
        <v>6142</v>
      </c>
      <c r="G2888" s="68">
        <v>9347</v>
      </c>
      <c r="H28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89" spans="1:8" hidden="1" x14ac:dyDescent="0.3">
      <c r="A2889" t="s">
        <v>1064</v>
      </c>
      <c r="B2889" t="s">
        <v>1126</v>
      </c>
      <c r="C2889" t="s">
        <v>36</v>
      </c>
      <c r="D2889" s="68">
        <v>702</v>
      </c>
      <c r="E2889" s="68"/>
      <c r="F2889" s="68">
        <v>1811</v>
      </c>
      <c r="G2889" s="68">
        <v>2513</v>
      </c>
      <c r="H28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90" spans="1:8" hidden="1" x14ac:dyDescent="0.3">
      <c r="A2890" t="s">
        <v>1064</v>
      </c>
      <c r="B2890" t="s">
        <v>1126</v>
      </c>
      <c r="C2890" t="s">
        <v>27</v>
      </c>
      <c r="D2890" s="68"/>
      <c r="E2890" s="68">
        <v>789</v>
      </c>
      <c r="F2890" s="68"/>
      <c r="G2890" s="68">
        <v>789</v>
      </c>
      <c r="H28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91" spans="1:8" hidden="1" x14ac:dyDescent="0.3">
      <c r="A2891" t="s">
        <v>1064</v>
      </c>
      <c r="B2891" t="s">
        <v>1126</v>
      </c>
      <c r="C2891" t="s">
        <v>712</v>
      </c>
      <c r="D2891" s="68">
        <v>171</v>
      </c>
      <c r="E2891" s="68"/>
      <c r="F2891" s="68">
        <v>78</v>
      </c>
      <c r="G2891" s="68">
        <v>249</v>
      </c>
      <c r="H28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92" spans="1:8" hidden="1" x14ac:dyDescent="0.3">
      <c r="A2892" t="s">
        <v>1064</v>
      </c>
      <c r="B2892" t="s">
        <v>1126</v>
      </c>
      <c r="C2892" t="s">
        <v>5</v>
      </c>
      <c r="D2892" s="68">
        <v>9</v>
      </c>
      <c r="E2892" s="68"/>
      <c r="F2892" s="68">
        <v>2</v>
      </c>
      <c r="G2892" s="68">
        <v>11</v>
      </c>
      <c r="H28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93" spans="1:8" hidden="1" x14ac:dyDescent="0.3">
      <c r="A2893" t="s">
        <v>1064</v>
      </c>
      <c r="B2893" t="s">
        <v>1127</v>
      </c>
      <c r="C2893" t="s">
        <v>31</v>
      </c>
      <c r="D2893" s="68">
        <v>234</v>
      </c>
      <c r="E2893" s="68"/>
      <c r="F2893" s="68">
        <v>2699</v>
      </c>
      <c r="G2893" s="68">
        <v>2933</v>
      </c>
      <c r="H28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94" spans="1:8" hidden="1" x14ac:dyDescent="0.3">
      <c r="A2894" t="s">
        <v>1064</v>
      </c>
      <c r="B2894" t="s">
        <v>1127</v>
      </c>
      <c r="C2894" t="s">
        <v>26</v>
      </c>
      <c r="D2894" s="68">
        <v>88</v>
      </c>
      <c r="E2894" s="68"/>
      <c r="F2894" s="68">
        <v>81</v>
      </c>
      <c r="G2894" s="68">
        <v>169</v>
      </c>
      <c r="H28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95" spans="1:8" hidden="1" x14ac:dyDescent="0.3">
      <c r="A2895" t="s">
        <v>1064</v>
      </c>
      <c r="B2895" t="s">
        <v>1127</v>
      </c>
      <c r="C2895" t="s">
        <v>27</v>
      </c>
      <c r="D2895" s="68"/>
      <c r="E2895" s="68">
        <v>73</v>
      </c>
      <c r="F2895" s="68"/>
      <c r="G2895" s="68">
        <v>73</v>
      </c>
      <c r="H28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96" spans="1:8" hidden="1" x14ac:dyDescent="0.3">
      <c r="A2896" t="s">
        <v>1064</v>
      </c>
      <c r="B2896" t="s">
        <v>1127</v>
      </c>
      <c r="C2896" t="s">
        <v>36</v>
      </c>
      <c r="D2896" s="68">
        <v>11</v>
      </c>
      <c r="E2896" s="68"/>
      <c r="F2896" s="68">
        <v>39</v>
      </c>
      <c r="G2896" s="68">
        <v>50</v>
      </c>
      <c r="H28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97" spans="1:8" hidden="1" x14ac:dyDescent="0.3">
      <c r="A2897" t="s">
        <v>1064</v>
      </c>
      <c r="B2897" t="s">
        <v>1128</v>
      </c>
      <c r="C2897" t="s">
        <v>36</v>
      </c>
      <c r="D2897" s="68">
        <v>194</v>
      </c>
      <c r="E2897" s="68"/>
      <c r="F2897" s="68">
        <v>2413</v>
      </c>
      <c r="G2897" s="68">
        <v>2607</v>
      </c>
      <c r="H28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98" spans="1:8" hidden="1" x14ac:dyDescent="0.3">
      <c r="A2898" t="s">
        <v>1064</v>
      </c>
      <c r="B2898" t="s">
        <v>1128</v>
      </c>
      <c r="C2898" t="s">
        <v>26</v>
      </c>
      <c r="D2898" s="68">
        <v>148</v>
      </c>
      <c r="E2898" s="68"/>
      <c r="F2898" s="68">
        <v>345</v>
      </c>
      <c r="G2898" s="68">
        <v>493</v>
      </c>
      <c r="H28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99" spans="1:8" hidden="1" x14ac:dyDescent="0.3">
      <c r="A2899" t="s">
        <v>1064</v>
      </c>
      <c r="B2899" t="s">
        <v>1128</v>
      </c>
      <c r="C2899" t="s">
        <v>27</v>
      </c>
      <c r="D2899" s="68"/>
      <c r="E2899" s="68">
        <v>43</v>
      </c>
      <c r="F2899" s="68"/>
      <c r="G2899" s="68">
        <v>43</v>
      </c>
      <c r="H28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00" spans="1:8" hidden="1" x14ac:dyDescent="0.3">
      <c r="A2900" t="s">
        <v>1064</v>
      </c>
      <c r="B2900" t="s">
        <v>1128</v>
      </c>
      <c r="C2900" t="s">
        <v>5</v>
      </c>
      <c r="D2900" s="68">
        <v>3</v>
      </c>
      <c r="E2900" s="68"/>
      <c r="F2900" s="68">
        <v>1</v>
      </c>
      <c r="G2900" s="68">
        <v>4</v>
      </c>
      <c r="H29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01" spans="1:8" hidden="1" x14ac:dyDescent="0.3">
      <c r="A2901" t="s">
        <v>1064</v>
      </c>
      <c r="B2901" t="s">
        <v>1129</v>
      </c>
      <c r="C2901" t="s">
        <v>26</v>
      </c>
      <c r="D2901" s="68">
        <v>2070</v>
      </c>
      <c r="E2901" s="68"/>
      <c r="F2901" s="68">
        <v>1622</v>
      </c>
      <c r="G2901" s="68">
        <v>3692</v>
      </c>
      <c r="H29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02" spans="1:8" hidden="1" x14ac:dyDescent="0.3">
      <c r="A2902" t="s">
        <v>1064</v>
      </c>
      <c r="B2902" t="s">
        <v>1129</v>
      </c>
      <c r="C2902" t="s">
        <v>5</v>
      </c>
      <c r="D2902" s="68">
        <v>437</v>
      </c>
      <c r="E2902" s="68"/>
      <c r="F2902" s="68">
        <v>1926</v>
      </c>
      <c r="G2902" s="68">
        <v>2363</v>
      </c>
      <c r="H29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03" spans="1:8" hidden="1" x14ac:dyDescent="0.3">
      <c r="A2903" t="s">
        <v>1064</v>
      </c>
      <c r="B2903" t="s">
        <v>1129</v>
      </c>
      <c r="C2903" t="s">
        <v>27</v>
      </c>
      <c r="D2903" s="68"/>
      <c r="E2903" s="68">
        <v>155</v>
      </c>
      <c r="F2903" s="68"/>
      <c r="G2903" s="68">
        <v>155</v>
      </c>
      <c r="H29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04" spans="1:8" hidden="1" x14ac:dyDescent="0.3">
      <c r="A2904" t="s">
        <v>1064</v>
      </c>
      <c r="B2904" t="s">
        <v>1129</v>
      </c>
      <c r="C2904" t="s">
        <v>36</v>
      </c>
      <c r="D2904" s="68">
        <v>42</v>
      </c>
      <c r="E2904" s="68"/>
      <c r="F2904" s="68">
        <v>5</v>
      </c>
      <c r="G2904" s="68">
        <v>47</v>
      </c>
      <c r="H29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05" spans="1:8" hidden="1" x14ac:dyDescent="0.3">
      <c r="A2905" t="s">
        <v>1064</v>
      </c>
      <c r="B2905" t="s">
        <v>1130</v>
      </c>
      <c r="C2905" t="s">
        <v>37</v>
      </c>
      <c r="D2905" s="68">
        <v>437</v>
      </c>
      <c r="E2905" s="68"/>
      <c r="F2905" s="68">
        <v>3336</v>
      </c>
      <c r="G2905" s="68">
        <v>3773</v>
      </c>
      <c r="H29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06" spans="1:8" hidden="1" x14ac:dyDescent="0.3">
      <c r="A2906" t="s">
        <v>1064</v>
      </c>
      <c r="B2906" t="s">
        <v>1130</v>
      </c>
      <c r="C2906" t="s">
        <v>26</v>
      </c>
      <c r="D2906" s="68">
        <v>226</v>
      </c>
      <c r="E2906" s="68"/>
      <c r="F2906" s="68">
        <v>3143</v>
      </c>
      <c r="G2906" s="68">
        <v>3369</v>
      </c>
      <c r="H29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07" spans="1:8" hidden="1" x14ac:dyDescent="0.3">
      <c r="A2907" t="s">
        <v>1064</v>
      </c>
      <c r="B2907" t="s">
        <v>1130</v>
      </c>
      <c r="C2907" t="s">
        <v>36</v>
      </c>
      <c r="D2907" s="68">
        <v>9</v>
      </c>
      <c r="E2907" s="68"/>
      <c r="F2907" s="68">
        <v>123</v>
      </c>
      <c r="G2907" s="68">
        <v>132</v>
      </c>
      <c r="H29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08" spans="1:8" hidden="1" x14ac:dyDescent="0.3">
      <c r="A2908" t="s">
        <v>1064</v>
      </c>
      <c r="B2908" t="s">
        <v>1130</v>
      </c>
      <c r="C2908" t="s">
        <v>27</v>
      </c>
      <c r="D2908" s="68"/>
      <c r="E2908" s="68">
        <v>109</v>
      </c>
      <c r="F2908" s="68"/>
      <c r="G2908" s="68">
        <v>109</v>
      </c>
      <c r="H29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09" spans="1:8" hidden="1" x14ac:dyDescent="0.3">
      <c r="A2909" t="s">
        <v>1064</v>
      </c>
      <c r="B2909" t="s">
        <v>1130</v>
      </c>
      <c r="C2909" t="s">
        <v>5</v>
      </c>
      <c r="D2909" s="68">
        <v>1</v>
      </c>
      <c r="E2909" s="68"/>
      <c r="F2909" s="68">
        <v>7</v>
      </c>
      <c r="G2909" s="68">
        <v>8</v>
      </c>
      <c r="H29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10" spans="1:8" hidden="1" x14ac:dyDescent="0.3">
      <c r="A2910" t="s">
        <v>1064</v>
      </c>
      <c r="B2910" t="s">
        <v>1131</v>
      </c>
      <c r="C2910" t="s">
        <v>26</v>
      </c>
      <c r="D2910" s="68">
        <v>1725</v>
      </c>
      <c r="E2910" s="68"/>
      <c r="F2910" s="68">
        <v>2824</v>
      </c>
      <c r="G2910" s="68">
        <v>4549</v>
      </c>
      <c r="H29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11" spans="1:8" hidden="1" x14ac:dyDescent="0.3">
      <c r="A2911" t="s">
        <v>1064</v>
      </c>
      <c r="B2911" t="s">
        <v>1131</v>
      </c>
      <c r="C2911" t="s">
        <v>36</v>
      </c>
      <c r="D2911" s="68">
        <v>397</v>
      </c>
      <c r="E2911" s="68"/>
      <c r="F2911" s="68">
        <v>3154</v>
      </c>
      <c r="G2911" s="68">
        <v>3551</v>
      </c>
      <c r="H29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12" spans="1:8" hidden="1" x14ac:dyDescent="0.3">
      <c r="A2912" t="s">
        <v>1064</v>
      </c>
      <c r="B2912" t="s">
        <v>1131</v>
      </c>
      <c r="C2912" t="s">
        <v>27</v>
      </c>
      <c r="D2912" s="68"/>
      <c r="E2912" s="68">
        <v>405</v>
      </c>
      <c r="F2912" s="68"/>
      <c r="G2912" s="68">
        <v>405</v>
      </c>
      <c r="H29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13" spans="1:8" hidden="1" x14ac:dyDescent="0.3">
      <c r="A2913" t="s">
        <v>1064</v>
      </c>
      <c r="B2913" t="s">
        <v>1131</v>
      </c>
      <c r="C2913" t="s">
        <v>5</v>
      </c>
      <c r="D2913" s="68">
        <v>2</v>
      </c>
      <c r="E2913" s="68"/>
      <c r="F2913" s="68"/>
      <c r="G2913" s="68">
        <v>2</v>
      </c>
      <c r="H29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14" spans="1:8" hidden="1" x14ac:dyDescent="0.3">
      <c r="A2914" t="s">
        <v>1064</v>
      </c>
      <c r="B2914" t="s">
        <v>1132</v>
      </c>
      <c r="C2914" t="s">
        <v>36</v>
      </c>
      <c r="D2914" s="68">
        <v>60</v>
      </c>
      <c r="E2914" s="68"/>
      <c r="F2914" s="68">
        <v>1076</v>
      </c>
      <c r="G2914" s="68">
        <v>1136</v>
      </c>
      <c r="H29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15" spans="1:8" hidden="1" x14ac:dyDescent="0.3">
      <c r="A2915" t="s">
        <v>1064</v>
      </c>
      <c r="B2915" t="s">
        <v>1132</v>
      </c>
      <c r="C2915" t="s">
        <v>26</v>
      </c>
      <c r="D2915" s="68">
        <v>53</v>
      </c>
      <c r="E2915" s="68"/>
      <c r="F2915" s="68">
        <v>128</v>
      </c>
      <c r="G2915" s="68">
        <v>181</v>
      </c>
      <c r="H29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16" spans="1:8" hidden="1" x14ac:dyDescent="0.3">
      <c r="A2916" t="s">
        <v>1064</v>
      </c>
      <c r="B2916" t="s">
        <v>1132</v>
      </c>
      <c r="C2916" t="s">
        <v>27</v>
      </c>
      <c r="D2916" s="68"/>
      <c r="E2916" s="68">
        <v>21</v>
      </c>
      <c r="F2916" s="68"/>
      <c r="G2916" s="68">
        <v>21</v>
      </c>
      <c r="H29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17" spans="1:8" hidden="1" x14ac:dyDescent="0.3">
      <c r="A2917" t="s">
        <v>1064</v>
      </c>
      <c r="B2917" t="s">
        <v>1133</v>
      </c>
      <c r="C2917" t="s">
        <v>5</v>
      </c>
      <c r="D2917" s="68">
        <v>306</v>
      </c>
      <c r="E2917" s="68"/>
      <c r="F2917" s="68">
        <v>1964</v>
      </c>
      <c r="G2917" s="68">
        <v>2270</v>
      </c>
      <c r="H29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18" spans="1:8" hidden="1" x14ac:dyDescent="0.3">
      <c r="A2918" t="s">
        <v>1064</v>
      </c>
      <c r="B2918" t="s">
        <v>1133</v>
      </c>
      <c r="C2918" t="s">
        <v>26</v>
      </c>
      <c r="D2918" s="68">
        <v>149</v>
      </c>
      <c r="E2918" s="68"/>
      <c r="F2918" s="68">
        <v>288</v>
      </c>
      <c r="G2918" s="68">
        <v>437</v>
      </c>
      <c r="H29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19" spans="1:8" hidden="1" x14ac:dyDescent="0.3">
      <c r="A2919" t="s">
        <v>1064</v>
      </c>
      <c r="B2919" t="s">
        <v>1133</v>
      </c>
      <c r="C2919" t="s">
        <v>27</v>
      </c>
      <c r="D2919" s="68"/>
      <c r="E2919" s="68">
        <v>29</v>
      </c>
      <c r="F2919" s="68"/>
      <c r="G2919" s="68">
        <v>29</v>
      </c>
      <c r="H29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20" spans="1:8" hidden="1" x14ac:dyDescent="0.3">
      <c r="A2920" t="s">
        <v>1064</v>
      </c>
      <c r="B2920" t="s">
        <v>1133</v>
      </c>
      <c r="C2920" t="s">
        <v>36</v>
      </c>
      <c r="D2920" s="68">
        <v>3</v>
      </c>
      <c r="E2920" s="68"/>
      <c r="F2920" s="68">
        <v>2</v>
      </c>
      <c r="G2920" s="68">
        <v>5</v>
      </c>
      <c r="H29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21" spans="1:8" hidden="1" x14ac:dyDescent="0.3">
      <c r="A2921" t="s">
        <v>1064</v>
      </c>
      <c r="B2921" t="s">
        <v>1134</v>
      </c>
      <c r="C2921" t="s">
        <v>26</v>
      </c>
      <c r="D2921" s="68">
        <v>312</v>
      </c>
      <c r="E2921" s="68"/>
      <c r="F2921" s="68">
        <v>1935</v>
      </c>
      <c r="G2921" s="68">
        <v>2247</v>
      </c>
      <c r="H29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22" spans="1:8" hidden="1" x14ac:dyDescent="0.3">
      <c r="A2922" t="s">
        <v>1064</v>
      </c>
      <c r="B2922" t="s">
        <v>1134</v>
      </c>
      <c r="C2922" t="s">
        <v>37</v>
      </c>
      <c r="D2922" s="68">
        <v>486</v>
      </c>
      <c r="E2922" s="68"/>
      <c r="F2922" s="68">
        <v>1752</v>
      </c>
      <c r="G2922" s="68">
        <v>2238</v>
      </c>
      <c r="H29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23" spans="1:8" hidden="1" x14ac:dyDescent="0.3">
      <c r="A2923" t="s">
        <v>1064</v>
      </c>
      <c r="B2923" t="s">
        <v>1134</v>
      </c>
      <c r="C2923" t="s">
        <v>27</v>
      </c>
      <c r="D2923" s="68"/>
      <c r="E2923" s="68">
        <v>70</v>
      </c>
      <c r="F2923" s="68"/>
      <c r="G2923" s="68">
        <v>70</v>
      </c>
      <c r="H29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24" spans="1:8" hidden="1" x14ac:dyDescent="0.3">
      <c r="A2924" t="s">
        <v>1064</v>
      </c>
      <c r="B2924" t="s">
        <v>1134</v>
      </c>
      <c r="C2924" t="s">
        <v>36</v>
      </c>
      <c r="D2924" s="68">
        <v>13</v>
      </c>
      <c r="E2924" s="68"/>
      <c r="F2924" s="68">
        <v>1</v>
      </c>
      <c r="G2924" s="68">
        <v>14</v>
      </c>
      <c r="H29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25" spans="1:8" hidden="1" x14ac:dyDescent="0.3">
      <c r="A2925" t="s">
        <v>1064</v>
      </c>
      <c r="B2925" t="s">
        <v>1134</v>
      </c>
      <c r="C2925" t="s">
        <v>30</v>
      </c>
      <c r="D2925" s="68"/>
      <c r="E2925" s="68"/>
      <c r="F2925" s="68">
        <v>1</v>
      </c>
      <c r="G2925" s="68">
        <v>1</v>
      </c>
      <c r="H29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26" spans="1:8" hidden="1" x14ac:dyDescent="0.3">
      <c r="A2926" t="s">
        <v>1064</v>
      </c>
      <c r="B2926" t="s">
        <v>1135</v>
      </c>
      <c r="C2926" t="s">
        <v>36</v>
      </c>
      <c r="D2926" s="68">
        <v>190</v>
      </c>
      <c r="E2926" s="68"/>
      <c r="F2926" s="68">
        <v>3399</v>
      </c>
      <c r="G2926" s="68">
        <v>3589</v>
      </c>
      <c r="H29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27" spans="1:8" hidden="1" x14ac:dyDescent="0.3">
      <c r="A2927" t="s">
        <v>1064</v>
      </c>
      <c r="B2927" t="s">
        <v>1135</v>
      </c>
      <c r="C2927" t="s">
        <v>26</v>
      </c>
      <c r="D2927" s="68">
        <v>78</v>
      </c>
      <c r="E2927" s="68"/>
      <c r="F2927" s="68">
        <v>417</v>
      </c>
      <c r="G2927" s="68">
        <v>495</v>
      </c>
      <c r="H29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28" spans="1:8" hidden="1" x14ac:dyDescent="0.3">
      <c r="A2928" t="s">
        <v>1064</v>
      </c>
      <c r="B2928" t="s">
        <v>1135</v>
      </c>
      <c r="C2928" t="s">
        <v>27</v>
      </c>
      <c r="D2928" s="68"/>
      <c r="E2928" s="68">
        <v>71</v>
      </c>
      <c r="F2928" s="68"/>
      <c r="G2928" s="68">
        <v>71</v>
      </c>
      <c r="H29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29" spans="1:8" hidden="1" x14ac:dyDescent="0.3">
      <c r="A2929" t="s">
        <v>1064</v>
      </c>
      <c r="B2929" t="s">
        <v>1135</v>
      </c>
      <c r="C2929" t="s">
        <v>5</v>
      </c>
      <c r="D2929" s="68"/>
      <c r="E2929" s="68"/>
      <c r="F2929" s="68">
        <v>5</v>
      </c>
      <c r="G2929" s="68">
        <v>5</v>
      </c>
      <c r="H29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30" spans="1:8" hidden="1" x14ac:dyDescent="0.3">
      <c r="A2930" t="s">
        <v>1064</v>
      </c>
      <c r="B2930" t="s">
        <v>1135</v>
      </c>
      <c r="C2930" t="s">
        <v>34</v>
      </c>
      <c r="D2930" s="68">
        <v>2</v>
      </c>
      <c r="E2930" s="68"/>
      <c r="F2930" s="68"/>
      <c r="G2930" s="68">
        <v>2</v>
      </c>
      <c r="H29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31" spans="1:8" hidden="1" x14ac:dyDescent="0.3">
      <c r="A2931" t="s">
        <v>1064</v>
      </c>
      <c r="B2931" t="s">
        <v>1136</v>
      </c>
      <c r="C2931" t="s">
        <v>37</v>
      </c>
      <c r="D2931" s="68">
        <v>741</v>
      </c>
      <c r="E2931" s="68"/>
      <c r="F2931" s="68">
        <v>1007</v>
      </c>
      <c r="G2931" s="68">
        <v>1748</v>
      </c>
      <c r="H29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32" spans="1:8" hidden="1" x14ac:dyDescent="0.3">
      <c r="A2932" t="s">
        <v>1064</v>
      </c>
      <c r="B2932" t="s">
        <v>1136</v>
      </c>
      <c r="C2932" t="s">
        <v>26</v>
      </c>
      <c r="D2932" s="68">
        <v>525</v>
      </c>
      <c r="E2932" s="68"/>
      <c r="F2932" s="68">
        <v>941</v>
      </c>
      <c r="G2932" s="68">
        <v>1466</v>
      </c>
      <c r="H29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33" spans="1:8" hidden="1" x14ac:dyDescent="0.3">
      <c r="A2933" t="s">
        <v>1064</v>
      </c>
      <c r="B2933" t="s">
        <v>1136</v>
      </c>
      <c r="C2933" t="s">
        <v>31</v>
      </c>
      <c r="D2933" s="68">
        <v>47</v>
      </c>
      <c r="E2933" s="68"/>
      <c r="F2933" s="68">
        <v>873</v>
      </c>
      <c r="G2933" s="68">
        <v>920</v>
      </c>
      <c r="H29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34" spans="1:8" hidden="1" x14ac:dyDescent="0.3">
      <c r="A2934" t="s">
        <v>1064</v>
      </c>
      <c r="B2934" t="s">
        <v>1136</v>
      </c>
      <c r="C2934" t="s">
        <v>36</v>
      </c>
      <c r="D2934" s="68">
        <v>261</v>
      </c>
      <c r="E2934" s="68"/>
      <c r="F2934" s="68">
        <v>474</v>
      </c>
      <c r="G2934" s="68">
        <v>735</v>
      </c>
      <c r="H29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35" spans="1:8" hidden="1" x14ac:dyDescent="0.3">
      <c r="A2935" t="s">
        <v>1064</v>
      </c>
      <c r="B2935" t="s">
        <v>1136</v>
      </c>
      <c r="C2935" t="s">
        <v>712</v>
      </c>
      <c r="D2935" s="68">
        <v>241</v>
      </c>
      <c r="E2935" s="68"/>
      <c r="F2935" s="68">
        <v>280</v>
      </c>
      <c r="G2935" s="68">
        <v>521</v>
      </c>
      <c r="H29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36" spans="1:8" hidden="1" x14ac:dyDescent="0.3">
      <c r="A2936" t="s">
        <v>1064</v>
      </c>
      <c r="B2936" t="s">
        <v>1136</v>
      </c>
      <c r="C2936" t="s">
        <v>27</v>
      </c>
      <c r="D2936" s="68"/>
      <c r="E2936" s="68">
        <v>64</v>
      </c>
      <c r="F2936" s="68"/>
      <c r="G2936" s="68">
        <v>64</v>
      </c>
      <c r="H29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37" spans="1:8" hidden="1" x14ac:dyDescent="0.3">
      <c r="A2937" t="s">
        <v>1064</v>
      </c>
      <c r="B2937" t="s">
        <v>1136</v>
      </c>
      <c r="C2937" t="s">
        <v>5</v>
      </c>
      <c r="D2937" s="68">
        <v>28</v>
      </c>
      <c r="E2937" s="68"/>
      <c r="F2937" s="68"/>
      <c r="G2937" s="68">
        <v>28</v>
      </c>
      <c r="H29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38" spans="1:8" hidden="1" x14ac:dyDescent="0.3">
      <c r="A2938" t="s">
        <v>1064</v>
      </c>
      <c r="B2938" t="s">
        <v>1137</v>
      </c>
      <c r="C2938" t="s">
        <v>26</v>
      </c>
      <c r="D2938" s="68">
        <v>646</v>
      </c>
      <c r="E2938" s="68"/>
      <c r="F2938" s="68">
        <v>2170</v>
      </c>
      <c r="G2938" s="68">
        <v>2816</v>
      </c>
      <c r="H29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39" spans="1:8" hidden="1" x14ac:dyDescent="0.3">
      <c r="A2939" t="s">
        <v>1064</v>
      </c>
      <c r="B2939" t="s">
        <v>1137</v>
      </c>
      <c r="C2939" t="s">
        <v>37</v>
      </c>
      <c r="D2939" s="68">
        <v>612</v>
      </c>
      <c r="E2939" s="68"/>
      <c r="F2939" s="68">
        <v>1638</v>
      </c>
      <c r="G2939" s="68">
        <v>2250</v>
      </c>
      <c r="H29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40" spans="1:8" hidden="1" x14ac:dyDescent="0.3">
      <c r="A2940" t="s">
        <v>1064</v>
      </c>
      <c r="B2940" t="s">
        <v>1137</v>
      </c>
      <c r="C2940" t="s">
        <v>712</v>
      </c>
      <c r="D2940" s="68">
        <v>361</v>
      </c>
      <c r="E2940" s="68"/>
      <c r="F2940" s="68">
        <v>801</v>
      </c>
      <c r="G2940" s="68">
        <v>1162</v>
      </c>
      <c r="H29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41" spans="1:8" hidden="1" x14ac:dyDescent="0.3">
      <c r="A2941" t="s">
        <v>1064</v>
      </c>
      <c r="B2941" t="s">
        <v>1137</v>
      </c>
      <c r="C2941" t="s">
        <v>27</v>
      </c>
      <c r="D2941" s="68"/>
      <c r="E2941" s="68">
        <v>76</v>
      </c>
      <c r="F2941" s="68"/>
      <c r="G2941" s="68">
        <v>76</v>
      </c>
      <c r="H29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42" spans="1:8" hidden="1" x14ac:dyDescent="0.3">
      <c r="A2942" t="s">
        <v>1064</v>
      </c>
      <c r="B2942" t="s">
        <v>1138</v>
      </c>
      <c r="C2942" t="s">
        <v>26</v>
      </c>
      <c r="D2942" s="68">
        <v>354</v>
      </c>
      <c r="E2942" s="68"/>
      <c r="F2942" s="68">
        <v>3181</v>
      </c>
      <c r="G2942" s="68">
        <v>3535</v>
      </c>
      <c r="H29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43" spans="1:8" hidden="1" x14ac:dyDescent="0.3">
      <c r="A2943" t="s">
        <v>1064</v>
      </c>
      <c r="B2943" t="s">
        <v>1138</v>
      </c>
      <c r="C2943" t="s">
        <v>37</v>
      </c>
      <c r="D2943" s="68">
        <v>242</v>
      </c>
      <c r="E2943" s="68"/>
      <c r="F2943" s="68">
        <v>1936</v>
      </c>
      <c r="G2943" s="68">
        <v>2178</v>
      </c>
      <c r="H29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44" spans="1:8" hidden="1" x14ac:dyDescent="0.3">
      <c r="A2944" t="s">
        <v>1064</v>
      </c>
      <c r="B2944" t="s">
        <v>1138</v>
      </c>
      <c r="C2944" t="s">
        <v>36</v>
      </c>
      <c r="D2944" s="68">
        <v>55</v>
      </c>
      <c r="E2944" s="68"/>
      <c r="F2944" s="68">
        <v>233</v>
      </c>
      <c r="G2944" s="68">
        <v>288</v>
      </c>
      <c r="H29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45" spans="1:8" hidden="1" x14ac:dyDescent="0.3">
      <c r="A2945" t="s">
        <v>1064</v>
      </c>
      <c r="B2945" t="s">
        <v>1138</v>
      </c>
      <c r="C2945" t="s">
        <v>27</v>
      </c>
      <c r="D2945" s="68"/>
      <c r="E2945" s="68">
        <v>158</v>
      </c>
      <c r="F2945" s="68"/>
      <c r="G2945" s="68">
        <v>158</v>
      </c>
      <c r="H29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46" spans="1:8" hidden="1" x14ac:dyDescent="0.3">
      <c r="A2946" t="s">
        <v>1064</v>
      </c>
      <c r="B2946" t="s">
        <v>1138</v>
      </c>
      <c r="C2946" t="s">
        <v>5</v>
      </c>
      <c r="D2946" s="68"/>
      <c r="E2946" s="68"/>
      <c r="F2946" s="68">
        <v>2</v>
      </c>
      <c r="G2946" s="68">
        <v>2</v>
      </c>
      <c r="H29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47" spans="1:8" hidden="1" x14ac:dyDescent="0.3">
      <c r="A2947" t="s">
        <v>1064</v>
      </c>
      <c r="B2947" t="s">
        <v>1139</v>
      </c>
      <c r="C2947" t="s">
        <v>36</v>
      </c>
      <c r="D2947" s="68">
        <v>201</v>
      </c>
      <c r="E2947" s="68"/>
      <c r="F2947" s="68">
        <v>2064</v>
      </c>
      <c r="G2947" s="68">
        <v>2265</v>
      </c>
      <c r="H29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48" spans="1:8" hidden="1" x14ac:dyDescent="0.3">
      <c r="A2948" t="s">
        <v>1064</v>
      </c>
      <c r="B2948" t="s">
        <v>1139</v>
      </c>
      <c r="C2948" t="s">
        <v>26</v>
      </c>
      <c r="D2948" s="68">
        <v>80</v>
      </c>
      <c r="E2948" s="68"/>
      <c r="F2948" s="68">
        <v>202</v>
      </c>
      <c r="G2948" s="68">
        <v>282</v>
      </c>
      <c r="H29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49" spans="1:8" hidden="1" x14ac:dyDescent="0.3">
      <c r="A2949" t="s">
        <v>1064</v>
      </c>
      <c r="B2949" t="s">
        <v>1139</v>
      </c>
      <c r="C2949" t="s">
        <v>27</v>
      </c>
      <c r="D2949" s="68"/>
      <c r="E2949" s="68">
        <v>51</v>
      </c>
      <c r="F2949" s="68"/>
      <c r="G2949" s="68">
        <v>51</v>
      </c>
      <c r="H29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50" spans="1:8" hidden="1" x14ac:dyDescent="0.3">
      <c r="A2950" t="s">
        <v>1064</v>
      </c>
      <c r="B2950" t="s">
        <v>1139</v>
      </c>
      <c r="C2950" t="s">
        <v>5</v>
      </c>
      <c r="D2950" s="68">
        <v>2</v>
      </c>
      <c r="E2950" s="68"/>
      <c r="F2950" s="68"/>
      <c r="G2950" s="68">
        <v>2</v>
      </c>
      <c r="H29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51" spans="1:8" hidden="1" x14ac:dyDescent="0.3">
      <c r="A2951" t="s">
        <v>1064</v>
      </c>
      <c r="B2951" t="s">
        <v>643</v>
      </c>
      <c r="C2951" t="s">
        <v>37</v>
      </c>
      <c r="D2951" s="68">
        <v>1480</v>
      </c>
      <c r="E2951" s="68"/>
      <c r="F2951" s="68">
        <v>2565</v>
      </c>
      <c r="G2951" s="68">
        <v>4045</v>
      </c>
      <c r="H29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52" spans="1:8" hidden="1" x14ac:dyDescent="0.3">
      <c r="A2952" t="s">
        <v>1064</v>
      </c>
      <c r="B2952" t="s">
        <v>643</v>
      </c>
      <c r="C2952" t="s">
        <v>26</v>
      </c>
      <c r="D2952" s="68">
        <v>636</v>
      </c>
      <c r="E2952" s="68"/>
      <c r="F2952" s="68">
        <v>2020</v>
      </c>
      <c r="G2952" s="68">
        <v>2656</v>
      </c>
      <c r="H29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53" spans="1:8" hidden="1" x14ac:dyDescent="0.3">
      <c r="A2953" t="s">
        <v>1064</v>
      </c>
      <c r="B2953" t="s">
        <v>643</v>
      </c>
      <c r="C2953" t="s">
        <v>27</v>
      </c>
      <c r="D2953" s="68"/>
      <c r="E2953" s="68">
        <v>76</v>
      </c>
      <c r="F2953" s="68"/>
      <c r="G2953" s="68">
        <v>76</v>
      </c>
      <c r="H29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54" spans="1:8" hidden="1" x14ac:dyDescent="0.3">
      <c r="A2954" t="s">
        <v>1064</v>
      </c>
      <c r="B2954" t="s">
        <v>643</v>
      </c>
      <c r="C2954" t="s">
        <v>36</v>
      </c>
      <c r="D2954" s="68">
        <v>51</v>
      </c>
      <c r="E2954" s="68"/>
      <c r="F2954" s="68">
        <v>22</v>
      </c>
      <c r="G2954" s="68">
        <v>73</v>
      </c>
      <c r="H29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55" spans="1:8" hidden="1" x14ac:dyDescent="0.3">
      <c r="A2955" t="s">
        <v>1064</v>
      </c>
      <c r="B2955" t="s">
        <v>643</v>
      </c>
      <c r="C2955" t="s">
        <v>5</v>
      </c>
      <c r="D2955" s="68">
        <v>4</v>
      </c>
      <c r="E2955" s="68"/>
      <c r="F2955" s="68">
        <v>2</v>
      </c>
      <c r="G2955" s="68">
        <v>6</v>
      </c>
      <c r="H29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56" spans="1:8" hidden="1" x14ac:dyDescent="0.3">
      <c r="A2956" t="s">
        <v>1064</v>
      </c>
      <c r="B2956" t="s">
        <v>1140</v>
      </c>
      <c r="C2956" t="s">
        <v>36</v>
      </c>
      <c r="D2956" s="68">
        <v>475</v>
      </c>
      <c r="E2956" s="68"/>
      <c r="F2956" s="68">
        <v>4548</v>
      </c>
      <c r="G2956" s="68">
        <v>5023</v>
      </c>
      <c r="H29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57" spans="1:8" hidden="1" x14ac:dyDescent="0.3">
      <c r="A2957" t="s">
        <v>1064</v>
      </c>
      <c r="B2957" t="s">
        <v>1140</v>
      </c>
      <c r="C2957" t="s">
        <v>26</v>
      </c>
      <c r="D2957" s="68">
        <v>503</v>
      </c>
      <c r="E2957" s="68"/>
      <c r="F2957" s="68">
        <v>768</v>
      </c>
      <c r="G2957" s="68">
        <v>1271</v>
      </c>
      <c r="H29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58" spans="1:8" hidden="1" x14ac:dyDescent="0.3">
      <c r="A2958" t="s">
        <v>1064</v>
      </c>
      <c r="B2958" t="s">
        <v>1140</v>
      </c>
      <c r="C2958" t="s">
        <v>27</v>
      </c>
      <c r="D2958" s="68"/>
      <c r="E2958" s="68">
        <v>187</v>
      </c>
      <c r="F2958" s="68"/>
      <c r="G2958" s="68">
        <v>187</v>
      </c>
      <c r="H29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59" spans="1:8" hidden="1" x14ac:dyDescent="0.3">
      <c r="A2959" t="s">
        <v>1064</v>
      </c>
      <c r="B2959" t="s">
        <v>1140</v>
      </c>
      <c r="C2959" t="s">
        <v>5</v>
      </c>
      <c r="D2959" s="68">
        <v>1</v>
      </c>
      <c r="E2959" s="68"/>
      <c r="F2959" s="68">
        <v>4</v>
      </c>
      <c r="G2959" s="68">
        <v>5</v>
      </c>
      <c r="H29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60" spans="1:8" hidden="1" x14ac:dyDescent="0.3">
      <c r="A2960" t="s">
        <v>1064</v>
      </c>
      <c r="B2960" t="s">
        <v>1141</v>
      </c>
      <c r="C2960" t="s">
        <v>37</v>
      </c>
      <c r="D2960" s="68">
        <v>1521</v>
      </c>
      <c r="E2960" s="68"/>
      <c r="F2960" s="68">
        <v>2237</v>
      </c>
      <c r="G2960" s="68">
        <v>3758</v>
      </c>
      <c r="H29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61" spans="1:8" hidden="1" x14ac:dyDescent="0.3">
      <c r="A2961" t="s">
        <v>1064</v>
      </c>
      <c r="B2961" t="s">
        <v>1141</v>
      </c>
      <c r="C2961" t="s">
        <v>26</v>
      </c>
      <c r="D2961" s="68">
        <v>1293</v>
      </c>
      <c r="E2961" s="68"/>
      <c r="F2961" s="68">
        <v>2462</v>
      </c>
      <c r="G2961" s="68">
        <v>3755</v>
      </c>
      <c r="H29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62" spans="1:8" hidden="1" x14ac:dyDescent="0.3">
      <c r="A2962" t="s">
        <v>1064</v>
      </c>
      <c r="B2962" t="s">
        <v>1141</v>
      </c>
      <c r="C2962" t="s">
        <v>36</v>
      </c>
      <c r="D2962" s="68">
        <v>80</v>
      </c>
      <c r="E2962" s="68"/>
      <c r="F2962" s="68">
        <v>74</v>
      </c>
      <c r="G2962" s="68">
        <v>154</v>
      </c>
      <c r="H29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63" spans="1:8" hidden="1" x14ac:dyDescent="0.3">
      <c r="A2963" t="s">
        <v>1064</v>
      </c>
      <c r="B2963" t="s">
        <v>1141</v>
      </c>
      <c r="C2963" t="s">
        <v>27</v>
      </c>
      <c r="D2963" s="68"/>
      <c r="E2963" s="68">
        <v>102</v>
      </c>
      <c r="F2963" s="68"/>
      <c r="G2963" s="68">
        <v>102</v>
      </c>
      <c r="H29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64" spans="1:8" hidden="1" x14ac:dyDescent="0.3">
      <c r="A2964" t="s">
        <v>1064</v>
      </c>
      <c r="B2964" t="s">
        <v>1141</v>
      </c>
      <c r="C2964" t="s">
        <v>5</v>
      </c>
      <c r="D2964" s="68">
        <v>6</v>
      </c>
      <c r="E2964" s="68"/>
      <c r="F2964" s="68">
        <v>1</v>
      </c>
      <c r="G2964" s="68">
        <v>7</v>
      </c>
      <c r="H29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65" spans="1:8" hidden="1" x14ac:dyDescent="0.3">
      <c r="A2965" t="s">
        <v>1064</v>
      </c>
      <c r="B2965" t="s">
        <v>1142</v>
      </c>
      <c r="C2965" t="s">
        <v>26</v>
      </c>
      <c r="D2965" s="68">
        <v>3254</v>
      </c>
      <c r="E2965" s="68"/>
      <c r="F2965" s="68">
        <v>1840</v>
      </c>
      <c r="G2965" s="68">
        <v>5094</v>
      </c>
      <c r="H29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66" spans="1:8" hidden="1" x14ac:dyDescent="0.3">
      <c r="A2966" t="s">
        <v>1064</v>
      </c>
      <c r="B2966" t="s">
        <v>1142</v>
      </c>
      <c r="C2966" t="s">
        <v>37</v>
      </c>
      <c r="D2966" s="68">
        <v>2234</v>
      </c>
      <c r="E2966" s="68"/>
      <c r="F2966" s="68">
        <v>1173</v>
      </c>
      <c r="G2966" s="68">
        <v>3407</v>
      </c>
      <c r="H29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67" spans="1:8" hidden="1" x14ac:dyDescent="0.3">
      <c r="A2967" t="s">
        <v>1064</v>
      </c>
      <c r="B2967" t="s">
        <v>1142</v>
      </c>
      <c r="C2967" t="s">
        <v>712</v>
      </c>
      <c r="D2967" s="68">
        <v>625</v>
      </c>
      <c r="E2967" s="68"/>
      <c r="F2967" s="68">
        <v>397</v>
      </c>
      <c r="G2967" s="68">
        <v>1022</v>
      </c>
      <c r="H29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68" spans="1:8" hidden="1" x14ac:dyDescent="0.3">
      <c r="A2968" t="s">
        <v>1064</v>
      </c>
      <c r="B2968" t="s">
        <v>1142</v>
      </c>
      <c r="C2968" t="s">
        <v>27</v>
      </c>
      <c r="D2968" s="68"/>
      <c r="E2968" s="68">
        <v>106</v>
      </c>
      <c r="F2968" s="68"/>
      <c r="G2968" s="68">
        <v>106</v>
      </c>
      <c r="H29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69" spans="1:8" hidden="1" x14ac:dyDescent="0.3">
      <c r="A2969" t="s">
        <v>1064</v>
      </c>
      <c r="B2969" t="s">
        <v>1142</v>
      </c>
      <c r="C2969" t="s">
        <v>36</v>
      </c>
      <c r="D2969" s="68">
        <v>1</v>
      </c>
      <c r="E2969" s="68"/>
      <c r="F2969" s="68"/>
      <c r="G2969" s="68">
        <v>1</v>
      </c>
      <c r="H29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70" spans="1:8" hidden="1" x14ac:dyDescent="0.3">
      <c r="A2970" t="s">
        <v>1064</v>
      </c>
      <c r="B2970" t="s">
        <v>1142</v>
      </c>
      <c r="C2970" t="s">
        <v>5</v>
      </c>
      <c r="D2970" s="68">
        <v>1</v>
      </c>
      <c r="E2970" s="68"/>
      <c r="F2970" s="68"/>
      <c r="G2970" s="68">
        <v>1</v>
      </c>
      <c r="H29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71" spans="1:8" hidden="1" x14ac:dyDescent="0.3">
      <c r="A2971" t="s">
        <v>1064</v>
      </c>
      <c r="B2971" t="s">
        <v>1143</v>
      </c>
      <c r="C2971" t="s">
        <v>26</v>
      </c>
      <c r="D2971" s="68">
        <v>3710</v>
      </c>
      <c r="E2971" s="68"/>
      <c r="F2971" s="68">
        <v>5049</v>
      </c>
      <c r="G2971" s="68">
        <v>8759</v>
      </c>
      <c r="H29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72" spans="1:8" hidden="1" x14ac:dyDescent="0.3">
      <c r="A2972" t="s">
        <v>1064</v>
      </c>
      <c r="B2972" t="s">
        <v>1143</v>
      </c>
      <c r="C2972" t="s">
        <v>37</v>
      </c>
      <c r="D2972" s="68">
        <v>2290</v>
      </c>
      <c r="E2972" s="68"/>
      <c r="F2972" s="68">
        <v>2520</v>
      </c>
      <c r="G2972" s="68">
        <v>4810</v>
      </c>
      <c r="H29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73" spans="1:8" hidden="1" x14ac:dyDescent="0.3">
      <c r="A2973" t="s">
        <v>1064</v>
      </c>
      <c r="B2973" t="s">
        <v>1143</v>
      </c>
      <c r="C2973" t="s">
        <v>712</v>
      </c>
      <c r="D2973" s="68">
        <v>1580</v>
      </c>
      <c r="E2973" s="68"/>
      <c r="F2973" s="68">
        <v>1857</v>
      </c>
      <c r="G2973" s="68">
        <v>3437</v>
      </c>
      <c r="H29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74" spans="1:8" hidden="1" x14ac:dyDescent="0.3">
      <c r="A2974" t="s">
        <v>1064</v>
      </c>
      <c r="B2974" t="s">
        <v>1143</v>
      </c>
      <c r="C2974" t="s">
        <v>36</v>
      </c>
      <c r="D2974" s="68">
        <v>690</v>
      </c>
      <c r="E2974" s="68"/>
      <c r="F2974" s="68">
        <v>957</v>
      </c>
      <c r="G2974" s="68">
        <v>1647</v>
      </c>
      <c r="H29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75" spans="1:8" hidden="1" x14ac:dyDescent="0.3">
      <c r="A2975" t="s">
        <v>1064</v>
      </c>
      <c r="B2975" t="s">
        <v>1143</v>
      </c>
      <c r="C2975" t="s">
        <v>27</v>
      </c>
      <c r="D2975" s="68"/>
      <c r="E2975" s="68">
        <v>192</v>
      </c>
      <c r="F2975" s="68"/>
      <c r="G2975" s="68">
        <v>192</v>
      </c>
      <c r="H29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76" spans="1:8" hidden="1" x14ac:dyDescent="0.3">
      <c r="A2976" t="s">
        <v>1064</v>
      </c>
      <c r="B2976" t="s">
        <v>1143</v>
      </c>
      <c r="C2976" t="s">
        <v>5</v>
      </c>
      <c r="D2976" s="68">
        <v>47</v>
      </c>
      <c r="E2976" s="68"/>
      <c r="F2976" s="68">
        <v>26</v>
      </c>
      <c r="G2976" s="68">
        <v>73</v>
      </c>
      <c r="H29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77" spans="1:8" hidden="1" x14ac:dyDescent="0.3">
      <c r="A2977" t="s">
        <v>1064</v>
      </c>
      <c r="B2977" t="s">
        <v>1143</v>
      </c>
      <c r="C2977" t="s">
        <v>33</v>
      </c>
      <c r="D2977" s="68">
        <v>2</v>
      </c>
      <c r="E2977" s="68"/>
      <c r="F2977" s="68"/>
      <c r="G2977" s="68">
        <v>2</v>
      </c>
      <c r="H29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78" spans="1:8" hidden="1" x14ac:dyDescent="0.3">
      <c r="A2978" t="s">
        <v>1064</v>
      </c>
      <c r="B2978" t="s">
        <v>1144</v>
      </c>
      <c r="C2978" t="s">
        <v>26</v>
      </c>
      <c r="D2978" s="68">
        <v>1289</v>
      </c>
      <c r="E2978" s="68"/>
      <c r="F2978" s="68">
        <v>6170</v>
      </c>
      <c r="G2978" s="68">
        <v>7459</v>
      </c>
      <c r="H29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79" spans="1:8" hidden="1" x14ac:dyDescent="0.3">
      <c r="A2979" t="s">
        <v>1064</v>
      </c>
      <c r="B2979" t="s">
        <v>1144</v>
      </c>
      <c r="C2979" t="s">
        <v>37</v>
      </c>
      <c r="D2979" s="68">
        <v>1375</v>
      </c>
      <c r="E2979" s="68"/>
      <c r="F2979" s="68">
        <v>4608</v>
      </c>
      <c r="G2979" s="68">
        <v>5983</v>
      </c>
      <c r="H29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80" spans="1:8" hidden="1" x14ac:dyDescent="0.3">
      <c r="A2980" t="s">
        <v>1064</v>
      </c>
      <c r="B2980" t="s">
        <v>1144</v>
      </c>
      <c r="C2980" t="s">
        <v>712</v>
      </c>
      <c r="D2980" s="68">
        <v>558</v>
      </c>
      <c r="E2980" s="68"/>
      <c r="F2980" s="68">
        <v>1969</v>
      </c>
      <c r="G2980" s="68">
        <v>2527</v>
      </c>
      <c r="H29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81" spans="1:8" hidden="1" x14ac:dyDescent="0.3">
      <c r="A2981" t="s">
        <v>1064</v>
      </c>
      <c r="B2981" t="s">
        <v>1144</v>
      </c>
      <c r="C2981" t="s">
        <v>36</v>
      </c>
      <c r="D2981" s="68">
        <v>149</v>
      </c>
      <c r="E2981" s="68"/>
      <c r="F2981" s="68">
        <v>516</v>
      </c>
      <c r="G2981" s="68">
        <v>665</v>
      </c>
      <c r="H29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82" spans="1:8" hidden="1" x14ac:dyDescent="0.3">
      <c r="A2982" t="s">
        <v>1064</v>
      </c>
      <c r="B2982" t="s">
        <v>1144</v>
      </c>
      <c r="C2982" t="s">
        <v>27</v>
      </c>
      <c r="D2982" s="68"/>
      <c r="E2982" s="68">
        <v>124</v>
      </c>
      <c r="F2982" s="68"/>
      <c r="G2982" s="68">
        <v>124</v>
      </c>
      <c r="H29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83" spans="1:8" hidden="1" x14ac:dyDescent="0.3">
      <c r="A2983" t="s">
        <v>1064</v>
      </c>
      <c r="B2983" t="s">
        <v>1144</v>
      </c>
      <c r="C2983" t="s">
        <v>5</v>
      </c>
      <c r="D2983" s="68">
        <v>12</v>
      </c>
      <c r="E2983" s="68"/>
      <c r="F2983" s="68">
        <v>7</v>
      </c>
      <c r="G2983" s="68">
        <v>19</v>
      </c>
      <c r="H29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84" spans="1:8" hidden="1" x14ac:dyDescent="0.3">
      <c r="A2984" t="s">
        <v>1064</v>
      </c>
      <c r="B2984" t="s">
        <v>1145</v>
      </c>
      <c r="C2984" t="s">
        <v>26</v>
      </c>
      <c r="D2984" s="68">
        <v>971</v>
      </c>
      <c r="E2984" s="68"/>
      <c r="F2984" s="68">
        <v>3346</v>
      </c>
      <c r="G2984" s="68">
        <v>4317</v>
      </c>
      <c r="H29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85" spans="1:8" hidden="1" x14ac:dyDescent="0.3">
      <c r="A2985" t="s">
        <v>1064</v>
      </c>
      <c r="B2985" t="s">
        <v>1145</v>
      </c>
      <c r="C2985" t="s">
        <v>37</v>
      </c>
      <c r="D2985" s="68">
        <v>851</v>
      </c>
      <c r="E2985" s="68"/>
      <c r="F2985" s="68">
        <v>2315</v>
      </c>
      <c r="G2985" s="68">
        <v>3166</v>
      </c>
      <c r="H29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86" spans="1:8" hidden="1" x14ac:dyDescent="0.3">
      <c r="A2986" t="s">
        <v>1064</v>
      </c>
      <c r="B2986" t="s">
        <v>1145</v>
      </c>
      <c r="C2986" t="s">
        <v>27</v>
      </c>
      <c r="D2986" s="68"/>
      <c r="E2986" s="68">
        <v>277</v>
      </c>
      <c r="F2986" s="68"/>
      <c r="G2986" s="68">
        <v>277</v>
      </c>
      <c r="H29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87" spans="1:8" hidden="1" x14ac:dyDescent="0.3">
      <c r="A2987" t="s">
        <v>1064</v>
      </c>
      <c r="B2987" t="s">
        <v>1146</v>
      </c>
      <c r="C2987" t="s">
        <v>36</v>
      </c>
      <c r="D2987" s="68">
        <v>114971</v>
      </c>
      <c r="E2987" s="68"/>
      <c r="F2987" s="68">
        <v>35572</v>
      </c>
      <c r="G2987" s="68">
        <v>150543</v>
      </c>
      <c r="H29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88" spans="1:8" hidden="1" x14ac:dyDescent="0.3">
      <c r="A2988" t="s">
        <v>1064</v>
      </c>
      <c r="B2988" t="s">
        <v>1146</v>
      </c>
      <c r="C2988" t="s">
        <v>37</v>
      </c>
      <c r="D2988" s="68">
        <v>85175</v>
      </c>
      <c r="E2988" s="68"/>
      <c r="F2988" s="68">
        <v>32943</v>
      </c>
      <c r="G2988" s="68">
        <v>118118</v>
      </c>
      <c r="H29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89" spans="1:8" hidden="1" x14ac:dyDescent="0.3">
      <c r="A2989" t="s">
        <v>1064</v>
      </c>
      <c r="B2989" t="s">
        <v>1146</v>
      </c>
      <c r="C2989" t="s">
        <v>5</v>
      </c>
      <c r="D2989" s="68">
        <v>86282</v>
      </c>
      <c r="E2989" s="68"/>
      <c r="F2989" s="68">
        <v>16711</v>
      </c>
      <c r="G2989" s="68">
        <v>102993</v>
      </c>
      <c r="H29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90" spans="1:8" hidden="1" x14ac:dyDescent="0.3">
      <c r="A2990" t="s">
        <v>1064</v>
      </c>
      <c r="B2990" t="s">
        <v>1146</v>
      </c>
      <c r="C2990" t="s">
        <v>26</v>
      </c>
      <c r="D2990" s="68">
        <v>42017</v>
      </c>
      <c r="E2990" s="68"/>
      <c r="F2990" s="68">
        <v>34892</v>
      </c>
      <c r="G2990" s="68">
        <v>76909</v>
      </c>
      <c r="H29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91" spans="1:8" hidden="1" x14ac:dyDescent="0.3">
      <c r="A2991" t="s">
        <v>1064</v>
      </c>
      <c r="B2991" t="s">
        <v>1146</v>
      </c>
      <c r="C2991" t="s">
        <v>712</v>
      </c>
      <c r="D2991" s="68">
        <v>42080</v>
      </c>
      <c r="E2991" s="68"/>
      <c r="F2991" s="68">
        <v>14268</v>
      </c>
      <c r="G2991" s="68">
        <v>56348</v>
      </c>
      <c r="H29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92" spans="1:8" hidden="1" x14ac:dyDescent="0.3">
      <c r="A2992" t="s">
        <v>1064</v>
      </c>
      <c r="B2992" t="s">
        <v>1146</v>
      </c>
      <c r="C2992" t="s">
        <v>34</v>
      </c>
      <c r="D2992" s="68">
        <v>26518</v>
      </c>
      <c r="E2992" s="68"/>
      <c r="F2992" s="68">
        <v>10149</v>
      </c>
      <c r="G2992" s="68">
        <v>36667</v>
      </c>
      <c r="H29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93" spans="1:8" hidden="1" x14ac:dyDescent="0.3">
      <c r="A2993" t="s">
        <v>1064</v>
      </c>
      <c r="B2993" t="s">
        <v>1146</v>
      </c>
      <c r="C2993" t="s">
        <v>31</v>
      </c>
      <c r="D2993" s="68">
        <v>2403</v>
      </c>
      <c r="E2993" s="68"/>
      <c r="F2993" s="68">
        <v>30332</v>
      </c>
      <c r="G2993" s="68">
        <v>32735</v>
      </c>
      <c r="H29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94" spans="1:8" hidden="1" x14ac:dyDescent="0.3">
      <c r="A2994" t="s">
        <v>1064</v>
      </c>
      <c r="B2994" t="s">
        <v>1146</v>
      </c>
      <c r="C2994" t="s">
        <v>587</v>
      </c>
      <c r="D2994" s="68">
        <v>1050</v>
      </c>
      <c r="E2994" s="68"/>
      <c r="F2994" s="68">
        <v>9909</v>
      </c>
      <c r="G2994" s="68">
        <v>10959</v>
      </c>
      <c r="H29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95" spans="1:8" hidden="1" x14ac:dyDescent="0.3">
      <c r="A2995" t="s">
        <v>1064</v>
      </c>
      <c r="B2995" t="s">
        <v>1146</v>
      </c>
      <c r="C2995" t="s">
        <v>27</v>
      </c>
      <c r="D2995" s="68"/>
      <c r="E2995" s="68">
        <v>4837</v>
      </c>
      <c r="F2995" s="68"/>
      <c r="G2995" s="68">
        <v>4837</v>
      </c>
      <c r="H29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96" spans="1:8" hidden="1" x14ac:dyDescent="0.3">
      <c r="A2996" t="s">
        <v>1064</v>
      </c>
      <c r="B2996" t="s">
        <v>1146</v>
      </c>
      <c r="C2996" t="s">
        <v>32</v>
      </c>
      <c r="D2996" s="68">
        <v>58</v>
      </c>
      <c r="E2996" s="68"/>
      <c r="F2996" s="68">
        <v>1335</v>
      </c>
      <c r="G2996" s="68">
        <v>1393</v>
      </c>
      <c r="H29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97" spans="1:8" hidden="1" x14ac:dyDescent="0.3">
      <c r="A2997" t="s">
        <v>1064</v>
      </c>
      <c r="B2997" t="s">
        <v>1146</v>
      </c>
      <c r="C2997" t="s">
        <v>1077</v>
      </c>
      <c r="D2997" s="68">
        <v>4</v>
      </c>
      <c r="E2997" s="68"/>
      <c r="F2997" s="68"/>
      <c r="G2997" s="68">
        <v>4</v>
      </c>
      <c r="H29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98" spans="1:8" hidden="1" x14ac:dyDescent="0.3">
      <c r="A2998" t="s">
        <v>1064</v>
      </c>
      <c r="B2998" t="s">
        <v>1146</v>
      </c>
      <c r="C2998" t="s">
        <v>691</v>
      </c>
      <c r="D2998" s="68">
        <v>3</v>
      </c>
      <c r="E2998" s="68"/>
      <c r="F2998" s="68"/>
      <c r="G2998" s="68">
        <v>3</v>
      </c>
      <c r="H29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999" spans="1:8" hidden="1" x14ac:dyDescent="0.3">
      <c r="A2999" t="s">
        <v>1064</v>
      </c>
      <c r="B2999" t="s">
        <v>1146</v>
      </c>
      <c r="C2999" t="s">
        <v>30</v>
      </c>
      <c r="D2999" s="68"/>
      <c r="E2999" s="68"/>
      <c r="F2999" s="68">
        <v>1</v>
      </c>
      <c r="G2999" s="68">
        <v>1</v>
      </c>
      <c r="H29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00" spans="1:8" hidden="1" x14ac:dyDescent="0.3">
      <c r="A3000" t="s">
        <v>1064</v>
      </c>
      <c r="B3000" t="s">
        <v>1147</v>
      </c>
      <c r="C3000" t="s">
        <v>37</v>
      </c>
      <c r="D3000" s="68">
        <v>8426</v>
      </c>
      <c r="E3000" s="68"/>
      <c r="F3000" s="68">
        <v>1771</v>
      </c>
      <c r="G3000" s="68">
        <v>10197</v>
      </c>
      <c r="H30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01" spans="1:8" hidden="1" x14ac:dyDescent="0.3">
      <c r="A3001" t="s">
        <v>1064</v>
      </c>
      <c r="B3001" t="s">
        <v>1147</v>
      </c>
      <c r="C3001" t="s">
        <v>26</v>
      </c>
      <c r="D3001" s="68">
        <v>3773</v>
      </c>
      <c r="E3001" s="68"/>
      <c r="F3001" s="68">
        <v>1096</v>
      </c>
      <c r="G3001" s="68">
        <v>4869</v>
      </c>
      <c r="H30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02" spans="1:8" hidden="1" x14ac:dyDescent="0.3">
      <c r="A3002" t="s">
        <v>1064</v>
      </c>
      <c r="B3002" t="s">
        <v>1147</v>
      </c>
      <c r="C3002" t="s">
        <v>5</v>
      </c>
      <c r="D3002" s="68">
        <v>3598</v>
      </c>
      <c r="E3002" s="68"/>
      <c r="F3002" s="68">
        <v>464</v>
      </c>
      <c r="G3002" s="68">
        <v>4062</v>
      </c>
      <c r="H30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03" spans="1:8" hidden="1" x14ac:dyDescent="0.3">
      <c r="A3003" t="s">
        <v>1064</v>
      </c>
      <c r="B3003" t="s">
        <v>1147</v>
      </c>
      <c r="C3003" t="s">
        <v>712</v>
      </c>
      <c r="D3003" s="68">
        <v>1839</v>
      </c>
      <c r="E3003" s="68"/>
      <c r="F3003" s="68">
        <v>287</v>
      </c>
      <c r="G3003" s="68">
        <v>2126</v>
      </c>
      <c r="H30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04" spans="1:8" hidden="1" x14ac:dyDescent="0.3">
      <c r="A3004" t="s">
        <v>1064</v>
      </c>
      <c r="B3004" t="s">
        <v>1147</v>
      </c>
      <c r="C3004" t="s">
        <v>36</v>
      </c>
      <c r="D3004" s="68">
        <v>685</v>
      </c>
      <c r="E3004" s="68"/>
      <c r="F3004" s="68">
        <v>168</v>
      </c>
      <c r="G3004" s="68">
        <v>853</v>
      </c>
      <c r="H30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05" spans="1:8" hidden="1" x14ac:dyDescent="0.3">
      <c r="A3005" t="s">
        <v>1064</v>
      </c>
      <c r="B3005" t="s">
        <v>1147</v>
      </c>
      <c r="C3005" t="s">
        <v>27</v>
      </c>
      <c r="D3005" s="68"/>
      <c r="E3005" s="68">
        <v>149</v>
      </c>
      <c r="F3005" s="68"/>
      <c r="G3005" s="68">
        <v>149</v>
      </c>
      <c r="H30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06" spans="1:8" hidden="1" x14ac:dyDescent="0.3">
      <c r="A3006" t="s">
        <v>1064</v>
      </c>
      <c r="B3006" t="s">
        <v>1148</v>
      </c>
      <c r="C3006" t="s">
        <v>37</v>
      </c>
      <c r="D3006" s="68">
        <v>3385</v>
      </c>
      <c r="E3006" s="68"/>
      <c r="F3006" s="68">
        <v>2144</v>
      </c>
      <c r="G3006" s="68">
        <v>5529</v>
      </c>
      <c r="H30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07" spans="1:8" hidden="1" x14ac:dyDescent="0.3">
      <c r="A3007" t="s">
        <v>1064</v>
      </c>
      <c r="B3007" t="s">
        <v>1148</v>
      </c>
      <c r="C3007" t="s">
        <v>712</v>
      </c>
      <c r="D3007" s="68">
        <v>1467</v>
      </c>
      <c r="E3007" s="68"/>
      <c r="F3007" s="68">
        <v>967</v>
      </c>
      <c r="G3007" s="68">
        <v>2434</v>
      </c>
      <c r="H30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08" spans="1:8" hidden="1" x14ac:dyDescent="0.3">
      <c r="A3008" t="s">
        <v>1064</v>
      </c>
      <c r="B3008" t="s">
        <v>1148</v>
      </c>
      <c r="C3008" t="s">
        <v>26</v>
      </c>
      <c r="D3008" s="68">
        <v>981</v>
      </c>
      <c r="E3008" s="68"/>
      <c r="F3008" s="68">
        <v>1320</v>
      </c>
      <c r="G3008" s="68">
        <v>2301</v>
      </c>
      <c r="H30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09" spans="1:8" hidden="1" x14ac:dyDescent="0.3">
      <c r="A3009" t="s">
        <v>1064</v>
      </c>
      <c r="B3009" t="s">
        <v>1148</v>
      </c>
      <c r="C3009" t="s">
        <v>36</v>
      </c>
      <c r="D3009" s="68">
        <v>176</v>
      </c>
      <c r="E3009" s="68"/>
      <c r="F3009" s="68">
        <v>21</v>
      </c>
      <c r="G3009" s="68">
        <v>197</v>
      </c>
      <c r="H30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10" spans="1:8" hidden="1" x14ac:dyDescent="0.3">
      <c r="A3010" t="s">
        <v>1064</v>
      </c>
      <c r="B3010" t="s">
        <v>1148</v>
      </c>
      <c r="C3010" t="s">
        <v>27</v>
      </c>
      <c r="D3010" s="68"/>
      <c r="E3010" s="68">
        <v>120</v>
      </c>
      <c r="F3010" s="68"/>
      <c r="G3010" s="68">
        <v>120</v>
      </c>
      <c r="H30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11" spans="1:8" hidden="1" x14ac:dyDescent="0.3">
      <c r="A3011" t="s">
        <v>1064</v>
      </c>
      <c r="B3011" t="s">
        <v>1148</v>
      </c>
      <c r="C3011" t="s">
        <v>5</v>
      </c>
      <c r="D3011" s="68">
        <v>42</v>
      </c>
      <c r="E3011" s="68"/>
      <c r="F3011" s="68">
        <v>1</v>
      </c>
      <c r="G3011" s="68">
        <v>43</v>
      </c>
      <c r="H30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12" spans="1:8" hidden="1" x14ac:dyDescent="0.3">
      <c r="A3012" t="s">
        <v>1064</v>
      </c>
      <c r="B3012" t="s">
        <v>1149</v>
      </c>
      <c r="C3012" t="s">
        <v>26</v>
      </c>
      <c r="D3012" s="68">
        <v>5137</v>
      </c>
      <c r="E3012" s="68"/>
      <c r="F3012" s="68">
        <v>2460</v>
      </c>
      <c r="G3012" s="68">
        <v>7597</v>
      </c>
      <c r="H30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13" spans="1:8" hidden="1" x14ac:dyDescent="0.3">
      <c r="A3013" t="s">
        <v>1064</v>
      </c>
      <c r="B3013" t="s">
        <v>1149</v>
      </c>
      <c r="C3013" t="s">
        <v>37</v>
      </c>
      <c r="D3013" s="68">
        <v>5048</v>
      </c>
      <c r="E3013" s="68"/>
      <c r="F3013" s="68">
        <v>1898</v>
      </c>
      <c r="G3013" s="68">
        <v>6946</v>
      </c>
      <c r="H30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14" spans="1:8" hidden="1" x14ac:dyDescent="0.3">
      <c r="A3014" t="s">
        <v>1064</v>
      </c>
      <c r="B3014" t="s">
        <v>1149</v>
      </c>
      <c r="C3014" t="s">
        <v>36</v>
      </c>
      <c r="D3014" s="68">
        <v>385</v>
      </c>
      <c r="E3014" s="68"/>
      <c r="F3014" s="68">
        <v>171</v>
      </c>
      <c r="G3014" s="68">
        <v>556</v>
      </c>
      <c r="H30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15" spans="1:8" hidden="1" x14ac:dyDescent="0.3">
      <c r="A3015" t="s">
        <v>1064</v>
      </c>
      <c r="B3015" t="s">
        <v>1149</v>
      </c>
      <c r="C3015" t="s">
        <v>27</v>
      </c>
      <c r="D3015" s="68"/>
      <c r="E3015" s="68">
        <v>158</v>
      </c>
      <c r="F3015" s="68"/>
      <c r="G3015" s="68">
        <v>158</v>
      </c>
      <c r="H30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16" spans="1:8" hidden="1" x14ac:dyDescent="0.3">
      <c r="A3016" t="s">
        <v>1064</v>
      </c>
      <c r="B3016" t="s">
        <v>1149</v>
      </c>
      <c r="C3016" t="s">
        <v>5</v>
      </c>
      <c r="D3016" s="68">
        <v>1</v>
      </c>
      <c r="E3016" s="68"/>
      <c r="F3016" s="68"/>
      <c r="G3016" s="68">
        <v>1</v>
      </c>
      <c r="H30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17" spans="1:8" hidden="1" x14ac:dyDescent="0.3">
      <c r="A3017" t="s">
        <v>1064</v>
      </c>
      <c r="B3017" t="s">
        <v>1150</v>
      </c>
      <c r="C3017" t="s">
        <v>26</v>
      </c>
      <c r="D3017" s="68">
        <v>222</v>
      </c>
      <c r="E3017" s="68"/>
      <c r="F3017" s="68">
        <v>1297</v>
      </c>
      <c r="G3017" s="68">
        <v>1519</v>
      </c>
      <c r="H30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18" spans="1:8" hidden="1" x14ac:dyDescent="0.3">
      <c r="A3018" t="s">
        <v>1064</v>
      </c>
      <c r="B3018" t="s">
        <v>1150</v>
      </c>
      <c r="C3018" t="s">
        <v>37</v>
      </c>
      <c r="D3018" s="68">
        <v>305</v>
      </c>
      <c r="E3018" s="68"/>
      <c r="F3018" s="68">
        <v>1061</v>
      </c>
      <c r="G3018" s="68">
        <v>1366</v>
      </c>
      <c r="H30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19" spans="1:8" hidden="1" x14ac:dyDescent="0.3">
      <c r="A3019" t="s">
        <v>1064</v>
      </c>
      <c r="B3019" t="s">
        <v>1150</v>
      </c>
      <c r="C3019" t="s">
        <v>27</v>
      </c>
      <c r="D3019" s="68"/>
      <c r="E3019" s="68">
        <v>60</v>
      </c>
      <c r="F3019" s="68"/>
      <c r="G3019" s="68">
        <v>60</v>
      </c>
      <c r="H30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20" spans="1:8" hidden="1" x14ac:dyDescent="0.3">
      <c r="A3020" t="s">
        <v>1064</v>
      </c>
      <c r="B3020" t="s">
        <v>1150</v>
      </c>
      <c r="C3020" t="s">
        <v>5</v>
      </c>
      <c r="D3020" s="68">
        <v>3</v>
      </c>
      <c r="E3020" s="68"/>
      <c r="F3020" s="68"/>
      <c r="G3020" s="68">
        <v>3</v>
      </c>
      <c r="H30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21" spans="1:8" hidden="1" x14ac:dyDescent="0.3">
      <c r="A3021" t="s">
        <v>1064</v>
      </c>
      <c r="B3021" t="s">
        <v>1151</v>
      </c>
      <c r="C3021" t="s">
        <v>26</v>
      </c>
      <c r="D3021" s="68">
        <v>473</v>
      </c>
      <c r="E3021" s="68"/>
      <c r="F3021" s="68">
        <v>2065</v>
      </c>
      <c r="G3021" s="68">
        <v>2538</v>
      </c>
      <c r="H30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22" spans="1:8" hidden="1" x14ac:dyDescent="0.3">
      <c r="A3022" t="s">
        <v>1064</v>
      </c>
      <c r="B3022" t="s">
        <v>1151</v>
      </c>
      <c r="C3022" t="s">
        <v>37</v>
      </c>
      <c r="D3022" s="68">
        <v>465</v>
      </c>
      <c r="E3022" s="68"/>
      <c r="F3022" s="68">
        <v>1818</v>
      </c>
      <c r="G3022" s="68">
        <v>2283</v>
      </c>
      <c r="H30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23" spans="1:8" hidden="1" x14ac:dyDescent="0.3">
      <c r="A3023" t="s">
        <v>1064</v>
      </c>
      <c r="B3023" t="s">
        <v>1151</v>
      </c>
      <c r="C3023" t="s">
        <v>27</v>
      </c>
      <c r="D3023" s="68"/>
      <c r="E3023" s="68">
        <v>37</v>
      </c>
      <c r="F3023" s="68"/>
      <c r="G3023" s="68">
        <v>37</v>
      </c>
      <c r="H30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24" spans="1:8" hidden="1" x14ac:dyDescent="0.3">
      <c r="A3024" t="s">
        <v>1064</v>
      </c>
      <c r="B3024" t="s">
        <v>1151</v>
      </c>
      <c r="C3024" t="s">
        <v>5</v>
      </c>
      <c r="D3024" s="68">
        <v>7</v>
      </c>
      <c r="E3024" s="68"/>
      <c r="F3024" s="68"/>
      <c r="G3024" s="68">
        <v>7</v>
      </c>
      <c r="H30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25" spans="1:8" hidden="1" x14ac:dyDescent="0.3">
      <c r="A3025" t="s">
        <v>1064</v>
      </c>
      <c r="B3025" t="s">
        <v>1152</v>
      </c>
      <c r="C3025" t="s">
        <v>26</v>
      </c>
      <c r="D3025" s="68">
        <v>1470</v>
      </c>
      <c r="E3025" s="68"/>
      <c r="F3025" s="68">
        <v>1063</v>
      </c>
      <c r="G3025" s="68">
        <v>2533</v>
      </c>
      <c r="H30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26" spans="1:8" hidden="1" x14ac:dyDescent="0.3">
      <c r="A3026" t="s">
        <v>1064</v>
      </c>
      <c r="B3026" t="s">
        <v>1152</v>
      </c>
      <c r="C3026" t="s">
        <v>37</v>
      </c>
      <c r="D3026" s="68">
        <v>356</v>
      </c>
      <c r="E3026" s="68"/>
      <c r="F3026" s="68">
        <v>410</v>
      </c>
      <c r="G3026" s="68">
        <v>766</v>
      </c>
      <c r="H30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27" spans="1:8" hidden="1" x14ac:dyDescent="0.3">
      <c r="A3027" t="s">
        <v>1064</v>
      </c>
      <c r="B3027" t="s">
        <v>1152</v>
      </c>
      <c r="C3027" t="s">
        <v>27</v>
      </c>
      <c r="D3027" s="68"/>
      <c r="E3027" s="68">
        <v>35</v>
      </c>
      <c r="F3027" s="68"/>
      <c r="G3027" s="68">
        <v>35</v>
      </c>
      <c r="H30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28" spans="1:8" hidden="1" x14ac:dyDescent="0.3">
      <c r="A3028" t="s">
        <v>1064</v>
      </c>
      <c r="B3028" t="s">
        <v>1153</v>
      </c>
      <c r="C3028" t="s">
        <v>37</v>
      </c>
      <c r="D3028" s="68">
        <v>4091</v>
      </c>
      <c r="E3028" s="68"/>
      <c r="F3028" s="68">
        <v>1932</v>
      </c>
      <c r="G3028" s="68">
        <v>6023</v>
      </c>
      <c r="H30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29" spans="1:8" hidden="1" x14ac:dyDescent="0.3">
      <c r="A3029" t="s">
        <v>1064</v>
      </c>
      <c r="B3029" t="s">
        <v>1153</v>
      </c>
      <c r="C3029" t="s">
        <v>26</v>
      </c>
      <c r="D3029" s="68">
        <v>2724</v>
      </c>
      <c r="E3029" s="68"/>
      <c r="F3029" s="68">
        <v>1649</v>
      </c>
      <c r="G3029" s="68">
        <v>4373</v>
      </c>
      <c r="H30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30" spans="1:8" hidden="1" x14ac:dyDescent="0.3">
      <c r="A3030" t="s">
        <v>1064</v>
      </c>
      <c r="B3030" t="s">
        <v>1153</v>
      </c>
      <c r="C3030" t="s">
        <v>712</v>
      </c>
      <c r="D3030" s="68">
        <v>2467</v>
      </c>
      <c r="E3030" s="68"/>
      <c r="F3030" s="68">
        <v>793</v>
      </c>
      <c r="G3030" s="68">
        <v>3260</v>
      </c>
      <c r="H30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31" spans="1:8" hidden="1" x14ac:dyDescent="0.3">
      <c r="A3031" t="s">
        <v>1064</v>
      </c>
      <c r="B3031" t="s">
        <v>1153</v>
      </c>
      <c r="C3031" t="s">
        <v>36</v>
      </c>
      <c r="D3031" s="68">
        <v>714</v>
      </c>
      <c r="E3031" s="68"/>
      <c r="F3031" s="68">
        <v>265</v>
      </c>
      <c r="G3031" s="68">
        <v>979</v>
      </c>
      <c r="H30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32" spans="1:8" hidden="1" x14ac:dyDescent="0.3">
      <c r="A3032" t="s">
        <v>1064</v>
      </c>
      <c r="B3032" t="s">
        <v>1153</v>
      </c>
      <c r="C3032" t="s">
        <v>27</v>
      </c>
      <c r="D3032" s="68"/>
      <c r="E3032" s="68">
        <v>105</v>
      </c>
      <c r="F3032" s="68"/>
      <c r="G3032" s="68">
        <v>105</v>
      </c>
      <c r="H30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33" spans="1:8" hidden="1" x14ac:dyDescent="0.3">
      <c r="A3033" t="s">
        <v>1064</v>
      </c>
      <c r="B3033" t="s">
        <v>1153</v>
      </c>
      <c r="C3033" t="s">
        <v>5</v>
      </c>
      <c r="D3033" s="68">
        <v>8</v>
      </c>
      <c r="E3033" s="68"/>
      <c r="F3033" s="68"/>
      <c r="G3033" s="68">
        <v>8</v>
      </c>
      <c r="H30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34" spans="1:8" hidden="1" x14ac:dyDescent="0.3">
      <c r="A3034" t="s">
        <v>1064</v>
      </c>
      <c r="B3034" t="s">
        <v>1154</v>
      </c>
      <c r="C3034" t="s">
        <v>26</v>
      </c>
      <c r="D3034" s="68">
        <v>2092</v>
      </c>
      <c r="E3034" s="68"/>
      <c r="F3034" s="68">
        <v>1938</v>
      </c>
      <c r="G3034" s="68">
        <v>4030</v>
      </c>
      <c r="H30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35" spans="1:8" hidden="1" x14ac:dyDescent="0.3">
      <c r="A3035" t="s">
        <v>1064</v>
      </c>
      <c r="B3035" t="s">
        <v>1154</v>
      </c>
      <c r="C3035" t="s">
        <v>37</v>
      </c>
      <c r="D3035" s="68">
        <v>717</v>
      </c>
      <c r="E3035" s="68"/>
      <c r="F3035" s="68">
        <v>1128</v>
      </c>
      <c r="G3035" s="68">
        <v>1845</v>
      </c>
      <c r="H30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36" spans="1:8" hidden="1" x14ac:dyDescent="0.3">
      <c r="A3036" t="s">
        <v>1064</v>
      </c>
      <c r="B3036" t="s">
        <v>1154</v>
      </c>
      <c r="C3036" t="s">
        <v>27</v>
      </c>
      <c r="D3036" s="68"/>
      <c r="E3036" s="68">
        <v>67</v>
      </c>
      <c r="F3036" s="68"/>
      <c r="G3036" s="68">
        <v>67</v>
      </c>
      <c r="H30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37" spans="1:8" hidden="1" x14ac:dyDescent="0.3">
      <c r="A3037" t="s">
        <v>1064</v>
      </c>
      <c r="B3037" t="s">
        <v>1154</v>
      </c>
      <c r="C3037" t="s">
        <v>5</v>
      </c>
      <c r="D3037" s="68"/>
      <c r="E3037" s="68"/>
      <c r="F3037" s="68">
        <v>1</v>
      </c>
      <c r="G3037" s="68">
        <v>1</v>
      </c>
      <c r="H30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38" spans="1:8" hidden="1" x14ac:dyDescent="0.3">
      <c r="A3038" t="s">
        <v>1064</v>
      </c>
      <c r="B3038" t="s">
        <v>1155</v>
      </c>
      <c r="C3038" t="s">
        <v>26</v>
      </c>
      <c r="D3038" s="68">
        <v>384</v>
      </c>
      <c r="E3038" s="68"/>
      <c r="F3038" s="68">
        <v>2121</v>
      </c>
      <c r="G3038" s="68">
        <v>2505</v>
      </c>
      <c r="H30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39" spans="1:8" hidden="1" x14ac:dyDescent="0.3">
      <c r="A3039" t="s">
        <v>1064</v>
      </c>
      <c r="B3039" t="s">
        <v>1155</v>
      </c>
      <c r="C3039" t="s">
        <v>37</v>
      </c>
      <c r="D3039" s="68">
        <v>478</v>
      </c>
      <c r="E3039" s="68"/>
      <c r="F3039" s="68">
        <v>1158</v>
      </c>
      <c r="G3039" s="68">
        <v>1636</v>
      </c>
      <c r="H30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40" spans="1:8" hidden="1" x14ac:dyDescent="0.3">
      <c r="A3040" t="s">
        <v>1064</v>
      </c>
      <c r="B3040" t="s">
        <v>1155</v>
      </c>
      <c r="C3040" t="s">
        <v>27</v>
      </c>
      <c r="D3040" s="68"/>
      <c r="E3040" s="68">
        <v>45</v>
      </c>
      <c r="F3040" s="68"/>
      <c r="G3040" s="68">
        <v>45</v>
      </c>
      <c r="H30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41" spans="1:8" hidden="1" x14ac:dyDescent="0.3">
      <c r="A3041" t="s">
        <v>1064</v>
      </c>
      <c r="B3041" t="s">
        <v>1155</v>
      </c>
      <c r="C3041" t="s">
        <v>36</v>
      </c>
      <c r="D3041" s="68">
        <v>8</v>
      </c>
      <c r="E3041" s="68"/>
      <c r="F3041" s="68">
        <v>5</v>
      </c>
      <c r="G3041" s="68">
        <v>13</v>
      </c>
      <c r="H30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42" spans="1:8" hidden="1" x14ac:dyDescent="0.3">
      <c r="A3042" t="s">
        <v>1064</v>
      </c>
      <c r="B3042" t="s">
        <v>1155</v>
      </c>
      <c r="C3042" t="s">
        <v>5</v>
      </c>
      <c r="D3042" s="68">
        <v>5</v>
      </c>
      <c r="E3042" s="68"/>
      <c r="F3042" s="68">
        <v>1</v>
      </c>
      <c r="G3042" s="68">
        <v>6</v>
      </c>
      <c r="H30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43" spans="1:8" hidden="1" x14ac:dyDescent="0.3">
      <c r="A3043" t="s">
        <v>1064</v>
      </c>
      <c r="B3043" t="s">
        <v>1156</v>
      </c>
      <c r="C3043" t="s">
        <v>37</v>
      </c>
      <c r="D3043" s="68">
        <v>5812</v>
      </c>
      <c r="E3043" s="68"/>
      <c r="F3043" s="68">
        <v>2099</v>
      </c>
      <c r="G3043" s="68">
        <v>7911</v>
      </c>
      <c r="H30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44" spans="1:8" hidden="1" x14ac:dyDescent="0.3">
      <c r="A3044" t="s">
        <v>1064</v>
      </c>
      <c r="B3044" t="s">
        <v>1156</v>
      </c>
      <c r="C3044" t="s">
        <v>26</v>
      </c>
      <c r="D3044" s="68">
        <v>3159</v>
      </c>
      <c r="E3044" s="68"/>
      <c r="F3044" s="68">
        <v>1605</v>
      </c>
      <c r="G3044" s="68">
        <v>4764</v>
      </c>
      <c r="H30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45" spans="1:8" hidden="1" x14ac:dyDescent="0.3">
      <c r="A3045" t="s">
        <v>1064</v>
      </c>
      <c r="B3045" t="s">
        <v>1156</v>
      </c>
      <c r="C3045" t="s">
        <v>36</v>
      </c>
      <c r="D3045" s="68">
        <v>2229</v>
      </c>
      <c r="E3045" s="68"/>
      <c r="F3045" s="68">
        <v>668</v>
      </c>
      <c r="G3045" s="68">
        <v>2897</v>
      </c>
      <c r="H30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46" spans="1:8" hidden="1" x14ac:dyDescent="0.3">
      <c r="A3046" t="s">
        <v>1064</v>
      </c>
      <c r="B3046" t="s">
        <v>1156</v>
      </c>
      <c r="C3046" t="s">
        <v>712</v>
      </c>
      <c r="D3046" s="68">
        <v>1676</v>
      </c>
      <c r="E3046" s="68"/>
      <c r="F3046" s="68">
        <v>456</v>
      </c>
      <c r="G3046" s="68">
        <v>2132</v>
      </c>
      <c r="H30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47" spans="1:8" hidden="1" x14ac:dyDescent="0.3">
      <c r="A3047" t="s">
        <v>1064</v>
      </c>
      <c r="B3047" t="s">
        <v>1156</v>
      </c>
      <c r="C3047" t="s">
        <v>5</v>
      </c>
      <c r="D3047" s="68">
        <v>322</v>
      </c>
      <c r="E3047" s="68"/>
      <c r="F3047" s="68">
        <v>24</v>
      </c>
      <c r="G3047" s="68">
        <v>346</v>
      </c>
      <c r="H30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48" spans="1:8" hidden="1" x14ac:dyDescent="0.3">
      <c r="A3048" t="s">
        <v>1064</v>
      </c>
      <c r="B3048" t="s">
        <v>1156</v>
      </c>
      <c r="C3048" t="s">
        <v>27</v>
      </c>
      <c r="D3048" s="68"/>
      <c r="E3048" s="68">
        <v>113</v>
      </c>
      <c r="F3048" s="68"/>
      <c r="G3048" s="68">
        <v>113</v>
      </c>
      <c r="H30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49" spans="1:8" hidden="1" x14ac:dyDescent="0.3">
      <c r="A3049" t="s">
        <v>1064</v>
      </c>
      <c r="B3049" t="s">
        <v>1156</v>
      </c>
      <c r="C3049" t="s">
        <v>1077</v>
      </c>
      <c r="D3049" s="68">
        <v>1</v>
      </c>
      <c r="E3049" s="68"/>
      <c r="F3049" s="68"/>
      <c r="G3049" s="68">
        <v>1</v>
      </c>
      <c r="H30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50" spans="1:8" hidden="1" x14ac:dyDescent="0.3">
      <c r="A3050" t="s">
        <v>1064</v>
      </c>
      <c r="B3050" t="s">
        <v>1157</v>
      </c>
      <c r="C3050" t="s">
        <v>5</v>
      </c>
      <c r="D3050" s="68">
        <v>214</v>
      </c>
      <c r="E3050" s="68"/>
      <c r="F3050" s="68">
        <v>1901</v>
      </c>
      <c r="G3050" s="68">
        <v>2115</v>
      </c>
      <c r="H30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51" spans="1:8" hidden="1" x14ac:dyDescent="0.3">
      <c r="A3051" t="s">
        <v>1064</v>
      </c>
      <c r="B3051" t="s">
        <v>1157</v>
      </c>
      <c r="C3051" t="s">
        <v>26</v>
      </c>
      <c r="D3051" s="68">
        <v>100</v>
      </c>
      <c r="E3051" s="68"/>
      <c r="F3051" s="68">
        <v>428</v>
      </c>
      <c r="G3051" s="68">
        <v>528</v>
      </c>
      <c r="H30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52" spans="1:8" hidden="1" x14ac:dyDescent="0.3">
      <c r="A3052" t="s">
        <v>1064</v>
      </c>
      <c r="B3052" t="s">
        <v>1157</v>
      </c>
      <c r="C3052" t="s">
        <v>36</v>
      </c>
      <c r="D3052" s="68">
        <v>21</v>
      </c>
      <c r="E3052" s="68"/>
      <c r="F3052" s="68">
        <v>25</v>
      </c>
      <c r="G3052" s="68">
        <v>46</v>
      </c>
      <c r="H30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53" spans="1:8" hidden="1" x14ac:dyDescent="0.3">
      <c r="A3053" t="s">
        <v>1064</v>
      </c>
      <c r="B3053" t="s">
        <v>1157</v>
      </c>
      <c r="C3053" t="s">
        <v>27</v>
      </c>
      <c r="D3053" s="68"/>
      <c r="E3053" s="68">
        <v>41</v>
      </c>
      <c r="F3053" s="68"/>
      <c r="G3053" s="68">
        <v>41</v>
      </c>
      <c r="H30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54" spans="1:8" hidden="1" x14ac:dyDescent="0.3">
      <c r="A3054" t="s">
        <v>1064</v>
      </c>
      <c r="B3054" t="s">
        <v>1158</v>
      </c>
      <c r="C3054" t="s">
        <v>712</v>
      </c>
      <c r="D3054" s="68"/>
      <c r="E3054" s="68"/>
      <c r="F3054" s="68">
        <v>1314</v>
      </c>
      <c r="G3054" s="68">
        <v>1314</v>
      </c>
      <c r="H30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55" spans="1:8" hidden="1" x14ac:dyDescent="0.3">
      <c r="A3055" t="s">
        <v>1064</v>
      </c>
      <c r="B3055" t="s">
        <v>1158</v>
      </c>
      <c r="C3055" t="s">
        <v>26</v>
      </c>
      <c r="D3055" s="68">
        <v>75</v>
      </c>
      <c r="E3055" s="68"/>
      <c r="F3055" s="68">
        <v>181</v>
      </c>
      <c r="G3055" s="68">
        <v>256</v>
      </c>
      <c r="H30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56" spans="1:8" hidden="1" x14ac:dyDescent="0.3">
      <c r="A3056" t="s">
        <v>1064</v>
      </c>
      <c r="B3056" t="s">
        <v>1158</v>
      </c>
      <c r="C3056" t="s">
        <v>27</v>
      </c>
      <c r="D3056" s="68"/>
      <c r="E3056" s="68">
        <v>31</v>
      </c>
      <c r="F3056" s="68"/>
      <c r="G3056" s="68">
        <v>31</v>
      </c>
      <c r="H30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57" spans="1:8" hidden="1" x14ac:dyDescent="0.3">
      <c r="A3057" t="s">
        <v>1064</v>
      </c>
      <c r="B3057" t="s">
        <v>1159</v>
      </c>
      <c r="C3057" t="s">
        <v>37</v>
      </c>
      <c r="D3057" s="68">
        <v>1332</v>
      </c>
      <c r="E3057" s="68"/>
      <c r="F3057" s="68">
        <v>3204</v>
      </c>
      <c r="G3057" s="68">
        <v>4536</v>
      </c>
      <c r="H30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58" spans="1:8" hidden="1" x14ac:dyDescent="0.3">
      <c r="A3058" t="s">
        <v>1064</v>
      </c>
      <c r="B3058" t="s">
        <v>1159</v>
      </c>
      <c r="C3058" t="s">
        <v>26</v>
      </c>
      <c r="D3058" s="68">
        <v>1018</v>
      </c>
      <c r="E3058" s="68"/>
      <c r="F3058" s="68">
        <v>3010</v>
      </c>
      <c r="G3058" s="68">
        <v>4028</v>
      </c>
      <c r="H30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59" spans="1:8" hidden="1" x14ac:dyDescent="0.3">
      <c r="A3059" t="s">
        <v>1064</v>
      </c>
      <c r="B3059" t="s">
        <v>1159</v>
      </c>
      <c r="C3059" t="s">
        <v>36</v>
      </c>
      <c r="D3059" s="68">
        <v>264</v>
      </c>
      <c r="E3059" s="68"/>
      <c r="F3059" s="68">
        <v>744</v>
      </c>
      <c r="G3059" s="68">
        <v>1008</v>
      </c>
      <c r="H30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60" spans="1:8" hidden="1" x14ac:dyDescent="0.3">
      <c r="A3060" t="s">
        <v>1064</v>
      </c>
      <c r="B3060" t="s">
        <v>1159</v>
      </c>
      <c r="C3060" t="s">
        <v>712</v>
      </c>
      <c r="D3060" s="68">
        <v>217</v>
      </c>
      <c r="E3060" s="68"/>
      <c r="F3060" s="68">
        <v>757</v>
      </c>
      <c r="G3060" s="68">
        <v>974</v>
      </c>
      <c r="H30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61" spans="1:8" hidden="1" x14ac:dyDescent="0.3">
      <c r="A3061" t="s">
        <v>1064</v>
      </c>
      <c r="B3061" t="s">
        <v>1159</v>
      </c>
      <c r="C3061" t="s">
        <v>27</v>
      </c>
      <c r="D3061" s="68"/>
      <c r="E3061" s="68">
        <v>140</v>
      </c>
      <c r="F3061" s="68"/>
      <c r="G3061" s="68">
        <v>140</v>
      </c>
      <c r="H30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62" spans="1:8" hidden="1" x14ac:dyDescent="0.3">
      <c r="A3062" t="s">
        <v>1064</v>
      </c>
      <c r="B3062" t="s">
        <v>1159</v>
      </c>
      <c r="C3062" t="s">
        <v>5</v>
      </c>
      <c r="D3062" s="68">
        <v>3</v>
      </c>
      <c r="E3062" s="68"/>
      <c r="F3062" s="68">
        <v>1</v>
      </c>
      <c r="G3062" s="68">
        <v>4</v>
      </c>
      <c r="H30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63" spans="1:8" hidden="1" x14ac:dyDescent="0.3">
      <c r="A3063" t="s">
        <v>1064</v>
      </c>
      <c r="B3063" t="s">
        <v>1160</v>
      </c>
      <c r="C3063" t="s">
        <v>5</v>
      </c>
      <c r="D3063" s="68">
        <v>17048</v>
      </c>
      <c r="E3063" s="68"/>
      <c r="F3063" s="68">
        <v>2248</v>
      </c>
      <c r="G3063" s="68">
        <v>19296</v>
      </c>
      <c r="H30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64" spans="1:8" hidden="1" x14ac:dyDescent="0.3">
      <c r="A3064" t="s">
        <v>1064</v>
      </c>
      <c r="B3064" t="s">
        <v>1160</v>
      </c>
      <c r="C3064" t="s">
        <v>37</v>
      </c>
      <c r="D3064" s="68">
        <v>14610</v>
      </c>
      <c r="E3064" s="68"/>
      <c r="F3064" s="68">
        <v>3966</v>
      </c>
      <c r="G3064" s="68">
        <v>18576</v>
      </c>
      <c r="H30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65" spans="1:8" hidden="1" x14ac:dyDescent="0.3">
      <c r="A3065" t="s">
        <v>1064</v>
      </c>
      <c r="B3065" t="s">
        <v>1160</v>
      </c>
      <c r="C3065" t="s">
        <v>26</v>
      </c>
      <c r="D3065" s="68">
        <v>7103</v>
      </c>
      <c r="E3065" s="68"/>
      <c r="F3065" s="68">
        <v>3251</v>
      </c>
      <c r="G3065" s="68">
        <v>10354</v>
      </c>
      <c r="H30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66" spans="1:8" hidden="1" x14ac:dyDescent="0.3">
      <c r="A3066" t="s">
        <v>1064</v>
      </c>
      <c r="B3066" t="s">
        <v>1160</v>
      </c>
      <c r="C3066" t="s">
        <v>712</v>
      </c>
      <c r="D3066" s="68">
        <v>3889</v>
      </c>
      <c r="E3066" s="68"/>
      <c r="F3066" s="68">
        <v>715</v>
      </c>
      <c r="G3066" s="68">
        <v>4604</v>
      </c>
      <c r="H30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67" spans="1:8" hidden="1" x14ac:dyDescent="0.3">
      <c r="A3067" t="s">
        <v>1064</v>
      </c>
      <c r="B3067" t="s">
        <v>1160</v>
      </c>
      <c r="C3067" t="s">
        <v>36</v>
      </c>
      <c r="D3067" s="68">
        <v>2745</v>
      </c>
      <c r="E3067" s="68"/>
      <c r="F3067" s="68">
        <v>619</v>
      </c>
      <c r="G3067" s="68">
        <v>3364</v>
      </c>
      <c r="H30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68" spans="1:8" hidden="1" x14ac:dyDescent="0.3">
      <c r="A3068" t="s">
        <v>1064</v>
      </c>
      <c r="B3068" t="s">
        <v>1160</v>
      </c>
      <c r="C3068" t="s">
        <v>27</v>
      </c>
      <c r="D3068" s="68"/>
      <c r="E3068" s="68">
        <v>282</v>
      </c>
      <c r="F3068" s="68"/>
      <c r="G3068" s="68">
        <v>282</v>
      </c>
      <c r="H30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69" spans="1:8" hidden="1" x14ac:dyDescent="0.3">
      <c r="A3069" t="s">
        <v>1064</v>
      </c>
      <c r="B3069" t="s">
        <v>1160</v>
      </c>
      <c r="C3069" t="s">
        <v>34</v>
      </c>
      <c r="D3069" s="68">
        <v>3</v>
      </c>
      <c r="E3069" s="68"/>
      <c r="F3069" s="68"/>
      <c r="G3069" s="68">
        <v>3</v>
      </c>
      <c r="H30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70" spans="1:8" hidden="1" x14ac:dyDescent="0.3">
      <c r="A3070" t="s">
        <v>1064</v>
      </c>
      <c r="B3070" t="s">
        <v>1160</v>
      </c>
      <c r="C3070" t="s">
        <v>537</v>
      </c>
      <c r="D3070" s="68"/>
      <c r="E3070" s="68"/>
      <c r="F3070" s="68">
        <v>1</v>
      </c>
      <c r="G3070" s="68">
        <v>1</v>
      </c>
      <c r="H30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71" spans="1:8" hidden="1" x14ac:dyDescent="0.3">
      <c r="A3071" t="s">
        <v>1064</v>
      </c>
      <c r="B3071" t="s">
        <v>1160</v>
      </c>
      <c r="C3071" t="s">
        <v>31</v>
      </c>
      <c r="D3071" s="68">
        <v>1</v>
      </c>
      <c r="E3071" s="68"/>
      <c r="F3071" s="68"/>
      <c r="G3071" s="68">
        <v>1</v>
      </c>
      <c r="H30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72" spans="1:8" hidden="1" x14ac:dyDescent="0.3">
      <c r="A3072" t="s">
        <v>1064</v>
      </c>
      <c r="B3072" t="s">
        <v>1161</v>
      </c>
      <c r="C3072" t="s">
        <v>36</v>
      </c>
      <c r="D3072" s="68">
        <v>184</v>
      </c>
      <c r="E3072" s="68"/>
      <c r="F3072" s="68">
        <v>1876</v>
      </c>
      <c r="G3072" s="68">
        <v>2060</v>
      </c>
      <c r="H30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73" spans="1:8" hidden="1" x14ac:dyDescent="0.3">
      <c r="A3073" t="s">
        <v>1064</v>
      </c>
      <c r="B3073" t="s">
        <v>1161</v>
      </c>
      <c r="C3073" t="s">
        <v>26</v>
      </c>
      <c r="D3073" s="68">
        <v>80</v>
      </c>
      <c r="E3073" s="68"/>
      <c r="F3073" s="68">
        <v>321</v>
      </c>
      <c r="G3073" s="68">
        <v>401</v>
      </c>
      <c r="H30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74" spans="1:8" hidden="1" x14ac:dyDescent="0.3">
      <c r="A3074" t="s">
        <v>1064</v>
      </c>
      <c r="B3074" t="s">
        <v>1161</v>
      </c>
      <c r="C3074" t="s">
        <v>27</v>
      </c>
      <c r="D3074" s="68"/>
      <c r="E3074" s="68">
        <v>49</v>
      </c>
      <c r="F3074" s="68"/>
      <c r="G3074" s="68">
        <v>49</v>
      </c>
      <c r="H30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75" spans="1:8" hidden="1" x14ac:dyDescent="0.3">
      <c r="A3075" t="s">
        <v>1064</v>
      </c>
      <c r="B3075" t="s">
        <v>1161</v>
      </c>
      <c r="C3075" t="s">
        <v>5</v>
      </c>
      <c r="D3075" s="68">
        <v>1</v>
      </c>
      <c r="E3075" s="68"/>
      <c r="F3075" s="68"/>
      <c r="G3075" s="68">
        <v>1</v>
      </c>
      <c r="H30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76" spans="1:8" hidden="1" x14ac:dyDescent="0.3">
      <c r="A3076" t="s">
        <v>1064</v>
      </c>
      <c r="B3076" t="s">
        <v>1162</v>
      </c>
      <c r="C3076" t="s">
        <v>37</v>
      </c>
      <c r="D3076" s="68">
        <v>547</v>
      </c>
      <c r="E3076" s="68"/>
      <c r="F3076" s="68">
        <v>2206</v>
      </c>
      <c r="G3076" s="68">
        <v>2753</v>
      </c>
      <c r="H30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77" spans="1:8" hidden="1" x14ac:dyDescent="0.3">
      <c r="A3077" t="s">
        <v>1064</v>
      </c>
      <c r="B3077" t="s">
        <v>1162</v>
      </c>
      <c r="C3077" t="s">
        <v>26</v>
      </c>
      <c r="D3077" s="68">
        <v>322</v>
      </c>
      <c r="E3077" s="68"/>
      <c r="F3077" s="68">
        <v>2217</v>
      </c>
      <c r="G3077" s="68">
        <v>2539</v>
      </c>
      <c r="H30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78" spans="1:8" hidden="1" x14ac:dyDescent="0.3">
      <c r="A3078" t="s">
        <v>1064</v>
      </c>
      <c r="B3078" t="s">
        <v>1162</v>
      </c>
      <c r="C3078" t="s">
        <v>27</v>
      </c>
      <c r="D3078" s="68"/>
      <c r="E3078" s="68">
        <v>121</v>
      </c>
      <c r="F3078" s="68"/>
      <c r="G3078" s="68">
        <v>121</v>
      </c>
      <c r="H30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79" spans="1:8" hidden="1" x14ac:dyDescent="0.3">
      <c r="A3079" t="s">
        <v>1064</v>
      </c>
      <c r="B3079" t="s">
        <v>1162</v>
      </c>
      <c r="C3079" t="s">
        <v>5</v>
      </c>
      <c r="D3079" s="68">
        <v>7</v>
      </c>
      <c r="E3079" s="68"/>
      <c r="F3079" s="68">
        <v>7</v>
      </c>
      <c r="G3079" s="68">
        <v>14</v>
      </c>
      <c r="H30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80" spans="1:8" hidden="1" x14ac:dyDescent="0.3">
      <c r="A3080" t="s">
        <v>1064</v>
      </c>
      <c r="B3080" t="s">
        <v>1163</v>
      </c>
      <c r="C3080" t="s">
        <v>26</v>
      </c>
      <c r="D3080" s="68">
        <v>356</v>
      </c>
      <c r="E3080" s="68"/>
      <c r="F3080" s="68">
        <v>1944</v>
      </c>
      <c r="G3080" s="68">
        <v>2300</v>
      </c>
      <c r="H30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81" spans="1:8" hidden="1" x14ac:dyDescent="0.3">
      <c r="A3081" t="s">
        <v>1064</v>
      </c>
      <c r="B3081" t="s">
        <v>1163</v>
      </c>
      <c r="C3081" t="s">
        <v>37</v>
      </c>
      <c r="D3081" s="68">
        <v>342</v>
      </c>
      <c r="E3081" s="68"/>
      <c r="F3081" s="68">
        <v>1693</v>
      </c>
      <c r="G3081" s="68">
        <v>2035</v>
      </c>
      <c r="H30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82" spans="1:8" hidden="1" x14ac:dyDescent="0.3">
      <c r="A3082" t="s">
        <v>1064</v>
      </c>
      <c r="B3082" t="s">
        <v>1163</v>
      </c>
      <c r="C3082" t="s">
        <v>27</v>
      </c>
      <c r="D3082" s="68"/>
      <c r="E3082" s="68">
        <v>66</v>
      </c>
      <c r="F3082" s="68"/>
      <c r="G3082" s="68">
        <v>66</v>
      </c>
      <c r="H30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83" spans="1:8" hidden="1" x14ac:dyDescent="0.3">
      <c r="A3083" t="s">
        <v>1064</v>
      </c>
      <c r="B3083" t="s">
        <v>1163</v>
      </c>
      <c r="C3083" t="s">
        <v>5</v>
      </c>
      <c r="D3083" s="68">
        <v>1</v>
      </c>
      <c r="E3083" s="68"/>
      <c r="F3083" s="68"/>
      <c r="G3083" s="68">
        <v>1</v>
      </c>
      <c r="H30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84" spans="1:8" hidden="1" x14ac:dyDescent="0.3">
      <c r="A3084" t="s">
        <v>1064</v>
      </c>
      <c r="B3084" t="s">
        <v>1164</v>
      </c>
      <c r="C3084" t="s">
        <v>37</v>
      </c>
      <c r="D3084" s="68">
        <v>487</v>
      </c>
      <c r="E3084" s="68"/>
      <c r="F3084" s="68">
        <v>2935</v>
      </c>
      <c r="G3084" s="68">
        <v>3422</v>
      </c>
      <c r="H30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85" spans="1:8" hidden="1" x14ac:dyDescent="0.3">
      <c r="A3085" t="s">
        <v>1064</v>
      </c>
      <c r="B3085" t="s">
        <v>1164</v>
      </c>
      <c r="C3085" t="s">
        <v>26</v>
      </c>
      <c r="D3085" s="68">
        <v>175</v>
      </c>
      <c r="E3085" s="68"/>
      <c r="F3085" s="68">
        <v>2048</v>
      </c>
      <c r="G3085" s="68">
        <v>2223</v>
      </c>
      <c r="H30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86" spans="1:8" hidden="1" x14ac:dyDescent="0.3">
      <c r="A3086" t="s">
        <v>1064</v>
      </c>
      <c r="B3086" t="s">
        <v>1164</v>
      </c>
      <c r="C3086" t="s">
        <v>27</v>
      </c>
      <c r="D3086" s="68"/>
      <c r="E3086" s="68">
        <v>46</v>
      </c>
      <c r="F3086" s="68"/>
      <c r="G3086" s="68">
        <v>46</v>
      </c>
      <c r="H30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87" spans="1:8" hidden="1" x14ac:dyDescent="0.3">
      <c r="A3087" t="s">
        <v>1064</v>
      </c>
      <c r="B3087" t="s">
        <v>1164</v>
      </c>
      <c r="C3087" t="s">
        <v>5</v>
      </c>
      <c r="D3087" s="68">
        <v>3</v>
      </c>
      <c r="E3087" s="68"/>
      <c r="F3087" s="68">
        <v>1</v>
      </c>
      <c r="G3087" s="68">
        <v>4</v>
      </c>
      <c r="H30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88" spans="1:8" hidden="1" x14ac:dyDescent="0.3">
      <c r="A3088" t="s">
        <v>1064</v>
      </c>
      <c r="B3088" t="s">
        <v>1165</v>
      </c>
      <c r="C3088" t="s">
        <v>26</v>
      </c>
      <c r="D3088" s="68">
        <v>229</v>
      </c>
      <c r="E3088" s="68"/>
      <c r="F3088" s="68">
        <v>1595</v>
      </c>
      <c r="G3088" s="68">
        <v>1824</v>
      </c>
      <c r="H30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89" spans="1:8" hidden="1" x14ac:dyDescent="0.3">
      <c r="A3089" t="s">
        <v>1064</v>
      </c>
      <c r="B3089" t="s">
        <v>1165</v>
      </c>
      <c r="C3089" t="s">
        <v>37</v>
      </c>
      <c r="D3089" s="68">
        <v>240</v>
      </c>
      <c r="E3089" s="68"/>
      <c r="F3089" s="68">
        <v>988</v>
      </c>
      <c r="G3089" s="68">
        <v>1228</v>
      </c>
      <c r="H30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90" spans="1:8" hidden="1" x14ac:dyDescent="0.3">
      <c r="A3090" t="s">
        <v>1064</v>
      </c>
      <c r="B3090" t="s">
        <v>1165</v>
      </c>
      <c r="C3090" t="s">
        <v>27</v>
      </c>
      <c r="D3090" s="68"/>
      <c r="E3090" s="68">
        <v>56</v>
      </c>
      <c r="F3090" s="68"/>
      <c r="G3090" s="68">
        <v>56</v>
      </c>
      <c r="H30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91" spans="1:8" hidden="1" x14ac:dyDescent="0.3">
      <c r="A3091" t="s">
        <v>1064</v>
      </c>
      <c r="B3091" t="s">
        <v>1165</v>
      </c>
      <c r="C3091" t="s">
        <v>35</v>
      </c>
      <c r="D3091" s="68">
        <v>49</v>
      </c>
      <c r="E3091" s="68"/>
      <c r="F3091" s="68"/>
      <c r="G3091" s="68">
        <v>49</v>
      </c>
      <c r="H30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92" spans="1:8" hidden="1" x14ac:dyDescent="0.3">
      <c r="A3092" t="s">
        <v>1064</v>
      </c>
      <c r="B3092" t="s">
        <v>1165</v>
      </c>
      <c r="C3092" t="s">
        <v>36</v>
      </c>
      <c r="D3092" s="68">
        <v>13</v>
      </c>
      <c r="E3092" s="68"/>
      <c r="F3092" s="68">
        <v>13</v>
      </c>
      <c r="G3092" s="68">
        <v>26</v>
      </c>
      <c r="H30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93" spans="1:8" hidden="1" x14ac:dyDescent="0.3">
      <c r="A3093" t="s">
        <v>1064</v>
      </c>
      <c r="B3093" t="s">
        <v>1165</v>
      </c>
      <c r="C3093" t="s">
        <v>5</v>
      </c>
      <c r="D3093" s="68">
        <v>2</v>
      </c>
      <c r="E3093" s="68"/>
      <c r="F3093" s="68">
        <v>5</v>
      </c>
      <c r="G3093" s="68">
        <v>7</v>
      </c>
      <c r="H30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94" spans="1:8" hidden="1" x14ac:dyDescent="0.3">
      <c r="A3094" t="s">
        <v>1064</v>
      </c>
      <c r="B3094" t="s">
        <v>671</v>
      </c>
      <c r="C3094" t="s">
        <v>36</v>
      </c>
      <c r="D3094" s="68">
        <v>250</v>
      </c>
      <c r="E3094" s="68"/>
      <c r="F3094" s="68">
        <v>2547</v>
      </c>
      <c r="G3094" s="68">
        <v>2797</v>
      </c>
      <c r="H30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95" spans="1:8" hidden="1" x14ac:dyDescent="0.3">
      <c r="A3095" t="s">
        <v>1064</v>
      </c>
      <c r="B3095" t="s">
        <v>671</v>
      </c>
      <c r="C3095" t="s">
        <v>26</v>
      </c>
      <c r="D3095" s="68">
        <v>101</v>
      </c>
      <c r="E3095" s="68"/>
      <c r="F3095" s="68">
        <v>606</v>
      </c>
      <c r="G3095" s="68">
        <v>707</v>
      </c>
      <c r="H30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96" spans="1:8" hidden="1" x14ac:dyDescent="0.3">
      <c r="A3096" t="s">
        <v>1064</v>
      </c>
      <c r="B3096" t="s">
        <v>671</v>
      </c>
      <c r="C3096" t="s">
        <v>27</v>
      </c>
      <c r="D3096" s="68"/>
      <c r="E3096" s="68">
        <v>41</v>
      </c>
      <c r="F3096" s="68"/>
      <c r="G3096" s="68">
        <v>41</v>
      </c>
      <c r="H30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097" spans="1:8" hidden="1" x14ac:dyDescent="0.3">
      <c r="A3097" t="s">
        <v>1064</v>
      </c>
      <c r="B3097" t="s">
        <v>671</v>
      </c>
      <c r="C3097" t="s">
        <v>5</v>
      </c>
      <c r="D3097" s="68">
        <v>2</v>
      </c>
      <c r="E3097" s="68"/>
      <c r="F3097" s="68">
        <v>2</v>
      </c>
      <c r="G3097" s="68">
        <v>4</v>
      </c>
      <c r="H30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98" spans="1:8" hidden="1" x14ac:dyDescent="0.3">
      <c r="A3098" t="s">
        <v>1064</v>
      </c>
      <c r="B3098" t="s">
        <v>1166</v>
      </c>
      <c r="C3098" t="s">
        <v>26</v>
      </c>
      <c r="D3098" s="68">
        <v>180</v>
      </c>
      <c r="E3098" s="68"/>
      <c r="F3098" s="68">
        <v>1949</v>
      </c>
      <c r="G3098" s="68">
        <v>2129</v>
      </c>
      <c r="H30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99" spans="1:8" hidden="1" x14ac:dyDescent="0.3">
      <c r="A3099" t="s">
        <v>1064</v>
      </c>
      <c r="B3099" t="s">
        <v>1166</v>
      </c>
      <c r="C3099" t="s">
        <v>37</v>
      </c>
      <c r="D3099" s="68">
        <v>278</v>
      </c>
      <c r="E3099" s="68"/>
      <c r="F3099" s="68">
        <v>1306</v>
      </c>
      <c r="G3099" s="68">
        <v>1584</v>
      </c>
      <c r="H30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00" spans="1:8" hidden="1" x14ac:dyDescent="0.3">
      <c r="A3100" t="s">
        <v>1064</v>
      </c>
      <c r="B3100" t="s">
        <v>1166</v>
      </c>
      <c r="C3100" t="s">
        <v>712</v>
      </c>
      <c r="D3100" s="68">
        <v>91</v>
      </c>
      <c r="E3100" s="68"/>
      <c r="F3100" s="68">
        <v>694</v>
      </c>
      <c r="G3100" s="68">
        <v>785</v>
      </c>
      <c r="H31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01" spans="1:8" hidden="1" x14ac:dyDescent="0.3">
      <c r="A3101" t="s">
        <v>1064</v>
      </c>
      <c r="B3101" t="s">
        <v>1166</v>
      </c>
      <c r="C3101" t="s">
        <v>36</v>
      </c>
      <c r="D3101" s="68">
        <v>27</v>
      </c>
      <c r="E3101" s="68"/>
      <c r="F3101" s="68">
        <v>141</v>
      </c>
      <c r="G3101" s="68">
        <v>168</v>
      </c>
      <c r="H31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02" spans="1:8" hidden="1" x14ac:dyDescent="0.3">
      <c r="A3102" t="s">
        <v>1064</v>
      </c>
      <c r="B3102" t="s">
        <v>1166</v>
      </c>
      <c r="C3102" t="s">
        <v>27</v>
      </c>
      <c r="D3102" s="68"/>
      <c r="E3102" s="68">
        <v>100</v>
      </c>
      <c r="F3102" s="68"/>
      <c r="G3102" s="68">
        <v>100</v>
      </c>
      <c r="H31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03" spans="1:8" hidden="1" x14ac:dyDescent="0.3">
      <c r="A3103" t="s">
        <v>1064</v>
      </c>
      <c r="B3103" t="s">
        <v>1166</v>
      </c>
      <c r="C3103" t="s">
        <v>5</v>
      </c>
      <c r="D3103" s="68">
        <v>5</v>
      </c>
      <c r="E3103" s="68"/>
      <c r="F3103" s="68">
        <v>3</v>
      </c>
      <c r="G3103" s="68">
        <v>8</v>
      </c>
      <c r="H31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04" spans="1:8" hidden="1" x14ac:dyDescent="0.3">
      <c r="A3104" t="s">
        <v>1064</v>
      </c>
      <c r="B3104" t="s">
        <v>1167</v>
      </c>
      <c r="C3104" t="s">
        <v>5</v>
      </c>
      <c r="D3104" s="68">
        <v>228</v>
      </c>
      <c r="E3104" s="68"/>
      <c r="F3104" s="68">
        <v>1917</v>
      </c>
      <c r="G3104" s="68">
        <v>2145</v>
      </c>
      <c r="H31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05" spans="1:8" hidden="1" x14ac:dyDescent="0.3">
      <c r="A3105" t="s">
        <v>1064</v>
      </c>
      <c r="B3105" t="s">
        <v>1167</v>
      </c>
      <c r="C3105" t="s">
        <v>26</v>
      </c>
      <c r="D3105" s="68">
        <v>242</v>
      </c>
      <c r="E3105" s="68"/>
      <c r="F3105" s="68">
        <v>469</v>
      </c>
      <c r="G3105" s="68">
        <v>711</v>
      </c>
      <c r="H31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06" spans="1:8" hidden="1" x14ac:dyDescent="0.3">
      <c r="A3106" t="s">
        <v>1064</v>
      </c>
      <c r="B3106" t="s">
        <v>1167</v>
      </c>
      <c r="C3106" t="s">
        <v>36</v>
      </c>
      <c r="D3106" s="68">
        <v>39</v>
      </c>
      <c r="E3106" s="68"/>
      <c r="F3106" s="68">
        <v>47</v>
      </c>
      <c r="G3106" s="68">
        <v>86</v>
      </c>
      <c r="H31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07" spans="1:8" hidden="1" x14ac:dyDescent="0.3">
      <c r="A3107" t="s">
        <v>1064</v>
      </c>
      <c r="B3107" t="s">
        <v>1167</v>
      </c>
      <c r="C3107" t="s">
        <v>27</v>
      </c>
      <c r="D3107" s="68"/>
      <c r="E3107" s="68">
        <v>25</v>
      </c>
      <c r="F3107" s="68"/>
      <c r="G3107" s="68">
        <v>25</v>
      </c>
      <c r="H31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08" spans="1:8" hidden="1" x14ac:dyDescent="0.3">
      <c r="A3108" t="s">
        <v>1064</v>
      </c>
      <c r="B3108" t="s">
        <v>1168</v>
      </c>
      <c r="C3108" t="s">
        <v>26</v>
      </c>
      <c r="D3108" s="68">
        <v>22199</v>
      </c>
      <c r="E3108" s="68"/>
      <c r="F3108" s="68">
        <v>10566</v>
      </c>
      <c r="G3108" s="68">
        <v>32765</v>
      </c>
      <c r="H31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09" spans="1:8" hidden="1" x14ac:dyDescent="0.3">
      <c r="A3109" t="s">
        <v>1064</v>
      </c>
      <c r="B3109" t="s">
        <v>1168</v>
      </c>
      <c r="C3109" t="s">
        <v>37</v>
      </c>
      <c r="D3109" s="68">
        <v>6265</v>
      </c>
      <c r="E3109" s="68"/>
      <c r="F3109" s="68">
        <v>5024</v>
      </c>
      <c r="G3109" s="68">
        <v>11289</v>
      </c>
      <c r="H31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10" spans="1:8" hidden="1" x14ac:dyDescent="0.3">
      <c r="A3110" t="s">
        <v>1064</v>
      </c>
      <c r="B3110" t="s">
        <v>1168</v>
      </c>
      <c r="C3110" t="s">
        <v>712</v>
      </c>
      <c r="D3110" s="68">
        <v>5143</v>
      </c>
      <c r="E3110" s="68"/>
      <c r="F3110" s="68">
        <v>2382</v>
      </c>
      <c r="G3110" s="68">
        <v>7525</v>
      </c>
      <c r="H31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11" spans="1:8" hidden="1" x14ac:dyDescent="0.3">
      <c r="A3111" t="s">
        <v>1064</v>
      </c>
      <c r="B3111" t="s">
        <v>1168</v>
      </c>
      <c r="C3111" t="s">
        <v>36</v>
      </c>
      <c r="D3111" s="68">
        <v>2389</v>
      </c>
      <c r="E3111" s="68"/>
      <c r="F3111" s="68">
        <v>1150</v>
      </c>
      <c r="G3111" s="68">
        <v>3539</v>
      </c>
      <c r="H31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12" spans="1:8" hidden="1" x14ac:dyDescent="0.3">
      <c r="A3112" t="s">
        <v>1064</v>
      </c>
      <c r="B3112" t="s">
        <v>1168</v>
      </c>
      <c r="C3112" t="s">
        <v>27</v>
      </c>
      <c r="D3112" s="68"/>
      <c r="E3112" s="68">
        <v>1646</v>
      </c>
      <c r="F3112" s="68"/>
      <c r="G3112" s="68">
        <v>1646</v>
      </c>
      <c r="H31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13" spans="1:8" hidden="1" x14ac:dyDescent="0.3">
      <c r="A3113" t="s">
        <v>1064</v>
      </c>
      <c r="B3113" t="s">
        <v>1168</v>
      </c>
      <c r="C3113" t="s">
        <v>31</v>
      </c>
      <c r="D3113" s="68">
        <v>131</v>
      </c>
      <c r="E3113" s="68"/>
      <c r="F3113" s="68">
        <v>1174</v>
      </c>
      <c r="G3113" s="68">
        <v>1305</v>
      </c>
      <c r="H31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14" spans="1:8" hidden="1" x14ac:dyDescent="0.3">
      <c r="A3114" t="s">
        <v>1064</v>
      </c>
      <c r="B3114" t="s">
        <v>1168</v>
      </c>
      <c r="C3114" t="s">
        <v>5</v>
      </c>
      <c r="D3114" s="68">
        <v>23</v>
      </c>
      <c r="E3114" s="68"/>
      <c r="F3114" s="68"/>
      <c r="G3114" s="68">
        <v>23</v>
      </c>
      <c r="H31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15" spans="1:8" hidden="1" x14ac:dyDescent="0.3">
      <c r="A3115" t="s">
        <v>1064</v>
      </c>
      <c r="B3115" t="s">
        <v>1168</v>
      </c>
      <c r="C3115" t="s">
        <v>1077</v>
      </c>
      <c r="D3115" s="68">
        <v>1</v>
      </c>
      <c r="E3115" s="68"/>
      <c r="F3115" s="68"/>
      <c r="G3115" s="68">
        <v>1</v>
      </c>
      <c r="H31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16" spans="1:8" hidden="1" x14ac:dyDescent="0.3">
      <c r="A3116" t="s">
        <v>1064</v>
      </c>
      <c r="B3116" t="s">
        <v>1168</v>
      </c>
      <c r="C3116" t="s">
        <v>588</v>
      </c>
      <c r="D3116" s="68"/>
      <c r="E3116" s="68"/>
      <c r="F3116" s="68">
        <v>1</v>
      </c>
      <c r="G3116" s="68">
        <v>1</v>
      </c>
      <c r="H31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17" spans="1:8" hidden="1" x14ac:dyDescent="0.3">
      <c r="A3117" t="s">
        <v>1064</v>
      </c>
      <c r="B3117" t="s">
        <v>1169</v>
      </c>
      <c r="C3117" t="s">
        <v>36</v>
      </c>
      <c r="D3117" s="68">
        <v>147</v>
      </c>
      <c r="E3117" s="68"/>
      <c r="F3117" s="68">
        <v>1033</v>
      </c>
      <c r="G3117" s="68">
        <v>1180</v>
      </c>
      <c r="H31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18" spans="1:8" hidden="1" x14ac:dyDescent="0.3">
      <c r="A3118" t="s">
        <v>1064</v>
      </c>
      <c r="B3118" t="s">
        <v>1169</v>
      </c>
      <c r="C3118" t="s">
        <v>26</v>
      </c>
      <c r="D3118" s="68">
        <v>66</v>
      </c>
      <c r="E3118" s="68"/>
      <c r="F3118" s="68">
        <v>156</v>
      </c>
      <c r="G3118" s="68">
        <v>222</v>
      </c>
      <c r="H31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19" spans="1:8" hidden="1" x14ac:dyDescent="0.3">
      <c r="A3119" t="s">
        <v>1064</v>
      </c>
      <c r="B3119" t="s">
        <v>1169</v>
      </c>
      <c r="C3119" t="s">
        <v>27</v>
      </c>
      <c r="D3119" s="68"/>
      <c r="E3119" s="68">
        <v>25</v>
      </c>
      <c r="F3119" s="68"/>
      <c r="G3119" s="68">
        <v>25</v>
      </c>
      <c r="H31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20" spans="1:8" hidden="1" x14ac:dyDescent="0.3">
      <c r="A3120" t="s">
        <v>1064</v>
      </c>
      <c r="B3120" t="s">
        <v>1169</v>
      </c>
      <c r="C3120" t="s">
        <v>5</v>
      </c>
      <c r="D3120" s="68">
        <v>1</v>
      </c>
      <c r="E3120" s="68"/>
      <c r="F3120" s="68"/>
      <c r="G3120" s="68">
        <v>1</v>
      </c>
      <c r="H31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21" spans="1:8" hidden="1" x14ac:dyDescent="0.3">
      <c r="A3121" t="s">
        <v>1064</v>
      </c>
      <c r="B3121" t="s">
        <v>1170</v>
      </c>
      <c r="C3121" t="s">
        <v>37</v>
      </c>
      <c r="D3121" s="68">
        <v>2223</v>
      </c>
      <c r="E3121" s="68"/>
      <c r="F3121" s="68">
        <v>5471</v>
      </c>
      <c r="G3121" s="68">
        <v>7694</v>
      </c>
      <c r="H31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22" spans="1:8" hidden="1" x14ac:dyDescent="0.3">
      <c r="A3122" t="s">
        <v>1064</v>
      </c>
      <c r="B3122" t="s">
        <v>1170</v>
      </c>
      <c r="C3122" t="s">
        <v>26</v>
      </c>
      <c r="D3122" s="68">
        <v>1484</v>
      </c>
      <c r="E3122" s="68"/>
      <c r="F3122" s="68">
        <v>4666</v>
      </c>
      <c r="G3122" s="68">
        <v>6150</v>
      </c>
      <c r="H31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23" spans="1:8" hidden="1" x14ac:dyDescent="0.3">
      <c r="A3123" t="s">
        <v>1064</v>
      </c>
      <c r="B3123" t="s">
        <v>1170</v>
      </c>
      <c r="C3123" t="s">
        <v>27</v>
      </c>
      <c r="D3123" s="68"/>
      <c r="E3123" s="68">
        <v>372</v>
      </c>
      <c r="F3123" s="68"/>
      <c r="G3123" s="68">
        <v>372</v>
      </c>
      <c r="H31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24" spans="1:8" hidden="1" x14ac:dyDescent="0.3">
      <c r="A3124" t="s">
        <v>1064</v>
      </c>
      <c r="B3124" t="s">
        <v>1170</v>
      </c>
      <c r="C3124" t="s">
        <v>36</v>
      </c>
      <c r="D3124" s="68">
        <v>4</v>
      </c>
      <c r="E3124" s="68"/>
      <c r="F3124" s="68"/>
      <c r="G3124" s="68">
        <v>4</v>
      </c>
      <c r="H31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25" spans="1:8" hidden="1" x14ac:dyDescent="0.3">
      <c r="A3125" t="s">
        <v>1064</v>
      </c>
      <c r="B3125" t="s">
        <v>1171</v>
      </c>
      <c r="C3125" t="s">
        <v>5</v>
      </c>
      <c r="D3125" s="68">
        <v>9262</v>
      </c>
      <c r="E3125" s="68"/>
      <c r="F3125" s="68">
        <v>5068</v>
      </c>
      <c r="G3125" s="68">
        <v>14330</v>
      </c>
      <c r="H31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26" spans="1:8" hidden="1" x14ac:dyDescent="0.3">
      <c r="A3126" t="s">
        <v>1064</v>
      </c>
      <c r="B3126" t="s">
        <v>1171</v>
      </c>
      <c r="C3126" t="s">
        <v>26</v>
      </c>
      <c r="D3126" s="68">
        <v>3715</v>
      </c>
      <c r="E3126" s="68"/>
      <c r="F3126" s="68">
        <v>4369</v>
      </c>
      <c r="G3126" s="68">
        <v>8084</v>
      </c>
      <c r="H31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27" spans="1:8" hidden="1" x14ac:dyDescent="0.3">
      <c r="A3127" t="s">
        <v>1064</v>
      </c>
      <c r="B3127" t="s">
        <v>1171</v>
      </c>
      <c r="C3127" t="s">
        <v>37</v>
      </c>
      <c r="D3127" s="68">
        <v>3511</v>
      </c>
      <c r="E3127" s="68"/>
      <c r="F3127" s="68">
        <v>3754</v>
      </c>
      <c r="G3127" s="68">
        <v>7265</v>
      </c>
      <c r="H31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28" spans="1:8" hidden="1" x14ac:dyDescent="0.3">
      <c r="A3128" t="s">
        <v>1064</v>
      </c>
      <c r="B3128" t="s">
        <v>1171</v>
      </c>
      <c r="C3128" t="s">
        <v>712</v>
      </c>
      <c r="D3128" s="68">
        <v>754</v>
      </c>
      <c r="E3128" s="68"/>
      <c r="F3128" s="68">
        <v>1075</v>
      </c>
      <c r="G3128" s="68">
        <v>1829</v>
      </c>
      <c r="H31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29" spans="1:8" hidden="1" x14ac:dyDescent="0.3">
      <c r="A3129" t="s">
        <v>1064</v>
      </c>
      <c r="B3129" t="s">
        <v>1171</v>
      </c>
      <c r="C3129" t="s">
        <v>27</v>
      </c>
      <c r="D3129" s="68"/>
      <c r="E3129" s="68">
        <v>786</v>
      </c>
      <c r="F3129" s="68"/>
      <c r="G3129" s="68">
        <v>786</v>
      </c>
      <c r="H31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30" spans="1:8" hidden="1" x14ac:dyDescent="0.3">
      <c r="A3130" t="s">
        <v>1064</v>
      </c>
      <c r="B3130" t="s">
        <v>1171</v>
      </c>
      <c r="C3130" t="s">
        <v>36</v>
      </c>
      <c r="D3130" s="68">
        <v>183</v>
      </c>
      <c r="E3130" s="68"/>
      <c r="F3130" s="68">
        <v>174</v>
      </c>
      <c r="G3130" s="68">
        <v>357</v>
      </c>
      <c r="H31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31" spans="1:8" hidden="1" x14ac:dyDescent="0.3">
      <c r="A3131" t="s">
        <v>1064</v>
      </c>
      <c r="B3131" t="s">
        <v>1171</v>
      </c>
      <c r="C3131" t="s">
        <v>35</v>
      </c>
      <c r="D3131" s="68">
        <v>103</v>
      </c>
      <c r="E3131" s="68"/>
      <c r="F3131" s="68"/>
      <c r="G3131" s="68">
        <v>103</v>
      </c>
      <c r="H31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32" spans="1:8" hidden="1" x14ac:dyDescent="0.3">
      <c r="A3132" t="s">
        <v>1064</v>
      </c>
      <c r="B3132" t="s">
        <v>1172</v>
      </c>
      <c r="C3132" t="s">
        <v>26</v>
      </c>
      <c r="D3132" s="68">
        <v>1306</v>
      </c>
      <c r="E3132" s="68"/>
      <c r="F3132" s="68">
        <v>5944</v>
      </c>
      <c r="G3132" s="68">
        <v>7250</v>
      </c>
      <c r="H31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33" spans="1:8" hidden="1" x14ac:dyDescent="0.3">
      <c r="A3133" t="s">
        <v>1064</v>
      </c>
      <c r="B3133" t="s">
        <v>1172</v>
      </c>
      <c r="C3133" t="s">
        <v>36</v>
      </c>
      <c r="D3133" s="68">
        <v>382</v>
      </c>
      <c r="E3133" s="68"/>
      <c r="F3133" s="68">
        <v>2029</v>
      </c>
      <c r="G3133" s="68">
        <v>2411</v>
      </c>
      <c r="H31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34" spans="1:8" hidden="1" x14ac:dyDescent="0.3">
      <c r="A3134" t="s">
        <v>1064</v>
      </c>
      <c r="B3134" t="s">
        <v>1172</v>
      </c>
      <c r="C3134" t="s">
        <v>27</v>
      </c>
      <c r="D3134" s="68"/>
      <c r="E3134" s="68">
        <v>192</v>
      </c>
      <c r="F3134" s="68"/>
      <c r="G3134" s="68">
        <v>192</v>
      </c>
      <c r="H31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35" spans="1:8" hidden="1" x14ac:dyDescent="0.3">
      <c r="A3135" t="s">
        <v>1064</v>
      </c>
      <c r="B3135" t="s">
        <v>1172</v>
      </c>
      <c r="C3135" t="s">
        <v>5</v>
      </c>
      <c r="D3135" s="68">
        <v>2</v>
      </c>
      <c r="E3135" s="68"/>
      <c r="F3135" s="68">
        <v>2</v>
      </c>
      <c r="G3135" s="68">
        <v>4</v>
      </c>
      <c r="H31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36" spans="1:8" hidden="1" x14ac:dyDescent="0.3">
      <c r="A3136" t="s">
        <v>1064</v>
      </c>
      <c r="B3136" t="s">
        <v>1173</v>
      </c>
      <c r="C3136" t="s">
        <v>37</v>
      </c>
      <c r="D3136" s="68">
        <v>558</v>
      </c>
      <c r="E3136" s="68"/>
      <c r="F3136" s="68">
        <v>4242</v>
      </c>
      <c r="G3136" s="68">
        <v>4800</v>
      </c>
      <c r="H31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37" spans="1:8" hidden="1" x14ac:dyDescent="0.3">
      <c r="A3137" t="s">
        <v>1064</v>
      </c>
      <c r="B3137" t="s">
        <v>1173</v>
      </c>
      <c r="C3137" t="s">
        <v>26</v>
      </c>
      <c r="D3137" s="68">
        <v>237</v>
      </c>
      <c r="E3137" s="68"/>
      <c r="F3137" s="68">
        <v>3146</v>
      </c>
      <c r="G3137" s="68">
        <v>3383</v>
      </c>
      <c r="H31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38" spans="1:8" hidden="1" x14ac:dyDescent="0.3">
      <c r="A3138" t="s">
        <v>1064</v>
      </c>
      <c r="B3138" t="s">
        <v>1173</v>
      </c>
      <c r="C3138" t="s">
        <v>27</v>
      </c>
      <c r="D3138" s="68"/>
      <c r="E3138" s="68">
        <v>318</v>
      </c>
      <c r="F3138" s="68"/>
      <c r="G3138" s="68">
        <v>318</v>
      </c>
      <c r="H31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39" spans="1:8" hidden="1" x14ac:dyDescent="0.3">
      <c r="A3139" t="s">
        <v>1064</v>
      </c>
      <c r="B3139" t="s">
        <v>1173</v>
      </c>
      <c r="C3139" t="s">
        <v>36</v>
      </c>
      <c r="D3139" s="68">
        <v>29</v>
      </c>
      <c r="E3139" s="68"/>
      <c r="F3139" s="68">
        <v>95</v>
      </c>
      <c r="G3139" s="68">
        <v>124</v>
      </c>
      <c r="H31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40" spans="1:8" hidden="1" x14ac:dyDescent="0.3">
      <c r="A3140" t="s">
        <v>1064</v>
      </c>
      <c r="B3140" t="s">
        <v>1173</v>
      </c>
      <c r="C3140" t="s">
        <v>5</v>
      </c>
      <c r="D3140" s="68"/>
      <c r="E3140" s="68"/>
      <c r="F3140" s="68">
        <v>1</v>
      </c>
      <c r="G3140" s="68">
        <v>1</v>
      </c>
      <c r="H31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41" spans="1:8" hidden="1" x14ac:dyDescent="0.3">
      <c r="A3141" t="s">
        <v>1064</v>
      </c>
      <c r="B3141" t="s">
        <v>1174</v>
      </c>
      <c r="C3141" t="s">
        <v>37</v>
      </c>
      <c r="D3141" s="68">
        <v>525</v>
      </c>
      <c r="E3141" s="68"/>
      <c r="F3141" s="68">
        <v>885</v>
      </c>
      <c r="G3141" s="68">
        <v>1410</v>
      </c>
      <c r="H31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42" spans="1:8" hidden="1" x14ac:dyDescent="0.3">
      <c r="A3142" t="s">
        <v>1064</v>
      </c>
      <c r="B3142" t="s">
        <v>1174</v>
      </c>
      <c r="C3142" t="s">
        <v>26</v>
      </c>
      <c r="D3142" s="68">
        <v>291</v>
      </c>
      <c r="E3142" s="68"/>
      <c r="F3142" s="68">
        <v>817</v>
      </c>
      <c r="G3142" s="68">
        <v>1108</v>
      </c>
      <c r="H31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43" spans="1:8" hidden="1" x14ac:dyDescent="0.3">
      <c r="A3143" t="s">
        <v>1064</v>
      </c>
      <c r="B3143" t="s">
        <v>1174</v>
      </c>
      <c r="C3143" t="s">
        <v>27</v>
      </c>
      <c r="D3143" s="68"/>
      <c r="E3143" s="68">
        <v>38</v>
      </c>
      <c r="F3143" s="68"/>
      <c r="G3143" s="68">
        <v>38</v>
      </c>
      <c r="H31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44" spans="1:8" hidden="1" x14ac:dyDescent="0.3">
      <c r="A3144" t="s">
        <v>1064</v>
      </c>
      <c r="B3144" t="s">
        <v>1174</v>
      </c>
      <c r="C3144" t="s">
        <v>5</v>
      </c>
      <c r="D3144" s="68">
        <v>1</v>
      </c>
      <c r="E3144" s="68"/>
      <c r="F3144" s="68"/>
      <c r="G3144" s="68">
        <v>1</v>
      </c>
      <c r="H31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45" spans="1:8" hidden="1" x14ac:dyDescent="0.3">
      <c r="A3145" t="s">
        <v>1064</v>
      </c>
      <c r="B3145" t="s">
        <v>1175</v>
      </c>
      <c r="C3145" t="s">
        <v>34</v>
      </c>
      <c r="D3145" s="68">
        <v>30953</v>
      </c>
      <c r="E3145" s="68"/>
      <c r="F3145" s="68">
        <v>5886</v>
      </c>
      <c r="G3145" s="68">
        <v>36839</v>
      </c>
      <c r="H31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46" spans="1:8" hidden="1" x14ac:dyDescent="0.3">
      <c r="A3146" t="s">
        <v>1064</v>
      </c>
      <c r="B3146" t="s">
        <v>1175</v>
      </c>
      <c r="C3146" t="s">
        <v>37</v>
      </c>
      <c r="D3146" s="68">
        <v>22598</v>
      </c>
      <c r="E3146" s="68"/>
      <c r="F3146" s="68">
        <v>9690</v>
      </c>
      <c r="G3146" s="68">
        <v>32288</v>
      </c>
      <c r="H31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47" spans="1:8" hidden="1" x14ac:dyDescent="0.3">
      <c r="A3147" t="s">
        <v>1064</v>
      </c>
      <c r="B3147" t="s">
        <v>1175</v>
      </c>
      <c r="C3147" t="s">
        <v>36</v>
      </c>
      <c r="D3147" s="68">
        <v>22129</v>
      </c>
      <c r="E3147" s="68"/>
      <c r="F3147" s="68">
        <v>5549</v>
      </c>
      <c r="G3147" s="68">
        <v>27678</v>
      </c>
      <c r="H31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48" spans="1:8" hidden="1" x14ac:dyDescent="0.3">
      <c r="A3148" t="s">
        <v>1064</v>
      </c>
      <c r="B3148" t="s">
        <v>1175</v>
      </c>
      <c r="C3148" t="s">
        <v>5</v>
      </c>
      <c r="D3148" s="68">
        <v>22603</v>
      </c>
      <c r="E3148" s="68"/>
      <c r="F3148" s="68">
        <v>4297</v>
      </c>
      <c r="G3148" s="68">
        <v>26900</v>
      </c>
      <c r="H31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49" spans="1:8" hidden="1" x14ac:dyDescent="0.3">
      <c r="A3149" t="s">
        <v>1064</v>
      </c>
      <c r="B3149" t="s">
        <v>1175</v>
      </c>
      <c r="C3149" t="s">
        <v>26</v>
      </c>
      <c r="D3149" s="68">
        <v>15993</v>
      </c>
      <c r="E3149" s="68"/>
      <c r="F3149" s="68">
        <v>7579</v>
      </c>
      <c r="G3149" s="68">
        <v>23572</v>
      </c>
      <c r="H31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50" spans="1:8" hidden="1" x14ac:dyDescent="0.3">
      <c r="A3150" t="s">
        <v>1064</v>
      </c>
      <c r="B3150" t="s">
        <v>1175</v>
      </c>
      <c r="C3150" t="s">
        <v>712</v>
      </c>
      <c r="D3150" s="68">
        <v>18740</v>
      </c>
      <c r="E3150" s="68"/>
      <c r="F3150" s="68">
        <v>4061</v>
      </c>
      <c r="G3150" s="68">
        <v>22801</v>
      </c>
      <c r="H31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51" spans="1:8" hidden="1" x14ac:dyDescent="0.3">
      <c r="A3151" t="s">
        <v>1064</v>
      </c>
      <c r="B3151" t="s">
        <v>1175</v>
      </c>
      <c r="C3151" t="s">
        <v>31</v>
      </c>
      <c r="D3151" s="68">
        <v>384</v>
      </c>
      <c r="E3151" s="68"/>
      <c r="F3151" s="68">
        <v>2611</v>
      </c>
      <c r="G3151" s="68">
        <v>2995</v>
      </c>
      <c r="H31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52" spans="1:8" hidden="1" x14ac:dyDescent="0.3">
      <c r="A3152" t="s">
        <v>1064</v>
      </c>
      <c r="B3152" t="s">
        <v>1175</v>
      </c>
      <c r="C3152" t="s">
        <v>27</v>
      </c>
      <c r="D3152" s="68"/>
      <c r="E3152" s="68">
        <v>2869</v>
      </c>
      <c r="F3152" s="68"/>
      <c r="G3152" s="68">
        <v>2869</v>
      </c>
      <c r="H31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53" spans="1:8" hidden="1" x14ac:dyDescent="0.3">
      <c r="A3153" t="s">
        <v>1064</v>
      </c>
      <c r="B3153" t="s">
        <v>1175</v>
      </c>
      <c r="C3153" t="s">
        <v>35</v>
      </c>
      <c r="D3153" s="68">
        <v>107</v>
      </c>
      <c r="E3153" s="68"/>
      <c r="F3153" s="68"/>
      <c r="G3153" s="68">
        <v>107</v>
      </c>
      <c r="H31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54" spans="1:8" hidden="1" x14ac:dyDescent="0.3">
      <c r="A3154" t="s">
        <v>1064</v>
      </c>
      <c r="B3154" t="s">
        <v>1175</v>
      </c>
      <c r="C3154" t="s">
        <v>32</v>
      </c>
      <c r="D3154" s="68">
        <v>6</v>
      </c>
      <c r="E3154" s="68"/>
      <c r="F3154" s="68"/>
      <c r="G3154" s="68">
        <v>6</v>
      </c>
      <c r="H31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55" spans="1:8" hidden="1" x14ac:dyDescent="0.3">
      <c r="A3155" t="s">
        <v>1064</v>
      </c>
      <c r="B3155" t="s">
        <v>1175</v>
      </c>
      <c r="C3155" t="s">
        <v>1077</v>
      </c>
      <c r="D3155" s="68">
        <v>1</v>
      </c>
      <c r="E3155" s="68"/>
      <c r="F3155" s="68"/>
      <c r="G3155" s="68">
        <v>1</v>
      </c>
      <c r="H31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56" spans="1:8" hidden="1" x14ac:dyDescent="0.3">
      <c r="A3156" t="s">
        <v>1176</v>
      </c>
      <c r="B3156" t="s">
        <v>1177</v>
      </c>
      <c r="C3156" t="s">
        <v>26</v>
      </c>
      <c r="D3156" s="68">
        <v>474</v>
      </c>
      <c r="E3156" s="68"/>
      <c r="F3156" s="68">
        <v>7751</v>
      </c>
      <c r="G3156" s="68">
        <v>8225</v>
      </c>
      <c r="H31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57" spans="1:8" hidden="1" x14ac:dyDescent="0.3">
      <c r="A3157" t="s">
        <v>1176</v>
      </c>
      <c r="B3157" t="s">
        <v>1177</v>
      </c>
      <c r="C3157" t="s">
        <v>27</v>
      </c>
      <c r="D3157" s="68"/>
      <c r="E3157" s="68">
        <v>33</v>
      </c>
      <c r="F3157" s="68"/>
      <c r="G3157" s="68">
        <v>33</v>
      </c>
      <c r="H31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58" spans="1:8" hidden="1" x14ac:dyDescent="0.3">
      <c r="A3158" t="s">
        <v>1176</v>
      </c>
      <c r="B3158" t="s">
        <v>1178</v>
      </c>
      <c r="C3158" t="s">
        <v>26</v>
      </c>
      <c r="D3158" s="68">
        <v>8</v>
      </c>
      <c r="E3158" s="68"/>
      <c r="F3158" s="68">
        <v>521</v>
      </c>
      <c r="G3158" s="68">
        <v>529</v>
      </c>
      <c r="H31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59" spans="1:8" hidden="1" x14ac:dyDescent="0.3">
      <c r="A3159" t="s">
        <v>1176</v>
      </c>
      <c r="B3159" t="s">
        <v>1178</v>
      </c>
      <c r="C3159" t="s">
        <v>27</v>
      </c>
      <c r="D3159" s="68"/>
      <c r="E3159" s="68">
        <v>7</v>
      </c>
      <c r="F3159" s="68"/>
      <c r="G3159" s="68">
        <v>7</v>
      </c>
      <c r="H31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60" spans="1:8" hidden="1" x14ac:dyDescent="0.3">
      <c r="A3160" t="s">
        <v>1176</v>
      </c>
      <c r="B3160" t="s">
        <v>1179</v>
      </c>
      <c r="C3160" t="s">
        <v>26</v>
      </c>
      <c r="D3160" s="68"/>
      <c r="E3160" s="68"/>
      <c r="F3160" s="68">
        <v>1448</v>
      </c>
      <c r="G3160" s="68">
        <v>1448</v>
      </c>
      <c r="H31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61" spans="1:8" hidden="1" x14ac:dyDescent="0.3">
      <c r="A3161" t="s">
        <v>1176</v>
      </c>
      <c r="B3161" t="s">
        <v>1179</v>
      </c>
      <c r="C3161" t="s">
        <v>27</v>
      </c>
      <c r="D3161" s="68"/>
      <c r="E3161" s="68">
        <v>1</v>
      </c>
      <c r="F3161" s="68"/>
      <c r="G3161" s="68">
        <v>1</v>
      </c>
      <c r="H31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62" spans="1:8" hidden="1" x14ac:dyDescent="0.3">
      <c r="A3162" t="s">
        <v>1176</v>
      </c>
      <c r="B3162" t="s">
        <v>1180</v>
      </c>
      <c r="C3162" t="s">
        <v>26</v>
      </c>
      <c r="D3162" s="68">
        <v>5715</v>
      </c>
      <c r="E3162" s="68"/>
      <c r="F3162" s="68">
        <v>33204</v>
      </c>
      <c r="G3162" s="68">
        <v>38919</v>
      </c>
      <c r="H31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63" spans="1:8" hidden="1" x14ac:dyDescent="0.3">
      <c r="A3163" t="s">
        <v>1176</v>
      </c>
      <c r="B3163" t="s">
        <v>1180</v>
      </c>
      <c r="C3163" t="s">
        <v>27</v>
      </c>
      <c r="D3163" s="68"/>
      <c r="E3163" s="68">
        <v>1045</v>
      </c>
      <c r="F3163" s="68"/>
      <c r="G3163" s="68">
        <v>1045</v>
      </c>
      <c r="H31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64" spans="1:8" hidden="1" x14ac:dyDescent="0.3">
      <c r="A3164" t="s">
        <v>1176</v>
      </c>
      <c r="B3164" t="s">
        <v>1180</v>
      </c>
      <c r="C3164" t="s">
        <v>31</v>
      </c>
      <c r="D3164" s="68">
        <v>2</v>
      </c>
      <c r="E3164" s="68"/>
      <c r="F3164" s="68"/>
      <c r="G3164" s="68">
        <v>2</v>
      </c>
      <c r="H31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65" spans="1:8" hidden="1" x14ac:dyDescent="0.3">
      <c r="A3165" t="s">
        <v>1176</v>
      </c>
      <c r="B3165" t="s">
        <v>1181</v>
      </c>
      <c r="C3165" t="s">
        <v>26</v>
      </c>
      <c r="D3165" s="68">
        <v>16</v>
      </c>
      <c r="E3165" s="68"/>
      <c r="F3165" s="68">
        <v>178</v>
      </c>
      <c r="G3165" s="68">
        <v>194</v>
      </c>
      <c r="H31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66" spans="1:8" hidden="1" x14ac:dyDescent="0.3">
      <c r="A3166" t="s">
        <v>1176</v>
      </c>
      <c r="B3166" t="s">
        <v>1181</v>
      </c>
      <c r="C3166" t="s">
        <v>27</v>
      </c>
      <c r="D3166" s="68"/>
      <c r="E3166" s="68">
        <v>2</v>
      </c>
      <c r="F3166" s="68"/>
      <c r="G3166" s="68">
        <v>2</v>
      </c>
      <c r="H31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67" spans="1:8" hidden="1" x14ac:dyDescent="0.3">
      <c r="A3167" t="s">
        <v>1176</v>
      </c>
      <c r="B3167" t="s">
        <v>1182</v>
      </c>
      <c r="C3167" t="s">
        <v>27</v>
      </c>
      <c r="D3167" s="68"/>
      <c r="E3167" s="68">
        <v>1</v>
      </c>
      <c r="F3167" s="68"/>
      <c r="G3167" s="68">
        <v>1</v>
      </c>
      <c r="H31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68" spans="1:8" hidden="1" x14ac:dyDescent="0.3">
      <c r="A3168" t="s">
        <v>1176</v>
      </c>
      <c r="B3168" t="s">
        <v>1183</v>
      </c>
      <c r="C3168" t="s">
        <v>26</v>
      </c>
      <c r="D3168" s="68">
        <v>17</v>
      </c>
      <c r="E3168" s="68"/>
      <c r="F3168" s="68">
        <v>615</v>
      </c>
      <c r="G3168" s="68">
        <v>632</v>
      </c>
      <c r="H31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69" spans="1:8" hidden="1" x14ac:dyDescent="0.3">
      <c r="A3169" t="s">
        <v>1176</v>
      </c>
      <c r="B3169" t="s">
        <v>1184</v>
      </c>
      <c r="C3169" t="s">
        <v>26</v>
      </c>
      <c r="D3169" s="68">
        <v>16</v>
      </c>
      <c r="E3169" s="68"/>
      <c r="F3169" s="68">
        <v>1112</v>
      </c>
      <c r="G3169" s="68">
        <v>1128</v>
      </c>
      <c r="H31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70" spans="1:8" hidden="1" x14ac:dyDescent="0.3">
      <c r="A3170" t="s">
        <v>1176</v>
      </c>
      <c r="B3170" t="s">
        <v>702</v>
      </c>
      <c r="C3170" t="s">
        <v>26</v>
      </c>
      <c r="D3170" s="68">
        <v>44</v>
      </c>
      <c r="E3170" s="68"/>
      <c r="F3170" s="68">
        <v>1386</v>
      </c>
      <c r="G3170" s="68">
        <v>1430</v>
      </c>
      <c r="H31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71" spans="1:8" hidden="1" x14ac:dyDescent="0.3">
      <c r="A3171" t="s">
        <v>1176</v>
      </c>
      <c r="B3171" t="s">
        <v>702</v>
      </c>
      <c r="C3171" t="s">
        <v>27</v>
      </c>
      <c r="D3171" s="68"/>
      <c r="E3171" s="68">
        <v>4</v>
      </c>
      <c r="F3171" s="68"/>
      <c r="G3171" s="68">
        <v>4</v>
      </c>
      <c r="H31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72" spans="1:8" hidden="1" x14ac:dyDescent="0.3">
      <c r="A3172" t="s">
        <v>1176</v>
      </c>
      <c r="B3172" t="s">
        <v>1185</v>
      </c>
      <c r="C3172" t="s">
        <v>26</v>
      </c>
      <c r="D3172" s="68">
        <v>69</v>
      </c>
      <c r="E3172" s="68"/>
      <c r="F3172" s="68">
        <v>1480</v>
      </c>
      <c r="G3172" s="68">
        <v>1549</v>
      </c>
      <c r="H31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73" spans="1:8" hidden="1" x14ac:dyDescent="0.3">
      <c r="A3173" t="s">
        <v>1176</v>
      </c>
      <c r="B3173" t="s">
        <v>1185</v>
      </c>
      <c r="C3173" t="s">
        <v>27</v>
      </c>
      <c r="D3173" s="68"/>
      <c r="E3173" s="68">
        <v>10</v>
      </c>
      <c r="F3173" s="68"/>
      <c r="G3173" s="68">
        <v>10</v>
      </c>
      <c r="H31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74" spans="1:8" hidden="1" x14ac:dyDescent="0.3">
      <c r="A3174" t="s">
        <v>1186</v>
      </c>
      <c r="B3174" t="s">
        <v>719</v>
      </c>
      <c r="C3174" t="s">
        <v>26</v>
      </c>
      <c r="D3174" s="68">
        <v>1022</v>
      </c>
      <c r="E3174" s="68"/>
      <c r="F3174" s="68">
        <v>7799</v>
      </c>
      <c r="G3174" s="68">
        <v>8821</v>
      </c>
      <c r="H31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75" spans="1:8" hidden="1" x14ac:dyDescent="0.3">
      <c r="A3175" t="s">
        <v>1186</v>
      </c>
      <c r="B3175" t="s">
        <v>719</v>
      </c>
      <c r="C3175" t="s">
        <v>27</v>
      </c>
      <c r="D3175" s="68"/>
      <c r="E3175" s="68">
        <v>109</v>
      </c>
      <c r="F3175" s="68"/>
      <c r="G3175" s="68">
        <v>109</v>
      </c>
      <c r="H31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76" spans="1:8" hidden="1" x14ac:dyDescent="0.3">
      <c r="A3176" t="s">
        <v>1186</v>
      </c>
      <c r="B3176" t="s">
        <v>1187</v>
      </c>
      <c r="C3176" t="s">
        <v>26</v>
      </c>
      <c r="D3176" s="68">
        <v>1433</v>
      </c>
      <c r="E3176" s="68"/>
      <c r="F3176" s="68">
        <v>10132</v>
      </c>
      <c r="G3176" s="68">
        <v>11565</v>
      </c>
      <c r="H31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77" spans="1:8" hidden="1" x14ac:dyDescent="0.3">
      <c r="A3177" t="s">
        <v>1186</v>
      </c>
      <c r="B3177" t="s">
        <v>1187</v>
      </c>
      <c r="C3177" t="s">
        <v>27</v>
      </c>
      <c r="D3177" s="68"/>
      <c r="E3177" s="68">
        <v>159</v>
      </c>
      <c r="F3177" s="68"/>
      <c r="G3177" s="68">
        <v>159</v>
      </c>
      <c r="H31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78" spans="1:8" hidden="1" x14ac:dyDescent="0.3">
      <c r="A3178" t="s">
        <v>1186</v>
      </c>
      <c r="B3178" t="s">
        <v>806</v>
      </c>
      <c r="C3178" t="s">
        <v>26</v>
      </c>
      <c r="D3178" s="68">
        <v>398</v>
      </c>
      <c r="E3178" s="68"/>
      <c r="F3178" s="68">
        <v>3218</v>
      </c>
      <c r="G3178" s="68">
        <v>3616</v>
      </c>
      <c r="H31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79" spans="1:8" hidden="1" x14ac:dyDescent="0.3">
      <c r="A3179" t="s">
        <v>1186</v>
      </c>
      <c r="B3179" t="s">
        <v>806</v>
      </c>
      <c r="C3179" t="s">
        <v>27</v>
      </c>
      <c r="D3179" s="68"/>
      <c r="E3179" s="68">
        <v>55</v>
      </c>
      <c r="F3179" s="68"/>
      <c r="G3179" s="68">
        <v>55</v>
      </c>
      <c r="H31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80" spans="1:8" hidden="1" x14ac:dyDescent="0.3">
      <c r="A3180" t="s">
        <v>1186</v>
      </c>
      <c r="B3180" t="s">
        <v>806</v>
      </c>
      <c r="C3180" t="s">
        <v>31</v>
      </c>
      <c r="D3180" s="68"/>
      <c r="E3180" s="68"/>
      <c r="F3180" s="68">
        <v>1</v>
      </c>
      <c r="G3180" s="68">
        <v>1</v>
      </c>
      <c r="H31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81" spans="1:8" hidden="1" x14ac:dyDescent="0.3">
      <c r="A3181" t="s">
        <v>1186</v>
      </c>
      <c r="B3181" t="s">
        <v>1188</v>
      </c>
      <c r="C3181" t="s">
        <v>26</v>
      </c>
      <c r="D3181" s="68">
        <v>17514</v>
      </c>
      <c r="E3181" s="68"/>
      <c r="F3181" s="68">
        <v>44427</v>
      </c>
      <c r="G3181" s="68">
        <v>61941</v>
      </c>
      <c r="H31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82" spans="1:8" hidden="1" x14ac:dyDescent="0.3">
      <c r="A3182" t="s">
        <v>1186</v>
      </c>
      <c r="B3182" t="s">
        <v>1188</v>
      </c>
      <c r="C3182" t="s">
        <v>27</v>
      </c>
      <c r="D3182" s="68"/>
      <c r="E3182" s="68">
        <v>2073</v>
      </c>
      <c r="F3182" s="68"/>
      <c r="G3182" s="68">
        <v>2073</v>
      </c>
      <c r="H31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83" spans="1:8" hidden="1" x14ac:dyDescent="0.3">
      <c r="A3183" t="s">
        <v>1189</v>
      </c>
      <c r="B3183" t="s">
        <v>1190</v>
      </c>
      <c r="C3183" t="s">
        <v>26</v>
      </c>
      <c r="D3183" s="68">
        <v>1201</v>
      </c>
      <c r="E3183" s="68"/>
      <c r="F3183" s="68">
        <v>17637</v>
      </c>
      <c r="G3183" s="68">
        <v>18838</v>
      </c>
      <c r="H31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84" spans="1:8" hidden="1" x14ac:dyDescent="0.3">
      <c r="A3184" t="s">
        <v>1189</v>
      </c>
      <c r="B3184" t="s">
        <v>1190</v>
      </c>
      <c r="C3184" t="s">
        <v>38</v>
      </c>
      <c r="D3184" s="68">
        <v>135</v>
      </c>
      <c r="E3184" s="68"/>
      <c r="F3184" s="68">
        <v>9881</v>
      </c>
      <c r="G3184" s="68">
        <v>10016</v>
      </c>
      <c r="H31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85" spans="1:8" hidden="1" x14ac:dyDescent="0.3">
      <c r="A3185" t="s">
        <v>1189</v>
      </c>
      <c r="B3185" t="s">
        <v>1190</v>
      </c>
      <c r="C3185" t="s">
        <v>5</v>
      </c>
      <c r="D3185" s="68">
        <v>275</v>
      </c>
      <c r="E3185" s="68"/>
      <c r="F3185" s="68">
        <v>4402</v>
      </c>
      <c r="G3185" s="68">
        <v>4677</v>
      </c>
      <c r="H31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86" spans="1:8" hidden="1" x14ac:dyDescent="0.3">
      <c r="A3186" t="s">
        <v>1189</v>
      </c>
      <c r="B3186" t="s">
        <v>1190</v>
      </c>
      <c r="C3186" t="s">
        <v>27</v>
      </c>
      <c r="D3186" s="68"/>
      <c r="E3186" s="68">
        <v>432</v>
      </c>
      <c r="F3186" s="68"/>
      <c r="G3186" s="68">
        <v>432</v>
      </c>
      <c r="H31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87" spans="1:8" hidden="1" x14ac:dyDescent="0.3">
      <c r="A3187" t="s">
        <v>1189</v>
      </c>
      <c r="B3187" t="s">
        <v>1191</v>
      </c>
      <c r="C3187" t="s">
        <v>26</v>
      </c>
      <c r="D3187" s="68">
        <v>633</v>
      </c>
      <c r="E3187" s="68"/>
      <c r="F3187" s="68">
        <v>5250</v>
      </c>
      <c r="G3187" s="68">
        <v>5883</v>
      </c>
      <c r="H31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88" spans="1:8" hidden="1" x14ac:dyDescent="0.3">
      <c r="A3188" t="s">
        <v>1189</v>
      </c>
      <c r="B3188" t="s">
        <v>1191</v>
      </c>
      <c r="C3188" t="s">
        <v>5</v>
      </c>
      <c r="D3188" s="68">
        <v>284</v>
      </c>
      <c r="E3188" s="68"/>
      <c r="F3188" s="68">
        <v>2348</v>
      </c>
      <c r="G3188" s="68">
        <v>2632</v>
      </c>
      <c r="H31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89" spans="1:8" hidden="1" x14ac:dyDescent="0.3">
      <c r="A3189" t="s">
        <v>1189</v>
      </c>
      <c r="B3189" t="s">
        <v>1191</v>
      </c>
      <c r="C3189" t="s">
        <v>27</v>
      </c>
      <c r="D3189" s="68"/>
      <c r="E3189" s="68">
        <v>172</v>
      </c>
      <c r="F3189" s="68"/>
      <c r="G3189" s="68">
        <v>172</v>
      </c>
      <c r="H31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90" spans="1:8" hidden="1" x14ac:dyDescent="0.3">
      <c r="A3190" t="s">
        <v>1189</v>
      </c>
      <c r="B3190" t="s">
        <v>1192</v>
      </c>
      <c r="C3190" t="s">
        <v>26</v>
      </c>
      <c r="D3190" s="68">
        <v>2511</v>
      </c>
      <c r="E3190" s="68"/>
      <c r="F3190" s="68">
        <v>8277</v>
      </c>
      <c r="G3190" s="68">
        <v>10788</v>
      </c>
      <c r="H31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91" spans="1:8" hidden="1" x14ac:dyDescent="0.3">
      <c r="A3191" t="s">
        <v>1189</v>
      </c>
      <c r="B3191" t="s">
        <v>1192</v>
      </c>
      <c r="C3191" t="s">
        <v>5</v>
      </c>
      <c r="D3191" s="68">
        <v>700</v>
      </c>
      <c r="E3191" s="68"/>
      <c r="F3191" s="68">
        <v>3354</v>
      </c>
      <c r="G3191" s="68">
        <v>4054</v>
      </c>
      <c r="H31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92" spans="1:8" hidden="1" x14ac:dyDescent="0.3">
      <c r="A3192" t="s">
        <v>1189</v>
      </c>
      <c r="B3192" t="s">
        <v>1192</v>
      </c>
      <c r="C3192" t="s">
        <v>27</v>
      </c>
      <c r="D3192" s="68"/>
      <c r="E3192" s="68">
        <v>179</v>
      </c>
      <c r="F3192" s="68"/>
      <c r="G3192" s="68">
        <v>179</v>
      </c>
      <c r="H31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93" spans="1:8" hidden="1" x14ac:dyDescent="0.3">
      <c r="A3193" t="s">
        <v>1189</v>
      </c>
      <c r="B3193" t="s">
        <v>1192</v>
      </c>
      <c r="C3193" t="s">
        <v>36</v>
      </c>
      <c r="D3193" s="68">
        <v>1</v>
      </c>
      <c r="E3193" s="68"/>
      <c r="F3193" s="68"/>
      <c r="G3193" s="68">
        <v>1</v>
      </c>
      <c r="H31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94" spans="1:8" hidden="1" x14ac:dyDescent="0.3">
      <c r="A3194" t="s">
        <v>1189</v>
      </c>
      <c r="B3194" t="s">
        <v>1193</v>
      </c>
      <c r="C3194" t="s">
        <v>5</v>
      </c>
      <c r="D3194" s="68">
        <v>446</v>
      </c>
      <c r="E3194" s="68"/>
      <c r="F3194" s="68">
        <v>8132</v>
      </c>
      <c r="G3194" s="68">
        <v>8578</v>
      </c>
      <c r="H31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95" spans="1:8" hidden="1" x14ac:dyDescent="0.3">
      <c r="A3195" t="s">
        <v>1189</v>
      </c>
      <c r="B3195" t="s">
        <v>1193</v>
      </c>
      <c r="C3195" t="s">
        <v>36</v>
      </c>
      <c r="D3195" s="68">
        <v>366</v>
      </c>
      <c r="E3195" s="68"/>
      <c r="F3195" s="68">
        <v>8158</v>
      </c>
      <c r="G3195" s="68">
        <v>8524</v>
      </c>
      <c r="H31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96" spans="1:8" hidden="1" x14ac:dyDescent="0.3">
      <c r="A3196" t="s">
        <v>1189</v>
      </c>
      <c r="B3196" t="s">
        <v>1193</v>
      </c>
      <c r="C3196" t="s">
        <v>26</v>
      </c>
      <c r="D3196" s="68">
        <v>1160</v>
      </c>
      <c r="E3196" s="68"/>
      <c r="F3196" s="68">
        <v>6159</v>
      </c>
      <c r="G3196" s="68">
        <v>7319</v>
      </c>
      <c r="H31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97" spans="1:8" hidden="1" x14ac:dyDescent="0.3">
      <c r="A3197" t="s">
        <v>1189</v>
      </c>
      <c r="B3197" t="s">
        <v>1193</v>
      </c>
      <c r="C3197" t="s">
        <v>27</v>
      </c>
      <c r="D3197" s="68"/>
      <c r="E3197" s="68">
        <v>306</v>
      </c>
      <c r="F3197" s="68"/>
      <c r="G3197" s="68">
        <v>306</v>
      </c>
      <c r="H31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198" spans="1:8" hidden="1" x14ac:dyDescent="0.3">
      <c r="A3198" t="s">
        <v>1189</v>
      </c>
      <c r="B3198" t="s">
        <v>1194</v>
      </c>
      <c r="C3198" t="s">
        <v>5</v>
      </c>
      <c r="D3198" s="68">
        <v>189</v>
      </c>
      <c r="E3198" s="68"/>
      <c r="F3198" s="68">
        <v>1702</v>
      </c>
      <c r="G3198" s="68">
        <v>1891</v>
      </c>
      <c r="H31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99" spans="1:8" hidden="1" x14ac:dyDescent="0.3">
      <c r="A3199" t="s">
        <v>1189</v>
      </c>
      <c r="B3199" t="s">
        <v>1194</v>
      </c>
      <c r="C3199" t="s">
        <v>26</v>
      </c>
      <c r="D3199" s="68">
        <v>261</v>
      </c>
      <c r="E3199" s="68"/>
      <c r="F3199" s="68">
        <v>375</v>
      </c>
      <c r="G3199" s="68">
        <v>636</v>
      </c>
      <c r="H31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00" spans="1:8" hidden="1" x14ac:dyDescent="0.3">
      <c r="A3200" t="s">
        <v>1189</v>
      </c>
      <c r="B3200" t="s">
        <v>1194</v>
      </c>
      <c r="C3200" t="s">
        <v>27</v>
      </c>
      <c r="D3200" s="68"/>
      <c r="E3200" s="68">
        <v>48</v>
      </c>
      <c r="F3200" s="68"/>
      <c r="G3200" s="68">
        <v>48</v>
      </c>
      <c r="H32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01" spans="1:8" hidden="1" x14ac:dyDescent="0.3">
      <c r="A3201" t="s">
        <v>1189</v>
      </c>
      <c r="B3201" t="s">
        <v>1195</v>
      </c>
      <c r="C3201" t="s">
        <v>5</v>
      </c>
      <c r="D3201" s="68">
        <v>190</v>
      </c>
      <c r="E3201" s="68"/>
      <c r="F3201" s="68">
        <v>2533</v>
      </c>
      <c r="G3201" s="68">
        <v>2723</v>
      </c>
      <c r="H32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02" spans="1:8" hidden="1" x14ac:dyDescent="0.3">
      <c r="A3202" t="s">
        <v>1189</v>
      </c>
      <c r="B3202" t="s">
        <v>1195</v>
      </c>
      <c r="C3202" t="s">
        <v>38</v>
      </c>
      <c r="D3202" s="68">
        <v>83</v>
      </c>
      <c r="E3202" s="68"/>
      <c r="F3202" s="68">
        <v>2006</v>
      </c>
      <c r="G3202" s="68">
        <v>2089</v>
      </c>
      <c r="H32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03" spans="1:8" hidden="1" x14ac:dyDescent="0.3">
      <c r="A3203" t="s">
        <v>1189</v>
      </c>
      <c r="B3203" t="s">
        <v>1195</v>
      </c>
      <c r="C3203" t="s">
        <v>26</v>
      </c>
      <c r="D3203" s="68">
        <v>332</v>
      </c>
      <c r="E3203" s="68"/>
      <c r="F3203" s="68">
        <v>474</v>
      </c>
      <c r="G3203" s="68">
        <v>806</v>
      </c>
      <c r="H32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04" spans="1:8" hidden="1" x14ac:dyDescent="0.3">
      <c r="A3204" t="s">
        <v>1189</v>
      </c>
      <c r="B3204" t="s">
        <v>1195</v>
      </c>
      <c r="C3204" t="s">
        <v>27</v>
      </c>
      <c r="D3204" s="68"/>
      <c r="E3204" s="68">
        <v>108</v>
      </c>
      <c r="F3204" s="68"/>
      <c r="G3204" s="68">
        <v>108</v>
      </c>
      <c r="H32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05" spans="1:8" hidden="1" x14ac:dyDescent="0.3">
      <c r="A3205" t="s">
        <v>1189</v>
      </c>
      <c r="B3205" t="s">
        <v>1196</v>
      </c>
      <c r="C3205" t="s">
        <v>26</v>
      </c>
      <c r="D3205" s="68">
        <v>5608</v>
      </c>
      <c r="E3205" s="68"/>
      <c r="F3205" s="68">
        <v>13224</v>
      </c>
      <c r="G3205" s="68">
        <v>18832</v>
      </c>
      <c r="H32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06" spans="1:8" hidden="1" x14ac:dyDescent="0.3">
      <c r="A3206" t="s">
        <v>1189</v>
      </c>
      <c r="B3206" t="s">
        <v>1196</v>
      </c>
      <c r="C3206" t="s">
        <v>5</v>
      </c>
      <c r="D3206" s="68">
        <v>1621</v>
      </c>
      <c r="E3206" s="68"/>
      <c r="F3206" s="68">
        <v>5880</v>
      </c>
      <c r="G3206" s="68">
        <v>7501</v>
      </c>
      <c r="H32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07" spans="1:8" hidden="1" x14ac:dyDescent="0.3">
      <c r="A3207" t="s">
        <v>1189</v>
      </c>
      <c r="B3207" t="s">
        <v>1196</v>
      </c>
      <c r="C3207" t="s">
        <v>38</v>
      </c>
      <c r="D3207" s="68">
        <v>162</v>
      </c>
      <c r="E3207" s="68"/>
      <c r="F3207" s="68">
        <v>3890</v>
      </c>
      <c r="G3207" s="68">
        <v>4052</v>
      </c>
      <c r="H32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08" spans="1:8" hidden="1" x14ac:dyDescent="0.3">
      <c r="A3208" t="s">
        <v>1189</v>
      </c>
      <c r="B3208" t="s">
        <v>1196</v>
      </c>
      <c r="C3208" t="s">
        <v>27</v>
      </c>
      <c r="D3208" s="68"/>
      <c r="E3208" s="68">
        <v>489</v>
      </c>
      <c r="F3208" s="68"/>
      <c r="G3208" s="68">
        <v>489</v>
      </c>
      <c r="H32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09" spans="1:8" hidden="1" x14ac:dyDescent="0.3">
      <c r="A3209" t="s">
        <v>1189</v>
      </c>
      <c r="B3209" t="s">
        <v>1197</v>
      </c>
      <c r="C3209" t="s">
        <v>5</v>
      </c>
      <c r="D3209" s="68">
        <v>250</v>
      </c>
      <c r="E3209" s="68"/>
      <c r="F3209" s="68">
        <v>5109</v>
      </c>
      <c r="G3209" s="68">
        <v>5359</v>
      </c>
      <c r="H32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10" spans="1:8" hidden="1" x14ac:dyDescent="0.3">
      <c r="A3210" t="s">
        <v>1189</v>
      </c>
      <c r="B3210" t="s">
        <v>1197</v>
      </c>
      <c r="C3210" t="s">
        <v>26</v>
      </c>
      <c r="D3210" s="68">
        <v>249</v>
      </c>
      <c r="E3210" s="68"/>
      <c r="F3210" s="68">
        <v>779</v>
      </c>
      <c r="G3210" s="68">
        <v>1028</v>
      </c>
      <c r="H32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11" spans="1:8" hidden="1" x14ac:dyDescent="0.3">
      <c r="A3211" t="s">
        <v>1189</v>
      </c>
      <c r="B3211" t="s">
        <v>1197</v>
      </c>
      <c r="C3211" t="s">
        <v>27</v>
      </c>
      <c r="D3211" s="68"/>
      <c r="E3211" s="68">
        <v>144</v>
      </c>
      <c r="F3211" s="68"/>
      <c r="G3211" s="68">
        <v>144</v>
      </c>
      <c r="H32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12" spans="1:8" hidden="1" x14ac:dyDescent="0.3">
      <c r="A3212" t="s">
        <v>1189</v>
      </c>
      <c r="B3212" t="s">
        <v>1198</v>
      </c>
      <c r="C3212" t="s">
        <v>26</v>
      </c>
      <c r="D3212" s="68">
        <v>296</v>
      </c>
      <c r="E3212" s="68"/>
      <c r="F3212" s="68">
        <v>1449</v>
      </c>
      <c r="G3212" s="68">
        <v>1745</v>
      </c>
      <c r="H32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13" spans="1:8" hidden="1" x14ac:dyDescent="0.3">
      <c r="A3213" t="s">
        <v>1189</v>
      </c>
      <c r="B3213" t="s">
        <v>1198</v>
      </c>
      <c r="C3213" t="s">
        <v>38</v>
      </c>
      <c r="D3213" s="68">
        <v>57</v>
      </c>
      <c r="E3213" s="68"/>
      <c r="F3213" s="68">
        <v>1452</v>
      </c>
      <c r="G3213" s="68">
        <v>1509</v>
      </c>
      <c r="H32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14" spans="1:8" hidden="1" x14ac:dyDescent="0.3">
      <c r="A3214" t="s">
        <v>1189</v>
      </c>
      <c r="B3214" t="s">
        <v>1198</v>
      </c>
      <c r="C3214" t="s">
        <v>5</v>
      </c>
      <c r="D3214" s="68">
        <v>62</v>
      </c>
      <c r="E3214" s="68"/>
      <c r="F3214" s="68">
        <v>506</v>
      </c>
      <c r="G3214" s="68">
        <v>568</v>
      </c>
      <c r="H32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15" spans="1:8" hidden="1" x14ac:dyDescent="0.3">
      <c r="A3215" t="s">
        <v>1189</v>
      </c>
      <c r="B3215" t="s">
        <v>1198</v>
      </c>
      <c r="C3215" t="s">
        <v>27</v>
      </c>
      <c r="D3215" s="68"/>
      <c r="E3215" s="68">
        <v>80</v>
      </c>
      <c r="F3215" s="68"/>
      <c r="G3215" s="68">
        <v>80</v>
      </c>
      <c r="H32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16" spans="1:8" hidden="1" x14ac:dyDescent="0.3">
      <c r="A3216" t="s">
        <v>1189</v>
      </c>
      <c r="B3216" t="s">
        <v>1198</v>
      </c>
      <c r="C3216" t="s">
        <v>36</v>
      </c>
      <c r="D3216" s="68">
        <v>3</v>
      </c>
      <c r="E3216" s="68"/>
      <c r="F3216" s="68"/>
      <c r="G3216" s="68">
        <v>3</v>
      </c>
      <c r="H32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17" spans="1:8" hidden="1" x14ac:dyDescent="0.3">
      <c r="A3217" t="s">
        <v>1189</v>
      </c>
      <c r="B3217" t="s">
        <v>1199</v>
      </c>
      <c r="C3217" t="s">
        <v>26</v>
      </c>
      <c r="D3217" s="68">
        <v>7991</v>
      </c>
      <c r="E3217" s="68"/>
      <c r="F3217" s="68">
        <v>30924</v>
      </c>
      <c r="G3217" s="68">
        <v>38915</v>
      </c>
      <c r="H32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18" spans="1:8" hidden="1" x14ac:dyDescent="0.3">
      <c r="A3218" t="s">
        <v>1189</v>
      </c>
      <c r="B3218" t="s">
        <v>1199</v>
      </c>
      <c r="C3218" t="s">
        <v>5</v>
      </c>
      <c r="D3218" s="68">
        <v>10867</v>
      </c>
      <c r="E3218" s="68"/>
      <c r="F3218" s="68">
        <v>24458</v>
      </c>
      <c r="G3218" s="68">
        <v>35325</v>
      </c>
      <c r="H32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19" spans="1:8" hidden="1" x14ac:dyDescent="0.3">
      <c r="A3219" t="s">
        <v>1189</v>
      </c>
      <c r="B3219" t="s">
        <v>1199</v>
      </c>
      <c r="C3219" t="s">
        <v>38</v>
      </c>
      <c r="D3219" s="68">
        <v>293</v>
      </c>
      <c r="E3219" s="68"/>
      <c r="F3219" s="68">
        <v>6563</v>
      </c>
      <c r="G3219" s="68">
        <v>6856</v>
      </c>
      <c r="H32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20" spans="1:8" hidden="1" x14ac:dyDescent="0.3">
      <c r="A3220" t="s">
        <v>1189</v>
      </c>
      <c r="B3220" t="s">
        <v>1199</v>
      </c>
      <c r="C3220" t="s">
        <v>27</v>
      </c>
      <c r="D3220" s="68"/>
      <c r="E3220" s="68">
        <v>1810</v>
      </c>
      <c r="F3220" s="68"/>
      <c r="G3220" s="68">
        <v>1810</v>
      </c>
      <c r="H32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21" spans="1:8" hidden="1" x14ac:dyDescent="0.3">
      <c r="A3221" t="s">
        <v>1189</v>
      </c>
      <c r="B3221" t="s">
        <v>1199</v>
      </c>
      <c r="C3221" t="s">
        <v>36</v>
      </c>
      <c r="D3221" s="68">
        <v>74</v>
      </c>
      <c r="E3221" s="68"/>
      <c r="F3221" s="68">
        <v>83</v>
      </c>
      <c r="G3221" s="68">
        <v>157</v>
      </c>
      <c r="H32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22" spans="1:8" hidden="1" x14ac:dyDescent="0.3">
      <c r="A3222" t="s">
        <v>1189</v>
      </c>
      <c r="B3222" t="s">
        <v>1199</v>
      </c>
      <c r="C3222" t="s">
        <v>40</v>
      </c>
      <c r="D3222" s="68"/>
      <c r="E3222" s="68"/>
      <c r="F3222" s="68">
        <v>1</v>
      </c>
      <c r="G3222" s="68">
        <v>1</v>
      </c>
      <c r="H32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23" spans="1:8" hidden="1" x14ac:dyDescent="0.3">
      <c r="A3223" t="s">
        <v>1189</v>
      </c>
      <c r="B3223" t="s">
        <v>1200</v>
      </c>
      <c r="C3223" t="s">
        <v>26</v>
      </c>
      <c r="D3223" s="68">
        <v>2093</v>
      </c>
      <c r="E3223" s="68"/>
      <c r="F3223" s="68">
        <v>7801</v>
      </c>
      <c r="G3223" s="68">
        <v>9894</v>
      </c>
      <c r="H32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24" spans="1:8" hidden="1" x14ac:dyDescent="0.3">
      <c r="A3224" t="s">
        <v>1189</v>
      </c>
      <c r="B3224" t="s">
        <v>1200</v>
      </c>
      <c r="C3224" t="s">
        <v>5</v>
      </c>
      <c r="D3224" s="68">
        <v>1528</v>
      </c>
      <c r="E3224" s="68"/>
      <c r="F3224" s="68">
        <v>5352</v>
      </c>
      <c r="G3224" s="68">
        <v>6880</v>
      </c>
      <c r="H32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25" spans="1:8" hidden="1" x14ac:dyDescent="0.3">
      <c r="A3225" t="s">
        <v>1189</v>
      </c>
      <c r="B3225" t="s">
        <v>1200</v>
      </c>
      <c r="C3225" t="s">
        <v>38</v>
      </c>
      <c r="D3225" s="68">
        <v>183</v>
      </c>
      <c r="E3225" s="68"/>
      <c r="F3225" s="68">
        <v>4652</v>
      </c>
      <c r="G3225" s="68">
        <v>4835</v>
      </c>
      <c r="H32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26" spans="1:8" hidden="1" x14ac:dyDescent="0.3">
      <c r="A3226" t="s">
        <v>1189</v>
      </c>
      <c r="B3226" t="s">
        <v>1200</v>
      </c>
      <c r="C3226" t="s">
        <v>36</v>
      </c>
      <c r="D3226" s="68">
        <v>148</v>
      </c>
      <c r="E3226" s="68"/>
      <c r="F3226" s="68">
        <v>1189</v>
      </c>
      <c r="G3226" s="68">
        <v>1337</v>
      </c>
      <c r="H32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27" spans="1:8" hidden="1" x14ac:dyDescent="0.3">
      <c r="A3227" t="s">
        <v>1189</v>
      </c>
      <c r="B3227" t="s">
        <v>1200</v>
      </c>
      <c r="C3227" t="s">
        <v>27</v>
      </c>
      <c r="D3227" s="68"/>
      <c r="E3227" s="68">
        <v>657</v>
      </c>
      <c r="F3227" s="68"/>
      <c r="G3227" s="68">
        <v>657</v>
      </c>
      <c r="H32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28" spans="1:8" hidden="1" x14ac:dyDescent="0.3">
      <c r="A3228" t="s">
        <v>1189</v>
      </c>
      <c r="B3228" t="s">
        <v>606</v>
      </c>
      <c r="C3228" t="s">
        <v>5</v>
      </c>
      <c r="D3228" s="68">
        <v>704</v>
      </c>
      <c r="E3228" s="68"/>
      <c r="F3228" s="68">
        <v>9947</v>
      </c>
      <c r="G3228" s="68">
        <v>10651</v>
      </c>
      <c r="H32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29" spans="1:8" hidden="1" x14ac:dyDescent="0.3">
      <c r="A3229" t="s">
        <v>1189</v>
      </c>
      <c r="B3229" t="s">
        <v>606</v>
      </c>
      <c r="C3229" t="s">
        <v>26</v>
      </c>
      <c r="D3229" s="68">
        <v>750</v>
      </c>
      <c r="E3229" s="68"/>
      <c r="F3229" s="68">
        <v>6874</v>
      </c>
      <c r="G3229" s="68">
        <v>7624</v>
      </c>
      <c r="H32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30" spans="1:8" hidden="1" x14ac:dyDescent="0.3">
      <c r="A3230" t="s">
        <v>1189</v>
      </c>
      <c r="B3230" t="s">
        <v>606</v>
      </c>
      <c r="C3230" t="s">
        <v>27</v>
      </c>
      <c r="D3230" s="68"/>
      <c r="E3230" s="68">
        <v>317</v>
      </c>
      <c r="F3230" s="68"/>
      <c r="G3230" s="68">
        <v>317</v>
      </c>
      <c r="H32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31" spans="1:8" hidden="1" x14ac:dyDescent="0.3">
      <c r="A3231" t="s">
        <v>1189</v>
      </c>
      <c r="B3231" t="s">
        <v>1201</v>
      </c>
      <c r="C3231" t="s">
        <v>5</v>
      </c>
      <c r="D3231" s="68">
        <v>455</v>
      </c>
      <c r="E3231" s="68"/>
      <c r="F3231" s="68">
        <v>4128</v>
      </c>
      <c r="G3231" s="68">
        <v>4583</v>
      </c>
      <c r="H32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32" spans="1:8" hidden="1" x14ac:dyDescent="0.3">
      <c r="A3232" t="s">
        <v>1189</v>
      </c>
      <c r="B3232" t="s">
        <v>1201</v>
      </c>
      <c r="C3232" t="s">
        <v>26</v>
      </c>
      <c r="D3232" s="68">
        <v>1199</v>
      </c>
      <c r="E3232" s="68"/>
      <c r="F3232" s="68">
        <v>1290</v>
      </c>
      <c r="G3232" s="68">
        <v>2489</v>
      </c>
      <c r="H32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33" spans="1:8" hidden="1" x14ac:dyDescent="0.3">
      <c r="A3233" t="s">
        <v>1189</v>
      </c>
      <c r="B3233" t="s">
        <v>1201</v>
      </c>
      <c r="C3233" t="s">
        <v>27</v>
      </c>
      <c r="D3233" s="68"/>
      <c r="E3233" s="68">
        <v>67</v>
      </c>
      <c r="F3233" s="68"/>
      <c r="G3233" s="68">
        <v>67</v>
      </c>
      <c r="H32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34" spans="1:8" hidden="1" x14ac:dyDescent="0.3">
      <c r="A3234" t="s">
        <v>1189</v>
      </c>
      <c r="B3234" t="s">
        <v>1202</v>
      </c>
      <c r="C3234" t="s">
        <v>26</v>
      </c>
      <c r="D3234" s="68">
        <v>654</v>
      </c>
      <c r="E3234" s="68"/>
      <c r="F3234" s="68">
        <v>4821</v>
      </c>
      <c r="G3234" s="68">
        <v>5475</v>
      </c>
      <c r="H32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35" spans="1:8" hidden="1" x14ac:dyDescent="0.3">
      <c r="A3235" t="s">
        <v>1189</v>
      </c>
      <c r="B3235" t="s">
        <v>1202</v>
      </c>
      <c r="C3235" t="s">
        <v>5</v>
      </c>
      <c r="D3235" s="68">
        <v>244</v>
      </c>
      <c r="E3235" s="68"/>
      <c r="F3235" s="68">
        <v>3971</v>
      </c>
      <c r="G3235" s="68">
        <v>4215</v>
      </c>
      <c r="H32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36" spans="1:8" hidden="1" x14ac:dyDescent="0.3">
      <c r="A3236" t="s">
        <v>1189</v>
      </c>
      <c r="B3236" t="s">
        <v>1202</v>
      </c>
      <c r="C3236" t="s">
        <v>27</v>
      </c>
      <c r="D3236" s="68"/>
      <c r="E3236" s="68">
        <v>194</v>
      </c>
      <c r="F3236" s="68"/>
      <c r="G3236" s="68">
        <v>194</v>
      </c>
      <c r="H32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37" spans="1:8" hidden="1" x14ac:dyDescent="0.3">
      <c r="A3237" t="s">
        <v>1189</v>
      </c>
      <c r="B3237" t="s">
        <v>1203</v>
      </c>
      <c r="C3237" t="s">
        <v>5</v>
      </c>
      <c r="D3237" s="68">
        <v>1120</v>
      </c>
      <c r="E3237" s="68"/>
      <c r="F3237" s="68">
        <v>14670</v>
      </c>
      <c r="G3237" s="68">
        <v>15790</v>
      </c>
      <c r="H32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38" spans="1:8" hidden="1" x14ac:dyDescent="0.3">
      <c r="A3238" t="s">
        <v>1189</v>
      </c>
      <c r="B3238" t="s">
        <v>1203</v>
      </c>
      <c r="C3238" t="s">
        <v>38</v>
      </c>
      <c r="D3238" s="68">
        <v>139</v>
      </c>
      <c r="E3238" s="68"/>
      <c r="F3238" s="68">
        <v>6913</v>
      </c>
      <c r="G3238" s="68">
        <v>7052</v>
      </c>
      <c r="H32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39" spans="1:8" hidden="1" x14ac:dyDescent="0.3">
      <c r="A3239" t="s">
        <v>1189</v>
      </c>
      <c r="B3239" t="s">
        <v>1203</v>
      </c>
      <c r="C3239" t="s">
        <v>26</v>
      </c>
      <c r="D3239" s="68">
        <v>738</v>
      </c>
      <c r="E3239" s="68"/>
      <c r="F3239" s="68">
        <v>4864</v>
      </c>
      <c r="G3239" s="68">
        <v>5602</v>
      </c>
      <c r="H32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40" spans="1:8" hidden="1" x14ac:dyDescent="0.3">
      <c r="A3240" t="s">
        <v>1189</v>
      </c>
      <c r="B3240" t="s">
        <v>1203</v>
      </c>
      <c r="C3240" t="s">
        <v>27</v>
      </c>
      <c r="D3240" s="68"/>
      <c r="E3240" s="68">
        <v>429</v>
      </c>
      <c r="F3240" s="68"/>
      <c r="G3240" s="68">
        <v>429</v>
      </c>
      <c r="H32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41" spans="1:8" hidden="1" x14ac:dyDescent="0.3">
      <c r="A3241" t="s">
        <v>1189</v>
      </c>
      <c r="B3241" t="s">
        <v>1204</v>
      </c>
      <c r="C3241" t="s">
        <v>26</v>
      </c>
      <c r="D3241" s="68">
        <v>768</v>
      </c>
      <c r="E3241" s="68"/>
      <c r="F3241" s="68">
        <v>9156</v>
      </c>
      <c r="G3241" s="68">
        <v>9924</v>
      </c>
      <c r="H32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42" spans="1:8" hidden="1" x14ac:dyDescent="0.3">
      <c r="A3242" t="s">
        <v>1189</v>
      </c>
      <c r="B3242" t="s">
        <v>1204</v>
      </c>
      <c r="C3242" t="s">
        <v>31</v>
      </c>
      <c r="D3242" s="68">
        <v>88</v>
      </c>
      <c r="E3242" s="68"/>
      <c r="F3242" s="68">
        <v>3575</v>
      </c>
      <c r="G3242" s="68">
        <v>3663</v>
      </c>
      <c r="H32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43" spans="1:8" hidden="1" x14ac:dyDescent="0.3">
      <c r="A3243" t="s">
        <v>1189</v>
      </c>
      <c r="B3243" t="s">
        <v>1204</v>
      </c>
      <c r="C3243" t="s">
        <v>25</v>
      </c>
      <c r="D3243" s="68">
        <v>29</v>
      </c>
      <c r="E3243" s="68"/>
      <c r="F3243" s="68">
        <v>943</v>
      </c>
      <c r="G3243" s="68">
        <v>972</v>
      </c>
      <c r="H32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44" spans="1:8" hidden="1" x14ac:dyDescent="0.3">
      <c r="A3244" t="s">
        <v>1189</v>
      </c>
      <c r="B3244" t="s">
        <v>1204</v>
      </c>
      <c r="C3244" t="s">
        <v>27</v>
      </c>
      <c r="D3244" s="68"/>
      <c r="E3244" s="68">
        <v>296</v>
      </c>
      <c r="F3244" s="68"/>
      <c r="G3244" s="68">
        <v>296</v>
      </c>
      <c r="H32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45" spans="1:8" hidden="1" x14ac:dyDescent="0.3">
      <c r="A3245" t="s">
        <v>1189</v>
      </c>
      <c r="B3245" t="s">
        <v>1204</v>
      </c>
      <c r="C3245" t="s">
        <v>36</v>
      </c>
      <c r="D3245" s="68">
        <v>20</v>
      </c>
      <c r="E3245" s="68"/>
      <c r="F3245" s="68">
        <v>150</v>
      </c>
      <c r="G3245" s="68">
        <v>170</v>
      </c>
      <c r="H32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46" spans="1:8" hidden="1" x14ac:dyDescent="0.3">
      <c r="A3246" t="s">
        <v>1189</v>
      </c>
      <c r="B3246" t="s">
        <v>1204</v>
      </c>
      <c r="C3246" t="s">
        <v>5</v>
      </c>
      <c r="D3246" s="68">
        <v>5</v>
      </c>
      <c r="E3246" s="68"/>
      <c r="F3246" s="68">
        <v>3</v>
      </c>
      <c r="G3246" s="68">
        <v>8</v>
      </c>
      <c r="H32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47" spans="1:8" hidden="1" x14ac:dyDescent="0.3">
      <c r="A3247" t="s">
        <v>1189</v>
      </c>
      <c r="B3247" t="s">
        <v>1205</v>
      </c>
      <c r="C3247" t="s">
        <v>26</v>
      </c>
      <c r="D3247" s="68">
        <v>6503</v>
      </c>
      <c r="E3247" s="68"/>
      <c r="F3247" s="68">
        <v>23315</v>
      </c>
      <c r="G3247" s="68">
        <v>29818</v>
      </c>
      <c r="H32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48" spans="1:8" hidden="1" x14ac:dyDescent="0.3">
      <c r="A3248" t="s">
        <v>1189</v>
      </c>
      <c r="B3248" t="s">
        <v>1205</v>
      </c>
      <c r="C3248" t="s">
        <v>5</v>
      </c>
      <c r="D3248" s="68">
        <v>3770</v>
      </c>
      <c r="E3248" s="68"/>
      <c r="F3248" s="68">
        <v>21433</v>
      </c>
      <c r="G3248" s="68">
        <v>25203</v>
      </c>
      <c r="H32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49" spans="1:8" hidden="1" x14ac:dyDescent="0.3">
      <c r="A3249" t="s">
        <v>1189</v>
      </c>
      <c r="B3249" t="s">
        <v>1205</v>
      </c>
      <c r="C3249" t="s">
        <v>38</v>
      </c>
      <c r="D3249" s="68">
        <v>155</v>
      </c>
      <c r="E3249" s="68"/>
      <c r="F3249" s="68">
        <v>7176</v>
      </c>
      <c r="G3249" s="68">
        <v>7331</v>
      </c>
      <c r="H32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50" spans="1:8" hidden="1" x14ac:dyDescent="0.3">
      <c r="A3250" t="s">
        <v>1189</v>
      </c>
      <c r="B3250" t="s">
        <v>1205</v>
      </c>
      <c r="C3250" t="s">
        <v>36</v>
      </c>
      <c r="D3250" s="68">
        <v>400</v>
      </c>
      <c r="E3250" s="68"/>
      <c r="F3250" s="68">
        <v>4122</v>
      </c>
      <c r="G3250" s="68">
        <v>4522</v>
      </c>
      <c r="H32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51" spans="1:8" hidden="1" x14ac:dyDescent="0.3">
      <c r="A3251" t="s">
        <v>1189</v>
      </c>
      <c r="B3251" t="s">
        <v>1205</v>
      </c>
      <c r="C3251" t="s">
        <v>27</v>
      </c>
      <c r="D3251" s="68"/>
      <c r="E3251" s="68">
        <v>1590</v>
      </c>
      <c r="F3251" s="68"/>
      <c r="G3251" s="68">
        <v>1590</v>
      </c>
      <c r="H32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52" spans="1:8" hidden="1" x14ac:dyDescent="0.3">
      <c r="A3252" t="s">
        <v>1189</v>
      </c>
      <c r="B3252" t="s">
        <v>1206</v>
      </c>
      <c r="C3252" t="s">
        <v>5</v>
      </c>
      <c r="D3252" s="68">
        <v>218</v>
      </c>
      <c r="E3252" s="68"/>
      <c r="F3252" s="68">
        <v>3769</v>
      </c>
      <c r="G3252" s="68">
        <v>3987</v>
      </c>
      <c r="H32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53" spans="1:8" hidden="1" x14ac:dyDescent="0.3">
      <c r="A3253" t="s">
        <v>1189</v>
      </c>
      <c r="B3253" t="s">
        <v>1206</v>
      </c>
      <c r="C3253" t="s">
        <v>26</v>
      </c>
      <c r="D3253" s="68">
        <v>361</v>
      </c>
      <c r="E3253" s="68"/>
      <c r="F3253" s="68">
        <v>1325</v>
      </c>
      <c r="G3253" s="68">
        <v>1686</v>
      </c>
      <c r="H32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54" spans="1:8" hidden="1" x14ac:dyDescent="0.3">
      <c r="A3254" t="s">
        <v>1189</v>
      </c>
      <c r="B3254" t="s">
        <v>1206</v>
      </c>
      <c r="C3254" t="s">
        <v>27</v>
      </c>
      <c r="D3254" s="68"/>
      <c r="E3254" s="68">
        <v>116</v>
      </c>
      <c r="F3254" s="68"/>
      <c r="G3254" s="68">
        <v>116</v>
      </c>
      <c r="H32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55" spans="1:8" hidden="1" x14ac:dyDescent="0.3">
      <c r="A3255" t="s">
        <v>1189</v>
      </c>
      <c r="B3255" t="s">
        <v>1207</v>
      </c>
      <c r="C3255" t="s">
        <v>26</v>
      </c>
      <c r="D3255" s="68">
        <v>108417</v>
      </c>
      <c r="E3255" s="68"/>
      <c r="F3255" s="68">
        <v>108858</v>
      </c>
      <c r="G3255" s="68">
        <v>217275</v>
      </c>
      <c r="H32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56" spans="1:8" hidden="1" x14ac:dyDescent="0.3">
      <c r="A3256" t="s">
        <v>1189</v>
      </c>
      <c r="B3256" t="s">
        <v>1207</v>
      </c>
      <c r="C3256" t="s">
        <v>5</v>
      </c>
      <c r="D3256" s="68">
        <v>91815</v>
      </c>
      <c r="E3256" s="68"/>
      <c r="F3256" s="68">
        <v>58886</v>
      </c>
      <c r="G3256" s="68">
        <v>150701</v>
      </c>
      <c r="H32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57" spans="1:8" hidden="1" x14ac:dyDescent="0.3">
      <c r="A3257" t="s">
        <v>1189</v>
      </c>
      <c r="B3257" t="s">
        <v>1207</v>
      </c>
      <c r="C3257" t="s">
        <v>37</v>
      </c>
      <c r="D3257" s="68">
        <v>6368</v>
      </c>
      <c r="E3257" s="68"/>
      <c r="F3257" s="68">
        <v>20653</v>
      </c>
      <c r="G3257" s="68">
        <v>27021</v>
      </c>
      <c r="H32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58" spans="1:8" hidden="1" x14ac:dyDescent="0.3">
      <c r="A3258" t="s">
        <v>1189</v>
      </c>
      <c r="B3258" t="s">
        <v>1207</v>
      </c>
      <c r="C3258" t="s">
        <v>36</v>
      </c>
      <c r="D3258" s="68">
        <v>2972</v>
      </c>
      <c r="E3258" s="68"/>
      <c r="F3258" s="68">
        <v>11539</v>
      </c>
      <c r="G3258" s="68">
        <v>14511</v>
      </c>
      <c r="H32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59" spans="1:8" hidden="1" x14ac:dyDescent="0.3">
      <c r="A3259" t="s">
        <v>1189</v>
      </c>
      <c r="B3259" t="s">
        <v>1207</v>
      </c>
      <c r="C3259" t="s">
        <v>27</v>
      </c>
      <c r="D3259" s="68"/>
      <c r="E3259" s="68">
        <v>13697</v>
      </c>
      <c r="F3259" s="68"/>
      <c r="G3259" s="68">
        <v>13697</v>
      </c>
      <c r="H32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60" spans="1:8" hidden="1" x14ac:dyDescent="0.3">
      <c r="A3260" t="s">
        <v>1189</v>
      </c>
      <c r="B3260" t="s">
        <v>1207</v>
      </c>
      <c r="C3260" t="s">
        <v>35</v>
      </c>
      <c r="D3260" s="68">
        <v>153</v>
      </c>
      <c r="E3260" s="68"/>
      <c r="F3260" s="68"/>
      <c r="G3260" s="68">
        <v>153</v>
      </c>
      <c r="H32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61" spans="1:8" hidden="1" x14ac:dyDescent="0.3">
      <c r="A3261" t="s">
        <v>1189</v>
      </c>
      <c r="B3261" t="s">
        <v>1207</v>
      </c>
      <c r="C3261" t="s">
        <v>33</v>
      </c>
      <c r="D3261" s="68"/>
      <c r="E3261" s="68"/>
      <c r="F3261" s="68">
        <v>2</v>
      </c>
      <c r="G3261" s="68">
        <v>2</v>
      </c>
      <c r="H32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62" spans="1:8" hidden="1" x14ac:dyDescent="0.3">
      <c r="A3262" t="s">
        <v>1189</v>
      </c>
      <c r="B3262" t="s">
        <v>1207</v>
      </c>
      <c r="C3262" t="s">
        <v>30</v>
      </c>
      <c r="D3262" s="68"/>
      <c r="E3262" s="68"/>
      <c r="F3262" s="68">
        <v>1</v>
      </c>
      <c r="G3262" s="68">
        <v>1</v>
      </c>
      <c r="H32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63" spans="1:8" hidden="1" x14ac:dyDescent="0.3">
      <c r="A3263" t="s">
        <v>1189</v>
      </c>
      <c r="B3263" t="s">
        <v>1207</v>
      </c>
      <c r="C3263" t="s">
        <v>1077</v>
      </c>
      <c r="D3263" s="68">
        <v>1</v>
      </c>
      <c r="E3263" s="68"/>
      <c r="F3263" s="68"/>
      <c r="G3263" s="68">
        <v>1</v>
      </c>
      <c r="H32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64" spans="1:8" hidden="1" x14ac:dyDescent="0.3">
      <c r="A3264" t="s">
        <v>1189</v>
      </c>
      <c r="B3264" t="s">
        <v>1207</v>
      </c>
      <c r="C3264" t="s">
        <v>31</v>
      </c>
      <c r="D3264" s="68"/>
      <c r="E3264" s="68"/>
      <c r="F3264" s="68">
        <v>1</v>
      </c>
      <c r="G3264" s="68">
        <v>1</v>
      </c>
      <c r="H32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65" spans="1:8" hidden="1" x14ac:dyDescent="0.3">
      <c r="A3265" t="s">
        <v>1189</v>
      </c>
      <c r="B3265" t="s">
        <v>1208</v>
      </c>
      <c r="C3265" t="s">
        <v>5</v>
      </c>
      <c r="D3265" s="68">
        <v>190</v>
      </c>
      <c r="E3265" s="68"/>
      <c r="F3265" s="68">
        <v>4879</v>
      </c>
      <c r="G3265" s="68">
        <v>5069</v>
      </c>
      <c r="H32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66" spans="1:8" hidden="1" x14ac:dyDescent="0.3">
      <c r="A3266" t="s">
        <v>1189</v>
      </c>
      <c r="B3266" t="s">
        <v>1208</v>
      </c>
      <c r="C3266" t="s">
        <v>26</v>
      </c>
      <c r="D3266" s="68">
        <v>483</v>
      </c>
      <c r="E3266" s="68"/>
      <c r="F3266" s="68">
        <v>3207</v>
      </c>
      <c r="G3266" s="68">
        <v>3690</v>
      </c>
      <c r="H32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67" spans="1:8" hidden="1" x14ac:dyDescent="0.3">
      <c r="A3267" t="s">
        <v>1189</v>
      </c>
      <c r="B3267" t="s">
        <v>1208</v>
      </c>
      <c r="C3267" t="s">
        <v>31</v>
      </c>
      <c r="D3267" s="68">
        <v>64</v>
      </c>
      <c r="E3267" s="68"/>
      <c r="F3267" s="68">
        <v>2977</v>
      </c>
      <c r="G3267" s="68">
        <v>3041</v>
      </c>
      <c r="H32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68" spans="1:8" hidden="1" x14ac:dyDescent="0.3">
      <c r="A3268" t="s">
        <v>1189</v>
      </c>
      <c r="B3268" t="s">
        <v>1208</v>
      </c>
      <c r="C3268" t="s">
        <v>27</v>
      </c>
      <c r="D3268" s="68"/>
      <c r="E3268" s="68">
        <v>175</v>
      </c>
      <c r="F3268" s="68"/>
      <c r="G3268" s="68">
        <v>175</v>
      </c>
      <c r="H32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69" spans="1:8" hidden="1" x14ac:dyDescent="0.3">
      <c r="A3269" t="s">
        <v>1189</v>
      </c>
      <c r="B3269" t="s">
        <v>1209</v>
      </c>
      <c r="C3269" t="s">
        <v>26</v>
      </c>
      <c r="D3269" s="68">
        <v>565</v>
      </c>
      <c r="E3269" s="68"/>
      <c r="F3269" s="68">
        <v>2749</v>
      </c>
      <c r="G3269" s="68">
        <v>3314</v>
      </c>
      <c r="H32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70" spans="1:8" hidden="1" x14ac:dyDescent="0.3">
      <c r="A3270" t="s">
        <v>1189</v>
      </c>
      <c r="B3270" t="s">
        <v>1209</v>
      </c>
      <c r="C3270" t="s">
        <v>5</v>
      </c>
      <c r="D3270" s="68">
        <v>158</v>
      </c>
      <c r="E3270" s="68"/>
      <c r="F3270" s="68">
        <v>1291</v>
      </c>
      <c r="G3270" s="68">
        <v>1449</v>
      </c>
      <c r="H32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71" spans="1:8" hidden="1" x14ac:dyDescent="0.3">
      <c r="A3271" t="s">
        <v>1189</v>
      </c>
      <c r="B3271" t="s">
        <v>1209</v>
      </c>
      <c r="C3271" t="s">
        <v>27</v>
      </c>
      <c r="D3271" s="68"/>
      <c r="E3271" s="68">
        <v>85</v>
      </c>
      <c r="F3271" s="68"/>
      <c r="G3271" s="68">
        <v>85</v>
      </c>
      <c r="H32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72" spans="1:8" hidden="1" x14ac:dyDescent="0.3">
      <c r="A3272" t="s">
        <v>1189</v>
      </c>
      <c r="B3272" t="s">
        <v>1210</v>
      </c>
      <c r="C3272" t="s">
        <v>26</v>
      </c>
      <c r="D3272" s="68">
        <v>2878</v>
      </c>
      <c r="E3272" s="68"/>
      <c r="F3272" s="68">
        <v>8929</v>
      </c>
      <c r="G3272" s="68">
        <v>11807</v>
      </c>
      <c r="H32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73" spans="1:8" hidden="1" x14ac:dyDescent="0.3">
      <c r="A3273" t="s">
        <v>1189</v>
      </c>
      <c r="B3273" t="s">
        <v>1210</v>
      </c>
      <c r="C3273" t="s">
        <v>5</v>
      </c>
      <c r="D3273" s="68">
        <v>666</v>
      </c>
      <c r="E3273" s="68"/>
      <c r="F3273" s="68">
        <v>3214</v>
      </c>
      <c r="G3273" s="68">
        <v>3880</v>
      </c>
      <c r="H32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74" spans="1:8" hidden="1" x14ac:dyDescent="0.3">
      <c r="A3274" t="s">
        <v>1189</v>
      </c>
      <c r="B3274" t="s">
        <v>1210</v>
      </c>
      <c r="C3274" t="s">
        <v>38</v>
      </c>
      <c r="D3274" s="68">
        <v>172</v>
      </c>
      <c r="E3274" s="68"/>
      <c r="F3274" s="68">
        <v>2689</v>
      </c>
      <c r="G3274" s="68">
        <v>2861</v>
      </c>
      <c r="H32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75" spans="1:8" hidden="1" x14ac:dyDescent="0.3">
      <c r="A3275" t="s">
        <v>1189</v>
      </c>
      <c r="B3275" t="s">
        <v>1210</v>
      </c>
      <c r="C3275" t="s">
        <v>27</v>
      </c>
      <c r="D3275" s="68"/>
      <c r="E3275" s="68">
        <v>191</v>
      </c>
      <c r="F3275" s="68"/>
      <c r="G3275" s="68">
        <v>191</v>
      </c>
      <c r="H32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76" spans="1:8" hidden="1" x14ac:dyDescent="0.3">
      <c r="A3276" t="s">
        <v>1189</v>
      </c>
      <c r="B3276" t="s">
        <v>894</v>
      </c>
      <c r="C3276" t="s">
        <v>5</v>
      </c>
      <c r="D3276" s="68">
        <v>278</v>
      </c>
      <c r="E3276" s="68"/>
      <c r="F3276" s="68">
        <v>6082</v>
      </c>
      <c r="G3276" s="68">
        <v>6360</v>
      </c>
      <c r="H32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77" spans="1:8" hidden="1" x14ac:dyDescent="0.3">
      <c r="A3277" t="s">
        <v>1189</v>
      </c>
      <c r="B3277" t="s">
        <v>894</v>
      </c>
      <c r="C3277" t="s">
        <v>38</v>
      </c>
      <c r="D3277" s="68">
        <v>89</v>
      </c>
      <c r="E3277" s="68"/>
      <c r="F3277" s="68">
        <v>3345</v>
      </c>
      <c r="G3277" s="68">
        <v>3434</v>
      </c>
      <c r="H32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78" spans="1:8" hidden="1" x14ac:dyDescent="0.3">
      <c r="A3278" t="s">
        <v>1189</v>
      </c>
      <c r="B3278" t="s">
        <v>894</v>
      </c>
      <c r="C3278" t="s">
        <v>26</v>
      </c>
      <c r="D3278" s="68">
        <v>402</v>
      </c>
      <c r="E3278" s="68"/>
      <c r="F3278" s="68">
        <v>1564</v>
      </c>
      <c r="G3278" s="68">
        <v>1966</v>
      </c>
      <c r="H32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79" spans="1:8" hidden="1" x14ac:dyDescent="0.3">
      <c r="A3279" t="s">
        <v>1189</v>
      </c>
      <c r="B3279" t="s">
        <v>894</v>
      </c>
      <c r="C3279" t="s">
        <v>27</v>
      </c>
      <c r="D3279" s="68"/>
      <c r="E3279" s="68">
        <v>112</v>
      </c>
      <c r="F3279" s="68"/>
      <c r="G3279" s="68">
        <v>112</v>
      </c>
      <c r="H32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80" spans="1:8" hidden="1" x14ac:dyDescent="0.3">
      <c r="A3280" t="s">
        <v>1189</v>
      </c>
      <c r="B3280" t="s">
        <v>1211</v>
      </c>
      <c r="C3280" t="s">
        <v>5</v>
      </c>
      <c r="D3280" s="68">
        <v>332</v>
      </c>
      <c r="E3280" s="68"/>
      <c r="F3280" s="68">
        <v>4740</v>
      </c>
      <c r="G3280" s="68">
        <v>5072</v>
      </c>
      <c r="H32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81" spans="1:8" hidden="1" x14ac:dyDescent="0.3">
      <c r="A3281" t="s">
        <v>1189</v>
      </c>
      <c r="B3281" t="s">
        <v>1211</v>
      </c>
      <c r="C3281" t="s">
        <v>36</v>
      </c>
      <c r="D3281" s="68">
        <v>207</v>
      </c>
      <c r="E3281" s="68"/>
      <c r="F3281" s="68">
        <v>4540</v>
      </c>
      <c r="G3281" s="68">
        <v>4747</v>
      </c>
      <c r="H32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82" spans="1:8" hidden="1" x14ac:dyDescent="0.3">
      <c r="A3282" t="s">
        <v>1189</v>
      </c>
      <c r="B3282" t="s">
        <v>1211</v>
      </c>
      <c r="C3282" t="s">
        <v>26</v>
      </c>
      <c r="D3282" s="68">
        <v>543</v>
      </c>
      <c r="E3282" s="68"/>
      <c r="F3282" s="68">
        <v>1577</v>
      </c>
      <c r="G3282" s="68">
        <v>2120</v>
      </c>
      <c r="H32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83" spans="1:8" hidden="1" x14ac:dyDescent="0.3">
      <c r="A3283" t="s">
        <v>1189</v>
      </c>
      <c r="B3283" t="s">
        <v>1211</v>
      </c>
      <c r="C3283" t="s">
        <v>27</v>
      </c>
      <c r="D3283" s="68"/>
      <c r="E3283" s="68">
        <v>183</v>
      </c>
      <c r="F3283" s="68"/>
      <c r="G3283" s="68">
        <v>183</v>
      </c>
      <c r="H32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84" spans="1:8" hidden="1" x14ac:dyDescent="0.3">
      <c r="A3284" t="s">
        <v>1189</v>
      </c>
      <c r="B3284" t="s">
        <v>1211</v>
      </c>
      <c r="C3284" t="s">
        <v>31</v>
      </c>
      <c r="D3284" s="68">
        <v>1</v>
      </c>
      <c r="E3284" s="68"/>
      <c r="F3284" s="68"/>
      <c r="G3284" s="68">
        <v>1</v>
      </c>
      <c r="H32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85" spans="1:8" hidden="1" x14ac:dyDescent="0.3">
      <c r="A3285" t="s">
        <v>1189</v>
      </c>
      <c r="B3285" t="s">
        <v>1212</v>
      </c>
      <c r="C3285" t="s">
        <v>26</v>
      </c>
      <c r="D3285" s="68">
        <v>22083</v>
      </c>
      <c r="E3285" s="68"/>
      <c r="F3285" s="68">
        <v>56948</v>
      </c>
      <c r="G3285" s="68">
        <v>79031</v>
      </c>
      <c r="H32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86" spans="1:8" hidden="1" x14ac:dyDescent="0.3">
      <c r="A3286" t="s">
        <v>1189</v>
      </c>
      <c r="B3286" t="s">
        <v>1212</v>
      </c>
      <c r="C3286" t="s">
        <v>5</v>
      </c>
      <c r="D3286" s="68">
        <v>16691</v>
      </c>
      <c r="E3286" s="68"/>
      <c r="F3286" s="68">
        <v>34352</v>
      </c>
      <c r="G3286" s="68">
        <v>51043</v>
      </c>
      <c r="H32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87" spans="1:8" hidden="1" x14ac:dyDescent="0.3">
      <c r="A3287" t="s">
        <v>1189</v>
      </c>
      <c r="B3287" t="s">
        <v>1212</v>
      </c>
      <c r="C3287" t="s">
        <v>38</v>
      </c>
      <c r="D3287" s="68">
        <v>494</v>
      </c>
      <c r="E3287" s="68"/>
      <c r="F3287" s="68">
        <v>17440</v>
      </c>
      <c r="G3287" s="68">
        <v>17934</v>
      </c>
      <c r="H32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88" spans="1:8" hidden="1" x14ac:dyDescent="0.3">
      <c r="A3288" t="s">
        <v>1189</v>
      </c>
      <c r="B3288" t="s">
        <v>1212</v>
      </c>
      <c r="C3288" t="s">
        <v>25</v>
      </c>
      <c r="D3288" s="68">
        <v>436</v>
      </c>
      <c r="E3288" s="68"/>
      <c r="F3288" s="68">
        <v>8769</v>
      </c>
      <c r="G3288" s="68">
        <v>9205</v>
      </c>
      <c r="H32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89" spans="1:8" hidden="1" x14ac:dyDescent="0.3">
      <c r="A3289" t="s">
        <v>1189</v>
      </c>
      <c r="B3289" t="s">
        <v>1212</v>
      </c>
      <c r="C3289" t="s">
        <v>27</v>
      </c>
      <c r="D3289" s="68"/>
      <c r="E3289" s="68">
        <v>4152</v>
      </c>
      <c r="F3289" s="68"/>
      <c r="G3289" s="68">
        <v>4152</v>
      </c>
      <c r="H32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90" spans="1:8" hidden="1" x14ac:dyDescent="0.3">
      <c r="A3290" t="s">
        <v>1189</v>
      </c>
      <c r="B3290" t="s">
        <v>1213</v>
      </c>
      <c r="C3290" t="s">
        <v>26</v>
      </c>
      <c r="D3290" s="68">
        <v>3059</v>
      </c>
      <c r="E3290" s="68"/>
      <c r="F3290" s="68">
        <v>8609</v>
      </c>
      <c r="G3290" s="68">
        <v>11668</v>
      </c>
      <c r="H32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91" spans="1:8" hidden="1" x14ac:dyDescent="0.3">
      <c r="A3291" t="s">
        <v>1189</v>
      </c>
      <c r="B3291" t="s">
        <v>1213</v>
      </c>
      <c r="C3291" t="s">
        <v>5</v>
      </c>
      <c r="D3291" s="68">
        <v>724</v>
      </c>
      <c r="E3291" s="68"/>
      <c r="F3291" s="68">
        <v>2842</v>
      </c>
      <c r="G3291" s="68">
        <v>3566</v>
      </c>
      <c r="H32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92" spans="1:8" hidden="1" x14ac:dyDescent="0.3">
      <c r="A3292" t="s">
        <v>1189</v>
      </c>
      <c r="B3292" t="s">
        <v>1213</v>
      </c>
      <c r="C3292" t="s">
        <v>38</v>
      </c>
      <c r="D3292" s="68">
        <v>153</v>
      </c>
      <c r="E3292" s="68"/>
      <c r="F3292" s="68">
        <v>3009</v>
      </c>
      <c r="G3292" s="68">
        <v>3162</v>
      </c>
      <c r="H32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93" spans="1:8" hidden="1" x14ac:dyDescent="0.3">
      <c r="A3293" t="s">
        <v>1189</v>
      </c>
      <c r="B3293" t="s">
        <v>1213</v>
      </c>
      <c r="C3293" t="s">
        <v>27</v>
      </c>
      <c r="D3293" s="68"/>
      <c r="E3293" s="68">
        <v>193</v>
      </c>
      <c r="F3293" s="68"/>
      <c r="G3293" s="68">
        <v>193</v>
      </c>
      <c r="H32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94" spans="1:8" hidden="1" x14ac:dyDescent="0.3">
      <c r="A3294" t="s">
        <v>1189</v>
      </c>
      <c r="B3294" t="s">
        <v>1214</v>
      </c>
      <c r="C3294" t="s">
        <v>5</v>
      </c>
      <c r="D3294" s="68">
        <v>277</v>
      </c>
      <c r="E3294" s="68"/>
      <c r="F3294" s="68">
        <v>7030</v>
      </c>
      <c r="G3294" s="68">
        <v>7307</v>
      </c>
      <c r="H32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95" spans="1:8" hidden="1" x14ac:dyDescent="0.3">
      <c r="A3295" t="s">
        <v>1189</v>
      </c>
      <c r="B3295" t="s">
        <v>1214</v>
      </c>
      <c r="C3295" t="s">
        <v>38</v>
      </c>
      <c r="D3295" s="68">
        <v>82</v>
      </c>
      <c r="E3295" s="68"/>
      <c r="F3295" s="68">
        <v>3520</v>
      </c>
      <c r="G3295" s="68">
        <v>3602</v>
      </c>
      <c r="H32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96" spans="1:8" hidden="1" x14ac:dyDescent="0.3">
      <c r="A3296" t="s">
        <v>1189</v>
      </c>
      <c r="B3296" t="s">
        <v>1214</v>
      </c>
      <c r="C3296" t="s">
        <v>26</v>
      </c>
      <c r="D3296" s="68">
        <v>439</v>
      </c>
      <c r="E3296" s="68"/>
      <c r="F3296" s="68">
        <v>1747</v>
      </c>
      <c r="G3296" s="68">
        <v>2186</v>
      </c>
      <c r="H32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97" spans="1:8" hidden="1" x14ac:dyDescent="0.3">
      <c r="A3297" t="s">
        <v>1189</v>
      </c>
      <c r="B3297" t="s">
        <v>1214</v>
      </c>
      <c r="C3297" t="s">
        <v>27</v>
      </c>
      <c r="D3297" s="68"/>
      <c r="E3297" s="68">
        <v>220</v>
      </c>
      <c r="F3297" s="68"/>
      <c r="G3297" s="68">
        <v>220</v>
      </c>
      <c r="H32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98" spans="1:8" hidden="1" x14ac:dyDescent="0.3">
      <c r="A3298" t="s">
        <v>1189</v>
      </c>
      <c r="B3298" t="s">
        <v>1215</v>
      </c>
      <c r="C3298" t="s">
        <v>38</v>
      </c>
      <c r="D3298" s="68">
        <v>536</v>
      </c>
      <c r="E3298" s="68"/>
      <c r="F3298" s="68">
        <v>18040</v>
      </c>
      <c r="G3298" s="68">
        <v>18576</v>
      </c>
      <c r="H32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299" spans="1:8" hidden="1" x14ac:dyDescent="0.3">
      <c r="A3299" t="s">
        <v>1189</v>
      </c>
      <c r="B3299" t="s">
        <v>1215</v>
      </c>
      <c r="C3299" t="s">
        <v>26</v>
      </c>
      <c r="D3299" s="68">
        <v>2052</v>
      </c>
      <c r="E3299" s="68"/>
      <c r="F3299" s="68">
        <v>10325</v>
      </c>
      <c r="G3299" s="68">
        <v>12377</v>
      </c>
      <c r="H32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00" spans="1:8" hidden="1" x14ac:dyDescent="0.3">
      <c r="A3300" t="s">
        <v>1189</v>
      </c>
      <c r="B3300" t="s">
        <v>1215</v>
      </c>
      <c r="C3300" t="s">
        <v>5</v>
      </c>
      <c r="D3300" s="68">
        <v>541</v>
      </c>
      <c r="E3300" s="68"/>
      <c r="F3300" s="68">
        <v>2804</v>
      </c>
      <c r="G3300" s="68">
        <v>3345</v>
      </c>
      <c r="H33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01" spans="1:8" hidden="1" x14ac:dyDescent="0.3">
      <c r="A3301" t="s">
        <v>1189</v>
      </c>
      <c r="B3301" t="s">
        <v>1215</v>
      </c>
      <c r="C3301" t="s">
        <v>27</v>
      </c>
      <c r="D3301" s="68"/>
      <c r="E3301" s="68">
        <v>613</v>
      </c>
      <c r="F3301" s="68"/>
      <c r="G3301" s="68">
        <v>613</v>
      </c>
      <c r="H33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02" spans="1:8" hidden="1" x14ac:dyDescent="0.3">
      <c r="A3302" t="s">
        <v>1189</v>
      </c>
      <c r="B3302" t="s">
        <v>840</v>
      </c>
      <c r="C3302" t="s">
        <v>5</v>
      </c>
      <c r="D3302" s="68">
        <v>236</v>
      </c>
      <c r="E3302" s="68"/>
      <c r="F3302" s="68">
        <v>4067</v>
      </c>
      <c r="G3302" s="68">
        <v>4303</v>
      </c>
      <c r="H33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03" spans="1:8" hidden="1" x14ac:dyDescent="0.3">
      <c r="A3303" t="s">
        <v>1189</v>
      </c>
      <c r="B3303" t="s">
        <v>840</v>
      </c>
      <c r="C3303" t="s">
        <v>38</v>
      </c>
      <c r="D3303" s="68">
        <v>97</v>
      </c>
      <c r="E3303" s="68"/>
      <c r="F3303" s="68">
        <v>3534</v>
      </c>
      <c r="G3303" s="68">
        <v>3631</v>
      </c>
      <c r="H33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04" spans="1:8" hidden="1" x14ac:dyDescent="0.3">
      <c r="A3304" t="s">
        <v>1189</v>
      </c>
      <c r="B3304" t="s">
        <v>840</v>
      </c>
      <c r="C3304" t="s">
        <v>26</v>
      </c>
      <c r="D3304" s="68">
        <v>454</v>
      </c>
      <c r="E3304" s="68"/>
      <c r="F3304" s="68">
        <v>1871</v>
      </c>
      <c r="G3304" s="68">
        <v>2325</v>
      </c>
      <c r="H33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05" spans="1:8" hidden="1" x14ac:dyDescent="0.3">
      <c r="A3305" t="s">
        <v>1189</v>
      </c>
      <c r="B3305" t="s">
        <v>840</v>
      </c>
      <c r="C3305" t="s">
        <v>27</v>
      </c>
      <c r="D3305" s="68"/>
      <c r="E3305" s="68">
        <v>168</v>
      </c>
      <c r="F3305" s="68"/>
      <c r="G3305" s="68">
        <v>168</v>
      </c>
      <c r="H33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06" spans="1:8" hidden="1" x14ac:dyDescent="0.3">
      <c r="A3306" t="s">
        <v>1189</v>
      </c>
      <c r="B3306" t="s">
        <v>1216</v>
      </c>
      <c r="C3306" t="s">
        <v>26</v>
      </c>
      <c r="D3306" s="68">
        <v>922</v>
      </c>
      <c r="E3306" s="68"/>
      <c r="F3306" s="68">
        <v>9513</v>
      </c>
      <c r="G3306" s="68">
        <v>10435</v>
      </c>
      <c r="H33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07" spans="1:8" hidden="1" x14ac:dyDescent="0.3">
      <c r="A3307" t="s">
        <v>1189</v>
      </c>
      <c r="B3307" t="s">
        <v>1216</v>
      </c>
      <c r="C3307" t="s">
        <v>38</v>
      </c>
      <c r="D3307" s="68">
        <v>187</v>
      </c>
      <c r="E3307" s="68"/>
      <c r="F3307" s="68">
        <v>9225</v>
      </c>
      <c r="G3307" s="68">
        <v>9412</v>
      </c>
      <c r="H33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08" spans="1:8" hidden="1" x14ac:dyDescent="0.3">
      <c r="A3308" t="s">
        <v>1189</v>
      </c>
      <c r="B3308" t="s">
        <v>1216</v>
      </c>
      <c r="C3308" t="s">
        <v>5</v>
      </c>
      <c r="D3308" s="68">
        <v>368</v>
      </c>
      <c r="E3308" s="68"/>
      <c r="F3308" s="68">
        <v>3275</v>
      </c>
      <c r="G3308" s="68">
        <v>3643</v>
      </c>
      <c r="H33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09" spans="1:8" hidden="1" x14ac:dyDescent="0.3">
      <c r="A3309" t="s">
        <v>1189</v>
      </c>
      <c r="B3309" t="s">
        <v>1216</v>
      </c>
      <c r="C3309" t="s">
        <v>27</v>
      </c>
      <c r="D3309" s="68"/>
      <c r="E3309" s="68">
        <v>349</v>
      </c>
      <c r="F3309" s="68"/>
      <c r="G3309" s="68">
        <v>349</v>
      </c>
      <c r="H33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10" spans="1:8" hidden="1" x14ac:dyDescent="0.3">
      <c r="A3310" t="s">
        <v>1189</v>
      </c>
      <c r="B3310" t="s">
        <v>1216</v>
      </c>
      <c r="C3310" t="s">
        <v>36</v>
      </c>
      <c r="D3310" s="68">
        <v>1</v>
      </c>
      <c r="E3310" s="68"/>
      <c r="F3310" s="68"/>
      <c r="G3310" s="68">
        <v>1</v>
      </c>
      <c r="H33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11" spans="1:8" hidden="1" x14ac:dyDescent="0.3">
      <c r="A3311" t="s">
        <v>1189</v>
      </c>
      <c r="B3311" t="s">
        <v>1217</v>
      </c>
      <c r="C3311" t="s">
        <v>26</v>
      </c>
      <c r="D3311" s="68">
        <v>1014</v>
      </c>
      <c r="E3311" s="68"/>
      <c r="F3311" s="68">
        <v>10476</v>
      </c>
      <c r="G3311" s="68">
        <v>11490</v>
      </c>
      <c r="H33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12" spans="1:8" hidden="1" x14ac:dyDescent="0.3">
      <c r="A3312" t="s">
        <v>1189</v>
      </c>
      <c r="B3312" t="s">
        <v>1217</v>
      </c>
      <c r="C3312" t="s">
        <v>5</v>
      </c>
      <c r="D3312" s="68">
        <v>343</v>
      </c>
      <c r="E3312" s="68"/>
      <c r="F3312" s="68">
        <v>3788</v>
      </c>
      <c r="G3312" s="68">
        <v>4131</v>
      </c>
      <c r="H33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13" spans="1:8" hidden="1" x14ac:dyDescent="0.3">
      <c r="A3313" t="s">
        <v>1189</v>
      </c>
      <c r="B3313" t="s">
        <v>1217</v>
      </c>
      <c r="C3313" t="s">
        <v>27</v>
      </c>
      <c r="D3313" s="68"/>
      <c r="E3313" s="68">
        <v>316</v>
      </c>
      <c r="F3313" s="68"/>
      <c r="G3313" s="68">
        <v>316</v>
      </c>
      <c r="H33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14" spans="1:8" hidden="1" x14ac:dyDescent="0.3">
      <c r="A3314" t="s">
        <v>1189</v>
      </c>
      <c r="B3314" t="s">
        <v>1218</v>
      </c>
      <c r="C3314" t="s">
        <v>5</v>
      </c>
      <c r="D3314" s="68">
        <v>349</v>
      </c>
      <c r="E3314" s="68"/>
      <c r="F3314" s="68">
        <v>4832</v>
      </c>
      <c r="G3314" s="68">
        <v>5181</v>
      </c>
      <c r="H33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15" spans="1:8" hidden="1" x14ac:dyDescent="0.3">
      <c r="A3315" t="s">
        <v>1189</v>
      </c>
      <c r="B3315" t="s">
        <v>1218</v>
      </c>
      <c r="C3315" t="s">
        <v>26</v>
      </c>
      <c r="D3315" s="68">
        <v>842</v>
      </c>
      <c r="E3315" s="68"/>
      <c r="F3315" s="68">
        <v>3538</v>
      </c>
      <c r="G3315" s="68">
        <v>4380</v>
      </c>
      <c r="H33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16" spans="1:8" hidden="1" x14ac:dyDescent="0.3">
      <c r="A3316" t="s">
        <v>1189</v>
      </c>
      <c r="B3316" t="s">
        <v>1218</v>
      </c>
      <c r="C3316" t="s">
        <v>27</v>
      </c>
      <c r="D3316" s="68"/>
      <c r="E3316" s="68">
        <v>84</v>
      </c>
      <c r="F3316" s="68"/>
      <c r="G3316" s="68">
        <v>84</v>
      </c>
      <c r="H33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17" spans="1:8" hidden="1" x14ac:dyDescent="0.3">
      <c r="A3317" t="s">
        <v>1189</v>
      </c>
      <c r="B3317" t="s">
        <v>1218</v>
      </c>
      <c r="C3317" t="s">
        <v>36</v>
      </c>
      <c r="D3317" s="68">
        <v>5</v>
      </c>
      <c r="E3317" s="68"/>
      <c r="F3317" s="68">
        <v>12</v>
      </c>
      <c r="G3317" s="68">
        <v>17</v>
      </c>
      <c r="H33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18" spans="1:8" hidden="1" x14ac:dyDescent="0.3">
      <c r="A3318" t="s">
        <v>1189</v>
      </c>
      <c r="B3318" t="s">
        <v>1219</v>
      </c>
      <c r="C3318" t="s">
        <v>5</v>
      </c>
      <c r="D3318" s="68">
        <v>265</v>
      </c>
      <c r="E3318" s="68"/>
      <c r="F3318" s="68">
        <v>3251</v>
      </c>
      <c r="G3318" s="68">
        <v>3516</v>
      </c>
      <c r="H33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19" spans="1:8" hidden="1" x14ac:dyDescent="0.3">
      <c r="A3319" t="s">
        <v>1189</v>
      </c>
      <c r="B3319" t="s">
        <v>1219</v>
      </c>
      <c r="C3319" t="s">
        <v>38</v>
      </c>
      <c r="D3319" s="68">
        <v>73</v>
      </c>
      <c r="E3319" s="68"/>
      <c r="F3319" s="68">
        <v>1851</v>
      </c>
      <c r="G3319" s="68">
        <v>1924</v>
      </c>
      <c r="H33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20" spans="1:8" hidden="1" x14ac:dyDescent="0.3">
      <c r="A3320" t="s">
        <v>1189</v>
      </c>
      <c r="B3320" t="s">
        <v>1219</v>
      </c>
      <c r="C3320" t="s">
        <v>26</v>
      </c>
      <c r="D3320" s="68">
        <v>447</v>
      </c>
      <c r="E3320" s="68"/>
      <c r="F3320" s="68">
        <v>791</v>
      </c>
      <c r="G3320" s="68">
        <v>1238</v>
      </c>
      <c r="H33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21" spans="1:8" hidden="1" x14ac:dyDescent="0.3">
      <c r="A3321" t="s">
        <v>1189</v>
      </c>
      <c r="B3321" t="s">
        <v>1219</v>
      </c>
      <c r="C3321" t="s">
        <v>27</v>
      </c>
      <c r="D3321" s="68"/>
      <c r="E3321" s="68">
        <v>102</v>
      </c>
      <c r="F3321" s="68"/>
      <c r="G3321" s="68">
        <v>102</v>
      </c>
      <c r="H33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22" spans="1:8" hidden="1" x14ac:dyDescent="0.3">
      <c r="A3322" t="s">
        <v>1189</v>
      </c>
      <c r="B3322" t="s">
        <v>1220</v>
      </c>
      <c r="C3322" t="s">
        <v>26</v>
      </c>
      <c r="D3322" s="68">
        <v>1454</v>
      </c>
      <c r="E3322" s="68"/>
      <c r="F3322" s="68">
        <v>4822</v>
      </c>
      <c r="G3322" s="68">
        <v>6276</v>
      </c>
      <c r="H33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23" spans="1:8" hidden="1" x14ac:dyDescent="0.3">
      <c r="A3323" t="s">
        <v>1189</v>
      </c>
      <c r="B3323" t="s">
        <v>1220</v>
      </c>
      <c r="C3323" t="s">
        <v>5</v>
      </c>
      <c r="D3323" s="68">
        <v>475</v>
      </c>
      <c r="E3323" s="68"/>
      <c r="F3323" s="68">
        <v>2439</v>
      </c>
      <c r="G3323" s="68">
        <v>2914</v>
      </c>
      <c r="H33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24" spans="1:8" hidden="1" x14ac:dyDescent="0.3">
      <c r="A3324" t="s">
        <v>1189</v>
      </c>
      <c r="B3324" t="s">
        <v>1220</v>
      </c>
      <c r="C3324" t="s">
        <v>27</v>
      </c>
      <c r="D3324" s="68"/>
      <c r="E3324" s="68">
        <v>176</v>
      </c>
      <c r="F3324" s="68"/>
      <c r="G3324" s="68">
        <v>176</v>
      </c>
      <c r="H33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25" spans="1:8" hidden="1" x14ac:dyDescent="0.3">
      <c r="A3325" t="s">
        <v>1189</v>
      </c>
      <c r="B3325" t="s">
        <v>1221</v>
      </c>
      <c r="C3325" t="s">
        <v>26</v>
      </c>
      <c r="D3325" s="68">
        <v>1318</v>
      </c>
      <c r="E3325" s="68"/>
      <c r="F3325" s="68">
        <v>8249</v>
      </c>
      <c r="G3325" s="68">
        <v>9567</v>
      </c>
      <c r="H33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26" spans="1:8" hidden="1" x14ac:dyDescent="0.3">
      <c r="A3326" t="s">
        <v>1189</v>
      </c>
      <c r="B3326" t="s">
        <v>1221</v>
      </c>
      <c r="C3326" t="s">
        <v>38</v>
      </c>
      <c r="D3326" s="68">
        <v>217</v>
      </c>
      <c r="E3326" s="68"/>
      <c r="F3326" s="68">
        <v>6011</v>
      </c>
      <c r="G3326" s="68">
        <v>6228</v>
      </c>
      <c r="H33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27" spans="1:8" hidden="1" x14ac:dyDescent="0.3">
      <c r="A3327" t="s">
        <v>1189</v>
      </c>
      <c r="B3327" t="s">
        <v>1221</v>
      </c>
      <c r="C3327" t="s">
        <v>5</v>
      </c>
      <c r="D3327" s="68">
        <v>517</v>
      </c>
      <c r="E3327" s="68"/>
      <c r="F3327" s="68">
        <v>3143</v>
      </c>
      <c r="G3327" s="68">
        <v>3660</v>
      </c>
      <c r="H33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28" spans="1:8" hidden="1" x14ac:dyDescent="0.3">
      <c r="A3328" t="s">
        <v>1189</v>
      </c>
      <c r="B3328" t="s">
        <v>1221</v>
      </c>
      <c r="C3328" t="s">
        <v>27</v>
      </c>
      <c r="D3328" s="68"/>
      <c r="E3328" s="68">
        <v>251</v>
      </c>
      <c r="F3328" s="68"/>
      <c r="G3328" s="68">
        <v>251</v>
      </c>
      <c r="H33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29" spans="1:8" hidden="1" x14ac:dyDescent="0.3">
      <c r="A3329" t="s">
        <v>1189</v>
      </c>
      <c r="B3329" t="s">
        <v>1222</v>
      </c>
      <c r="C3329" t="s">
        <v>5</v>
      </c>
      <c r="D3329" s="68">
        <v>290</v>
      </c>
      <c r="E3329" s="68"/>
      <c r="F3329" s="68">
        <v>2298</v>
      </c>
      <c r="G3329" s="68">
        <v>2588</v>
      </c>
      <c r="H33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30" spans="1:8" hidden="1" x14ac:dyDescent="0.3">
      <c r="A3330" t="s">
        <v>1189</v>
      </c>
      <c r="B3330" t="s">
        <v>1222</v>
      </c>
      <c r="C3330" t="s">
        <v>38</v>
      </c>
      <c r="D3330" s="68">
        <v>75</v>
      </c>
      <c r="E3330" s="68"/>
      <c r="F3330" s="68">
        <v>1817</v>
      </c>
      <c r="G3330" s="68">
        <v>1892</v>
      </c>
      <c r="H33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31" spans="1:8" hidden="1" x14ac:dyDescent="0.3">
      <c r="A3331" t="s">
        <v>1189</v>
      </c>
      <c r="B3331" t="s">
        <v>1222</v>
      </c>
      <c r="C3331" t="s">
        <v>26</v>
      </c>
      <c r="D3331" s="68">
        <v>497</v>
      </c>
      <c r="E3331" s="68"/>
      <c r="F3331" s="68">
        <v>753</v>
      </c>
      <c r="G3331" s="68">
        <v>1250</v>
      </c>
      <c r="H33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32" spans="1:8" hidden="1" x14ac:dyDescent="0.3">
      <c r="A3332" t="s">
        <v>1189</v>
      </c>
      <c r="B3332" t="s">
        <v>1222</v>
      </c>
      <c r="C3332" t="s">
        <v>27</v>
      </c>
      <c r="D3332" s="68"/>
      <c r="E3332" s="68">
        <v>67</v>
      </c>
      <c r="F3332" s="68"/>
      <c r="G3332" s="68">
        <v>67</v>
      </c>
      <c r="H33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33" spans="1:8" hidden="1" x14ac:dyDescent="0.3">
      <c r="A3333" t="s">
        <v>1189</v>
      </c>
      <c r="B3333" t="s">
        <v>1223</v>
      </c>
      <c r="C3333" t="s">
        <v>26</v>
      </c>
      <c r="D3333" s="68">
        <v>1532</v>
      </c>
      <c r="E3333" s="68"/>
      <c r="F3333" s="68">
        <v>3006</v>
      </c>
      <c r="G3333" s="68">
        <v>4538</v>
      </c>
      <c r="H33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34" spans="1:8" hidden="1" x14ac:dyDescent="0.3">
      <c r="A3334" t="s">
        <v>1189</v>
      </c>
      <c r="B3334" t="s">
        <v>1223</v>
      </c>
      <c r="C3334" t="s">
        <v>38</v>
      </c>
      <c r="D3334" s="68">
        <v>82</v>
      </c>
      <c r="E3334" s="68"/>
      <c r="F3334" s="68">
        <v>883</v>
      </c>
      <c r="G3334" s="68">
        <v>965</v>
      </c>
      <c r="H33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35" spans="1:8" hidden="1" x14ac:dyDescent="0.3">
      <c r="A3335" t="s">
        <v>1189</v>
      </c>
      <c r="B3335" t="s">
        <v>1223</v>
      </c>
      <c r="C3335" t="s">
        <v>5</v>
      </c>
      <c r="D3335" s="68">
        <v>347</v>
      </c>
      <c r="E3335" s="68"/>
      <c r="F3335" s="68">
        <v>579</v>
      </c>
      <c r="G3335" s="68">
        <v>926</v>
      </c>
      <c r="H33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36" spans="1:8" hidden="1" x14ac:dyDescent="0.3">
      <c r="A3336" t="s">
        <v>1189</v>
      </c>
      <c r="B3336" t="s">
        <v>1223</v>
      </c>
      <c r="C3336" t="s">
        <v>27</v>
      </c>
      <c r="D3336" s="68"/>
      <c r="E3336" s="68">
        <v>81</v>
      </c>
      <c r="F3336" s="68"/>
      <c r="G3336" s="68">
        <v>81</v>
      </c>
      <c r="H33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37" spans="1:8" hidden="1" x14ac:dyDescent="0.3">
      <c r="A3337" t="s">
        <v>1224</v>
      </c>
      <c r="B3337" t="s">
        <v>906</v>
      </c>
      <c r="C3337" t="s">
        <v>1225</v>
      </c>
      <c r="D3337" s="68">
        <v>1042</v>
      </c>
      <c r="E3337" s="68"/>
      <c r="F3337" s="68">
        <v>10962</v>
      </c>
      <c r="G3337" s="68">
        <v>12004</v>
      </c>
      <c r="H33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38" spans="1:8" hidden="1" x14ac:dyDescent="0.3">
      <c r="A3338" t="s">
        <v>1224</v>
      </c>
      <c r="B3338" t="s">
        <v>906</v>
      </c>
      <c r="C3338" t="s">
        <v>5</v>
      </c>
      <c r="D3338" s="68">
        <v>5252</v>
      </c>
      <c r="E3338" s="68"/>
      <c r="F3338" s="68">
        <v>1301</v>
      </c>
      <c r="G3338" s="68">
        <v>6553</v>
      </c>
      <c r="H33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39" spans="1:8" hidden="1" x14ac:dyDescent="0.3">
      <c r="A3339" t="s">
        <v>1224</v>
      </c>
      <c r="B3339" t="s">
        <v>906</v>
      </c>
      <c r="C3339" t="s">
        <v>537</v>
      </c>
      <c r="D3339" s="68">
        <v>277</v>
      </c>
      <c r="E3339" s="68"/>
      <c r="F3339" s="68">
        <v>3530</v>
      </c>
      <c r="G3339" s="68">
        <v>3807</v>
      </c>
      <c r="H33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40" spans="1:8" hidden="1" x14ac:dyDescent="0.3">
      <c r="A3340" t="s">
        <v>1224</v>
      </c>
      <c r="B3340" t="s">
        <v>906</v>
      </c>
      <c r="C3340" t="s">
        <v>30</v>
      </c>
      <c r="D3340" s="68">
        <v>289</v>
      </c>
      <c r="E3340" s="68"/>
      <c r="F3340" s="68">
        <v>3008</v>
      </c>
      <c r="G3340" s="68">
        <v>3297</v>
      </c>
      <c r="H33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41" spans="1:8" hidden="1" x14ac:dyDescent="0.3">
      <c r="A3341" t="s">
        <v>1224</v>
      </c>
      <c r="B3341" t="s">
        <v>906</v>
      </c>
      <c r="C3341" t="s">
        <v>26</v>
      </c>
      <c r="D3341" s="68">
        <v>1265</v>
      </c>
      <c r="E3341" s="68"/>
      <c r="F3341" s="68">
        <v>1284</v>
      </c>
      <c r="G3341" s="68">
        <v>2549</v>
      </c>
      <c r="H33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42" spans="1:8" hidden="1" x14ac:dyDescent="0.3">
      <c r="A3342" t="s">
        <v>1224</v>
      </c>
      <c r="B3342" t="s">
        <v>906</v>
      </c>
      <c r="C3342" t="s">
        <v>27</v>
      </c>
      <c r="D3342" s="68"/>
      <c r="E3342" s="68">
        <v>218</v>
      </c>
      <c r="F3342" s="68"/>
      <c r="G3342" s="68">
        <v>218</v>
      </c>
      <c r="H33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43" spans="1:8" hidden="1" x14ac:dyDescent="0.3">
      <c r="A3343" t="s">
        <v>1224</v>
      </c>
      <c r="B3343" t="s">
        <v>1226</v>
      </c>
      <c r="C3343" t="s">
        <v>26</v>
      </c>
      <c r="D3343" s="68">
        <v>2396</v>
      </c>
      <c r="E3343" s="68"/>
      <c r="F3343" s="68">
        <v>7164</v>
      </c>
      <c r="G3343" s="68">
        <v>9560</v>
      </c>
      <c r="H33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44" spans="1:8" hidden="1" x14ac:dyDescent="0.3">
      <c r="A3344" t="s">
        <v>1224</v>
      </c>
      <c r="B3344" t="s">
        <v>1226</v>
      </c>
      <c r="C3344" t="s">
        <v>537</v>
      </c>
      <c r="D3344" s="68">
        <v>551</v>
      </c>
      <c r="E3344" s="68"/>
      <c r="F3344" s="68">
        <v>8046</v>
      </c>
      <c r="G3344" s="68">
        <v>8597</v>
      </c>
      <c r="H33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45" spans="1:8" hidden="1" x14ac:dyDescent="0.3">
      <c r="A3345" t="s">
        <v>1224</v>
      </c>
      <c r="B3345" t="s">
        <v>1226</v>
      </c>
      <c r="C3345" t="s">
        <v>5</v>
      </c>
      <c r="D3345" s="68">
        <v>4449</v>
      </c>
      <c r="E3345" s="68"/>
      <c r="F3345" s="68">
        <v>2527</v>
      </c>
      <c r="G3345" s="68">
        <v>6976</v>
      </c>
      <c r="H33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46" spans="1:8" hidden="1" x14ac:dyDescent="0.3">
      <c r="A3346" t="s">
        <v>1224</v>
      </c>
      <c r="B3346" t="s">
        <v>1226</v>
      </c>
      <c r="C3346" t="s">
        <v>1225</v>
      </c>
      <c r="D3346" s="68">
        <v>485</v>
      </c>
      <c r="E3346" s="68"/>
      <c r="F3346" s="68">
        <v>5338</v>
      </c>
      <c r="G3346" s="68">
        <v>5823</v>
      </c>
      <c r="H33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47" spans="1:8" hidden="1" x14ac:dyDescent="0.3">
      <c r="A3347" t="s">
        <v>1224</v>
      </c>
      <c r="B3347" t="s">
        <v>1226</v>
      </c>
      <c r="C3347" t="s">
        <v>30</v>
      </c>
      <c r="D3347" s="68">
        <v>46</v>
      </c>
      <c r="E3347" s="68"/>
      <c r="F3347" s="68">
        <v>662</v>
      </c>
      <c r="G3347" s="68">
        <v>708</v>
      </c>
      <c r="H33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48" spans="1:8" hidden="1" x14ac:dyDescent="0.3">
      <c r="A3348" t="s">
        <v>1224</v>
      </c>
      <c r="B3348" t="s">
        <v>1226</v>
      </c>
      <c r="C3348" t="s">
        <v>27</v>
      </c>
      <c r="D3348" s="68"/>
      <c r="E3348" s="68">
        <v>623</v>
      </c>
      <c r="F3348" s="68"/>
      <c r="G3348" s="68">
        <v>623</v>
      </c>
      <c r="H33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49" spans="1:8" hidden="1" x14ac:dyDescent="0.3">
      <c r="A3349" t="s">
        <v>1224</v>
      </c>
      <c r="B3349" t="s">
        <v>1227</v>
      </c>
      <c r="C3349" t="s">
        <v>537</v>
      </c>
      <c r="D3349" s="68">
        <v>221</v>
      </c>
      <c r="E3349" s="68"/>
      <c r="F3349" s="68">
        <v>13741</v>
      </c>
      <c r="G3349" s="68">
        <v>13962</v>
      </c>
      <c r="H33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50" spans="1:8" hidden="1" x14ac:dyDescent="0.3">
      <c r="A3350" t="s">
        <v>1224</v>
      </c>
      <c r="B3350" t="s">
        <v>1227</v>
      </c>
      <c r="C3350" t="s">
        <v>30</v>
      </c>
      <c r="D3350" s="68">
        <v>563</v>
      </c>
      <c r="E3350" s="68"/>
      <c r="F3350" s="68">
        <v>13075</v>
      </c>
      <c r="G3350" s="68">
        <v>13638</v>
      </c>
      <c r="H33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51" spans="1:8" hidden="1" x14ac:dyDescent="0.3">
      <c r="A3351" t="s">
        <v>1224</v>
      </c>
      <c r="B3351" t="s">
        <v>1227</v>
      </c>
      <c r="C3351" t="s">
        <v>26</v>
      </c>
      <c r="D3351" s="68">
        <v>1770</v>
      </c>
      <c r="E3351" s="68"/>
      <c r="F3351" s="68">
        <v>4144</v>
      </c>
      <c r="G3351" s="68">
        <v>5914</v>
      </c>
      <c r="H33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52" spans="1:8" hidden="1" x14ac:dyDescent="0.3">
      <c r="A3352" t="s">
        <v>1224</v>
      </c>
      <c r="B3352" t="s">
        <v>1227</v>
      </c>
      <c r="C3352" t="s">
        <v>27</v>
      </c>
      <c r="D3352" s="68"/>
      <c r="E3352" s="68">
        <v>418</v>
      </c>
      <c r="F3352" s="68"/>
      <c r="G3352" s="68">
        <v>418</v>
      </c>
      <c r="H33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53" spans="1:8" hidden="1" x14ac:dyDescent="0.3">
      <c r="A3353" t="s">
        <v>1224</v>
      </c>
      <c r="B3353" t="s">
        <v>1227</v>
      </c>
      <c r="C3353" t="s">
        <v>1225</v>
      </c>
      <c r="D3353" s="68">
        <v>1</v>
      </c>
      <c r="E3353" s="68"/>
      <c r="F3353" s="68">
        <v>1</v>
      </c>
      <c r="G3353" s="68">
        <v>2</v>
      </c>
      <c r="H33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54" spans="1:8" hidden="1" x14ac:dyDescent="0.3">
      <c r="A3354" t="s">
        <v>1224</v>
      </c>
      <c r="B3354" t="s">
        <v>1228</v>
      </c>
      <c r="C3354" t="s">
        <v>30</v>
      </c>
      <c r="D3354" s="68">
        <v>133</v>
      </c>
      <c r="E3354" s="68"/>
      <c r="F3354" s="68">
        <v>3676</v>
      </c>
      <c r="G3354" s="68">
        <v>3809</v>
      </c>
      <c r="H33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55" spans="1:8" hidden="1" x14ac:dyDescent="0.3">
      <c r="A3355" t="s">
        <v>1224</v>
      </c>
      <c r="B3355" t="s">
        <v>1228</v>
      </c>
      <c r="C3355" t="s">
        <v>537</v>
      </c>
      <c r="D3355" s="68">
        <v>196</v>
      </c>
      <c r="E3355" s="68"/>
      <c r="F3355" s="68">
        <v>2777</v>
      </c>
      <c r="G3355" s="68">
        <v>2973</v>
      </c>
      <c r="H33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56" spans="1:8" hidden="1" x14ac:dyDescent="0.3">
      <c r="A3356" t="s">
        <v>1224</v>
      </c>
      <c r="B3356" t="s">
        <v>1228</v>
      </c>
      <c r="C3356" t="s">
        <v>1225</v>
      </c>
      <c r="D3356" s="68">
        <v>148</v>
      </c>
      <c r="E3356" s="68"/>
      <c r="F3356" s="68">
        <v>2041</v>
      </c>
      <c r="G3356" s="68">
        <v>2189</v>
      </c>
      <c r="H33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57" spans="1:8" hidden="1" x14ac:dyDescent="0.3">
      <c r="A3357" t="s">
        <v>1224</v>
      </c>
      <c r="B3357" t="s">
        <v>1228</v>
      </c>
      <c r="C3357" t="s">
        <v>26</v>
      </c>
      <c r="D3357" s="68">
        <v>237</v>
      </c>
      <c r="E3357" s="68"/>
      <c r="F3357" s="68">
        <v>160</v>
      </c>
      <c r="G3357" s="68">
        <v>397</v>
      </c>
      <c r="H33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58" spans="1:8" hidden="1" x14ac:dyDescent="0.3">
      <c r="A3358" t="s">
        <v>1224</v>
      </c>
      <c r="B3358" t="s">
        <v>1228</v>
      </c>
      <c r="C3358" t="s">
        <v>5</v>
      </c>
      <c r="D3358" s="68">
        <v>192</v>
      </c>
      <c r="E3358" s="68"/>
      <c r="F3358" s="68">
        <v>38</v>
      </c>
      <c r="G3358" s="68">
        <v>230</v>
      </c>
      <c r="H33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59" spans="1:8" hidden="1" x14ac:dyDescent="0.3">
      <c r="A3359" t="s">
        <v>1224</v>
      </c>
      <c r="B3359" t="s">
        <v>1228</v>
      </c>
      <c r="C3359" t="s">
        <v>27</v>
      </c>
      <c r="D3359" s="68"/>
      <c r="E3359" s="68">
        <v>195</v>
      </c>
      <c r="F3359" s="68"/>
      <c r="G3359" s="68">
        <v>195</v>
      </c>
      <c r="H33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60" spans="1:8" hidden="1" x14ac:dyDescent="0.3">
      <c r="A3360" t="s">
        <v>1224</v>
      </c>
      <c r="B3360" t="s">
        <v>1228</v>
      </c>
      <c r="C3360" t="s">
        <v>31</v>
      </c>
      <c r="D3360" s="68"/>
      <c r="E3360" s="68"/>
      <c r="F3360" s="68">
        <v>1</v>
      </c>
      <c r="G3360" s="68">
        <v>1</v>
      </c>
      <c r="H33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61" spans="1:8" hidden="1" x14ac:dyDescent="0.3">
      <c r="A3361" t="s">
        <v>1224</v>
      </c>
      <c r="B3361" t="s">
        <v>1229</v>
      </c>
      <c r="C3361" t="s">
        <v>30</v>
      </c>
      <c r="D3361" s="68">
        <v>114</v>
      </c>
      <c r="E3361" s="68"/>
      <c r="F3361" s="68">
        <v>5150</v>
      </c>
      <c r="G3361" s="68">
        <v>5264</v>
      </c>
      <c r="H33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62" spans="1:8" hidden="1" x14ac:dyDescent="0.3">
      <c r="A3362" t="s">
        <v>1224</v>
      </c>
      <c r="B3362" t="s">
        <v>1229</v>
      </c>
      <c r="C3362" t="s">
        <v>26</v>
      </c>
      <c r="D3362" s="68">
        <v>81</v>
      </c>
      <c r="E3362" s="68"/>
      <c r="F3362" s="68">
        <v>800</v>
      </c>
      <c r="G3362" s="68">
        <v>881</v>
      </c>
      <c r="H33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63" spans="1:8" hidden="1" x14ac:dyDescent="0.3">
      <c r="A3363" t="s">
        <v>1224</v>
      </c>
      <c r="B3363" t="s">
        <v>1229</v>
      </c>
      <c r="C3363" t="s">
        <v>5</v>
      </c>
      <c r="D3363" s="68">
        <v>230</v>
      </c>
      <c r="E3363" s="68"/>
      <c r="F3363" s="68">
        <v>449</v>
      </c>
      <c r="G3363" s="68">
        <v>679</v>
      </c>
      <c r="H33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64" spans="1:8" hidden="1" x14ac:dyDescent="0.3">
      <c r="A3364" t="s">
        <v>1224</v>
      </c>
      <c r="B3364" t="s">
        <v>1229</v>
      </c>
      <c r="C3364" t="s">
        <v>27</v>
      </c>
      <c r="D3364" s="68"/>
      <c r="E3364" s="68">
        <v>142</v>
      </c>
      <c r="F3364" s="68"/>
      <c r="G3364" s="68">
        <v>142</v>
      </c>
      <c r="H33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65" spans="1:8" hidden="1" x14ac:dyDescent="0.3">
      <c r="A3365" t="s">
        <v>1224</v>
      </c>
      <c r="B3365" t="s">
        <v>1230</v>
      </c>
      <c r="C3365" t="s">
        <v>5</v>
      </c>
      <c r="D3365" s="68">
        <v>8575</v>
      </c>
      <c r="E3365" s="68"/>
      <c r="F3365" s="68">
        <v>5529</v>
      </c>
      <c r="G3365" s="68">
        <v>14104</v>
      </c>
      <c r="H33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66" spans="1:8" hidden="1" x14ac:dyDescent="0.3">
      <c r="A3366" t="s">
        <v>1224</v>
      </c>
      <c r="B3366" t="s">
        <v>1230</v>
      </c>
      <c r="C3366" t="s">
        <v>30</v>
      </c>
      <c r="D3366" s="68">
        <v>554</v>
      </c>
      <c r="E3366" s="68"/>
      <c r="F3366" s="68">
        <v>12440</v>
      </c>
      <c r="G3366" s="68">
        <v>12994</v>
      </c>
      <c r="H33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67" spans="1:8" hidden="1" x14ac:dyDescent="0.3">
      <c r="A3367" t="s">
        <v>1224</v>
      </c>
      <c r="B3367" t="s">
        <v>1230</v>
      </c>
      <c r="C3367" t="s">
        <v>26</v>
      </c>
      <c r="D3367" s="68">
        <v>2252</v>
      </c>
      <c r="E3367" s="68"/>
      <c r="F3367" s="68">
        <v>8301</v>
      </c>
      <c r="G3367" s="68">
        <v>10553</v>
      </c>
      <c r="H33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68" spans="1:8" hidden="1" x14ac:dyDescent="0.3">
      <c r="A3368" t="s">
        <v>1224</v>
      </c>
      <c r="B3368" t="s">
        <v>1230</v>
      </c>
      <c r="C3368" t="s">
        <v>537</v>
      </c>
      <c r="D3368" s="68">
        <v>327</v>
      </c>
      <c r="E3368" s="68"/>
      <c r="F3368" s="68">
        <v>8047</v>
      </c>
      <c r="G3368" s="68">
        <v>8374</v>
      </c>
      <c r="H33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69" spans="1:8" hidden="1" x14ac:dyDescent="0.3">
      <c r="A3369" t="s">
        <v>1224</v>
      </c>
      <c r="B3369" t="s">
        <v>1230</v>
      </c>
      <c r="C3369" t="s">
        <v>27</v>
      </c>
      <c r="D3369" s="68"/>
      <c r="E3369" s="68">
        <v>969</v>
      </c>
      <c r="F3369" s="68"/>
      <c r="G3369" s="68">
        <v>969</v>
      </c>
      <c r="H33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70" spans="1:8" hidden="1" x14ac:dyDescent="0.3">
      <c r="A3370" t="s">
        <v>1224</v>
      </c>
      <c r="B3370" t="s">
        <v>1231</v>
      </c>
      <c r="C3370" t="s">
        <v>26</v>
      </c>
      <c r="D3370" s="68">
        <v>2276</v>
      </c>
      <c r="E3370" s="68"/>
      <c r="F3370" s="68">
        <v>5346</v>
      </c>
      <c r="G3370" s="68">
        <v>7622</v>
      </c>
      <c r="H33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71" spans="1:8" hidden="1" x14ac:dyDescent="0.3">
      <c r="A3371" t="s">
        <v>1224</v>
      </c>
      <c r="B3371" t="s">
        <v>1231</v>
      </c>
      <c r="C3371" t="s">
        <v>537</v>
      </c>
      <c r="D3371" s="68">
        <v>529</v>
      </c>
      <c r="E3371" s="68"/>
      <c r="F3371" s="68">
        <v>6572</v>
      </c>
      <c r="G3371" s="68">
        <v>7101</v>
      </c>
      <c r="H33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72" spans="1:8" hidden="1" x14ac:dyDescent="0.3">
      <c r="A3372" t="s">
        <v>1224</v>
      </c>
      <c r="B3372" t="s">
        <v>1231</v>
      </c>
      <c r="C3372" t="s">
        <v>5</v>
      </c>
      <c r="D3372" s="68">
        <v>2225</v>
      </c>
      <c r="E3372" s="68"/>
      <c r="F3372" s="68">
        <v>1678</v>
      </c>
      <c r="G3372" s="68">
        <v>3903</v>
      </c>
      <c r="H33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73" spans="1:8" hidden="1" x14ac:dyDescent="0.3">
      <c r="A3373" t="s">
        <v>1224</v>
      </c>
      <c r="B3373" t="s">
        <v>1231</v>
      </c>
      <c r="C3373" t="s">
        <v>30</v>
      </c>
      <c r="D3373" s="68">
        <v>37</v>
      </c>
      <c r="E3373" s="68"/>
      <c r="F3373" s="68">
        <v>662</v>
      </c>
      <c r="G3373" s="68">
        <v>699</v>
      </c>
      <c r="H33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74" spans="1:8" hidden="1" x14ac:dyDescent="0.3">
      <c r="A3374" t="s">
        <v>1224</v>
      </c>
      <c r="B3374" t="s">
        <v>1231</v>
      </c>
      <c r="C3374" t="s">
        <v>27</v>
      </c>
      <c r="D3374" s="68"/>
      <c r="E3374" s="68">
        <v>245</v>
      </c>
      <c r="F3374" s="68"/>
      <c r="G3374" s="68">
        <v>245</v>
      </c>
      <c r="H33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75" spans="1:8" hidden="1" x14ac:dyDescent="0.3">
      <c r="A3375" t="s">
        <v>1224</v>
      </c>
      <c r="B3375" t="s">
        <v>1232</v>
      </c>
      <c r="C3375" t="s">
        <v>30</v>
      </c>
      <c r="D3375" s="68">
        <v>77</v>
      </c>
      <c r="E3375" s="68"/>
      <c r="F3375" s="68">
        <v>1707</v>
      </c>
      <c r="G3375" s="68">
        <v>1784</v>
      </c>
      <c r="H33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76" spans="1:8" hidden="1" x14ac:dyDescent="0.3">
      <c r="A3376" t="s">
        <v>1224</v>
      </c>
      <c r="B3376" t="s">
        <v>1232</v>
      </c>
      <c r="C3376" t="s">
        <v>26</v>
      </c>
      <c r="D3376" s="68">
        <v>36</v>
      </c>
      <c r="E3376" s="68"/>
      <c r="F3376" s="68">
        <v>206</v>
      </c>
      <c r="G3376" s="68">
        <v>242</v>
      </c>
      <c r="H33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77" spans="1:8" hidden="1" x14ac:dyDescent="0.3">
      <c r="A3377" t="s">
        <v>1224</v>
      </c>
      <c r="B3377" t="s">
        <v>1232</v>
      </c>
      <c r="C3377" t="s">
        <v>27</v>
      </c>
      <c r="D3377" s="68"/>
      <c r="E3377" s="68">
        <v>28</v>
      </c>
      <c r="F3377" s="68"/>
      <c r="G3377" s="68">
        <v>28</v>
      </c>
      <c r="H33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78" spans="1:8" hidden="1" x14ac:dyDescent="0.3">
      <c r="A3378" t="s">
        <v>1224</v>
      </c>
      <c r="B3378" t="s">
        <v>1232</v>
      </c>
      <c r="C3378" t="s">
        <v>5</v>
      </c>
      <c r="D3378" s="68">
        <v>1</v>
      </c>
      <c r="E3378" s="68"/>
      <c r="F3378" s="68"/>
      <c r="G3378" s="68">
        <v>1</v>
      </c>
      <c r="H33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79" spans="1:8" hidden="1" x14ac:dyDescent="0.3">
      <c r="A3379" t="s">
        <v>1224</v>
      </c>
      <c r="B3379" t="s">
        <v>1233</v>
      </c>
      <c r="C3379" t="s">
        <v>1225</v>
      </c>
      <c r="D3379" s="68">
        <v>7544</v>
      </c>
      <c r="E3379" s="68"/>
      <c r="F3379" s="68">
        <v>99934</v>
      </c>
      <c r="G3379" s="68">
        <v>107478</v>
      </c>
      <c r="H33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80" spans="1:8" hidden="1" x14ac:dyDescent="0.3">
      <c r="A3380" t="s">
        <v>1224</v>
      </c>
      <c r="B3380" t="s">
        <v>1233</v>
      </c>
      <c r="C3380" t="s">
        <v>30</v>
      </c>
      <c r="D3380" s="68">
        <v>1629</v>
      </c>
      <c r="E3380" s="68"/>
      <c r="F3380" s="68">
        <v>54457</v>
      </c>
      <c r="G3380" s="68">
        <v>56086</v>
      </c>
      <c r="H33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81" spans="1:8" hidden="1" x14ac:dyDescent="0.3">
      <c r="A3381" t="s">
        <v>1224</v>
      </c>
      <c r="B3381" t="s">
        <v>1233</v>
      </c>
      <c r="C3381" t="s">
        <v>537</v>
      </c>
      <c r="D3381" s="68">
        <v>1643</v>
      </c>
      <c r="E3381" s="68"/>
      <c r="F3381" s="68">
        <v>54065</v>
      </c>
      <c r="G3381" s="68">
        <v>55708</v>
      </c>
      <c r="H33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82" spans="1:8" hidden="1" x14ac:dyDescent="0.3">
      <c r="A3382" t="s">
        <v>1224</v>
      </c>
      <c r="B3382" t="s">
        <v>1233</v>
      </c>
      <c r="C3382" t="s">
        <v>26</v>
      </c>
      <c r="D3382" s="68">
        <v>9698</v>
      </c>
      <c r="E3382" s="68"/>
      <c r="F3382" s="68">
        <v>27406</v>
      </c>
      <c r="G3382" s="68">
        <v>37104</v>
      </c>
      <c r="H33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83" spans="1:8" hidden="1" x14ac:dyDescent="0.3">
      <c r="A3383" t="s">
        <v>1224</v>
      </c>
      <c r="B3383" t="s">
        <v>1233</v>
      </c>
      <c r="C3383" t="s">
        <v>32</v>
      </c>
      <c r="D3383" s="68">
        <v>416</v>
      </c>
      <c r="E3383" s="68"/>
      <c r="F3383" s="68">
        <v>31217</v>
      </c>
      <c r="G3383" s="68">
        <v>31633</v>
      </c>
      <c r="H33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84" spans="1:8" hidden="1" x14ac:dyDescent="0.3">
      <c r="A3384" t="s">
        <v>1224</v>
      </c>
      <c r="B3384" t="s">
        <v>1233</v>
      </c>
      <c r="C3384" t="s">
        <v>5</v>
      </c>
      <c r="D3384" s="68">
        <v>6777</v>
      </c>
      <c r="E3384" s="68"/>
      <c r="F3384" s="68">
        <v>5747</v>
      </c>
      <c r="G3384" s="68">
        <v>12524</v>
      </c>
      <c r="H33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85" spans="1:8" hidden="1" x14ac:dyDescent="0.3">
      <c r="A3385" t="s">
        <v>1224</v>
      </c>
      <c r="B3385" t="s">
        <v>1233</v>
      </c>
      <c r="C3385" t="s">
        <v>27</v>
      </c>
      <c r="D3385" s="68"/>
      <c r="E3385" s="68">
        <v>4681</v>
      </c>
      <c r="F3385" s="68"/>
      <c r="G3385" s="68">
        <v>4681</v>
      </c>
      <c r="H33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86" spans="1:8" hidden="1" x14ac:dyDescent="0.3">
      <c r="A3386" t="s">
        <v>1224</v>
      </c>
      <c r="B3386" t="s">
        <v>1234</v>
      </c>
      <c r="C3386" t="s">
        <v>32</v>
      </c>
      <c r="D3386" s="68">
        <v>843</v>
      </c>
      <c r="E3386" s="68"/>
      <c r="F3386" s="68">
        <v>34261</v>
      </c>
      <c r="G3386" s="68">
        <v>35104</v>
      </c>
      <c r="H33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87" spans="1:8" hidden="1" x14ac:dyDescent="0.3">
      <c r="A3387" t="s">
        <v>1224</v>
      </c>
      <c r="B3387" t="s">
        <v>1234</v>
      </c>
      <c r="C3387" t="s">
        <v>1225</v>
      </c>
      <c r="D3387" s="68">
        <v>1317</v>
      </c>
      <c r="E3387" s="68"/>
      <c r="F3387" s="68">
        <v>24367</v>
      </c>
      <c r="G3387" s="68">
        <v>25684</v>
      </c>
      <c r="H33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88" spans="1:8" hidden="1" x14ac:dyDescent="0.3">
      <c r="A3388" t="s">
        <v>1224</v>
      </c>
      <c r="B3388" t="s">
        <v>1234</v>
      </c>
      <c r="C3388" t="s">
        <v>537</v>
      </c>
      <c r="D3388" s="68">
        <v>531</v>
      </c>
      <c r="E3388" s="68"/>
      <c r="F3388" s="68">
        <v>14501</v>
      </c>
      <c r="G3388" s="68">
        <v>15032</v>
      </c>
      <c r="H33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89" spans="1:8" hidden="1" x14ac:dyDescent="0.3">
      <c r="A3389" t="s">
        <v>1224</v>
      </c>
      <c r="B3389" t="s">
        <v>1234</v>
      </c>
      <c r="C3389" t="s">
        <v>26</v>
      </c>
      <c r="D3389" s="68">
        <v>1650</v>
      </c>
      <c r="E3389" s="68"/>
      <c r="F3389" s="68">
        <v>3246</v>
      </c>
      <c r="G3389" s="68">
        <v>4896</v>
      </c>
      <c r="H33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90" spans="1:8" hidden="1" x14ac:dyDescent="0.3">
      <c r="A3390" t="s">
        <v>1224</v>
      </c>
      <c r="B3390" t="s">
        <v>1234</v>
      </c>
      <c r="C3390" t="s">
        <v>27</v>
      </c>
      <c r="D3390" s="68"/>
      <c r="E3390" s="68">
        <v>1101</v>
      </c>
      <c r="F3390" s="68"/>
      <c r="G3390" s="68">
        <v>1101</v>
      </c>
      <c r="H33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91" spans="1:8" hidden="1" x14ac:dyDescent="0.3">
      <c r="A3391" t="s">
        <v>1224</v>
      </c>
      <c r="B3391" t="s">
        <v>1234</v>
      </c>
      <c r="C3391" t="s">
        <v>30</v>
      </c>
      <c r="D3391" s="68">
        <v>55</v>
      </c>
      <c r="E3391" s="68"/>
      <c r="F3391" s="68">
        <v>1013</v>
      </c>
      <c r="G3391" s="68">
        <v>1068</v>
      </c>
      <c r="H33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92" spans="1:8" hidden="1" x14ac:dyDescent="0.3">
      <c r="A3392" t="s">
        <v>1224</v>
      </c>
      <c r="B3392" t="s">
        <v>1234</v>
      </c>
      <c r="C3392" t="s">
        <v>5</v>
      </c>
      <c r="D3392" s="68">
        <v>1</v>
      </c>
      <c r="E3392" s="68"/>
      <c r="F3392" s="68">
        <v>2</v>
      </c>
      <c r="G3392" s="68">
        <v>3</v>
      </c>
      <c r="H33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93" spans="1:8" hidden="1" x14ac:dyDescent="0.3">
      <c r="A3393" t="s">
        <v>1224</v>
      </c>
      <c r="B3393" t="s">
        <v>1235</v>
      </c>
      <c r="C3393" t="s">
        <v>30</v>
      </c>
      <c r="D3393" s="68">
        <v>2042</v>
      </c>
      <c r="E3393" s="68"/>
      <c r="F3393" s="68">
        <v>63291</v>
      </c>
      <c r="G3393" s="68">
        <v>65333</v>
      </c>
      <c r="H33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94" spans="1:8" hidden="1" x14ac:dyDescent="0.3">
      <c r="A3394" t="s">
        <v>1224</v>
      </c>
      <c r="B3394" t="s">
        <v>1235</v>
      </c>
      <c r="C3394" t="s">
        <v>32</v>
      </c>
      <c r="D3394" s="68">
        <v>2449</v>
      </c>
      <c r="E3394" s="68"/>
      <c r="F3394" s="68">
        <v>61917</v>
      </c>
      <c r="G3394" s="68">
        <v>64366</v>
      </c>
      <c r="H33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95" spans="1:8" hidden="1" x14ac:dyDescent="0.3">
      <c r="A3395" t="s">
        <v>1224</v>
      </c>
      <c r="B3395" t="s">
        <v>1235</v>
      </c>
      <c r="C3395" t="s">
        <v>26</v>
      </c>
      <c r="D3395" s="68">
        <v>21136</v>
      </c>
      <c r="E3395" s="68"/>
      <c r="F3395" s="68">
        <v>28547</v>
      </c>
      <c r="G3395" s="68">
        <v>49683</v>
      </c>
      <c r="H33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96" spans="1:8" hidden="1" x14ac:dyDescent="0.3">
      <c r="A3396" t="s">
        <v>1224</v>
      </c>
      <c r="B3396" t="s">
        <v>1235</v>
      </c>
      <c r="C3396" t="s">
        <v>1225</v>
      </c>
      <c r="D3396" s="68">
        <v>2922</v>
      </c>
      <c r="E3396" s="68"/>
      <c r="F3396" s="68">
        <v>41446</v>
      </c>
      <c r="G3396" s="68">
        <v>44368</v>
      </c>
      <c r="H33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97" spans="1:8" hidden="1" x14ac:dyDescent="0.3">
      <c r="A3397" t="s">
        <v>1224</v>
      </c>
      <c r="B3397" t="s">
        <v>1235</v>
      </c>
      <c r="C3397" t="s">
        <v>5</v>
      </c>
      <c r="D3397" s="68">
        <v>24546</v>
      </c>
      <c r="E3397" s="68"/>
      <c r="F3397" s="68">
        <v>11720</v>
      </c>
      <c r="G3397" s="68">
        <v>36266</v>
      </c>
      <c r="H33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398" spans="1:8" hidden="1" x14ac:dyDescent="0.3">
      <c r="A3398" t="s">
        <v>1224</v>
      </c>
      <c r="B3398" t="s">
        <v>1235</v>
      </c>
      <c r="C3398" t="s">
        <v>36</v>
      </c>
      <c r="D3398" s="68">
        <v>13597</v>
      </c>
      <c r="E3398" s="68"/>
      <c r="F3398" s="68">
        <v>15075</v>
      </c>
      <c r="G3398" s="68">
        <v>28672</v>
      </c>
      <c r="H33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99" spans="1:8" hidden="1" x14ac:dyDescent="0.3">
      <c r="A3399" t="s">
        <v>1224</v>
      </c>
      <c r="B3399" t="s">
        <v>1235</v>
      </c>
      <c r="C3399" t="s">
        <v>537</v>
      </c>
      <c r="D3399" s="68">
        <v>717</v>
      </c>
      <c r="E3399" s="68"/>
      <c r="F3399" s="68">
        <v>19963</v>
      </c>
      <c r="G3399" s="68">
        <v>20680</v>
      </c>
      <c r="H33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00" spans="1:8" hidden="1" x14ac:dyDescent="0.3">
      <c r="A3400" t="s">
        <v>1224</v>
      </c>
      <c r="B3400" t="s">
        <v>1235</v>
      </c>
      <c r="C3400" t="s">
        <v>27</v>
      </c>
      <c r="D3400" s="68"/>
      <c r="E3400" s="68">
        <v>7067</v>
      </c>
      <c r="F3400" s="68"/>
      <c r="G3400" s="68">
        <v>7067</v>
      </c>
      <c r="H34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01" spans="1:8" hidden="1" x14ac:dyDescent="0.3">
      <c r="A3401" t="s">
        <v>1224</v>
      </c>
      <c r="B3401" t="s">
        <v>1236</v>
      </c>
      <c r="C3401" t="s">
        <v>5</v>
      </c>
      <c r="D3401" s="68">
        <v>8622</v>
      </c>
      <c r="E3401" s="68"/>
      <c r="F3401" s="68">
        <v>6473</v>
      </c>
      <c r="G3401" s="68">
        <v>15095</v>
      </c>
      <c r="H34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02" spans="1:8" hidden="1" x14ac:dyDescent="0.3">
      <c r="A3402" t="s">
        <v>1224</v>
      </c>
      <c r="B3402" t="s">
        <v>1236</v>
      </c>
      <c r="C3402" t="s">
        <v>537</v>
      </c>
      <c r="D3402" s="68">
        <v>691</v>
      </c>
      <c r="E3402" s="68"/>
      <c r="F3402" s="68">
        <v>13043</v>
      </c>
      <c r="G3402" s="68">
        <v>13734</v>
      </c>
      <c r="H34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03" spans="1:8" hidden="1" x14ac:dyDescent="0.3">
      <c r="A3403" t="s">
        <v>1224</v>
      </c>
      <c r="B3403" t="s">
        <v>1236</v>
      </c>
      <c r="C3403" t="s">
        <v>30</v>
      </c>
      <c r="D3403" s="68">
        <v>469</v>
      </c>
      <c r="E3403" s="68"/>
      <c r="F3403" s="68">
        <v>11506</v>
      </c>
      <c r="G3403" s="68">
        <v>11975</v>
      </c>
      <c r="H34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04" spans="1:8" hidden="1" x14ac:dyDescent="0.3">
      <c r="A3404" t="s">
        <v>1224</v>
      </c>
      <c r="B3404" t="s">
        <v>1236</v>
      </c>
      <c r="C3404" t="s">
        <v>26</v>
      </c>
      <c r="D3404" s="68">
        <v>2708</v>
      </c>
      <c r="E3404" s="68"/>
      <c r="F3404" s="68">
        <v>5957</v>
      </c>
      <c r="G3404" s="68">
        <v>8665</v>
      </c>
      <c r="H34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05" spans="1:8" hidden="1" x14ac:dyDescent="0.3">
      <c r="A3405" t="s">
        <v>1224</v>
      </c>
      <c r="B3405" t="s">
        <v>1236</v>
      </c>
      <c r="C3405" t="s">
        <v>36</v>
      </c>
      <c r="D3405" s="68">
        <v>310</v>
      </c>
      <c r="E3405" s="68"/>
      <c r="F3405" s="68">
        <v>981</v>
      </c>
      <c r="G3405" s="68">
        <v>1291</v>
      </c>
      <c r="H34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06" spans="1:8" hidden="1" x14ac:dyDescent="0.3">
      <c r="A3406" t="s">
        <v>1224</v>
      </c>
      <c r="B3406" t="s">
        <v>1236</v>
      </c>
      <c r="C3406" t="s">
        <v>27</v>
      </c>
      <c r="D3406" s="68"/>
      <c r="E3406" s="68">
        <v>1197</v>
      </c>
      <c r="F3406" s="68"/>
      <c r="G3406" s="68">
        <v>1197</v>
      </c>
      <c r="H34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07" spans="1:8" hidden="1" x14ac:dyDescent="0.3">
      <c r="A3407" t="s">
        <v>1224</v>
      </c>
      <c r="B3407" t="s">
        <v>1237</v>
      </c>
      <c r="C3407" t="s">
        <v>1225</v>
      </c>
      <c r="D3407" s="68">
        <v>5123</v>
      </c>
      <c r="E3407" s="68"/>
      <c r="F3407" s="68">
        <v>97543</v>
      </c>
      <c r="G3407" s="68">
        <v>102666</v>
      </c>
      <c r="H34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08" spans="1:8" hidden="1" x14ac:dyDescent="0.3">
      <c r="A3408" t="s">
        <v>1224</v>
      </c>
      <c r="B3408" t="s">
        <v>1237</v>
      </c>
      <c r="C3408" t="s">
        <v>537</v>
      </c>
      <c r="D3408" s="68">
        <v>1367</v>
      </c>
      <c r="E3408" s="68"/>
      <c r="F3408" s="68">
        <v>44380</v>
      </c>
      <c r="G3408" s="68">
        <v>45747</v>
      </c>
      <c r="H34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09" spans="1:8" hidden="1" x14ac:dyDescent="0.3">
      <c r="A3409" t="s">
        <v>1224</v>
      </c>
      <c r="B3409" t="s">
        <v>1237</v>
      </c>
      <c r="C3409" t="s">
        <v>26</v>
      </c>
      <c r="D3409" s="68">
        <v>4087</v>
      </c>
      <c r="E3409" s="68"/>
      <c r="F3409" s="68">
        <v>14389</v>
      </c>
      <c r="G3409" s="68">
        <v>18476</v>
      </c>
      <c r="H34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10" spans="1:8" hidden="1" x14ac:dyDescent="0.3">
      <c r="A3410" t="s">
        <v>1224</v>
      </c>
      <c r="B3410" t="s">
        <v>1237</v>
      </c>
      <c r="C3410" t="s">
        <v>32</v>
      </c>
      <c r="D3410" s="68">
        <v>348</v>
      </c>
      <c r="E3410" s="68"/>
      <c r="F3410" s="68">
        <v>15210</v>
      </c>
      <c r="G3410" s="68">
        <v>15558</v>
      </c>
      <c r="H34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11" spans="1:8" hidden="1" x14ac:dyDescent="0.3">
      <c r="A3411" t="s">
        <v>1224</v>
      </c>
      <c r="B3411" t="s">
        <v>1237</v>
      </c>
      <c r="C3411" t="s">
        <v>30</v>
      </c>
      <c r="D3411" s="68">
        <v>246</v>
      </c>
      <c r="E3411" s="68"/>
      <c r="F3411" s="68">
        <v>6316</v>
      </c>
      <c r="G3411" s="68">
        <v>6562</v>
      </c>
      <c r="H34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12" spans="1:8" hidden="1" x14ac:dyDescent="0.3">
      <c r="A3412" t="s">
        <v>1224</v>
      </c>
      <c r="B3412" t="s">
        <v>1237</v>
      </c>
      <c r="C3412" t="s">
        <v>5</v>
      </c>
      <c r="D3412" s="68">
        <v>1080</v>
      </c>
      <c r="E3412" s="68"/>
      <c r="F3412" s="68">
        <v>2200</v>
      </c>
      <c r="G3412" s="68">
        <v>3280</v>
      </c>
      <c r="H34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13" spans="1:8" hidden="1" x14ac:dyDescent="0.3">
      <c r="A3413" t="s">
        <v>1224</v>
      </c>
      <c r="B3413" t="s">
        <v>1237</v>
      </c>
      <c r="C3413" t="s">
        <v>27</v>
      </c>
      <c r="D3413" s="68"/>
      <c r="E3413" s="68">
        <v>2577</v>
      </c>
      <c r="F3413" s="68"/>
      <c r="G3413" s="68">
        <v>2577</v>
      </c>
      <c r="H34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14" spans="1:8" hidden="1" x14ac:dyDescent="0.3">
      <c r="A3414" t="s">
        <v>1224</v>
      </c>
      <c r="B3414" t="s">
        <v>1238</v>
      </c>
      <c r="C3414" t="s">
        <v>5</v>
      </c>
      <c r="D3414" s="68">
        <v>1038</v>
      </c>
      <c r="E3414" s="68"/>
      <c r="F3414" s="68">
        <v>2535</v>
      </c>
      <c r="G3414" s="68">
        <v>3573</v>
      </c>
      <c r="H34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15" spans="1:8" hidden="1" x14ac:dyDescent="0.3">
      <c r="A3415" t="s">
        <v>1224</v>
      </c>
      <c r="B3415" t="s">
        <v>1238</v>
      </c>
      <c r="C3415" t="s">
        <v>26</v>
      </c>
      <c r="D3415" s="68">
        <v>337</v>
      </c>
      <c r="E3415" s="68"/>
      <c r="F3415" s="68">
        <v>3139</v>
      </c>
      <c r="G3415" s="68">
        <v>3476</v>
      </c>
      <c r="H34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16" spans="1:8" hidden="1" x14ac:dyDescent="0.3">
      <c r="A3416" t="s">
        <v>1224</v>
      </c>
      <c r="B3416" t="s">
        <v>1238</v>
      </c>
      <c r="C3416" t="s">
        <v>30</v>
      </c>
      <c r="D3416" s="68">
        <v>33</v>
      </c>
      <c r="E3416" s="68"/>
      <c r="F3416" s="68">
        <v>1145</v>
      </c>
      <c r="G3416" s="68">
        <v>1178</v>
      </c>
      <c r="H34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17" spans="1:8" hidden="1" x14ac:dyDescent="0.3">
      <c r="A3417" t="s">
        <v>1224</v>
      </c>
      <c r="B3417" t="s">
        <v>1238</v>
      </c>
      <c r="C3417" t="s">
        <v>27</v>
      </c>
      <c r="D3417" s="68"/>
      <c r="E3417" s="68">
        <v>233</v>
      </c>
      <c r="F3417" s="68"/>
      <c r="G3417" s="68">
        <v>233</v>
      </c>
      <c r="H34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18" spans="1:8" hidden="1" x14ac:dyDescent="0.3">
      <c r="A3418" t="s">
        <v>1224</v>
      </c>
      <c r="B3418" t="s">
        <v>1238</v>
      </c>
      <c r="C3418" t="s">
        <v>1225</v>
      </c>
      <c r="D3418" s="68">
        <v>2</v>
      </c>
      <c r="E3418" s="68"/>
      <c r="F3418" s="68"/>
      <c r="G3418" s="68">
        <v>2</v>
      </c>
      <c r="H34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19" spans="1:8" hidden="1" x14ac:dyDescent="0.3">
      <c r="A3419" t="s">
        <v>1224</v>
      </c>
      <c r="B3419" t="s">
        <v>757</v>
      </c>
      <c r="C3419" t="s">
        <v>30</v>
      </c>
      <c r="D3419" s="68">
        <v>183</v>
      </c>
      <c r="E3419" s="68"/>
      <c r="F3419" s="68">
        <v>9282</v>
      </c>
      <c r="G3419" s="68">
        <v>9465</v>
      </c>
      <c r="H34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20" spans="1:8" hidden="1" x14ac:dyDescent="0.3">
      <c r="A3420" t="s">
        <v>1224</v>
      </c>
      <c r="B3420" t="s">
        <v>757</v>
      </c>
      <c r="C3420" t="s">
        <v>26</v>
      </c>
      <c r="D3420" s="68">
        <v>1495</v>
      </c>
      <c r="E3420" s="68"/>
      <c r="F3420" s="68">
        <v>6976</v>
      </c>
      <c r="G3420" s="68">
        <v>8471</v>
      </c>
      <c r="H34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21" spans="1:8" hidden="1" x14ac:dyDescent="0.3">
      <c r="A3421" t="s">
        <v>1224</v>
      </c>
      <c r="B3421" t="s">
        <v>757</v>
      </c>
      <c r="C3421" t="s">
        <v>5</v>
      </c>
      <c r="D3421" s="68">
        <v>2727</v>
      </c>
      <c r="E3421" s="68"/>
      <c r="F3421" s="68">
        <v>3804</v>
      </c>
      <c r="G3421" s="68">
        <v>6531</v>
      </c>
      <c r="H34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22" spans="1:8" hidden="1" x14ac:dyDescent="0.3">
      <c r="A3422" t="s">
        <v>1224</v>
      </c>
      <c r="B3422" t="s">
        <v>757</v>
      </c>
      <c r="C3422" t="s">
        <v>27</v>
      </c>
      <c r="D3422" s="68"/>
      <c r="E3422" s="68">
        <v>454</v>
      </c>
      <c r="F3422" s="68"/>
      <c r="G3422" s="68">
        <v>454</v>
      </c>
      <c r="H34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23" spans="1:8" hidden="1" x14ac:dyDescent="0.3">
      <c r="A3423" t="s">
        <v>1239</v>
      </c>
      <c r="B3423" t="s">
        <v>1240</v>
      </c>
      <c r="C3423" t="s">
        <v>36</v>
      </c>
      <c r="D3423" s="68">
        <v>5271</v>
      </c>
      <c r="E3423" s="68"/>
      <c r="F3423" s="68">
        <v>3262</v>
      </c>
      <c r="G3423" s="68">
        <v>8533</v>
      </c>
      <c r="H34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24" spans="1:8" hidden="1" x14ac:dyDescent="0.3">
      <c r="A3424" t="s">
        <v>1239</v>
      </c>
      <c r="B3424" t="s">
        <v>1240</v>
      </c>
      <c r="C3424" t="s">
        <v>26</v>
      </c>
      <c r="D3424" s="68">
        <v>608</v>
      </c>
      <c r="E3424" s="68"/>
      <c r="F3424" s="68">
        <v>5214</v>
      </c>
      <c r="G3424" s="68">
        <v>5822</v>
      </c>
      <c r="H34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25" spans="1:8" hidden="1" x14ac:dyDescent="0.3">
      <c r="A3425" t="s">
        <v>1239</v>
      </c>
      <c r="B3425" t="s">
        <v>1240</v>
      </c>
      <c r="C3425" t="s">
        <v>31</v>
      </c>
      <c r="D3425" s="68">
        <v>49</v>
      </c>
      <c r="E3425" s="68"/>
      <c r="F3425" s="68">
        <v>744</v>
      </c>
      <c r="G3425" s="68">
        <v>793</v>
      </c>
      <c r="H34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26" spans="1:8" hidden="1" x14ac:dyDescent="0.3">
      <c r="A3426" t="s">
        <v>1239</v>
      </c>
      <c r="B3426" t="s">
        <v>1240</v>
      </c>
      <c r="C3426" t="s">
        <v>30</v>
      </c>
      <c r="D3426" s="68">
        <v>17</v>
      </c>
      <c r="E3426" s="68"/>
      <c r="F3426" s="68">
        <v>619</v>
      </c>
      <c r="G3426" s="68">
        <v>636</v>
      </c>
      <c r="H34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27" spans="1:8" hidden="1" x14ac:dyDescent="0.3">
      <c r="A3427" t="s">
        <v>1239</v>
      </c>
      <c r="B3427" t="s">
        <v>1240</v>
      </c>
      <c r="C3427" t="s">
        <v>27</v>
      </c>
      <c r="D3427" s="68"/>
      <c r="E3427" s="68">
        <v>95</v>
      </c>
      <c r="F3427" s="68"/>
      <c r="G3427" s="68">
        <v>95</v>
      </c>
      <c r="H34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28" spans="1:8" hidden="1" x14ac:dyDescent="0.3">
      <c r="A3428" t="s">
        <v>1239</v>
      </c>
      <c r="B3428" t="s">
        <v>1241</v>
      </c>
      <c r="C3428" t="s">
        <v>26</v>
      </c>
      <c r="D3428" s="68">
        <v>2275</v>
      </c>
      <c r="E3428" s="68"/>
      <c r="F3428" s="68">
        <v>11255</v>
      </c>
      <c r="G3428" s="68">
        <v>13530</v>
      </c>
      <c r="H34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29" spans="1:8" hidden="1" x14ac:dyDescent="0.3">
      <c r="A3429" t="s">
        <v>1239</v>
      </c>
      <c r="B3429" t="s">
        <v>1241</v>
      </c>
      <c r="C3429" t="s">
        <v>31</v>
      </c>
      <c r="D3429" s="68">
        <v>347</v>
      </c>
      <c r="E3429" s="68"/>
      <c r="F3429" s="68">
        <v>5824</v>
      </c>
      <c r="G3429" s="68">
        <v>6171</v>
      </c>
      <c r="H34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30" spans="1:8" hidden="1" x14ac:dyDescent="0.3">
      <c r="A3430" t="s">
        <v>1239</v>
      </c>
      <c r="B3430" t="s">
        <v>1241</v>
      </c>
      <c r="C3430" t="s">
        <v>30</v>
      </c>
      <c r="D3430" s="68">
        <v>112</v>
      </c>
      <c r="E3430" s="68"/>
      <c r="F3430" s="68">
        <v>4174</v>
      </c>
      <c r="G3430" s="68">
        <v>4286</v>
      </c>
      <c r="H34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31" spans="1:8" hidden="1" x14ac:dyDescent="0.3">
      <c r="A3431" t="s">
        <v>1239</v>
      </c>
      <c r="B3431" t="s">
        <v>1241</v>
      </c>
      <c r="C3431" t="s">
        <v>537</v>
      </c>
      <c r="D3431" s="68">
        <v>29</v>
      </c>
      <c r="E3431" s="68"/>
      <c r="F3431" s="68">
        <v>2695</v>
      </c>
      <c r="G3431" s="68">
        <v>2724</v>
      </c>
      <c r="H34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32" spans="1:8" hidden="1" x14ac:dyDescent="0.3">
      <c r="A3432" t="s">
        <v>1239</v>
      </c>
      <c r="B3432" t="s">
        <v>1241</v>
      </c>
      <c r="C3432" t="s">
        <v>27</v>
      </c>
      <c r="D3432" s="68"/>
      <c r="E3432" s="68">
        <v>681</v>
      </c>
      <c r="F3432" s="68"/>
      <c r="G3432" s="68">
        <v>681</v>
      </c>
      <c r="H34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33" spans="1:8" hidden="1" x14ac:dyDescent="0.3">
      <c r="A3433" t="s">
        <v>1239</v>
      </c>
      <c r="B3433" t="s">
        <v>1241</v>
      </c>
      <c r="C3433" t="s">
        <v>36</v>
      </c>
      <c r="D3433" s="68">
        <v>137</v>
      </c>
      <c r="E3433" s="68"/>
      <c r="F3433" s="68">
        <v>51</v>
      </c>
      <c r="G3433" s="68">
        <v>188</v>
      </c>
      <c r="H34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34" spans="1:8" hidden="1" x14ac:dyDescent="0.3">
      <c r="A3434" t="s">
        <v>1239</v>
      </c>
      <c r="B3434" t="s">
        <v>1241</v>
      </c>
      <c r="C3434" t="s">
        <v>588</v>
      </c>
      <c r="D3434" s="68"/>
      <c r="E3434" s="68"/>
      <c r="F3434" s="68">
        <v>1</v>
      </c>
      <c r="G3434" s="68">
        <v>1</v>
      </c>
      <c r="H34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35" spans="1:8" hidden="1" x14ac:dyDescent="0.3">
      <c r="A3435" t="s">
        <v>1239</v>
      </c>
      <c r="B3435" t="s">
        <v>1242</v>
      </c>
      <c r="C3435" t="s">
        <v>26</v>
      </c>
      <c r="D3435" s="68">
        <v>1372</v>
      </c>
      <c r="E3435" s="68"/>
      <c r="F3435" s="68">
        <v>16360</v>
      </c>
      <c r="G3435" s="68">
        <v>17732</v>
      </c>
      <c r="H34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36" spans="1:8" hidden="1" x14ac:dyDescent="0.3">
      <c r="A3436" t="s">
        <v>1239</v>
      </c>
      <c r="B3436" t="s">
        <v>1242</v>
      </c>
      <c r="C3436" t="s">
        <v>30</v>
      </c>
      <c r="D3436" s="68">
        <v>191</v>
      </c>
      <c r="E3436" s="68"/>
      <c r="F3436" s="68">
        <v>8374</v>
      </c>
      <c r="G3436" s="68">
        <v>8565</v>
      </c>
      <c r="H34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37" spans="1:8" hidden="1" x14ac:dyDescent="0.3">
      <c r="A3437" t="s">
        <v>1239</v>
      </c>
      <c r="B3437" t="s">
        <v>1242</v>
      </c>
      <c r="C3437" t="s">
        <v>31</v>
      </c>
      <c r="D3437" s="68">
        <v>58</v>
      </c>
      <c r="E3437" s="68"/>
      <c r="F3437" s="68">
        <v>2026</v>
      </c>
      <c r="G3437" s="68">
        <v>2084</v>
      </c>
      <c r="H34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38" spans="1:8" hidden="1" x14ac:dyDescent="0.3">
      <c r="A3438" t="s">
        <v>1239</v>
      </c>
      <c r="B3438" t="s">
        <v>1242</v>
      </c>
      <c r="C3438" t="s">
        <v>27</v>
      </c>
      <c r="D3438" s="68"/>
      <c r="E3438" s="68">
        <v>816</v>
      </c>
      <c r="F3438" s="68"/>
      <c r="G3438" s="68">
        <v>816</v>
      </c>
      <c r="H34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39" spans="1:8" hidden="1" x14ac:dyDescent="0.3">
      <c r="A3439" t="s">
        <v>1239</v>
      </c>
      <c r="B3439" t="s">
        <v>1242</v>
      </c>
      <c r="C3439" t="s">
        <v>36</v>
      </c>
      <c r="D3439" s="68">
        <v>1</v>
      </c>
      <c r="E3439" s="68"/>
      <c r="F3439" s="68"/>
      <c r="G3439" s="68">
        <v>1</v>
      </c>
      <c r="H34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40" spans="1:8" hidden="1" x14ac:dyDescent="0.3">
      <c r="A3440" t="s">
        <v>1239</v>
      </c>
      <c r="B3440" t="s">
        <v>1243</v>
      </c>
      <c r="C3440" t="s">
        <v>31</v>
      </c>
      <c r="D3440" s="68">
        <v>237</v>
      </c>
      <c r="E3440" s="68"/>
      <c r="F3440" s="68">
        <v>5566</v>
      </c>
      <c r="G3440" s="68">
        <v>5803</v>
      </c>
      <c r="H34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41" spans="1:8" hidden="1" x14ac:dyDescent="0.3">
      <c r="A3441" t="s">
        <v>1239</v>
      </c>
      <c r="B3441" t="s">
        <v>1243</v>
      </c>
      <c r="C3441" t="s">
        <v>26</v>
      </c>
      <c r="D3441" s="68">
        <v>159</v>
      </c>
      <c r="E3441" s="68"/>
      <c r="F3441" s="68">
        <v>2292</v>
      </c>
      <c r="G3441" s="68">
        <v>2451</v>
      </c>
      <c r="H34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42" spans="1:8" hidden="1" x14ac:dyDescent="0.3">
      <c r="A3442" t="s">
        <v>1239</v>
      </c>
      <c r="B3442" t="s">
        <v>1243</v>
      </c>
      <c r="C3442" t="s">
        <v>27</v>
      </c>
      <c r="D3442" s="68"/>
      <c r="E3442" s="68">
        <v>114</v>
      </c>
      <c r="F3442" s="68"/>
      <c r="G3442" s="68">
        <v>114</v>
      </c>
      <c r="H34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43" spans="1:8" hidden="1" x14ac:dyDescent="0.3">
      <c r="A3443" t="s">
        <v>1239</v>
      </c>
      <c r="B3443" t="s">
        <v>1244</v>
      </c>
      <c r="C3443" t="s">
        <v>31</v>
      </c>
      <c r="D3443" s="68">
        <v>517</v>
      </c>
      <c r="E3443" s="68"/>
      <c r="F3443" s="68">
        <v>12987</v>
      </c>
      <c r="G3443" s="68">
        <v>13504</v>
      </c>
      <c r="H34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44" spans="1:8" hidden="1" x14ac:dyDescent="0.3">
      <c r="A3444" t="s">
        <v>1239</v>
      </c>
      <c r="B3444" t="s">
        <v>1244</v>
      </c>
      <c r="C3444" t="s">
        <v>26</v>
      </c>
      <c r="D3444" s="68">
        <v>418</v>
      </c>
      <c r="E3444" s="68"/>
      <c r="F3444" s="68">
        <v>4062</v>
      </c>
      <c r="G3444" s="68">
        <v>4480</v>
      </c>
      <c r="H34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45" spans="1:8" hidden="1" x14ac:dyDescent="0.3">
      <c r="A3445" t="s">
        <v>1239</v>
      </c>
      <c r="B3445" t="s">
        <v>1244</v>
      </c>
      <c r="C3445" t="s">
        <v>30</v>
      </c>
      <c r="D3445" s="68">
        <v>35</v>
      </c>
      <c r="E3445" s="68"/>
      <c r="F3445" s="68">
        <v>1363</v>
      </c>
      <c r="G3445" s="68">
        <v>1398</v>
      </c>
      <c r="H34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46" spans="1:8" hidden="1" x14ac:dyDescent="0.3">
      <c r="A3446" t="s">
        <v>1239</v>
      </c>
      <c r="B3446" t="s">
        <v>1244</v>
      </c>
      <c r="C3446" t="s">
        <v>27</v>
      </c>
      <c r="D3446" s="68"/>
      <c r="E3446" s="68">
        <v>453</v>
      </c>
      <c r="F3446" s="68"/>
      <c r="G3446" s="68">
        <v>453</v>
      </c>
      <c r="H34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47" spans="1:8" hidden="1" x14ac:dyDescent="0.3">
      <c r="A3447" t="s">
        <v>1239</v>
      </c>
      <c r="B3447" t="s">
        <v>1245</v>
      </c>
      <c r="C3447" t="s">
        <v>588</v>
      </c>
      <c r="D3447" s="68">
        <v>5905</v>
      </c>
      <c r="E3447" s="68"/>
      <c r="F3447" s="68">
        <v>40046</v>
      </c>
      <c r="G3447" s="68">
        <v>45951</v>
      </c>
      <c r="H34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48" spans="1:8" hidden="1" x14ac:dyDescent="0.3">
      <c r="A3448" t="s">
        <v>1239</v>
      </c>
      <c r="B3448" t="s">
        <v>1245</v>
      </c>
      <c r="C3448" t="s">
        <v>36</v>
      </c>
      <c r="D3448" s="68">
        <v>22921</v>
      </c>
      <c r="E3448" s="68"/>
      <c r="F3448" s="68">
        <v>12171</v>
      </c>
      <c r="G3448" s="68">
        <v>35092</v>
      </c>
      <c r="H34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49" spans="1:8" hidden="1" x14ac:dyDescent="0.3">
      <c r="A3449" t="s">
        <v>1239</v>
      </c>
      <c r="B3449" t="s">
        <v>1245</v>
      </c>
      <c r="C3449" t="s">
        <v>26</v>
      </c>
      <c r="D3449" s="68">
        <v>15272</v>
      </c>
      <c r="E3449" s="68"/>
      <c r="F3449" s="68">
        <v>18687</v>
      </c>
      <c r="G3449" s="68">
        <v>33959</v>
      </c>
      <c r="H34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50" spans="1:8" hidden="1" x14ac:dyDescent="0.3">
      <c r="A3450" t="s">
        <v>1239</v>
      </c>
      <c r="B3450" t="s">
        <v>1245</v>
      </c>
      <c r="C3450" t="s">
        <v>31</v>
      </c>
      <c r="D3450" s="68">
        <v>539</v>
      </c>
      <c r="E3450" s="68"/>
      <c r="F3450" s="68">
        <v>11801</v>
      </c>
      <c r="G3450" s="68">
        <v>12340</v>
      </c>
      <c r="H34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51" spans="1:8" hidden="1" x14ac:dyDescent="0.3">
      <c r="A3451" t="s">
        <v>1239</v>
      </c>
      <c r="B3451" t="s">
        <v>1245</v>
      </c>
      <c r="C3451" t="s">
        <v>27</v>
      </c>
      <c r="D3451" s="68"/>
      <c r="E3451" s="68">
        <v>4207</v>
      </c>
      <c r="F3451" s="68"/>
      <c r="G3451" s="68">
        <v>4207</v>
      </c>
      <c r="H34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52" spans="1:8" hidden="1" x14ac:dyDescent="0.3">
      <c r="A3452" t="s">
        <v>1239</v>
      </c>
      <c r="B3452" t="s">
        <v>1245</v>
      </c>
      <c r="C3452" t="s">
        <v>537</v>
      </c>
      <c r="D3452" s="68">
        <v>23</v>
      </c>
      <c r="E3452" s="68"/>
      <c r="F3452" s="68">
        <v>3050</v>
      </c>
      <c r="G3452" s="68">
        <v>3073</v>
      </c>
      <c r="H34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53" spans="1:8" hidden="1" x14ac:dyDescent="0.3">
      <c r="A3453" t="s">
        <v>1239</v>
      </c>
      <c r="B3453" t="s">
        <v>1245</v>
      </c>
      <c r="C3453" t="s">
        <v>30</v>
      </c>
      <c r="D3453" s="68">
        <v>125</v>
      </c>
      <c r="E3453" s="68"/>
      <c r="F3453" s="68">
        <v>2696</v>
      </c>
      <c r="G3453" s="68">
        <v>2821</v>
      </c>
      <c r="H34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54" spans="1:8" hidden="1" x14ac:dyDescent="0.3">
      <c r="A3454" t="s">
        <v>1239</v>
      </c>
      <c r="B3454" t="s">
        <v>1245</v>
      </c>
      <c r="C3454" t="s">
        <v>37</v>
      </c>
      <c r="D3454" s="68">
        <v>306</v>
      </c>
      <c r="E3454" s="68"/>
      <c r="F3454" s="68">
        <v>1335</v>
      </c>
      <c r="G3454" s="68">
        <v>1641</v>
      </c>
      <c r="H34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55" spans="1:8" hidden="1" x14ac:dyDescent="0.3">
      <c r="A3455" t="s">
        <v>1239</v>
      </c>
      <c r="B3455" t="s">
        <v>1245</v>
      </c>
      <c r="C3455" t="s">
        <v>35</v>
      </c>
      <c r="D3455" s="68">
        <v>359</v>
      </c>
      <c r="E3455" s="68"/>
      <c r="F3455" s="68"/>
      <c r="G3455" s="68">
        <v>359</v>
      </c>
      <c r="H34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56" spans="1:8" hidden="1" x14ac:dyDescent="0.3">
      <c r="A3456" t="s">
        <v>1239</v>
      </c>
      <c r="B3456" t="s">
        <v>1245</v>
      </c>
      <c r="C3456" t="s">
        <v>5</v>
      </c>
      <c r="D3456" s="68">
        <v>3</v>
      </c>
      <c r="E3456" s="68"/>
      <c r="F3456" s="68"/>
      <c r="G3456" s="68">
        <v>3</v>
      </c>
      <c r="H34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57" spans="1:8" hidden="1" x14ac:dyDescent="0.3">
      <c r="A3457" t="s">
        <v>1239</v>
      </c>
      <c r="B3457" t="s">
        <v>590</v>
      </c>
      <c r="C3457" t="s">
        <v>31</v>
      </c>
      <c r="D3457" s="68">
        <v>250</v>
      </c>
      <c r="E3457" s="68"/>
      <c r="F3457" s="68">
        <v>7818</v>
      </c>
      <c r="G3457" s="68">
        <v>8068</v>
      </c>
      <c r="H34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58" spans="1:8" hidden="1" x14ac:dyDescent="0.3">
      <c r="A3458" t="s">
        <v>1239</v>
      </c>
      <c r="B3458" t="s">
        <v>590</v>
      </c>
      <c r="C3458" t="s">
        <v>26</v>
      </c>
      <c r="D3458" s="68">
        <v>81</v>
      </c>
      <c r="E3458" s="68"/>
      <c r="F3458" s="68">
        <v>911</v>
      </c>
      <c r="G3458" s="68">
        <v>992</v>
      </c>
      <c r="H34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59" spans="1:8" hidden="1" x14ac:dyDescent="0.3">
      <c r="A3459" t="s">
        <v>1239</v>
      </c>
      <c r="B3459" t="s">
        <v>590</v>
      </c>
      <c r="C3459" t="s">
        <v>27</v>
      </c>
      <c r="D3459" s="68"/>
      <c r="E3459" s="68">
        <v>17</v>
      </c>
      <c r="F3459" s="68"/>
      <c r="G3459" s="68">
        <v>17</v>
      </c>
      <c r="H34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60" spans="1:8" hidden="1" x14ac:dyDescent="0.3">
      <c r="A3460" t="s">
        <v>1239</v>
      </c>
      <c r="B3460" t="s">
        <v>590</v>
      </c>
      <c r="C3460" t="s">
        <v>34</v>
      </c>
      <c r="D3460" s="68">
        <v>1</v>
      </c>
      <c r="E3460" s="68"/>
      <c r="F3460" s="68"/>
      <c r="G3460" s="68">
        <v>1</v>
      </c>
      <c r="H34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61" spans="1:8" hidden="1" x14ac:dyDescent="0.3">
      <c r="A3461" t="s">
        <v>1239</v>
      </c>
      <c r="B3461" t="s">
        <v>1246</v>
      </c>
      <c r="C3461" t="s">
        <v>588</v>
      </c>
      <c r="D3461" s="68">
        <v>4057</v>
      </c>
      <c r="E3461" s="68"/>
      <c r="F3461" s="68">
        <v>28807</v>
      </c>
      <c r="G3461" s="68">
        <v>32864</v>
      </c>
      <c r="H34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62" spans="1:8" hidden="1" x14ac:dyDescent="0.3">
      <c r="A3462" t="s">
        <v>1239</v>
      </c>
      <c r="B3462" t="s">
        <v>1246</v>
      </c>
      <c r="C3462" t="s">
        <v>26</v>
      </c>
      <c r="D3462" s="68">
        <v>3304</v>
      </c>
      <c r="E3462" s="68"/>
      <c r="F3462" s="68">
        <v>16589</v>
      </c>
      <c r="G3462" s="68">
        <v>19893</v>
      </c>
      <c r="H34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63" spans="1:8" hidden="1" x14ac:dyDescent="0.3">
      <c r="A3463" t="s">
        <v>1239</v>
      </c>
      <c r="B3463" t="s">
        <v>1246</v>
      </c>
      <c r="C3463" t="s">
        <v>30</v>
      </c>
      <c r="D3463" s="68">
        <v>171</v>
      </c>
      <c r="E3463" s="68"/>
      <c r="F3463" s="68">
        <v>7129</v>
      </c>
      <c r="G3463" s="68">
        <v>7300</v>
      </c>
      <c r="H34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64" spans="1:8" hidden="1" x14ac:dyDescent="0.3">
      <c r="A3464" t="s">
        <v>1239</v>
      </c>
      <c r="B3464" t="s">
        <v>1246</v>
      </c>
      <c r="C3464" t="s">
        <v>31</v>
      </c>
      <c r="D3464" s="68">
        <v>153</v>
      </c>
      <c r="E3464" s="68"/>
      <c r="F3464" s="68">
        <v>3157</v>
      </c>
      <c r="G3464" s="68">
        <v>3310</v>
      </c>
      <c r="H34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65" spans="1:8" hidden="1" x14ac:dyDescent="0.3">
      <c r="A3465" t="s">
        <v>1239</v>
      </c>
      <c r="B3465" t="s">
        <v>1246</v>
      </c>
      <c r="C3465" t="s">
        <v>36</v>
      </c>
      <c r="D3465" s="68">
        <v>445</v>
      </c>
      <c r="E3465" s="68"/>
      <c r="F3465" s="68">
        <v>1172</v>
      </c>
      <c r="G3465" s="68">
        <v>1617</v>
      </c>
      <c r="H34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66" spans="1:8" hidden="1" x14ac:dyDescent="0.3">
      <c r="A3466" t="s">
        <v>1239</v>
      </c>
      <c r="B3466" t="s">
        <v>1246</v>
      </c>
      <c r="C3466" t="s">
        <v>27</v>
      </c>
      <c r="D3466" s="68"/>
      <c r="E3466" s="68">
        <v>1547</v>
      </c>
      <c r="F3466" s="68"/>
      <c r="G3466" s="68">
        <v>1547</v>
      </c>
      <c r="H34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67" spans="1:8" hidden="1" x14ac:dyDescent="0.3">
      <c r="A3467" t="s">
        <v>1239</v>
      </c>
      <c r="B3467" t="s">
        <v>1246</v>
      </c>
      <c r="C3467" t="s">
        <v>5</v>
      </c>
      <c r="D3467" s="68">
        <v>55</v>
      </c>
      <c r="E3467" s="68"/>
      <c r="F3467" s="68">
        <v>36</v>
      </c>
      <c r="G3467" s="68">
        <v>91</v>
      </c>
      <c r="H34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68" spans="1:8" hidden="1" x14ac:dyDescent="0.3">
      <c r="A3468" t="s">
        <v>1239</v>
      </c>
      <c r="B3468" t="s">
        <v>1247</v>
      </c>
      <c r="C3468" t="s">
        <v>31</v>
      </c>
      <c r="D3468" s="68">
        <v>262</v>
      </c>
      <c r="E3468" s="68"/>
      <c r="F3468" s="68">
        <v>6200</v>
      </c>
      <c r="G3468" s="68">
        <v>6462</v>
      </c>
      <c r="H34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69" spans="1:8" hidden="1" x14ac:dyDescent="0.3">
      <c r="A3469" t="s">
        <v>1239</v>
      </c>
      <c r="B3469" t="s">
        <v>1247</v>
      </c>
      <c r="C3469" t="s">
        <v>26</v>
      </c>
      <c r="D3469" s="68">
        <v>394</v>
      </c>
      <c r="E3469" s="68"/>
      <c r="F3469" s="68">
        <v>4114</v>
      </c>
      <c r="G3469" s="68">
        <v>4508</v>
      </c>
      <c r="H34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70" spans="1:8" hidden="1" x14ac:dyDescent="0.3">
      <c r="A3470" t="s">
        <v>1239</v>
      </c>
      <c r="B3470" t="s">
        <v>1247</v>
      </c>
      <c r="C3470" t="s">
        <v>30</v>
      </c>
      <c r="D3470" s="68">
        <v>48</v>
      </c>
      <c r="E3470" s="68"/>
      <c r="F3470" s="68">
        <v>3125</v>
      </c>
      <c r="G3470" s="68">
        <v>3173</v>
      </c>
      <c r="H34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71" spans="1:8" hidden="1" x14ac:dyDescent="0.3">
      <c r="A3471" t="s">
        <v>1239</v>
      </c>
      <c r="B3471" t="s">
        <v>1247</v>
      </c>
      <c r="C3471" t="s">
        <v>27</v>
      </c>
      <c r="D3471" s="68"/>
      <c r="E3471" s="68">
        <v>130</v>
      </c>
      <c r="F3471" s="68"/>
      <c r="G3471" s="68">
        <v>130</v>
      </c>
      <c r="H34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72" spans="1:8" hidden="1" x14ac:dyDescent="0.3">
      <c r="A3472" t="s">
        <v>1239</v>
      </c>
      <c r="B3472" t="s">
        <v>1248</v>
      </c>
      <c r="C3472" t="s">
        <v>31</v>
      </c>
      <c r="D3472" s="68">
        <v>375</v>
      </c>
      <c r="E3472" s="68"/>
      <c r="F3472" s="68">
        <v>6848</v>
      </c>
      <c r="G3472" s="68">
        <v>7223</v>
      </c>
      <c r="H34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73" spans="1:8" hidden="1" x14ac:dyDescent="0.3">
      <c r="A3473" t="s">
        <v>1239</v>
      </c>
      <c r="B3473" t="s">
        <v>1248</v>
      </c>
      <c r="C3473" t="s">
        <v>26</v>
      </c>
      <c r="D3473" s="68">
        <v>944</v>
      </c>
      <c r="E3473" s="68"/>
      <c r="F3473" s="68">
        <v>4010</v>
      </c>
      <c r="G3473" s="68">
        <v>4954</v>
      </c>
      <c r="H34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74" spans="1:8" hidden="1" x14ac:dyDescent="0.3">
      <c r="A3474" t="s">
        <v>1239</v>
      </c>
      <c r="B3474" t="s">
        <v>1248</v>
      </c>
      <c r="C3474" t="s">
        <v>30</v>
      </c>
      <c r="D3474" s="68">
        <v>112</v>
      </c>
      <c r="E3474" s="68"/>
      <c r="F3474" s="68">
        <v>3614</v>
      </c>
      <c r="G3474" s="68">
        <v>3726</v>
      </c>
      <c r="H34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75" spans="1:8" hidden="1" x14ac:dyDescent="0.3">
      <c r="A3475" t="s">
        <v>1239</v>
      </c>
      <c r="B3475" t="s">
        <v>1248</v>
      </c>
      <c r="C3475" t="s">
        <v>27</v>
      </c>
      <c r="D3475" s="68"/>
      <c r="E3475" s="68">
        <v>474</v>
      </c>
      <c r="F3475" s="68"/>
      <c r="G3475" s="68">
        <v>474</v>
      </c>
      <c r="H34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76" spans="1:8" hidden="1" x14ac:dyDescent="0.3">
      <c r="A3476" t="s">
        <v>1239</v>
      </c>
      <c r="B3476" t="s">
        <v>1248</v>
      </c>
      <c r="C3476" t="s">
        <v>36</v>
      </c>
      <c r="D3476" s="68">
        <v>80</v>
      </c>
      <c r="E3476" s="68"/>
      <c r="F3476" s="68">
        <v>27</v>
      </c>
      <c r="G3476" s="68">
        <v>107</v>
      </c>
      <c r="H34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77" spans="1:8" hidden="1" x14ac:dyDescent="0.3">
      <c r="A3477" t="s">
        <v>1239</v>
      </c>
      <c r="B3477" t="s">
        <v>1249</v>
      </c>
      <c r="C3477" t="s">
        <v>36</v>
      </c>
      <c r="D3477" s="68">
        <v>19806</v>
      </c>
      <c r="E3477" s="68"/>
      <c r="F3477" s="68">
        <v>12023</v>
      </c>
      <c r="G3477" s="68">
        <v>31829</v>
      </c>
      <c r="H34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78" spans="1:8" hidden="1" x14ac:dyDescent="0.3">
      <c r="A3478" t="s">
        <v>1239</v>
      </c>
      <c r="B3478" t="s">
        <v>1249</v>
      </c>
      <c r="C3478" t="s">
        <v>26</v>
      </c>
      <c r="D3478" s="68">
        <v>4144</v>
      </c>
      <c r="E3478" s="68"/>
      <c r="F3478" s="68">
        <v>18500</v>
      </c>
      <c r="G3478" s="68">
        <v>22644</v>
      </c>
      <c r="H34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79" spans="1:8" hidden="1" x14ac:dyDescent="0.3">
      <c r="A3479" t="s">
        <v>1239</v>
      </c>
      <c r="B3479" t="s">
        <v>1249</v>
      </c>
      <c r="C3479" t="s">
        <v>31</v>
      </c>
      <c r="D3479" s="68">
        <v>919</v>
      </c>
      <c r="E3479" s="68"/>
      <c r="F3479" s="68">
        <v>18410</v>
      </c>
      <c r="G3479" s="68">
        <v>19329</v>
      </c>
      <c r="H34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80" spans="1:8" hidden="1" x14ac:dyDescent="0.3">
      <c r="A3480" t="s">
        <v>1239</v>
      </c>
      <c r="B3480" t="s">
        <v>1249</v>
      </c>
      <c r="C3480" t="s">
        <v>30</v>
      </c>
      <c r="D3480" s="68">
        <v>350</v>
      </c>
      <c r="E3480" s="68"/>
      <c r="F3480" s="68">
        <v>12294</v>
      </c>
      <c r="G3480" s="68">
        <v>12644</v>
      </c>
      <c r="H34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81" spans="1:8" hidden="1" x14ac:dyDescent="0.3">
      <c r="A3481" t="s">
        <v>1239</v>
      </c>
      <c r="B3481" t="s">
        <v>1249</v>
      </c>
      <c r="C3481" t="s">
        <v>537</v>
      </c>
      <c r="D3481" s="68">
        <v>54</v>
      </c>
      <c r="E3481" s="68"/>
      <c r="F3481" s="68">
        <v>2265</v>
      </c>
      <c r="G3481" s="68">
        <v>2319</v>
      </c>
      <c r="H34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82" spans="1:8" hidden="1" x14ac:dyDescent="0.3">
      <c r="A3482" t="s">
        <v>1239</v>
      </c>
      <c r="B3482" t="s">
        <v>1249</v>
      </c>
      <c r="C3482" t="s">
        <v>27</v>
      </c>
      <c r="D3482" s="68"/>
      <c r="E3482" s="68">
        <v>2130</v>
      </c>
      <c r="F3482" s="68"/>
      <c r="G3482" s="68">
        <v>2130</v>
      </c>
      <c r="H34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83" spans="1:8" hidden="1" x14ac:dyDescent="0.3">
      <c r="A3483" t="s">
        <v>1239</v>
      </c>
      <c r="B3483" t="s">
        <v>1249</v>
      </c>
      <c r="C3483" t="s">
        <v>37</v>
      </c>
      <c r="D3483" s="68">
        <v>286</v>
      </c>
      <c r="E3483" s="68"/>
      <c r="F3483" s="68">
        <v>1523</v>
      </c>
      <c r="G3483" s="68">
        <v>1809</v>
      </c>
      <c r="H34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84" spans="1:8" hidden="1" x14ac:dyDescent="0.3">
      <c r="A3484" t="s">
        <v>1239</v>
      </c>
      <c r="B3484" t="s">
        <v>1249</v>
      </c>
      <c r="C3484" t="s">
        <v>35</v>
      </c>
      <c r="D3484" s="68">
        <v>51</v>
      </c>
      <c r="E3484" s="68"/>
      <c r="F3484" s="68"/>
      <c r="G3484" s="68">
        <v>51</v>
      </c>
      <c r="H34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85" spans="1:8" hidden="1" x14ac:dyDescent="0.3">
      <c r="A3485" t="s">
        <v>1239</v>
      </c>
      <c r="B3485" t="s">
        <v>1249</v>
      </c>
      <c r="C3485" t="s">
        <v>5</v>
      </c>
      <c r="D3485" s="68">
        <v>1</v>
      </c>
      <c r="E3485" s="68"/>
      <c r="F3485" s="68"/>
      <c r="G3485" s="68">
        <v>1</v>
      </c>
      <c r="H34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86" spans="1:8" hidden="1" x14ac:dyDescent="0.3">
      <c r="A3486" t="s">
        <v>1239</v>
      </c>
      <c r="B3486" t="s">
        <v>1250</v>
      </c>
      <c r="C3486" t="s">
        <v>588</v>
      </c>
      <c r="D3486" s="68">
        <v>1152</v>
      </c>
      <c r="E3486" s="68"/>
      <c r="F3486" s="68">
        <v>13641</v>
      </c>
      <c r="G3486" s="68">
        <v>14793</v>
      </c>
      <c r="H34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87" spans="1:8" hidden="1" x14ac:dyDescent="0.3">
      <c r="A3487" t="s">
        <v>1239</v>
      </c>
      <c r="B3487" t="s">
        <v>1250</v>
      </c>
      <c r="C3487" t="s">
        <v>30</v>
      </c>
      <c r="D3487" s="68">
        <v>125</v>
      </c>
      <c r="E3487" s="68"/>
      <c r="F3487" s="68">
        <v>6357</v>
      </c>
      <c r="G3487" s="68">
        <v>6482</v>
      </c>
      <c r="H34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88" spans="1:8" hidden="1" x14ac:dyDescent="0.3">
      <c r="A3488" t="s">
        <v>1239</v>
      </c>
      <c r="B3488" t="s">
        <v>1250</v>
      </c>
      <c r="C3488" t="s">
        <v>26</v>
      </c>
      <c r="D3488" s="68">
        <v>382</v>
      </c>
      <c r="E3488" s="68"/>
      <c r="F3488" s="68">
        <v>2008</v>
      </c>
      <c r="G3488" s="68">
        <v>2390</v>
      </c>
      <c r="H34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89" spans="1:8" hidden="1" x14ac:dyDescent="0.3">
      <c r="A3489" t="s">
        <v>1239</v>
      </c>
      <c r="B3489" t="s">
        <v>1250</v>
      </c>
      <c r="C3489" t="s">
        <v>31</v>
      </c>
      <c r="D3489" s="68">
        <v>50</v>
      </c>
      <c r="E3489" s="68"/>
      <c r="F3489" s="68">
        <v>1179</v>
      </c>
      <c r="G3489" s="68">
        <v>1229</v>
      </c>
      <c r="H34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90" spans="1:8" hidden="1" x14ac:dyDescent="0.3">
      <c r="A3490" t="s">
        <v>1239</v>
      </c>
      <c r="B3490" t="s">
        <v>1250</v>
      </c>
      <c r="C3490" t="s">
        <v>27</v>
      </c>
      <c r="D3490" s="68"/>
      <c r="E3490" s="68">
        <v>879</v>
      </c>
      <c r="F3490" s="68"/>
      <c r="G3490" s="68">
        <v>879</v>
      </c>
      <c r="H34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91" spans="1:8" hidden="1" x14ac:dyDescent="0.3">
      <c r="A3491" t="s">
        <v>1239</v>
      </c>
      <c r="B3491" t="s">
        <v>1250</v>
      </c>
      <c r="C3491" t="s">
        <v>36</v>
      </c>
      <c r="D3491" s="68">
        <v>183</v>
      </c>
      <c r="E3491" s="68"/>
      <c r="F3491" s="68">
        <v>421</v>
      </c>
      <c r="G3491" s="68">
        <v>604</v>
      </c>
      <c r="H34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92" spans="1:8" hidden="1" x14ac:dyDescent="0.3">
      <c r="A3492" t="s">
        <v>1239</v>
      </c>
      <c r="B3492" t="s">
        <v>1250</v>
      </c>
      <c r="C3492" t="s">
        <v>5</v>
      </c>
      <c r="D3492" s="68">
        <v>37</v>
      </c>
      <c r="E3492" s="68"/>
      <c r="F3492" s="68">
        <v>23</v>
      </c>
      <c r="G3492" s="68">
        <v>60</v>
      </c>
      <c r="H34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93" spans="1:8" hidden="1" x14ac:dyDescent="0.3">
      <c r="A3493" t="s">
        <v>1239</v>
      </c>
      <c r="B3493" t="s">
        <v>1251</v>
      </c>
      <c r="C3493" t="s">
        <v>588</v>
      </c>
      <c r="D3493" s="68">
        <v>706</v>
      </c>
      <c r="E3493" s="68"/>
      <c r="F3493" s="68">
        <v>9472</v>
      </c>
      <c r="G3493" s="68">
        <v>10178</v>
      </c>
      <c r="H34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94" spans="1:8" hidden="1" x14ac:dyDescent="0.3">
      <c r="A3494" t="s">
        <v>1239</v>
      </c>
      <c r="B3494" t="s">
        <v>1251</v>
      </c>
      <c r="C3494" t="s">
        <v>31</v>
      </c>
      <c r="D3494" s="68">
        <v>349</v>
      </c>
      <c r="E3494" s="68"/>
      <c r="F3494" s="68">
        <v>7236</v>
      </c>
      <c r="G3494" s="68">
        <v>7585</v>
      </c>
      <c r="H34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95" spans="1:8" hidden="1" x14ac:dyDescent="0.3">
      <c r="A3495" t="s">
        <v>1239</v>
      </c>
      <c r="B3495" t="s">
        <v>1251</v>
      </c>
      <c r="C3495" t="s">
        <v>26</v>
      </c>
      <c r="D3495" s="68">
        <v>366</v>
      </c>
      <c r="E3495" s="68"/>
      <c r="F3495" s="68">
        <v>2376</v>
      </c>
      <c r="G3495" s="68">
        <v>2742</v>
      </c>
      <c r="H34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96" spans="1:8" hidden="1" x14ac:dyDescent="0.3">
      <c r="A3496" t="s">
        <v>1239</v>
      </c>
      <c r="B3496" t="s">
        <v>1251</v>
      </c>
      <c r="C3496" t="s">
        <v>30</v>
      </c>
      <c r="D3496" s="68">
        <v>50</v>
      </c>
      <c r="E3496" s="68"/>
      <c r="F3496" s="68">
        <v>1454</v>
      </c>
      <c r="G3496" s="68">
        <v>1504</v>
      </c>
      <c r="H34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97" spans="1:8" hidden="1" x14ac:dyDescent="0.3">
      <c r="A3497" t="s">
        <v>1239</v>
      </c>
      <c r="B3497" t="s">
        <v>1251</v>
      </c>
      <c r="C3497" t="s">
        <v>27</v>
      </c>
      <c r="D3497" s="68"/>
      <c r="E3497" s="68">
        <v>136</v>
      </c>
      <c r="F3497" s="68"/>
      <c r="G3497" s="68">
        <v>136</v>
      </c>
      <c r="H34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98" spans="1:8" hidden="1" x14ac:dyDescent="0.3">
      <c r="A3498" t="s">
        <v>1239</v>
      </c>
      <c r="B3498" t="s">
        <v>1252</v>
      </c>
      <c r="C3498" t="s">
        <v>31</v>
      </c>
      <c r="D3498" s="68">
        <v>110</v>
      </c>
      <c r="E3498" s="68"/>
      <c r="F3498" s="68">
        <v>3855</v>
      </c>
      <c r="G3498" s="68">
        <v>3965</v>
      </c>
      <c r="H34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499" spans="1:8" hidden="1" x14ac:dyDescent="0.3">
      <c r="A3499" t="s">
        <v>1239</v>
      </c>
      <c r="B3499" t="s">
        <v>1252</v>
      </c>
      <c r="C3499" t="s">
        <v>26</v>
      </c>
      <c r="D3499" s="68">
        <v>116</v>
      </c>
      <c r="E3499" s="68"/>
      <c r="F3499" s="68">
        <v>2265</v>
      </c>
      <c r="G3499" s="68">
        <v>2381</v>
      </c>
      <c r="H34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00" spans="1:8" hidden="1" x14ac:dyDescent="0.3">
      <c r="A3500" t="s">
        <v>1239</v>
      </c>
      <c r="B3500" t="s">
        <v>1252</v>
      </c>
      <c r="C3500" t="s">
        <v>30</v>
      </c>
      <c r="D3500" s="68">
        <v>12</v>
      </c>
      <c r="E3500" s="68"/>
      <c r="F3500" s="68">
        <v>1444</v>
      </c>
      <c r="G3500" s="68">
        <v>1456</v>
      </c>
      <c r="H35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01" spans="1:8" hidden="1" x14ac:dyDescent="0.3">
      <c r="A3501" t="s">
        <v>1239</v>
      </c>
      <c r="B3501" t="s">
        <v>1252</v>
      </c>
      <c r="C3501" t="s">
        <v>27</v>
      </c>
      <c r="D3501" s="68"/>
      <c r="E3501" s="68">
        <v>69</v>
      </c>
      <c r="F3501" s="68"/>
      <c r="G3501" s="68">
        <v>69</v>
      </c>
      <c r="H35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02" spans="1:8" hidden="1" x14ac:dyDescent="0.3">
      <c r="A3502" t="s">
        <v>1239</v>
      </c>
      <c r="B3502" t="s">
        <v>1253</v>
      </c>
      <c r="C3502" t="s">
        <v>31</v>
      </c>
      <c r="D3502" s="68">
        <v>463</v>
      </c>
      <c r="E3502" s="68"/>
      <c r="F3502" s="68">
        <v>7666</v>
      </c>
      <c r="G3502" s="68">
        <v>8129</v>
      </c>
      <c r="H35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03" spans="1:8" hidden="1" x14ac:dyDescent="0.3">
      <c r="A3503" t="s">
        <v>1239</v>
      </c>
      <c r="B3503" t="s">
        <v>1253</v>
      </c>
      <c r="C3503" t="s">
        <v>26</v>
      </c>
      <c r="D3503" s="68">
        <v>257</v>
      </c>
      <c r="E3503" s="68"/>
      <c r="F3503" s="68">
        <v>2287</v>
      </c>
      <c r="G3503" s="68">
        <v>2544</v>
      </c>
      <c r="H35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04" spans="1:8" hidden="1" x14ac:dyDescent="0.3">
      <c r="A3504" t="s">
        <v>1239</v>
      </c>
      <c r="B3504" t="s">
        <v>1253</v>
      </c>
      <c r="C3504" t="s">
        <v>27</v>
      </c>
      <c r="D3504" s="68"/>
      <c r="E3504" s="68">
        <v>93</v>
      </c>
      <c r="F3504" s="68"/>
      <c r="G3504" s="68">
        <v>93</v>
      </c>
      <c r="H35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05" spans="1:8" hidden="1" x14ac:dyDescent="0.3">
      <c r="A3505" t="s">
        <v>1239</v>
      </c>
      <c r="B3505" t="s">
        <v>1254</v>
      </c>
      <c r="C3505" t="s">
        <v>31</v>
      </c>
      <c r="D3505" s="68">
        <v>894</v>
      </c>
      <c r="E3505" s="68"/>
      <c r="F3505" s="68">
        <v>16402</v>
      </c>
      <c r="G3505" s="68">
        <v>17296</v>
      </c>
      <c r="H35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06" spans="1:8" hidden="1" x14ac:dyDescent="0.3">
      <c r="A3506" t="s">
        <v>1239</v>
      </c>
      <c r="B3506" t="s">
        <v>1254</v>
      </c>
      <c r="C3506" t="s">
        <v>26</v>
      </c>
      <c r="D3506" s="68">
        <v>2056</v>
      </c>
      <c r="E3506" s="68"/>
      <c r="F3506" s="68">
        <v>7489</v>
      </c>
      <c r="G3506" s="68">
        <v>9545</v>
      </c>
      <c r="H35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07" spans="1:8" hidden="1" x14ac:dyDescent="0.3">
      <c r="A3507" t="s">
        <v>1239</v>
      </c>
      <c r="B3507" t="s">
        <v>1254</v>
      </c>
      <c r="C3507" t="s">
        <v>30</v>
      </c>
      <c r="D3507" s="68">
        <v>160</v>
      </c>
      <c r="E3507" s="68"/>
      <c r="F3507" s="68">
        <v>6304</v>
      </c>
      <c r="G3507" s="68">
        <v>6464</v>
      </c>
      <c r="H35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08" spans="1:8" hidden="1" x14ac:dyDescent="0.3">
      <c r="A3508" t="s">
        <v>1239</v>
      </c>
      <c r="B3508" t="s">
        <v>1254</v>
      </c>
      <c r="C3508" t="s">
        <v>588</v>
      </c>
      <c r="D3508" s="68">
        <v>339</v>
      </c>
      <c r="E3508" s="68"/>
      <c r="F3508" s="68">
        <v>3562</v>
      </c>
      <c r="G3508" s="68">
        <v>3901</v>
      </c>
      <c r="H35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09" spans="1:8" hidden="1" x14ac:dyDescent="0.3">
      <c r="A3509" t="s">
        <v>1239</v>
      </c>
      <c r="B3509" t="s">
        <v>1254</v>
      </c>
      <c r="C3509" t="s">
        <v>27</v>
      </c>
      <c r="D3509" s="68"/>
      <c r="E3509" s="68">
        <v>1190</v>
      </c>
      <c r="F3509" s="68"/>
      <c r="G3509" s="68">
        <v>1190</v>
      </c>
      <c r="H35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10" spans="1:8" hidden="1" x14ac:dyDescent="0.3">
      <c r="A3510" t="s">
        <v>1239</v>
      </c>
      <c r="B3510" t="s">
        <v>1254</v>
      </c>
      <c r="C3510" t="s">
        <v>36</v>
      </c>
      <c r="D3510" s="68">
        <v>109</v>
      </c>
      <c r="E3510" s="68"/>
      <c r="F3510" s="68">
        <v>54</v>
      </c>
      <c r="G3510" s="68">
        <v>163</v>
      </c>
      <c r="H35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11" spans="1:8" hidden="1" x14ac:dyDescent="0.3">
      <c r="A3511" t="s">
        <v>1239</v>
      </c>
      <c r="B3511" t="s">
        <v>1255</v>
      </c>
      <c r="C3511" t="s">
        <v>588</v>
      </c>
      <c r="D3511" s="68">
        <v>5241</v>
      </c>
      <c r="E3511" s="68"/>
      <c r="F3511" s="68">
        <v>33506</v>
      </c>
      <c r="G3511" s="68">
        <v>38747</v>
      </c>
      <c r="H35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12" spans="1:8" hidden="1" x14ac:dyDescent="0.3">
      <c r="A3512" t="s">
        <v>1239</v>
      </c>
      <c r="B3512" t="s">
        <v>1255</v>
      </c>
      <c r="C3512" t="s">
        <v>26</v>
      </c>
      <c r="D3512" s="68">
        <v>1898</v>
      </c>
      <c r="E3512" s="68"/>
      <c r="F3512" s="68">
        <v>9362</v>
      </c>
      <c r="G3512" s="68">
        <v>11260</v>
      </c>
      <c r="H35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13" spans="1:8" hidden="1" x14ac:dyDescent="0.3">
      <c r="A3513" t="s">
        <v>1239</v>
      </c>
      <c r="B3513" t="s">
        <v>1255</v>
      </c>
      <c r="C3513" t="s">
        <v>31</v>
      </c>
      <c r="D3513" s="68">
        <v>400</v>
      </c>
      <c r="E3513" s="68"/>
      <c r="F3513" s="68">
        <v>7116</v>
      </c>
      <c r="G3513" s="68">
        <v>7516</v>
      </c>
      <c r="H35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14" spans="1:8" hidden="1" x14ac:dyDescent="0.3">
      <c r="A3514" t="s">
        <v>1239</v>
      </c>
      <c r="B3514" t="s">
        <v>1255</v>
      </c>
      <c r="C3514" t="s">
        <v>27</v>
      </c>
      <c r="D3514" s="68"/>
      <c r="E3514" s="68">
        <v>1728</v>
      </c>
      <c r="F3514" s="68"/>
      <c r="G3514" s="68">
        <v>1728</v>
      </c>
      <c r="H35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15" spans="1:8" hidden="1" x14ac:dyDescent="0.3">
      <c r="A3515" t="s">
        <v>1239</v>
      </c>
      <c r="B3515" t="s">
        <v>1255</v>
      </c>
      <c r="C3515" t="s">
        <v>30</v>
      </c>
      <c r="D3515" s="68">
        <v>55</v>
      </c>
      <c r="E3515" s="68"/>
      <c r="F3515" s="68">
        <v>1560</v>
      </c>
      <c r="G3515" s="68">
        <v>1615</v>
      </c>
      <c r="H35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16" spans="1:8" hidden="1" x14ac:dyDescent="0.3">
      <c r="A3516" t="s">
        <v>1239</v>
      </c>
      <c r="B3516" t="s">
        <v>1255</v>
      </c>
      <c r="C3516" t="s">
        <v>36</v>
      </c>
      <c r="D3516" s="68">
        <v>302</v>
      </c>
      <c r="E3516" s="68"/>
      <c r="F3516" s="68">
        <v>567</v>
      </c>
      <c r="G3516" s="68">
        <v>869</v>
      </c>
      <c r="H35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17" spans="1:8" hidden="1" x14ac:dyDescent="0.3">
      <c r="A3517" t="s">
        <v>1239</v>
      </c>
      <c r="B3517" t="s">
        <v>1255</v>
      </c>
      <c r="C3517" t="s">
        <v>5</v>
      </c>
      <c r="D3517" s="68">
        <v>41</v>
      </c>
      <c r="E3517" s="68"/>
      <c r="F3517" s="68">
        <v>31</v>
      </c>
      <c r="G3517" s="68">
        <v>72</v>
      </c>
      <c r="H35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18" spans="1:8" hidden="1" x14ac:dyDescent="0.3">
      <c r="A3518" t="s">
        <v>1239</v>
      </c>
      <c r="B3518" t="s">
        <v>1256</v>
      </c>
      <c r="C3518" t="s">
        <v>26</v>
      </c>
      <c r="D3518" s="68">
        <v>1025</v>
      </c>
      <c r="E3518" s="68"/>
      <c r="F3518" s="68">
        <v>9688</v>
      </c>
      <c r="G3518" s="68">
        <v>10713</v>
      </c>
      <c r="H35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19" spans="1:8" hidden="1" x14ac:dyDescent="0.3">
      <c r="A3519" t="s">
        <v>1239</v>
      </c>
      <c r="B3519" t="s">
        <v>1256</v>
      </c>
      <c r="C3519" t="s">
        <v>30</v>
      </c>
      <c r="D3519" s="68">
        <v>124</v>
      </c>
      <c r="E3519" s="68"/>
      <c r="F3519" s="68">
        <v>10400</v>
      </c>
      <c r="G3519" s="68">
        <v>10524</v>
      </c>
      <c r="H35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20" spans="1:8" hidden="1" x14ac:dyDescent="0.3">
      <c r="A3520" t="s">
        <v>1239</v>
      </c>
      <c r="B3520" t="s">
        <v>1256</v>
      </c>
      <c r="C3520" t="s">
        <v>31</v>
      </c>
      <c r="D3520" s="68">
        <v>119</v>
      </c>
      <c r="E3520" s="68"/>
      <c r="F3520" s="68">
        <v>2782</v>
      </c>
      <c r="G3520" s="68">
        <v>2901</v>
      </c>
      <c r="H35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21" spans="1:8" hidden="1" x14ac:dyDescent="0.3">
      <c r="A3521" t="s">
        <v>1239</v>
      </c>
      <c r="B3521" t="s">
        <v>1256</v>
      </c>
      <c r="C3521" t="s">
        <v>27</v>
      </c>
      <c r="D3521" s="68"/>
      <c r="E3521" s="68">
        <v>136</v>
      </c>
      <c r="F3521" s="68"/>
      <c r="G3521" s="68">
        <v>136</v>
      </c>
      <c r="H35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22" spans="1:8" hidden="1" x14ac:dyDescent="0.3">
      <c r="A3522" t="s">
        <v>1239</v>
      </c>
      <c r="B3522" t="s">
        <v>1257</v>
      </c>
      <c r="C3522" t="s">
        <v>31</v>
      </c>
      <c r="D3522" s="68">
        <v>162</v>
      </c>
      <c r="E3522" s="68"/>
      <c r="F3522" s="68">
        <v>3221</v>
      </c>
      <c r="G3522" s="68">
        <v>3383</v>
      </c>
      <c r="H35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23" spans="1:8" hidden="1" x14ac:dyDescent="0.3">
      <c r="A3523" t="s">
        <v>1239</v>
      </c>
      <c r="B3523" t="s">
        <v>1257</v>
      </c>
      <c r="C3523" t="s">
        <v>26</v>
      </c>
      <c r="D3523" s="68">
        <v>166</v>
      </c>
      <c r="E3523" s="68"/>
      <c r="F3523" s="68">
        <v>1817</v>
      </c>
      <c r="G3523" s="68">
        <v>1983</v>
      </c>
      <c r="H35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24" spans="1:8" hidden="1" x14ac:dyDescent="0.3">
      <c r="A3524" t="s">
        <v>1239</v>
      </c>
      <c r="B3524" t="s">
        <v>1257</v>
      </c>
      <c r="C3524" t="s">
        <v>30</v>
      </c>
      <c r="D3524" s="68">
        <v>29</v>
      </c>
      <c r="E3524" s="68"/>
      <c r="F3524" s="68">
        <v>1413</v>
      </c>
      <c r="G3524" s="68">
        <v>1442</v>
      </c>
      <c r="H35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25" spans="1:8" hidden="1" x14ac:dyDescent="0.3">
      <c r="A3525" t="s">
        <v>1239</v>
      </c>
      <c r="B3525" t="s">
        <v>1257</v>
      </c>
      <c r="C3525" t="s">
        <v>27</v>
      </c>
      <c r="D3525" s="68"/>
      <c r="E3525" s="68">
        <v>48</v>
      </c>
      <c r="F3525" s="68"/>
      <c r="G3525" s="68">
        <v>48</v>
      </c>
      <c r="H35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26" spans="1:8" hidden="1" x14ac:dyDescent="0.3">
      <c r="A3526" t="s">
        <v>1239</v>
      </c>
      <c r="B3526" t="s">
        <v>1258</v>
      </c>
      <c r="C3526" t="s">
        <v>31</v>
      </c>
      <c r="D3526" s="68">
        <v>327</v>
      </c>
      <c r="E3526" s="68"/>
      <c r="F3526" s="68">
        <v>4998</v>
      </c>
      <c r="G3526" s="68">
        <v>5325</v>
      </c>
      <c r="H35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27" spans="1:8" hidden="1" x14ac:dyDescent="0.3">
      <c r="A3527" t="s">
        <v>1239</v>
      </c>
      <c r="B3527" t="s">
        <v>1258</v>
      </c>
      <c r="C3527" t="s">
        <v>26</v>
      </c>
      <c r="D3527" s="68">
        <v>417</v>
      </c>
      <c r="E3527" s="68"/>
      <c r="F3527" s="68">
        <v>4314</v>
      </c>
      <c r="G3527" s="68">
        <v>4731</v>
      </c>
      <c r="H35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28" spans="1:8" hidden="1" x14ac:dyDescent="0.3">
      <c r="A3528" t="s">
        <v>1239</v>
      </c>
      <c r="B3528" t="s">
        <v>1258</v>
      </c>
      <c r="C3528" t="s">
        <v>537</v>
      </c>
      <c r="D3528" s="68">
        <v>24</v>
      </c>
      <c r="E3528" s="68"/>
      <c r="F3528" s="68">
        <v>2681</v>
      </c>
      <c r="G3528" s="68">
        <v>2705</v>
      </c>
      <c r="H35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29" spans="1:8" hidden="1" x14ac:dyDescent="0.3">
      <c r="A3529" t="s">
        <v>1239</v>
      </c>
      <c r="B3529" t="s">
        <v>1258</v>
      </c>
      <c r="C3529" t="s">
        <v>30</v>
      </c>
      <c r="D3529" s="68">
        <v>33</v>
      </c>
      <c r="E3529" s="68"/>
      <c r="F3529" s="68">
        <v>1121</v>
      </c>
      <c r="G3529" s="68">
        <v>1154</v>
      </c>
      <c r="H35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30" spans="1:8" hidden="1" x14ac:dyDescent="0.3">
      <c r="A3530" t="s">
        <v>1239</v>
      </c>
      <c r="B3530" t="s">
        <v>1258</v>
      </c>
      <c r="C3530" t="s">
        <v>27</v>
      </c>
      <c r="D3530" s="68"/>
      <c r="E3530" s="68">
        <v>173</v>
      </c>
      <c r="F3530" s="68"/>
      <c r="G3530" s="68">
        <v>173</v>
      </c>
      <c r="H35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31" spans="1:8" hidden="1" x14ac:dyDescent="0.3">
      <c r="A3531" t="s">
        <v>1239</v>
      </c>
      <c r="B3531" t="s">
        <v>898</v>
      </c>
      <c r="C3531" t="s">
        <v>31</v>
      </c>
      <c r="D3531" s="68">
        <v>319</v>
      </c>
      <c r="E3531" s="68"/>
      <c r="F3531" s="68">
        <v>4930</v>
      </c>
      <c r="G3531" s="68">
        <v>5249</v>
      </c>
      <c r="H35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32" spans="1:8" hidden="1" x14ac:dyDescent="0.3">
      <c r="A3532" t="s">
        <v>1239</v>
      </c>
      <c r="B3532" t="s">
        <v>898</v>
      </c>
      <c r="C3532" t="s">
        <v>588</v>
      </c>
      <c r="D3532" s="68">
        <v>453</v>
      </c>
      <c r="E3532" s="68"/>
      <c r="F3532" s="68">
        <v>2892</v>
      </c>
      <c r="G3532" s="68">
        <v>3345</v>
      </c>
      <c r="H35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33" spans="1:8" hidden="1" x14ac:dyDescent="0.3">
      <c r="A3533" t="s">
        <v>1239</v>
      </c>
      <c r="B3533" t="s">
        <v>898</v>
      </c>
      <c r="C3533" t="s">
        <v>26</v>
      </c>
      <c r="D3533" s="68">
        <v>77</v>
      </c>
      <c r="E3533" s="68"/>
      <c r="F3533" s="68">
        <v>19</v>
      </c>
      <c r="G3533" s="68">
        <v>96</v>
      </c>
      <c r="H35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34" spans="1:8" hidden="1" x14ac:dyDescent="0.3">
      <c r="A3534" t="s">
        <v>1239</v>
      </c>
      <c r="B3534" t="s">
        <v>898</v>
      </c>
      <c r="C3534" t="s">
        <v>27</v>
      </c>
      <c r="D3534" s="68"/>
      <c r="E3534" s="68">
        <v>71</v>
      </c>
      <c r="F3534" s="68"/>
      <c r="G3534" s="68">
        <v>71</v>
      </c>
      <c r="H35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35" spans="1:8" hidden="1" x14ac:dyDescent="0.3">
      <c r="A3535" t="s">
        <v>1239</v>
      </c>
      <c r="B3535" t="s">
        <v>1259</v>
      </c>
      <c r="C3535" t="s">
        <v>588</v>
      </c>
      <c r="D3535" s="68">
        <v>1057</v>
      </c>
      <c r="E3535" s="68"/>
      <c r="F3535" s="68">
        <v>11112</v>
      </c>
      <c r="G3535" s="68">
        <v>12169</v>
      </c>
      <c r="H35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36" spans="1:8" hidden="1" x14ac:dyDescent="0.3">
      <c r="A3536" t="s">
        <v>1239</v>
      </c>
      <c r="B3536" t="s">
        <v>1259</v>
      </c>
      <c r="C3536" t="s">
        <v>26</v>
      </c>
      <c r="D3536" s="68">
        <v>444</v>
      </c>
      <c r="E3536" s="68"/>
      <c r="F3536" s="68">
        <v>3393</v>
      </c>
      <c r="G3536" s="68">
        <v>3837</v>
      </c>
      <c r="H35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37" spans="1:8" hidden="1" x14ac:dyDescent="0.3">
      <c r="A3537" t="s">
        <v>1239</v>
      </c>
      <c r="B3537" t="s">
        <v>1259</v>
      </c>
      <c r="C3537" t="s">
        <v>31</v>
      </c>
      <c r="D3537" s="68">
        <v>172</v>
      </c>
      <c r="E3537" s="68"/>
      <c r="F3537" s="68">
        <v>3310</v>
      </c>
      <c r="G3537" s="68">
        <v>3482</v>
      </c>
      <c r="H35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38" spans="1:8" hidden="1" x14ac:dyDescent="0.3">
      <c r="A3538" t="s">
        <v>1239</v>
      </c>
      <c r="B3538" t="s">
        <v>1259</v>
      </c>
      <c r="C3538" t="s">
        <v>30</v>
      </c>
      <c r="D3538" s="68">
        <v>23</v>
      </c>
      <c r="E3538" s="68"/>
      <c r="F3538" s="68">
        <v>1215</v>
      </c>
      <c r="G3538" s="68">
        <v>1238</v>
      </c>
      <c r="H35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39" spans="1:8" hidden="1" x14ac:dyDescent="0.3">
      <c r="A3539" t="s">
        <v>1239</v>
      </c>
      <c r="B3539" t="s">
        <v>1259</v>
      </c>
      <c r="C3539" t="s">
        <v>27</v>
      </c>
      <c r="D3539" s="68"/>
      <c r="E3539" s="68">
        <v>552</v>
      </c>
      <c r="F3539" s="68"/>
      <c r="G3539" s="68">
        <v>552</v>
      </c>
      <c r="H35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40" spans="1:8" hidden="1" x14ac:dyDescent="0.3">
      <c r="A3540" t="s">
        <v>1239</v>
      </c>
      <c r="B3540" t="s">
        <v>1260</v>
      </c>
      <c r="C3540" t="s">
        <v>26</v>
      </c>
      <c r="D3540" s="68">
        <v>472</v>
      </c>
      <c r="E3540" s="68"/>
      <c r="F3540" s="68">
        <v>5833</v>
      </c>
      <c r="G3540" s="68">
        <v>6305</v>
      </c>
      <c r="H35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41" spans="1:8" hidden="1" x14ac:dyDescent="0.3">
      <c r="A3541" t="s">
        <v>1239</v>
      </c>
      <c r="B3541" t="s">
        <v>1260</v>
      </c>
      <c r="C3541" t="s">
        <v>31</v>
      </c>
      <c r="D3541" s="68">
        <v>158</v>
      </c>
      <c r="E3541" s="68"/>
      <c r="F3541" s="68">
        <v>2746</v>
      </c>
      <c r="G3541" s="68">
        <v>2904</v>
      </c>
      <c r="H35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42" spans="1:8" hidden="1" x14ac:dyDescent="0.3">
      <c r="A3542" t="s">
        <v>1239</v>
      </c>
      <c r="B3542" t="s">
        <v>1260</v>
      </c>
      <c r="C3542" t="s">
        <v>27</v>
      </c>
      <c r="D3542" s="68"/>
      <c r="E3542" s="68">
        <v>189</v>
      </c>
      <c r="F3542" s="68"/>
      <c r="G3542" s="68">
        <v>189</v>
      </c>
      <c r="H35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43" spans="1:8" hidden="1" x14ac:dyDescent="0.3">
      <c r="A3543" t="s">
        <v>1239</v>
      </c>
      <c r="B3543" t="s">
        <v>1260</v>
      </c>
      <c r="C3543" t="s">
        <v>30</v>
      </c>
      <c r="D3543" s="68">
        <v>7</v>
      </c>
      <c r="E3543" s="68"/>
      <c r="F3543" s="68">
        <v>110</v>
      </c>
      <c r="G3543" s="68">
        <v>117</v>
      </c>
      <c r="H35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44" spans="1:8" hidden="1" x14ac:dyDescent="0.3">
      <c r="A3544" t="s">
        <v>1239</v>
      </c>
      <c r="B3544" t="s">
        <v>1261</v>
      </c>
      <c r="C3544" t="s">
        <v>588</v>
      </c>
      <c r="D3544" s="68">
        <v>2005</v>
      </c>
      <c r="E3544" s="68"/>
      <c r="F3544" s="68">
        <v>15465</v>
      </c>
      <c r="G3544" s="68">
        <v>17470</v>
      </c>
      <c r="H35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45" spans="1:8" hidden="1" x14ac:dyDescent="0.3">
      <c r="A3545" t="s">
        <v>1239</v>
      </c>
      <c r="B3545" t="s">
        <v>1261</v>
      </c>
      <c r="C3545" t="s">
        <v>31</v>
      </c>
      <c r="D3545" s="68">
        <v>201</v>
      </c>
      <c r="E3545" s="68"/>
      <c r="F3545" s="68">
        <v>2694</v>
      </c>
      <c r="G3545" s="68">
        <v>2895</v>
      </c>
      <c r="H35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46" spans="1:8" hidden="1" x14ac:dyDescent="0.3">
      <c r="A3546" t="s">
        <v>1239</v>
      </c>
      <c r="B3546" t="s">
        <v>1261</v>
      </c>
      <c r="C3546" t="s">
        <v>26</v>
      </c>
      <c r="D3546" s="68">
        <v>201</v>
      </c>
      <c r="E3546" s="68"/>
      <c r="F3546" s="68">
        <v>775</v>
      </c>
      <c r="G3546" s="68">
        <v>976</v>
      </c>
      <c r="H35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47" spans="1:8" hidden="1" x14ac:dyDescent="0.3">
      <c r="A3547" t="s">
        <v>1239</v>
      </c>
      <c r="B3547" t="s">
        <v>1261</v>
      </c>
      <c r="C3547" t="s">
        <v>27</v>
      </c>
      <c r="D3547" s="68"/>
      <c r="E3547" s="68">
        <v>966</v>
      </c>
      <c r="F3547" s="68"/>
      <c r="G3547" s="68">
        <v>966</v>
      </c>
      <c r="H35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48" spans="1:8" hidden="1" x14ac:dyDescent="0.3">
      <c r="A3548" t="s">
        <v>1239</v>
      </c>
      <c r="B3548" t="s">
        <v>1261</v>
      </c>
      <c r="C3548" t="s">
        <v>30</v>
      </c>
      <c r="D3548" s="68">
        <v>26</v>
      </c>
      <c r="E3548" s="68"/>
      <c r="F3548" s="68">
        <v>643</v>
      </c>
      <c r="G3548" s="68">
        <v>669</v>
      </c>
      <c r="H35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49" spans="1:8" hidden="1" x14ac:dyDescent="0.3">
      <c r="A3549" t="s">
        <v>1239</v>
      </c>
      <c r="B3549" t="s">
        <v>1261</v>
      </c>
      <c r="C3549" t="s">
        <v>537</v>
      </c>
      <c r="D3549" s="68"/>
      <c r="E3549" s="68"/>
      <c r="F3549" s="68">
        <v>1</v>
      </c>
      <c r="G3549" s="68">
        <v>1</v>
      </c>
      <c r="H35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50" spans="1:8" hidden="1" x14ac:dyDescent="0.3">
      <c r="A3550" t="s">
        <v>1239</v>
      </c>
      <c r="B3550" t="s">
        <v>1261</v>
      </c>
      <c r="C3550" t="s">
        <v>32</v>
      </c>
      <c r="D3550" s="68">
        <v>1</v>
      </c>
      <c r="E3550" s="68"/>
      <c r="F3550" s="68"/>
      <c r="G3550" s="68">
        <v>1</v>
      </c>
      <c r="H35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51" spans="1:8" hidden="1" x14ac:dyDescent="0.3">
      <c r="A3551" t="s">
        <v>1239</v>
      </c>
      <c r="B3551" t="s">
        <v>1262</v>
      </c>
      <c r="C3551" t="s">
        <v>31</v>
      </c>
      <c r="D3551" s="68">
        <v>637</v>
      </c>
      <c r="E3551" s="68"/>
      <c r="F3551" s="68">
        <v>8059</v>
      </c>
      <c r="G3551" s="68">
        <v>8696</v>
      </c>
      <c r="H35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52" spans="1:8" hidden="1" x14ac:dyDescent="0.3">
      <c r="A3552" t="s">
        <v>1239</v>
      </c>
      <c r="B3552" t="s">
        <v>1262</v>
      </c>
      <c r="C3552" t="s">
        <v>30</v>
      </c>
      <c r="D3552" s="68">
        <v>28</v>
      </c>
      <c r="E3552" s="68"/>
      <c r="F3552" s="68">
        <v>929</v>
      </c>
      <c r="G3552" s="68">
        <v>957</v>
      </c>
      <c r="H35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53" spans="1:8" hidden="1" x14ac:dyDescent="0.3">
      <c r="A3553" t="s">
        <v>1239</v>
      </c>
      <c r="B3553" t="s">
        <v>1262</v>
      </c>
      <c r="C3553" t="s">
        <v>26</v>
      </c>
      <c r="D3553" s="68">
        <v>70</v>
      </c>
      <c r="E3553" s="68"/>
      <c r="F3553" s="68">
        <v>257</v>
      </c>
      <c r="G3553" s="68">
        <v>327</v>
      </c>
      <c r="H35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54" spans="1:8" hidden="1" x14ac:dyDescent="0.3">
      <c r="A3554" t="s">
        <v>1239</v>
      </c>
      <c r="B3554" t="s">
        <v>1262</v>
      </c>
      <c r="C3554" t="s">
        <v>27</v>
      </c>
      <c r="D3554" s="68"/>
      <c r="E3554" s="68">
        <v>105</v>
      </c>
      <c r="F3554" s="68"/>
      <c r="G3554" s="68">
        <v>105</v>
      </c>
      <c r="H35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55" spans="1:8" hidden="1" x14ac:dyDescent="0.3">
      <c r="A3555" t="s">
        <v>1239</v>
      </c>
      <c r="B3555" t="s">
        <v>1262</v>
      </c>
      <c r="C3555" t="s">
        <v>5</v>
      </c>
      <c r="D3555" s="68">
        <v>6</v>
      </c>
      <c r="E3555" s="68"/>
      <c r="F3555" s="68">
        <v>1</v>
      </c>
      <c r="G3555" s="68">
        <v>7</v>
      </c>
      <c r="H35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56" spans="1:8" hidden="1" x14ac:dyDescent="0.3">
      <c r="A3556" t="s">
        <v>1239</v>
      </c>
      <c r="B3556" t="s">
        <v>1263</v>
      </c>
      <c r="C3556" t="s">
        <v>36</v>
      </c>
      <c r="D3556" s="68">
        <v>85956</v>
      </c>
      <c r="E3556" s="68"/>
      <c r="F3556" s="68">
        <v>38455</v>
      </c>
      <c r="G3556" s="68">
        <v>124411</v>
      </c>
      <c r="H35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57" spans="1:8" hidden="1" x14ac:dyDescent="0.3">
      <c r="A3557" t="s">
        <v>1239</v>
      </c>
      <c r="B3557" t="s">
        <v>1263</v>
      </c>
      <c r="C3557" t="s">
        <v>26</v>
      </c>
      <c r="D3557" s="68">
        <v>37598</v>
      </c>
      <c r="E3557" s="68"/>
      <c r="F3557" s="68">
        <v>77318</v>
      </c>
      <c r="G3557" s="68">
        <v>114916</v>
      </c>
      <c r="H35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58" spans="1:8" hidden="1" x14ac:dyDescent="0.3">
      <c r="A3558" t="s">
        <v>1239</v>
      </c>
      <c r="B3558" t="s">
        <v>1263</v>
      </c>
      <c r="C3558" t="s">
        <v>5</v>
      </c>
      <c r="D3558" s="68">
        <v>83941</v>
      </c>
      <c r="E3558" s="68"/>
      <c r="F3558" s="68">
        <v>17990</v>
      </c>
      <c r="G3558" s="68">
        <v>101931</v>
      </c>
      <c r="H35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59" spans="1:8" hidden="1" x14ac:dyDescent="0.3">
      <c r="A3559" t="s">
        <v>1239</v>
      </c>
      <c r="B3559" t="s">
        <v>1263</v>
      </c>
      <c r="C3559" t="s">
        <v>31</v>
      </c>
      <c r="D3559" s="68">
        <v>9092</v>
      </c>
      <c r="E3559" s="68"/>
      <c r="F3559" s="68">
        <v>83085</v>
      </c>
      <c r="G3559" s="68">
        <v>92177</v>
      </c>
      <c r="H35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60" spans="1:8" hidden="1" x14ac:dyDescent="0.3">
      <c r="A3560" t="s">
        <v>1239</v>
      </c>
      <c r="B3560" t="s">
        <v>1263</v>
      </c>
      <c r="C3560" t="s">
        <v>588</v>
      </c>
      <c r="D3560" s="68">
        <v>13975</v>
      </c>
      <c r="E3560" s="68"/>
      <c r="F3560" s="68">
        <v>64774</v>
      </c>
      <c r="G3560" s="68">
        <v>78749</v>
      </c>
      <c r="H35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61" spans="1:8" hidden="1" x14ac:dyDescent="0.3">
      <c r="A3561" t="s">
        <v>1239</v>
      </c>
      <c r="B3561" t="s">
        <v>1263</v>
      </c>
      <c r="C3561" t="s">
        <v>30</v>
      </c>
      <c r="D3561" s="68">
        <v>2431</v>
      </c>
      <c r="E3561" s="68"/>
      <c r="F3561" s="68">
        <v>36383</v>
      </c>
      <c r="G3561" s="68">
        <v>38814</v>
      </c>
      <c r="H35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62" spans="1:8" hidden="1" x14ac:dyDescent="0.3">
      <c r="A3562" t="s">
        <v>1239</v>
      </c>
      <c r="B3562" t="s">
        <v>1263</v>
      </c>
      <c r="C3562" t="s">
        <v>37</v>
      </c>
      <c r="D3562" s="68">
        <v>7537</v>
      </c>
      <c r="E3562" s="68"/>
      <c r="F3562" s="68">
        <v>8115</v>
      </c>
      <c r="G3562" s="68">
        <v>15652</v>
      </c>
      <c r="H35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63" spans="1:8" hidden="1" x14ac:dyDescent="0.3">
      <c r="A3563" t="s">
        <v>1239</v>
      </c>
      <c r="B3563" t="s">
        <v>1263</v>
      </c>
      <c r="C3563" t="s">
        <v>27</v>
      </c>
      <c r="D3563" s="68"/>
      <c r="E3563" s="68">
        <v>15139</v>
      </c>
      <c r="F3563" s="68"/>
      <c r="G3563" s="68">
        <v>15139</v>
      </c>
      <c r="H35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64" spans="1:8" hidden="1" x14ac:dyDescent="0.3">
      <c r="A3564" t="s">
        <v>1239</v>
      </c>
      <c r="B3564" t="s">
        <v>1263</v>
      </c>
      <c r="C3564" t="s">
        <v>34</v>
      </c>
      <c r="D3564" s="68">
        <v>7402</v>
      </c>
      <c r="E3564" s="68"/>
      <c r="F3564" s="68">
        <v>4862</v>
      </c>
      <c r="G3564" s="68">
        <v>12264</v>
      </c>
      <c r="H35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65" spans="1:8" hidden="1" x14ac:dyDescent="0.3">
      <c r="A3565" t="s">
        <v>1239</v>
      </c>
      <c r="B3565" t="s">
        <v>1263</v>
      </c>
      <c r="C3565" t="s">
        <v>537</v>
      </c>
      <c r="D3565" s="68">
        <v>177</v>
      </c>
      <c r="E3565" s="68"/>
      <c r="F3565" s="68">
        <v>6143</v>
      </c>
      <c r="G3565" s="68">
        <v>6320</v>
      </c>
      <c r="H35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66" spans="1:8" hidden="1" x14ac:dyDescent="0.3">
      <c r="A3566" t="s">
        <v>1239</v>
      </c>
      <c r="B3566" t="s">
        <v>1263</v>
      </c>
      <c r="C3566" t="s">
        <v>35</v>
      </c>
      <c r="D3566" s="68">
        <v>3314</v>
      </c>
      <c r="E3566" s="68"/>
      <c r="F3566" s="68"/>
      <c r="G3566" s="68">
        <v>3314</v>
      </c>
      <c r="H35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67" spans="1:8" hidden="1" x14ac:dyDescent="0.3">
      <c r="A3567" t="s">
        <v>1239</v>
      </c>
      <c r="B3567" t="s">
        <v>1263</v>
      </c>
      <c r="C3567" t="s">
        <v>32</v>
      </c>
      <c r="D3567" s="68">
        <v>42</v>
      </c>
      <c r="E3567" s="68"/>
      <c r="F3567" s="68">
        <v>3072</v>
      </c>
      <c r="G3567" s="68">
        <v>3114</v>
      </c>
      <c r="H35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68" spans="1:8" hidden="1" x14ac:dyDescent="0.3">
      <c r="A3568" t="s">
        <v>1239</v>
      </c>
      <c r="B3568" t="s">
        <v>1263</v>
      </c>
      <c r="C3568" t="s">
        <v>691</v>
      </c>
      <c r="D3568" s="68">
        <v>2</v>
      </c>
      <c r="E3568" s="68"/>
      <c r="F3568" s="68"/>
      <c r="G3568" s="68">
        <v>2</v>
      </c>
      <c r="H35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69" spans="1:8" hidden="1" x14ac:dyDescent="0.3">
      <c r="A3569" t="s">
        <v>1239</v>
      </c>
      <c r="B3569" t="s">
        <v>1264</v>
      </c>
      <c r="C3569" t="s">
        <v>31</v>
      </c>
      <c r="D3569" s="68">
        <v>276</v>
      </c>
      <c r="E3569" s="68"/>
      <c r="F3569" s="68">
        <v>6769</v>
      </c>
      <c r="G3569" s="68">
        <v>7045</v>
      </c>
      <c r="H35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70" spans="1:8" hidden="1" x14ac:dyDescent="0.3">
      <c r="A3570" t="s">
        <v>1239</v>
      </c>
      <c r="B3570" t="s">
        <v>1264</v>
      </c>
      <c r="C3570" t="s">
        <v>30</v>
      </c>
      <c r="D3570" s="68">
        <v>77</v>
      </c>
      <c r="E3570" s="68"/>
      <c r="F3570" s="68">
        <v>5719</v>
      </c>
      <c r="G3570" s="68">
        <v>5796</v>
      </c>
      <c r="H35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71" spans="1:8" hidden="1" x14ac:dyDescent="0.3">
      <c r="A3571" t="s">
        <v>1239</v>
      </c>
      <c r="B3571" t="s">
        <v>1264</v>
      </c>
      <c r="C3571" t="s">
        <v>26</v>
      </c>
      <c r="D3571" s="68">
        <v>536</v>
      </c>
      <c r="E3571" s="68"/>
      <c r="F3571" s="68">
        <v>4948</v>
      </c>
      <c r="G3571" s="68">
        <v>5484</v>
      </c>
      <c r="H35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72" spans="1:8" hidden="1" x14ac:dyDescent="0.3">
      <c r="A3572" t="s">
        <v>1239</v>
      </c>
      <c r="B3572" t="s">
        <v>1264</v>
      </c>
      <c r="C3572" t="s">
        <v>27</v>
      </c>
      <c r="D3572" s="68"/>
      <c r="E3572" s="68">
        <v>131</v>
      </c>
      <c r="F3572" s="68"/>
      <c r="G3572" s="68">
        <v>131</v>
      </c>
      <c r="H35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73" spans="1:8" hidden="1" x14ac:dyDescent="0.3">
      <c r="A3573" t="s">
        <v>1239</v>
      </c>
      <c r="B3573" t="s">
        <v>1264</v>
      </c>
      <c r="C3573" t="s">
        <v>36</v>
      </c>
      <c r="D3573" s="68">
        <v>1</v>
      </c>
      <c r="E3573" s="68"/>
      <c r="F3573" s="68"/>
      <c r="G3573" s="68">
        <v>1</v>
      </c>
      <c r="H35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74" spans="1:8" hidden="1" x14ac:dyDescent="0.3">
      <c r="A3574" t="s">
        <v>1239</v>
      </c>
      <c r="B3574" t="s">
        <v>1265</v>
      </c>
      <c r="C3574" t="s">
        <v>31</v>
      </c>
      <c r="D3574" s="68">
        <v>273</v>
      </c>
      <c r="E3574" s="68"/>
      <c r="F3574" s="68">
        <v>7795</v>
      </c>
      <c r="G3574" s="68">
        <v>8068</v>
      </c>
      <c r="H35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75" spans="1:8" hidden="1" x14ac:dyDescent="0.3">
      <c r="A3575" t="s">
        <v>1239</v>
      </c>
      <c r="B3575" t="s">
        <v>1265</v>
      </c>
      <c r="C3575" t="s">
        <v>588</v>
      </c>
      <c r="D3575" s="68">
        <v>166</v>
      </c>
      <c r="E3575" s="68"/>
      <c r="F3575" s="68">
        <v>1819</v>
      </c>
      <c r="G3575" s="68">
        <v>1985</v>
      </c>
      <c r="H35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76" spans="1:8" hidden="1" x14ac:dyDescent="0.3">
      <c r="A3576" t="s">
        <v>1239</v>
      </c>
      <c r="B3576" t="s">
        <v>1265</v>
      </c>
      <c r="C3576" t="s">
        <v>26</v>
      </c>
      <c r="D3576" s="68">
        <v>274</v>
      </c>
      <c r="E3576" s="68"/>
      <c r="F3576" s="68">
        <v>1383</v>
      </c>
      <c r="G3576" s="68">
        <v>1657</v>
      </c>
      <c r="H35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77" spans="1:8" hidden="1" x14ac:dyDescent="0.3">
      <c r="A3577" t="s">
        <v>1239</v>
      </c>
      <c r="B3577" t="s">
        <v>1265</v>
      </c>
      <c r="C3577" t="s">
        <v>27</v>
      </c>
      <c r="D3577" s="68"/>
      <c r="E3577" s="68">
        <v>283</v>
      </c>
      <c r="F3577" s="68"/>
      <c r="G3577" s="68">
        <v>283</v>
      </c>
      <c r="H35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78" spans="1:8" hidden="1" x14ac:dyDescent="0.3">
      <c r="A3578" t="s">
        <v>1239</v>
      </c>
      <c r="B3578" t="s">
        <v>1265</v>
      </c>
      <c r="C3578" t="s">
        <v>5</v>
      </c>
      <c r="D3578" s="68">
        <v>5</v>
      </c>
      <c r="E3578" s="68"/>
      <c r="F3578" s="68">
        <v>3</v>
      </c>
      <c r="G3578" s="68">
        <v>8</v>
      </c>
      <c r="H35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79" spans="1:8" hidden="1" x14ac:dyDescent="0.3">
      <c r="A3579" t="s">
        <v>1239</v>
      </c>
      <c r="B3579" t="s">
        <v>1266</v>
      </c>
      <c r="C3579" t="s">
        <v>31</v>
      </c>
      <c r="D3579" s="68">
        <v>217</v>
      </c>
      <c r="E3579" s="68"/>
      <c r="F3579" s="68">
        <v>6912</v>
      </c>
      <c r="G3579" s="68">
        <v>7129</v>
      </c>
      <c r="H35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80" spans="1:8" hidden="1" x14ac:dyDescent="0.3">
      <c r="A3580" t="s">
        <v>1239</v>
      </c>
      <c r="B3580" t="s">
        <v>1266</v>
      </c>
      <c r="C3580" t="s">
        <v>26</v>
      </c>
      <c r="D3580" s="68">
        <v>116</v>
      </c>
      <c r="E3580" s="68"/>
      <c r="F3580" s="68">
        <v>1265</v>
      </c>
      <c r="G3580" s="68">
        <v>1381</v>
      </c>
      <c r="H35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81" spans="1:8" hidden="1" x14ac:dyDescent="0.3">
      <c r="A3581" t="s">
        <v>1239</v>
      </c>
      <c r="B3581" t="s">
        <v>1266</v>
      </c>
      <c r="C3581" t="s">
        <v>27</v>
      </c>
      <c r="D3581" s="68"/>
      <c r="E3581" s="68">
        <v>15</v>
      </c>
      <c r="F3581" s="68"/>
      <c r="G3581" s="68">
        <v>15</v>
      </c>
      <c r="H35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82" spans="1:8" hidden="1" x14ac:dyDescent="0.3">
      <c r="A3582" t="s">
        <v>1239</v>
      </c>
      <c r="B3582" t="s">
        <v>1267</v>
      </c>
      <c r="C3582" t="s">
        <v>36</v>
      </c>
      <c r="D3582" s="68">
        <v>20619</v>
      </c>
      <c r="E3582" s="68"/>
      <c r="F3582" s="68">
        <v>10392</v>
      </c>
      <c r="G3582" s="68">
        <v>31011</v>
      </c>
      <c r="H35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83" spans="1:8" hidden="1" x14ac:dyDescent="0.3">
      <c r="A3583" t="s">
        <v>1239</v>
      </c>
      <c r="B3583" t="s">
        <v>1267</v>
      </c>
      <c r="C3583" t="s">
        <v>31</v>
      </c>
      <c r="D3583" s="68">
        <v>896</v>
      </c>
      <c r="E3583" s="68"/>
      <c r="F3583" s="68">
        <v>13253</v>
      </c>
      <c r="G3583" s="68">
        <v>14149</v>
      </c>
      <c r="H35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84" spans="1:8" hidden="1" x14ac:dyDescent="0.3">
      <c r="A3584" t="s">
        <v>1239</v>
      </c>
      <c r="B3584" t="s">
        <v>1267</v>
      </c>
      <c r="C3584" t="s">
        <v>26</v>
      </c>
      <c r="D3584" s="68">
        <v>3607</v>
      </c>
      <c r="E3584" s="68"/>
      <c r="F3584" s="68">
        <v>9875</v>
      </c>
      <c r="G3584" s="68">
        <v>13482</v>
      </c>
      <c r="H35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85" spans="1:8" hidden="1" x14ac:dyDescent="0.3">
      <c r="A3585" t="s">
        <v>1239</v>
      </c>
      <c r="B3585" t="s">
        <v>1267</v>
      </c>
      <c r="C3585" t="s">
        <v>30</v>
      </c>
      <c r="D3585" s="68">
        <v>263</v>
      </c>
      <c r="E3585" s="68"/>
      <c r="F3585" s="68">
        <v>5557</v>
      </c>
      <c r="G3585" s="68">
        <v>5820</v>
      </c>
      <c r="H35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86" spans="1:8" hidden="1" x14ac:dyDescent="0.3">
      <c r="A3586" t="s">
        <v>1239</v>
      </c>
      <c r="B3586" t="s">
        <v>1267</v>
      </c>
      <c r="C3586" t="s">
        <v>27</v>
      </c>
      <c r="D3586" s="68"/>
      <c r="E3586" s="68">
        <v>407</v>
      </c>
      <c r="F3586" s="68"/>
      <c r="G3586" s="68">
        <v>407</v>
      </c>
      <c r="H35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87" spans="1:8" hidden="1" x14ac:dyDescent="0.3">
      <c r="A3587" t="s">
        <v>1268</v>
      </c>
      <c r="B3587" t="s">
        <v>1269</v>
      </c>
      <c r="C3587" t="s">
        <v>26</v>
      </c>
      <c r="D3587" s="68">
        <v>9218</v>
      </c>
      <c r="E3587" s="68"/>
      <c r="F3587" s="68">
        <v>13536</v>
      </c>
      <c r="G3587" s="68">
        <v>22754</v>
      </c>
      <c r="H35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88" spans="1:8" hidden="1" x14ac:dyDescent="0.3">
      <c r="A3588" t="s">
        <v>1268</v>
      </c>
      <c r="B3588" t="s">
        <v>1269</v>
      </c>
      <c r="C3588" t="s">
        <v>5</v>
      </c>
      <c r="D3588" s="68">
        <v>17814</v>
      </c>
      <c r="E3588" s="68"/>
      <c r="F3588" s="68">
        <v>4648</v>
      </c>
      <c r="G3588" s="68">
        <v>22462</v>
      </c>
      <c r="H35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89" spans="1:8" hidden="1" x14ac:dyDescent="0.3">
      <c r="A3589" t="s">
        <v>1268</v>
      </c>
      <c r="B3589" t="s">
        <v>1269</v>
      </c>
      <c r="C3589" t="s">
        <v>587</v>
      </c>
      <c r="D3589" s="68">
        <v>2410</v>
      </c>
      <c r="E3589" s="68"/>
      <c r="F3589" s="68">
        <v>17231</v>
      </c>
      <c r="G3589" s="68">
        <v>19641</v>
      </c>
      <c r="H35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90" spans="1:8" hidden="1" x14ac:dyDescent="0.3">
      <c r="A3590" t="s">
        <v>1268</v>
      </c>
      <c r="B3590" t="s">
        <v>1269</v>
      </c>
      <c r="C3590" t="s">
        <v>36</v>
      </c>
      <c r="D3590" s="68">
        <v>12176</v>
      </c>
      <c r="E3590" s="68"/>
      <c r="F3590" s="68">
        <v>5648</v>
      </c>
      <c r="G3590" s="68">
        <v>17824</v>
      </c>
      <c r="H35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91" spans="1:8" hidden="1" x14ac:dyDescent="0.3">
      <c r="A3591" t="s">
        <v>1268</v>
      </c>
      <c r="B3591" t="s">
        <v>1269</v>
      </c>
      <c r="C3591" t="s">
        <v>37</v>
      </c>
      <c r="D3591" s="68">
        <v>5276</v>
      </c>
      <c r="E3591" s="68"/>
      <c r="F3591" s="68">
        <v>3692</v>
      </c>
      <c r="G3591" s="68">
        <v>8968</v>
      </c>
      <c r="H35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92" spans="1:8" hidden="1" x14ac:dyDescent="0.3">
      <c r="A3592" t="s">
        <v>1268</v>
      </c>
      <c r="B3592" t="s">
        <v>1269</v>
      </c>
      <c r="C3592" t="s">
        <v>27</v>
      </c>
      <c r="D3592" s="68"/>
      <c r="E3592" s="68">
        <v>2349</v>
      </c>
      <c r="F3592" s="68"/>
      <c r="G3592" s="68">
        <v>2349</v>
      </c>
      <c r="H35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93" spans="1:8" hidden="1" x14ac:dyDescent="0.3">
      <c r="A3593" t="s">
        <v>1268</v>
      </c>
      <c r="B3593" t="s">
        <v>1269</v>
      </c>
      <c r="C3593" t="s">
        <v>30</v>
      </c>
      <c r="D3593" s="68">
        <v>183</v>
      </c>
      <c r="E3593" s="68"/>
      <c r="F3593" s="68">
        <v>1028</v>
      </c>
      <c r="G3593" s="68">
        <v>1211</v>
      </c>
      <c r="H35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94" spans="1:8" hidden="1" x14ac:dyDescent="0.3">
      <c r="A3594" t="s">
        <v>1268</v>
      </c>
      <c r="B3594" t="s">
        <v>1270</v>
      </c>
      <c r="C3594" t="s">
        <v>587</v>
      </c>
      <c r="D3594" s="68">
        <v>561</v>
      </c>
      <c r="E3594" s="68"/>
      <c r="F3594" s="68">
        <v>2784</v>
      </c>
      <c r="G3594" s="68">
        <v>3345</v>
      </c>
      <c r="H35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95" spans="1:8" hidden="1" x14ac:dyDescent="0.3">
      <c r="A3595" t="s">
        <v>1268</v>
      </c>
      <c r="B3595" t="s">
        <v>1270</v>
      </c>
      <c r="C3595" t="s">
        <v>26</v>
      </c>
      <c r="D3595" s="68">
        <v>1259</v>
      </c>
      <c r="E3595" s="68"/>
      <c r="F3595" s="68">
        <v>733</v>
      </c>
      <c r="G3595" s="68">
        <v>1992</v>
      </c>
      <c r="H35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596" spans="1:8" hidden="1" x14ac:dyDescent="0.3">
      <c r="A3596" t="s">
        <v>1268</v>
      </c>
      <c r="B3596" t="s">
        <v>1270</v>
      </c>
      <c r="C3596" t="s">
        <v>36</v>
      </c>
      <c r="D3596" s="68">
        <v>600</v>
      </c>
      <c r="E3596" s="68"/>
      <c r="F3596" s="68">
        <v>240</v>
      </c>
      <c r="G3596" s="68">
        <v>840</v>
      </c>
      <c r="H35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97" spans="1:8" hidden="1" x14ac:dyDescent="0.3">
      <c r="A3597" t="s">
        <v>1268</v>
      </c>
      <c r="B3597" t="s">
        <v>1270</v>
      </c>
      <c r="C3597" t="s">
        <v>27</v>
      </c>
      <c r="D3597" s="68"/>
      <c r="E3597" s="68">
        <v>127</v>
      </c>
      <c r="F3597" s="68"/>
      <c r="G3597" s="68">
        <v>127</v>
      </c>
      <c r="H35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98" spans="1:8" hidden="1" x14ac:dyDescent="0.3">
      <c r="A3598" t="s">
        <v>1268</v>
      </c>
      <c r="B3598" t="s">
        <v>1271</v>
      </c>
      <c r="C3598" t="s">
        <v>587</v>
      </c>
      <c r="D3598" s="68">
        <v>623</v>
      </c>
      <c r="E3598" s="68"/>
      <c r="F3598" s="68">
        <v>2433</v>
      </c>
      <c r="G3598" s="68">
        <v>3056</v>
      </c>
      <c r="H35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99" spans="1:8" hidden="1" x14ac:dyDescent="0.3">
      <c r="A3599" t="s">
        <v>1268</v>
      </c>
      <c r="B3599" t="s">
        <v>1271</v>
      </c>
      <c r="C3599" t="s">
        <v>26</v>
      </c>
      <c r="D3599" s="68">
        <v>1520</v>
      </c>
      <c r="E3599" s="68"/>
      <c r="F3599" s="68">
        <v>1372</v>
      </c>
      <c r="G3599" s="68">
        <v>2892</v>
      </c>
      <c r="H35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00" spans="1:8" hidden="1" x14ac:dyDescent="0.3">
      <c r="A3600" t="s">
        <v>1268</v>
      </c>
      <c r="B3600" t="s">
        <v>1271</v>
      </c>
      <c r="C3600" t="s">
        <v>36</v>
      </c>
      <c r="D3600" s="68">
        <v>493</v>
      </c>
      <c r="E3600" s="68"/>
      <c r="F3600" s="68">
        <v>206</v>
      </c>
      <c r="G3600" s="68">
        <v>699</v>
      </c>
      <c r="H36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01" spans="1:8" hidden="1" x14ac:dyDescent="0.3">
      <c r="A3601" t="s">
        <v>1268</v>
      </c>
      <c r="B3601" t="s">
        <v>1271</v>
      </c>
      <c r="C3601" t="s">
        <v>27</v>
      </c>
      <c r="D3601" s="68"/>
      <c r="E3601" s="68">
        <v>82</v>
      </c>
      <c r="F3601" s="68"/>
      <c r="G3601" s="68">
        <v>82</v>
      </c>
      <c r="H36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02" spans="1:8" hidden="1" x14ac:dyDescent="0.3">
      <c r="A3602" t="s">
        <v>1268</v>
      </c>
      <c r="B3602" t="s">
        <v>1271</v>
      </c>
      <c r="C3602" t="s">
        <v>1077</v>
      </c>
      <c r="D3602" s="68">
        <v>1</v>
      </c>
      <c r="E3602" s="68"/>
      <c r="F3602" s="68"/>
      <c r="G3602" s="68">
        <v>1</v>
      </c>
      <c r="H36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03" spans="1:8" hidden="1" x14ac:dyDescent="0.3">
      <c r="A3603" t="s">
        <v>1268</v>
      </c>
      <c r="B3603" t="s">
        <v>1272</v>
      </c>
      <c r="C3603" t="s">
        <v>587</v>
      </c>
      <c r="D3603" s="68">
        <v>1204</v>
      </c>
      <c r="E3603" s="68"/>
      <c r="F3603" s="68">
        <v>3974</v>
      </c>
      <c r="G3603" s="68">
        <v>5178</v>
      </c>
      <c r="H36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04" spans="1:8" hidden="1" x14ac:dyDescent="0.3">
      <c r="A3604" t="s">
        <v>1268</v>
      </c>
      <c r="B3604" t="s">
        <v>1272</v>
      </c>
      <c r="C3604" t="s">
        <v>26</v>
      </c>
      <c r="D3604" s="68">
        <v>2163</v>
      </c>
      <c r="E3604" s="68"/>
      <c r="F3604" s="68">
        <v>2048</v>
      </c>
      <c r="G3604" s="68">
        <v>4211</v>
      </c>
      <c r="H36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05" spans="1:8" hidden="1" x14ac:dyDescent="0.3">
      <c r="A3605" t="s">
        <v>1268</v>
      </c>
      <c r="B3605" t="s">
        <v>1272</v>
      </c>
      <c r="C3605" t="s">
        <v>36</v>
      </c>
      <c r="D3605" s="68">
        <v>2531</v>
      </c>
      <c r="E3605" s="68"/>
      <c r="F3605" s="68">
        <v>814</v>
      </c>
      <c r="G3605" s="68">
        <v>3345</v>
      </c>
      <c r="H36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06" spans="1:8" hidden="1" x14ac:dyDescent="0.3">
      <c r="A3606" t="s">
        <v>1268</v>
      </c>
      <c r="B3606" t="s">
        <v>1272</v>
      </c>
      <c r="C3606" t="s">
        <v>30</v>
      </c>
      <c r="D3606" s="68">
        <v>165</v>
      </c>
      <c r="E3606" s="68"/>
      <c r="F3606" s="68">
        <v>782</v>
      </c>
      <c r="G3606" s="68">
        <v>947</v>
      </c>
      <c r="H36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07" spans="1:8" hidden="1" x14ac:dyDescent="0.3">
      <c r="A3607" t="s">
        <v>1268</v>
      </c>
      <c r="B3607" t="s">
        <v>1272</v>
      </c>
      <c r="C3607" t="s">
        <v>27</v>
      </c>
      <c r="D3607" s="68"/>
      <c r="E3607" s="68">
        <v>230</v>
      </c>
      <c r="F3607" s="68"/>
      <c r="G3607" s="68">
        <v>230</v>
      </c>
      <c r="H36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08" spans="1:8" hidden="1" x14ac:dyDescent="0.3">
      <c r="A3608" t="s">
        <v>1268</v>
      </c>
      <c r="B3608" t="s">
        <v>1272</v>
      </c>
      <c r="C3608" t="s">
        <v>5</v>
      </c>
      <c r="D3608" s="68">
        <v>46</v>
      </c>
      <c r="E3608" s="68"/>
      <c r="F3608" s="68">
        <v>4</v>
      </c>
      <c r="G3608" s="68">
        <v>50</v>
      </c>
      <c r="H36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09" spans="1:8" hidden="1" x14ac:dyDescent="0.3">
      <c r="A3609" t="s">
        <v>1268</v>
      </c>
      <c r="B3609" t="s">
        <v>1273</v>
      </c>
      <c r="C3609" t="s">
        <v>26</v>
      </c>
      <c r="D3609" s="68">
        <v>748</v>
      </c>
      <c r="E3609" s="68"/>
      <c r="F3609" s="68">
        <v>2373</v>
      </c>
      <c r="G3609" s="68">
        <v>3121</v>
      </c>
      <c r="H36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10" spans="1:8" hidden="1" x14ac:dyDescent="0.3">
      <c r="A3610" t="s">
        <v>1268</v>
      </c>
      <c r="B3610" t="s">
        <v>1273</v>
      </c>
      <c r="C3610" t="s">
        <v>30</v>
      </c>
      <c r="D3610" s="68">
        <v>72</v>
      </c>
      <c r="E3610" s="68"/>
      <c r="F3610" s="68">
        <v>1237</v>
      </c>
      <c r="G3610" s="68">
        <v>1309</v>
      </c>
      <c r="H36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11" spans="1:8" hidden="1" x14ac:dyDescent="0.3">
      <c r="A3611" t="s">
        <v>1268</v>
      </c>
      <c r="B3611" t="s">
        <v>1273</v>
      </c>
      <c r="C3611" t="s">
        <v>587</v>
      </c>
      <c r="D3611" s="68">
        <v>57</v>
      </c>
      <c r="E3611" s="68"/>
      <c r="F3611" s="68">
        <v>550</v>
      </c>
      <c r="G3611" s="68">
        <v>607</v>
      </c>
      <c r="H36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12" spans="1:8" hidden="1" x14ac:dyDescent="0.3">
      <c r="A3612" t="s">
        <v>1268</v>
      </c>
      <c r="B3612" t="s">
        <v>1273</v>
      </c>
      <c r="C3612" t="s">
        <v>5</v>
      </c>
      <c r="D3612" s="68">
        <v>101</v>
      </c>
      <c r="E3612" s="68"/>
      <c r="F3612" s="68">
        <v>43</v>
      </c>
      <c r="G3612" s="68">
        <v>144</v>
      </c>
      <c r="H36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13" spans="1:8" hidden="1" x14ac:dyDescent="0.3">
      <c r="A3613" t="s">
        <v>1268</v>
      </c>
      <c r="B3613" t="s">
        <v>1273</v>
      </c>
      <c r="C3613" t="s">
        <v>27</v>
      </c>
      <c r="D3613" s="68"/>
      <c r="E3613" s="68">
        <v>23</v>
      </c>
      <c r="F3613" s="68"/>
      <c r="G3613" s="68">
        <v>23</v>
      </c>
      <c r="H36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14" spans="1:8" hidden="1" x14ac:dyDescent="0.3">
      <c r="A3614" t="s">
        <v>1268</v>
      </c>
      <c r="B3614" t="s">
        <v>1274</v>
      </c>
      <c r="C3614" t="s">
        <v>26</v>
      </c>
      <c r="D3614" s="68">
        <v>4982</v>
      </c>
      <c r="E3614" s="68"/>
      <c r="F3614" s="68">
        <v>5348</v>
      </c>
      <c r="G3614" s="68">
        <v>10330</v>
      </c>
      <c r="H36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15" spans="1:8" hidden="1" x14ac:dyDescent="0.3">
      <c r="A3615" t="s">
        <v>1268</v>
      </c>
      <c r="B3615" t="s">
        <v>1274</v>
      </c>
      <c r="C3615" t="s">
        <v>30</v>
      </c>
      <c r="D3615" s="68">
        <v>595</v>
      </c>
      <c r="E3615" s="68"/>
      <c r="F3615" s="68">
        <v>5703</v>
      </c>
      <c r="G3615" s="68">
        <v>6298</v>
      </c>
      <c r="H36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16" spans="1:8" hidden="1" x14ac:dyDescent="0.3">
      <c r="A3616" t="s">
        <v>1268</v>
      </c>
      <c r="B3616" t="s">
        <v>1274</v>
      </c>
      <c r="C3616" t="s">
        <v>36</v>
      </c>
      <c r="D3616" s="68">
        <v>4638</v>
      </c>
      <c r="E3616" s="68"/>
      <c r="F3616" s="68">
        <v>1559</v>
      </c>
      <c r="G3616" s="68">
        <v>6197</v>
      </c>
      <c r="H36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17" spans="1:8" hidden="1" x14ac:dyDescent="0.3">
      <c r="A3617" t="s">
        <v>1268</v>
      </c>
      <c r="B3617" t="s">
        <v>1274</v>
      </c>
      <c r="C3617" t="s">
        <v>587</v>
      </c>
      <c r="D3617" s="68">
        <v>90</v>
      </c>
      <c r="E3617" s="68"/>
      <c r="F3617" s="68">
        <v>627</v>
      </c>
      <c r="G3617" s="68">
        <v>717</v>
      </c>
      <c r="H36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18" spans="1:8" hidden="1" x14ac:dyDescent="0.3">
      <c r="A3618" t="s">
        <v>1268</v>
      </c>
      <c r="B3618" t="s">
        <v>1274</v>
      </c>
      <c r="C3618" t="s">
        <v>27</v>
      </c>
      <c r="D3618" s="68"/>
      <c r="E3618" s="68">
        <v>255</v>
      </c>
      <c r="F3618" s="68"/>
      <c r="G3618" s="68">
        <v>255</v>
      </c>
      <c r="H36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19" spans="1:8" hidden="1" x14ac:dyDescent="0.3">
      <c r="A3619" t="s">
        <v>1268</v>
      </c>
      <c r="B3619" t="s">
        <v>1274</v>
      </c>
      <c r="C3619" t="s">
        <v>5</v>
      </c>
      <c r="D3619" s="68">
        <v>188</v>
      </c>
      <c r="E3619" s="68"/>
      <c r="F3619" s="68">
        <v>49</v>
      </c>
      <c r="G3619" s="68">
        <v>237</v>
      </c>
      <c r="H36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20" spans="1:8" hidden="1" x14ac:dyDescent="0.3">
      <c r="A3620" t="s">
        <v>1268</v>
      </c>
      <c r="B3620" t="s">
        <v>1275</v>
      </c>
      <c r="C3620" t="s">
        <v>30</v>
      </c>
      <c r="D3620" s="68">
        <v>25</v>
      </c>
      <c r="E3620" s="68"/>
      <c r="F3620" s="68">
        <v>628</v>
      </c>
      <c r="G3620" s="68">
        <v>653</v>
      </c>
      <c r="H36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21" spans="1:8" hidden="1" x14ac:dyDescent="0.3">
      <c r="A3621" t="s">
        <v>1268</v>
      </c>
      <c r="B3621" t="s">
        <v>1275</v>
      </c>
      <c r="C3621" t="s">
        <v>587</v>
      </c>
      <c r="D3621" s="68">
        <v>29</v>
      </c>
      <c r="E3621" s="68"/>
      <c r="F3621" s="68">
        <v>403</v>
      </c>
      <c r="G3621" s="68">
        <v>432</v>
      </c>
      <c r="H36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22" spans="1:8" hidden="1" x14ac:dyDescent="0.3">
      <c r="A3622" t="s">
        <v>1268</v>
      </c>
      <c r="B3622" t="s">
        <v>1275</v>
      </c>
      <c r="C3622" t="s">
        <v>36</v>
      </c>
      <c r="D3622" s="68">
        <v>64</v>
      </c>
      <c r="E3622" s="68"/>
      <c r="F3622" s="68">
        <v>11</v>
      </c>
      <c r="G3622" s="68">
        <v>75</v>
      </c>
      <c r="H36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23" spans="1:8" hidden="1" x14ac:dyDescent="0.3">
      <c r="A3623" t="s">
        <v>1268</v>
      </c>
      <c r="B3623" t="s">
        <v>1275</v>
      </c>
      <c r="C3623" t="s">
        <v>27</v>
      </c>
      <c r="D3623" s="68"/>
      <c r="E3623" s="68">
        <v>73</v>
      </c>
      <c r="F3623" s="68"/>
      <c r="G3623" s="68">
        <v>73</v>
      </c>
      <c r="H36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24" spans="1:8" hidden="1" x14ac:dyDescent="0.3">
      <c r="A3624" t="s">
        <v>1268</v>
      </c>
      <c r="B3624" t="s">
        <v>1275</v>
      </c>
      <c r="C3624" t="s">
        <v>26</v>
      </c>
      <c r="D3624" s="68">
        <v>22</v>
      </c>
      <c r="E3624" s="68"/>
      <c r="F3624" s="68">
        <v>13</v>
      </c>
      <c r="G3624" s="68">
        <v>35</v>
      </c>
      <c r="H36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25" spans="1:8" hidden="1" x14ac:dyDescent="0.3">
      <c r="A3625" t="s">
        <v>1268</v>
      </c>
      <c r="B3625" t="s">
        <v>1276</v>
      </c>
      <c r="C3625" t="s">
        <v>587</v>
      </c>
      <c r="D3625" s="68">
        <v>294</v>
      </c>
      <c r="E3625" s="68"/>
      <c r="F3625" s="68">
        <v>4846</v>
      </c>
      <c r="G3625" s="68">
        <v>5140</v>
      </c>
      <c r="H36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26" spans="1:8" hidden="1" x14ac:dyDescent="0.3">
      <c r="A3626" t="s">
        <v>1268</v>
      </c>
      <c r="B3626" t="s">
        <v>1276</v>
      </c>
      <c r="C3626" t="s">
        <v>26</v>
      </c>
      <c r="D3626" s="68">
        <v>196</v>
      </c>
      <c r="E3626" s="68"/>
      <c r="F3626" s="68">
        <v>1458</v>
      </c>
      <c r="G3626" s="68">
        <v>1654</v>
      </c>
      <c r="H36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27" spans="1:8" hidden="1" x14ac:dyDescent="0.3">
      <c r="A3627" t="s">
        <v>1268</v>
      </c>
      <c r="B3627" t="s">
        <v>1276</v>
      </c>
      <c r="C3627" t="s">
        <v>36</v>
      </c>
      <c r="D3627" s="68">
        <v>90</v>
      </c>
      <c r="E3627" s="68"/>
      <c r="F3627" s="68">
        <v>112</v>
      </c>
      <c r="G3627" s="68">
        <v>202</v>
      </c>
      <c r="H36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28" spans="1:8" hidden="1" x14ac:dyDescent="0.3">
      <c r="A3628" t="s">
        <v>1268</v>
      </c>
      <c r="B3628" t="s">
        <v>1276</v>
      </c>
      <c r="C3628" t="s">
        <v>27</v>
      </c>
      <c r="D3628" s="68"/>
      <c r="E3628" s="68">
        <v>58</v>
      </c>
      <c r="F3628" s="68"/>
      <c r="G3628" s="68">
        <v>58</v>
      </c>
      <c r="H36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29" spans="1:8" hidden="1" x14ac:dyDescent="0.3">
      <c r="A3629" t="s">
        <v>1268</v>
      </c>
      <c r="B3629" t="s">
        <v>1277</v>
      </c>
      <c r="C3629" t="s">
        <v>587</v>
      </c>
      <c r="D3629" s="68">
        <v>215</v>
      </c>
      <c r="E3629" s="68"/>
      <c r="F3629" s="68">
        <v>2918</v>
      </c>
      <c r="G3629" s="68">
        <v>3133</v>
      </c>
      <c r="H36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30" spans="1:8" hidden="1" x14ac:dyDescent="0.3">
      <c r="A3630" t="s">
        <v>1268</v>
      </c>
      <c r="B3630" t="s">
        <v>1277</v>
      </c>
      <c r="C3630" t="s">
        <v>26</v>
      </c>
      <c r="D3630" s="68">
        <v>165</v>
      </c>
      <c r="E3630" s="68"/>
      <c r="F3630" s="68">
        <v>502</v>
      </c>
      <c r="G3630" s="68">
        <v>667</v>
      </c>
      <c r="H36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31" spans="1:8" hidden="1" x14ac:dyDescent="0.3">
      <c r="A3631" t="s">
        <v>1268</v>
      </c>
      <c r="B3631" t="s">
        <v>1277</v>
      </c>
      <c r="C3631" t="s">
        <v>36</v>
      </c>
      <c r="D3631" s="68">
        <v>179</v>
      </c>
      <c r="E3631" s="68"/>
      <c r="F3631" s="68">
        <v>56</v>
      </c>
      <c r="G3631" s="68">
        <v>235</v>
      </c>
      <c r="H36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32" spans="1:8" hidden="1" x14ac:dyDescent="0.3">
      <c r="A3632" t="s">
        <v>1268</v>
      </c>
      <c r="B3632" t="s">
        <v>1277</v>
      </c>
      <c r="C3632" t="s">
        <v>27</v>
      </c>
      <c r="D3632" s="68"/>
      <c r="E3632" s="68">
        <v>36</v>
      </c>
      <c r="F3632" s="68"/>
      <c r="G3632" s="68">
        <v>36</v>
      </c>
      <c r="H36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33" spans="1:8" hidden="1" x14ac:dyDescent="0.3">
      <c r="A3633" t="s">
        <v>1268</v>
      </c>
      <c r="B3633" t="s">
        <v>1278</v>
      </c>
      <c r="C3633" t="s">
        <v>26</v>
      </c>
      <c r="D3633" s="68">
        <v>970</v>
      </c>
      <c r="E3633" s="68"/>
      <c r="F3633" s="68">
        <v>7628</v>
      </c>
      <c r="G3633" s="68">
        <v>8598</v>
      </c>
      <c r="H36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34" spans="1:8" hidden="1" x14ac:dyDescent="0.3">
      <c r="A3634" t="s">
        <v>1268</v>
      </c>
      <c r="B3634" t="s">
        <v>1278</v>
      </c>
      <c r="C3634" t="s">
        <v>30</v>
      </c>
      <c r="D3634" s="68">
        <v>51</v>
      </c>
      <c r="E3634" s="68"/>
      <c r="F3634" s="68">
        <v>1092</v>
      </c>
      <c r="G3634" s="68">
        <v>1143</v>
      </c>
      <c r="H36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35" spans="1:8" hidden="1" x14ac:dyDescent="0.3">
      <c r="A3635" t="s">
        <v>1268</v>
      </c>
      <c r="B3635" t="s">
        <v>1278</v>
      </c>
      <c r="C3635" t="s">
        <v>587</v>
      </c>
      <c r="D3635" s="68">
        <v>27</v>
      </c>
      <c r="E3635" s="68"/>
      <c r="F3635" s="68">
        <v>449</v>
      </c>
      <c r="G3635" s="68">
        <v>476</v>
      </c>
      <c r="H36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36" spans="1:8" hidden="1" x14ac:dyDescent="0.3">
      <c r="A3636" t="s">
        <v>1268</v>
      </c>
      <c r="B3636" t="s">
        <v>1278</v>
      </c>
      <c r="C3636" t="s">
        <v>27</v>
      </c>
      <c r="D3636" s="68"/>
      <c r="E3636" s="68">
        <v>122</v>
      </c>
      <c r="F3636" s="68"/>
      <c r="G3636" s="68">
        <v>122</v>
      </c>
      <c r="H36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37" spans="1:8" hidden="1" x14ac:dyDescent="0.3">
      <c r="A3637" t="s">
        <v>1268</v>
      </c>
      <c r="B3637" t="s">
        <v>1278</v>
      </c>
      <c r="C3637" t="s">
        <v>36</v>
      </c>
      <c r="D3637" s="68">
        <v>40</v>
      </c>
      <c r="E3637" s="68"/>
      <c r="F3637" s="68">
        <v>14</v>
      </c>
      <c r="G3637" s="68">
        <v>54</v>
      </c>
      <c r="H36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38" spans="1:8" hidden="1" x14ac:dyDescent="0.3">
      <c r="A3638" t="s">
        <v>1268</v>
      </c>
      <c r="B3638" t="s">
        <v>605</v>
      </c>
      <c r="C3638" t="s">
        <v>587</v>
      </c>
      <c r="D3638" s="68">
        <v>2515</v>
      </c>
      <c r="E3638" s="68"/>
      <c r="F3638" s="68">
        <v>31423</v>
      </c>
      <c r="G3638" s="68">
        <v>33938</v>
      </c>
      <c r="H36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39" spans="1:8" hidden="1" x14ac:dyDescent="0.3">
      <c r="A3639" t="s">
        <v>1268</v>
      </c>
      <c r="B3639" t="s">
        <v>605</v>
      </c>
      <c r="C3639" t="s">
        <v>26</v>
      </c>
      <c r="D3639" s="68">
        <v>6128</v>
      </c>
      <c r="E3639" s="68"/>
      <c r="F3639" s="68">
        <v>12969</v>
      </c>
      <c r="G3639" s="68">
        <v>19097</v>
      </c>
      <c r="H36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40" spans="1:8" hidden="1" x14ac:dyDescent="0.3">
      <c r="A3640" t="s">
        <v>1268</v>
      </c>
      <c r="B3640" t="s">
        <v>605</v>
      </c>
      <c r="C3640" t="s">
        <v>36</v>
      </c>
      <c r="D3640" s="68">
        <v>8114</v>
      </c>
      <c r="E3640" s="68"/>
      <c r="F3640" s="68">
        <v>5037</v>
      </c>
      <c r="G3640" s="68">
        <v>13151</v>
      </c>
      <c r="H36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41" spans="1:8" hidden="1" x14ac:dyDescent="0.3">
      <c r="A3641" t="s">
        <v>1268</v>
      </c>
      <c r="B3641" t="s">
        <v>605</v>
      </c>
      <c r="C3641" t="s">
        <v>30</v>
      </c>
      <c r="D3641" s="68">
        <v>785</v>
      </c>
      <c r="E3641" s="68"/>
      <c r="F3641" s="68">
        <v>8778</v>
      </c>
      <c r="G3641" s="68">
        <v>9563</v>
      </c>
      <c r="H36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42" spans="1:8" hidden="1" x14ac:dyDescent="0.3">
      <c r="A3642" t="s">
        <v>1268</v>
      </c>
      <c r="B3642" t="s">
        <v>605</v>
      </c>
      <c r="C3642" t="s">
        <v>37</v>
      </c>
      <c r="D3642" s="68">
        <v>3295</v>
      </c>
      <c r="E3642" s="68"/>
      <c r="F3642" s="68">
        <v>3748</v>
      </c>
      <c r="G3642" s="68">
        <v>7043</v>
      </c>
      <c r="H36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43" spans="1:8" hidden="1" x14ac:dyDescent="0.3">
      <c r="A3643" t="s">
        <v>1268</v>
      </c>
      <c r="B3643" t="s">
        <v>605</v>
      </c>
      <c r="C3643" t="s">
        <v>27</v>
      </c>
      <c r="D3643" s="68"/>
      <c r="E3643" s="68">
        <v>2426</v>
      </c>
      <c r="F3643" s="68"/>
      <c r="G3643" s="68">
        <v>2426</v>
      </c>
      <c r="H36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44" spans="1:8" hidden="1" x14ac:dyDescent="0.3">
      <c r="A3644" t="s">
        <v>1268</v>
      </c>
      <c r="B3644" t="s">
        <v>605</v>
      </c>
      <c r="C3644" t="s">
        <v>5</v>
      </c>
      <c r="D3644" s="68">
        <v>1501</v>
      </c>
      <c r="E3644" s="68"/>
      <c r="F3644" s="68">
        <v>628</v>
      </c>
      <c r="G3644" s="68">
        <v>2129</v>
      </c>
      <c r="H36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45" spans="1:8" hidden="1" x14ac:dyDescent="0.3">
      <c r="A3645" t="s">
        <v>1268</v>
      </c>
      <c r="B3645" t="s">
        <v>1250</v>
      </c>
      <c r="C3645" t="s">
        <v>26</v>
      </c>
      <c r="D3645" s="68">
        <v>2239</v>
      </c>
      <c r="E3645" s="68"/>
      <c r="F3645" s="68">
        <v>3227</v>
      </c>
      <c r="G3645" s="68">
        <v>5466</v>
      </c>
      <c r="H36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46" spans="1:8" hidden="1" x14ac:dyDescent="0.3">
      <c r="A3646" t="s">
        <v>1268</v>
      </c>
      <c r="B3646" t="s">
        <v>1250</v>
      </c>
      <c r="C3646" t="s">
        <v>587</v>
      </c>
      <c r="D3646" s="68">
        <v>695</v>
      </c>
      <c r="E3646" s="68"/>
      <c r="F3646" s="68">
        <v>4007</v>
      </c>
      <c r="G3646" s="68">
        <v>4702</v>
      </c>
      <c r="H36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47" spans="1:8" hidden="1" x14ac:dyDescent="0.3">
      <c r="A3647" t="s">
        <v>1268</v>
      </c>
      <c r="B3647" t="s">
        <v>1250</v>
      </c>
      <c r="C3647" t="s">
        <v>36</v>
      </c>
      <c r="D3647" s="68">
        <v>1338</v>
      </c>
      <c r="E3647" s="68"/>
      <c r="F3647" s="68">
        <v>519</v>
      </c>
      <c r="G3647" s="68">
        <v>1857</v>
      </c>
      <c r="H36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48" spans="1:8" hidden="1" x14ac:dyDescent="0.3">
      <c r="A3648" t="s">
        <v>1268</v>
      </c>
      <c r="B3648" t="s">
        <v>1250</v>
      </c>
      <c r="C3648" t="s">
        <v>37</v>
      </c>
      <c r="D3648" s="68">
        <v>658</v>
      </c>
      <c r="E3648" s="68"/>
      <c r="F3648" s="68">
        <v>357</v>
      </c>
      <c r="G3648" s="68">
        <v>1015</v>
      </c>
      <c r="H36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49" spans="1:8" hidden="1" x14ac:dyDescent="0.3">
      <c r="A3649" t="s">
        <v>1268</v>
      </c>
      <c r="B3649" t="s">
        <v>1250</v>
      </c>
      <c r="C3649" t="s">
        <v>27</v>
      </c>
      <c r="D3649" s="68"/>
      <c r="E3649" s="68">
        <v>203</v>
      </c>
      <c r="F3649" s="68"/>
      <c r="G3649" s="68">
        <v>203</v>
      </c>
      <c r="H36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50" spans="1:8" hidden="1" x14ac:dyDescent="0.3">
      <c r="A3650" t="s">
        <v>1268</v>
      </c>
      <c r="B3650" t="s">
        <v>1250</v>
      </c>
      <c r="C3650" t="s">
        <v>5</v>
      </c>
      <c r="D3650" s="68">
        <v>4</v>
      </c>
      <c r="E3650" s="68"/>
      <c r="F3650" s="68"/>
      <c r="G3650" s="68">
        <v>4</v>
      </c>
      <c r="H36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51" spans="1:8" hidden="1" x14ac:dyDescent="0.3">
      <c r="A3651" t="s">
        <v>1268</v>
      </c>
      <c r="B3651" t="s">
        <v>1279</v>
      </c>
      <c r="C3651" t="s">
        <v>587</v>
      </c>
      <c r="D3651" s="68">
        <v>596</v>
      </c>
      <c r="E3651" s="68"/>
      <c r="F3651" s="68">
        <v>9846</v>
      </c>
      <c r="G3651" s="68">
        <v>10442</v>
      </c>
      <c r="H36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52" spans="1:8" hidden="1" x14ac:dyDescent="0.3">
      <c r="A3652" t="s">
        <v>1268</v>
      </c>
      <c r="B3652" t="s">
        <v>1279</v>
      </c>
      <c r="C3652" t="s">
        <v>26</v>
      </c>
      <c r="D3652" s="68">
        <v>400</v>
      </c>
      <c r="E3652" s="68"/>
      <c r="F3652" s="68">
        <v>435</v>
      </c>
      <c r="G3652" s="68">
        <v>835</v>
      </c>
      <c r="H36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53" spans="1:8" hidden="1" x14ac:dyDescent="0.3">
      <c r="A3653" t="s">
        <v>1268</v>
      </c>
      <c r="B3653" t="s">
        <v>1279</v>
      </c>
      <c r="C3653" t="s">
        <v>27</v>
      </c>
      <c r="D3653" s="68"/>
      <c r="E3653" s="68">
        <v>221</v>
      </c>
      <c r="F3653" s="68"/>
      <c r="G3653" s="68">
        <v>221</v>
      </c>
      <c r="H36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54" spans="1:8" hidden="1" x14ac:dyDescent="0.3">
      <c r="A3654" t="s">
        <v>1268</v>
      </c>
      <c r="B3654" t="s">
        <v>1279</v>
      </c>
      <c r="C3654" t="s">
        <v>36</v>
      </c>
      <c r="D3654" s="68">
        <v>57</v>
      </c>
      <c r="E3654" s="68"/>
      <c r="F3654" s="68">
        <v>42</v>
      </c>
      <c r="G3654" s="68">
        <v>99</v>
      </c>
      <c r="H36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55" spans="1:8" hidden="1" x14ac:dyDescent="0.3">
      <c r="A3655" t="s">
        <v>1268</v>
      </c>
      <c r="B3655" t="s">
        <v>1280</v>
      </c>
      <c r="C3655" t="s">
        <v>587</v>
      </c>
      <c r="D3655" s="68">
        <v>379</v>
      </c>
      <c r="E3655" s="68"/>
      <c r="F3655" s="68">
        <v>8117</v>
      </c>
      <c r="G3655" s="68">
        <v>8496</v>
      </c>
      <c r="H36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56" spans="1:8" hidden="1" x14ac:dyDescent="0.3">
      <c r="A3656" t="s">
        <v>1268</v>
      </c>
      <c r="B3656" t="s">
        <v>1280</v>
      </c>
      <c r="C3656" t="s">
        <v>26</v>
      </c>
      <c r="D3656" s="68">
        <v>211</v>
      </c>
      <c r="E3656" s="68"/>
      <c r="F3656" s="68">
        <v>1439</v>
      </c>
      <c r="G3656" s="68">
        <v>1650</v>
      </c>
      <c r="H36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57" spans="1:8" hidden="1" x14ac:dyDescent="0.3">
      <c r="A3657" t="s">
        <v>1268</v>
      </c>
      <c r="B3657" t="s">
        <v>1280</v>
      </c>
      <c r="C3657" t="s">
        <v>36</v>
      </c>
      <c r="D3657" s="68">
        <v>225</v>
      </c>
      <c r="E3657" s="68"/>
      <c r="F3657" s="68">
        <v>89</v>
      </c>
      <c r="G3657" s="68">
        <v>314</v>
      </c>
      <c r="H36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58" spans="1:8" hidden="1" x14ac:dyDescent="0.3">
      <c r="A3658" t="s">
        <v>1268</v>
      </c>
      <c r="B3658" t="s">
        <v>1280</v>
      </c>
      <c r="C3658" t="s">
        <v>27</v>
      </c>
      <c r="D3658" s="68"/>
      <c r="E3658" s="68">
        <v>95</v>
      </c>
      <c r="F3658" s="68"/>
      <c r="G3658" s="68">
        <v>95</v>
      </c>
      <c r="H36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59" spans="1:8" hidden="1" x14ac:dyDescent="0.3">
      <c r="A3659" t="s">
        <v>1268</v>
      </c>
      <c r="B3659" t="s">
        <v>1281</v>
      </c>
      <c r="C3659" t="s">
        <v>587</v>
      </c>
      <c r="D3659" s="68">
        <v>729</v>
      </c>
      <c r="E3659" s="68"/>
      <c r="F3659" s="68">
        <v>4022</v>
      </c>
      <c r="G3659" s="68">
        <v>4751</v>
      </c>
      <c r="H36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60" spans="1:8" hidden="1" x14ac:dyDescent="0.3">
      <c r="A3660" t="s">
        <v>1268</v>
      </c>
      <c r="B3660" t="s">
        <v>1281</v>
      </c>
      <c r="C3660" t="s">
        <v>26</v>
      </c>
      <c r="D3660" s="68">
        <v>554</v>
      </c>
      <c r="E3660" s="68"/>
      <c r="F3660" s="68">
        <v>568</v>
      </c>
      <c r="G3660" s="68">
        <v>1122</v>
      </c>
      <c r="H36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61" spans="1:8" hidden="1" x14ac:dyDescent="0.3">
      <c r="A3661" t="s">
        <v>1268</v>
      </c>
      <c r="B3661" t="s">
        <v>1281</v>
      </c>
      <c r="C3661" t="s">
        <v>30</v>
      </c>
      <c r="D3661" s="68">
        <v>125</v>
      </c>
      <c r="E3661" s="68"/>
      <c r="F3661" s="68">
        <v>929</v>
      </c>
      <c r="G3661" s="68">
        <v>1054</v>
      </c>
      <c r="H36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62" spans="1:8" hidden="1" x14ac:dyDescent="0.3">
      <c r="A3662" t="s">
        <v>1268</v>
      </c>
      <c r="B3662" t="s">
        <v>1281</v>
      </c>
      <c r="C3662" t="s">
        <v>36</v>
      </c>
      <c r="D3662" s="68">
        <v>70</v>
      </c>
      <c r="E3662" s="68"/>
      <c r="F3662" s="68">
        <v>28</v>
      </c>
      <c r="G3662" s="68">
        <v>98</v>
      </c>
      <c r="H36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63" spans="1:8" hidden="1" x14ac:dyDescent="0.3">
      <c r="A3663" t="s">
        <v>1268</v>
      </c>
      <c r="B3663" t="s">
        <v>1281</v>
      </c>
      <c r="C3663" t="s">
        <v>27</v>
      </c>
      <c r="D3663" s="68"/>
      <c r="E3663" s="68">
        <v>60</v>
      </c>
      <c r="F3663" s="68"/>
      <c r="G3663" s="68">
        <v>60</v>
      </c>
      <c r="H36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64" spans="1:8" hidden="1" x14ac:dyDescent="0.3">
      <c r="A3664" t="s">
        <v>1268</v>
      </c>
      <c r="B3664" t="s">
        <v>1281</v>
      </c>
      <c r="C3664" t="s">
        <v>31</v>
      </c>
      <c r="D3664" s="68">
        <v>1</v>
      </c>
      <c r="E3664" s="68"/>
      <c r="F3664" s="68"/>
      <c r="G3664" s="68">
        <v>1</v>
      </c>
      <c r="H36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65" spans="1:8" hidden="1" x14ac:dyDescent="0.3">
      <c r="A3665" t="s">
        <v>1268</v>
      </c>
      <c r="B3665" t="s">
        <v>1282</v>
      </c>
      <c r="C3665" t="s">
        <v>30</v>
      </c>
      <c r="D3665" s="68">
        <v>240</v>
      </c>
      <c r="E3665" s="68"/>
      <c r="F3665" s="68">
        <v>5802</v>
      </c>
      <c r="G3665" s="68">
        <v>6042</v>
      </c>
      <c r="H36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66" spans="1:8" hidden="1" x14ac:dyDescent="0.3">
      <c r="A3666" t="s">
        <v>1268</v>
      </c>
      <c r="B3666" t="s">
        <v>1282</v>
      </c>
      <c r="C3666" t="s">
        <v>26</v>
      </c>
      <c r="D3666" s="68">
        <v>388</v>
      </c>
      <c r="E3666" s="68"/>
      <c r="F3666" s="68">
        <v>1924</v>
      </c>
      <c r="G3666" s="68">
        <v>2312</v>
      </c>
      <c r="H36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67" spans="1:8" hidden="1" x14ac:dyDescent="0.3">
      <c r="A3667" t="s">
        <v>1268</v>
      </c>
      <c r="B3667" t="s">
        <v>1282</v>
      </c>
      <c r="C3667" t="s">
        <v>587</v>
      </c>
      <c r="D3667" s="68">
        <v>64</v>
      </c>
      <c r="E3667" s="68"/>
      <c r="F3667" s="68">
        <v>1853</v>
      </c>
      <c r="G3667" s="68">
        <v>1917</v>
      </c>
      <c r="H36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68" spans="1:8" hidden="1" x14ac:dyDescent="0.3">
      <c r="A3668" t="s">
        <v>1268</v>
      </c>
      <c r="B3668" t="s">
        <v>1282</v>
      </c>
      <c r="C3668" t="s">
        <v>36</v>
      </c>
      <c r="D3668" s="68">
        <v>258</v>
      </c>
      <c r="E3668" s="68"/>
      <c r="F3668" s="68">
        <v>278</v>
      </c>
      <c r="G3668" s="68">
        <v>536</v>
      </c>
      <c r="H36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69" spans="1:8" hidden="1" x14ac:dyDescent="0.3">
      <c r="A3669" t="s">
        <v>1268</v>
      </c>
      <c r="B3669" t="s">
        <v>1282</v>
      </c>
      <c r="C3669" t="s">
        <v>27</v>
      </c>
      <c r="D3669" s="68"/>
      <c r="E3669" s="68">
        <v>141</v>
      </c>
      <c r="F3669" s="68"/>
      <c r="G3669" s="68">
        <v>141</v>
      </c>
      <c r="H36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70" spans="1:8" hidden="1" x14ac:dyDescent="0.3">
      <c r="A3670" t="s">
        <v>1268</v>
      </c>
      <c r="B3670" t="s">
        <v>1283</v>
      </c>
      <c r="C3670" t="s">
        <v>26</v>
      </c>
      <c r="D3670" s="68">
        <v>793</v>
      </c>
      <c r="E3670" s="68"/>
      <c r="F3670" s="68">
        <v>4719</v>
      </c>
      <c r="G3670" s="68">
        <v>5512</v>
      </c>
      <c r="H36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71" spans="1:8" hidden="1" x14ac:dyDescent="0.3">
      <c r="A3671" t="s">
        <v>1268</v>
      </c>
      <c r="B3671" t="s">
        <v>1283</v>
      </c>
      <c r="C3671" t="s">
        <v>30</v>
      </c>
      <c r="D3671" s="68">
        <v>81</v>
      </c>
      <c r="E3671" s="68"/>
      <c r="F3671" s="68">
        <v>2960</v>
      </c>
      <c r="G3671" s="68">
        <v>3041</v>
      </c>
      <c r="H36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72" spans="1:8" hidden="1" x14ac:dyDescent="0.3">
      <c r="A3672" t="s">
        <v>1268</v>
      </c>
      <c r="B3672" t="s">
        <v>1283</v>
      </c>
      <c r="C3672" t="s">
        <v>587</v>
      </c>
      <c r="D3672" s="68">
        <v>16</v>
      </c>
      <c r="E3672" s="68"/>
      <c r="F3672" s="68">
        <v>147</v>
      </c>
      <c r="G3672" s="68">
        <v>163</v>
      </c>
      <c r="H36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73" spans="1:8" hidden="1" x14ac:dyDescent="0.3">
      <c r="A3673" t="s">
        <v>1268</v>
      </c>
      <c r="B3673" t="s">
        <v>1283</v>
      </c>
      <c r="C3673" t="s">
        <v>27</v>
      </c>
      <c r="D3673" s="68"/>
      <c r="E3673" s="68">
        <v>119</v>
      </c>
      <c r="F3673" s="68"/>
      <c r="G3673" s="68">
        <v>119</v>
      </c>
      <c r="H36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74" spans="1:8" hidden="1" x14ac:dyDescent="0.3">
      <c r="A3674" t="s">
        <v>1268</v>
      </c>
      <c r="B3674" t="s">
        <v>1283</v>
      </c>
      <c r="C3674" t="s">
        <v>36</v>
      </c>
      <c r="D3674" s="68">
        <v>52</v>
      </c>
      <c r="E3674" s="68"/>
      <c r="F3674" s="68">
        <v>30</v>
      </c>
      <c r="G3674" s="68">
        <v>82</v>
      </c>
      <c r="H36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75" spans="1:8" hidden="1" x14ac:dyDescent="0.3">
      <c r="A3675" t="s">
        <v>1268</v>
      </c>
      <c r="B3675" t="s">
        <v>1284</v>
      </c>
      <c r="C3675" t="s">
        <v>26</v>
      </c>
      <c r="D3675" s="68">
        <v>10181</v>
      </c>
      <c r="E3675" s="68"/>
      <c r="F3675" s="68">
        <v>11753</v>
      </c>
      <c r="G3675" s="68">
        <v>21934</v>
      </c>
      <c r="H36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76" spans="1:8" hidden="1" x14ac:dyDescent="0.3">
      <c r="A3676" t="s">
        <v>1268</v>
      </c>
      <c r="B3676" t="s">
        <v>1284</v>
      </c>
      <c r="C3676" t="s">
        <v>1077</v>
      </c>
      <c r="D3676" s="68">
        <v>1683</v>
      </c>
      <c r="E3676" s="68"/>
      <c r="F3676" s="68">
        <v>13692</v>
      </c>
      <c r="G3676" s="68">
        <v>15375</v>
      </c>
      <c r="H36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77" spans="1:8" hidden="1" x14ac:dyDescent="0.3">
      <c r="A3677" t="s">
        <v>1268</v>
      </c>
      <c r="B3677" t="s">
        <v>1284</v>
      </c>
      <c r="C3677" t="s">
        <v>36</v>
      </c>
      <c r="D3677" s="68">
        <v>10324</v>
      </c>
      <c r="E3677" s="68"/>
      <c r="F3677" s="68">
        <v>3622</v>
      </c>
      <c r="G3677" s="68">
        <v>13946</v>
      </c>
      <c r="H36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78" spans="1:8" hidden="1" x14ac:dyDescent="0.3">
      <c r="A3678" t="s">
        <v>1268</v>
      </c>
      <c r="B3678" t="s">
        <v>1284</v>
      </c>
      <c r="C3678" t="s">
        <v>30</v>
      </c>
      <c r="D3678" s="68">
        <v>1235</v>
      </c>
      <c r="E3678" s="68"/>
      <c r="F3678" s="68">
        <v>7848</v>
      </c>
      <c r="G3678" s="68">
        <v>9083</v>
      </c>
      <c r="H36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79" spans="1:8" hidden="1" x14ac:dyDescent="0.3">
      <c r="A3679" t="s">
        <v>1268</v>
      </c>
      <c r="B3679" t="s">
        <v>1284</v>
      </c>
      <c r="C3679" t="s">
        <v>37</v>
      </c>
      <c r="D3679" s="68">
        <v>2270</v>
      </c>
      <c r="E3679" s="68"/>
      <c r="F3679" s="68">
        <v>1397</v>
      </c>
      <c r="G3679" s="68">
        <v>3667</v>
      </c>
      <c r="H36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80" spans="1:8" hidden="1" x14ac:dyDescent="0.3">
      <c r="A3680" t="s">
        <v>1268</v>
      </c>
      <c r="B3680" t="s">
        <v>1284</v>
      </c>
      <c r="C3680" t="s">
        <v>587</v>
      </c>
      <c r="D3680" s="68">
        <v>594</v>
      </c>
      <c r="E3680" s="68"/>
      <c r="F3680" s="68">
        <v>1953</v>
      </c>
      <c r="G3680" s="68">
        <v>2547</v>
      </c>
      <c r="H36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81" spans="1:8" hidden="1" x14ac:dyDescent="0.3">
      <c r="A3681" t="s">
        <v>1268</v>
      </c>
      <c r="B3681" t="s">
        <v>1284</v>
      </c>
      <c r="C3681" t="s">
        <v>25</v>
      </c>
      <c r="D3681" s="68">
        <v>286</v>
      </c>
      <c r="E3681" s="68"/>
      <c r="F3681" s="68">
        <v>1667</v>
      </c>
      <c r="G3681" s="68">
        <v>1953</v>
      </c>
      <c r="H36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82" spans="1:8" hidden="1" x14ac:dyDescent="0.3">
      <c r="A3682" t="s">
        <v>1268</v>
      </c>
      <c r="B3682" t="s">
        <v>1284</v>
      </c>
      <c r="C3682" t="s">
        <v>27</v>
      </c>
      <c r="D3682" s="68"/>
      <c r="E3682" s="68">
        <v>1234</v>
      </c>
      <c r="F3682" s="68"/>
      <c r="G3682" s="68">
        <v>1234</v>
      </c>
      <c r="H36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83" spans="1:8" hidden="1" x14ac:dyDescent="0.3">
      <c r="A3683" t="s">
        <v>1268</v>
      </c>
      <c r="B3683" t="s">
        <v>1284</v>
      </c>
      <c r="C3683" t="s">
        <v>5</v>
      </c>
      <c r="D3683" s="68">
        <v>708</v>
      </c>
      <c r="E3683" s="68"/>
      <c r="F3683" s="68">
        <v>148</v>
      </c>
      <c r="G3683" s="68">
        <v>856</v>
      </c>
      <c r="H36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84" spans="1:8" hidden="1" x14ac:dyDescent="0.3">
      <c r="A3684" t="s">
        <v>1268</v>
      </c>
      <c r="B3684" t="s">
        <v>1285</v>
      </c>
      <c r="C3684" t="s">
        <v>587</v>
      </c>
      <c r="D3684" s="68">
        <v>416</v>
      </c>
      <c r="E3684" s="68"/>
      <c r="F3684" s="68">
        <v>4799</v>
      </c>
      <c r="G3684" s="68">
        <v>5215</v>
      </c>
      <c r="H36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85" spans="1:8" hidden="1" x14ac:dyDescent="0.3">
      <c r="A3685" t="s">
        <v>1268</v>
      </c>
      <c r="B3685" t="s">
        <v>1285</v>
      </c>
      <c r="C3685" t="s">
        <v>26</v>
      </c>
      <c r="D3685" s="68">
        <v>376</v>
      </c>
      <c r="E3685" s="68"/>
      <c r="F3685" s="68">
        <v>1240</v>
      </c>
      <c r="G3685" s="68">
        <v>1616</v>
      </c>
      <c r="H36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86" spans="1:8" hidden="1" x14ac:dyDescent="0.3">
      <c r="A3686" t="s">
        <v>1268</v>
      </c>
      <c r="B3686" t="s">
        <v>1285</v>
      </c>
      <c r="C3686" t="s">
        <v>30</v>
      </c>
      <c r="D3686" s="68">
        <v>45</v>
      </c>
      <c r="E3686" s="68"/>
      <c r="F3686" s="68">
        <v>685</v>
      </c>
      <c r="G3686" s="68">
        <v>730</v>
      </c>
      <c r="H36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87" spans="1:8" hidden="1" x14ac:dyDescent="0.3">
      <c r="A3687" t="s">
        <v>1268</v>
      </c>
      <c r="B3687" t="s">
        <v>1285</v>
      </c>
      <c r="C3687" t="s">
        <v>36</v>
      </c>
      <c r="D3687" s="68">
        <v>228</v>
      </c>
      <c r="E3687" s="68"/>
      <c r="F3687" s="68">
        <v>94</v>
      </c>
      <c r="G3687" s="68">
        <v>322</v>
      </c>
      <c r="H36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88" spans="1:8" hidden="1" x14ac:dyDescent="0.3">
      <c r="A3688" t="s">
        <v>1268</v>
      </c>
      <c r="B3688" t="s">
        <v>1285</v>
      </c>
      <c r="C3688" t="s">
        <v>27</v>
      </c>
      <c r="D3688" s="68"/>
      <c r="E3688" s="68">
        <v>96</v>
      </c>
      <c r="F3688" s="68"/>
      <c r="G3688" s="68">
        <v>96</v>
      </c>
      <c r="H36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89" spans="1:8" hidden="1" x14ac:dyDescent="0.3">
      <c r="A3689" t="s">
        <v>1268</v>
      </c>
      <c r="B3689" t="s">
        <v>1286</v>
      </c>
      <c r="C3689" t="s">
        <v>26</v>
      </c>
      <c r="D3689" s="68">
        <v>5188</v>
      </c>
      <c r="E3689" s="68"/>
      <c r="F3689" s="68">
        <v>8343</v>
      </c>
      <c r="G3689" s="68">
        <v>13531</v>
      </c>
      <c r="H36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90" spans="1:8" hidden="1" x14ac:dyDescent="0.3">
      <c r="A3690" t="s">
        <v>1268</v>
      </c>
      <c r="B3690" t="s">
        <v>1286</v>
      </c>
      <c r="C3690" t="s">
        <v>587</v>
      </c>
      <c r="D3690" s="68">
        <v>1279</v>
      </c>
      <c r="E3690" s="68"/>
      <c r="F3690" s="68">
        <v>9763</v>
      </c>
      <c r="G3690" s="68">
        <v>11042</v>
      </c>
      <c r="H36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91" spans="1:8" hidden="1" x14ac:dyDescent="0.3">
      <c r="A3691" t="s">
        <v>1268</v>
      </c>
      <c r="B3691" t="s">
        <v>1286</v>
      </c>
      <c r="C3691" t="s">
        <v>36</v>
      </c>
      <c r="D3691" s="68">
        <v>3626</v>
      </c>
      <c r="E3691" s="68"/>
      <c r="F3691" s="68">
        <v>1583</v>
      </c>
      <c r="G3691" s="68">
        <v>5209</v>
      </c>
      <c r="H36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92" spans="1:8" hidden="1" x14ac:dyDescent="0.3">
      <c r="A3692" t="s">
        <v>1268</v>
      </c>
      <c r="B3692" t="s">
        <v>1286</v>
      </c>
      <c r="C3692" t="s">
        <v>37</v>
      </c>
      <c r="D3692" s="68">
        <v>1498</v>
      </c>
      <c r="E3692" s="68"/>
      <c r="F3692" s="68">
        <v>1292</v>
      </c>
      <c r="G3692" s="68">
        <v>2790</v>
      </c>
      <c r="H36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93" spans="1:8" hidden="1" x14ac:dyDescent="0.3">
      <c r="A3693" t="s">
        <v>1268</v>
      </c>
      <c r="B3693" t="s">
        <v>1286</v>
      </c>
      <c r="C3693" t="s">
        <v>27</v>
      </c>
      <c r="D3693" s="68"/>
      <c r="E3693" s="68">
        <v>586</v>
      </c>
      <c r="F3693" s="68"/>
      <c r="G3693" s="68">
        <v>586</v>
      </c>
      <c r="H36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94" spans="1:8" hidden="1" x14ac:dyDescent="0.3">
      <c r="A3694" t="s">
        <v>1268</v>
      </c>
      <c r="B3694" t="s">
        <v>1286</v>
      </c>
      <c r="C3694" t="s">
        <v>30</v>
      </c>
      <c r="D3694" s="68">
        <v>102</v>
      </c>
      <c r="E3694" s="68"/>
      <c r="F3694" s="68">
        <v>411</v>
      </c>
      <c r="G3694" s="68">
        <v>513</v>
      </c>
      <c r="H36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95" spans="1:8" hidden="1" x14ac:dyDescent="0.3">
      <c r="A3695" t="s">
        <v>1268</v>
      </c>
      <c r="B3695" t="s">
        <v>1286</v>
      </c>
      <c r="C3695" t="s">
        <v>5</v>
      </c>
      <c r="D3695" s="68">
        <v>308</v>
      </c>
      <c r="E3695" s="68"/>
      <c r="F3695" s="68">
        <v>135</v>
      </c>
      <c r="G3695" s="68">
        <v>443</v>
      </c>
      <c r="H36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696" spans="1:8" hidden="1" x14ac:dyDescent="0.3">
      <c r="A3696" t="s">
        <v>1268</v>
      </c>
      <c r="B3696" t="s">
        <v>1286</v>
      </c>
      <c r="C3696" t="s">
        <v>1077</v>
      </c>
      <c r="D3696" s="68">
        <v>2</v>
      </c>
      <c r="E3696" s="68"/>
      <c r="F3696" s="68"/>
      <c r="G3696" s="68">
        <v>2</v>
      </c>
      <c r="H36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97" spans="1:8" hidden="1" x14ac:dyDescent="0.3">
      <c r="A3697" t="s">
        <v>1268</v>
      </c>
      <c r="B3697" t="s">
        <v>1286</v>
      </c>
      <c r="C3697" t="s">
        <v>25</v>
      </c>
      <c r="D3697" s="68">
        <v>1</v>
      </c>
      <c r="E3697" s="68"/>
      <c r="F3697" s="68"/>
      <c r="G3697" s="68">
        <v>1</v>
      </c>
      <c r="H36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98" spans="1:8" hidden="1" x14ac:dyDescent="0.3">
      <c r="A3698" t="s">
        <v>1268</v>
      </c>
      <c r="B3698" t="s">
        <v>916</v>
      </c>
      <c r="C3698" t="s">
        <v>587</v>
      </c>
      <c r="D3698" s="68">
        <v>712</v>
      </c>
      <c r="E3698" s="68"/>
      <c r="F3698" s="68">
        <v>7564</v>
      </c>
      <c r="G3698" s="68">
        <v>8276</v>
      </c>
      <c r="H36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99" spans="1:8" hidden="1" x14ac:dyDescent="0.3">
      <c r="A3699" t="s">
        <v>1268</v>
      </c>
      <c r="B3699" t="s">
        <v>916</v>
      </c>
      <c r="C3699" t="s">
        <v>26</v>
      </c>
      <c r="D3699" s="68">
        <v>1077</v>
      </c>
      <c r="E3699" s="68"/>
      <c r="F3699" s="68">
        <v>1399</v>
      </c>
      <c r="G3699" s="68">
        <v>2476</v>
      </c>
      <c r="H36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00" spans="1:8" hidden="1" x14ac:dyDescent="0.3">
      <c r="A3700" t="s">
        <v>1268</v>
      </c>
      <c r="B3700" t="s">
        <v>916</v>
      </c>
      <c r="C3700" t="s">
        <v>30</v>
      </c>
      <c r="D3700" s="68">
        <v>137</v>
      </c>
      <c r="E3700" s="68"/>
      <c r="F3700" s="68">
        <v>895</v>
      </c>
      <c r="G3700" s="68">
        <v>1032</v>
      </c>
      <c r="H37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01" spans="1:8" hidden="1" x14ac:dyDescent="0.3">
      <c r="A3701" t="s">
        <v>1268</v>
      </c>
      <c r="B3701" t="s">
        <v>916</v>
      </c>
      <c r="C3701" t="s">
        <v>27</v>
      </c>
      <c r="D3701" s="68"/>
      <c r="E3701" s="68">
        <v>111</v>
      </c>
      <c r="F3701" s="68"/>
      <c r="G3701" s="68">
        <v>111</v>
      </c>
      <c r="H37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02" spans="1:8" hidden="1" x14ac:dyDescent="0.3">
      <c r="A3702" t="s">
        <v>1268</v>
      </c>
      <c r="B3702" t="s">
        <v>916</v>
      </c>
      <c r="C3702" t="s">
        <v>5</v>
      </c>
      <c r="D3702" s="68">
        <v>12</v>
      </c>
      <c r="E3702" s="68"/>
      <c r="F3702" s="68"/>
      <c r="G3702" s="68">
        <v>12</v>
      </c>
      <c r="H37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03" spans="1:8" hidden="1" x14ac:dyDescent="0.3">
      <c r="A3703" t="s">
        <v>1268</v>
      </c>
      <c r="B3703" t="s">
        <v>52</v>
      </c>
      <c r="C3703" t="s">
        <v>587</v>
      </c>
      <c r="D3703" s="68">
        <v>604</v>
      </c>
      <c r="E3703" s="68"/>
      <c r="F3703" s="68">
        <v>4886</v>
      </c>
      <c r="G3703" s="68">
        <v>5490</v>
      </c>
      <c r="H37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04" spans="1:8" hidden="1" x14ac:dyDescent="0.3">
      <c r="A3704" t="s">
        <v>1268</v>
      </c>
      <c r="B3704" t="s">
        <v>52</v>
      </c>
      <c r="C3704" t="s">
        <v>26</v>
      </c>
      <c r="D3704" s="68">
        <v>2445</v>
      </c>
      <c r="E3704" s="68"/>
      <c r="F3704" s="68">
        <v>3030</v>
      </c>
      <c r="G3704" s="68">
        <v>5475</v>
      </c>
      <c r="H37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05" spans="1:8" hidden="1" x14ac:dyDescent="0.3">
      <c r="A3705" t="s">
        <v>1268</v>
      </c>
      <c r="B3705" t="s">
        <v>52</v>
      </c>
      <c r="C3705" t="s">
        <v>36</v>
      </c>
      <c r="D3705" s="68">
        <v>2102</v>
      </c>
      <c r="E3705" s="68"/>
      <c r="F3705" s="68">
        <v>849</v>
      </c>
      <c r="G3705" s="68">
        <v>2951</v>
      </c>
      <c r="H37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06" spans="1:8" hidden="1" x14ac:dyDescent="0.3">
      <c r="A3706" t="s">
        <v>1268</v>
      </c>
      <c r="B3706" t="s">
        <v>52</v>
      </c>
      <c r="C3706" t="s">
        <v>27</v>
      </c>
      <c r="D3706" s="68"/>
      <c r="E3706" s="68">
        <v>223</v>
      </c>
      <c r="F3706" s="68"/>
      <c r="G3706" s="68">
        <v>223</v>
      </c>
      <c r="H37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07" spans="1:8" hidden="1" x14ac:dyDescent="0.3">
      <c r="A3707" t="s">
        <v>1268</v>
      </c>
      <c r="B3707" t="s">
        <v>52</v>
      </c>
      <c r="C3707" t="s">
        <v>30</v>
      </c>
      <c r="D3707" s="68">
        <v>8</v>
      </c>
      <c r="E3707" s="68"/>
      <c r="F3707" s="68">
        <v>3</v>
      </c>
      <c r="G3707" s="68">
        <v>11</v>
      </c>
      <c r="H37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08" spans="1:8" hidden="1" x14ac:dyDescent="0.3">
      <c r="A3708" t="s">
        <v>1268</v>
      </c>
      <c r="B3708" t="s">
        <v>52</v>
      </c>
      <c r="C3708" t="s">
        <v>5</v>
      </c>
      <c r="D3708" s="68">
        <v>4</v>
      </c>
      <c r="E3708" s="68"/>
      <c r="F3708" s="68"/>
      <c r="G3708" s="68">
        <v>4</v>
      </c>
      <c r="H37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09" spans="1:8" hidden="1" x14ac:dyDescent="0.3">
      <c r="A3709" t="s">
        <v>1268</v>
      </c>
      <c r="B3709" t="s">
        <v>1287</v>
      </c>
      <c r="C3709" t="s">
        <v>587</v>
      </c>
      <c r="D3709" s="68">
        <v>892</v>
      </c>
      <c r="E3709" s="68"/>
      <c r="F3709" s="68">
        <v>3997</v>
      </c>
      <c r="G3709" s="68">
        <v>4889</v>
      </c>
      <c r="H37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10" spans="1:8" hidden="1" x14ac:dyDescent="0.3">
      <c r="A3710" t="s">
        <v>1268</v>
      </c>
      <c r="B3710" t="s">
        <v>1287</v>
      </c>
      <c r="C3710" t="s">
        <v>26</v>
      </c>
      <c r="D3710" s="68">
        <v>2004</v>
      </c>
      <c r="E3710" s="68"/>
      <c r="F3710" s="68">
        <v>1904</v>
      </c>
      <c r="G3710" s="68">
        <v>3908</v>
      </c>
      <c r="H37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11" spans="1:8" hidden="1" x14ac:dyDescent="0.3">
      <c r="A3711" t="s">
        <v>1268</v>
      </c>
      <c r="B3711" t="s">
        <v>1287</v>
      </c>
      <c r="C3711" t="s">
        <v>36</v>
      </c>
      <c r="D3711" s="68">
        <v>2454</v>
      </c>
      <c r="E3711" s="68"/>
      <c r="F3711" s="68">
        <v>583</v>
      </c>
      <c r="G3711" s="68">
        <v>3037</v>
      </c>
      <c r="H37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12" spans="1:8" hidden="1" x14ac:dyDescent="0.3">
      <c r="A3712" t="s">
        <v>1268</v>
      </c>
      <c r="B3712" t="s">
        <v>1287</v>
      </c>
      <c r="C3712" t="s">
        <v>27</v>
      </c>
      <c r="D3712" s="68"/>
      <c r="E3712" s="68">
        <v>114</v>
      </c>
      <c r="F3712" s="68"/>
      <c r="G3712" s="68">
        <v>114</v>
      </c>
      <c r="H37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13" spans="1:8" hidden="1" x14ac:dyDescent="0.3">
      <c r="A3713" t="s">
        <v>1268</v>
      </c>
      <c r="B3713" t="s">
        <v>1287</v>
      </c>
      <c r="C3713" t="s">
        <v>31</v>
      </c>
      <c r="D3713" s="68">
        <v>9</v>
      </c>
      <c r="E3713" s="68"/>
      <c r="F3713" s="68"/>
      <c r="G3713" s="68">
        <v>9</v>
      </c>
      <c r="H37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14" spans="1:8" hidden="1" x14ac:dyDescent="0.3">
      <c r="A3714" t="s">
        <v>1268</v>
      </c>
      <c r="B3714" t="s">
        <v>1288</v>
      </c>
      <c r="C3714" t="s">
        <v>587</v>
      </c>
      <c r="D3714" s="68">
        <v>367</v>
      </c>
      <c r="E3714" s="68"/>
      <c r="F3714" s="68">
        <v>4217</v>
      </c>
      <c r="G3714" s="68">
        <v>4584</v>
      </c>
      <c r="H37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15" spans="1:8" hidden="1" x14ac:dyDescent="0.3">
      <c r="A3715" t="s">
        <v>1268</v>
      </c>
      <c r="B3715" t="s">
        <v>1288</v>
      </c>
      <c r="C3715" t="s">
        <v>30</v>
      </c>
      <c r="D3715" s="68">
        <v>87</v>
      </c>
      <c r="E3715" s="68"/>
      <c r="F3715" s="68">
        <v>1134</v>
      </c>
      <c r="G3715" s="68">
        <v>1221</v>
      </c>
      <c r="H37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16" spans="1:8" hidden="1" x14ac:dyDescent="0.3">
      <c r="A3716" t="s">
        <v>1268</v>
      </c>
      <c r="B3716" t="s">
        <v>1288</v>
      </c>
      <c r="C3716" t="s">
        <v>26</v>
      </c>
      <c r="D3716" s="68">
        <v>159</v>
      </c>
      <c r="E3716" s="68"/>
      <c r="F3716" s="68">
        <v>118</v>
      </c>
      <c r="G3716" s="68">
        <v>277</v>
      </c>
      <c r="H37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17" spans="1:8" hidden="1" x14ac:dyDescent="0.3">
      <c r="A3717" t="s">
        <v>1268</v>
      </c>
      <c r="B3717" t="s">
        <v>1288</v>
      </c>
      <c r="C3717" t="s">
        <v>36</v>
      </c>
      <c r="D3717" s="68">
        <v>71</v>
      </c>
      <c r="E3717" s="68"/>
      <c r="F3717" s="68">
        <v>34</v>
      </c>
      <c r="G3717" s="68">
        <v>105</v>
      </c>
      <c r="H37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18" spans="1:8" hidden="1" x14ac:dyDescent="0.3">
      <c r="A3718" t="s">
        <v>1268</v>
      </c>
      <c r="B3718" t="s">
        <v>1288</v>
      </c>
      <c r="C3718" t="s">
        <v>27</v>
      </c>
      <c r="D3718" s="68"/>
      <c r="E3718" s="68">
        <v>60</v>
      </c>
      <c r="F3718" s="68"/>
      <c r="G3718" s="68">
        <v>60</v>
      </c>
      <c r="H37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19" spans="1:8" hidden="1" x14ac:dyDescent="0.3">
      <c r="A3719" t="s">
        <v>1268</v>
      </c>
      <c r="B3719" t="s">
        <v>1289</v>
      </c>
      <c r="C3719" t="s">
        <v>587</v>
      </c>
      <c r="D3719" s="68">
        <v>129</v>
      </c>
      <c r="E3719" s="68"/>
      <c r="F3719" s="68">
        <v>1257</v>
      </c>
      <c r="G3719" s="68">
        <v>1386</v>
      </c>
      <c r="H37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20" spans="1:8" hidden="1" x14ac:dyDescent="0.3">
      <c r="A3720" t="s">
        <v>1268</v>
      </c>
      <c r="B3720" t="s">
        <v>1289</v>
      </c>
      <c r="C3720" t="s">
        <v>27</v>
      </c>
      <c r="D3720" s="68"/>
      <c r="E3720" s="68">
        <v>66</v>
      </c>
      <c r="F3720" s="68"/>
      <c r="G3720" s="68">
        <v>66</v>
      </c>
      <c r="H37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21" spans="1:8" hidden="1" x14ac:dyDescent="0.3">
      <c r="A3721" t="s">
        <v>1268</v>
      </c>
      <c r="B3721" t="s">
        <v>1289</v>
      </c>
      <c r="C3721" t="s">
        <v>26</v>
      </c>
      <c r="D3721" s="68">
        <v>35</v>
      </c>
      <c r="E3721" s="68"/>
      <c r="F3721" s="68">
        <v>23</v>
      </c>
      <c r="G3721" s="68">
        <v>58</v>
      </c>
      <c r="H37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22" spans="1:8" hidden="1" x14ac:dyDescent="0.3">
      <c r="A3722" t="s">
        <v>1268</v>
      </c>
      <c r="B3722" t="s">
        <v>1289</v>
      </c>
      <c r="C3722" t="s">
        <v>36</v>
      </c>
      <c r="D3722" s="68">
        <v>23</v>
      </c>
      <c r="E3722" s="68"/>
      <c r="F3722" s="68">
        <v>7</v>
      </c>
      <c r="G3722" s="68">
        <v>30</v>
      </c>
      <c r="H37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23" spans="1:8" hidden="1" x14ac:dyDescent="0.3">
      <c r="A3723" t="s">
        <v>1268</v>
      </c>
      <c r="B3723" t="s">
        <v>1289</v>
      </c>
      <c r="C3723" t="s">
        <v>30</v>
      </c>
      <c r="D3723" s="68">
        <v>1</v>
      </c>
      <c r="E3723" s="68"/>
      <c r="F3723" s="68"/>
      <c r="G3723" s="68">
        <v>1</v>
      </c>
      <c r="H37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24" spans="1:8" hidden="1" x14ac:dyDescent="0.3">
      <c r="A3724" t="s">
        <v>1268</v>
      </c>
      <c r="B3724" t="s">
        <v>1000</v>
      </c>
      <c r="C3724" t="s">
        <v>587</v>
      </c>
      <c r="D3724" s="68">
        <v>1160</v>
      </c>
      <c r="E3724" s="68"/>
      <c r="F3724" s="68">
        <v>8089</v>
      </c>
      <c r="G3724" s="68">
        <v>9249</v>
      </c>
      <c r="H37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25" spans="1:8" hidden="1" x14ac:dyDescent="0.3">
      <c r="A3725" t="s">
        <v>1268</v>
      </c>
      <c r="B3725" t="s">
        <v>1000</v>
      </c>
      <c r="C3725" t="s">
        <v>26</v>
      </c>
      <c r="D3725" s="68">
        <v>3697</v>
      </c>
      <c r="E3725" s="68"/>
      <c r="F3725" s="68">
        <v>4660</v>
      </c>
      <c r="G3725" s="68">
        <v>8357</v>
      </c>
      <c r="H37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26" spans="1:8" hidden="1" x14ac:dyDescent="0.3">
      <c r="A3726" t="s">
        <v>1268</v>
      </c>
      <c r="B3726" t="s">
        <v>1000</v>
      </c>
      <c r="C3726" t="s">
        <v>36</v>
      </c>
      <c r="D3726" s="68">
        <v>2482</v>
      </c>
      <c r="E3726" s="68"/>
      <c r="F3726" s="68">
        <v>1018</v>
      </c>
      <c r="G3726" s="68">
        <v>3500</v>
      </c>
      <c r="H37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27" spans="1:8" hidden="1" x14ac:dyDescent="0.3">
      <c r="A3727" t="s">
        <v>1268</v>
      </c>
      <c r="B3727" t="s">
        <v>1000</v>
      </c>
      <c r="C3727" t="s">
        <v>37</v>
      </c>
      <c r="D3727" s="68">
        <v>657</v>
      </c>
      <c r="E3727" s="68"/>
      <c r="F3727" s="68">
        <v>521</v>
      </c>
      <c r="G3727" s="68">
        <v>1178</v>
      </c>
      <c r="H37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28" spans="1:8" hidden="1" x14ac:dyDescent="0.3">
      <c r="A3728" t="s">
        <v>1268</v>
      </c>
      <c r="B3728" t="s">
        <v>1000</v>
      </c>
      <c r="C3728" t="s">
        <v>27</v>
      </c>
      <c r="D3728" s="68"/>
      <c r="E3728" s="68">
        <v>467</v>
      </c>
      <c r="F3728" s="68"/>
      <c r="G3728" s="68">
        <v>467</v>
      </c>
      <c r="H37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29" spans="1:8" hidden="1" x14ac:dyDescent="0.3">
      <c r="A3729" t="s">
        <v>1268</v>
      </c>
      <c r="B3729" t="s">
        <v>1000</v>
      </c>
      <c r="C3729" t="s">
        <v>5</v>
      </c>
      <c r="D3729" s="68">
        <v>42</v>
      </c>
      <c r="E3729" s="68"/>
      <c r="F3729" s="68">
        <v>8</v>
      </c>
      <c r="G3729" s="68">
        <v>50</v>
      </c>
      <c r="H37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30" spans="1:8" hidden="1" x14ac:dyDescent="0.3">
      <c r="A3730" t="s">
        <v>1268</v>
      </c>
      <c r="B3730" t="s">
        <v>1000</v>
      </c>
      <c r="C3730" t="s">
        <v>30</v>
      </c>
      <c r="D3730" s="68">
        <v>1</v>
      </c>
      <c r="E3730" s="68"/>
      <c r="F3730" s="68">
        <v>1</v>
      </c>
      <c r="G3730" s="68">
        <v>2</v>
      </c>
      <c r="H37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31" spans="1:8" hidden="1" x14ac:dyDescent="0.3">
      <c r="A3731" t="s">
        <v>1268</v>
      </c>
      <c r="B3731" t="s">
        <v>1290</v>
      </c>
      <c r="C3731" t="s">
        <v>587</v>
      </c>
      <c r="D3731" s="68">
        <v>456</v>
      </c>
      <c r="E3731" s="68"/>
      <c r="F3731" s="68">
        <v>7663</v>
      </c>
      <c r="G3731" s="68">
        <v>8119</v>
      </c>
      <c r="H37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32" spans="1:8" hidden="1" x14ac:dyDescent="0.3">
      <c r="A3732" t="s">
        <v>1268</v>
      </c>
      <c r="B3732" t="s">
        <v>1290</v>
      </c>
      <c r="C3732" t="s">
        <v>30</v>
      </c>
      <c r="D3732" s="68">
        <v>41</v>
      </c>
      <c r="E3732" s="68"/>
      <c r="F3732" s="68">
        <v>1037</v>
      </c>
      <c r="G3732" s="68">
        <v>1078</v>
      </c>
      <c r="H37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33" spans="1:8" hidden="1" x14ac:dyDescent="0.3">
      <c r="A3733" t="s">
        <v>1268</v>
      </c>
      <c r="B3733" t="s">
        <v>1290</v>
      </c>
      <c r="C3733" t="s">
        <v>26</v>
      </c>
      <c r="D3733" s="68">
        <v>148</v>
      </c>
      <c r="E3733" s="68"/>
      <c r="F3733" s="68">
        <v>167</v>
      </c>
      <c r="G3733" s="68">
        <v>315</v>
      </c>
      <c r="H37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34" spans="1:8" hidden="1" x14ac:dyDescent="0.3">
      <c r="A3734" t="s">
        <v>1268</v>
      </c>
      <c r="B3734" t="s">
        <v>1290</v>
      </c>
      <c r="C3734" t="s">
        <v>36</v>
      </c>
      <c r="D3734" s="68">
        <v>177</v>
      </c>
      <c r="E3734" s="68"/>
      <c r="F3734" s="68">
        <v>122</v>
      </c>
      <c r="G3734" s="68">
        <v>299</v>
      </c>
      <c r="H37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35" spans="1:8" hidden="1" x14ac:dyDescent="0.3">
      <c r="A3735" t="s">
        <v>1268</v>
      </c>
      <c r="B3735" t="s">
        <v>1290</v>
      </c>
      <c r="C3735" t="s">
        <v>27</v>
      </c>
      <c r="D3735" s="68"/>
      <c r="E3735" s="68">
        <v>67</v>
      </c>
      <c r="F3735" s="68"/>
      <c r="G3735" s="68">
        <v>67</v>
      </c>
      <c r="H37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36" spans="1:8" hidden="1" x14ac:dyDescent="0.3">
      <c r="A3736" t="s">
        <v>1268</v>
      </c>
      <c r="B3736" t="s">
        <v>1291</v>
      </c>
      <c r="C3736" t="s">
        <v>5</v>
      </c>
      <c r="D3736" s="68">
        <v>147964</v>
      </c>
      <c r="E3736" s="68"/>
      <c r="F3736" s="68">
        <v>28264</v>
      </c>
      <c r="G3736" s="68">
        <v>176228</v>
      </c>
      <c r="H37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37" spans="1:8" hidden="1" x14ac:dyDescent="0.3">
      <c r="A3737" t="s">
        <v>1268</v>
      </c>
      <c r="B3737" t="s">
        <v>1291</v>
      </c>
      <c r="C3737" t="s">
        <v>36</v>
      </c>
      <c r="D3737" s="68">
        <v>77893</v>
      </c>
      <c r="E3737" s="68"/>
      <c r="F3737" s="68">
        <v>27759</v>
      </c>
      <c r="G3737" s="68">
        <v>105652</v>
      </c>
      <c r="H37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38" spans="1:8" hidden="1" x14ac:dyDescent="0.3">
      <c r="A3738" t="s">
        <v>1268</v>
      </c>
      <c r="B3738" t="s">
        <v>1291</v>
      </c>
      <c r="C3738" t="s">
        <v>30</v>
      </c>
      <c r="D3738" s="68">
        <v>5847</v>
      </c>
      <c r="E3738" s="68"/>
      <c r="F3738" s="68">
        <v>79057</v>
      </c>
      <c r="G3738" s="68">
        <v>84904</v>
      </c>
      <c r="H37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39" spans="1:8" hidden="1" x14ac:dyDescent="0.3">
      <c r="A3739" t="s">
        <v>1268</v>
      </c>
      <c r="B3739" t="s">
        <v>1291</v>
      </c>
      <c r="C3739" t="s">
        <v>26</v>
      </c>
      <c r="D3739" s="68">
        <v>31534</v>
      </c>
      <c r="E3739" s="68"/>
      <c r="F3739" s="68">
        <v>47439</v>
      </c>
      <c r="G3739" s="68">
        <v>78973</v>
      </c>
      <c r="H37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40" spans="1:8" hidden="1" x14ac:dyDescent="0.3">
      <c r="A3740" t="s">
        <v>1268</v>
      </c>
      <c r="B3740" t="s">
        <v>1291</v>
      </c>
      <c r="C3740" t="s">
        <v>587</v>
      </c>
      <c r="D3740" s="68">
        <v>5813</v>
      </c>
      <c r="E3740" s="68"/>
      <c r="F3740" s="68">
        <v>52762</v>
      </c>
      <c r="G3740" s="68">
        <v>58575</v>
      </c>
      <c r="H37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41" spans="1:8" hidden="1" x14ac:dyDescent="0.3">
      <c r="A3741" t="s">
        <v>1268</v>
      </c>
      <c r="B3741" t="s">
        <v>1291</v>
      </c>
      <c r="C3741" t="s">
        <v>37</v>
      </c>
      <c r="D3741" s="68">
        <v>26877</v>
      </c>
      <c r="E3741" s="68"/>
      <c r="F3741" s="68">
        <v>16915</v>
      </c>
      <c r="G3741" s="68">
        <v>43792</v>
      </c>
      <c r="H37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42" spans="1:8" hidden="1" x14ac:dyDescent="0.3">
      <c r="A3742" t="s">
        <v>1268</v>
      </c>
      <c r="B3742" t="s">
        <v>1291</v>
      </c>
      <c r="C3742" t="s">
        <v>27</v>
      </c>
      <c r="D3742" s="68"/>
      <c r="E3742" s="68">
        <v>12760</v>
      </c>
      <c r="F3742" s="68"/>
      <c r="G3742" s="68">
        <v>12760</v>
      </c>
      <c r="H37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43" spans="1:8" hidden="1" x14ac:dyDescent="0.3">
      <c r="A3743" t="s">
        <v>1268</v>
      </c>
      <c r="B3743" t="s">
        <v>1291</v>
      </c>
      <c r="C3743" t="s">
        <v>31</v>
      </c>
      <c r="D3743" s="68">
        <v>948</v>
      </c>
      <c r="E3743" s="68"/>
      <c r="F3743" s="68">
        <v>6961</v>
      </c>
      <c r="G3743" s="68">
        <v>7909</v>
      </c>
      <c r="H37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44" spans="1:8" hidden="1" x14ac:dyDescent="0.3">
      <c r="A3744" t="s">
        <v>1268</v>
      </c>
      <c r="B3744" t="s">
        <v>1291</v>
      </c>
      <c r="C3744" t="s">
        <v>35</v>
      </c>
      <c r="D3744" s="68">
        <v>61</v>
      </c>
      <c r="E3744" s="68"/>
      <c r="F3744" s="68"/>
      <c r="G3744" s="68">
        <v>61</v>
      </c>
      <c r="H37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45" spans="1:8" hidden="1" x14ac:dyDescent="0.3">
      <c r="A3745" t="s">
        <v>1268</v>
      </c>
      <c r="B3745" t="s">
        <v>1291</v>
      </c>
      <c r="C3745" t="s">
        <v>34</v>
      </c>
      <c r="D3745" s="68">
        <v>2</v>
      </c>
      <c r="E3745" s="68"/>
      <c r="F3745" s="68"/>
      <c r="G3745" s="68">
        <v>2</v>
      </c>
      <c r="H37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46" spans="1:8" hidden="1" x14ac:dyDescent="0.3">
      <c r="A3746" t="s">
        <v>1268</v>
      </c>
      <c r="B3746" t="s">
        <v>1292</v>
      </c>
      <c r="C3746" t="s">
        <v>587</v>
      </c>
      <c r="D3746" s="68">
        <v>491</v>
      </c>
      <c r="E3746" s="68"/>
      <c r="F3746" s="68">
        <v>8118</v>
      </c>
      <c r="G3746" s="68">
        <v>8609</v>
      </c>
      <c r="H37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47" spans="1:8" hidden="1" x14ac:dyDescent="0.3">
      <c r="A3747" t="s">
        <v>1268</v>
      </c>
      <c r="B3747" t="s">
        <v>1292</v>
      </c>
      <c r="C3747" t="s">
        <v>26</v>
      </c>
      <c r="D3747" s="68">
        <v>654</v>
      </c>
      <c r="E3747" s="68"/>
      <c r="F3747" s="68">
        <v>4439</v>
      </c>
      <c r="G3747" s="68">
        <v>5093</v>
      </c>
      <c r="H37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48" spans="1:8" hidden="1" x14ac:dyDescent="0.3">
      <c r="A3748" t="s">
        <v>1268</v>
      </c>
      <c r="B3748" t="s">
        <v>1292</v>
      </c>
      <c r="C3748" t="s">
        <v>30</v>
      </c>
      <c r="D3748" s="68">
        <v>121</v>
      </c>
      <c r="E3748" s="68"/>
      <c r="F3748" s="68">
        <v>2483</v>
      </c>
      <c r="G3748" s="68">
        <v>2604</v>
      </c>
      <c r="H37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49" spans="1:8" hidden="1" x14ac:dyDescent="0.3">
      <c r="A3749" t="s">
        <v>1268</v>
      </c>
      <c r="B3749" t="s">
        <v>1292</v>
      </c>
      <c r="C3749" t="s">
        <v>36</v>
      </c>
      <c r="D3749" s="68">
        <v>191</v>
      </c>
      <c r="E3749" s="68"/>
      <c r="F3749" s="68">
        <v>181</v>
      </c>
      <c r="G3749" s="68">
        <v>372</v>
      </c>
      <c r="H37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50" spans="1:8" hidden="1" x14ac:dyDescent="0.3">
      <c r="A3750" t="s">
        <v>1268</v>
      </c>
      <c r="B3750" t="s">
        <v>1292</v>
      </c>
      <c r="C3750" t="s">
        <v>27</v>
      </c>
      <c r="D3750" s="68"/>
      <c r="E3750" s="68">
        <v>149</v>
      </c>
      <c r="F3750" s="68"/>
      <c r="G3750" s="68">
        <v>149</v>
      </c>
      <c r="H37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51" spans="1:8" hidden="1" x14ac:dyDescent="0.3">
      <c r="A3751" t="s">
        <v>625</v>
      </c>
      <c r="B3751" t="s">
        <v>1066</v>
      </c>
      <c r="C3751" t="s">
        <v>40</v>
      </c>
      <c r="D3751" s="68">
        <v>206</v>
      </c>
      <c r="E3751" s="68"/>
      <c r="F3751" s="68">
        <v>3818</v>
      </c>
      <c r="G3751" s="68">
        <v>4024</v>
      </c>
      <c r="H37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52" spans="1:8" hidden="1" x14ac:dyDescent="0.3">
      <c r="A3752" t="s">
        <v>625</v>
      </c>
      <c r="B3752" t="s">
        <v>1066</v>
      </c>
      <c r="C3752" t="s">
        <v>38</v>
      </c>
      <c r="D3752" s="68">
        <v>139</v>
      </c>
      <c r="E3752" s="68"/>
      <c r="F3752" s="68">
        <v>2196</v>
      </c>
      <c r="G3752" s="68">
        <v>2335</v>
      </c>
      <c r="H37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53" spans="1:8" hidden="1" x14ac:dyDescent="0.3">
      <c r="A3753" t="s">
        <v>625</v>
      </c>
      <c r="B3753" t="s">
        <v>1066</v>
      </c>
      <c r="C3753" t="s">
        <v>5</v>
      </c>
      <c r="D3753" s="68">
        <v>106</v>
      </c>
      <c r="E3753" s="68"/>
      <c r="F3753" s="68">
        <v>572</v>
      </c>
      <c r="G3753" s="68">
        <v>678</v>
      </c>
      <c r="H37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54" spans="1:8" hidden="1" x14ac:dyDescent="0.3">
      <c r="A3754" t="s">
        <v>625</v>
      </c>
      <c r="B3754" t="s">
        <v>1066</v>
      </c>
      <c r="C3754" t="s">
        <v>26</v>
      </c>
      <c r="D3754" s="68">
        <v>168</v>
      </c>
      <c r="E3754" s="68"/>
      <c r="F3754" s="68">
        <v>153</v>
      </c>
      <c r="G3754" s="68">
        <v>321</v>
      </c>
      <c r="H37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55" spans="1:8" hidden="1" x14ac:dyDescent="0.3">
      <c r="A3755" t="s">
        <v>625</v>
      </c>
      <c r="B3755" t="s">
        <v>1066</v>
      </c>
      <c r="C3755" t="s">
        <v>27</v>
      </c>
      <c r="D3755" s="68"/>
      <c r="E3755" s="68">
        <v>196</v>
      </c>
      <c r="F3755" s="68"/>
      <c r="G3755" s="68">
        <v>196</v>
      </c>
      <c r="H37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56" spans="1:8" hidden="1" x14ac:dyDescent="0.3">
      <c r="A3756" t="s">
        <v>625</v>
      </c>
      <c r="B3756" t="s">
        <v>1293</v>
      </c>
      <c r="C3756" t="s">
        <v>25</v>
      </c>
      <c r="D3756" s="68">
        <v>616</v>
      </c>
      <c r="E3756" s="68"/>
      <c r="F3756" s="68">
        <v>5089</v>
      </c>
      <c r="G3756" s="68">
        <v>5705</v>
      </c>
      <c r="H37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57" spans="1:8" hidden="1" x14ac:dyDescent="0.3">
      <c r="A3757" t="s">
        <v>625</v>
      </c>
      <c r="B3757" t="s">
        <v>1293</v>
      </c>
      <c r="C3757" t="s">
        <v>40</v>
      </c>
      <c r="D3757" s="68">
        <v>153</v>
      </c>
      <c r="E3757" s="68"/>
      <c r="F3757" s="68">
        <v>1467</v>
      </c>
      <c r="G3757" s="68">
        <v>1620</v>
      </c>
      <c r="H37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58" spans="1:8" hidden="1" x14ac:dyDescent="0.3">
      <c r="A3758" t="s">
        <v>625</v>
      </c>
      <c r="B3758" t="s">
        <v>1293</v>
      </c>
      <c r="C3758" t="s">
        <v>26</v>
      </c>
      <c r="D3758" s="68">
        <v>109</v>
      </c>
      <c r="E3758" s="68"/>
      <c r="F3758" s="68">
        <v>36</v>
      </c>
      <c r="G3758" s="68">
        <v>145</v>
      </c>
      <c r="H37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59" spans="1:8" hidden="1" x14ac:dyDescent="0.3">
      <c r="A3759" t="s">
        <v>625</v>
      </c>
      <c r="B3759" t="s">
        <v>1293</v>
      </c>
      <c r="C3759" t="s">
        <v>27</v>
      </c>
      <c r="D3759" s="68"/>
      <c r="E3759" s="68">
        <v>36</v>
      </c>
      <c r="F3759" s="68"/>
      <c r="G3759" s="68">
        <v>36</v>
      </c>
      <c r="H37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60" spans="1:8" hidden="1" x14ac:dyDescent="0.3">
      <c r="A3760" t="s">
        <v>625</v>
      </c>
      <c r="B3760" t="s">
        <v>1294</v>
      </c>
      <c r="C3760" t="s">
        <v>40</v>
      </c>
      <c r="D3760" s="68">
        <v>110</v>
      </c>
      <c r="E3760" s="68"/>
      <c r="F3760" s="68">
        <v>3492</v>
      </c>
      <c r="G3760" s="68">
        <v>3602</v>
      </c>
      <c r="H37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61" spans="1:8" hidden="1" x14ac:dyDescent="0.3">
      <c r="A3761" t="s">
        <v>625</v>
      </c>
      <c r="B3761" t="s">
        <v>1294</v>
      </c>
      <c r="C3761" t="s">
        <v>5</v>
      </c>
      <c r="D3761" s="68">
        <v>150</v>
      </c>
      <c r="E3761" s="68"/>
      <c r="F3761" s="68">
        <v>2094</v>
      </c>
      <c r="G3761" s="68">
        <v>2244</v>
      </c>
      <c r="H37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62" spans="1:8" hidden="1" x14ac:dyDescent="0.3">
      <c r="A3762" t="s">
        <v>625</v>
      </c>
      <c r="B3762" t="s">
        <v>1294</v>
      </c>
      <c r="C3762" t="s">
        <v>26</v>
      </c>
      <c r="D3762" s="68">
        <v>225</v>
      </c>
      <c r="E3762" s="68"/>
      <c r="F3762" s="68">
        <v>157</v>
      </c>
      <c r="G3762" s="68">
        <v>382</v>
      </c>
      <c r="H37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63" spans="1:8" hidden="1" x14ac:dyDescent="0.3">
      <c r="A3763" t="s">
        <v>625</v>
      </c>
      <c r="B3763" t="s">
        <v>1294</v>
      </c>
      <c r="C3763" t="s">
        <v>27</v>
      </c>
      <c r="D3763" s="68"/>
      <c r="E3763" s="68">
        <v>141</v>
      </c>
      <c r="F3763" s="68"/>
      <c r="G3763" s="68">
        <v>141</v>
      </c>
      <c r="H37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64" spans="1:8" hidden="1" x14ac:dyDescent="0.3">
      <c r="A3764" t="s">
        <v>625</v>
      </c>
      <c r="B3764" t="s">
        <v>1295</v>
      </c>
      <c r="C3764" t="s">
        <v>40</v>
      </c>
      <c r="D3764" s="68">
        <v>156</v>
      </c>
      <c r="E3764" s="68"/>
      <c r="F3764" s="68">
        <v>3561</v>
      </c>
      <c r="G3764" s="68">
        <v>3717</v>
      </c>
      <c r="H37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65" spans="1:8" hidden="1" x14ac:dyDescent="0.3">
      <c r="A3765" t="s">
        <v>625</v>
      </c>
      <c r="B3765" t="s">
        <v>1295</v>
      </c>
      <c r="C3765" t="s">
        <v>5</v>
      </c>
      <c r="D3765" s="68">
        <v>138</v>
      </c>
      <c r="E3765" s="68"/>
      <c r="F3765" s="68">
        <v>1920</v>
      </c>
      <c r="G3765" s="68">
        <v>2058</v>
      </c>
      <c r="H37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66" spans="1:8" hidden="1" x14ac:dyDescent="0.3">
      <c r="A3766" t="s">
        <v>625</v>
      </c>
      <c r="B3766" t="s">
        <v>1295</v>
      </c>
      <c r="C3766" t="s">
        <v>26</v>
      </c>
      <c r="D3766" s="68">
        <v>123</v>
      </c>
      <c r="E3766" s="68"/>
      <c r="F3766" s="68">
        <v>154</v>
      </c>
      <c r="G3766" s="68">
        <v>277</v>
      </c>
      <c r="H37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67" spans="1:8" hidden="1" x14ac:dyDescent="0.3">
      <c r="A3767" t="s">
        <v>625</v>
      </c>
      <c r="B3767" t="s">
        <v>1295</v>
      </c>
      <c r="C3767" t="s">
        <v>27</v>
      </c>
      <c r="D3767" s="68"/>
      <c r="E3767" s="68">
        <v>59</v>
      </c>
      <c r="F3767" s="68"/>
      <c r="G3767" s="68">
        <v>59</v>
      </c>
      <c r="H37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68" spans="1:8" hidden="1" x14ac:dyDescent="0.3">
      <c r="A3768" t="s">
        <v>625</v>
      </c>
      <c r="B3768" t="s">
        <v>1296</v>
      </c>
      <c r="C3768" t="s">
        <v>40</v>
      </c>
      <c r="D3768" s="68">
        <v>972</v>
      </c>
      <c r="E3768" s="68"/>
      <c r="F3768" s="68">
        <v>31634</v>
      </c>
      <c r="G3768" s="68">
        <v>32606</v>
      </c>
      <c r="H37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69" spans="1:8" hidden="1" x14ac:dyDescent="0.3">
      <c r="A3769" t="s">
        <v>625</v>
      </c>
      <c r="B3769" t="s">
        <v>1296</v>
      </c>
      <c r="C3769" t="s">
        <v>38</v>
      </c>
      <c r="D3769" s="68">
        <v>47</v>
      </c>
      <c r="E3769" s="68"/>
      <c r="F3769" s="68">
        <v>2081</v>
      </c>
      <c r="G3769" s="68">
        <v>2128</v>
      </c>
      <c r="H37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70" spans="1:8" hidden="1" x14ac:dyDescent="0.3">
      <c r="A3770" t="s">
        <v>625</v>
      </c>
      <c r="B3770" t="s">
        <v>1296</v>
      </c>
      <c r="C3770" t="s">
        <v>27</v>
      </c>
      <c r="D3770" s="68"/>
      <c r="E3770" s="68">
        <v>1053</v>
      </c>
      <c r="F3770" s="68"/>
      <c r="G3770" s="68">
        <v>1053</v>
      </c>
      <c r="H37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71" spans="1:8" hidden="1" x14ac:dyDescent="0.3">
      <c r="A3771" t="s">
        <v>625</v>
      </c>
      <c r="B3771" t="s">
        <v>1296</v>
      </c>
      <c r="C3771" t="s">
        <v>26</v>
      </c>
      <c r="D3771" s="68">
        <v>507</v>
      </c>
      <c r="E3771" s="68"/>
      <c r="F3771" s="68">
        <v>296</v>
      </c>
      <c r="G3771" s="68">
        <v>803</v>
      </c>
      <c r="H37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72" spans="1:8" hidden="1" x14ac:dyDescent="0.3">
      <c r="A3772" t="s">
        <v>625</v>
      </c>
      <c r="B3772" t="s">
        <v>1296</v>
      </c>
      <c r="C3772" t="s">
        <v>5</v>
      </c>
      <c r="D3772" s="68"/>
      <c r="E3772" s="68"/>
      <c r="F3772" s="68">
        <v>1</v>
      </c>
      <c r="G3772" s="68">
        <v>1</v>
      </c>
      <c r="H37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73" spans="1:8" hidden="1" x14ac:dyDescent="0.3">
      <c r="A3773" t="s">
        <v>625</v>
      </c>
      <c r="B3773" t="s">
        <v>763</v>
      </c>
      <c r="C3773" t="s">
        <v>40</v>
      </c>
      <c r="D3773" s="68">
        <v>127</v>
      </c>
      <c r="E3773" s="68"/>
      <c r="F3773" s="68">
        <v>2939</v>
      </c>
      <c r="G3773" s="68">
        <v>3066</v>
      </c>
      <c r="H37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74" spans="1:8" hidden="1" x14ac:dyDescent="0.3">
      <c r="A3774" t="s">
        <v>625</v>
      </c>
      <c r="B3774" t="s">
        <v>763</v>
      </c>
      <c r="C3774" t="s">
        <v>5</v>
      </c>
      <c r="D3774" s="68">
        <v>181</v>
      </c>
      <c r="E3774" s="68"/>
      <c r="F3774" s="68">
        <v>1352</v>
      </c>
      <c r="G3774" s="68">
        <v>1533</v>
      </c>
      <c r="H37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75" spans="1:8" hidden="1" x14ac:dyDescent="0.3">
      <c r="A3775" t="s">
        <v>625</v>
      </c>
      <c r="B3775" t="s">
        <v>763</v>
      </c>
      <c r="C3775" t="s">
        <v>27</v>
      </c>
      <c r="D3775" s="68"/>
      <c r="E3775" s="68">
        <v>172</v>
      </c>
      <c r="F3775" s="68"/>
      <c r="G3775" s="68">
        <v>172</v>
      </c>
      <c r="H37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76" spans="1:8" hidden="1" x14ac:dyDescent="0.3">
      <c r="A3776" t="s">
        <v>625</v>
      </c>
      <c r="B3776" t="s">
        <v>763</v>
      </c>
      <c r="C3776" t="s">
        <v>26</v>
      </c>
      <c r="D3776" s="68">
        <v>84</v>
      </c>
      <c r="E3776" s="68"/>
      <c r="F3776" s="68">
        <v>57</v>
      </c>
      <c r="G3776" s="68">
        <v>141</v>
      </c>
      <c r="H37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77" spans="1:8" hidden="1" x14ac:dyDescent="0.3">
      <c r="A3777" t="s">
        <v>625</v>
      </c>
      <c r="B3777" t="s">
        <v>1297</v>
      </c>
      <c r="C3777" t="s">
        <v>40</v>
      </c>
      <c r="D3777" s="68">
        <v>476</v>
      </c>
      <c r="E3777" s="68"/>
      <c r="F3777" s="68">
        <v>12262</v>
      </c>
      <c r="G3777" s="68">
        <v>12738</v>
      </c>
      <c r="H37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78" spans="1:8" hidden="1" x14ac:dyDescent="0.3">
      <c r="A3778" t="s">
        <v>625</v>
      </c>
      <c r="B3778" t="s">
        <v>1297</v>
      </c>
      <c r="C3778" t="s">
        <v>5</v>
      </c>
      <c r="D3778" s="68">
        <v>442</v>
      </c>
      <c r="E3778" s="68"/>
      <c r="F3778" s="68">
        <v>4085</v>
      </c>
      <c r="G3778" s="68">
        <v>4527</v>
      </c>
      <c r="H37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79" spans="1:8" hidden="1" x14ac:dyDescent="0.3">
      <c r="A3779" t="s">
        <v>625</v>
      </c>
      <c r="B3779" t="s">
        <v>1297</v>
      </c>
      <c r="C3779" t="s">
        <v>26</v>
      </c>
      <c r="D3779" s="68">
        <v>539</v>
      </c>
      <c r="E3779" s="68"/>
      <c r="F3779" s="68">
        <v>1279</v>
      </c>
      <c r="G3779" s="68">
        <v>1818</v>
      </c>
      <c r="H37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80" spans="1:8" hidden="1" x14ac:dyDescent="0.3">
      <c r="A3780" t="s">
        <v>625</v>
      </c>
      <c r="B3780" t="s">
        <v>1297</v>
      </c>
      <c r="C3780" t="s">
        <v>27</v>
      </c>
      <c r="D3780" s="68"/>
      <c r="E3780" s="68">
        <v>196</v>
      </c>
      <c r="F3780" s="68"/>
      <c r="G3780" s="68">
        <v>196</v>
      </c>
      <c r="H37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81" spans="1:8" hidden="1" x14ac:dyDescent="0.3">
      <c r="A3781" t="s">
        <v>625</v>
      </c>
      <c r="B3781" t="s">
        <v>1298</v>
      </c>
      <c r="C3781" t="s">
        <v>40</v>
      </c>
      <c r="D3781" s="68">
        <v>559</v>
      </c>
      <c r="E3781" s="68"/>
      <c r="F3781" s="68">
        <v>7303</v>
      </c>
      <c r="G3781" s="68">
        <v>7862</v>
      </c>
      <c r="H37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82" spans="1:8" hidden="1" x14ac:dyDescent="0.3">
      <c r="A3782" t="s">
        <v>625</v>
      </c>
      <c r="B3782" t="s">
        <v>1298</v>
      </c>
      <c r="C3782" t="s">
        <v>5</v>
      </c>
      <c r="D3782" s="68">
        <v>402</v>
      </c>
      <c r="E3782" s="68"/>
      <c r="F3782" s="68">
        <v>1533</v>
      </c>
      <c r="G3782" s="68">
        <v>1935</v>
      </c>
      <c r="H37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83" spans="1:8" hidden="1" x14ac:dyDescent="0.3">
      <c r="A3783" t="s">
        <v>625</v>
      </c>
      <c r="B3783" t="s">
        <v>1298</v>
      </c>
      <c r="C3783" t="s">
        <v>26</v>
      </c>
      <c r="D3783" s="68">
        <v>445</v>
      </c>
      <c r="E3783" s="68"/>
      <c r="F3783" s="68">
        <v>263</v>
      </c>
      <c r="G3783" s="68">
        <v>708</v>
      </c>
      <c r="H37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84" spans="1:8" hidden="1" x14ac:dyDescent="0.3">
      <c r="A3784" t="s">
        <v>625</v>
      </c>
      <c r="B3784" t="s">
        <v>1298</v>
      </c>
      <c r="C3784" t="s">
        <v>27</v>
      </c>
      <c r="D3784" s="68"/>
      <c r="E3784" s="68">
        <v>42</v>
      </c>
      <c r="F3784" s="68"/>
      <c r="G3784" s="68">
        <v>42</v>
      </c>
      <c r="H37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85" spans="1:8" hidden="1" x14ac:dyDescent="0.3">
      <c r="A3785" t="s">
        <v>625</v>
      </c>
      <c r="B3785" t="s">
        <v>1299</v>
      </c>
      <c r="C3785" t="s">
        <v>40</v>
      </c>
      <c r="D3785" s="68">
        <v>178</v>
      </c>
      <c r="E3785" s="68"/>
      <c r="F3785" s="68">
        <v>5321</v>
      </c>
      <c r="G3785" s="68">
        <v>5499</v>
      </c>
      <c r="H37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86" spans="1:8" hidden="1" x14ac:dyDescent="0.3">
      <c r="A3786" t="s">
        <v>625</v>
      </c>
      <c r="B3786" t="s">
        <v>1299</v>
      </c>
      <c r="C3786" t="s">
        <v>38</v>
      </c>
      <c r="D3786" s="68">
        <v>70</v>
      </c>
      <c r="E3786" s="68"/>
      <c r="F3786" s="68">
        <v>1681</v>
      </c>
      <c r="G3786" s="68">
        <v>1751</v>
      </c>
      <c r="H37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87" spans="1:8" hidden="1" x14ac:dyDescent="0.3">
      <c r="A3787" t="s">
        <v>625</v>
      </c>
      <c r="B3787" t="s">
        <v>1299</v>
      </c>
      <c r="C3787" t="s">
        <v>26</v>
      </c>
      <c r="D3787" s="68">
        <v>175</v>
      </c>
      <c r="E3787" s="68"/>
      <c r="F3787" s="68">
        <v>117</v>
      </c>
      <c r="G3787" s="68">
        <v>292</v>
      </c>
      <c r="H37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88" spans="1:8" hidden="1" x14ac:dyDescent="0.3">
      <c r="A3788" t="s">
        <v>625</v>
      </c>
      <c r="B3788" t="s">
        <v>1299</v>
      </c>
      <c r="C3788" t="s">
        <v>27</v>
      </c>
      <c r="D3788" s="68"/>
      <c r="E3788" s="68">
        <v>143</v>
      </c>
      <c r="F3788" s="68"/>
      <c r="G3788" s="68">
        <v>143</v>
      </c>
      <c r="H37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89" spans="1:8" hidden="1" x14ac:dyDescent="0.3">
      <c r="A3789" t="s">
        <v>625</v>
      </c>
      <c r="B3789" t="s">
        <v>1299</v>
      </c>
      <c r="C3789" t="s">
        <v>588</v>
      </c>
      <c r="D3789" s="68"/>
      <c r="E3789" s="68"/>
      <c r="F3789" s="68">
        <v>1</v>
      </c>
      <c r="G3789" s="68">
        <v>1</v>
      </c>
      <c r="H37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90" spans="1:8" hidden="1" x14ac:dyDescent="0.3">
      <c r="A3790" t="s">
        <v>625</v>
      </c>
      <c r="B3790" t="s">
        <v>1300</v>
      </c>
      <c r="C3790" t="s">
        <v>40</v>
      </c>
      <c r="D3790" s="68">
        <v>329</v>
      </c>
      <c r="E3790" s="68"/>
      <c r="F3790" s="68">
        <v>5716</v>
      </c>
      <c r="G3790" s="68">
        <v>6045</v>
      </c>
      <c r="H37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91" spans="1:8" hidden="1" x14ac:dyDescent="0.3">
      <c r="A3791" t="s">
        <v>625</v>
      </c>
      <c r="B3791" t="s">
        <v>1300</v>
      </c>
      <c r="C3791" t="s">
        <v>5</v>
      </c>
      <c r="D3791" s="68">
        <v>242</v>
      </c>
      <c r="E3791" s="68"/>
      <c r="F3791" s="68">
        <v>1554</v>
      </c>
      <c r="G3791" s="68">
        <v>1796</v>
      </c>
      <c r="H37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92" spans="1:8" hidden="1" x14ac:dyDescent="0.3">
      <c r="A3792" t="s">
        <v>625</v>
      </c>
      <c r="B3792" t="s">
        <v>1300</v>
      </c>
      <c r="C3792" t="s">
        <v>26</v>
      </c>
      <c r="D3792" s="68">
        <v>255</v>
      </c>
      <c r="E3792" s="68"/>
      <c r="F3792" s="68">
        <v>474</v>
      </c>
      <c r="G3792" s="68">
        <v>729</v>
      </c>
      <c r="H37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93" spans="1:8" hidden="1" x14ac:dyDescent="0.3">
      <c r="A3793" t="s">
        <v>625</v>
      </c>
      <c r="B3793" t="s">
        <v>1300</v>
      </c>
      <c r="C3793" t="s">
        <v>27</v>
      </c>
      <c r="D3793" s="68"/>
      <c r="E3793" s="68">
        <v>137</v>
      </c>
      <c r="F3793" s="68"/>
      <c r="G3793" s="68">
        <v>137</v>
      </c>
      <c r="H37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94" spans="1:8" hidden="1" x14ac:dyDescent="0.3">
      <c r="A3794" t="s">
        <v>625</v>
      </c>
      <c r="B3794" t="s">
        <v>1301</v>
      </c>
      <c r="C3794" t="s">
        <v>40</v>
      </c>
      <c r="D3794" s="68">
        <v>216</v>
      </c>
      <c r="E3794" s="68"/>
      <c r="F3794" s="68">
        <v>2685</v>
      </c>
      <c r="G3794" s="68">
        <v>2901</v>
      </c>
      <c r="H37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95" spans="1:8" hidden="1" x14ac:dyDescent="0.3">
      <c r="A3795" t="s">
        <v>625</v>
      </c>
      <c r="B3795" t="s">
        <v>1301</v>
      </c>
      <c r="C3795" t="s">
        <v>25</v>
      </c>
      <c r="D3795" s="68">
        <v>246</v>
      </c>
      <c r="E3795" s="68"/>
      <c r="F3795" s="68">
        <v>2571</v>
      </c>
      <c r="G3795" s="68">
        <v>2817</v>
      </c>
      <c r="H37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96" spans="1:8" hidden="1" x14ac:dyDescent="0.3">
      <c r="A3796" t="s">
        <v>625</v>
      </c>
      <c r="B3796" t="s">
        <v>1301</v>
      </c>
      <c r="C3796" t="s">
        <v>5</v>
      </c>
      <c r="D3796" s="68">
        <v>71</v>
      </c>
      <c r="E3796" s="68"/>
      <c r="F3796" s="68">
        <v>456</v>
      </c>
      <c r="G3796" s="68">
        <v>527</v>
      </c>
      <c r="H37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97" spans="1:8" hidden="1" x14ac:dyDescent="0.3">
      <c r="A3797" t="s">
        <v>625</v>
      </c>
      <c r="B3797" t="s">
        <v>1301</v>
      </c>
      <c r="C3797" t="s">
        <v>26</v>
      </c>
      <c r="D3797" s="68">
        <v>109</v>
      </c>
      <c r="E3797" s="68"/>
      <c r="F3797" s="68">
        <v>58</v>
      </c>
      <c r="G3797" s="68">
        <v>167</v>
      </c>
      <c r="H37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98" spans="1:8" hidden="1" x14ac:dyDescent="0.3">
      <c r="A3798" t="s">
        <v>625</v>
      </c>
      <c r="B3798" t="s">
        <v>1301</v>
      </c>
      <c r="C3798" t="s">
        <v>27</v>
      </c>
      <c r="D3798" s="68"/>
      <c r="E3798" s="68">
        <v>56</v>
      </c>
      <c r="F3798" s="68"/>
      <c r="G3798" s="68">
        <v>56</v>
      </c>
      <c r="H37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799" spans="1:8" hidden="1" x14ac:dyDescent="0.3">
      <c r="A3799" t="s">
        <v>625</v>
      </c>
      <c r="B3799" t="s">
        <v>724</v>
      </c>
      <c r="C3799" t="s">
        <v>25</v>
      </c>
      <c r="D3799" s="68">
        <v>447</v>
      </c>
      <c r="E3799" s="68"/>
      <c r="F3799" s="68">
        <v>6901</v>
      </c>
      <c r="G3799" s="68">
        <v>7348</v>
      </c>
      <c r="H37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00" spans="1:8" hidden="1" x14ac:dyDescent="0.3">
      <c r="A3800" t="s">
        <v>625</v>
      </c>
      <c r="B3800" t="s">
        <v>724</v>
      </c>
      <c r="C3800" t="s">
        <v>40</v>
      </c>
      <c r="D3800" s="68">
        <v>231</v>
      </c>
      <c r="E3800" s="68"/>
      <c r="F3800" s="68">
        <v>6166</v>
      </c>
      <c r="G3800" s="68">
        <v>6397</v>
      </c>
      <c r="H38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01" spans="1:8" hidden="1" x14ac:dyDescent="0.3">
      <c r="A3801" t="s">
        <v>625</v>
      </c>
      <c r="B3801" t="s">
        <v>724</v>
      </c>
      <c r="C3801" t="s">
        <v>26</v>
      </c>
      <c r="D3801" s="68">
        <v>123</v>
      </c>
      <c r="E3801" s="68"/>
      <c r="F3801" s="68">
        <v>67</v>
      </c>
      <c r="G3801" s="68">
        <v>190</v>
      </c>
      <c r="H38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02" spans="1:8" hidden="1" x14ac:dyDescent="0.3">
      <c r="A3802" t="s">
        <v>625</v>
      </c>
      <c r="B3802" t="s">
        <v>724</v>
      </c>
      <c r="C3802" t="s">
        <v>27</v>
      </c>
      <c r="D3802" s="68"/>
      <c r="E3802" s="68">
        <v>143</v>
      </c>
      <c r="F3802" s="68"/>
      <c r="G3802" s="68">
        <v>143</v>
      </c>
      <c r="H38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03" spans="1:8" hidden="1" x14ac:dyDescent="0.3">
      <c r="A3803" t="s">
        <v>625</v>
      </c>
      <c r="B3803" t="s">
        <v>724</v>
      </c>
      <c r="C3803" t="s">
        <v>5</v>
      </c>
      <c r="D3803" s="68">
        <v>1</v>
      </c>
      <c r="E3803" s="68"/>
      <c r="F3803" s="68">
        <v>1</v>
      </c>
      <c r="G3803" s="68">
        <v>2</v>
      </c>
      <c r="H38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04" spans="1:8" hidden="1" x14ac:dyDescent="0.3">
      <c r="A3804" t="s">
        <v>625</v>
      </c>
      <c r="B3804" t="s">
        <v>1302</v>
      </c>
      <c r="C3804" t="s">
        <v>25</v>
      </c>
      <c r="D3804" s="68">
        <v>322</v>
      </c>
      <c r="E3804" s="68"/>
      <c r="F3804" s="68">
        <v>6141</v>
      </c>
      <c r="G3804" s="68">
        <v>6463</v>
      </c>
      <c r="H38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05" spans="1:8" hidden="1" x14ac:dyDescent="0.3">
      <c r="A3805" t="s">
        <v>625</v>
      </c>
      <c r="B3805" t="s">
        <v>1302</v>
      </c>
      <c r="C3805" t="s">
        <v>40</v>
      </c>
      <c r="D3805" s="68">
        <v>226</v>
      </c>
      <c r="E3805" s="68"/>
      <c r="F3805" s="68">
        <v>2525</v>
      </c>
      <c r="G3805" s="68">
        <v>2751</v>
      </c>
      <c r="H38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06" spans="1:8" hidden="1" x14ac:dyDescent="0.3">
      <c r="A3806" t="s">
        <v>625</v>
      </c>
      <c r="B3806" t="s">
        <v>1302</v>
      </c>
      <c r="C3806" t="s">
        <v>26</v>
      </c>
      <c r="D3806" s="68">
        <v>46</v>
      </c>
      <c r="E3806" s="68"/>
      <c r="F3806" s="68">
        <v>32</v>
      </c>
      <c r="G3806" s="68">
        <v>78</v>
      </c>
      <c r="H38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07" spans="1:8" hidden="1" x14ac:dyDescent="0.3">
      <c r="A3807" t="s">
        <v>625</v>
      </c>
      <c r="B3807" t="s">
        <v>1302</v>
      </c>
      <c r="C3807" t="s">
        <v>27</v>
      </c>
      <c r="D3807" s="68"/>
      <c r="E3807" s="68">
        <v>71</v>
      </c>
      <c r="F3807" s="68"/>
      <c r="G3807" s="68">
        <v>71</v>
      </c>
      <c r="H38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08" spans="1:8" hidden="1" x14ac:dyDescent="0.3">
      <c r="A3808" t="s">
        <v>625</v>
      </c>
      <c r="B3808" t="s">
        <v>1303</v>
      </c>
      <c r="C3808" t="s">
        <v>25</v>
      </c>
      <c r="D3808" s="68">
        <v>2253</v>
      </c>
      <c r="E3808" s="68"/>
      <c r="F3808" s="68">
        <v>30542</v>
      </c>
      <c r="G3808" s="68">
        <v>32795</v>
      </c>
      <c r="H38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09" spans="1:8" hidden="1" x14ac:dyDescent="0.3">
      <c r="A3809" t="s">
        <v>625</v>
      </c>
      <c r="B3809" t="s">
        <v>1303</v>
      </c>
      <c r="C3809" t="s">
        <v>40</v>
      </c>
      <c r="D3809" s="68">
        <v>90</v>
      </c>
      <c r="E3809" s="68"/>
      <c r="F3809" s="68">
        <v>512</v>
      </c>
      <c r="G3809" s="68">
        <v>602</v>
      </c>
      <c r="H38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10" spans="1:8" hidden="1" x14ac:dyDescent="0.3">
      <c r="A3810" t="s">
        <v>625</v>
      </c>
      <c r="B3810" t="s">
        <v>1303</v>
      </c>
      <c r="C3810" t="s">
        <v>27</v>
      </c>
      <c r="D3810" s="68"/>
      <c r="E3810" s="68">
        <v>570</v>
      </c>
      <c r="F3810" s="68"/>
      <c r="G3810" s="68">
        <v>570</v>
      </c>
      <c r="H38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11" spans="1:8" hidden="1" x14ac:dyDescent="0.3">
      <c r="A3811" t="s">
        <v>625</v>
      </c>
      <c r="B3811" t="s">
        <v>1303</v>
      </c>
      <c r="C3811" t="s">
        <v>26</v>
      </c>
      <c r="D3811" s="68">
        <v>262</v>
      </c>
      <c r="E3811" s="68"/>
      <c r="F3811" s="68">
        <v>101</v>
      </c>
      <c r="G3811" s="68">
        <v>363</v>
      </c>
      <c r="H38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12" spans="1:8" hidden="1" x14ac:dyDescent="0.3">
      <c r="A3812" t="s">
        <v>625</v>
      </c>
      <c r="B3812" t="s">
        <v>1303</v>
      </c>
      <c r="C3812" t="s">
        <v>38</v>
      </c>
      <c r="D3812" s="68">
        <v>1</v>
      </c>
      <c r="E3812" s="68"/>
      <c r="F3812" s="68">
        <v>3</v>
      </c>
      <c r="G3812" s="68">
        <v>4</v>
      </c>
      <c r="H38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13" spans="1:8" hidden="1" x14ac:dyDescent="0.3">
      <c r="A3813" t="s">
        <v>625</v>
      </c>
      <c r="B3813" t="s">
        <v>1303</v>
      </c>
      <c r="C3813" t="s">
        <v>5</v>
      </c>
      <c r="D3813" s="68"/>
      <c r="E3813" s="68"/>
      <c r="F3813" s="68">
        <v>1</v>
      </c>
      <c r="G3813" s="68">
        <v>1</v>
      </c>
      <c r="H38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14" spans="1:8" hidden="1" x14ac:dyDescent="0.3">
      <c r="A3814" t="s">
        <v>625</v>
      </c>
      <c r="B3814" t="s">
        <v>1304</v>
      </c>
      <c r="C3814" t="s">
        <v>38</v>
      </c>
      <c r="D3814" s="68">
        <v>122</v>
      </c>
      <c r="E3814" s="68"/>
      <c r="F3814" s="68">
        <v>4205</v>
      </c>
      <c r="G3814" s="68">
        <v>4327</v>
      </c>
      <c r="H38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15" spans="1:8" hidden="1" x14ac:dyDescent="0.3">
      <c r="A3815" t="s">
        <v>625</v>
      </c>
      <c r="B3815" t="s">
        <v>1304</v>
      </c>
      <c r="C3815" t="s">
        <v>40</v>
      </c>
      <c r="D3815" s="68">
        <v>113</v>
      </c>
      <c r="E3815" s="68"/>
      <c r="F3815" s="68">
        <v>2921</v>
      </c>
      <c r="G3815" s="68">
        <v>3034</v>
      </c>
      <c r="H38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16" spans="1:8" hidden="1" x14ac:dyDescent="0.3">
      <c r="A3816" t="s">
        <v>625</v>
      </c>
      <c r="B3816" t="s">
        <v>1304</v>
      </c>
      <c r="C3816" t="s">
        <v>26</v>
      </c>
      <c r="D3816" s="68">
        <v>61</v>
      </c>
      <c r="E3816" s="68"/>
      <c r="F3816" s="68">
        <v>134</v>
      </c>
      <c r="G3816" s="68">
        <v>195</v>
      </c>
      <c r="H38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17" spans="1:8" hidden="1" x14ac:dyDescent="0.3">
      <c r="A3817" t="s">
        <v>625</v>
      </c>
      <c r="B3817" t="s">
        <v>1304</v>
      </c>
      <c r="C3817" t="s">
        <v>27</v>
      </c>
      <c r="D3817" s="68"/>
      <c r="E3817" s="68">
        <v>155</v>
      </c>
      <c r="F3817" s="68"/>
      <c r="G3817" s="68">
        <v>155</v>
      </c>
      <c r="H38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18" spans="1:8" hidden="1" x14ac:dyDescent="0.3">
      <c r="A3818" t="s">
        <v>625</v>
      </c>
      <c r="B3818" t="s">
        <v>1305</v>
      </c>
      <c r="C3818" t="s">
        <v>38</v>
      </c>
      <c r="D3818" s="68">
        <v>750</v>
      </c>
      <c r="E3818" s="68"/>
      <c r="F3818" s="68">
        <v>19993</v>
      </c>
      <c r="G3818" s="68">
        <v>20743</v>
      </c>
      <c r="H38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19" spans="1:8" hidden="1" x14ac:dyDescent="0.3">
      <c r="A3819" t="s">
        <v>625</v>
      </c>
      <c r="B3819" t="s">
        <v>1305</v>
      </c>
      <c r="C3819" t="s">
        <v>27</v>
      </c>
      <c r="D3819" s="68"/>
      <c r="E3819" s="68">
        <v>698</v>
      </c>
      <c r="F3819" s="68"/>
      <c r="G3819" s="68">
        <v>698</v>
      </c>
      <c r="H38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20" spans="1:8" hidden="1" x14ac:dyDescent="0.3">
      <c r="A3820" t="s">
        <v>625</v>
      </c>
      <c r="B3820" t="s">
        <v>1305</v>
      </c>
      <c r="C3820" t="s">
        <v>26</v>
      </c>
      <c r="D3820" s="68">
        <v>206</v>
      </c>
      <c r="E3820" s="68"/>
      <c r="F3820" s="68">
        <v>175</v>
      </c>
      <c r="G3820" s="68">
        <v>381</v>
      </c>
      <c r="H38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21" spans="1:8" hidden="1" x14ac:dyDescent="0.3">
      <c r="A3821" t="s">
        <v>625</v>
      </c>
      <c r="B3821" t="s">
        <v>1306</v>
      </c>
      <c r="C3821" t="s">
        <v>40</v>
      </c>
      <c r="D3821" s="68">
        <v>162</v>
      </c>
      <c r="E3821" s="68"/>
      <c r="F3821" s="68">
        <v>4017</v>
      </c>
      <c r="G3821" s="68">
        <v>4179</v>
      </c>
      <c r="H38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22" spans="1:8" hidden="1" x14ac:dyDescent="0.3">
      <c r="A3822" t="s">
        <v>625</v>
      </c>
      <c r="B3822" t="s">
        <v>1306</v>
      </c>
      <c r="C3822" t="s">
        <v>5</v>
      </c>
      <c r="D3822" s="68">
        <v>120</v>
      </c>
      <c r="E3822" s="68"/>
      <c r="F3822" s="68">
        <v>1287</v>
      </c>
      <c r="G3822" s="68">
        <v>1407</v>
      </c>
      <c r="H38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23" spans="1:8" hidden="1" x14ac:dyDescent="0.3">
      <c r="A3823" t="s">
        <v>625</v>
      </c>
      <c r="B3823" t="s">
        <v>1306</v>
      </c>
      <c r="C3823" t="s">
        <v>26</v>
      </c>
      <c r="D3823" s="68">
        <v>60</v>
      </c>
      <c r="E3823" s="68"/>
      <c r="F3823" s="68">
        <v>61</v>
      </c>
      <c r="G3823" s="68">
        <v>121</v>
      </c>
      <c r="H38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24" spans="1:8" hidden="1" x14ac:dyDescent="0.3">
      <c r="A3824" t="s">
        <v>625</v>
      </c>
      <c r="B3824" t="s">
        <v>1306</v>
      </c>
      <c r="C3824" t="s">
        <v>27</v>
      </c>
      <c r="D3824" s="68"/>
      <c r="E3824" s="68">
        <v>35</v>
      </c>
      <c r="F3824" s="68"/>
      <c r="G3824" s="68">
        <v>35</v>
      </c>
      <c r="H38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25" spans="1:8" hidden="1" x14ac:dyDescent="0.3">
      <c r="A3825" t="s">
        <v>625</v>
      </c>
      <c r="B3825" t="s">
        <v>1307</v>
      </c>
      <c r="C3825" t="s">
        <v>38</v>
      </c>
      <c r="D3825" s="68">
        <v>302</v>
      </c>
      <c r="E3825" s="68"/>
      <c r="F3825" s="68">
        <v>6673</v>
      </c>
      <c r="G3825" s="68">
        <v>6975</v>
      </c>
      <c r="H38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26" spans="1:8" hidden="1" x14ac:dyDescent="0.3">
      <c r="A3826" t="s">
        <v>625</v>
      </c>
      <c r="B3826" t="s">
        <v>1307</v>
      </c>
      <c r="C3826" t="s">
        <v>26</v>
      </c>
      <c r="D3826" s="68">
        <v>67</v>
      </c>
      <c r="E3826" s="68"/>
      <c r="F3826" s="68">
        <v>169</v>
      </c>
      <c r="G3826" s="68">
        <v>236</v>
      </c>
      <c r="H38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27" spans="1:8" hidden="1" x14ac:dyDescent="0.3">
      <c r="A3827" t="s">
        <v>625</v>
      </c>
      <c r="B3827" t="s">
        <v>1307</v>
      </c>
      <c r="C3827" t="s">
        <v>27</v>
      </c>
      <c r="D3827" s="68"/>
      <c r="E3827" s="68">
        <v>94</v>
      </c>
      <c r="F3827" s="68"/>
      <c r="G3827" s="68">
        <v>94</v>
      </c>
      <c r="H38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28" spans="1:8" hidden="1" x14ac:dyDescent="0.3">
      <c r="A3828" t="s">
        <v>625</v>
      </c>
      <c r="B3828" t="s">
        <v>1308</v>
      </c>
      <c r="C3828" t="s">
        <v>25</v>
      </c>
      <c r="D3828" s="68">
        <v>317</v>
      </c>
      <c r="E3828" s="68"/>
      <c r="F3828" s="68">
        <v>5471</v>
      </c>
      <c r="G3828" s="68">
        <v>5788</v>
      </c>
      <c r="H38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29" spans="1:8" hidden="1" x14ac:dyDescent="0.3">
      <c r="A3829" t="s">
        <v>625</v>
      </c>
      <c r="B3829" t="s">
        <v>1308</v>
      </c>
      <c r="C3829" t="s">
        <v>40</v>
      </c>
      <c r="D3829" s="68">
        <v>200</v>
      </c>
      <c r="E3829" s="68"/>
      <c r="F3829" s="68">
        <v>5415</v>
      </c>
      <c r="G3829" s="68">
        <v>5615</v>
      </c>
      <c r="H38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30" spans="1:8" hidden="1" x14ac:dyDescent="0.3">
      <c r="A3830" t="s">
        <v>625</v>
      </c>
      <c r="B3830" t="s">
        <v>1308</v>
      </c>
      <c r="C3830" t="s">
        <v>5</v>
      </c>
      <c r="D3830" s="68">
        <v>191</v>
      </c>
      <c r="E3830" s="68"/>
      <c r="F3830" s="68">
        <v>1176</v>
      </c>
      <c r="G3830" s="68">
        <v>1367</v>
      </c>
      <c r="H38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31" spans="1:8" hidden="1" x14ac:dyDescent="0.3">
      <c r="A3831" t="s">
        <v>625</v>
      </c>
      <c r="B3831" t="s">
        <v>1308</v>
      </c>
      <c r="C3831" t="s">
        <v>26</v>
      </c>
      <c r="D3831" s="68">
        <v>194</v>
      </c>
      <c r="E3831" s="68"/>
      <c r="F3831" s="68">
        <v>223</v>
      </c>
      <c r="G3831" s="68">
        <v>417</v>
      </c>
      <c r="H38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32" spans="1:8" hidden="1" x14ac:dyDescent="0.3">
      <c r="A3832" t="s">
        <v>625</v>
      </c>
      <c r="B3832" t="s">
        <v>1308</v>
      </c>
      <c r="C3832" t="s">
        <v>27</v>
      </c>
      <c r="D3832" s="68"/>
      <c r="E3832" s="68">
        <v>240</v>
      </c>
      <c r="F3832" s="68"/>
      <c r="G3832" s="68">
        <v>240</v>
      </c>
      <c r="H38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33" spans="1:8" hidden="1" x14ac:dyDescent="0.3">
      <c r="A3833" t="s">
        <v>625</v>
      </c>
      <c r="B3833" t="s">
        <v>948</v>
      </c>
      <c r="C3833" t="s">
        <v>40</v>
      </c>
      <c r="D3833" s="68">
        <v>294</v>
      </c>
      <c r="E3833" s="68"/>
      <c r="F3833" s="68">
        <v>6289</v>
      </c>
      <c r="G3833" s="68">
        <v>6583</v>
      </c>
      <c r="H38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34" spans="1:8" hidden="1" x14ac:dyDescent="0.3">
      <c r="A3834" t="s">
        <v>625</v>
      </c>
      <c r="B3834" t="s">
        <v>948</v>
      </c>
      <c r="C3834" t="s">
        <v>38</v>
      </c>
      <c r="D3834" s="68">
        <v>197</v>
      </c>
      <c r="E3834" s="68"/>
      <c r="F3834" s="68">
        <v>4123</v>
      </c>
      <c r="G3834" s="68">
        <v>4320</v>
      </c>
      <c r="H38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35" spans="1:8" hidden="1" x14ac:dyDescent="0.3">
      <c r="A3835" t="s">
        <v>625</v>
      </c>
      <c r="B3835" t="s">
        <v>948</v>
      </c>
      <c r="C3835" t="s">
        <v>26</v>
      </c>
      <c r="D3835" s="68">
        <v>476</v>
      </c>
      <c r="E3835" s="68"/>
      <c r="F3835" s="68">
        <v>694</v>
      </c>
      <c r="G3835" s="68">
        <v>1170</v>
      </c>
      <c r="H38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36" spans="1:8" hidden="1" x14ac:dyDescent="0.3">
      <c r="A3836" t="s">
        <v>625</v>
      </c>
      <c r="B3836" t="s">
        <v>948</v>
      </c>
      <c r="C3836" t="s">
        <v>27</v>
      </c>
      <c r="D3836" s="68"/>
      <c r="E3836" s="68">
        <v>291</v>
      </c>
      <c r="F3836" s="68"/>
      <c r="G3836" s="68">
        <v>291</v>
      </c>
      <c r="H38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37" spans="1:8" hidden="1" x14ac:dyDescent="0.3">
      <c r="A3837" t="s">
        <v>625</v>
      </c>
      <c r="B3837" t="s">
        <v>1309</v>
      </c>
      <c r="C3837" t="s">
        <v>40</v>
      </c>
      <c r="D3837" s="68">
        <v>274</v>
      </c>
      <c r="E3837" s="68"/>
      <c r="F3837" s="68">
        <v>5700</v>
      </c>
      <c r="G3837" s="68">
        <v>5974</v>
      </c>
      <c r="H38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38" spans="1:8" hidden="1" x14ac:dyDescent="0.3">
      <c r="A3838" t="s">
        <v>625</v>
      </c>
      <c r="B3838" t="s">
        <v>1309</v>
      </c>
      <c r="C3838" t="s">
        <v>26</v>
      </c>
      <c r="D3838" s="68">
        <v>137</v>
      </c>
      <c r="E3838" s="68"/>
      <c r="F3838" s="68">
        <v>129</v>
      </c>
      <c r="G3838" s="68">
        <v>266</v>
      </c>
      <c r="H38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39" spans="1:8" hidden="1" x14ac:dyDescent="0.3">
      <c r="A3839" t="s">
        <v>625</v>
      </c>
      <c r="B3839" t="s">
        <v>1309</v>
      </c>
      <c r="C3839" t="s">
        <v>27</v>
      </c>
      <c r="D3839" s="68"/>
      <c r="E3839" s="68">
        <v>175</v>
      </c>
      <c r="F3839" s="68"/>
      <c r="G3839" s="68">
        <v>175</v>
      </c>
      <c r="H38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40" spans="1:8" hidden="1" x14ac:dyDescent="0.3">
      <c r="A3840" t="s">
        <v>625</v>
      </c>
      <c r="B3840" t="s">
        <v>1310</v>
      </c>
      <c r="C3840" t="s">
        <v>40</v>
      </c>
      <c r="D3840" s="68">
        <v>229</v>
      </c>
      <c r="E3840" s="68"/>
      <c r="F3840" s="68">
        <v>3477</v>
      </c>
      <c r="G3840" s="68">
        <v>3706</v>
      </c>
      <c r="H38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41" spans="1:8" hidden="1" x14ac:dyDescent="0.3">
      <c r="A3841" t="s">
        <v>625</v>
      </c>
      <c r="B3841" t="s">
        <v>1310</v>
      </c>
      <c r="C3841" t="s">
        <v>25</v>
      </c>
      <c r="D3841" s="68">
        <v>191</v>
      </c>
      <c r="E3841" s="68"/>
      <c r="F3841" s="68">
        <v>1649</v>
      </c>
      <c r="G3841" s="68">
        <v>1840</v>
      </c>
      <c r="H38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42" spans="1:8" hidden="1" x14ac:dyDescent="0.3">
      <c r="A3842" t="s">
        <v>625</v>
      </c>
      <c r="B3842" t="s">
        <v>1310</v>
      </c>
      <c r="C3842" t="s">
        <v>26</v>
      </c>
      <c r="D3842" s="68">
        <v>151</v>
      </c>
      <c r="E3842" s="68"/>
      <c r="F3842" s="68">
        <v>84</v>
      </c>
      <c r="G3842" s="68">
        <v>235</v>
      </c>
      <c r="H38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43" spans="1:8" hidden="1" x14ac:dyDescent="0.3">
      <c r="A3843" t="s">
        <v>625</v>
      </c>
      <c r="B3843" t="s">
        <v>1310</v>
      </c>
      <c r="C3843" t="s">
        <v>27</v>
      </c>
      <c r="D3843" s="68"/>
      <c r="E3843" s="68">
        <v>43</v>
      </c>
      <c r="F3843" s="68"/>
      <c r="G3843" s="68">
        <v>43</v>
      </c>
      <c r="H38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44" spans="1:8" hidden="1" x14ac:dyDescent="0.3">
      <c r="A3844" t="s">
        <v>625</v>
      </c>
      <c r="B3844" t="s">
        <v>1310</v>
      </c>
      <c r="C3844" t="s">
        <v>5</v>
      </c>
      <c r="D3844" s="68">
        <v>12</v>
      </c>
      <c r="E3844" s="68"/>
      <c r="F3844" s="68">
        <v>6</v>
      </c>
      <c r="G3844" s="68">
        <v>18</v>
      </c>
      <c r="H38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45" spans="1:8" hidden="1" x14ac:dyDescent="0.3">
      <c r="A3845" t="s">
        <v>625</v>
      </c>
      <c r="B3845" t="s">
        <v>1311</v>
      </c>
      <c r="C3845" t="s">
        <v>25</v>
      </c>
      <c r="D3845" s="68">
        <v>1255</v>
      </c>
      <c r="E3845" s="68"/>
      <c r="F3845" s="68">
        <v>12036</v>
      </c>
      <c r="G3845" s="68">
        <v>13291</v>
      </c>
      <c r="H38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46" spans="1:8" hidden="1" x14ac:dyDescent="0.3">
      <c r="A3846" t="s">
        <v>625</v>
      </c>
      <c r="B3846" t="s">
        <v>1311</v>
      </c>
      <c r="C3846" t="s">
        <v>38</v>
      </c>
      <c r="D3846" s="68">
        <v>186</v>
      </c>
      <c r="E3846" s="68"/>
      <c r="F3846" s="68">
        <v>2879</v>
      </c>
      <c r="G3846" s="68">
        <v>3065</v>
      </c>
      <c r="H38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47" spans="1:8" hidden="1" x14ac:dyDescent="0.3">
      <c r="A3847" t="s">
        <v>625</v>
      </c>
      <c r="B3847" t="s">
        <v>1311</v>
      </c>
      <c r="C3847" t="s">
        <v>5</v>
      </c>
      <c r="D3847" s="68">
        <v>179</v>
      </c>
      <c r="E3847" s="68"/>
      <c r="F3847" s="68">
        <v>481</v>
      </c>
      <c r="G3847" s="68">
        <v>660</v>
      </c>
      <c r="H38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48" spans="1:8" hidden="1" x14ac:dyDescent="0.3">
      <c r="A3848" t="s">
        <v>625</v>
      </c>
      <c r="B3848" t="s">
        <v>1311</v>
      </c>
      <c r="C3848" t="s">
        <v>26</v>
      </c>
      <c r="D3848" s="68">
        <v>293</v>
      </c>
      <c r="E3848" s="68"/>
      <c r="F3848" s="68">
        <v>110</v>
      </c>
      <c r="G3848" s="68">
        <v>403</v>
      </c>
      <c r="H38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49" spans="1:8" hidden="1" x14ac:dyDescent="0.3">
      <c r="A3849" t="s">
        <v>625</v>
      </c>
      <c r="B3849" t="s">
        <v>1311</v>
      </c>
      <c r="C3849" t="s">
        <v>27</v>
      </c>
      <c r="D3849" s="68"/>
      <c r="E3849" s="68">
        <v>218</v>
      </c>
      <c r="F3849" s="68"/>
      <c r="G3849" s="68">
        <v>218</v>
      </c>
      <c r="H38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50" spans="1:8" hidden="1" x14ac:dyDescent="0.3">
      <c r="A3850" t="s">
        <v>625</v>
      </c>
      <c r="B3850" t="s">
        <v>1312</v>
      </c>
      <c r="C3850" t="s">
        <v>40</v>
      </c>
      <c r="D3850" s="68">
        <v>303</v>
      </c>
      <c r="E3850" s="68"/>
      <c r="F3850" s="68">
        <v>6946</v>
      </c>
      <c r="G3850" s="68">
        <v>7249</v>
      </c>
      <c r="H38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51" spans="1:8" hidden="1" x14ac:dyDescent="0.3">
      <c r="A3851" t="s">
        <v>625</v>
      </c>
      <c r="B3851" t="s">
        <v>1312</v>
      </c>
      <c r="C3851" t="s">
        <v>5</v>
      </c>
      <c r="D3851" s="68">
        <v>221</v>
      </c>
      <c r="E3851" s="68"/>
      <c r="F3851" s="68">
        <v>2362</v>
      </c>
      <c r="G3851" s="68">
        <v>2583</v>
      </c>
      <c r="H38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52" spans="1:8" hidden="1" x14ac:dyDescent="0.3">
      <c r="A3852" t="s">
        <v>625</v>
      </c>
      <c r="B3852" t="s">
        <v>1312</v>
      </c>
      <c r="C3852" t="s">
        <v>26</v>
      </c>
      <c r="D3852" s="68">
        <v>153</v>
      </c>
      <c r="E3852" s="68"/>
      <c r="F3852" s="68">
        <v>137</v>
      </c>
      <c r="G3852" s="68">
        <v>290</v>
      </c>
      <c r="H38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53" spans="1:8" hidden="1" x14ac:dyDescent="0.3">
      <c r="A3853" t="s">
        <v>625</v>
      </c>
      <c r="B3853" t="s">
        <v>1312</v>
      </c>
      <c r="C3853" t="s">
        <v>27</v>
      </c>
      <c r="D3853" s="68"/>
      <c r="E3853" s="68">
        <v>167</v>
      </c>
      <c r="F3853" s="68"/>
      <c r="G3853" s="68">
        <v>167</v>
      </c>
      <c r="H38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54" spans="1:8" hidden="1" x14ac:dyDescent="0.3">
      <c r="A3854" t="s">
        <v>625</v>
      </c>
      <c r="B3854" t="s">
        <v>1312</v>
      </c>
      <c r="C3854" t="s">
        <v>25</v>
      </c>
      <c r="D3854" s="68"/>
      <c r="E3854" s="68"/>
      <c r="F3854" s="68">
        <v>2</v>
      </c>
      <c r="G3854" s="68">
        <v>2</v>
      </c>
      <c r="H38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55" spans="1:8" hidden="1" x14ac:dyDescent="0.3">
      <c r="A3855" t="s">
        <v>625</v>
      </c>
      <c r="B3855" t="s">
        <v>1313</v>
      </c>
      <c r="C3855" t="s">
        <v>40</v>
      </c>
      <c r="D3855" s="68">
        <v>168</v>
      </c>
      <c r="E3855" s="68"/>
      <c r="F3855" s="68">
        <v>3052</v>
      </c>
      <c r="G3855" s="68">
        <v>3220</v>
      </c>
      <c r="H38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56" spans="1:8" hidden="1" x14ac:dyDescent="0.3">
      <c r="A3856" t="s">
        <v>625</v>
      </c>
      <c r="B3856" t="s">
        <v>1313</v>
      </c>
      <c r="C3856" t="s">
        <v>25</v>
      </c>
      <c r="D3856" s="68">
        <v>170</v>
      </c>
      <c r="E3856" s="68"/>
      <c r="F3856" s="68">
        <v>1557</v>
      </c>
      <c r="G3856" s="68">
        <v>1727</v>
      </c>
      <c r="H38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57" spans="1:8" hidden="1" x14ac:dyDescent="0.3">
      <c r="A3857" t="s">
        <v>625</v>
      </c>
      <c r="B3857" t="s">
        <v>1313</v>
      </c>
      <c r="C3857" t="s">
        <v>5</v>
      </c>
      <c r="D3857" s="68">
        <v>86</v>
      </c>
      <c r="E3857" s="68"/>
      <c r="F3857" s="68">
        <v>372</v>
      </c>
      <c r="G3857" s="68">
        <v>458</v>
      </c>
      <c r="H38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58" spans="1:8" hidden="1" x14ac:dyDescent="0.3">
      <c r="A3858" t="s">
        <v>625</v>
      </c>
      <c r="B3858" t="s">
        <v>1313</v>
      </c>
      <c r="C3858" t="s">
        <v>26</v>
      </c>
      <c r="D3858" s="68">
        <v>65</v>
      </c>
      <c r="E3858" s="68"/>
      <c r="F3858" s="68">
        <v>72</v>
      </c>
      <c r="G3858" s="68">
        <v>137</v>
      </c>
      <c r="H38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59" spans="1:8" hidden="1" x14ac:dyDescent="0.3">
      <c r="A3859" t="s">
        <v>625</v>
      </c>
      <c r="B3859" t="s">
        <v>1313</v>
      </c>
      <c r="C3859" t="s">
        <v>27</v>
      </c>
      <c r="D3859" s="68"/>
      <c r="E3859" s="68">
        <v>46</v>
      </c>
      <c r="F3859" s="68"/>
      <c r="G3859" s="68">
        <v>46</v>
      </c>
      <c r="H38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60" spans="1:8" hidden="1" x14ac:dyDescent="0.3">
      <c r="A3860" t="s">
        <v>625</v>
      </c>
      <c r="B3860" t="s">
        <v>1314</v>
      </c>
      <c r="C3860" t="s">
        <v>40</v>
      </c>
      <c r="D3860" s="68">
        <v>158</v>
      </c>
      <c r="E3860" s="68"/>
      <c r="F3860" s="68">
        <v>3624</v>
      </c>
      <c r="G3860" s="68">
        <v>3782</v>
      </c>
      <c r="H38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61" spans="1:8" hidden="1" x14ac:dyDescent="0.3">
      <c r="A3861" t="s">
        <v>625</v>
      </c>
      <c r="B3861" t="s">
        <v>1314</v>
      </c>
      <c r="C3861" t="s">
        <v>25</v>
      </c>
      <c r="D3861" s="68">
        <v>222</v>
      </c>
      <c r="E3861" s="68"/>
      <c r="F3861" s="68">
        <v>1868</v>
      </c>
      <c r="G3861" s="68">
        <v>2090</v>
      </c>
      <c r="H38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62" spans="1:8" hidden="1" x14ac:dyDescent="0.3">
      <c r="A3862" t="s">
        <v>625</v>
      </c>
      <c r="B3862" t="s">
        <v>1314</v>
      </c>
      <c r="C3862" t="s">
        <v>5</v>
      </c>
      <c r="D3862" s="68">
        <v>123</v>
      </c>
      <c r="E3862" s="68"/>
      <c r="F3862" s="68">
        <v>726</v>
      </c>
      <c r="G3862" s="68">
        <v>849</v>
      </c>
      <c r="H38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63" spans="1:8" hidden="1" x14ac:dyDescent="0.3">
      <c r="A3863" t="s">
        <v>625</v>
      </c>
      <c r="B3863" t="s">
        <v>1314</v>
      </c>
      <c r="C3863" t="s">
        <v>26</v>
      </c>
      <c r="D3863" s="68">
        <v>77</v>
      </c>
      <c r="E3863" s="68"/>
      <c r="F3863" s="68">
        <v>118</v>
      </c>
      <c r="G3863" s="68">
        <v>195</v>
      </c>
      <c r="H38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64" spans="1:8" hidden="1" x14ac:dyDescent="0.3">
      <c r="A3864" t="s">
        <v>625</v>
      </c>
      <c r="B3864" t="s">
        <v>1314</v>
      </c>
      <c r="C3864" t="s">
        <v>27</v>
      </c>
      <c r="D3864" s="68"/>
      <c r="E3864" s="68">
        <v>73</v>
      </c>
      <c r="F3864" s="68"/>
      <c r="G3864" s="68">
        <v>73</v>
      </c>
      <c r="H38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65" spans="1:8" hidden="1" x14ac:dyDescent="0.3">
      <c r="A3865" t="s">
        <v>625</v>
      </c>
      <c r="B3865" t="s">
        <v>1315</v>
      </c>
      <c r="C3865" t="s">
        <v>40</v>
      </c>
      <c r="D3865" s="68">
        <v>165</v>
      </c>
      <c r="E3865" s="68"/>
      <c r="F3865" s="68">
        <v>2860</v>
      </c>
      <c r="G3865" s="68">
        <v>3025</v>
      </c>
      <c r="H38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66" spans="1:8" hidden="1" x14ac:dyDescent="0.3">
      <c r="A3866" t="s">
        <v>625</v>
      </c>
      <c r="B3866" t="s">
        <v>1315</v>
      </c>
      <c r="C3866" t="s">
        <v>25</v>
      </c>
      <c r="D3866" s="68">
        <v>111</v>
      </c>
      <c r="E3866" s="68"/>
      <c r="F3866" s="68">
        <v>1151</v>
      </c>
      <c r="G3866" s="68">
        <v>1262</v>
      </c>
      <c r="H38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67" spans="1:8" hidden="1" x14ac:dyDescent="0.3">
      <c r="A3867" t="s">
        <v>625</v>
      </c>
      <c r="B3867" t="s">
        <v>1315</v>
      </c>
      <c r="C3867" t="s">
        <v>5</v>
      </c>
      <c r="D3867" s="68">
        <v>96</v>
      </c>
      <c r="E3867" s="68"/>
      <c r="F3867" s="68">
        <v>659</v>
      </c>
      <c r="G3867" s="68">
        <v>755</v>
      </c>
      <c r="H38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68" spans="1:8" hidden="1" x14ac:dyDescent="0.3">
      <c r="A3868" t="s">
        <v>625</v>
      </c>
      <c r="B3868" t="s">
        <v>1315</v>
      </c>
      <c r="C3868" t="s">
        <v>26</v>
      </c>
      <c r="D3868" s="68">
        <v>128</v>
      </c>
      <c r="E3868" s="68"/>
      <c r="F3868" s="68">
        <v>133</v>
      </c>
      <c r="G3868" s="68">
        <v>261</v>
      </c>
      <c r="H38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69" spans="1:8" hidden="1" x14ac:dyDescent="0.3">
      <c r="A3869" t="s">
        <v>625</v>
      </c>
      <c r="B3869" t="s">
        <v>1315</v>
      </c>
      <c r="C3869" t="s">
        <v>27</v>
      </c>
      <c r="D3869" s="68"/>
      <c r="E3869" s="68">
        <v>38</v>
      </c>
      <c r="F3869" s="68"/>
      <c r="G3869" s="68">
        <v>38</v>
      </c>
      <c r="H38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70" spans="1:8" hidden="1" x14ac:dyDescent="0.3">
      <c r="A3870" t="s">
        <v>625</v>
      </c>
      <c r="B3870" t="s">
        <v>1316</v>
      </c>
      <c r="C3870" t="s">
        <v>25</v>
      </c>
      <c r="D3870" s="68">
        <v>5575</v>
      </c>
      <c r="E3870" s="68"/>
      <c r="F3870" s="68">
        <v>55077</v>
      </c>
      <c r="G3870" s="68">
        <v>60652</v>
      </c>
      <c r="H38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71" spans="1:8" hidden="1" x14ac:dyDescent="0.3">
      <c r="A3871" t="s">
        <v>625</v>
      </c>
      <c r="B3871" t="s">
        <v>1316</v>
      </c>
      <c r="C3871" t="s">
        <v>40</v>
      </c>
      <c r="D3871" s="68">
        <v>2222</v>
      </c>
      <c r="E3871" s="68"/>
      <c r="F3871" s="68">
        <v>28666</v>
      </c>
      <c r="G3871" s="68">
        <v>30888</v>
      </c>
      <c r="H38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72" spans="1:8" hidden="1" x14ac:dyDescent="0.3">
      <c r="A3872" t="s">
        <v>625</v>
      </c>
      <c r="B3872" t="s">
        <v>1316</v>
      </c>
      <c r="C3872" t="s">
        <v>5</v>
      </c>
      <c r="D3872" s="68">
        <v>14768</v>
      </c>
      <c r="E3872" s="68"/>
      <c r="F3872" s="68">
        <v>9331</v>
      </c>
      <c r="G3872" s="68">
        <v>24099</v>
      </c>
      <c r="H38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73" spans="1:8" hidden="1" x14ac:dyDescent="0.3">
      <c r="A3873" t="s">
        <v>625</v>
      </c>
      <c r="B3873" t="s">
        <v>1316</v>
      </c>
      <c r="C3873" t="s">
        <v>26</v>
      </c>
      <c r="D3873" s="68">
        <v>6241</v>
      </c>
      <c r="E3873" s="68"/>
      <c r="F3873" s="68">
        <v>9313</v>
      </c>
      <c r="G3873" s="68">
        <v>15554</v>
      </c>
      <c r="H38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74" spans="1:8" hidden="1" x14ac:dyDescent="0.3">
      <c r="A3874" t="s">
        <v>625</v>
      </c>
      <c r="B3874" t="s">
        <v>1316</v>
      </c>
      <c r="C3874" t="s">
        <v>27</v>
      </c>
      <c r="D3874" s="68"/>
      <c r="E3874" s="68">
        <v>2758</v>
      </c>
      <c r="F3874" s="68"/>
      <c r="G3874" s="68">
        <v>2758</v>
      </c>
      <c r="H38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75" spans="1:8" hidden="1" x14ac:dyDescent="0.3">
      <c r="A3875" t="s">
        <v>625</v>
      </c>
      <c r="B3875" t="s">
        <v>1317</v>
      </c>
      <c r="C3875" t="s">
        <v>40</v>
      </c>
      <c r="D3875" s="68">
        <v>452</v>
      </c>
      <c r="E3875" s="68"/>
      <c r="F3875" s="68">
        <v>12810</v>
      </c>
      <c r="G3875" s="68">
        <v>13262</v>
      </c>
      <c r="H38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76" spans="1:8" hidden="1" x14ac:dyDescent="0.3">
      <c r="A3876" t="s">
        <v>625</v>
      </c>
      <c r="B3876" t="s">
        <v>1317</v>
      </c>
      <c r="C3876" t="s">
        <v>26</v>
      </c>
      <c r="D3876" s="68">
        <v>808</v>
      </c>
      <c r="E3876" s="68"/>
      <c r="F3876" s="68">
        <v>624</v>
      </c>
      <c r="G3876" s="68">
        <v>1432</v>
      </c>
      <c r="H38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77" spans="1:8" hidden="1" x14ac:dyDescent="0.3">
      <c r="A3877" t="s">
        <v>625</v>
      </c>
      <c r="B3877" t="s">
        <v>1317</v>
      </c>
      <c r="C3877" t="s">
        <v>27</v>
      </c>
      <c r="D3877" s="68"/>
      <c r="E3877" s="68">
        <v>510</v>
      </c>
      <c r="F3877" s="68"/>
      <c r="G3877" s="68">
        <v>510</v>
      </c>
      <c r="H38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78" spans="1:8" hidden="1" x14ac:dyDescent="0.3">
      <c r="A3878" t="s">
        <v>625</v>
      </c>
      <c r="B3878" t="s">
        <v>1318</v>
      </c>
      <c r="C3878" t="s">
        <v>40</v>
      </c>
      <c r="D3878" s="68">
        <v>235</v>
      </c>
      <c r="E3878" s="68"/>
      <c r="F3878" s="68">
        <v>5416</v>
      </c>
      <c r="G3878" s="68">
        <v>5651</v>
      </c>
      <c r="H38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79" spans="1:8" hidden="1" x14ac:dyDescent="0.3">
      <c r="A3879" t="s">
        <v>625</v>
      </c>
      <c r="B3879" t="s">
        <v>1318</v>
      </c>
      <c r="C3879" t="s">
        <v>5</v>
      </c>
      <c r="D3879" s="68">
        <v>189</v>
      </c>
      <c r="E3879" s="68"/>
      <c r="F3879" s="68">
        <v>1678</v>
      </c>
      <c r="G3879" s="68">
        <v>1867</v>
      </c>
      <c r="H38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80" spans="1:8" hidden="1" x14ac:dyDescent="0.3">
      <c r="A3880" t="s">
        <v>625</v>
      </c>
      <c r="B3880" t="s">
        <v>1318</v>
      </c>
      <c r="C3880" t="s">
        <v>26</v>
      </c>
      <c r="D3880" s="68">
        <v>161</v>
      </c>
      <c r="E3880" s="68"/>
      <c r="F3880" s="68">
        <v>221</v>
      </c>
      <c r="G3880" s="68">
        <v>382</v>
      </c>
      <c r="H38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81" spans="1:8" hidden="1" x14ac:dyDescent="0.3">
      <c r="A3881" t="s">
        <v>625</v>
      </c>
      <c r="B3881" t="s">
        <v>1318</v>
      </c>
      <c r="C3881" t="s">
        <v>27</v>
      </c>
      <c r="D3881" s="68"/>
      <c r="E3881" s="68">
        <v>41</v>
      </c>
      <c r="F3881" s="68"/>
      <c r="G3881" s="68">
        <v>41</v>
      </c>
      <c r="H38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82" spans="1:8" hidden="1" x14ac:dyDescent="0.3">
      <c r="A3882" t="s">
        <v>625</v>
      </c>
      <c r="B3882" t="s">
        <v>1319</v>
      </c>
      <c r="C3882" t="s">
        <v>40</v>
      </c>
      <c r="D3882" s="68">
        <v>108</v>
      </c>
      <c r="E3882" s="68"/>
      <c r="F3882" s="68">
        <v>3275</v>
      </c>
      <c r="G3882" s="68">
        <v>3383</v>
      </c>
      <c r="H38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83" spans="1:8" hidden="1" x14ac:dyDescent="0.3">
      <c r="A3883" t="s">
        <v>625</v>
      </c>
      <c r="B3883" t="s">
        <v>1319</v>
      </c>
      <c r="C3883" t="s">
        <v>5</v>
      </c>
      <c r="D3883" s="68">
        <v>101</v>
      </c>
      <c r="E3883" s="68"/>
      <c r="F3883" s="68">
        <v>704</v>
      </c>
      <c r="G3883" s="68">
        <v>805</v>
      </c>
      <c r="H38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84" spans="1:8" hidden="1" x14ac:dyDescent="0.3">
      <c r="A3884" t="s">
        <v>625</v>
      </c>
      <c r="B3884" t="s">
        <v>1319</v>
      </c>
      <c r="C3884" t="s">
        <v>26</v>
      </c>
      <c r="D3884" s="68">
        <v>124</v>
      </c>
      <c r="E3884" s="68"/>
      <c r="F3884" s="68">
        <v>273</v>
      </c>
      <c r="G3884" s="68">
        <v>397</v>
      </c>
      <c r="H38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85" spans="1:8" hidden="1" x14ac:dyDescent="0.3">
      <c r="A3885" t="s">
        <v>625</v>
      </c>
      <c r="B3885" t="s">
        <v>1319</v>
      </c>
      <c r="C3885" t="s">
        <v>27</v>
      </c>
      <c r="D3885" s="68"/>
      <c r="E3885" s="68">
        <v>84</v>
      </c>
      <c r="F3885" s="68"/>
      <c r="G3885" s="68">
        <v>84</v>
      </c>
      <c r="H38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86" spans="1:8" hidden="1" x14ac:dyDescent="0.3">
      <c r="A3886" t="s">
        <v>625</v>
      </c>
      <c r="B3886" t="s">
        <v>1320</v>
      </c>
      <c r="C3886" t="s">
        <v>38</v>
      </c>
      <c r="D3886" s="68">
        <v>249</v>
      </c>
      <c r="E3886" s="68"/>
      <c r="F3886" s="68">
        <v>5318</v>
      </c>
      <c r="G3886" s="68">
        <v>5567</v>
      </c>
      <c r="H38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87" spans="1:8" hidden="1" x14ac:dyDescent="0.3">
      <c r="A3887" t="s">
        <v>625</v>
      </c>
      <c r="B3887" t="s">
        <v>1320</v>
      </c>
      <c r="C3887" t="s">
        <v>27</v>
      </c>
      <c r="D3887" s="68"/>
      <c r="E3887" s="68">
        <v>243</v>
      </c>
      <c r="F3887" s="68"/>
      <c r="G3887" s="68">
        <v>243</v>
      </c>
      <c r="H38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88" spans="1:8" hidden="1" x14ac:dyDescent="0.3">
      <c r="A3888" t="s">
        <v>625</v>
      </c>
      <c r="B3888" t="s">
        <v>1320</v>
      </c>
      <c r="C3888" t="s">
        <v>26</v>
      </c>
      <c r="D3888" s="68">
        <v>79</v>
      </c>
      <c r="E3888" s="68"/>
      <c r="F3888" s="68">
        <v>72</v>
      </c>
      <c r="G3888" s="68">
        <v>151</v>
      </c>
      <c r="H38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89" spans="1:8" hidden="1" x14ac:dyDescent="0.3">
      <c r="A3889" t="s">
        <v>625</v>
      </c>
      <c r="B3889" t="s">
        <v>50</v>
      </c>
      <c r="C3889" t="s">
        <v>40</v>
      </c>
      <c r="D3889" s="68">
        <v>531</v>
      </c>
      <c r="E3889" s="68"/>
      <c r="F3889" s="68">
        <v>9323</v>
      </c>
      <c r="G3889" s="68">
        <v>9854</v>
      </c>
      <c r="H38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90" spans="1:8" hidden="1" x14ac:dyDescent="0.3">
      <c r="A3890" t="s">
        <v>625</v>
      </c>
      <c r="B3890" t="s">
        <v>50</v>
      </c>
      <c r="C3890" t="s">
        <v>26</v>
      </c>
      <c r="D3890" s="68">
        <v>3104</v>
      </c>
      <c r="E3890" s="68"/>
      <c r="F3890" s="68">
        <v>5518</v>
      </c>
      <c r="G3890" s="68">
        <v>8622</v>
      </c>
      <c r="H38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91" spans="1:8" hidden="1" x14ac:dyDescent="0.3">
      <c r="A3891" t="s">
        <v>625</v>
      </c>
      <c r="B3891" t="s">
        <v>50</v>
      </c>
      <c r="C3891" t="s">
        <v>25</v>
      </c>
      <c r="D3891" s="68">
        <v>309</v>
      </c>
      <c r="E3891" s="68"/>
      <c r="F3891" s="68">
        <v>4974</v>
      </c>
      <c r="G3891" s="68">
        <v>5283</v>
      </c>
      <c r="H38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92" spans="1:8" hidden="1" x14ac:dyDescent="0.3">
      <c r="A3892" t="s">
        <v>625</v>
      </c>
      <c r="B3892" t="s">
        <v>50</v>
      </c>
      <c r="C3892" t="s">
        <v>38</v>
      </c>
      <c r="D3892" s="68">
        <v>237</v>
      </c>
      <c r="E3892" s="68"/>
      <c r="F3892" s="68">
        <v>4589</v>
      </c>
      <c r="G3892" s="68">
        <v>4826</v>
      </c>
      <c r="H38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93" spans="1:8" hidden="1" x14ac:dyDescent="0.3">
      <c r="A3893" t="s">
        <v>625</v>
      </c>
      <c r="B3893" t="s">
        <v>50</v>
      </c>
      <c r="C3893" t="s">
        <v>5</v>
      </c>
      <c r="D3893" s="68">
        <v>392</v>
      </c>
      <c r="E3893" s="68"/>
      <c r="F3893" s="68">
        <v>2553</v>
      </c>
      <c r="G3893" s="68">
        <v>2945</v>
      </c>
      <c r="H38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94" spans="1:8" hidden="1" x14ac:dyDescent="0.3">
      <c r="A3894" t="s">
        <v>625</v>
      </c>
      <c r="B3894" t="s">
        <v>50</v>
      </c>
      <c r="C3894" t="s">
        <v>27</v>
      </c>
      <c r="D3894" s="68"/>
      <c r="E3894" s="68">
        <v>673</v>
      </c>
      <c r="F3894" s="68"/>
      <c r="G3894" s="68">
        <v>673</v>
      </c>
      <c r="H38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95" spans="1:8" hidden="1" x14ac:dyDescent="0.3">
      <c r="A3895" t="s">
        <v>625</v>
      </c>
      <c r="B3895" t="s">
        <v>1321</v>
      </c>
      <c r="C3895" t="s">
        <v>38</v>
      </c>
      <c r="D3895" s="68">
        <v>293</v>
      </c>
      <c r="E3895" s="68"/>
      <c r="F3895" s="68">
        <v>8432</v>
      </c>
      <c r="G3895" s="68">
        <v>8725</v>
      </c>
      <c r="H38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96" spans="1:8" hidden="1" x14ac:dyDescent="0.3">
      <c r="A3896" t="s">
        <v>625</v>
      </c>
      <c r="B3896" t="s">
        <v>1321</v>
      </c>
      <c r="C3896" t="s">
        <v>27</v>
      </c>
      <c r="D3896" s="68"/>
      <c r="E3896" s="68">
        <v>205</v>
      </c>
      <c r="F3896" s="68"/>
      <c r="G3896" s="68">
        <v>205</v>
      </c>
      <c r="H38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97" spans="1:8" hidden="1" x14ac:dyDescent="0.3">
      <c r="A3897" t="s">
        <v>625</v>
      </c>
      <c r="B3897" t="s">
        <v>1321</v>
      </c>
      <c r="C3897" t="s">
        <v>26</v>
      </c>
      <c r="D3897" s="68">
        <v>47</v>
      </c>
      <c r="E3897" s="68"/>
      <c r="F3897" s="68">
        <v>124</v>
      </c>
      <c r="G3897" s="68">
        <v>171</v>
      </c>
      <c r="H38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98" spans="1:8" hidden="1" x14ac:dyDescent="0.3">
      <c r="A3898" t="s">
        <v>625</v>
      </c>
      <c r="B3898" t="s">
        <v>1321</v>
      </c>
      <c r="C3898" t="s">
        <v>5</v>
      </c>
      <c r="D3898" s="68"/>
      <c r="E3898" s="68"/>
      <c r="F3898" s="68">
        <v>1</v>
      </c>
      <c r="G3898" s="68">
        <v>1</v>
      </c>
      <c r="H38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899" spans="1:8" hidden="1" x14ac:dyDescent="0.3">
      <c r="A3899" t="s">
        <v>625</v>
      </c>
      <c r="B3899" t="s">
        <v>1322</v>
      </c>
      <c r="C3899" t="s">
        <v>40</v>
      </c>
      <c r="D3899" s="68">
        <v>164</v>
      </c>
      <c r="E3899" s="68"/>
      <c r="F3899" s="68">
        <v>5663</v>
      </c>
      <c r="G3899" s="68">
        <v>5827</v>
      </c>
      <c r="H38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00" spans="1:8" hidden="1" x14ac:dyDescent="0.3">
      <c r="A3900" t="s">
        <v>625</v>
      </c>
      <c r="B3900" t="s">
        <v>1322</v>
      </c>
      <c r="C3900" t="s">
        <v>38</v>
      </c>
      <c r="D3900" s="68">
        <v>34</v>
      </c>
      <c r="E3900" s="68"/>
      <c r="F3900" s="68">
        <v>1156</v>
      </c>
      <c r="G3900" s="68">
        <v>1190</v>
      </c>
      <c r="H39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01" spans="1:8" hidden="1" x14ac:dyDescent="0.3">
      <c r="A3901" t="s">
        <v>625</v>
      </c>
      <c r="B3901" t="s">
        <v>1322</v>
      </c>
      <c r="C3901" t="s">
        <v>5</v>
      </c>
      <c r="D3901" s="68">
        <v>150</v>
      </c>
      <c r="E3901" s="68"/>
      <c r="F3901" s="68">
        <v>945</v>
      </c>
      <c r="G3901" s="68">
        <v>1095</v>
      </c>
      <c r="H39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02" spans="1:8" hidden="1" x14ac:dyDescent="0.3">
      <c r="A3902" t="s">
        <v>625</v>
      </c>
      <c r="B3902" t="s">
        <v>1322</v>
      </c>
      <c r="C3902" t="s">
        <v>26</v>
      </c>
      <c r="D3902" s="68">
        <v>182</v>
      </c>
      <c r="E3902" s="68"/>
      <c r="F3902" s="68">
        <v>146</v>
      </c>
      <c r="G3902" s="68">
        <v>328</v>
      </c>
      <c r="H39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03" spans="1:8" hidden="1" x14ac:dyDescent="0.3">
      <c r="A3903" t="s">
        <v>625</v>
      </c>
      <c r="B3903" t="s">
        <v>1322</v>
      </c>
      <c r="C3903" t="s">
        <v>27</v>
      </c>
      <c r="D3903" s="68"/>
      <c r="E3903" s="68">
        <v>149</v>
      </c>
      <c r="F3903" s="68"/>
      <c r="G3903" s="68">
        <v>149</v>
      </c>
      <c r="H39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04" spans="1:8" hidden="1" x14ac:dyDescent="0.3">
      <c r="A3904" t="s">
        <v>625</v>
      </c>
      <c r="B3904" t="s">
        <v>1323</v>
      </c>
      <c r="C3904" t="s">
        <v>38</v>
      </c>
      <c r="D3904" s="68">
        <v>214</v>
      </c>
      <c r="E3904" s="68"/>
      <c r="F3904" s="68">
        <v>5994</v>
      </c>
      <c r="G3904" s="68">
        <v>6208</v>
      </c>
      <c r="H39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05" spans="1:8" hidden="1" x14ac:dyDescent="0.3">
      <c r="A3905" t="s">
        <v>625</v>
      </c>
      <c r="B3905" t="s">
        <v>1323</v>
      </c>
      <c r="C3905" t="s">
        <v>5</v>
      </c>
      <c r="D3905" s="68">
        <v>147</v>
      </c>
      <c r="E3905" s="68"/>
      <c r="F3905" s="68">
        <v>2365</v>
      </c>
      <c r="G3905" s="68">
        <v>2512</v>
      </c>
      <c r="H39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06" spans="1:8" hidden="1" x14ac:dyDescent="0.3">
      <c r="A3906" t="s">
        <v>625</v>
      </c>
      <c r="B3906" t="s">
        <v>1323</v>
      </c>
      <c r="C3906" t="s">
        <v>26</v>
      </c>
      <c r="D3906" s="68">
        <v>161</v>
      </c>
      <c r="E3906" s="68"/>
      <c r="F3906" s="68">
        <v>164</v>
      </c>
      <c r="G3906" s="68">
        <v>325</v>
      </c>
      <c r="H39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07" spans="1:8" hidden="1" x14ac:dyDescent="0.3">
      <c r="A3907" t="s">
        <v>625</v>
      </c>
      <c r="B3907" t="s">
        <v>1323</v>
      </c>
      <c r="C3907" t="s">
        <v>27</v>
      </c>
      <c r="D3907" s="68"/>
      <c r="E3907" s="68">
        <v>163</v>
      </c>
      <c r="F3907" s="68"/>
      <c r="G3907" s="68">
        <v>163</v>
      </c>
      <c r="H39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08" spans="1:8" hidden="1" x14ac:dyDescent="0.3">
      <c r="A3908" t="s">
        <v>625</v>
      </c>
      <c r="B3908" t="s">
        <v>1324</v>
      </c>
      <c r="C3908" t="s">
        <v>38</v>
      </c>
      <c r="D3908" s="68">
        <v>114</v>
      </c>
      <c r="E3908" s="68"/>
      <c r="F3908" s="68">
        <v>4002</v>
      </c>
      <c r="G3908" s="68">
        <v>4116</v>
      </c>
      <c r="H39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09" spans="1:8" hidden="1" x14ac:dyDescent="0.3">
      <c r="A3909" t="s">
        <v>625</v>
      </c>
      <c r="B3909" t="s">
        <v>1324</v>
      </c>
      <c r="C3909" t="s">
        <v>40</v>
      </c>
      <c r="D3909" s="68">
        <v>98</v>
      </c>
      <c r="E3909" s="68"/>
      <c r="F3909" s="68">
        <v>3437</v>
      </c>
      <c r="G3909" s="68">
        <v>3535</v>
      </c>
      <c r="H39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10" spans="1:8" hidden="1" x14ac:dyDescent="0.3">
      <c r="A3910" t="s">
        <v>625</v>
      </c>
      <c r="B3910" t="s">
        <v>1324</v>
      </c>
      <c r="C3910" t="s">
        <v>26</v>
      </c>
      <c r="D3910" s="68">
        <v>75</v>
      </c>
      <c r="E3910" s="68"/>
      <c r="F3910" s="68">
        <v>94</v>
      </c>
      <c r="G3910" s="68">
        <v>169</v>
      </c>
      <c r="H39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11" spans="1:8" hidden="1" x14ac:dyDescent="0.3">
      <c r="A3911" t="s">
        <v>625</v>
      </c>
      <c r="B3911" t="s">
        <v>1324</v>
      </c>
      <c r="C3911" t="s">
        <v>27</v>
      </c>
      <c r="D3911" s="68"/>
      <c r="E3911" s="68">
        <v>140</v>
      </c>
      <c r="F3911" s="68"/>
      <c r="G3911" s="68">
        <v>140</v>
      </c>
      <c r="H39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12" spans="1:8" hidden="1" x14ac:dyDescent="0.3">
      <c r="A3912" t="s">
        <v>625</v>
      </c>
      <c r="B3912" t="s">
        <v>1325</v>
      </c>
      <c r="C3912" t="s">
        <v>25</v>
      </c>
      <c r="D3912" s="68">
        <v>163</v>
      </c>
      <c r="E3912" s="68"/>
      <c r="F3912" s="68">
        <v>4623</v>
      </c>
      <c r="G3912" s="68">
        <v>4786</v>
      </c>
      <c r="H39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13" spans="1:8" hidden="1" x14ac:dyDescent="0.3">
      <c r="A3913" t="s">
        <v>625</v>
      </c>
      <c r="B3913" t="s">
        <v>1325</v>
      </c>
      <c r="C3913" t="s">
        <v>40</v>
      </c>
      <c r="D3913" s="68">
        <v>215</v>
      </c>
      <c r="E3913" s="68"/>
      <c r="F3913" s="68">
        <v>1692</v>
      </c>
      <c r="G3913" s="68">
        <v>1907</v>
      </c>
      <c r="H39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14" spans="1:8" hidden="1" x14ac:dyDescent="0.3">
      <c r="A3914" t="s">
        <v>625</v>
      </c>
      <c r="B3914" t="s">
        <v>1325</v>
      </c>
      <c r="C3914" t="s">
        <v>26</v>
      </c>
      <c r="D3914" s="68">
        <v>203</v>
      </c>
      <c r="E3914" s="68"/>
      <c r="F3914" s="68">
        <v>117</v>
      </c>
      <c r="G3914" s="68">
        <v>320</v>
      </c>
      <c r="H39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15" spans="1:8" hidden="1" x14ac:dyDescent="0.3">
      <c r="A3915" t="s">
        <v>625</v>
      </c>
      <c r="B3915" t="s">
        <v>1325</v>
      </c>
      <c r="C3915" t="s">
        <v>27</v>
      </c>
      <c r="D3915" s="68"/>
      <c r="E3915" s="68">
        <v>130</v>
      </c>
      <c r="F3915" s="68"/>
      <c r="G3915" s="68">
        <v>130</v>
      </c>
      <c r="H39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16" spans="1:8" hidden="1" x14ac:dyDescent="0.3">
      <c r="A3916" t="s">
        <v>625</v>
      </c>
      <c r="B3916" t="s">
        <v>1325</v>
      </c>
      <c r="C3916" t="s">
        <v>5</v>
      </c>
      <c r="D3916" s="68">
        <v>1</v>
      </c>
      <c r="E3916" s="68"/>
      <c r="F3916" s="68"/>
      <c r="G3916" s="68">
        <v>1</v>
      </c>
      <c r="H39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17" spans="1:8" hidden="1" x14ac:dyDescent="0.3">
      <c r="A3917" t="s">
        <v>625</v>
      </c>
      <c r="B3917" t="s">
        <v>1121</v>
      </c>
      <c r="C3917" t="s">
        <v>38</v>
      </c>
      <c r="D3917" s="68">
        <v>283</v>
      </c>
      <c r="E3917" s="68"/>
      <c r="F3917" s="68">
        <v>6385</v>
      </c>
      <c r="G3917" s="68">
        <v>6668</v>
      </c>
      <c r="H39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18" spans="1:8" hidden="1" x14ac:dyDescent="0.3">
      <c r="A3918" t="s">
        <v>625</v>
      </c>
      <c r="B3918" t="s">
        <v>1121</v>
      </c>
      <c r="C3918" t="s">
        <v>27</v>
      </c>
      <c r="D3918" s="68"/>
      <c r="E3918" s="68">
        <v>261</v>
      </c>
      <c r="F3918" s="68"/>
      <c r="G3918" s="68">
        <v>261</v>
      </c>
      <c r="H39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19" spans="1:8" hidden="1" x14ac:dyDescent="0.3">
      <c r="A3919" t="s">
        <v>625</v>
      </c>
      <c r="B3919" t="s">
        <v>1121</v>
      </c>
      <c r="C3919" t="s">
        <v>26</v>
      </c>
      <c r="D3919" s="68">
        <v>108</v>
      </c>
      <c r="E3919" s="68"/>
      <c r="F3919" s="68">
        <v>146</v>
      </c>
      <c r="G3919" s="68">
        <v>254</v>
      </c>
      <c r="H39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20" spans="1:8" hidden="1" x14ac:dyDescent="0.3">
      <c r="A3920" t="s">
        <v>625</v>
      </c>
      <c r="B3920" t="s">
        <v>625</v>
      </c>
      <c r="C3920" t="s">
        <v>40</v>
      </c>
      <c r="D3920" s="68">
        <v>187</v>
      </c>
      <c r="E3920" s="68"/>
      <c r="F3920" s="68">
        <v>2365</v>
      </c>
      <c r="G3920" s="68">
        <v>2552</v>
      </c>
      <c r="H39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21" spans="1:8" hidden="1" x14ac:dyDescent="0.3">
      <c r="A3921" t="s">
        <v>625</v>
      </c>
      <c r="B3921" t="s">
        <v>625</v>
      </c>
      <c r="C3921" t="s">
        <v>26</v>
      </c>
      <c r="D3921" s="68">
        <v>284</v>
      </c>
      <c r="E3921" s="68"/>
      <c r="F3921" s="68">
        <v>328</v>
      </c>
      <c r="G3921" s="68">
        <v>612</v>
      </c>
      <c r="H39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22" spans="1:8" hidden="1" x14ac:dyDescent="0.3">
      <c r="A3922" t="s">
        <v>625</v>
      </c>
      <c r="B3922" t="s">
        <v>625</v>
      </c>
      <c r="C3922" t="s">
        <v>5</v>
      </c>
      <c r="D3922" s="68">
        <v>107</v>
      </c>
      <c r="E3922" s="68"/>
      <c r="F3922" s="68">
        <v>329</v>
      </c>
      <c r="G3922" s="68">
        <v>436</v>
      </c>
      <c r="H39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23" spans="1:8" hidden="1" x14ac:dyDescent="0.3">
      <c r="A3923" t="s">
        <v>625</v>
      </c>
      <c r="B3923" t="s">
        <v>625</v>
      </c>
      <c r="C3923" t="s">
        <v>27</v>
      </c>
      <c r="D3923" s="68"/>
      <c r="E3923" s="68">
        <v>8</v>
      </c>
      <c r="F3923" s="68"/>
      <c r="G3923" s="68">
        <v>8</v>
      </c>
      <c r="H39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24" spans="1:8" hidden="1" x14ac:dyDescent="0.3">
      <c r="A3924" t="s">
        <v>625</v>
      </c>
      <c r="B3924" t="s">
        <v>1326</v>
      </c>
      <c r="C3924" t="s">
        <v>38</v>
      </c>
      <c r="D3924" s="68">
        <v>555</v>
      </c>
      <c r="E3924" s="68"/>
      <c r="F3924" s="68">
        <v>15866</v>
      </c>
      <c r="G3924" s="68">
        <v>16421</v>
      </c>
      <c r="H39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25" spans="1:8" hidden="1" x14ac:dyDescent="0.3">
      <c r="A3925" t="s">
        <v>625</v>
      </c>
      <c r="B3925" t="s">
        <v>1326</v>
      </c>
      <c r="C3925" t="s">
        <v>40</v>
      </c>
      <c r="D3925" s="68">
        <v>98</v>
      </c>
      <c r="E3925" s="68"/>
      <c r="F3925" s="68">
        <v>3530</v>
      </c>
      <c r="G3925" s="68">
        <v>3628</v>
      </c>
      <c r="H39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26" spans="1:8" hidden="1" x14ac:dyDescent="0.3">
      <c r="A3926" t="s">
        <v>625</v>
      </c>
      <c r="B3926" t="s">
        <v>1326</v>
      </c>
      <c r="C3926" t="s">
        <v>27</v>
      </c>
      <c r="D3926" s="68"/>
      <c r="E3926" s="68">
        <v>578</v>
      </c>
      <c r="F3926" s="68"/>
      <c r="G3926" s="68">
        <v>578</v>
      </c>
      <c r="H39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27" spans="1:8" hidden="1" x14ac:dyDescent="0.3">
      <c r="A3927" t="s">
        <v>625</v>
      </c>
      <c r="B3927" t="s">
        <v>1326</v>
      </c>
      <c r="C3927" t="s">
        <v>26</v>
      </c>
      <c r="D3927" s="68">
        <v>276</v>
      </c>
      <c r="E3927" s="68"/>
      <c r="F3927" s="68">
        <v>259</v>
      </c>
      <c r="G3927" s="68">
        <v>535</v>
      </c>
      <c r="H39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28" spans="1:8" hidden="1" x14ac:dyDescent="0.3">
      <c r="A3928" t="s">
        <v>625</v>
      </c>
      <c r="B3928" t="s">
        <v>1326</v>
      </c>
      <c r="C3928" t="s">
        <v>36</v>
      </c>
      <c r="D3928" s="68">
        <v>1</v>
      </c>
      <c r="E3928" s="68"/>
      <c r="F3928" s="68"/>
      <c r="G3928" s="68">
        <v>1</v>
      </c>
      <c r="H39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29" spans="1:8" hidden="1" x14ac:dyDescent="0.3">
      <c r="A3929" t="s">
        <v>625</v>
      </c>
      <c r="B3929" t="s">
        <v>1327</v>
      </c>
      <c r="C3929" t="s">
        <v>40</v>
      </c>
      <c r="D3929" s="68">
        <v>200</v>
      </c>
      <c r="E3929" s="68"/>
      <c r="F3929" s="68">
        <v>4172</v>
      </c>
      <c r="G3929" s="68">
        <v>4372</v>
      </c>
      <c r="H39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30" spans="1:8" hidden="1" x14ac:dyDescent="0.3">
      <c r="A3930" t="s">
        <v>625</v>
      </c>
      <c r="B3930" t="s">
        <v>1327</v>
      </c>
      <c r="C3930" t="s">
        <v>5</v>
      </c>
      <c r="D3930" s="68">
        <v>136</v>
      </c>
      <c r="E3930" s="68"/>
      <c r="F3930" s="68">
        <v>992</v>
      </c>
      <c r="G3930" s="68">
        <v>1128</v>
      </c>
      <c r="H39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31" spans="1:8" hidden="1" x14ac:dyDescent="0.3">
      <c r="A3931" t="s">
        <v>625</v>
      </c>
      <c r="B3931" t="s">
        <v>1327</v>
      </c>
      <c r="C3931" t="s">
        <v>26</v>
      </c>
      <c r="D3931" s="68">
        <v>103</v>
      </c>
      <c r="E3931" s="68"/>
      <c r="F3931" s="68">
        <v>84</v>
      </c>
      <c r="G3931" s="68">
        <v>187</v>
      </c>
      <c r="H39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32" spans="1:8" hidden="1" x14ac:dyDescent="0.3">
      <c r="A3932" t="s">
        <v>625</v>
      </c>
      <c r="B3932" t="s">
        <v>1327</v>
      </c>
      <c r="C3932" t="s">
        <v>27</v>
      </c>
      <c r="D3932" s="68"/>
      <c r="E3932" s="68">
        <v>31</v>
      </c>
      <c r="F3932" s="68"/>
      <c r="G3932" s="68">
        <v>31</v>
      </c>
      <c r="H39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33" spans="1:8" hidden="1" x14ac:dyDescent="0.3">
      <c r="A3933" t="s">
        <v>625</v>
      </c>
      <c r="B3933" t="s">
        <v>1328</v>
      </c>
      <c r="C3933" t="s">
        <v>40</v>
      </c>
      <c r="D3933" s="68">
        <v>16868</v>
      </c>
      <c r="E3933" s="68"/>
      <c r="F3933" s="68">
        <v>149520</v>
      </c>
      <c r="G3933" s="68">
        <v>166388</v>
      </c>
      <c r="H39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34" spans="1:8" hidden="1" x14ac:dyDescent="0.3">
      <c r="A3934" t="s">
        <v>625</v>
      </c>
      <c r="B3934" t="s">
        <v>1328</v>
      </c>
      <c r="C3934" t="s">
        <v>5</v>
      </c>
      <c r="D3934" s="68">
        <v>95247</v>
      </c>
      <c r="E3934" s="68"/>
      <c r="F3934" s="68">
        <v>28577</v>
      </c>
      <c r="G3934" s="68">
        <v>123824</v>
      </c>
      <c r="H39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35" spans="1:8" hidden="1" x14ac:dyDescent="0.3">
      <c r="A3935" t="s">
        <v>625</v>
      </c>
      <c r="B3935" t="s">
        <v>1328</v>
      </c>
      <c r="C3935" t="s">
        <v>26</v>
      </c>
      <c r="D3935" s="68">
        <v>61960</v>
      </c>
      <c r="E3935" s="68"/>
      <c r="F3935" s="68">
        <v>38027</v>
      </c>
      <c r="G3935" s="68">
        <v>99987</v>
      </c>
      <c r="H39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36" spans="1:8" hidden="1" x14ac:dyDescent="0.3">
      <c r="A3936" t="s">
        <v>625</v>
      </c>
      <c r="B3936" t="s">
        <v>1328</v>
      </c>
      <c r="C3936" t="s">
        <v>25</v>
      </c>
      <c r="D3936" s="68">
        <v>2393</v>
      </c>
      <c r="E3936" s="68"/>
      <c r="F3936" s="68">
        <v>15617</v>
      </c>
      <c r="G3936" s="68">
        <v>18010</v>
      </c>
      <c r="H39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37" spans="1:8" hidden="1" x14ac:dyDescent="0.3">
      <c r="A3937" t="s">
        <v>625</v>
      </c>
      <c r="B3937" t="s">
        <v>1328</v>
      </c>
      <c r="C3937" t="s">
        <v>27</v>
      </c>
      <c r="D3937" s="68"/>
      <c r="E3937" s="68">
        <v>14458</v>
      </c>
      <c r="F3937" s="68"/>
      <c r="G3937" s="68">
        <v>14458</v>
      </c>
      <c r="H39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38" spans="1:8" hidden="1" x14ac:dyDescent="0.3">
      <c r="A3938" t="s">
        <v>625</v>
      </c>
      <c r="B3938" t="s">
        <v>1328</v>
      </c>
      <c r="C3938" t="s">
        <v>37</v>
      </c>
      <c r="D3938" s="68">
        <v>3628</v>
      </c>
      <c r="E3938" s="68"/>
      <c r="F3938" s="68">
        <v>5671</v>
      </c>
      <c r="G3938" s="68">
        <v>9299</v>
      </c>
      <c r="H39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39" spans="1:8" hidden="1" x14ac:dyDescent="0.3">
      <c r="A3939" t="s">
        <v>625</v>
      </c>
      <c r="B3939" t="s">
        <v>1328</v>
      </c>
      <c r="C3939" t="s">
        <v>35</v>
      </c>
      <c r="D3939" s="68">
        <v>9</v>
      </c>
      <c r="E3939" s="68"/>
      <c r="F3939" s="68"/>
      <c r="G3939" s="68">
        <v>9</v>
      </c>
      <c r="H39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40" spans="1:8" hidden="1" x14ac:dyDescent="0.3">
      <c r="A3940" t="s">
        <v>625</v>
      </c>
      <c r="B3940" t="s">
        <v>1328</v>
      </c>
      <c r="C3940" t="s">
        <v>34</v>
      </c>
      <c r="D3940" s="68">
        <v>1</v>
      </c>
      <c r="E3940" s="68"/>
      <c r="F3940" s="68"/>
      <c r="G3940" s="68">
        <v>1</v>
      </c>
      <c r="H39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41" spans="1:8" hidden="1" x14ac:dyDescent="0.3">
      <c r="A3941" t="s">
        <v>625</v>
      </c>
      <c r="B3941" t="s">
        <v>1328</v>
      </c>
      <c r="C3941" t="s">
        <v>38</v>
      </c>
      <c r="D3941" s="68"/>
      <c r="E3941" s="68"/>
      <c r="F3941" s="68">
        <v>1</v>
      </c>
      <c r="G3941" s="68">
        <v>1</v>
      </c>
      <c r="H39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42" spans="1:8" hidden="1" x14ac:dyDescent="0.3">
      <c r="A3942" t="s">
        <v>625</v>
      </c>
      <c r="B3942" t="s">
        <v>1329</v>
      </c>
      <c r="C3942" t="s">
        <v>40</v>
      </c>
      <c r="D3942" s="68">
        <v>147</v>
      </c>
      <c r="E3942" s="68"/>
      <c r="F3942" s="68">
        <v>6446</v>
      </c>
      <c r="G3942" s="68">
        <v>6593</v>
      </c>
      <c r="H39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43" spans="1:8" hidden="1" x14ac:dyDescent="0.3">
      <c r="A3943" t="s">
        <v>625</v>
      </c>
      <c r="B3943" t="s">
        <v>1329</v>
      </c>
      <c r="C3943" t="s">
        <v>38</v>
      </c>
      <c r="D3943" s="68">
        <v>171</v>
      </c>
      <c r="E3943" s="68"/>
      <c r="F3943" s="68">
        <v>6347</v>
      </c>
      <c r="G3943" s="68">
        <v>6518</v>
      </c>
      <c r="H39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44" spans="1:8" hidden="1" x14ac:dyDescent="0.3">
      <c r="A3944" t="s">
        <v>625</v>
      </c>
      <c r="B3944" t="s">
        <v>1329</v>
      </c>
      <c r="C3944" t="s">
        <v>26</v>
      </c>
      <c r="D3944" s="68">
        <v>112</v>
      </c>
      <c r="E3944" s="68"/>
      <c r="F3944" s="68">
        <v>135</v>
      </c>
      <c r="G3944" s="68">
        <v>247</v>
      </c>
      <c r="H39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45" spans="1:8" hidden="1" x14ac:dyDescent="0.3">
      <c r="A3945" t="s">
        <v>625</v>
      </c>
      <c r="B3945" t="s">
        <v>1329</v>
      </c>
      <c r="C3945" t="s">
        <v>27</v>
      </c>
      <c r="D3945" s="68"/>
      <c r="E3945" s="68">
        <v>207</v>
      </c>
      <c r="F3945" s="68"/>
      <c r="G3945" s="68">
        <v>207</v>
      </c>
      <c r="H39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46" spans="1:8" hidden="1" x14ac:dyDescent="0.3">
      <c r="A3946" t="s">
        <v>625</v>
      </c>
      <c r="B3946" t="s">
        <v>1329</v>
      </c>
      <c r="C3946" t="s">
        <v>5</v>
      </c>
      <c r="D3946" s="68"/>
      <c r="E3946" s="68"/>
      <c r="F3946" s="68">
        <v>2</v>
      </c>
      <c r="G3946" s="68">
        <v>2</v>
      </c>
      <c r="H39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47" spans="1:8" hidden="1" x14ac:dyDescent="0.3">
      <c r="A3947" t="s">
        <v>625</v>
      </c>
      <c r="B3947" t="s">
        <v>1330</v>
      </c>
      <c r="C3947" t="s">
        <v>25</v>
      </c>
      <c r="D3947" s="68">
        <v>417</v>
      </c>
      <c r="E3947" s="68"/>
      <c r="F3947" s="68">
        <v>6059</v>
      </c>
      <c r="G3947" s="68">
        <v>6476</v>
      </c>
      <c r="H39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48" spans="1:8" hidden="1" x14ac:dyDescent="0.3">
      <c r="A3948" t="s">
        <v>625</v>
      </c>
      <c r="B3948" t="s">
        <v>1330</v>
      </c>
      <c r="C3948" t="s">
        <v>40</v>
      </c>
      <c r="D3948" s="68">
        <v>132</v>
      </c>
      <c r="E3948" s="68"/>
      <c r="F3948" s="68">
        <v>3239</v>
      </c>
      <c r="G3948" s="68">
        <v>3371</v>
      </c>
      <c r="H39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49" spans="1:8" hidden="1" x14ac:dyDescent="0.3">
      <c r="A3949" t="s">
        <v>625</v>
      </c>
      <c r="B3949" t="s">
        <v>1330</v>
      </c>
      <c r="C3949" t="s">
        <v>5</v>
      </c>
      <c r="D3949" s="68">
        <v>101</v>
      </c>
      <c r="E3949" s="68"/>
      <c r="F3949" s="68">
        <v>1608</v>
      </c>
      <c r="G3949" s="68">
        <v>1709</v>
      </c>
      <c r="H39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50" spans="1:8" hidden="1" x14ac:dyDescent="0.3">
      <c r="A3950" t="s">
        <v>625</v>
      </c>
      <c r="B3950" t="s">
        <v>1330</v>
      </c>
      <c r="C3950" t="s">
        <v>26</v>
      </c>
      <c r="D3950" s="68">
        <v>60</v>
      </c>
      <c r="E3950" s="68"/>
      <c r="F3950" s="68">
        <v>43</v>
      </c>
      <c r="G3950" s="68">
        <v>103</v>
      </c>
      <c r="H39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51" spans="1:8" hidden="1" x14ac:dyDescent="0.3">
      <c r="A3951" t="s">
        <v>625</v>
      </c>
      <c r="B3951" t="s">
        <v>1330</v>
      </c>
      <c r="C3951" t="s">
        <v>27</v>
      </c>
      <c r="D3951" s="68"/>
      <c r="E3951" s="68">
        <v>84</v>
      </c>
      <c r="F3951" s="68"/>
      <c r="G3951" s="68">
        <v>84</v>
      </c>
      <c r="H39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52" spans="1:8" hidden="1" x14ac:dyDescent="0.3">
      <c r="A3952" t="s">
        <v>625</v>
      </c>
      <c r="B3952" t="s">
        <v>686</v>
      </c>
      <c r="C3952" t="s">
        <v>25</v>
      </c>
      <c r="D3952" s="68">
        <v>187</v>
      </c>
      <c r="E3952" s="68"/>
      <c r="F3952" s="68">
        <v>2999</v>
      </c>
      <c r="G3952" s="68">
        <v>3186</v>
      </c>
      <c r="H39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53" spans="1:8" hidden="1" x14ac:dyDescent="0.3">
      <c r="A3953" t="s">
        <v>625</v>
      </c>
      <c r="B3953" t="s">
        <v>686</v>
      </c>
      <c r="C3953" t="s">
        <v>40</v>
      </c>
      <c r="D3953" s="68">
        <v>61</v>
      </c>
      <c r="E3953" s="68"/>
      <c r="F3953" s="68">
        <v>1595</v>
      </c>
      <c r="G3953" s="68">
        <v>1656</v>
      </c>
      <c r="H39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54" spans="1:8" hidden="1" x14ac:dyDescent="0.3">
      <c r="A3954" t="s">
        <v>625</v>
      </c>
      <c r="B3954" t="s">
        <v>686</v>
      </c>
      <c r="C3954" t="s">
        <v>26</v>
      </c>
      <c r="D3954" s="68">
        <v>32</v>
      </c>
      <c r="E3954" s="68"/>
      <c r="F3954" s="68">
        <v>60</v>
      </c>
      <c r="G3954" s="68">
        <v>92</v>
      </c>
      <c r="H39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55" spans="1:8" hidden="1" x14ac:dyDescent="0.3">
      <c r="A3955" t="s">
        <v>625</v>
      </c>
      <c r="B3955" t="s">
        <v>686</v>
      </c>
      <c r="C3955" t="s">
        <v>27</v>
      </c>
      <c r="D3955" s="68"/>
      <c r="E3955" s="68">
        <v>80</v>
      </c>
      <c r="F3955" s="68"/>
      <c r="G3955" s="68">
        <v>80</v>
      </c>
      <c r="H39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56" spans="1:8" hidden="1" x14ac:dyDescent="0.3">
      <c r="A3956" t="s">
        <v>625</v>
      </c>
      <c r="B3956" t="s">
        <v>1331</v>
      </c>
      <c r="C3956" t="s">
        <v>40</v>
      </c>
      <c r="D3956" s="68">
        <v>309</v>
      </c>
      <c r="E3956" s="68"/>
      <c r="F3956" s="68">
        <v>5339</v>
      </c>
      <c r="G3956" s="68">
        <v>5648</v>
      </c>
      <c r="H39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57" spans="1:8" hidden="1" x14ac:dyDescent="0.3">
      <c r="A3957" t="s">
        <v>625</v>
      </c>
      <c r="B3957" t="s">
        <v>1331</v>
      </c>
      <c r="C3957" t="s">
        <v>5</v>
      </c>
      <c r="D3957" s="68">
        <v>223</v>
      </c>
      <c r="E3957" s="68"/>
      <c r="F3957" s="68">
        <v>1505</v>
      </c>
      <c r="G3957" s="68">
        <v>1728</v>
      </c>
      <c r="H39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58" spans="1:8" hidden="1" x14ac:dyDescent="0.3">
      <c r="A3958" t="s">
        <v>625</v>
      </c>
      <c r="B3958" t="s">
        <v>1331</v>
      </c>
      <c r="C3958" t="s">
        <v>26</v>
      </c>
      <c r="D3958" s="68">
        <v>115</v>
      </c>
      <c r="E3958" s="68"/>
      <c r="F3958" s="68">
        <v>145</v>
      </c>
      <c r="G3958" s="68">
        <v>260</v>
      </c>
      <c r="H39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59" spans="1:8" hidden="1" x14ac:dyDescent="0.3">
      <c r="A3959" t="s">
        <v>625</v>
      </c>
      <c r="B3959" t="s">
        <v>1331</v>
      </c>
      <c r="C3959" t="s">
        <v>27</v>
      </c>
      <c r="D3959" s="68"/>
      <c r="E3959" s="68">
        <v>122</v>
      </c>
      <c r="F3959" s="68"/>
      <c r="G3959" s="68">
        <v>122</v>
      </c>
      <c r="H39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60" spans="1:8" hidden="1" x14ac:dyDescent="0.3">
      <c r="A3960" t="s">
        <v>625</v>
      </c>
      <c r="B3960" t="s">
        <v>1332</v>
      </c>
      <c r="C3960" t="s">
        <v>40</v>
      </c>
      <c r="D3960" s="68">
        <v>511</v>
      </c>
      <c r="E3960" s="68"/>
      <c r="F3960" s="68">
        <v>8568</v>
      </c>
      <c r="G3960" s="68">
        <v>9079</v>
      </c>
      <c r="H39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61" spans="1:8" hidden="1" x14ac:dyDescent="0.3">
      <c r="A3961" t="s">
        <v>625</v>
      </c>
      <c r="B3961" t="s">
        <v>1332</v>
      </c>
      <c r="C3961" t="s">
        <v>25</v>
      </c>
      <c r="D3961" s="68">
        <v>387</v>
      </c>
      <c r="E3961" s="68"/>
      <c r="F3961" s="68">
        <v>4658</v>
      </c>
      <c r="G3961" s="68">
        <v>5045</v>
      </c>
      <c r="H39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62" spans="1:8" hidden="1" x14ac:dyDescent="0.3">
      <c r="A3962" t="s">
        <v>625</v>
      </c>
      <c r="B3962" t="s">
        <v>1332</v>
      </c>
      <c r="C3962" t="s">
        <v>5</v>
      </c>
      <c r="D3962" s="68">
        <v>287</v>
      </c>
      <c r="E3962" s="68"/>
      <c r="F3962" s="68">
        <v>1915</v>
      </c>
      <c r="G3962" s="68">
        <v>2202</v>
      </c>
      <c r="H39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63" spans="1:8" hidden="1" x14ac:dyDescent="0.3">
      <c r="A3963" t="s">
        <v>625</v>
      </c>
      <c r="B3963" t="s">
        <v>1332</v>
      </c>
      <c r="C3963" t="s">
        <v>26</v>
      </c>
      <c r="D3963" s="68">
        <v>354</v>
      </c>
      <c r="E3963" s="68"/>
      <c r="F3963" s="68">
        <v>318</v>
      </c>
      <c r="G3963" s="68">
        <v>672</v>
      </c>
      <c r="H39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64" spans="1:8" hidden="1" x14ac:dyDescent="0.3">
      <c r="A3964" t="s">
        <v>625</v>
      </c>
      <c r="B3964" t="s">
        <v>1332</v>
      </c>
      <c r="C3964" t="s">
        <v>27</v>
      </c>
      <c r="D3964" s="68"/>
      <c r="E3964" s="68">
        <v>95</v>
      </c>
      <c r="F3964" s="68"/>
      <c r="G3964" s="68">
        <v>95</v>
      </c>
      <c r="H39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65" spans="1:8" hidden="1" x14ac:dyDescent="0.3">
      <c r="A3965" t="s">
        <v>625</v>
      </c>
      <c r="B3965" t="s">
        <v>1136</v>
      </c>
      <c r="C3965" t="s">
        <v>38</v>
      </c>
      <c r="D3965" s="68">
        <v>217</v>
      </c>
      <c r="E3965" s="68"/>
      <c r="F3965" s="68">
        <v>6964</v>
      </c>
      <c r="G3965" s="68">
        <v>7181</v>
      </c>
      <c r="H39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66" spans="1:8" hidden="1" x14ac:dyDescent="0.3">
      <c r="A3966" t="s">
        <v>625</v>
      </c>
      <c r="B3966" t="s">
        <v>1136</v>
      </c>
      <c r="C3966" t="s">
        <v>40</v>
      </c>
      <c r="D3966" s="68">
        <v>369</v>
      </c>
      <c r="E3966" s="68"/>
      <c r="F3966" s="68">
        <v>5791</v>
      </c>
      <c r="G3966" s="68">
        <v>6160</v>
      </c>
      <c r="H39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67" spans="1:8" hidden="1" x14ac:dyDescent="0.3">
      <c r="A3967" t="s">
        <v>625</v>
      </c>
      <c r="B3967" t="s">
        <v>1136</v>
      </c>
      <c r="C3967" t="s">
        <v>25</v>
      </c>
      <c r="D3967" s="68">
        <v>260</v>
      </c>
      <c r="E3967" s="68"/>
      <c r="F3967" s="68">
        <v>5448</v>
      </c>
      <c r="G3967" s="68">
        <v>5708</v>
      </c>
      <c r="H39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68" spans="1:8" hidden="1" x14ac:dyDescent="0.3">
      <c r="A3968" t="s">
        <v>625</v>
      </c>
      <c r="B3968" t="s">
        <v>1136</v>
      </c>
      <c r="C3968" t="s">
        <v>26</v>
      </c>
      <c r="D3968" s="68">
        <v>524</v>
      </c>
      <c r="E3968" s="68"/>
      <c r="F3968" s="68">
        <v>296</v>
      </c>
      <c r="G3968" s="68">
        <v>820</v>
      </c>
      <c r="H39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69" spans="1:8" hidden="1" x14ac:dyDescent="0.3">
      <c r="A3969" t="s">
        <v>625</v>
      </c>
      <c r="B3969" t="s">
        <v>1136</v>
      </c>
      <c r="C3969" t="s">
        <v>27</v>
      </c>
      <c r="D3969" s="68"/>
      <c r="E3969" s="68">
        <v>487</v>
      </c>
      <c r="F3969" s="68"/>
      <c r="G3969" s="68">
        <v>487</v>
      </c>
      <c r="H39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70" spans="1:8" hidden="1" x14ac:dyDescent="0.3">
      <c r="A3970" t="s">
        <v>625</v>
      </c>
      <c r="B3970" t="s">
        <v>1333</v>
      </c>
      <c r="C3970" t="s">
        <v>40</v>
      </c>
      <c r="D3970" s="68">
        <v>225</v>
      </c>
      <c r="E3970" s="68"/>
      <c r="F3970" s="68">
        <v>5773</v>
      </c>
      <c r="G3970" s="68">
        <v>5998</v>
      </c>
      <c r="H39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71" spans="1:8" hidden="1" x14ac:dyDescent="0.3">
      <c r="A3971" t="s">
        <v>625</v>
      </c>
      <c r="B3971" t="s">
        <v>1333</v>
      </c>
      <c r="C3971" t="s">
        <v>38</v>
      </c>
      <c r="D3971" s="68">
        <v>138</v>
      </c>
      <c r="E3971" s="68"/>
      <c r="F3971" s="68">
        <v>3558</v>
      </c>
      <c r="G3971" s="68">
        <v>3696</v>
      </c>
      <c r="H39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72" spans="1:8" hidden="1" x14ac:dyDescent="0.3">
      <c r="A3972" t="s">
        <v>625</v>
      </c>
      <c r="B3972" t="s">
        <v>1333</v>
      </c>
      <c r="C3972" t="s">
        <v>27</v>
      </c>
      <c r="D3972" s="68"/>
      <c r="E3972" s="68">
        <v>283</v>
      </c>
      <c r="F3972" s="68"/>
      <c r="G3972" s="68">
        <v>283</v>
      </c>
      <c r="H39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73" spans="1:8" hidden="1" x14ac:dyDescent="0.3">
      <c r="A3973" t="s">
        <v>625</v>
      </c>
      <c r="B3973" t="s">
        <v>1333</v>
      </c>
      <c r="C3973" t="s">
        <v>26</v>
      </c>
      <c r="D3973" s="68">
        <v>126</v>
      </c>
      <c r="E3973" s="68"/>
      <c r="F3973" s="68">
        <v>149</v>
      </c>
      <c r="G3973" s="68">
        <v>275</v>
      </c>
      <c r="H39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74" spans="1:8" hidden="1" x14ac:dyDescent="0.3">
      <c r="A3974" t="s">
        <v>625</v>
      </c>
      <c r="B3974" t="s">
        <v>1333</v>
      </c>
      <c r="C3974" t="s">
        <v>5</v>
      </c>
      <c r="D3974" s="68"/>
      <c r="E3974" s="68"/>
      <c r="F3974" s="68">
        <v>1</v>
      </c>
      <c r="G3974" s="68">
        <v>1</v>
      </c>
      <c r="H39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75" spans="1:8" hidden="1" x14ac:dyDescent="0.3">
      <c r="A3975" t="s">
        <v>625</v>
      </c>
      <c r="B3975" t="s">
        <v>1334</v>
      </c>
      <c r="C3975" t="s">
        <v>40</v>
      </c>
      <c r="D3975" s="68">
        <v>289</v>
      </c>
      <c r="E3975" s="68"/>
      <c r="F3975" s="68">
        <v>11880</v>
      </c>
      <c r="G3975" s="68">
        <v>12169</v>
      </c>
      <c r="H39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76" spans="1:8" hidden="1" x14ac:dyDescent="0.3">
      <c r="A3976" t="s">
        <v>625</v>
      </c>
      <c r="B3976" t="s">
        <v>1334</v>
      </c>
      <c r="C3976" t="s">
        <v>5</v>
      </c>
      <c r="D3976" s="68">
        <v>539</v>
      </c>
      <c r="E3976" s="68"/>
      <c r="F3976" s="68">
        <v>7718</v>
      </c>
      <c r="G3976" s="68">
        <v>8257</v>
      </c>
      <c r="H39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77" spans="1:8" hidden="1" x14ac:dyDescent="0.3">
      <c r="A3977" t="s">
        <v>625</v>
      </c>
      <c r="B3977" t="s">
        <v>1334</v>
      </c>
      <c r="C3977" t="s">
        <v>26</v>
      </c>
      <c r="D3977" s="68">
        <v>1047</v>
      </c>
      <c r="E3977" s="68"/>
      <c r="F3977" s="68">
        <v>2938</v>
      </c>
      <c r="G3977" s="68">
        <v>3985</v>
      </c>
      <c r="H39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78" spans="1:8" hidden="1" x14ac:dyDescent="0.3">
      <c r="A3978" t="s">
        <v>625</v>
      </c>
      <c r="B3978" t="s">
        <v>1334</v>
      </c>
      <c r="C3978" t="s">
        <v>25</v>
      </c>
      <c r="D3978" s="68">
        <v>98</v>
      </c>
      <c r="E3978" s="68"/>
      <c r="F3978" s="68">
        <v>2369</v>
      </c>
      <c r="G3978" s="68">
        <v>2467</v>
      </c>
      <c r="H39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79" spans="1:8" hidden="1" x14ac:dyDescent="0.3">
      <c r="A3979" t="s">
        <v>625</v>
      </c>
      <c r="B3979" t="s">
        <v>1334</v>
      </c>
      <c r="C3979" t="s">
        <v>27</v>
      </c>
      <c r="D3979" s="68"/>
      <c r="E3979" s="68">
        <v>609</v>
      </c>
      <c r="F3979" s="68"/>
      <c r="G3979" s="68">
        <v>609</v>
      </c>
      <c r="H39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80" spans="1:8" hidden="1" x14ac:dyDescent="0.3">
      <c r="A3980" t="s">
        <v>625</v>
      </c>
      <c r="B3980" t="s">
        <v>1335</v>
      </c>
      <c r="C3980" t="s">
        <v>40</v>
      </c>
      <c r="D3980" s="68">
        <v>3312</v>
      </c>
      <c r="E3980" s="68"/>
      <c r="F3980" s="68">
        <v>72876</v>
      </c>
      <c r="G3980" s="68">
        <v>76188</v>
      </c>
      <c r="H39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81" spans="1:8" hidden="1" x14ac:dyDescent="0.3">
      <c r="A3981" t="s">
        <v>625</v>
      </c>
      <c r="B3981" t="s">
        <v>1335</v>
      </c>
      <c r="C3981" t="s">
        <v>26</v>
      </c>
      <c r="D3981" s="68">
        <v>21289</v>
      </c>
      <c r="E3981" s="68"/>
      <c r="F3981" s="68">
        <v>54145</v>
      </c>
      <c r="G3981" s="68">
        <v>75434</v>
      </c>
      <c r="H39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82" spans="1:8" hidden="1" x14ac:dyDescent="0.3">
      <c r="A3982" t="s">
        <v>625</v>
      </c>
      <c r="B3982" t="s">
        <v>1335</v>
      </c>
      <c r="C3982" t="s">
        <v>38</v>
      </c>
      <c r="D3982" s="68">
        <v>704</v>
      </c>
      <c r="E3982" s="68"/>
      <c r="F3982" s="68">
        <v>20486</v>
      </c>
      <c r="G3982" s="68">
        <v>21190</v>
      </c>
      <c r="H39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83" spans="1:8" hidden="1" x14ac:dyDescent="0.3">
      <c r="A3983" t="s">
        <v>625</v>
      </c>
      <c r="B3983" t="s">
        <v>1335</v>
      </c>
      <c r="C3983" t="s">
        <v>5</v>
      </c>
      <c r="D3983" s="68">
        <v>704</v>
      </c>
      <c r="E3983" s="68"/>
      <c r="F3983" s="68">
        <v>7291</v>
      </c>
      <c r="G3983" s="68">
        <v>7995</v>
      </c>
      <c r="H39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84" spans="1:8" hidden="1" x14ac:dyDescent="0.3">
      <c r="A3984" t="s">
        <v>625</v>
      </c>
      <c r="B3984" t="s">
        <v>1335</v>
      </c>
      <c r="C3984" t="s">
        <v>25</v>
      </c>
      <c r="D3984" s="68">
        <v>330</v>
      </c>
      <c r="E3984" s="68"/>
      <c r="F3984" s="68">
        <v>5430</v>
      </c>
      <c r="G3984" s="68">
        <v>5760</v>
      </c>
      <c r="H39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85" spans="1:8" hidden="1" x14ac:dyDescent="0.3">
      <c r="A3985" t="s">
        <v>625</v>
      </c>
      <c r="B3985" t="s">
        <v>1335</v>
      </c>
      <c r="C3985" t="s">
        <v>27</v>
      </c>
      <c r="D3985" s="68"/>
      <c r="E3985" s="68">
        <v>5037</v>
      </c>
      <c r="F3985" s="68"/>
      <c r="G3985" s="68">
        <v>5037</v>
      </c>
      <c r="H39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86" spans="1:8" hidden="1" x14ac:dyDescent="0.3">
      <c r="A3986" t="s">
        <v>625</v>
      </c>
      <c r="B3986" t="s">
        <v>1335</v>
      </c>
      <c r="C3986" t="s">
        <v>35</v>
      </c>
      <c r="D3986" s="68">
        <v>135</v>
      </c>
      <c r="E3986" s="68"/>
      <c r="F3986" s="68"/>
      <c r="G3986" s="68">
        <v>135</v>
      </c>
      <c r="H39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87" spans="1:8" hidden="1" x14ac:dyDescent="0.3">
      <c r="A3987" t="s">
        <v>625</v>
      </c>
      <c r="B3987" t="s">
        <v>1335</v>
      </c>
      <c r="C3987" t="s">
        <v>32</v>
      </c>
      <c r="D3987" s="68">
        <v>1</v>
      </c>
      <c r="E3987" s="68"/>
      <c r="F3987" s="68">
        <v>1</v>
      </c>
      <c r="G3987" s="68">
        <v>2</v>
      </c>
      <c r="H39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88" spans="1:8" hidden="1" x14ac:dyDescent="0.3">
      <c r="A3988" t="s">
        <v>625</v>
      </c>
      <c r="B3988" t="s">
        <v>1335</v>
      </c>
      <c r="C3988" t="s">
        <v>588</v>
      </c>
      <c r="D3988" s="68"/>
      <c r="E3988" s="68"/>
      <c r="F3988" s="68">
        <v>2</v>
      </c>
      <c r="G3988" s="68">
        <v>2</v>
      </c>
      <c r="H39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89" spans="1:8" hidden="1" x14ac:dyDescent="0.3">
      <c r="A3989" t="s">
        <v>625</v>
      </c>
      <c r="B3989" t="s">
        <v>1335</v>
      </c>
      <c r="C3989" t="s">
        <v>33</v>
      </c>
      <c r="D3989" s="68">
        <v>1</v>
      </c>
      <c r="E3989" s="68"/>
      <c r="F3989" s="68"/>
      <c r="G3989" s="68">
        <v>1</v>
      </c>
      <c r="H39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90" spans="1:8" hidden="1" x14ac:dyDescent="0.3">
      <c r="A3990" t="s">
        <v>625</v>
      </c>
      <c r="B3990" t="s">
        <v>1138</v>
      </c>
      <c r="C3990" t="s">
        <v>40</v>
      </c>
      <c r="D3990" s="68">
        <v>246</v>
      </c>
      <c r="E3990" s="68"/>
      <c r="F3990" s="68">
        <v>4726</v>
      </c>
      <c r="G3990" s="68">
        <v>4972</v>
      </c>
      <c r="H39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91" spans="1:8" hidden="1" x14ac:dyDescent="0.3">
      <c r="A3991" t="s">
        <v>625</v>
      </c>
      <c r="B3991" t="s">
        <v>1138</v>
      </c>
      <c r="C3991" t="s">
        <v>5</v>
      </c>
      <c r="D3991" s="68">
        <v>107</v>
      </c>
      <c r="E3991" s="68"/>
      <c r="F3991" s="68">
        <v>1508</v>
      </c>
      <c r="G3991" s="68">
        <v>1615</v>
      </c>
      <c r="H39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92" spans="1:8" hidden="1" x14ac:dyDescent="0.3">
      <c r="A3992" t="s">
        <v>625</v>
      </c>
      <c r="B3992" t="s">
        <v>1138</v>
      </c>
      <c r="C3992" t="s">
        <v>26</v>
      </c>
      <c r="D3992" s="68">
        <v>166</v>
      </c>
      <c r="E3992" s="68"/>
      <c r="F3992" s="68">
        <v>154</v>
      </c>
      <c r="G3992" s="68">
        <v>320</v>
      </c>
      <c r="H39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93" spans="1:8" hidden="1" x14ac:dyDescent="0.3">
      <c r="A3993" t="s">
        <v>625</v>
      </c>
      <c r="B3993" t="s">
        <v>1138</v>
      </c>
      <c r="C3993" t="s">
        <v>27</v>
      </c>
      <c r="D3993" s="68"/>
      <c r="E3993" s="68">
        <v>91</v>
      </c>
      <c r="F3993" s="68"/>
      <c r="G3993" s="68">
        <v>91</v>
      </c>
      <c r="H39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94" spans="1:8" hidden="1" x14ac:dyDescent="0.3">
      <c r="A3994" t="s">
        <v>625</v>
      </c>
      <c r="B3994" t="s">
        <v>1336</v>
      </c>
      <c r="C3994" t="s">
        <v>40</v>
      </c>
      <c r="D3994" s="68">
        <v>263</v>
      </c>
      <c r="E3994" s="68"/>
      <c r="F3994" s="68">
        <v>8077</v>
      </c>
      <c r="G3994" s="68">
        <v>8340</v>
      </c>
      <c r="H39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95" spans="1:8" hidden="1" x14ac:dyDescent="0.3">
      <c r="A3995" t="s">
        <v>625</v>
      </c>
      <c r="B3995" t="s">
        <v>1336</v>
      </c>
      <c r="C3995" t="s">
        <v>5</v>
      </c>
      <c r="D3995" s="68">
        <v>193</v>
      </c>
      <c r="E3995" s="68"/>
      <c r="F3995" s="68">
        <v>2835</v>
      </c>
      <c r="G3995" s="68">
        <v>3028</v>
      </c>
      <c r="H39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96" spans="1:8" hidden="1" x14ac:dyDescent="0.3">
      <c r="A3996" t="s">
        <v>625</v>
      </c>
      <c r="B3996" t="s">
        <v>1336</v>
      </c>
      <c r="C3996" t="s">
        <v>25</v>
      </c>
      <c r="D3996" s="68">
        <v>114</v>
      </c>
      <c r="E3996" s="68"/>
      <c r="F3996" s="68">
        <v>2883</v>
      </c>
      <c r="G3996" s="68">
        <v>2997</v>
      </c>
      <c r="H39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97" spans="1:8" hidden="1" x14ac:dyDescent="0.3">
      <c r="A3997" t="s">
        <v>625</v>
      </c>
      <c r="B3997" t="s">
        <v>1336</v>
      </c>
      <c r="C3997" t="s">
        <v>26</v>
      </c>
      <c r="D3997" s="68">
        <v>241</v>
      </c>
      <c r="E3997" s="68"/>
      <c r="F3997" s="68">
        <v>274</v>
      </c>
      <c r="G3997" s="68">
        <v>515</v>
      </c>
      <c r="H39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98" spans="1:8" hidden="1" x14ac:dyDescent="0.3">
      <c r="A3998" t="s">
        <v>625</v>
      </c>
      <c r="B3998" t="s">
        <v>1336</v>
      </c>
      <c r="C3998" t="s">
        <v>27</v>
      </c>
      <c r="D3998" s="68"/>
      <c r="E3998" s="68">
        <v>190</v>
      </c>
      <c r="F3998" s="68"/>
      <c r="G3998" s="68">
        <v>190</v>
      </c>
      <c r="H39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999" spans="1:8" hidden="1" x14ac:dyDescent="0.3">
      <c r="A3999" t="s">
        <v>625</v>
      </c>
      <c r="B3999" t="s">
        <v>746</v>
      </c>
      <c r="C3999" t="s">
        <v>40</v>
      </c>
      <c r="D3999" s="68">
        <v>195</v>
      </c>
      <c r="E3999" s="68"/>
      <c r="F3999" s="68">
        <v>4932</v>
      </c>
      <c r="G3999" s="68">
        <v>5127</v>
      </c>
      <c r="H39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00" spans="1:8" hidden="1" x14ac:dyDescent="0.3">
      <c r="A4000" t="s">
        <v>625</v>
      </c>
      <c r="B4000" t="s">
        <v>746</v>
      </c>
      <c r="C4000" t="s">
        <v>5</v>
      </c>
      <c r="D4000" s="68">
        <v>363</v>
      </c>
      <c r="E4000" s="68"/>
      <c r="F4000" s="68">
        <v>3346</v>
      </c>
      <c r="G4000" s="68">
        <v>3709</v>
      </c>
      <c r="H40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01" spans="1:8" hidden="1" x14ac:dyDescent="0.3">
      <c r="A4001" t="s">
        <v>625</v>
      </c>
      <c r="B4001" t="s">
        <v>746</v>
      </c>
      <c r="C4001" t="s">
        <v>38</v>
      </c>
      <c r="D4001" s="68">
        <v>101</v>
      </c>
      <c r="E4001" s="68"/>
      <c r="F4001" s="68">
        <v>2819</v>
      </c>
      <c r="G4001" s="68">
        <v>2920</v>
      </c>
      <c r="H40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02" spans="1:8" hidden="1" x14ac:dyDescent="0.3">
      <c r="A4002" t="s">
        <v>625</v>
      </c>
      <c r="B4002" t="s">
        <v>746</v>
      </c>
      <c r="C4002" t="s">
        <v>26</v>
      </c>
      <c r="D4002" s="68">
        <v>470</v>
      </c>
      <c r="E4002" s="68"/>
      <c r="F4002" s="68">
        <v>250</v>
      </c>
      <c r="G4002" s="68">
        <v>720</v>
      </c>
      <c r="H40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03" spans="1:8" hidden="1" x14ac:dyDescent="0.3">
      <c r="A4003" t="s">
        <v>625</v>
      </c>
      <c r="B4003" t="s">
        <v>746</v>
      </c>
      <c r="C4003" t="s">
        <v>27</v>
      </c>
      <c r="D4003" s="68"/>
      <c r="E4003" s="68">
        <v>347</v>
      </c>
      <c r="F4003" s="68"/>
      <c r="G4003" s="68">
        <v>347</v>
      </c>
      <c r="H40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04" spans="1:8" hidden="1" x14ac:dyDescent="0.3">
      <c r="A4004" t="s">
        <v>625</v>
      </c>
      <c r="B4004" t="s">
        <v>1337</v>
      </c>
      <c r="C4004" t="s">
        <v>38</v>
      </c>
      <c r="D4004" s="68">
        <v>166</v>
      </c>
      <c r="E4004" s="68"/>
      <c r="F4004" s="68">
        <v>3302</v>
      </c>
      <c r="G4004" s="68">
        <v>3468</v>
      </c>
      <c r="H40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05" spans="1:8" hidden="1" x14ac:dyDescent="0.3">
      <c r="A4005" t="s">
        <v>625</v>
      </c>
      <c r="B4005" t="s">
        <v>1337</v>
      </c>
      <c r="C4005" t="s">
        <v>40</v>
      </c>
      <c r="D4005" s="68">
        <v>113</v>
      </c>
      <c r="E4005" s="68"/>
      <c r="F4005" s="68">
        <v>2494</v>
      </c>
      <c r="G4005" s="68">
        <v>2607</v>
      </c>
      <c r="H40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06" spans="1:8" hidden="1" x14ac:dyDescent="0.3">
      <c r="A4006" t="s">
        <v>625</v>
      </c>
      <c r="B4006" t="s">
        <v>1337</v>
      </c>
      <c r="C4006" t="s">
        <v>26</v>
      </c>
      <c r="D4006" s="68">
        <v>95</v>
      </c>
      <c r="E4006" s="68"/>
      <c r="F4006" s="68">
        <v>55</v>
      </c>
      <c r="G4006" s="68">
        <v>150</v>
      </c>
      <c r="H40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07" spans="1:8" hidden="1" x14ac:dyDescent="0.3">
      <c r="A4007" t="s">
        <v>625</v>
      </c>
      <c r="B4007" t="s">
        <v>1337</v>
      </c>
      <c r="C4007" t="s">
        <v>27</v>
      </c>
      <c r="D4007" s="68"/>
      <c r="E4007" s="68">
        <v>61</v>
      </c>
      <c r="F4007" s="68"/>
      <c r="G4007" s="68">
        <v>61</v>
      </c>
      <c r="H40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08" spans="1:8" hidden="1" x14ac:dyDescent="0.3">
      <c r="A4008" t="s">
        <v>625</v>
      </c>
      <c r="B4008" t="s">
        <v>1337</v>
      </c>
      <c r="C4008" t="s">
        <v>5</v>
      </c>
      <c r="D4008" s="68">
        <v>5</v>
      </c>
      <c r="E4008" s="68"/>
      <c r="F4008" s="68">
        <v>1</v>
      </c>
      <c r="G4008" s="68">
        <v>6</v>
      </c>
      <c r="H40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09" spans="1:8" hidden="1" x14ac:dyDescent="0.3">
      <c r="A4009" t="s">
        <v>625</v>
      </c>
      <c r="B4009" t="s">
        <v>1338</v>
      </c>
      <c r="C4009" t="s">
        <v>40</v>
      </c>
      <c r="D4009" s="68">
        <v>452</v>
      </c>
      <c r="E4009" s="68"/>
      <c r="F4009" s="68">
        <v>9188</v>
      </c>
      <c r="G4009" s="68">
        <v>9640</v>
      </c>
      <c r="H40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10" spans="1:8" hidden="1" x14ac:dyDescent="0.3">
      <c r="A4010" t="s">
        <v>625</v>
      </c>
      <c r="B4010" t="s">
        <v>1338</v>
      </c>
      <c r="C4010" t="s">
        <v>38</v>
      </c>
      <c r="D4010" s="68">
        <v>279</v>
      </c>
      <c r="E4010" s="68"/>
      <c r="F4010" s="68">
        <v>4795</v>
      </c>
      <c r="G4010" s="68">
        <v>5074</v>
      </c>
      <c r="H40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11" spans="1:8" hidden="1" x14ac:dyDescent="0.3">
      <c r="A4011" t="s">
        <v>625</v>
      </c>
      <c r="B4011" t="s">
        <v>1338</v>
      </c>
      <c r="C4011" t="s">
        <v>26</v>
      </c>
      <c r="D4011" s="68">
        <v>1215</v>
      </c>
      <c r="E4011" s="68"/>
      <c r="F4011" s="68">
        <v>2182</v>
      </c>
      <c r="G4011" s="68">
        <v>3397</v>
      </c>
      <c r="H40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12" spans="1:8" hidden="1" x14ac:dyDescent="0.3">
      <c r="A4012" t="s">
        <v>625</v>
      </c>
      <c r="B4012" t="s">
        <v>1338</v>
      </c>
      <c r="C4012" t="s">
        <v>27</v>
      </c>
      <c r="D4012" s="68"/>
      <c r="E4012" s="68">
        <v>413</v>
      </c>
      <c r="F4012" s="68"/>
      <c r="G4012" s="68">
        <v>413</v>
      </c>
      <c r="H40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13" spans="1:8" hidden="1" x14ac:dyDescent="0.3">
      <c r="A4013" t="s">
        <v>625</v>
      </c>
      <c r="B4013" t="s">
        <v>1338</v>
      </c>
      <c r="C4013" t="s">
        <v>5</v>
      </c>
      <c r="D4013" s="68">
        <v>2</v>
      </c>
      <c r="E4013" s="68"/>
      <c r="F4013" s="68">
        <v>1</v>
      </c>
      <c r="G4013" s="68">
        <v>3</v>
      </c>
      <c r="H40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14" spans="1:8" hidden="1" x14ac:dyDescent="0.3">
      <c r="A4014" t="s">
        <v>625</v>
      </c>
      <c r="B4014" t="s">
        <v>653</v>
      </c>
      <c r="C4014" t="s">
        <v>38</v>
      </c>
      <c r="D4014" s="68">
        <v>232</v>
      </c>
      <c r="E4014" s="68"/>
      <c r="F4014" s="68">
        <v>9425</v>
      </c>
      <c r="G4014" s="68">
        <v>9657</v>
      </c>
      <c r="H40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15" spans="1:8" hidden="1" x14ac:dyDescent="0.3">
      <c r="A4015" t="s">
        <v>625</v>
      </c>
      <c r="B4015" t="s">
        <v>653</v>
      </c>
      <c r="C4015" t="s">
        <v>27</v>
      </c>
      <c r="D4015" s="68"/>
      <c r="E4015" s="68">
        <v>478</v>
      </c>
      <c r="F4015" s="68"/>
      <c r="G4015" s="68">
        <v>478</v>
      </c>
      <c r="H40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16" spans="1:8" hidden="1" x14ac:dyDescent="0.3">
      <c r="A4016" t="s">
        <v>625</v>
      </c>
      <c r="B4016" t="s">
        <v>653</v>
      </c>
      <c r="C4016" t="s">
        <v>26</v>
      </c>
      <c r="D4016" s="68">
        <v>104</v>
      </c>
      <c r="E4016" s="68"/>
      <c r="F4016" s="68">
        <v>78</v>
      </c>
      <c r="G4016" s="68">
        <v>182</v>
      </c>
      <c r="H40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17" spans="1:8" hidden="1" x14ac:dyDescent="0.3">
      <c r="A4017" t="s">
        <v>625</v>
      </c>
      <c r="B4017" t="s">
        <v>1339</v>
      </c>
      <c r="C4017" t="s">
        <v>25</v>
      </c>
      <c r="D4017" s="68">
        <v>273</v>
      </c>
      <c r="E4017" s="68"/>
      <c r="F4017" s="68">
        <v>5741</v>
      </c>
      <c r="G4017" s="68">
        <v>6014</v>
      </c>
      <c r="H40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18" spans="1:8" hidden="1" x14ac:dyDescent="0.3">
      <c r="A4018" t="s">
        <v>625</v>
      </c>
      <c r="B4018" t="s">
        <v>1339</v>
      </c>
      <c r="C4018" t="s">
        <v>40</v>
      </c>
      <c r="D4018" s="68">
        <v>141</v>
      </c>
      <c r="E4018" s="68"/>
      <c r="F4018" s="68">
        <v>3531</v>
      </c>
      <c r="G4018" s="68">
        <v>3672</v>
      </c>
      <c r="H40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19" spans="1:8" hidden="1" x14ac:dyDescent="0.3">
      <c r="A4019" t="s">
        <v>625</v>
      </c>
      <c r="B4019" t="s">
        <v>1339</v>
      </c>
      <c r="C4019" t="s">
        <v>26</v>
      </c>
      <c r="D4019" s="68">
        <v>85</v>
      </c>
      <c r="E4019" s="68"/>
      <c r="F4019" s="68">
        <v>57</v>
      </c>
      <c r="G4019" s="68">
        <v>142</v>
      </c>
      <c r="H40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20" spans="1:8" hidden="1" x14ac:dyDescent="0.3">
      <c r="A4020" t="s">
        <v>625</v>
      </c>
      <c r="B4020" t="s">
        <v>1339</v>
      </c>
      <c r="C4020" t="s">
        <v>27</v>
      </c>
      <c r="D4020" s="68"/>
      <c r="E4020" s="68">
        <v>137</v>
      </c>
      <c r="F4020" s="68"/>
      <c r="G4020" s="68">
        <v>137</v>
      </c>
      <c r="H40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21" spans="1:8" hidden="1" x14ac:dyDescent="0.3">
      <c r="A4021" t="s">
        <v>625</v>
      </c>
      <c r="B4021" t="s">
        <v>1339</v>
      </c>
      <c r="C4021" t="s">
        <v>5</v>
      </c>
      <c r="D4021" s="68">
        <v>40</v>
      </c>
      <c r="E4021" s="68"/>
      <c r="F4021" s="68">
        <v>63</v>
      </c>
      <c r="G4021" s="68">
        <v>103</v>
      </c>
      <c r="H40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22" spans="1:8" hidden="1" x14ac:dyDescent="0.3">
      <c r="A4022" t="s">
        <v>625</v>
      </c>
      <c r="B4022" t="s">
        <v>1340</v>
      </c>
      <c r="C4022" t="s">
        <v>25</v>
      </c>
      <c r="D4022" s="68">
        <v>236</v>
      </c>
      <c r="E4022" s="68"/>
      <c r="F4022" s="68">
        <v>2668</v>
      </c>
      <c r="G4022" s="68">
        <v>2904</v>
      </c>
      <c r="H40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23" spans="1:8" hidden="1" x14ac:dyDescent="0.3">
      <c r="A4023" t="s">
        <v>625</v>
      </c>
      <c r="B4023" t="s">
        <v>1340</v>
      </c>
      <c r="C4023" t="s">
        <v>40</v>
      </c>
      <c r="D4023" s="68">
        <v>118</v>
      </c>
      <c r="E4023" s="68"/>
      <c r="F4023" s="68">
        <v>1673</v>
      </c>
      <c r="G4023" s="68">
        <v>1791</v>
      </c>
      <c r="H40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24" spans="1:8" hidden="1" x14ac:dyDescent="0.3">
      <c r="A4024" t="s">
        <v>625</v>
      </c>
      <c r="B4024" t="s">
        <v>1340</v>
      </c>
      <c r="C4024" t="s">
        <v>5</v>
      </c>
      <c r="D4024" s="68">
        <v>70</v>
      </c>
      <c r="E4024" s="68"/>
      <c r="F4024" s="68">
        <v>867</v>
      </c>
      <c r="G4024" s="68">
        <v>937</v>
      </c>
      <c r="H40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25" spans="1:8" hidden="1" x14ac:dyDescent="0.3">
      <c r="A4025" t="s">
        <v>625</v>
      </c>
      <c r="B4025" t="s">
        <v>1340</v>
      </c>
      <c r="C4025" t="s">
        <v>26</v>
      </c>
      <c r="D4025" s="68">
        <v>106</v>
      </c>
      <c r="E4025" s="68"/>
      <c r="F4025" s="68">
        <v>95</v>
      </c>
      <c r="G4025" s="68">
        <v>201</v>
      </c>
      <c r="H40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26" spans="1:8" hidden="1" x14ac:dyDescent="0.3">
      <c r="A4026" t="s">
        <v>625</v>
      </c>
      <c r="B4026" t="s">
        <v>1340</v>
      </c>
      <c r="C4026" t="s">
        <v>27</v>
      </c>
      <c r="D4026" s="68"/>
      <c r="E4026" s="68">
        <v>33</v>
      </c>
      <c r="F4026" s="68"/>
      <c r="G4026" s="68">
        <v>33</v>
      </c>
      <c r="H40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27" spans="1:8" hidden="1" x14ac:dyDescent="0.3">
      <c r="A4027" t="s">
        <v>625</v>
      </c>
      <c r="B4027" t="s">
        <v>1341</v>
      </c>
      <c r="C4027" t="s">
        <v>40</v>
      </c>
      <c r="D4027" s="68">
        <v>259</v>
      </c>
      <c r="E4027" s="68"/>
      <c r="F4027" s="68">
        <v>8414</v>
      </c>
      <c r="G4027" s="68">
        <v>8673</v>
      </c>
      <c r="H40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28" spans="1:8" hidden="1" x14ac:dyDescent="0.3">
      <c r="A4028" t="s">
        <v>625</v>
      </c>
      <c r="B4028" t="s">
        <v>1341</v>
      </c>
      <c r="C4028" t="s">
        <v>5</v>
      </c>
      <c r="D4028" s="68">
        <v>291</v>
      </c>
      <c r="E4028" s="68"/>
      <c r="F4028" s="68">
        <v>2881</v>
      </c>
      <c r="G4028" s="68">
        <v>3172</v>
      </c>
      <c r="H40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29" spans="1:8" hidden="1" x14ac:dyDescent="0.3">
      <c r="A4029" t="s">
        <v>625</v>
      </c>
      <c r="B4029" t="s">
        <v>1341</v>
      </c>
      <c r="C4029" t="s">
        <v>25</v>
      </c>
      <c r="D4029" s="68">
        <v>137</v>
      </c>
      <c r="E4029" s="68"/>
      <c r="F4029" s="68">
        <v>2431</v>
      </c>
      <c r="G4029" s="68">
        <v>2568</v>
      </c>
      <c r="H40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30" spans="1:8" hidden="1" x14ac:dyDescent="0.3">
      <c r="A4030" t="s">
        <v>625</v>
      </c>
      <c r="B4030" t="s">
        <v>1341</v>
      </c>
      <c r="C4030" t="s">
        <v>26</v>
      </c>
      <c r="D4030" s="68">
        <v>163</v>
      </c>
      <c r="E4030" s="68"/>
      <c r="F4030" s="68">
        <v>271</v>
      </c>
      <c r="G4030" s="68">
        <v>434</v>
      </c>
      <c r="H40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31" spans="1:8" hidden="1" x14ac:dyDescent="0.3">
      <c r="A4031" t="s">
        <v>625</v>
      </c>
      <c r="B4031" t="s">
        <v>1341</v>
      </c>
      <c r="C4031" t="s">
        <v>27</v>
      </c>
      <c r="D4031" s="68"/>
      <c r="E4031" s="68">
        <v>323</v>
      </c>
      <c r="F4031" s="68"/>
      <c r="G4031" s="68">
        <v>323</v>
      </c>
      <c r="H40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32" spans="1:8" hidden="1" x14ac:dyDescent="0.3">
      <c r="A4032" t="s">
        <v>625</v>
      </c>
      <c r="B4032" t="s">
        <v>1342</v>
      </c>
      <c r="C4032" t="s">
        <v>40</v>
      </c>
      <c r="D4032" s="68">
        <v>393</v>
      </c>
      <c r="E4032" s="68"/>
      <c r="F4032" s="68">
        <v>5536</v>
      </c>
      <c r="G4032" s="68">
        <v>5929</v>
      </c>
      <c r="H40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33" spans="1:8" hidden="1" x14ac:dyDescent="0.3">
      <c r="A4033" t="s">
        <v>625</v>
      </c>
      <c r="B4033" t="s">
        <v>1342</v>
      </c>
      <c r="C4033" t="s">
        <v>5</v>
      </c>
      <c r="D4033" s="68">
        <v>222</v>
      </c>
      <c r="E4033" s="68"/>
      <c r="F4033" s="68">
        <v>1577</v>
      </c>
      <c r="G4033" s="68">
        <v>1799</v>
      </c>
      <c r="H40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34" spans="1:8" hidden="1" x14ac:dyDescent="0.3">
      <c r="A4034" t="s">
        <v>625</v>
      </c>
      <c r="B4034" t="s">
        <v>1342</v>
      </c>
      <c r="C4034" t="s">
        <v>26</v>
      </c>
      <c r="D4034" s="68">
        <v>390</v>
      </c>
      <c r="E4034" s="68"/>
      <c r="F4034" s="68">
        <v>282</v>
      </c>
      <c r="G4034" s="68">
        <v>672</v>
      </c>
      <c r="H40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35" spans="1:8" hidden="1" x14ac:dyDescent="0.3">
      <c r="A4035" t="s">
        <v>625</v>
      </c>
      <c r="B4035" t="s">
        <v>1342</v>
      </c>
      <c r="C4035" t="s">
        <v>27</v>
      </c>
      <c r="D4035" s="68"/>
      <c r="E4035" s="68">
        <v>58</v>
      </c>
      <c r="F4035" s="68"/>
      <c r="G4035" s="68">
        <v>58</v>
      </c>
      <c r="H40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36" spans="1:8" hidden="1" x14ac:dyDescent="0.3">
      <c r="A4036" t="s">
        <v>625</v>
      </c>
      <c r="B4036" t="s">
        <v>1343</v>
      </c>
      <c r="C4036" t="s">
        <v>25</v>
      </c>
      <c r="D4036" s="68">
        <v>954</v>
      </c>
      <c r="E4036" s="68"/>
      <c r="F4036" s="68">
        <v>19196</v>
      </c>
      <c r="G4036" s="68">
        <v>20150</v>
      </c>
      <c r="H40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37" spans="1:8" hidden="1" x14ac:dyDescent="0.3">
      <c r="A4037" t="s">
        <v>625</v>
      </c>
      <c r="B4037" t="s">
        <v>1343</v>
      </c>
      <c r="C4037" t="s">
        <v>40</v>
      </c>
      <c r="D4037" s="68">
        <v>722</v>
      </c>
      <c r="E4037" s="68"/>
      <c r="F4037" s="68">
        <v>13863</v>
      </c>
      <c r="G4037" s="68">
        <v>14585</v>
      </c>
      <c r="H40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38" spans="1:8" hidden="1" x14ac:dyDescent="0.3">
      <c r="A4038" t="s">
        <v>625</v>
      </c>
      <c r="B4038" t="s">
        <v>1343</v>
      </c>
      <c r="C4038" t="s">
        <v>26</v>
      </c>
      <c r="D4038" s="68">
        <v>3062</v>
      </c>
      <c r="E4038" s="68"/>
      <c r="F4038" s="68">
        <v>2972</v>
      </c>
      <c r="G4038" s="68">
        <v>6034</v>
      </c>
      <c r="H40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39" spans="1:8" hidden="1" x14ac:dyDescent="0.3">
      <c r="A4039" t="s">
        <v>625</v>
      </c>
      <c r="B4039" t="s">
        <v>1343</v>
      </c>
      <c r="C4039" t="s">
        <v>5</v>
      </c>
      <c r="D4039" s="68">
        <v>692</v>
      </c>
      <c r="E4039" s="68"/>
      <c r="F4039" s="68">
        <v>1814</v>
      </c>
      <c r="G4039" s="68">
        <v>2506</v>
      </c>
      <c r="H40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40" spans="1:8" hidden="1" x14ac:dyDescent="0.3">
      <c r="A4040" t="s">
        <v>625</v>
      </c>
      <c r="B4040" t="s">
        <v>1343</v>
      </c>
      <c r="C4040" t="s">
        <v>27</v>
      </c>
      <c r="D4040" s="68"/>
      <c r="E4040" s="68">
        <v>949</v>
      </c>
      <c r="F4040" s="68"/>
      <c r="G4040" s="68">
        <v>949</v>
      </c>
      <c r="H40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41" spans="1:8" hidden="1" x14ac:dyDescent="0.3">
      <c r="A4041" t="s">
        <v>625</v>
      </c>
      <c r="B4041" t="s">
        <v>1344</v>
      </c>
      <c r="C4041" t="s">
        <v>40</v>
      </c>
      <c r="D4041" s="68">
        <v>435</v>
      </c>
      <c r="E4041" s="68"/>
      <c r="F4041" s="68">
        <v>6224</v>
      </c>
      <c r="G4041" s="68">
        <v>6659</v>
      </c>
      <c r="H40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42" spans="1:8" hidden="1" x14ac:dyDescent="0.3">
      <c r="A4042" t="s">
        <v>625</v>
      </c>
      <c r="B4042" t="s">
        <v>1344</v>
      </c>
      <c r="C4042" t="s">
        <v>25</v>
      </c>
      <c r="D4042" s="68">
        <v>210</v>
      </c>
      <c r="E4042" s="68"/>
      <c r="F4042" s="68">
        <v>1757</v>
      </c>
      <c r="G4042" s="68">
        <v>1967</v>
      </c>
      <c r="H40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43" spans="1:8" hidden="1" x14ac:dyDescent="0.3">
      <c r="A4043" t="s">
        <v>625</v>
      </c>
      <c r="B4043" t="s">
        <v>1344</v>
      </c>
      <c r="C4043" t="s">
        <v>26</v>
      </c>
      <c r="D4043" s="68">
        <v>286</v>
      </c>
      <c r="E4043" s="68"/>
      <c r="F4043" s="68">
        <v>233</v>
      </c>
      <c r="G4043" s="68">
        <v>519</v>
      </c>
      <c r="H40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44" spans="1:8" hidden="1" x14ac:dyDescent="0.3">
      <c r="A4044" t="s">
        <v>625</v>
      </c>
      <c r="B4044" t="s">
        <v>1344</v>
      </c>
      <c r="C4044" t="s">
        <v>27</v>
      </c>
      <c r="D4044" s="68"/>
      <c r="E4044" s="68">
        <v>61</v>
      </c>
      <c r="F4044" s="68"/>
      <c r="G4044" s="68">
        <v>61</v>
      </c>
      <c r="H40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45" spans="1:8" hidden="1" x14ac:dyDescent="0.3">
      <c r="A4045" t="s">
        <v>625</v>
      </c>
      <c r="B4045" t="s">
        <v>1344</v>
      </c>
      <c r="C4045" t="s">
        <v>5</v>
      </c>
      <c r="D4045" s="68">
        <v>1</v>
      </c>
      <c r="E4045" s="68"/>
      <c r="F4045" s="68"/>
      <c r="G4045" s="68">
        <v>1</v>
      </c>
      <c r="H40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46" spans="1:8" hidden="1" x14ac:dyDescent="0.3">
      <c r="A4046" t="s">
        <v>1345</v>
      </c>
      <c r="B4046" t="s">
        <v>1346</v>
      </c>
      <c r="C4046" t="s">
        <v>31</v>
      </c>
      <c r="D4046" s="68">
        <v>772</v>
      </c>
      <c r="E4046" s="68"/>
      <c r="F4046" s="68">
        <v>18635</v>
      </c>
      <c r="G4046" s="68">
        <v>19407</v>
      </c>
      <c r="H40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47" spans="1:8" hidden="1" x14ac:dyDescent="0.3">
      <c r="A4047" t="s">
        <v>1345</v>
      </c>
      <c r="B4047" t="s">
        <v>1346</v>
      </c>
      <c r="C4047" t="s">
        <v>26</v>
      </c>
      <c r="D4047" s="68">
        <v>1282</v>
      </c>
      <c r="E4047" s="68"/>
      <c r="F4047" s="68">
        <v>10827</v>
      </c>
      <c r="G4047" s="68">
        <v>12109</v>
      </c>
      <c r="H40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48" spans="1:8" hidden="1" x14ac:dyDescent="0.3">
      <c r="A4048" t="s">
        <v>1345</v>
      </c>
      <c r="B4048" t="s">
        <v>1346</v>
      </c>
      <c r="C4048" t="s">
        <v>27</v>
      </c>
      <c r="D4048" s="68"/>
      <c r="E4048" s="68">
        <v>587</v>
      </c>
      <c r="F4048" s="68"/>
      <c r="G4048" s="68">
        <v>587</v>
      </c>
      <c r="H40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49" spans="1:8" hidden="1" x14ac:dyDescent="0.3">
      <c r="A4049" t="s">
        <v>1345</v>
      </c>
      <c r="B4049" t="s">
        <v>1346</v>
      </c>
      <c r="C4049" t="s">
        <v>36</v>
      </c>
      <c r="D4049" s="68">
        <v>11</v>
      </c>
      <c r="E4049" s="68"/>
      <c r="F4049" s="68">
        <v>6</v>
      </c>
      <c r="G4049" s="68">
        <v>17</v>
      </c>
      <c r="H40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50" spans="1:8" hidden="1" x14ac:dyDescent="0.3">
      <c r="A4050" t="s">
        <v>1345</v>
      </c>
      <c r="B4050" t="s">
        <v>1347</v>
      </c>
      <c r="C4050" t="s">
        <v>1348</v>
      </c>
      <c r="D4050" s="68">
        <v>180</v>
      </c>
      <c r="E4050" s="68"/>
      <c r="F4050" s="68">
        <v>4216</v>
      </c>
      <c r="G4050" s="68">
        <v>4396</v>
      </c>
      <c r="H40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51" spans="1:8" hidden="1" x14ac:dyDescent="0.3">
      <c r="A4051" t="s">
        <v>1345</v>
      </c>
      <c r="B4051" t="s">
        <v>1347</v>
      </c>
      <c r="C4051" t="s">
        <v>5</v>
      </c>
      <c r="D4051" s="68">
        <v>244</v>
      </c>
      <c r="E4051" s="68"/>
      <c r="F4051" s="68">
        <v>3054</v>
      </c>
      <c r="G4051" s="68">
        <v>3298</v>
      </c>
      <c r="H40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52" spans="1:8" hidden="1" x14ac:dyDescent="0.3">
      <c r="A4052" t="s">
        <v>1345</v>
      </c>
      <c r="B4052" t="s">
        <v>1347</v>
      </c>
      <c r="C4052" t="s">
        <v>26</v>
      </c>
      <c r="D4052" s="68">
        <v>246</v>
      </c>
      <c r="E4052" s="68"/>
      <c r="F4052" s="68">
        <v>436</v>
      </c>
      <c r="G4052" s="68">
        <v>682</v>
      </c>
      <c r="H40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53" spans="1:8" hidden="1" x14ac:dyDescent="0.3">
      <c r="A4053" t="s">
        <v>1345</v>
      </c>
      <c r="B4053" t="s">
        <v>1347</v>
      </c>
      <c r="C4053" t="s">
        <v>27</v>
      </c>
      <c r="D4053" s="68"/>
      <c r="E4053" s="68">
        <v>203</v>
      </c>
      <c r="F4053" s="68"/>
      <c r="G4053" s="68">
        <v>203</v>
      </c>
      <c r="H40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54" spans="1:8" hidden="1" x14ac:dyDescent="0.3">
      <c r="A4054" t="s">
        <v>1345</v>
      </c>
      <c r="B4054" t="s">
        <v>1349</v>
      </c>
      <c r="C4054" t="s">
        <v>26</v>
      </c>
      <c r="D4054" s="68">
        <v>799</v>
      </c>
      <c r="E4054" s="68"/>
      <c r="F4054" s="68">
        <v>2752</v>
      </c>
      <c r="G4054" s="68">
        <v>3551</v>
      </c>
      <c r="H40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55" spans="1:8" hidden="1" x14ac:dyDescent="0.3">
      <c r="A4055" t="s">
        <v>1345</v>
      </c>
      <c r="B4055" t="s">
        <v>1349</v>
      </c>
      <c r="C4055" t="s">
        <v>5</v>
      </c>
      <c r="D4055" s="68">
        <v>338</v>
      </c>
      <c r="E4055" s="68"/>
      <c r="F4055" s="68">
        <v>2680</v>
      </c>
      <c r="G4055" s="68">
        <v>3018</v>
      </c>
      <c r="H40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56" spans="1:8" hidden="1" x14ac:dyDescent="0.3">
      <c r="A4056" t="s">
        <v>1345</v>
      </c>
      <c r="B4056" t="s">
        <v>1349</v>
      </c>
      <c r="C4056" t="s">
        <v>27</v>
      </c>
      <c r="D4056" s="68"/>
      <c r="E4056" s="68">
        <v>104</v>
      </c>
      <c r="F4056" s="68"/>
      <c r="G4056" s="68">
        <v>104</v>
      </c>
      <c r="H40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57" spans="1:8" hidden="1" x14ac:dyDescent="0.3">
      <c r="A4057" t="s">
        <v>1345</v>
      </c>
      <c r="B4057" t="s">
        <v>1350</v>
      </c>
      <c r="C4057" t="s">
        <v>5</v>
      </c>
      <c r="D4057" s="68">
        <v>206</v>
      </c>
      <c r="E4057" s="68"/>
      <c r="F4057" s="68">
        <v>2927</v>
      </c>
      <c r="G4057" s="68">
        <v>3133</v>
      </c>
      <c r="H40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58" spans="1:8" hidden="1" x14ac:dyDescent="0.3">
      <c r="A4058" t="s">
        <v>1345</v>
      </c>
      <c r="B4058" t="s">
        <v>1350</v>
      </c>
      <c r="C4058" t="s">
        <v>26</v>
      </c>
      <c r="D4058" s="68">
        <v>86</v>
      </c>
      <c r="E4058" s="68"/>
      <c r="F4058" s="68">
        <v>955</v>
      </c>
      <c r="G4058" s="68">
        <v>1041</v>
      </c>
      <c r="H40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59" spans="1:8" hidden="1" x14ac:dyDescent="0.3">
      <c r="A4059" t="s">
        <v>1345</v>
      </c>
      <c r="B4059" t="s">
        <v>1350</v>
      </c>
      <c r="C4059" t="s">
        <v>27</v>
      </c>
      <c r="D4059" s="68"/>
      <c r="E4059" s="68">
        <v>134</v>
      </c>
      <c r="F4059" s="68"/>
      <c r="G4059" s="68">
        <v>134</v>
      </c>
      <c r="H40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60" spans="1:8" hidden="1" x14ac:dyDescent="0.3">
      <c r="A4060" t="s">
        <v>1345</v>
      </c>
      <c r="B4060" t="s">
        <v>1351</v>
      </c>
      <c r="C4060" t="s">
        <v>26</v>
      </c>
      <c r="D4060" s="68">
        <v>307</v>
      </c>
      <c r="E4060" s="68"/>
      <c r="F4060" s="68">
        <v>3708</v>
      </c>
      <c r="G4060" s="68">
        <v>4015</v>
      </c>
      <c r="H40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61" spans="1:8" hidden="1" x14ac:dyDescent="0.3">
      <c r="A4061" t="s">
        <v>1345</v>
      </c>
      <c r="B4061" t="s">
        <v>1351</v>
      </c>
      <c r="C4061" t="s">
        <v>31</v>
      </c>
      <c r="D4061" s="68">
        <v>51</v>
      </c>
      <c r="E4061" s="68"/>
      <c r="F4061" s="68">
        <v>1769</v>
      </c>
      <c r="G4061" s="68">
        <v>1820</v>
      </c>
      <c r="H40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62" spans="1:8" hidden="1" x14ac:dyDescent="0.3">
      <c r="A4062" t="s">
        <v>1345</v>
      </c>
      <c r="B4062" t="s">
        <v>1351</v>
      </c>
      <c r="C4062" t="s">
        <v>1348</v>
      </c>
      <c r="D4062" s="68">
        <v>33</v>
      </c>
      <c r="E4062" s="68"/>
      <c r="F4062" s="68">
        <v>1026</v>
      </c>
      <c r="G4062" s="68">
        <v>1059</v>
      </c>
      <c r="H40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63" spans="1:8" hidden="1" x14ac:dyDescent="0.3">
      <c r="A4063" t="s">
        <v>1345</v>
      </c>
      <c r="B4063" t="s">
        <v>1351</v>
      </c>
      <c r="C4063" t="s">
        <v>27</v>
      </c>
      <c r="D4063" s="68"/>
      <c r="E4063" s="68">
        <v>243</v>
      </c>
      <c r="F4063" s="68"/>
      <c r="G4063" s="68">
        <v>243</v>
      </c>
      <c r="H40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64" spans="1:8" hidden="1" x14ac:dyDescent="0.3">
      <c r="A4064" t="s">
        <v>1345</v>
      </c>
      <c r="B4064" t="s">
        <v>1351</v>
      </c>
      <c r="C4064" t="s">
        <v>36</v>
      </c>
      <c r="D4064" s="68">
        <v>4</v>
      </c>
      <c r="E4064" s="68"/>
      <c r="F4064" s="68">
        <v>2</v>
      </c>
      <c r="G4064" s="68">
        <v>6</v>
      </c>
      <c r="H40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65" spans="1:8" hidden="1" x14ac:dyDescent="0.3">
      <c r="A4065" t="s">
        <v>1345</v>
      </c>
      <c r="B4065" t="s">
        <v>1352</v>
      </c>
      <c r="C4065" t="s">
        <v>1348</v>
      </c>
      <c r="D4065" s="68">
        <v>131</v>
      </c>
      <c r="E4065" s="68"/>
      <c r="F4065" s="68">
        <v>2160</v>
      </c>
      <c r="G4065" s="68">
        <v>2291</v>
      </c>
      <c r="H40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66" spans="1:8" hidden="1" x14ac:dyDescent="0.3">
      <c r="A4066" t="s">
        <v>1345</v>
      </c>
      <c r="B4066" t="s">
        <v>1352</v>
      </c>
      <c r="C4066" t="s">
        <v>26</v>
      </c>
      <c r="D4066" s="68">
        <v>106</v>
      </c>
      <c r="E4066" s="68"/>
      <c r="F4066" s="68">
        <v>495</v>
      </c>
      <c r="G4066" s="68">
        <v>601</v>
      </c>
      <c r="H40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67" spans="1:8" hidden="1" x14ac:dyDescent="0.3">
      <c r="A4067" t="s">
        <v>1345</v>
      </c>
      <c r="B4067" t="s">
        <v>1352</v>
      </c>
      <c r="C4067" t="s">
        <v>27</v>
      </c>
      <c r="D4067" s="68"/>
      <c r="E4067" s="68">
        <v>36</v>
      </c>
      <c r="F4067" s="68"/>
      <c r="G4067" s="68">
        <v>36</v>
      </c>
      <c r="H40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68" spans="1:8" hidden="1" x14ac:dyDescent="0.3">
      <c r="A4068" t="s">
        <v>1345</v>
      </c>
      <c r="B4068" t="s">
        <v>1352</v>
      </c>
      <c r="C4068" t="s">
        <v>5</v>
      </c>
      <c r="D4068" s="68">
        <v>5</v>
      </c>
      <c r="E4068" s="68"/>
      <c r="F4068" s="68">
        <v>11</v>
      </c>
      <c r="G4068" s="68">
        <v>16</v>
      </c>
      <c r="H40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69" spans="1:8" hidden="1" x14ac:dyDescent="0.3">
      <c r="A4069" t="s">
        <v>1345</v>
      </c>
      <c r="B4069" t="s">
        <v>1353</v>
      </c>
      <c r="C4069" t="s">
        <v>26</v>
      </c>
      <c r="D4069" s="68">
        <v>2300</v>
      </c>
      <c r="E4069" s="68"/>
      <c r="F4069" s="68">
        <v>9991</v>
      </c>
      <c r="G4069" s="68">
        <v>12291</v>
      </c>
      <c r="H40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70" spans="1:8" hidden="1" x14ac:dyDescent="0.3">
      <c r="A4070" t="s">
        <v>1345</v>
      </c>
      <c r="B4070" t="s">
        <v>1353</v>
      </c>
      <c r="C4070" t="s">
        <v>31</v>
      </c>
      <c r="D4070" s="68">
        <v>279</v>
      </c>
      <c r="E4070" s="68"/>
      <c r="F4070" s="68">
        <v>2411</v>
      </c>
      <c r="G4070" s="68">
        <v>2690</v>
      </c>
      <c r="H40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71" spans="1:8" hidden="1" x14ac:dyDescent="0.3">
      <c r="A4071" t="s">
        <v>1345</v>
      </c>
      <c r="B4071" t="s">
        <v>1353</v>
      </c>
      <c r="C4071" t="s">
        <v>27</v>
      </c>
      <c r="D4071" s="68"/>
      <c r="E4071" s="68">
        <v>292</v>
      </c>
      <c r="F4071" s="68"/>
      <c r="G4071" s="68">
        <v>292</v>
      </c>
      <c r="H40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72" spans="1:8" hidden="1" x14ac:dyDescent="0.3">
      <c r="A4072" t="s">
        <v>1345</v>
      </c>
      <c r="B4072" t="s">
        <v>1353</v>
      </c>
      <c r="C4072" t="s">
        <v>5</v>
      </c>
      <c r="D4072" s="68">
        <v>178</v>
      </c>
      <c r="E4072" s="68"/>
      <c r="F4072" s="68">
        <v>83</v>
      </c>
      <c r="G4072" s="68">
        <v>261</v>
      </c>
      <c r="H40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73" spans="1:8" hidden="1" x14ac:dyDescent="0.3">
      <c r="A4073" t="s">
        <v>1345</v>
      </c>
      <c r="B4073" t="s">
        <v>1353</v>
      </c>
      <c r="C4073" t="s">
        <v>36</v>
      </c>
      <c r="D4073" s="68">
        <v>18</v>
      </c>
      <c r="E4073" s="68"/>
      <c r="F4073" s="68">
        <v>9</v>
      </c>
      <c r="G4073" s="68">
        <v>27</v>
      </c>
      <c r="H40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74" spans="1:8" hidden="1" x14ac:dyDescent="0.3">
      <c r="A4074" t="s">
        <v>1345</v>
      </c>
      <c r="B4074" t="s">
        <v>1354</v>
      </c>
      <c r="C4074" t="s">
        <v>5</v>
      </c>
      <c r="D4074" s="68">
        <v>398</v>
      </c>
      <c r="E4074" s="68"/>
      <c r="F4074" s="68">
        <v>4127</v>
      </c>
      <c r="G4074" s="68">
        <v>4525</v>
      </c>
      <c r="H40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75" spans="1:8" hidden="1" x14ac:dyDescent="0.3">
      <c r="A4075" t="s">
        <v>1345</v>
      </c>
      <c r="B4075" t="s">
        <v>1354</v>
      </c>
      <c r="C4075" t="s">
        <v>31</v>
      </c>
      <c r="D4075" s="68">
        <v>101</v>
      </c>
      <c r="E4075" s="68"/>
      <c r="F4075" s="68">
        <v>4119</v>
      </c>
      <c r="G4075" s="68">
        <v>4220</v>
      </c>
      <c r="H40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76" spans="1:8" hidden="1" x14ac:dyDescent="0.3">
      <c r="A4076" t="s">
        <v>1345</v>
      </c>
      <c r="B4076" t="s">
        <v>1354</v>
      </c>
      <c r="C4076" t="s">
        <v>26</v>
      </c>
      <c r="D4076" s="68">
        <v>277</v>
      </c>
      <c r="E4076" s="68"/>
      <c r="F4076" s="68">
        <v>2015</v>
      </c>
      <c r="G4076" s="68">
        <v>2292</v>
      </c>
      <c r="H40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77" spans="1:8" hidden="1" x14ac:dyDescent="0.3">
      <c r="A4077" t="s">
        <v>1345</v>
      </c>
      <c r="B4077" t="s">
        <v>1354</v>
      </c>
      <c r="C4077" t="s">
        <v>27</v>
      </c>
      <c r="D4077" s="68"/>
      <c r="E4077" s="68">
        <v>201</v>
      </c>
      <c r="F4077" s="68"/>
      <c r="G4077" s="68">
        <v>201</v>
      </c>
      <c r="H40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78" spans="1:8" hidden="1" x14ac:dyDescent="0.3">
      <c r="A4078" t="s">
        <v>1345</v>
      </c>
      <c r="B4078" t="s">
        <v>1354</v>
      </c>
      <c r="C4078" t="s">
        <v>36</v>
      </c>
      <c r="D4078" s="68">
        <v>1</v>
      </c>
      <c r="E4078" s="68"/>
      <c r="F4078" s="68">
        <v>2</v>
      </c>
      <c r="G4078" s="68">
        <v>3</v>
      </c>
      <c r="H40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79" spans="1:8" hidden="1" x14ac:dyDescent="0.3">
      <c r="A4079" t="s">
        <v>1345</v>
      </c>
      <c r="B4079" t="s">
        <v>1355</v>
      </c>
      <c r="C4079" t="s">
        <v>26</v>
      </c>
      <c r="D4079" s="68">
        <v>653</v>
      </c>
      <c r="E4079" s="68"/>
      <c r="F4079" s="68">
        <v>6487</v>
      </c>
      <c r="G4079" s="68">
        <v>7140</v>
      </c>
      <c r="H40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80" spans="1:8" hidden="1" x14ac:dyDescent="0.3">
      <c r="A4080" t="s">
        <v>1345</v>
      </c>
      <c r="B4080" t="s">
        <v>1355</v>
      </c>
      <c r="C4080" t="s">
        <v>1348</v>
      </c>
      <c r="D4080" s="68">
        <v>167</v>
      </c>
      <c r="E4080" s="68"/>
      <c r="F4080" s="68">
        <v>6409</v>
      </c>
      <c r="G4080" s="68">
        <v>6576</v>
      </c>
      <c r="H40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81" spans="1:8" hidden="1" x14ac:dyDescent="0.3">
      <c r="A4081" t="s">
        <v>1345</v>
      </c>
      <c r="B4081" t="s">
        <v>1355</v>
      </c>
      <c r="C4081" t="s">
        <v>5</v>
      </c>
      <c r="D4081" s="68">
        <v>332</v>
      </c>
      <c r="E4081" s="68"/>
      <c r="F4081" s="68">
        <v>4316</v>
      </c>
      <c r="G4081" s="68">
        <v>4648</v>
      </c>
      <c r="H40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82" spans="1:8" hidden="1" x14ac:dyDescent="0.3">
      <c r="A4082" t="s">
        <v>1345</v>
      </c>
      <c r="B4082" t="s">
        <v>1355</v>
      </c>
      <c r="C4082" t="s">
        <v>27</v>
      </c>
      <c r="D4082" s="68"/>
      <c r="E4082" s="68">
        <v>644</v>
      </c>
      <c r="F4082" s="68"/>
      <c r="G4082" s="68">
        <v>644</v>
      </c>
      <c r="H40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83" spans="1:8" hidden="1" x14ac:dyDescent="0.3">
      <c r="A4083" t="s">
        <v>1345</v>
      </c>
      <c r="B4083" t="s">
        <v>1356</v>
      </c>
      <c r="C4083" t="s">
        <v>1348</v>
      </c>
      <c r="D4083" s="68">
        <v>337</v>
      </c>
      <c r="E4083" s="68"/>
      <c r="F4083" s="68">
        <v>6092</v>
      </c>
      <c r="G4083" s="68">
        <v>6429</v>
      </c>
      <c r="H40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84" spans="1:8" hidden="1" x14ac:dyDescent="0.3">
      <c r="A4084" t="s">
        <v>1345</v>
      </c>
      <c r="B4084" t="s">
        <v>1356</v>
      </c>
      <c r="C4084" t="s">
        <v>26</v>
      </c>
      <c r="D4084" s="68">
        <v>311</v>
      </c>
      <c r="E4084" s="68"/>
      <c r="F4084" s="68">
        <v>572</v>
      </c>
      <c r="G4084" s="68">
        <v>883</v>
      </c>
      <c r="H40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85" spans="1:8" hidden="1" x14ac:dyDescent="0.3">
      <c r="A4085" t="s">
        <v>1345</v>
      </c>
      <c r="B4085" t="s">
        <v>1356</v>
      </c>
      <c r="C4085" t="s">
        <v>27</v>
      </c>
      <c r="D4085" s="68"/>
      <c r="E4085" s="68">
        <v>110</v>
      </c>
      <c r="F4085" s="68"/>
      <c r="G4085" s="68">
        <v>110</v>
      </c>
      <c r="H40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86" spans="1:8" hidden="1" x14ac:dyDescent="0.3">
      <c r="A4086" t="s">
        <v>1345</v>
      </c>
      <c r="B4086" t="s">
        <v>1357</v>
      </c>
      <c r="C4086" t="s">
        <v>5</v>
      </c>
      <c r="D4086" s="68">
        <v>264</v>
      </c>
      <c r="E4086" s="68"/>
      <c r="F4086" s="68">
        <v>2194</v>
      </c>
      <c r="G4086" s="68">
        <v>2458</v>
      </c>
      <c r="H40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87" spans="1:8" hidden="1" x14ac:dyDescent="0.3">
      <c r="A4087" t="s">
        <v>1345</v>
      </c>
      <c r="B4087" t="s">
        <v>1357</v>
      </c>
      <c r="C4087" t="s">
        <v>26</v>
      </c>
      <c r="D4087" s="68">
        <v>400</v>
      </c>
      <c r="E4087" s="68"/>
      <c r="F4087" s="68">
        <v>1753</v>
      </c>
      <c r="G4087" s="68">
        <v>2153</v>
      </c>
      <c r="H40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88" spans="1:8" hidden="1" x14ac:dyDescent="0.3">
      <c r="A4088" t="s">
        <v>1345</v>
      </c>
      <c r="B4088" t="s">
        <v>1357</v>
      </c>
      <c r="C4088" t="s">
        <v>27</v>
      </c>
      <c r="D4088" s="68"/>
      <c r="E4088" s="68">
        <v>96</v>
      </c>
      <c r="F4088" s="68"/>
      <c r="G4088" s="68">
        <v>96</v>
      </c>
      <c r="H40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89" spans="1:8" hidden="1" x14ac:dyDescent="0.3">
      <c r="A4089" t="s">
        <v>1345</v>
      </c>
      <c r="B4089" t="s">
        <v>1358</v>
      </c>
      <c r="C4089" t="s">
        <v>1348</v>
      </c>
      <c r="D4089" s="68">
        <v>269</v>
      </c>
      <c r="E4089" s="68"/>
      <c r="F4089" s="68">
        <v>8725</v>
      </c>
      <c r="G4089" s="68">
        <v>8994</v>
      </c>
      <c r="H40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90" spans="1:8" hidden="1" x14ac:dyDescent="0.3">
      <c r="A4090" t="s">
        <v>1345</v>
      </c>
      <c r="B4090" t="s">
        <v>1358</v>
      </c>
      <c r="C4090" t="s">
        <v>26</v>
      </c>
      <c r="D4090" s="68">
        <v>432</v>
      </c>
      <c r="E4090" s="68"/>
      <c r="F4090" s="68">
        <v>2532</v>
      </c>
      <c r="G4090" s="68">
        <v>2964</v>
      </c>
      <c r="H40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91" spans="1:8" hidden="1" x14ac:dyDescent="0.3">
      <c r="A4091" t="s">
        <v>1345</v>
      </c>
      <c r="B4091" t="s">
        <v>1358</v>
      </c>
      <c r="C4091" t="s">
        <v>31</v>
      </c>
      <c r="D4091" s="68">
        <v>42</v>
      </c>
      <c r="E4091" s="68"/>
      <c r="F4091" s="68">
        <v>914</v>
      </c>
      <c r="G4091" s="68">
        <v>956</v>
      </c>
      <c r="H40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92" spans="1:8" hidden="1" x14ac:dyDescent="0.3">
      <c r="A4092" t="s">
        <v>1345</v>
      </c>
      <c r="B4092" t="s">
        <v>1358</v>
      </c>
      <c r="C4092" t="s">
        <v>27</v>
      </c>
      <c r="D4092" s="68"/>
      <c r="E4092" s="68">
        <v>348</v>
      </c>
      <c r="F4092" s="68"/>
      <c r="G4092" s="68">
        <v>348</v>
      </c>
      <c r="H40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93" spans="1:8" hidden="1" x14ac:dyDescent="0.3">
      <c r="A4093" t="s">
        <v>1345</v>
      </c>
      <c r="B4093" t="s">
        <v>1358</v>
      </c>
      <c r="C4093" t="s">
        <v>36</v>
      </c>
      <c r="D4093" s="68">
        <v>5</v>
      </c>
      <c r="E4093" s="68"/>
      <c r="F4093" s="68">
        <v>3</v>
      </c>
      <c r="G4093" s="68">
        <v>8</v>
      </c>
      <c r="H40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94" spans="1:8" hidden="1" x14ac:dyDescent="0.3">
      <c r="A4094" t="s">
        <v>1345</v>
      </c>
      <c r="B4094" t="s">
        <v>1359</v>
      </c>
      <c r="C4094" t="s">
        <v>1348</v>
      </c>
      <c r="D4094" s="68">
        <v>249</v>
      </c>
      <c r="E4094" s="68"/>
      <c r="F4094" s="68">
        <v>15397</v>
      </c>
      <c r="G4094" s="68">
        <v>15646</v>
      </c>
      <c r="H40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95" spans="1:8" hidden="1" x14ac:dyDescent="0.3">
      <c r="A4095" t="s">
        <v>1345</v>
      </c>
      <c r="B4095" t="s">
        <v>1359</v>
      </c>
      <c r="C4095" t="s">
        <v>26</v>
      </c>
      <c r="D4095" s="68">
        <v>401</v>
      </c>
      <c r="E4095" s="68"/>
      <c r="F4095" s="68">
        <v>8563</v>
      </c>
      <c r="G4095" s="68">
        <v>8964</v>
      </c>
      <c r="H40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96" spans="1:8" hidden="1" x14ac:dyDescent="0.3">
      <c r="A4096" t="s">
        <v>1345</v>
      </c>
      <c r="B4096" t="s">
        <v>1359</v>
      </c>
      <c r="C4096" t="s">
        <v>27</v>
      </c>
      <c r="D4096" s="68"/>
      <c r="E4096" s="68">
        <v>456</v>
      </c>
      <c r="F4096" s="68"/>
      <c r="G4096" s="68">
        <v>456</v>
      </c>
      <c r="H40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097" spans="1:8" hidden="1" x14ac:dyDescent="0.3">
      <c r="A4097" t="s">
        <v>1345</v>
      </c>
      <c r="B4097" t="s">
        <v>1359</v>
      </c>
      <c r="C4097" t="s">
        <v>5</v>
      </c>
      <c r="D4097" s="68">
        <v>4</v>
      </c>
      <c r="E4097" s="68"/>
      <c r="F4097" s="68">
        <v>31</v>
      </c>
      <c r="G4097" s="68">
        <v>35</v>
      </c>
      <c r="H40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98" spans="1:8" hidden="1" x14ac:dyDescent="0.3">
      <c r="A4098" t="s">
        <v>1345</v>
      </c>
      <c r="B4098" t="s">
        <v>1359</v>
      </c>
      <c r="C4098" t="s">
        <v>31</v>
      </c>
      <c r="D4098" s="68">
        <v>1</v>
      </c>
      <c r="E4098" s="68"/>
      <c r="F4098" s="68">
        <v>2</v>
      </c>
      <c r="G4098" s="68">
        <v>3</v>
      </c>
      <c r="H40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99" spans="1:8" hidden="1" x14ac:dyDescent="0.3">
      <c r="A4099" t="s">
        <v>1345</v>
      </c>
      <c r="B4099" t="s">
        <v>1360</v>
      </c>
      <c r="C4099" t="s">
        <v>1348</v>
      </c>
      <c r="D4099" s="68">
        <v>837</v>
      </c>
      <c r="E4099" s="68"/>
      <c r="F4099" s="68">
        <v>11533</v>
      </c>
      <c r="G4099" s="68">
        <v>12370</v>
      </c>
      <c r="H40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00" spans="1:8" hidden="1" x14ac:dyDescent="0.3">
      <c r="A4100" t="s">
        <v>1345</v>
      </c>
      <c r="B4100" t="s">
        <v>1360</v>
      </c>
      <c r="C4100" t="s">
        <v>26</v>
      </c>
      <c r="D4100" s="68">
        <v>2816</v>
      </c>
      <c r="E4100" s="68"/>
      <c r="F4100" s="68">
        <v>8464</v>
      </c>
      <c r="G4100" s="68">
        <v>11280</v>
      </c>
      <c r="H41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01" spans="1:8" hidden="1" x14ac:dyDescent="0.3">
      <c r="A4101" t="s">
        <v>1345</v>
      </c>
      <c r="B4101" t="s">
        <v>1360</v>
      </c>
      <c r="C4101" t="s">
        <v>31</v>
      </c>
      <c r="D4101" s="68">
        <v>739</v>
      </c>
      <c r="E4101" s="68"/>
      <c r="F4101" s="68">
        <v>8227</v>
      </c>
      <c r="G4101" s="68">
        <v>8966</v>
      </c>
      <c r="H41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02" spans="1:8" hidden="1" x14ac:dyDescent="0.3">
      <c r="A4102" t="s">
        <v>1345</v>
      </c>
      <c r="B4102" t="s">
        <v>1360</v>
      </c>
      <c r="C4102" t="s">
        <v>27</v>
      </c>
      <c r="D4102" s="68"/>
      <c r="E4102" s="68">
        <v>384</v>
      </c>
      <c r="F4102" s="68"/>
      <c r="G4102" s="68">
        <v>384</v>
      </c>
      <c r="H41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03" spans="1:8" hidden="1" x14ac:dyDescent="0.3">
      <c r="A4103" t="s">
        <v>1345</v>
      </c>
      <c r="B4103" t="s">
        <v>1360</v>
      </c>
      <c r="C4103" t="s">
        <v>5</v>
      </c>
      <c r="D4103" s="68"/>
      <c r="E4103" s="68"/>
      <c r="F4103" s="68">
        <v>1</v>
      </c>
      <c r="G4103" s="68">
        <v>1</v>
      </c>
      <c r="H41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04" spans="1:8" hidden="1" x14ac:dyDescent="0.3">
      <c r="A4104" t="s">
        <v>1345</v>
      </c>
      <c r="B4104" t="s">
        <v>1361</v>
      </c>
      <c r="C4104" t="s">
        <v>1348</v>
      </c>
      <c r="D4104" s="68">
        <v>149</v>
      </c>
      <c r="E4104" s="68"/>
      <c r="F4104" s="68">
        <v>2517</v>
      </c>
      <c r="G4104" s="68">
        <v>2666</v>
      </c>
      <c r="H41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05" spans="1:8" hidden="1" x14ac:dyDescent="0.3">
      <c r="A4105" t="s">
        <v>1345</v>
      </c>
      <c r="B4105" t="s">
        <v>1361</v>
      </c>
      <c r="C4105" t="s">
        <v>5</v>
      </c>
      <c r="D4105" s="68">
        <v>209</v>
      </c>
      <c r="E4105" s="68"/>
      <c r="F4105" s="68">
        <v>1674</v>
      </c>
      <c r="G4105" s="68">
        <v>1883</v>
      </c>
      <c r="H41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06" spans="1:8" hidden="1" x14ac:dyDescent="0.3">
      <c r="A4106" t="s">
        <v>1345</v>
      </c>
      <c r="B4106" t="s">
        <v>1361</v>
      </c>
      <c r="C4106" t="s">
        <v>26</v>
      </c>
      <c r="D4106" s="68">
        <v>256</v>
      </c>
      <c r="E4106" s="68"/>
      <c r="F4106" s="68">
        <v>499</v>
      </c>
      <c r="G4106" s="68">
        <v>755</v>
      </c>
      <c r="H41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07" spans="1:8" hidden="1" x14ac:dyDescent="0.3">
      <c r="A4107" t="s">
        <v>1345</v>
      </c>
      <c r="B4107" t="s">
        <v>1361</v>
      </c>
      <c r="C4107" t="s">
        <v>27</v>
      </c>
      <c r="D4107" s="68"/>
      <c r="E4107" s="68">
        <v>122</v>
      </c>
      <c r="F4107" s="68"/>
      <c r="G4107" s="68">
        <v>122</v>
      </c>
      <c r="H41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08" spans="1:8" hidden="1" x14ac:dyDescent="0.3">
      <c r="A4108" t="s">
        <v>1345</v>
      </c>
      <c r="B4108" t="s">
        <v>1362</v>
      </c>
      <c r="C4108" t="s">
        <v>31</v>
      </c>
      <c r="D4108" s="68">
        <v>176</v>
      </c>
      <c r="E4108" s="68"/>
      <c r="F4108" s="68">
        <v>6168</v>
      </c>
      <c r="G4108" s="68">
        <v>6344</v>
      </c>
      <c r="H41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09" spans="1:8" hidden="1" x14ac:dyDescent="0.3">
      <c r="A4109" t="s">
        <v>1345</v>
      </c>
      <c r="B4109" t="s">
        <v>1362</v>
      </c>
      <c r="C4109" t="s">
        <v>26</v>
      </c>
      <c r="D4109" s="68">
        <v>194</v>
      </c>
      <c r="E4109" s="68"/>
      <c r="F4109" s="68">
        <v>4229</v>
      </c>
      <c r="G4109" s="68">
        <v>4423</v>
      </c>
      <c r="H41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10" spans="1:8" hidden="1" x14ac:dyDescent="0.3">
      <c r="A4110" t="s">
        <v>1345</v>
      </c>
      <c r="B4110" t="s">
        <v>1362</v>
      </c>
      <c r="C4110" t="s">
        <v>27</v>
      </c>
      <c r="D4110" s="68"/>
      <c r="E4110" s="68">
        <v>263</v>
      </c>
      <c r="F4110" s="68"/>
      <c r="G4110" s="68">
        <v>263</v>
      </c>
      <c r="H41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11" spans="1:8" hidden="1" x14ac:dyDescent="0.3">
      <c r="A4111" t="s">
        <v>1345</v>
      </c>
      <c r="B4111" t="s">
        <v>1362</v>
      </c>
      <c r="C4111" t="s">
        <v>5</v>
      </c>
      <c r="D4111" s="68">
        <v>5</v>
      </c>
      <c r="E4111" s="68"/>
      <c r="F4111" s="68">
        <v>6</v>
      </c>
      <c r="G4111" s="68">
        <v>11</v>
      </c>
      <c r="H41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12" spans="1:8" hidden="1" x14ac:dyDescent="0.3">
      <c r="A4112" t="s">
        <v>1345</v>
      </c>
      <c r="B4112" t="s">
        <v>1363</v>
      </c>
      <c r="C4112" t="s">
        <v>1348</v>
      </c>
      <c r="D4112" s="68">
        <v>144</v>
      </c>
      <c r="E4112" s="68"/>
      <c r="F4112" s="68">
        <v>3412</v>
      </c>
      <c r="G4112" s="68">
        <v>3556</v>
      </c>
      <c r="H41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13" spans="1:8" hidden="1" x14ac:dyDescent="0.3">
      <c r="A4113" t="s">
        <v>1345</v>
      </c>
      <c r="B4113" t="s">
        <v>1363</v>
      </c>
      <c r="C4113" t="s">
        <v>26</v>
      </c>
      <c r="D4113" s="68">
        <v>101</v>
      </c>
      <c r="E4113" s="68"/>
      <c r="F4113" s="68">
        <v>527</v>
      </c>
      <c r="G4113" s="68">
        <v>628</v>
      </c>
      <c r="H41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14" spans="1:8" hidden="1" x14ac:dyDescent="0.3">
      <c r="A4114" t="s">
        <v>1345</v>
      </c>
      <c r="B4114" t="s">
        <v>1363</v>
      </c>
      <c r="C4114" t="s">
        <v>27</v>
      </c>
      <c r="D4114" s="68"/>
      <c r="E4114" s="68">
        <v>39</v>
      </c>
      <c r="F4114" s="68"/>
      <c r="G4114" s="68">
        <v>39</v>
      </c>
      <c r="H41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15" spans="1:8" hidden="1" x14ac:dyDescent="0.3">
      <c r="A4115" t="s">
        <v>1345</v>
      </c>
      <c r="B4115" t="s">
        <v>1363</v>
      </c>
      <c r="C4115" t="s">
        <v>5</v>
      </c>
      <c r="D4115" s="68">
        <v>14</v>
      </c>
      <c r="E4115" s="68"/>
      <c r="F4115" s="68">
        <v>4</v>
      </c>
      <c r="G4115" s="68">
        <v>18</v>
      </c>
      <c r="H41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16" spans="1:8" hidden="1" x14ac:dyDescent="0.3">
      <c r="A4116" t="s">
        <v>1345</v>
      </c>
      <c r="B4116" t="s">
        <v>1364</v>
      </c>
      <c r="C4116" t="s">
        <v>31</v>
      </c>
      <c r="D4116" s="68">
        <v>486</v>
      </c>
      <c r="E4116" s="68"/>
      <c r="F4116" s="68">
        <v>7100</v>
      </c>
      <c r="G4116" s="68">
        <v>7586</v>
      </c>
      <c r="H41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17" spans="1:8" hidden="1" x14ac:dyDescent="0.3">
      <c r="A4117" t="s">
        <v>1345</v>
      </c>
      <c r="B4117" t="s">
        <v>1364</v>
      </c>
      <c r="C4117" t="s">
        <v>26</v>
      </c>
      <c r="D4117" s="68">
        <v>315</v>
      </c>
      <c r="E4117" s="68"/>
      <c r="F4117" s="68">
        <v>1237</v>
      </c>
      <c r="G4117" s="68">
        <v>1552</v>
      </c>
      <c r="H41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18" spans="1:8" hidden="1" x14ac:dyDescent="0.3">
      <c r="A4118" t="s">
        <v>1345</v>
      </c>
      <c r="B4118" t="s">
        <v>1364</v>
      </c>
      <c r="C4118" t="s">
        <v>27</v>
      </c>
      <c r="D4118" s="68"/>
      <c r="E4118" s="68">
        <v>237</v>
      </c>
      <c r="F4118" s="68"/>
      <c r="G4118" s="68">
        <v>237</v>
      </c>
      <c r="H41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19" spans="1:8" hidden="1" x14ac:dyDescent="0.3">
      <c r="A4119" t="s">
        <v>1345</v>
      </c>
      <c r="B4119" t="s">
        <v>1364</v>
      </c>
      <c r="C4119" t="s">
        <v>5</v>
      </c>
      <c r="D4119" s="68">
        <v>5</v>
      </c>
      <c r="E4119" s="68"/>
      <c r="F4119" s="68">
        <v>6</v>
      </c>
      <c r="G4119" s="68">
        <v>11</v>
      </c>
      <c r="H41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20" spans="1:8" hidden="1" x14ac:dyDescent="0.3">
      <c r="A4120" t="s">
        <v>1345</v>
      </c>
      <c r="B4120" t="s">
        <v>1365</v>
      </c>
      <c r="C4120" t="s">
        <v>31</v>
      </c>
      <c r="D4120" s="68">
        <v>211</v>
      </c>
      <c r="E4120" s="68"/>
      <c r="F4120" s="68">
        <v>6320</v>
      </c>
      <c r="G4120" s="68">
        <v>6531</v>
      </c>
      <c r="H41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21" spans="1:8" hidden="1" x14ac:dyDescent="0.3">
      <c r="A4121" t="s">
        <v>1345</v>
      </c>
      <c r="B4121" t="s">
        <v>1365</v>
      </c>
      <c r="C4121" t="s">
        <v>26</v>
      </c>
      <c r="D4121" s="68">
        <v>184</v>
      </c>
      <c r="E4121" s="68"/>
      <c r="F4121" s="68">
        <v>1107</v>
      </c>
      <c r="G4121" s="68">
        <v>1291</v>
      </c>
      <c r="H41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22" spans="1:8" hidden="1" x14ac:dyDescent="0.3">
      <c r="A4122" t="s">
        <v>1345</v>
      </c>
      <c r="B4122" t="s">
        <v>1365</v>
      </c>
      <c r="C4122" t="s">
        <v>27</v>
      </c>
      <c r="D4122" s="68"/>
      <c r="E4122" s="68">
        <v>143</v>
      </c>
      <c r="F4122" s="68"/>
      <c r="G4122" s="68">
        <v>143</v>
      </c>
      <c r="H41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23" spans="1:8" hidden="1" x14ac:dyDescent="0.3">
      <c r="A4123" t="s">
        <v>1345</v>
      </c>
      <c r="B4123" t="s">
        <v>1366</v>
      </c>
      <c r="C4123" t="s">
        <v>5</v>
      </c>
      <c r="D4123" s="68">
        <v>473</v>
      </c>
      <c r="E4123" s="68"/>
      <c r="F4123" s="68">
        <v>3432</v>
      </c>
      <c r="G4123" s="68">
        <v>3905</v>
      </c>
      <c r="H41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24" spans="1:8" hidden="1" x14ac:dyDescent="0.3">
      <c r="A4124" t="s">
        <v>1345</v>
      </c>
      <c r="B4124" t="s">
        <v>1366</v>
      </c>
      <c r="C4124" t="s">
        <v>26</v>
      </c>
      <c r="D4124" s="68">
        <v>224</v>
      </c>
      <c r="E4124" s="68"/>
      <c r="F4124" s="68">
        <v>677</v>
      </c>
      <c r="G4124" s="68">
        <v>901</v>
      </c>
      <c r="H41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25" spans="1:8" hidden="1" x14ac:dyDescent="0.3">
      <c r="A4125" t="s">
        <v>1345</v>
      </c>
      <c r="B4125" t="s">
        <v>1366</v>
      </c>
      <c r="C4125" t="s">
        <v>27</v>
      </c>
      <c r="D4125" s="68"/>
      <c r="E4125" s="68">
        <v>101</v>
      </c>
      <c r="F4125" s="68"/>
      <c r="G4125" s="68">
        <v>101</v>
      </c>
      <c r="H41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26" spans="1:8" hidden="1" x14ac:dyDescent="0.3">
      <c r="A4126" t="s">
        <v>1345</v>
      </c>
      <c r="B4126" t="s">
        <v>1367</v>
      </c>
      <c r="C4126" t="s">
        <v>26</v>
      </c>
      <c r="D4126" s="68">
        <v>16644</v>
      </c>
      <c r="E4126" s="68"/>
      <c r="F4126" s="68">
        <v>31102</v>
      </c>
      <c r="G4126" s="68">
        <v>47746</v>
      </c>
      <c r="H41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27" spans="1:8" hidden="1" x14ac:dyDescent="0.3">
      <c r="A4127" t="s">
        <v>1345</v>
      </c>
      <c r="B4127" t="s">
        <v>1367</v>
      </c>
      <c r="C4127" t="s">
        <v>31</v>
      </c>
      <c r="D4127" s="68">
        <v>3517</v>
      </c>
      <c r="E4127" s="68"/>
      <c r="F4127" s="68">
        <v>25173</v>
      </c>
      <c r="G4127" s="68">
        <v>28690</v>
      </c>
      <c r="H41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28" spans="1:8" hidden="1" x14ac:dyDescent="0.3">
      <c r="A4128" t="s">
        <v>1345</v>
      </c>
      <c r="B4128" t="s">
        <v>1367</v>
      </c>
      <c r="C4128" t="s">
        <v>27</v>
      </c>
      <c r="D4128" s="68"/>
      <c r="E4128" s="68">
        <v>572</v>
      </c>
      <c r="F4128" s="68"/>
      <c r="G4128" s="68">
        <v>572</v>
      </c>
      <c r="H41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29" spans="1:8" hidden="1" x14ac:dyDescent="0.3">
      <c r="A4129" t="s">
        <v>1345</v>
      </c>
      <c r="B4129" t="s">
        <v>1367</v>
      </c>
      <c r="C4129" t="s">
        <v>5</v>
      </c>
      <c r="D4129" s="68">
        <v>14</v>
      </c>
      <c r="E4129" s="68"/>
      <c r="F4129" s="68"/>
      <c r="G4129" s="68">
        <v>14</v>
      </c>
      <c r="H41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30" spans="1:8" hidden="1" x14ac:dyDescent="0.3">
      <c r="A4130" t="s">
        <v>1345</v>
      </c>
      <c r="B4130" t="s">
        <v>1367</v>
      </c>
      <c r="C4130" t="s">
        <v>36</v>
      </c>
      <c r="D4130" s="68">
        <v>1</v>
      </c>
      <c r="E4130" s="68"/>
      <c r="F4130" s="68"/>
      <c r="G4130" s="68">
        <v>1</v>
      </c>
      <c r="H41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31" spans="1:8" hidden="1" x14ac:dyDescent="0.3">
      <c r="A4131" t="s">
        <v>1345</v>
      </c>
      <c r="B4131" t="s">
        <v>1368</v>
      </c>
      <c r="C4131" t="s">
        <v>5</v>
      </c>
      <c r="D4131" s="68">
        <v>174</v>
      </c>
      <c r="E4131" s="68"/>
      <c r="F4131" s="68">
        <v>1668</v>
      </c>
      <c r="G4131" s="68">
        <v>1842</v>
      </c>
      <c r="H41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32" spans="1:8" hidden="1" x14ac:dyDescent="0.3">
      <c r="A4132" t="s">
        <v>1345</v>
      </c>
      <c r="B4132" t="s">
        <v>1368</v>
      </c>
      <c r="C4132" t="s">
        <v>26</v>
      </c>
      <c r="D4132" s="68">
        <v>188</v>
      </c>
      <c r="E4132" s="68"/>
      <c r="F4132" s="68">
        <v>1508</v>
      </c>
      <c r="G4132" s="68">
        <v>1696</v>
      </c>
      <c r="H41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33" spans="1:8" hidden="1" x14ac:dyDescent="0.3">
      <c r="A4133" t="s">
        <v>1345</v>
      </c>
      <c r="B4133" t="s">
        <v>1368</v>
      </c>
      <c r="C4133" t="s">
        <v>27</v>
      </c>
      <c r="D4133" s="68"/>
      <c r="E4133" s="68">
        <v>67</v>
      </c>
      <c r="F4133" s="68"/>
      <c r="G4133" s="68">
        <v>67</v>
      </c>
      <c r="H41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34" spans="1:8" hidden="1" x14ac:dyDescent="0.3">
      <c r="A4134" t="s">
        <v>1345</v>
      </c>
      <c r="B4134" t="s">
        <v>1369</v>
      </c>
      <c r="C4134" t="s">
        <v>26</v>
      </c>
      <c r="D4134" s="68">
        <v>144</v>
      </c>
      <c r="E4134" s="68"/>
      <c r="F4134" s="68">
        <v>1738</v>
      </c>
      <c r="G4134" s="68">
        <v>1882</v>
      </c>
      <c r="H41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35" spans="1:8" hidden="1" x14ac:dyDescent="0.3">
      <c r="A4135" t="s">
        <v>1345</v>
      </c>
      <c r="B4135" t="s">
        <v>1369</v>
      </c>
      <c r="C4135" t="s">
        <v>5</v>
      </c>
      <c r="D4135" s="68">
        <v>136</v>
      </c>
      <c r="E4135" s="68"/>
      <c r="F4135" s="68">
        <v>1384</v>
      </c>
      <c r="G4135" s="68">
        <v>1520</v>
      </c>
      <c r="H41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36" spans="1:8" hidden="1" x14ac:dyDescent="0.3">
      <c r="A4136" t="s">
        <v>1345</v>
      </c>
      <c r="B4136" t="s">
        <v>1369</v>
      </c>
      <c r="C4136" t="s">
        <v>27</v>
      </c>
      <c r="D4136" s="68"/>
      <c r="E4136" s="68">
        <v>69</v>
      </c>
      <c r="F4136" s="68"/>
      <c r="G4136" s="68">
        <v>69</v>
      </c>
      <c r="H41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37" spans="1:8" hidden="1" x14ac:dyDescent="0.3">
      <c r="A4137" t="s">
        <v>1345</v>
      </c>
      <c r="B4137" t="s">
        <v>1370</v>
      </c>
      <c r="C4137" t="s">
        <v>26</v>
      </c>
      <c r="D4137" s="68">
        <v>14359</v>
      </c>
      <c r="E4137" s="68"/>
      <c r="F4137" s="68">
        <v>39616</v>
      </c>
      <c r="G4137" s="68">
        <v>53975</v>
      </c>
      <c r="H41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38" spans="1:8" hidden="1" x14ac:dyDescent="0.3">
      <c r="A4138" t="s">
        <v>1345</v>
      </c>
      <c r="B4138" t="s">
        <v>1370</v>
      </c>
      <c r="C4138" t="s">
        <v>5</v>
      </c>
      <c r="D4138" s="68">
        <v>19453</v>
      </c>
      <c r="E4138" s="68"/>
      <c r="F4138" s="68">
        <v>18593</v>
      </c>
      <c r="G4138" s="68">
        <v>38046</v>
      </c>
      <c r="H41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39" spans="1:8" hidden="1" x14ac:dyDescent="0.3">
      <c r="A4139" t="s">
        <v>1345</v>
      </c>
      <c r="B4139" t="s">
        <v>1370</v>
      </c>
      <c r="C4139" t="s">
        <v>31</v>
      </c>
      <c r="D4139" s="68">
        <v>1494</v>
      </c>
      <c r="E4139" s="68"/>
      <c r="F4139" s="68">
        <v>20705</v>
      </c>
      <c r="G4139" s="68">
        <v>22199</v>
      </c>
      <c r="H41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40" spans="1:8" hidden="1" x14ac:dyDescent="0.3">
      <c r="A4140" t="s">
        <v>1345</v>
      </c>
      <c r="B4140" t="s">
        <v>1370</v>
      </c>
      <c r="C4140" t="s">
        <v>1348</v>
      </c>
      <c r="D4140" s="68">
        <v>924</v>
      </c>
      <c r="E4140" s="68"/>
      <c r="F4140" s="68">
        <v>16844</v>
      </c>
      <c r="G4140" s="68">
        <v>17768</v>
      </c>
      <c r="H41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41" spans="1:8" hidden="1" x14ac:dyDescent="0.3">
      <c r="A4141" t="s">
        <v>1345</v>
      </c>
      <c r="B4141" t="s">
        <v>1370</v>
      </c>
      <c r="C4141" t="s">
        <v>27</v>
      </c>
      <c r="D4141" s="68"/>
      <c r="E4141" s="68">
        <v>2627</v>
      </c>
      <c r="F4141" s="68"/>
      <c r="G4141" s="68">
        <v>2627</v>
      </c>
      <c r="H41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42" spans="1:8" hidden="1" x14ac:dyDescent="0.3">
      <c r="A4142" t="s">
        <v>1345</v>
      </c>
      <c r="B4142" t="s">
        <v>1370</v>
      </c>
      <c r="C4142" t="s">
        <v>36</v>
      </c>
      <c r="D4142" s="68">
        <v>118</v>
      </c>
      <c r="E4142" s="68"/>
      <c r="F4142" s="68">
        <v>43</v>
      </c>
      <c r="G4142" s="68">
        <v>161</v>
      </c>
      <c r="H41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43" spans="1:8" hidden="1" x14ac:dyDescent="0.3">
      <c r="A4143" t="s">
        <v>1345</v>
      </c>
      <c r="B4143" t="s">
        <v>1370</v>
      </c>
      <c r="C4143" t="s">
        <v>30</v>
      </c>
      <c r="D4143" s="68"/>
      <c r="E4143" s="68"/>
      <c r="F4143" s="68">
        <v>2</v>
      </c>
      <c r="G4143" s="68">
        <v>2</v>
      </c>
      <c r="H41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44" spans="1:8" hidden="1" x14ac:dyDescent="0.3">
      <c r="A4144" t="s">
        <v>1345</v>
      </c>
      <c r="B4144" t="s">
        <v>1370</v>
      </c>
      <c r="C4144" t="s">
        <v>35</v>
      </c>
      <c r="D4144" s="68">
        <v>1</v>
      </c>
      <c r="E4144" s="68"/>
      <c r="F4144" s="68"/>
      <c r="G4144" s="68">
        <v>1</v>
      </c>
      <c r="H41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45" spans="1:8" hidden="1" x14ac:dyDescent="0.3">
      <c r="A4145" t="s">
        <v>1345</v>
      </c>
      <c r="B4145" t="s">
        <v>1371</v>
      </c>
      <c r="C4145" t="s">
        <v>26</v>
      </c>
      <c r="D4145" s="68">
        <v>12794</v>
      </c>
      <c r="E4145" s="68"/>
      <c r="F4145" s="68">
        <v>19783</v>
      </c>
      <c r="G4145" s="68">
        <v>32577</v>
      </c>
      <c r="H41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46" spans="1:8" hidden="1" x14ac:dyDescent="0.3">
      <c r="A4146" t="s">
        <v>1345</v>
      </c>
      <c r="B4146" t="s">
        <v>1371</v>
      </c>
      <c r="C4146" t="s">
        <v>1348</v>
      </c>
      <c r="D4146" s="68">
        <v>361</v>
      </c>
      <c r="E4146" s="68"/>
      <c r="F4146" s="68">
        <v>5227</v>
      </c>
      <c r="G4146" s="68">
        <v>5588</v>
      </c>
      <c r="H41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47" spans="1:8" hidden="1" x14ac:dyDescent="0.3">
      <c r="A4147" t="s">
        <v>1345</v>
      </c>
      <c r="B4147" t="s">
        <v>1371</v>
      </c>
      <c r="C4147" t="s">
        <v>31</v>
      </c>
      <c r="D4147" s="68">
        <v>1167</v>
      </c>
      <c r="E4147" s="68"/>
      <c r="F4147" s="68">
        <v>4242</v>
      </c>
      <c r="G4147" s="68">
        <v>5409</v>
      </c>
      <c r="H41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48" spans="1:8" hidden="1" x14ac:dyDescent="0.3">
      <c r="A4148" t="s">
        <v>1345</v>
      </c>
      <c r="B4148" t="s">
        <v>1371</v>
      </c>
      <c r="C4148" t="s">
        <v>5</v>
      </c>
      <c r="D4148" s="68">
        <v>1849</v>
      </c>
      <c r="E4148" s="68"/>
      <c r="F4148" s="68">
        <v>1626</v>
      </c>
      <c r="G4148" s="68">
        <v>3475</v>
      </c>
      <c r="H41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49" spans="1:8" hidden="1" x14ac:dyDescent="0.3">
      <c r="A4149" t="s">
        <v>1345</v>
      </c>
      <c r="B4149" t="s">
        <v>1371</v>
      </c>
      <c r="C4149" t="s">
        <v>27</v>
      </c>
      <c r="D4149" s="68"/>
      <c r="E4149" s="68">
        <v>1542</v>
      </c>
      <c r="F4149" s="68"/>
      <c r="G4149" s="68">
        <v>1542</v>
      </c>
      <c r="H41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50" spans="1:8" hidden="1" x14ac:dyDescent="0.3">
      <c r="A4150" t="s">
        <v>1345</v>
      </c>
      <c r="B4150" t="s">
        <v>1371</v>
      </c>
      <c r="C4150" t="s">
        <v>36</v>
      </c>
      <c r="D4150" s="68">
        <v>2</v>
      </c>
      <c r="E4150" s="68"/>
      <c r="F4150" s="68"/>
      <c r="G4150" s="68">
        <v>2</v>
      </c>
      <c r="H41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51" spans="1:8" hidden="1" x14ac:dyDescent="0.3">
      <c r="A4151" t="s">
        <v>1345</v>
      </c>
      <c r="B4151" t="s">
        <v>1371</v>
      </c>
      <c r="C4151" t="s">
        <v>35</v>
      </c>
      <c r="D4151" s="68">
        <v>1</v>
      </c>
      <c r="E4151" s="68"/>
      <c r="F4151" s="68"/>
      <c r="G4151" s="68">
        <v>1</v>
      </c>
      <c r="H41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52" spans="1:8" hidden="1" x14ac:dyDescent="0.3">
      <c r="A4152" t="s">
        <v>1345</v>
      </c>
      <c r="B4152" t="s">
        <v>1372</v>
      </c>
      <c r="C4152" t="s">
        <v>5</v>
      </c>
      <c r="D4152" s="68">
        <v>305</v>
      </c>
      <c r="E4152" s="68"/>
      <c r="F4152" s="68">
        <v>2351</v>
      </c>
      <c r="G4152" s="68">
        <v>2656</v>
      </c>
      <c r="H41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53" spans="1:8" hidden="1" x14ac:dyDescent="0.3">
      <c r="A4153" t="s">
        <v>1345</v>
      </c>
      <c r="B4153" t="s">
        <v>1372</v>
      </c>
      <c r="C4153" t="s">
        <v>26</v>
      </c>
      <c r="D4153" s="68">
        <v>502</v>
      </c>
      <c r="E4153" s="68"/>
      <c r="F4153" s="68">
        <v>1438</v>
      </c>
      <c r="G4153" s="68">
        <v>1940</v>
      </c>
      <c r="H41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54" spans="1:8" hidden="1" x14ac:dyDescent="0.3">
      <c r="A4154" t="s">
        <v>1345</v>
      </c>
      <c r="B4154" t="s">
        <v>1372</v>
      </c>
      <c r="C4154" t="s">
        <v>27</v>
      </c>
      <c r="D4154" s="68"/>
      <c r="E4154" s="68">
        <v>80</v>
      </c>
      <c r="F4154" s="68"/>
      <c r="G4154" s="68">
        <v>80</v>
      </c>
      <c r="H41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55" spans="1:8" hidden="1" x14ac:dyDescent="0.3">
      <c r="A4155" t="s">
        <v>1345</v>
      </c>
      <c r="B4155" t="s">
        <v>549</v>
      </c>
      <c r="C4155" t="s">
        <v>26</v>
      </c>
      <c r="D4155" s="68">
        <v>508</v>
      </c>
      <c r="E4155" s="68"/>
      <c r="F4155" s="68">
        <v>11990</v>
      </c>
      <c r="G4155" s="68">
        <v>12498</v>
      </c>
      <c r="H41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56" spans="1:8" hidden="1" x14ac:dyDescent="0.3">
      <c r="A4156" t="s">
        <v>1345</v>
      </c>
      <c r="B4156" t="s">
        <v>549</v>
      </c>
      <c r="C4156" t="s">
        <v>5</v>
      </c>
      <c r="D4156" s="68">
        <v>215</v>
      </c>
      <c r="E4156" s="68"/>
      <c r="F4156" s="68">
        <v>3334</v>
      </c>
      <c r="G4156" s="68">
        <v>3549</v>
      </c>
      <c r="H41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57" spans="1:8" hidden="1" x14ac:dyDescent="0.3">
      <c r="A4157" t="s">
        <v>1345</v>
      </c>
      <c r="B4157" t="s">
        <v>549</v>
      </c>
      <c r="C4157" t="s">
        <v>27</v>
      </c>
      <c r="D4157" s="68"/>
      <c r="E4157" s="68">
        <v>105</v>
      </c>
      <c r="F4157" s="68"/>
      <c r="G4157" s="68">
        <v>105</v>
      </c>
      <c r="H41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58" spans="1:8" hidden="1" x14ac:dyDescent="0.3">
      <c r="A4158" t="s">
        <v>1345</v>
      </c>
      <c r="B4158" t="s">
        <v>549</v>
      </c>
      <c r="C4158" t="s">
        <v>36</v>
      </c>
      <c r="D4158" s="68">
        <v>4</v>
      </c>
      <c r="E4158" s="68"/>
      <c r="F4158" s="68">
        <v>6</v>
      </c>
      <c r="G4158" s="68">
        <v>10</v>
      </c>
      <c r="H41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59" spans="1:8" hidden="1" x14ac:dyDescent="0.3">
      <c r="A4159" t="s">
        <v>1345</v>
      </c>
      <c r="B4159" t="s">
        <v>1373</v>
      </c>
      <c r="C4159" t="s">
        <v>1348</v>
      </c>
      <c r="D4159" s="68">
        <v>158</v>
      </c>
      <c r="E4159" s="68"/>
      <c r="F4159" s="68">
        <v>4922</v>
      </c>
      <c r="G4159" s="68">
        <v>5080</v>
      </c>
      <c r="H41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60" spans="1:8" hidden="1" x14ac:dyDescent="0.3">
      <c r="A4160" t="s">
        <v>1345</v>
      </c>
      <c r="B4160" t="s">
        <v>1373</v>
      </c>
      <c r="C4160" t="s">
        <v>26</v>
      </c>
      <c r="D4160" s="68">
        <v>193</v>
      </c>
      <c r="E4160" s="68"/>
      <c r="F4160" s="68">
        <v>1956</v>
      </c>
      <c r="G4160" s="68">
        <v>2149</v>
      </c>
      <c r="H41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61" spans="1:8" hidden="1" x14ac:dyDescent="0.3">
      <c r="A4161" t="s">
        <v>1345</v>
      </c>
      <c r="B4161" t="s">
        <v>1373</v>
      </c>
      <c r="C4161" t="s">
        <v>27</v>
      </c>
      <c r="D4161" s="68"/>
      <c r="E4161" s="68">
        <v>82</v>
      </c>
      <c r="F4161" s="68"/>
      <c r="G4161" s="68">
        <v>82</v>
      </c>
      <c r="H41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62" spans="1:8" hidden="1" x14ac:dyDescent="0.3">
      <c r="A4162" t="s">
        <v>1345</v>
      </c>
      <c r="B4162" t="s">
        <v>1373</v>
      </c>
      <c r="C4162" t="s">
        <v>5</v>
      </c>
      <c r="D4162" s="68">
        <v>3</v>
      </c>
      <c r="E4162" s="68"/>
      <c r="F4162" s="68">
        <v>5</v>
      </c>
      <c r="G4162" s="68">
        <v>8</v>
      </c>
      <c r="H41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63" spans="1:8" hidden="1" x14ac:dyDescent="0.3">
      <c r="A4163" t="s">
        <v>1345</v>
      </c>
      <c r="B4163" t="s">
        <v>1374</v>
      </c>
      <c r="C4163" t="s">
        <v>26</v>
      </c>
      <c r="D4163" s="68">
        <v>615</v>
      </c>
      <c r="E4163" s="68"/>
      <c r="F4163" s="68">
        <v>4084</v>
      </c>
      <c r="G4163" s="68">
        <v>4699</v>
      </c>
      <c r="H41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64" spans="1:8" hidden="1" x14ac:dyDescent="0.3">
      <c r="A4164" t="s">
        <v>1345</v>
      </c>
      <c r="B4164" t="s">
        <v>1374</v>
      </c>
      <c r="C4164" t="s">
        <v>5</v>
      </c>
      <c r="D4164" s="68">
        <v>219</v>
      </c>
      <c r="E4164" s="68"/>
      <c r="F4164" s="68">
        <v>2845</v>
      </c>
      <c r="G4164" s="68">
        <v>3064</v>
      </c>
      <c r="H41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65" spans="1:8" hidden="1" x14ac:dyDescent="0.3">
      <c r="A4165" t="s">
        <v>1345</v>
      </c>
      <c r="B4165" t="s">
        <v>1374</v>
      </c>
      <c r="C4165" t="s">
        <v>1348</v>
      </c>
      <c r="D4165" s="68">
        <v>67</v>
      </c>
      <c r="E4165" s="68"/>
      <c r="F4165" s="68">
        <v>1392</v>
      </c>
      <c r="G4165" s="68">
        <v>1459</v>
      </c>
      <c r="H41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66" spans="1:8" hidden="1" x14ac:dyDescent="0.3">
      <c r="A4166" t="s">
        <v>1345</v>
      </c>
      <c r="B4166" t="s">
        <v>1374</v>
      </c>
      <c r="C4166" t="s">
        <v>27</v>
      </c>
      <c r="D4166" s="68"/>
      <c r="E4166" s="68">
        <v>237</v>
      </c>
      <c r="F4166" s="68"/>
      <c r="G4166" s="68">
        <v>237</v>
      </c>
      <c r="H41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67" spans="1:8" hidden="1" x14ac:dyDescent="0.3">
      <c r="A4167" t="s">
        <v>1345</v>
      </c>
      <c r="B4167" t="s">
        <v>1374</v>
      </c>
      <c r="C4167" t="s">
        <v>36</v>
      </c>
      <c r="D4167" s="68">
        <v>9</v>
      </c>
      <c r="E4167" s="68"/>
      <c r="F4167" s="68">
        <v>4</v>
      </c>
      <c r="G4167" s="68">
        <v>13</v>
      </c>
      <c r="H41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68" spans="1:8" hidden="1" x14ac:dyDescent="0.3">
      <c r="A4168" t="s">
        <v>1345</v>
      </c>
      <c r="B4168" t="s">
        <v>1375</v>
      </c>
      <c r="C4168" t="s">
        <v>26</v>
      </c>
      <c r="D4168" s="68">
        <v>361</v>
      </c>
      <c r="E4168" s="68"/>
      <c r="F4168" s="68">
        <v>6266</v>
      </c>
      <c r="G4168" s="68">
        <v>6627</v>
      </c>
      <c r="H41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69" spans="1:8" hidden="1" x14ac:dyDescent="0.3">
      <c r="A4169" t="s">
        <v>1345</v>
      </c>
      <c r="B4169" t="s">
        <v>1375</v>
      </c>
      <c r="C4169" t="s">
        <v>31</v>
      </c>
      <c r="D4169" s="68">
        <v>131</v>
      </c>
      <c r="E4169" s="68"/>
      <c r="F4169" s="68">
        <v>3494</v>
      </c>
      <c r="G4169" s="68">
        <v>3625</v>
      </c>
      <c r="H41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70" spans="1:8" hidden="1" x14ac:dyDescent="0.3">
      <c r="A4170" t="s">
        <v>1345</v>
      </c>
      <c r="B4170" t="s">
        <v>1375</v>
      </c>
      <c r="C4170" t="s">
        <v>27</v>
      </c>
      <c r="D4170" s="68"/>
      <c r="E4170" s="68">
        <v>297</v>
      </c>
      <c r="F4170" s="68"/>
      <c r="G4170" s="68">
        <v>297</v>
      </c>
      <c r="H41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71" spans="1:8" hidden="1" x14ac:dyDescent="0.3">
      <c r="A4171" t="s">
        <v>1345</v>
      </c>
      <c r="B4171" t="s">
        <v>1375</v>
      </c>
      <c r="C4171" t="s">
        <v>5</v>
      </c>
      <c r="D4171" s="68">
        <v>1</v>
      </c>
      <c r="E4171" s="68"/>
      <c r="F4171" s="68">
        <v>7</v>
      </c>
      <c r="G4171" s="68">
        <v>8</v>
      </c>
      <c r="H41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72" spans="1:8" hidden="1" x14ac:dyDescent="0.3">
      <c r="A4172" t="s">
        <v>1345</v>
      </c>
      <c r="B4172" t="s">
        <v>1139</v>
      </c>
      <c r="C4172" t="s">
        <v>5</v>
      </c>
      <c r="D4172" s="68">
        <v>422</v>
      </c>
      <c r="E4172" s="68"/>
      <c r="F4172" s="68">
        <v>2407</v>
      </c>
      <c r="G4172" s="68">
        <v>2829</v>
      </c>
      <c r="H41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73" spans="1:8" hidden="1" x14ac:dyDescent="0.3">
      <c r="A4173" t="s">
        <v>1345</v>
      </c>
      <c r="B4173" t="s">
        <v>1139</v>
      </c>
      <c r="C4173" t="s">
        <v>26</v>
      </c>
      <c r="D4173" s="68">
        <v>537</v>
      </c>
      <c r="E4173" s="68"/>
      <c r="F4173" s="68">
        <v>1811</v>
      </c>
      <c r="G4173" s="68">
        <v>2348</v>
      </c>
      <c r="H41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74" spans="1:8" hidden="1" x14ac:dyDescent="0.3">
      <c r="A4174" t="s">
        <v>1345</v>
      </c>
      <c r="B4174" t="s">
        <v>1139</v>
      </c>
      <c r="C4174" t="s">
        <v>27</v>
      </c>
      <c r="D4174" s="68"/>
      <c r="E4174" s="68">
        <v>63</v>
      </c>
      <c r="F4174" s="68"/>
      <c r="G4174" s="68">
        <v>63</v>
      </c>
      <c r="H41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75" spans="1:8" hidden="1" x14ac:dyDescent="0.3">
      <c r="A4175" t="s">
        <v>1345</v>
      </c>
      <c r="B4175" t="s">
        <v>1139</v>
      </c>
      <c r="C4175" t="s">
        <v>36</v>
      </c>
      <c r="D4175" s="68"/>
      <c r="E4175" s="68"/>
      <c r="F4175" s="68">
        <v>1</v>
      </c>
      <c r="G4175" s="68">
        <v>1</v>
      </c>
      <c r="H41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76" spans="1:8" hidden="1" x14ac:dyDescent="0.3">
      <c r="A4176" t="s">
        <v>1345</v>
      </c>
      <c r="B4176" t="s">
        <v>1139</v>
      </c>
      <c r="C4176" t="s">
        <v>30</v>
      </c>
      <c r="D4176" s="68"/>
      <c r="E4176" s="68"/>
      <c r="F4176" s="68">
        <v>1</v>
      </c>
      <c r="G4176" s="68">
        <v>1</v>
      </c>
      <c r="H41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77" spans="1:8" hidden="1" x14ac:dyDescent="0.3">
      <c r="A4177" t="s">
        <v>1345</v>
      </c>
      <c r="B4177" t="s">
        <v>1376</v>
      </c>
      <c r="C4177" t="s">
        <v>26</v>
      </c>
      <c r="D4177" s="68">
        <v>149031</v>
      </c>
      <c r="E4177" s="68"/>
      <c r="F4177" s="68">
        <v>255839</v>
      </c>
      <c r="G4177" s="68">
        <v>404870</v>
      </c>
      <c r="H41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78" spans="1:8" hidden="1" x14ac:dyDescent="0.3">
      <c r="A4178" t="s">
        <v>1345</v>
      </c>
      <c r="B4178" t="s">
        <v>1376</v>
      </c>
      <c r="C4178" t="s">
        <v>31</v>
      </c>
      <c r="D4178" s="68">
        <v>37810</v>
      </c>
      <c r="E4178" s="68"/>
      <c r="F4178" s="68">
        <v>166336</v>
      </c>
      <c r="G4178" s="68">
        <v>204146</v>
      </c>
      <c r="H41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79" spans="1:8" hidden="1" x14ac:dyDescent="0.3">
      <c r="A4179" t="s">
        <v>1345</v>
      </c>
      <c r="B4179" t="s">
        <v>1376</v>
      </c>
      <c r="C4179" t="s">
        <v>5</v>
      </c>
      <c r="D4179" s="68">
        <v>118081</v>
      </c>
      <c r="E4179" s="68"/>
      <c r="F4179" s="68">
        <v>68210</v>
      </c>
      <c r="G4179" s="68">
        <v>186291</v>
      </c>
      <c r="H41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80" spans="1:8" hidden="1" x14ac:dyDescent="0.3">
      <c r="A4180" t="s">
        <v>1345</v>
      </c>
      <c r="B4180" t="s">
        <v>1376</v>
      </c>
      <c r="C4180" t="s">
        <v>1348</v>
      </c>
      <c r="D4180" s="68">
        <v>9734</v>
      </c>
      <c r="E4180" s="68"/>
      <c r="F4180" s="68">
        <v>104140</v>
      </c>
      <c r="G4180" s="68">
        <v>113874</v>
      </c>
      <c r="H41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81" spans="1:8" hidden="1" x14ac:dyDescent="0.3">
      <c r="A4181" t="s">
        <v>1345</v>
      </c>
      <c r="B4181" t="s">
        <v>1376</v>
      </c>
      <c r="C4181" t="s">
        <v>27</v>
      </c>
      <c r="D4181" s="68"/>
      <c r="E4181" s="68">
        <v>18387</v>
      </c>
      <c r="F4181" s="68"/>
      <c r="G4181" s="68">
        <v>18387</v>
      </c>
      <c r="H41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82" spans="1:8" hidden="1" x14ac:dyDescent="0.3">
      <c r="A4182" t="s">
        <v>1345</v>
      </c>
      <c r="B4182" t="s">
        <v>1376</v>
      </c>
      <c r="C4182" t="s">
        <v>36</v>
      </c>
      <c r="D4182" s="68">
        <v>3457</v>
      </c>
      <c r="E4182" s="68"/>
      <c r="F4182" s="68">
        <v>3871</v>
      </c>
      <c r="G4182" s="68">
        <v>7328</v>
      </c>
      <c r="H41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83" spans="1:8" hidden="1" x14ac:dyDescent="0.3">
      <c r="A4183" t="s">
        <v>1345</v>
      </c>
      <c r="B4183" t="s">
        <v>1376</v>
      </c>
      <c r="C4183" t="s">
        <v>35</v>
      </c>
      <c r="D4183" s="68">
        <v>33</v>
      </c>
      <c r="E4183" s="68"/>
      <c r="F4183" s="68"/>
      <c r="G4183" s="68">
        <v>33</v>
      </c>
      <c r="H41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84" spans="1:8" hidden="1" x14ac:dyDescent="0.3">
      <c r="A4184" t="s">
        <v>1345</v>
      </c>
      <c r="B4184" t="s">
        <v>1376</v>
      </c>
      <c r="C4184" t="s">
        <v>588</v>
      </c>
      <c r="D4184" s="68"/>
      <c r="E4184" s="68"/>
      <c r="F4184" s="68">
        <v>3</v>
      </c>
      <c r="G4184" s="68">
        <v>3</v>
      </c>
      <c r="H41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85" spans="1:8" hidden="1" x14ac:dyDescent="0.3">
      <c r="A4185" t="s">
        <v>1345</v>
      </c>
      <c r="B4185" t="s">
        <v>1376</v>
      </c>
      <c r="C4185" t="s">
        <v>538</v>
      </c>
      <c r="D4185" s="68"/>
      <c r="E4185" s="68"/>
      <c r="F4185" s="68">
        <v>2</v>
      </c>
      <c r="G4185" s="68">
        <v>2</v>
      </c>
      <c r="H41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86" spans="1:8" hidden="1" x14ac:dyDescent="0.3">
      <c r="A4186" t="s">
        <v>1345</v>
      </c>
      <c r="B4186" t="s">
        <v>1376</v>
      </c>
      <c r="C4186" t="s">
        <v>34</v>
      </c>
      <c r="D4186" s="68">
        <v>2</v>
      </c>
      <c r="E4186" s="68"/>
      <c r="F4186" s="68"/>
      <c r="G4186" s="68">
        <v>2</v>
      </c>
      <c r="H41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87" spans="1:8" hidden="1" x14ac:dyDescent="0.3">
      <c r="A4187" t="s">
        <v>1345</v>
      </c>
      <c r="B4187" t="s">
        <v>1376</v>
      </c>
      <c r="C4187" t="s">
        <v>32</v>
      </c>
      <c r="D4187" s="68"/>
      <c r="E4187" s="68"/>
      <c r="F4187" s="68">
        <v>1</v>
      </c>
      <c r="G4187" s="68">
        <v>1</v>
      </c>
      <c r="H41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88" spans="1:8" hidden="1" x14ac:dyDescent="0.3">
      <c r="A4188" t="s">
        <v>1345</v>
      </c>
      <c r="B4188" t="s">
        <v>1377</v>
      </c>
      <c r="C4188" t="s">
        <v>1348</v>
      </c>
      <c r="D4188" s="68">
        <v>122</v>
      </c>
      <c r="E4188" s="68"/>
      <c r="F4188" s="68">
        <v>1850</v>
      </c>
      <c r="G4188" s="68">
        <v>1972</v>
      </c>
      <c r="H41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89" spans="1:8" hidden="1" x14ac:dyDescent="0.3">
      <c r="A4189" t="s">
        <v>1345</v>
      </c>
      <c r="B4189" t="s">
        <v>1377</v>
      </c>
      <c r="C4189" t="s">
        <v>26</v>
      </c>
      <c r="D4189" s="68">
        <v>164</v>
      </c>
      <c r="E4189" s="68"/>
      <c r="F4189" s="68">
        <v>584</v>
      </c>
      <c r="G4189" s="68">
        <v>748</v>
      </c>
      <c r="H41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90" spans="1:8" hidden="1" x14ac:dyDescent="0.3">
      <c r="A4190" t="s">
        <v>1345</v>
      </c>
      <c r="B4190" t="s">
        <v>1377</v>
      </c>
      <c r="C4190" t="s">
        <v>27</v>
      </c>
      <c r="D4190" s="68"/>
      <c r="E4190" s="68">
        <v>45</v>
      </c>
      <c r="F4190" s="68"/>
      <c r="G4190" s="68">
        <v>45</v>
      </c>
      <c r="H41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91" spans="1:8" hidden="1" x14ac:dyDescent="0.3">
      <c r="A4191" t="s">
        <v>1345</v>
      </c>
      <c r="B4191" t="s">
        <v>1378</v>
      </c>
      <c r="C4191" t="s">
        <v>26</v>
      </c>
      <c r="D4191" s="68">
        <v>2332</v>
      </c>
      <c r="E4191" s="68"/>
      <c r="F4191" s="68">
        <v>15568</v>
      </c>
      <c r="G4191" s="68">
        <v>17900</v>
      </c>
      <c r="H41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92" spans="1:8" hidden="1" x14ac:dyDescent="0.3">
      <c r="A4192" t="s">
        <v>1345</v>
      </c>
      <c r="B4192" t="s">
        <v>1378</v>
      </c>
      <c r="C4192" t="s">
        <v>5</v>
      </c>
      <c r="D4192" s="68">
        <v>519</v>
      </c>
      <c r="E4192" s="68"/>
      <c r="F4192" s="68">
        <v>6299</v>
      </c>
      <c r="G4192" s="68">
        <v>6818</v>
      </c>
      <c r="H41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93" spans="1:8" hidden="1" x14ac:dyDescent="0.3">
      <c r="A4193" t="s">
        <v>1345</v>
      </c>
      <c r="B4193" t="s">
        <v>1378</v>
      </c>
      <c r="C4193" t="s">
        <v>31</v>
      </c>
      <c r="D4193" s="68">
        <v>97</v>
      </c>
      <c r="E4193" s="68"/>
      <c r="F4193" s="68">
        <v>1282</v>
      </c>
      <c r="G4193" s="68">
        <v>1379</v>
      </c>
      <c r="H41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94" spans="1:8" hidden="1" x14ac:dyDescent="0.3">
      <c r="A4194" t="s">
        <v>1345</v>
      </c>
      <c r="B4194" t="s">
        <v>1378</v>
      </c>
      <c r="C4194" t="s">
        <v>27</v>
      </c>
      <c r="D4194" s="68"/>
      <c r="E4194" s="68">
        <v>504</v>
      </c>
      <c r="F4194" s="68"/>
      <c r="G4194" s="68">
        <v>504</v>
      </c>
      <c r="H41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95" spans="1:8" hidden="1" x14ac:dyDescent="0.3">
      <c r="A4195" t="s">
        <v>1345</v>
      </c>
      <c r="B4195" t="s">
        <v>1378</v>
      </c>
      <c r="C4195" t="s">
        <v>36</v>
      </c>
      <c r="D4195" s="68">
        <v>11</v>
      </c>
      <c r="E4195" s="68"/>
      <c r="F4195" s="68">
        <v>5</v>
      </c>
      <c r="G4195" s="68">
        <v>16</v>
      </c>
      <c r="H41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96" spans="1:8" hidden="1" x14ac:dyDescent="0.3">
      <c r="A4196" t="s">
        <v>1345</v>
      </c>
      <c r="B4196" t="s">
        <v>1379</v>
      </c>
      <c r="C4196" t="s">
        <v>5</v>
      </c>
      <c r="D4196" s="68">
        <v>112</v>
      </c>
      <c r="E4196" s="68"/>
      <c r="F4196" s="68">
        <v>2527</v>
      </c>
      <c r="G4196" s="68">
        <v>2639</v>
      </c>
      <c r="H41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97" spans="1:8" hidden="1" x14ac:dyDescent="0.3">
      <c r="A4197" t="s">
        <v>1345</v>
      </c>
      <c r="B4197" t="s">
        <v>1379</v>
      </c>
      <c r="C4197" t="s">
        <v>26</v>
      </c>
      <c r="D4197" s="68">
        <v>141</v>
      </c>
      <c r="E4197" s="68"/>
      <c r="F4197" s="68">
        <v>1829</v>
      </c>
      <c r="G4197" s="68">
        <v>1970</v>
      </c>
      <c r="H41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98" spans="1:8" hidden="1" x14ac:dyDescent="0.3">
      <c r="A4198" t="s">
        <v>1345</v>
      </c>
      <c r="B4198" t="s">
        <v>1379</v>
      </c>
      <c r="C4198" t="s">
        <v>27</v>
      </c>
      <c r="D4198" s="68"/>
      <c r="E4198" s="68">
        <v>93</v>
      </c>
      <c r="F4198" s="68"/>
      <c r="G4198" s="68">
        <v>93</v>
      </c>
      <c r="H41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199" spans="1:8" hidden="1" x14ac:dyDescent="0.3">
      <c r="A4199" t="s">
        <v>1345</v>
      </c>
      <c r="B4199" t="s">
        <v>1380</v>
      </c>
      <c r="C4199" t="s">
        <v>1348</v>
      </c>
      <c r="D4199" s="68">
        <v>186</v>
      </c>
      <c r="E4199" s="68"/>
      <c r="F4199" s="68">
        <v>8561</v>
      </c>
      <c r="G4199" s="68">
        <v>8747</v>
      </c>
      <c r="H41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00" spans="1:8" hidden="1" x14ac:dyDescent="0.3">
      <c r="A4200" t="s">
        <v>1345</v>
      </c>
      <c r="B4200" t="s">
        <v>1380</v>
      </c>
      <c r="C4200" t="s">
        <v>5</v>
      </c>
      <c r="D4200" s="68">
        <v>152</v>
      </c>
      <c r="E4200" s="68"/>
      <c r="F4200" s="68">
        <v>5174</v>
      </c>
      <c r="G4200" s="68">
        <v>5326</v>
      </c>
      <c r="H42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01" spans="1:8" hidden="1" x14ac:dyDescent="0.3">
      <c r="A4201" t="s">
        <v>1345</v>
      </c>
      <c r="B4201" t="s">
        <v>1380</v>
      </c>
      <c r="C4201" t="s">
        <v>26</v>
      </c>
      <c r="D4201" s="68">
        <v>222</v>
      </c>
      <c r="E4201" s="68"/>
      <c r="F4201" s="68">
        <v>3031</v>
      </c>
      <c r="G4201" s="68">
        <v>3253</v>
      </c>
      <c r="H42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02" spans="1:8" hidden="1" x14ac:dyDescent="0.3">
      <c r="A4202" t="s">
        <v>1345</v>
      </c>
      <c r="B4202" t="s">
        <v>1380</v>
      </c>
      <c r="C4202" t="s">
        <v>27</v>
      </c>
      <c r="D4202" s="68"/>
      <c r="E4202" s="68">
        <v>395</v>
      </c>
      <c r="F4202" s="68"/>
      <c r="G4202" s="68">
        <v>395</v>
      </c>
      <c r="H42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03" spans="1:8" hidden="1" x14ac:dyDescent="0.3">
      <c r="A4203" t="s">
        <v>1345</v>
      </c>
      <c r="B4203" t="s">
        <v>1381</v>
      </c>
      <c r="C4203" t="s">
        <v>26</v>
      </c>
      <c r="D4203" s="68">
        <v>5331</v>
      </c>
      <c r="E4203" s="68"/>
      <c r="F4203" s="68">
        <v>26489</v>
      </c>
      <c r="G4203" s="68">
        <v>31820</v>
      </c>
      <c r="H42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04" spans="1:8" hidden="1" x14ac:dyDescent="0.3">
      <c r="A4204" t="s">
        <v>1345</v>
      </c>
      <c r="B4204" t="s">
        <v>1381</v>
      </c>
      <c r="C4204" t="s">
        <v>1348</v>
      </c>
      <c r="D4204" s="68">
        <v>1495</v>
      </c>
      <c r="E4204" s="68"/>
      <c r="F4204" s="68">
        <v>30094</v>
      </c>
      <c r="G4204" s="68">
        <v>31589</v>
      </c>
      <c r="H42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05" spans="1:8" hidden="1" x14ac:dyDescent="0.3">
      <c r="A4205" t="s">
        <v>1345</v>
      </c>
      <c r="B4205" t="s">
        <v>1381</v>
      </c>
      <c r="C4205" t="s">
        <v>31</v>
      </c>
      <c r="D4205" s="68">
        <v>809</v>
      </c>
      <c r="E4205" s="68"/>
      <c r="F4205" s="68">
        <v>7274</v>
      </c>
      <c r="G4205" s="68">
        <v>8083</v>
      </c>
      <c r="H42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06" spans="1:8" hidden="1" x14ac:dyDescent="0.3">
      <c r="A4206" t="s">
        <v>1345</v>
      </c>
      <c r="B4206" t="s">
        <v>1381</v>
      </c>
      <c r="C4206" t="s">
        <v>27</v>
      </c>
      <c r="D4206" s="68"/>
      <c r="E4206" s="68">
        <v>1559</v>
      </c>
      <c r="F4206" s="68"/>
      <c r="G4206" s="68">
        <v>1559</v>
      </c>
      <c r="H42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07" spans="1:8" hidden="1" x14ac:dyDescent="0.3">
      <c r="A4207" t="s">
        <v>1345</v>
      </c>
      <c r="B4207" t="s">
        <v>1381</v>
      </c>
      <c r="C4207" t="s">
        <v>5</v>
      </c>
      <c r="D4207" s="68">
        <v>374</v>
      </c>
      <c r="E4207" s="68"/>
      <c r="F4207" s="68">
        <v>553</v>
      </c>
      <c r="G4207" s="68">
        <v>927</v>
      </c>
      <c r="H42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08" spans="1:8" hidden="1" x14ac:dyDescent="0.3">
      <c r="A4208" t="s">
        <v>1345</v>
      </c>
      <c r="B4208" t="s">
        <v>1381</v>
      </c>
      <c r="C4208" t="s">
        <v>33</v>
      </c>
      <c r="D4208" s="68"/>
      <c r="E4208" s="68"/>
      <c r="F4208" s="68">
        <v>1</v>
      </c>
      <c r="G4208" s="68">
        <v>1</v>
      </c>
      <c r="H42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09" spans="1:8" hidden="1" x14ac:dyDescent="0.3">
      <c r="A4209" t="s">
        <v>1345</v>
      </c>
      <c r="B4209" t="s">
        <v>664</v>
      </c>
      <c r="C4209" t="s">
        <v>26</v>
      </c>
      <c r="D4209" s="68">
        <v>1377</v>
      </c>
      <c r="E4209" s="68"/>
      <c r="F4209" s="68">
        <v>7356</v>
      </c>
      <c r="G4209" s="68">
        <v>8733</v>
      </c>
      <c r="H42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10" spans="1:8" hidden="1" x14ac:dyDescent="0.3">
      <c r="A4210" t="s">
        <v>1345</v>
      </c>
      <c r="B4210" t="s">
        <v>664</v>
      </c>
      <c r="C4210" t="s">
        <v>31</v>
      </c>
      <c r="D4210" s="68">
        <v>496</v>
      </c>
      <c r="E4210" s="68"/>
      <c r="F4210" s="68">
        <v>5252</v>
      </c>
      <c r="G4210" s="68">
        <v>5748</v>
      </c>
      <c r="H42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11" spans="1:8" hidden="1" x14ac:dyDescent="0.3">
      <c r="A4211" t="s">
        <v>1345</v>
      </c>
      <c r="B4211" t="s">
        <v>664</v>
      </c>
      <c r="C4211" t="s">
        <v>27</v>
      </c>
      <c r="D4211" s="68"/>
      <c r="E4211" s="68">
        <v>461</v>
      </c>
      <c r="F4211" s="68"/>
      <c r="G4211" s="68">
        <v>461</v>
      </c>
      <c r="H42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12" spans="1:8" hidden="1" x14ac:dyDescent="0.3">
      <c r="A4212" t="s">
        <v>1345</v>
      </c>
      <c r="B4212" t="s">
        <v>664</v>
      </c>
      <c r="C4212" t="s">
        <v>5</v>
      </c>
      <c r="D4212" s="68">
        <v>69</v>
      </c>
      <c r="E4212" s="68"/>
      <c r="F4212" s="68">
        <v>71</v>
      </c>
      <c r="G4212" s="68">
        <v>140</v>
      </c>
      <c r="H42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13" spans="1:8" hidden="1" x14ac:dyDescent="0.3">
      <c r="A4213" t="s">
        <v>1345</v>
      </c>
      <c r="B4213" t="s">
        <v>1382</v>
      </c>
      <c r="C4213" t="s">
        <v>1348</v>
      </c>
      <c r="D4213" s="68">
        <v>156</v>
      </c>
      <c r="E4213" s="68"/>
      <c r="F4213" s="68">
        <v>3352</v>
      </c>
      <c r="G4213" s="68">
        <v>3508</v>
      </c>
      <c r="H42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14" spans="1:8" hidden="1" x14ac:dyDescent="0.3">
      <c r="A4214" t="s">
        <v>1345</v>
      </c>
      <c r="B4214" t="s">
        <v>1382</v>
      </c>
      <c r="C4214" t="s">
        <v>26</v>
      </c>
      <c r="D4214" s="68">
        <v>211</v>
      </c>
      <c r="E4214" s="68"/>
      <c r="F4214" s="68">
        <v>823</v>
      </c>
      <c r="G4214" s="68">
        <v>1034</v>
      </c>
      <c r="H42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15" spans="1:8" hidden="1" x14ac:dyDescent="0.3">
      <c r="A4215" t="s">
        <v>1345</v>
      </c>
      <c r="B4215" t="s">
        <v>1382</v>
      </c>
      <c r="C4215" t="s">
        <v>27</v>
      </c>
      <c r="D4215" s="68"/>
      <c r="E4215" s="68">
        <v>147</v>
      </c>
      <c r="F4215" s="68"/>
      <c r="G4215" s="68">
        <v>147</v>
      </c>
      <c r="H42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16" spans="1:8" hidden="1" x14ac:dyDescent="0.3">
      <c r="A4216" t="s">
        <v>1345</v>
      </c>
      <c r="B4216" t="s">
        <v>1382</v>
      </c>
      <c r="C4216" t="s">
        <v>5</v>
      </c>
      <c r="D4216" s="68">
        <v>7</v>
      </c>
      <c r="E4216" s="68"/>
      <c r="F4216" s="68">
        <v>4</v>
      </c>
      <c r="G4216" s="68">
        <v>11</v>
      </c>
      <c r="H42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17" spans="1:8" hidden="1" x14ac:dyDescent="0.3">
      <c r="A4217" t="s">
        <v>1345</v>
      </c>
      <c r="B4217" t="s">
        <v>1383</v>
      </c>
      <c r="C4217" t="s">
        <v>26</v>
      </c>
      <c r="D4217" s="68">
        <v>11737</v>
      </c>
      <c r="E4217" s="68"/>
      <c r="F4217" s="68">
        <v>84085</v>
      </c>
      <c r="G4217" s="68">
        <v>95822</v>
      </c>
      <c r="H42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18" spans="1:8" hidden="1" x14ac:dyDescent="0.3">
      <c r="A4218" t="s">
        <v>1345</v>
      </c>
      <c r="B4218" t="s">
        <v>1383</v>
      </c>
      <c r="C4218" t="s">
        <v>31</v>
      </c>
      <c r="D4218" s="68">
        <v>2392</v>
      </c>
      <c r="E4218" s="68"/>
      <c r="F4218" s="68">
        <v>37452</v>
      </c>
      <c r="G4218" s="68">
        <v>39844</v>
      </c>
      <c r="H42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19" spans="1:8" hidden="1" x14ac:dyDescent="0.3">
      <c r="A4219" t="s">
        <v>1345</v>
      </c>
      <c r="B4219" t="s">
        <v>1383</v>
      </c>
      <c r="C4219" t="s">
        <v>5</v>
      </c>
      <c r="D4219" s="68">
        <v>711</v>
      </c>
      <c r="E4219" s="68"/>
      <c r="F4219" s="68">
        <v>1152</v>
      </c>
      <c r="G4219" s="68">
        <v>1863</v>
      </c>
      <c r="H42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20" spans="1:8" hidden="1" x14ac:dyDescent="0.3">
      <c r="A4220" t="s">
        <v>1345</v>
      </c>
      <c r="B4220" t="s">
        <v>1383</v>
      </c>
      <c r="C4220" t="s">
        <v>27</v>
      </c>
      <c r="D4220" s="68"/>
      <c r="E4220" s="68">
        <v>660</v>
      </c>
      <c r="F4220" s="68"/>
      <c r="G4220" s="68">
        <v>660</v>
      </c>
      <c r="H42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21" spans="1:8" hidden="1" x14ac:dyDescent="0.3">
      <c r="A4221" t="s">
        <v>1345</v>
      </c>
      <c r="B4221" t="s">
        <v>1383</v>
      </c>
      <c r="C4221" t="s">
        <v>36</v>
      </c>
      <c r="D4221" s="68">
        <v>44</v>
      </c>
      <c r="E4221" s="68"/>
      <c r="F4221" s="68">
        <v>343</v>
      </c>
      <c r="G4221" s="68">
        <v>387</v>
      </c>
      <c r="H42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22" spans="1:8" hidden="1" x14ac:dyDescent="0.3">
      <c r="A4222" t="s">
        <v>1384</v>
      </c>
      <c r="B4222" t="s">
        <v>1299</v>
      </c>
      <c r="C4222" t="s">
        <v>40</v>
      </c>
      <c r="D4222" s="68">
        <v>190</v>
      </c>
      <c r="E4222" s="68"/>
      <c r="F4222" s="68">
        <v>2305</v>
      </c>
      <c r="G4222" s="68">
        <v>2495</v>
      </c>
      <c r="H42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23" spans="1:8" hidden="1" x14ac:dyDescent="0.3">
      <c r="A4223" t="s">
        <v>1384</v>
      </c>
      <c r="B4223" t="s">
        <v>1299</v>
      </c>
      <c r="C4223" t="s">
        <v>25</v>
      </c>
      <c r="D4223" s="68">
        <v>198</v>
      </c>
      <c r="E4223" s="68"/>
      <c r="F4223" s="68">
        <v>2001</v>
      </c>
      <c r="G4223" s="68">
        <v>2199</v>
      </c>
      <c r="H42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24" spans="1:8" hidden="1" x14ac:dyDescent="0.3">
      <c r="A4224" t="s">
        <v>1384</v>
      </c>
      <c r="B4224" t="s">
        <v>1299</v>
      </c>
      <c r="C4224" t="s">
        <v>26</v>
      </c>
      <c r="D4224" s="68">
        <v>420</v>
      </c>
      <c r="E4224" s="68"/>
      <c r="F4224" s="68">
        <v>132</v>
      </c>
      <c r="G4224" s="68">
        <v>552</v>
      </c>
      <c r="H42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25" spans="1:8" hidden="1" x14ac:dyDescent="0.3">
      <c r="A4225" t="s">
        <v>1384</v>
      </c>
      <c r="B4225" t="s">
        <v>1299</v>
      </c>
      <c r="C4225" t="s">
        <v>27</v>
      </c>
      <c r="D4225" s="68"/>
      <c r="E4225" s="68">
        <v>117</v>
      </c>
      <c r="F4225" s="68"/>
      <c r="G4225" s="68">
        <v>117</v>
      </c>
      <c r="H42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26" spans="1:8" hidden="1" x14ac:dyDescent="0.3">
      <c r="A4226" t="s">
        <v>1384</v>
      </c>
      <c r="B4226" t="s">
        <v>1385</v>
      </c>
      <c r="C4226" t="s">
        <v>40</v>
      </c>
      <c r="D4226" s="68">
        <v>2593</v>
      </c>
      <c r="E4226" s="68"/>
      <c r="F4226" s="68">
        <v>22076</v>
      </c>
      <c r="G4226" s="68">
        <v>24669</v>
      </c>
      <c r="H42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27" spans="1:8" hidden="1" x14ac:dyDescent="0.3">
      <c r="A4227" t="s">
        <v>1384</v>
      </c>
      <c r="B4227" t="s">
        <v>1385</v>
      </c>
      <c r="C4227" t="s">
        <v>26</v>
      </c>
      <c r="D4227" s="68">
        <v>13312</v>
      </c>
      <c r="E4227" s="68"/>
      <c r="F4227" s="68">
        <v>6904</v>
      </c>
      <c r="G4227" s="68">
        <v>20216</v>
      </c>
      <c r="H42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28" spans="1:8" hidden="1" x14ac:dyDescent="0.3">
      <c r="A4228" t="s">
        <v>1384</v>
      </c>
      <c r="B4228" t="s">
        <v>1385</v>
      </c>
      <c r="C4228" t="s">
        <v>25</v>
      </c>
      <c r="D4228" s="68">
        <v>838</v>
      </c>
      <c r="E4228" s="68"/>
      <c r="F4228" s="68">
        <v>8006</v>
      </c>
      <c r="G4228" s="68">
        <v>8844</v>
      </c>
      <c r="H42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29" spans="1:8" hidden="1" x14ac:dyDescent="0.3">
      <c r="A4229" t="s">
        <v>1384</v>
      </c>
      <c r="B4229" t="s">
        <v>1385</v>
      </c>
      <c r="C4229" t="s">
        <v>32</v>
      </c>
      <c r="D4229" s="68">
        <v>76</v>
      </c>
      <c r="E4229" s="68"/>
      <c r="F4229" s="68">
        <v>2858</v>
      </c>
      <c r="G4229" s="68">
        <v>2934</v>
      </c>
      <c r="H42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30" spans="1:8" hidden="1" x14ac:dyDescent="0.3">
      <c r="A4230" t="s">
        <v>1384</v>
      </c>
      <c r="B4230" t="s">
        <v>1385</v>
      </c>
      <c r="C4230" t="s">
        <v>27</v>
      </c>
      <c r="D4230" s="68"/>
      <c r="E4230" s="68">
        <v>2365</v>
      </c>
      <c r="F4230" s="68"/>
      <c r="G4230" s="68">
        <v>2365</v>
      </c>
      <c r="H42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31" spans="1:8" hidden="1" x14ac:dyDescent="0.3">
      <c r="A4231" t="s">
        <v>1384</v>
      </c>
      <c r="B4231" t="s">
        <v>1385</v>
      </c>
      <c r="C4231" t="s">
        <v>5</v>
      </c>
      <c r="D4231" s="68">
        <v>2</v>
      </c>
      <c r="E4231" s="68"/>
      <c r="F4231" s="68"/>
      <c r="G4231" s="68">
        <v>2</v>
      </c>
      <c r="H42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32" spans="1:8" hidden="1" x14ac:dyDescent="0.3">
      <c r="A4232" t="s">
        <v>1384</v>
      </c>
      <c r="B4232" t="s">
        <v>1386</v>
      </c>
      <c r="C4232" t="s">
        <v>40</v>
      </c>
      <c r="D4232" s="68">
        <v>1164</v>
      </c>
      <c r="E4232" s="68"/>
      <c r="F4232" s="68">
        <v>20342</v>
      </c>
      <c r="G4232" s="68">
        <v>21506</v>
      </c>
      <c r="H42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33" spans="1:8" hidden="1" x14ac:dyDescent="0.3">
      <c r="A4233" t="s">
        <v>1384</v>
      </c>
      <c r="B4233" t="s">
        <v>1386</v>
      </c>
      <c r="C4233" t="s">
        <v>26</v>
      </c>
      <c r="D4233" s="68">
        <v>4283</v>
      </c>
      <c r="E4233" s="68"/>
      <c r="F4233" s="68">
        <v>5331</v>
      </c>
      <c r="G4233" s="68">
        <v>9614</v>
      </c>
      <c r="H42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34" spans="1:8" hidden="1" x14ac:dyDescent="0.3">
      <c r="A4234" t="s">
        <v>1384</v>
      </c>
      <c r="B4234" t="s">
        <v>1386</v>
      </c>
      <c r="C4234" t="s">
        <v>25</v>
      </c>
      <c r="D4234" s="68">
        <v>449</v>
      </c>
      <c r="E4234" s="68"/>
      <c r="F4234" s="68">
        <v>8044</v>
      </c>
      <c r="G4234" s="68">
        <v>8493</v>
      </c>
      <c r="H42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35" spans="1:8" hidden="1" x14ac:dyDescent="0.3">
      <c r="A4235" t="s">
        <v>1384</v>
      </c>
      <c r="B4235" t="s">
        <v>1386</v>
      </c>
      <c r="C4235" t="s">
        <v>27</v>
      </c>
      <c r="D4235" s="68"/>
      <c r="E4235" s="68">
        <v>1649</v>
      </c>
      <c r="F4235" s="68"/>
      <c r="G4235" s="68">
        <v>1649</v>
      </c>
      <c r="H42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36" spans="1:8" hidden="1" x14ac:dyDescent="0.3">
      <c r="A4236" t="s">
        <v>1384</v>
      </c>
      <c r="B4236" t="s">
        <v>1386</v>
      </c>
      <c r="C4236" t="s">
        <v>31</v>
      </c>
      <c r="D4236" s="68"/>
      <c r="E4236" s="68"/>
      <c r="F4236" s="68">
        <v>1</v>
      </c>
      <c r="G4236" s="68">
        <v>1</v>
      </c>
      <c r="H42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37" spans="1:8" hidden="1" x14ac:dyDescent="0.3">
      <c r="A4237" t="s">
        <v>1384</v>
      </c>
      <c r="B4237" t="s">
        <v>1387</v>
      </c>
      <c r="C4237" t="s">
        <v>40</v>
      </c>
      <c r="D4237" s="68">
        <v>2071</v>
      </c>
      <c r="E4237" s="68"/>
      <c r="F4237" s="68">
        <v>31357</v>
      </c>
      <c r="G4237" s="68">
        <v>33428</v>
      </c>
      <c r="H42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38" spans="1:8" hidden="1" x14ac:dyDescent="0.3">
      <c r="A4238" t="s">
        <v>1384</v>
      </c>
      <c r="B4238" t="s">
        <v>1387</v>
      </c>
      <c r="C4238" t="s">
        <v>26</v>
      </c>
      <c r="D4238" s="68">
        <v>9764</v>
      </c>
      <c r="E4238" s="68"/>
      <c r="F4238" s="68">
        <v>13212</v>
      </c>
      <c r="G4238" s="68">
        <v>22976</v>
      </c>
      <c r="H42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39" spans="1:8" hidden="1" x14ac:dyDescent="0.3">
      <c r="A4239" t="s">
        <v>1384</v>
      </c>
      <c r="B4239" t="s">
        <v>1387</v>
      </c>
      <c r="C4239" t="s">
        <v>25</v>
      </c>
      <c r="D4239" s="68">
        <v>875</v>
      </c>
      <c r="E4239" s="68"/>
      <c r="F4239" s="68">
        <v>11695</v>
      </c>
      <c r="G4239" s="68">
        <v>12570</v>
      </c>
      <c r="H42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40" spans="1:8" hidden="1" x14ac:dyDescent="0.3">
      <c r="A4240" t="s">
        <v>1384</v>
      </c>
      <c r="B4240" t="s">
        <v>1387</v>
      </c>
      <c r="C4240" t="s">
        <v>32</v>
      </c>
      <c r="D4240" s="68">
        <v>27</v>
      </c>
      <c r="E4240" s="68"/>
      <c r="F4240" s="68">
        <v>1954</v>
      </c>
      <c r="G4240" s="68">
        <v>1981</v>
      </c>
      <c r="H42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41" spans="1:8" hidden="1" x14ac:dyDescent="0.3">
      <c r="A4241" t="s">
        <v>1384</v>
      </c>
      <c r="B4241" t="s">
        <v>1387</v>
      </c>
      <c r="C4241" t="s">
        <v>27</v>
      </c>
      <c r="D4241" s="68"/>
      <c r="E4241" s="68">
        <v>1562</v>
      </c>
      <c r="F4241" s="68"/>
      <c r="G4241" s="68">
        <v>1562</v>
      </c>
      <c r="H42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42" spans="1:8" hidden="1" x14ac:dyDescent="0.3">
      <c r="A4242" t="s">
        <v>1384</v>
      </c>
      <c r="B4242" t="s">
        <v>1388</v>
      </c>
      <c r="C4242" t="s">
        <v>40</v>
      </c>
      <c r="D4242" s="68">
        <v>373</v>
      </c>
      <c r="E4242" s="68"/>
      <c r="F4242" s="68">
        <v>9215</v>
      </c>
      <c r="G4242" s="68">
        <v>9588</v>
      </c>
      <c r="H42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43" spans="1:8" hidden="1" x14ac:dyDescent="0.3">
      <c r="A4243" t="s">
        <v>1384</v>
      </c>
      <c r="B4243" t="s">
        <v>1388</v>
      </c>
      <c r="C4243" t="s">
        <v>25</v>
      </c>
      <c r="D4243" s="68">
        <v>25</v>
      </c>
      <c r="E4243" s="68"/>
      <c r="F4243" s="68">
        <v>1826</v>
      </c>
      <c r="G4243" s="68">
        <v>1851</v>
      </c>
      <c r="H42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44" spans="1:8" hidden="1" x14ac:dyDescent="0.3">
      <c r="A4244" t="s">
        <v>1384</v>
      </c>
      <c r="B4244" t="s">
        <v>1388</v>
      </c>
      <c r="C4244" t="s">
        <v>26</v>
      </c>
      <c r="D4244" s="68">
        <v>685</v>
      </c>
      <c r="E4244" s="68"/>
      <c r="F4244" s="68">
        <v>948</v>
      </c>
      <c r="G4244" s="68">
        <v>1633</v>
      </c>
      <c r="H42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45" spans="1:8" hidden="1" x14ac:dyDescent="0.3">
      <c r="A4245" t="s">
        <v>1384</v>
      </c>
      <c r="B4245" t="s">
        <v>1388</v>
      </c>
      <c r="C4245" t="s">
        <v>27</v>
      </c>
      <c r="D4245" s="68"/>
      <c r="E4245" s="68">
        <v>302</v>
      </c>
      <c r="F4245" s="68"/>
      <c r="G4245" s="68">
        <v>302</v>
      </c>
      <c r="H42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46" spans="1:8" hidden="1" x14ac:dyDescent="0.3">
      <c r="A4246" t="s">
        <v>1384</v>
      </c>
      <c r="B4246" t="s">
        <v>1389</v>
      </c>
      <c r="C4246" t="s">
        <v>40</v>
      </c>
      <c r="D4246" s="68">
        <v>385</v>
      </c>
      <c r="E4246" s="68"/>
      <c r="F4246" s="68">
        <v>11253</v>
      </c>
      <c r="G4246" s="68">
        <v>11638</v>
      </c>
      <c r="H42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47" spans="1:8" hidden="1" x14ac:dyDescent="0.3">
      <c r="A4247" t="s">
        <v>1384</v>
      </c>
      <c r="B4247" t="s">
        <v>1389</v>
      </c>
      <c r="C4247" t="s">
        <v>25</v>
      </c>
      <c r="D4247" s="68">
        <v>160</v>
      </c>
      <c r="E4247" s="68"/>
      <c r="F4247" s="68">
        <v>2693</v>
      </c>
      <c r="G4247" s="68">
        <v>2853</v>
      </c>
      <c r="H42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48" spans="1:8" hidden="1" x14ac:dyDescent="0.3">
      <c r="A4248" t="s">
        <v>1384</v>
      </c>
      <c r="B4248" t="s">
        <v>1389</v>
      </c>
      <c r="C4248" t="s">
        <v>26</v>
      </c>
      <c r="D4248" s="68">
        <v>427</v>
      </c>
      <c r="E4248" s="68"/>
      <c r="F4248" s="68">
        <v>809</v>
      </c>
      <c r="G4248" s="68">
        <v>1236</v>
      </c>
      <c r="H42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49" spans="1:8" hidden="1" x14ac:dyDescent="0.3">
      <c r="A4249" t="s">
        <v>1384</v>
      </c>
      <c r="B4249" t="s">
        <v>1389</v>
      </c>
      <c r="C4249" t="s">
        <v>27</v>
      </c>
      <c r="D4249" s="68"/>
      <c r="E4249" s="68">
        <v>718</v>
      </c>
      <c r="F4249" s="68"/>
      <c r="G4249" s="68">
        <v>718</v>
      </c>
      <c r="H42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50" spans="1:8" hidden="1" x14ac:dyDescent="0.3">
      <c r="A4250" t="s">
        <v>1384</v>
      </c>
      <c r="B4250" t="s">
        <v>1390</v>
      </c>
      <c r="C4250" t="s">
        <v>40</v>
      </c>
      <c r="D4250" s="68">
        <v>358</v>
      </c>
      <c r="E4250" s="68"/>
      <c r="F4250" s="68">
        <v>12129</v>
      </c>
      <c r="G4250" s="68">
        <v>12487</v>
      </c>
      <c r="H42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51" spans="1:8" hidden="1" x14ac:dyDescent="0.3">
      <c r="A4251" t="s">
        <v>1384</v>
      </c>
      <c r="B4251" t="s">
        <v>1390</v>
      </c>
      <c r="C4251" t="s">
        <v>25</v>
      </c>
      <c r="D4251" s="68">
        <v>256</v>
      </c>
      <c r="E4251" s="68"/>
      <c r="F4251" s="68">
        <v>3720</v>
      </c>
      <c r="G4251" s="68">
        <v>3976</v>
      </c>
      <c r="H42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52" spans="1:8" hidden="1" x14ac:dyDescent="0.3">
      <c r="A4252" t="s">
        <v>1384</v>
      </c>
      <c r="B4252" t="s">
        <v>1390</v>
      </c>
      <c r="C4252" t="s">
        <v>26</v>
      </c>
      <c r="D4252" s="68">
        <v>707</v>
      </c>
      <c r="E4252" s="68"/>
      <c r="F4252" s="68">
        <v>1504</v>
      </c>
      <c r="G4252" s="68">
        <v>2211</v>
      </c>
      <c r="H42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53" spans="1:8" hidden="1" x14ac:dyDescent="0.3">
      <c r="A4253" t="s">
        <v>1384</v>
      </c>
      <c r="B4253" t="s">
        <v>1390</v>
      </c>
      <c r="C4253" t="s">
        <v>27</v>
      </c>
      <c r="D4253" s="68"/>
      <c r="E4253" s="68">
        <v>711</v>
      </c>
      <c r="F4253" s="68"/>
      <c r="G4253" s="68">
        <v>711</v>
      </c>
      <c r="H42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54" spans="1:8" hidden="1" x14ac:dyDescent="0.3">
      <c r="A4254" t="s">
        <v>1384</v>
      </c>
      <c r="B4254" t="s">
        <v>1390</v>
      </c>
      <c r="C4254" t="s">
        <v>5</v>
      </c>
      <c r="D4254" s="68">
        <v>1</v>
      </c>
      <c r="E4254" s="68"/>
      <c r="F4254" s="68"/>
      <c r="G4254" s="68">
        <v>1</v>
      </c>
      <c r="H42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55" spans="1:8" hidden="1" x14ac:dyDescent="0.3">
      <c r="A4255" t="s">
        <v>1384</v>
      </c>
      <c r="B4255" t="s">
        <v>643</v>
      </c>
      <c r="C4255" t="s">
        <v>40</v>
      </c>
      <c r="D4255" s="68">
        <v>397</v>
      </c>
      <c r="E4255" s="68"/>
      <c r="F4255" s="68">
        <v>4255</v>
      </c>
      <c r="G4255" s="68">
        <v>4652</v>
      </c>
      <c r="H42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56" spans="1:8" hidden="1" x14ac:dyDescent="0.3">
      <c r="A4256" t="s">
        <v>1384</v>
      </c>
      <c r="B4256" t="s">
        <v>643</v>
      </c>
      <c r="C4256" t="s">
        <v>26</v>
      </c>
      <c r="D4256" s="68">
        <v>305</v>
      </c>
      <c r="E4256" s="68"/>
      <c r="F4256" s="68">
        <v>155</v>
      </c>
      <c r="G4256" s="68">
        <v>460</v>
      </c>
      <c r="H42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57" spans="1:8" hidden="1" x14ac:dyDescent="0.3">
      <c r="A4257" t="s">
        <v>1384</v>
      </c>
      <c r="B4257" t="s">
        <v>643</v>
      </c>
      <c r="C4257" t="s">
        <v>27</v>
      </c>
      <c r="D4257" s="68"/>
      <c r="E4257" s="68">
        <v>123</v>
      </c>
      <c r="F4257" s="68"/>
      <c r="G4257" s="68">
        <v>123</v>
      </c>
      <c r="H42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58" spans="1:8" hidden="1" x14ac:dyDescent="0.3">
      <c r="A4258" t="s">
        <v>1384</v>
      </c>
      <c r="B4258" t="s">
        <v>1391</v>
      </c>
      <c r="C4258" t="s">
        <v>40</v>
      </c>
      <c r="D4258" s="68">
        <v>515</v>
      </c>
      <c r="E4258" s="68"/>
      <c r="F4258" s="68">
        <v>13230</v>
      </c>
      <c r="G4258" s="68">
        <v>13745</v>
      </c>
      <c r="H42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59" spans="1:8" hidden="1" x14ac:dyDescent="0.3">
      <c r="A4259" t="s">
        <v>1384</v>
      </c>
      <c r="B4259" t="s">
        <v>1391</v>
      </c>
      <c r="C4259" t="s">
        <v>25</v>
      </c>
      <c r="D4259" s="68">
        <v>311</v>
      </c>
      <c r="E4259" s="68"/>
      <c r="F4259" s="68">
        <v>4809</v>
      </c>
      <c r="G4259" s="68">
        <v>5120</v>
      </c>
      <c r="H42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60" spans="1:8" hidden="1" x14ac:dyDescent="0.3">
      <c r="A4260" t="s">
        <v>1384</v>
      </c>
      <c r="B4260" t="s">
        <v>1391</v>
      </c>
      <c r="C4260" t="s">
        <v>26</v>
      </c>
      <c r="D4260" s="68">
        <v>456</v>
      </c>
      <c r="E4260" s="68"/>
      <c r="F4260" s="68">
        <v>1019</v>
      </c>
      <c r="G4260" s="68">
        <v>1475</v>
      </c>
      <c r="H42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61" spans="1:8" hidden="1" x14ac:dyDescent="0.3">
      <c r="A4261" t="s">
        <v>1384</v>
      </c>
      <c r="B4261" t="s">
        <v>1391</v>
      </c>
      <c r="C4261" t="s">
        <v>27</v>
      </c>
      <c r="D4261" s="68"/>
      <c r="E4261" s="68">
        <v>452</v>
      </c>
      <c r="F4261" s="68"/>
      <c r="G4261" s="68">
        <v>452</v>
      </c>
      <c r="H42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62" spans="1:8" hidden="1" x14ac:dyDescent="0.3">
      <c r="A4262" t="s">
        <v>1384</v>
      </c>
      <c r="B4262" t="s">
        <v>1377</v>
      </c>
      <c r="C4262" t="s">
        <v>25</v>
      </c>
      <c r="D4262" s="68">
        <v>297</v>
      </c>
      <c r="E4262" s="68"/>
      <c r="F4262" s="68">
        <v>4242</v>
      </c>
      <c r="G4262" s="68">
        <v>4539</v>
      </c>
      <c r="H42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63" spans="1:8" hidden="1" x14ac:dyDescent="0.3">
      <c r="A4263" t="s">
        <v>1384</v>
      </c>
      <c r="B4263" t="s">
        <v>1377</v>
      </c>
      <c r="C4263" t="s">
        <v>40</v>
      </c>
      <c r="D4263" s="68">
        <v>199</v>
      </c>
      <c r="E4263" s="68"/>
      <c r="F4263" s="68">
        <v>2449</v>
      </c>
      <c r="G4263" s="68">
        <v>2648</v>
      </c>
      <c r="H42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64" spans="1:8" hidden="1" x14ac:dyDescent="0.3">
      <c r="A4264" t="s">
        <v>1384</v>
      </c>
      <c r="B4264" t="s">
        <v>1377</v>
      </c>
      <c r="C4264" t="s">
        <v>26</v>
      </c>
      <c r="D4264" s="68">
        <v>243</v>
      </c>
      <c r="E4264" s="68"/>
      <c r="F4264" s="68">
        <v>117</v>
      </c>
      <c r="G4264" s="68">
        <v>360</v>
      </c>
      <c r="H42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65" spans="1:8" hidden="1" x14ac:dyDescent="0.3">
      <c r="A4265" t="s">
        <v>1384</v>
      </c>
      <c r="B4265" t="s">
        <v>1377</v>
      </c>
      <c r="C4265" t="s">
        <v>27</v>
      </c>
      <c r="D4265" s="68"/>
      <c r="E4265" s="68">
        <v>85</v>
      </c>
      <c r="F4265" s="68"/>
      <c r="G4265" s="68">
        <v>85</v>
      </c>
      <c r="H42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66" spans="1:8" hidden="1" x14ac:dyDescent="0.3">
      <c r="A4266" t="s">
        <v>1384</v>
      </c>
      <c r="B4266" t="s">
        <v>1392</v>
      </c>
      <c r="C4266" t="s">
        <v>40</v>
      </c>
      <c r="D4266" s="68">
        <v>477</v>
      </c>
      <c r="E4266" s="68"/>
      <c r="F4266" s="68">
        <v>6205</v>
      </c>
      <c r="G4266" s="68">
        <v>6682</v>
      </c>
      <c r="H42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67" spans="1:8" hidden="1" x14ac:dyDescent="0.3">
      <c r="A4267" t="s">
        <v>1384</v>
      </c>
      <c r="B4267" t="s">
        <v>1392</v>
      </c>
      <c r="C4267" t="s">
        <v>25</v>
      </c>
      <c r="D4267" s="68">
        <v>366</v>
      </c>
      <c r="E4267" s="68"/>
      <c r="F4267" s="68">
        <v>4503</v>
      </c>
      <c r="G4267" s="68">
        <v>4869</v>
      </c>
      <c r="H42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68" spans="1:8" hidden="1" x14ac:dyDescent="0.3">
      <c r="A4268" t="s">
        <v>1384</v>
      </c>
      <c r="B4268" t="s">
        <v>1392</v>
      </c>
      <c r="C4268" t="s">
        <v>26</v>
      </c>
      <c r="D4268" s="68">
        <v>1268</v>
      </c>
      <c r="E4268" s="68"/>
      <c r="F4268" s="68">
        <v>678</v>
      </c>
      <c r="G4268" s="68">
        <v>1946</v>
      </c>
      <c r="H42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69" spans="1:8" hidden="1" x14ac:dyDescent="0.3">
      <c r="A4269" t="s">
        <v>1384</v>
      </c>
      <c r="B4269" t="s">
        <v>1392</v>
      </c>
      <c r="C4269" t="s">
        <v>27</v>
      </c>
      <c r="D4269" s="68"/>
      <c r="E4269" s="68">
        <v>603</v>
      </c>
      <c r="F4269" s="68"/>
      <c r="G4269" s="68">
        <v>603</v>
      </c>
      <c r="H42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70" spans="1:8" hidden="1" x14ac:dyDescent="0.3">
      <c r="A4270" t="s">
        <v>1384</v>
      </c>
      <c r="B4270" t="s">
        <v>1393</v>
      </c>
      <c r="C4270" t="s">
        <v>40</v>
      </c>
      <c r="D4270" s="68">
        <v>920</v>
      </c>
      <c r="E4270" s="68"/>
      <c r="F4270" s="68">
        <v>24182</v>
      </c>
      <c r="G4270" s="68">
        <v>25102</v>
      </c>
      <c r="H42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71" spans="1:8" hidden="1" x14ac:dyDescent="0.3">
      <c r="A4271" t="s">
        <v>1384</v>
      </c>
      <c r="B4271" t="s">
        <v>1393</v>
      </c>
      <c r="C4271" t="s">
        <v>26</v>
      </c>
      <c r="D4271" s="68">
        <v>2706</v>
      </c>
      <c r="E4271" s="68"/>
      <c r="F4271" s="68">
        <v>5921</v>
      </c>
      <c r="G4271" s="68">
        <v>8627</v>
      </c>
      <c r="H42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72" spans="1:8" hidden="1" x14ac:dyDescent="0.3">
      <c r="A4272" t="s">
        <v>1384</v>
      </c>
      <c r="B4272" t="s">
        <v>1393</v>
      </c>
      <c r="C4272" t="s">
        <v>25</v>
      </c>
      <c r="D4272" s="68">
        <v>297</v>
      </c>
      <c r="E4272" s="68"/>
      <c r="F4272" s="68">
        <v>5534</v>
      </c>
      <c r="G4272" s="68">
        <v>5831</v>
      </c>
      <c r="H42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73" spans="1:8" hidden="1" x14ac:dyDescent="0.3">
      <c r="A4273" t="s">
        <v>1384</v>
      </c>
      <c r="B4273" t="s">
        <v>1393</v>
      </c>
      <c r="C4273" t="s">
        <v>27</v>
      </c>
      <c r="D4273" s="68"/>
      <c r="E4273" s="68">
        <v>1001</v>
      </c>
      <c r="F4273" s="68"/>
      <c r="G4273" s="68">
        <v>1001</v>
      </c>
      <c r="H42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74" spans="1:8" hidden="1" x14ac:dyDescent="0.3">
      <c r="A4274" t="s">
        <v>1384</v>
      </c>
      <c r="B4274" t="s">
        <v>1394</v>
      </c>
      <c r="C4274" t="s">
        <v>40</v>
      </c>
      <c r="D4274" s="68">
        <v>927</v>
      </c>
      <c r="E4274" s="68"/>
      <c r="F4274" s="68">
        <v>13627</v>
      </c>
      <c r="G4274" s="68">
        <v>14554</v>
      </c>
      <c r="H42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75" spans="1:8" hidden="1" x14ac:dyDescent="0.3">
      <c r="A4275" t="s">
        <v>1384</v>
      </c>
      <c r="B4275" t="s">
        <v>1394</v>
      </c>
      <c r="C4275" t="s">
        <v>26</v>
      </c>
      <c r="D4275" s="68">
        <v>3274</v>
      </c>
      <c r="E4275" s="68"/>
      <c r="F4275" s="68">
        <v>3200</v>
      </c>
      <c r="G4275" s="68">
        <v>6474</v>
      </c>
      <c r="H42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76" spans="1:8" hidden="1" x14ac:dyDescent="0.3">
      <c r="A4276" t="s">
        <v>1384</v>
      </c>
      <c r="B4276" t="s">
        <v>1394</v>
      </c>
      <c r="C4276" t="s">
        <v>25</v>
      </c>
      <c r="D4276" s="68">
        <v>496</v>
      </c>
      <c r="E4276" s="68"/>
      <c r="F4276" s="68">
        <v>5024</v>
      </c>
      <c r="G4276" s="68">
        <v>5520</v>
      </c>
      <c r="H42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77" spans="1:8" hidden="1" x14ac:dyDescent="0.3">
      <c r="A4277" t="s">
        <v>1384</v>
      </c>
      <c r="B4277" t="s">
        <v>1394</v>
      </c>
      <c r="C4277" t="s">
        <v>27</v>
      </c>
      <c r="D4277" s="68"/>
      <c r="E4277" s="68">
        <v>593</v>
      </c>
      <c r="F4277" s="68"/>
      <c r="G4277" s="68">
        <v>593</v>
      </c>
      <c r="H42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78" spans="1:8" hidden="1" x14ac:dyDescent="0.3">
      <c r="A4278" t="s">
        <v>1395</v>
      </c>
      <c r="B4278" t="s">
        <v>565</v>
      </c>
      <c r="C4278" t="s">
        <v>34</v>
      </c>
      <c r="D4278" s="68">
        <v>81462</v>
      </c>
      <c r="E4278" s="68"/>
      <c r="F4278" s="68">
        <v>20494</v>
      </c>
      <c r="G4278" s="68">
        <v>101956</v>
      </c>
      <c r="H42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79" spans="1:8" hidden="1" x14ac:dyDescent="0.3">
      <c r="A4279" t="s">
        <v>1395</v>
      </c>
      <c r="B4279" t="s">
        <v>565</v>
      </c>
      <c r="C4279" t="s">
        <v>26</v>
      </c>
      <c r="D4279" s="68">
        <v>44152</v>
      </c>
      <c r="E4279" s="68"/>
      <c r="F4279" s="68">
        <v>55091</v>
      </c>
      <c r="G4279" s="68">
        <v>99243</v>
      </c>
      <c r="H42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80" spans="1:8" hidden="1" x14ac:dyDescent="0.3">
      <c r="A4280" t="s">
        <v>1395</v>
      </c>
      <c r="B4280" t="s">
        <v>565</v>
      </c>
      <c r="C4280" t="s">
        <v>5</v>
      </c>
      <c r="D4280" s="68">
        <v>63725</v>
      </c>
      <c r="E4280" s="68"/>
      <c r="F4280" s="68">
        <v>12959</v>
      </c>
      <c r="G4280" s="68">
        <v>76684</v>
      </c>
      <c r="H42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81" spans="1:8" hidden="1" x14ac:dyDescent="0.3">
      <c r="A4281" t="s">
        <v>1395</v>
      </c>
      <c r="B4281" t="s">
        <v>565</v>
      </c>
      <c r="C4281" t="s">
        <v>36</v>
      </c>
      <c r="D4281" s="68">
        <v>28051</v>
      </c>
      <c r="E4281" s="68"/>
      <c r="F4281" s="68">
        <v>12103</v>
      </c>
      <c r="G4281" s="68">
        <v>40154</v>
      </c>
      <c r="H42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82" spans="1:8" hidden="1" x14ac:dyDescent="0.3">
      <c r="A4282" t="s">
        <v>1395</v>
      </c>
      <c r="B4282" t="s">
        <v>565</v>
      </c>
      <c r="C4282" t="s">
        <v>38</v>
      </c>
      <c r="D4282" s="68">
        <v>1726</v>
      </c>
      <c r="E4282" s="68"/>
      <c r="F4282" s="68">
        <v>25333</v>
      </c>
      <c r="G4282" s="68">
        <v>27059</v>
      </c>
      <c r="H42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83" spans="1:8" hidden="1" x14ac:dyDescent="0.3">
      <c r="A4283" t="s">
        <v>1395</v>
      </c>
      <c r="B4283" t="s">
        <v>565</v>
      </c>
      <c r="C4283" t="s">
        <v>33</v>
      </c>
      <c r="D4283" s="68">
        <v>8193</v>
      </c>
      <c r="E4283" s="68"/>
      <c r="F4283" s="68">
        <v>3324</v>
      </c>
      <c r="G4283" s="68">
        <v>11517</v>
      </c>
      <c r="H42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84" spans="1:8" hidden="1" x14ac:dyDescent="0.3">
      <c r="A4284" t="s">
        <v>1395</v>
      </c>
      <c r="B4284" t="s">
        <v>565</v>
      </c>
      <c r="C4284" t="s">
        <v>27</v>
      </c>
      <c r="D4284" s="68"/>
      <c r="E4284" s="68">
        <v>9392</v>
      </c>
      <c r="F4284" s="68"/>
      <c r="G4284" s="68">
        <v>9392</v>
      </c>
      <c r="H42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85" spans="1:8" hidden="1" x14ac:dyDescent="0.3">
      <c r="A4285" t="s">
        <v>1395</v>
      </c>
      <c r="B4285" t="s">
        <v>565</v>
      </c>
      <c r="C4285" t="s">
        <v>37</v>
      </c>
      <c r="D4285" s="68">
        <v>2758</v>
      </c>
      <c r="E4285" s="68"/>
      <c r="F4285" s="68">
        <v>3896</v>
      </c>
      <c r="G4285" s="68">
        <v>6654</v>
      </c>
      <c r="H42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86" spans="1:8" hidden="1" x14ac:dyDescent="0.3">
      <c r="A4286" t="s">
        <v>1395</v>
      </c>
      <c r="B4286" t="s">
        <v>565</v>
      </c>
      <c r="C4286" t="s">
        <v>35</v>
      </c>
      <c r="D4286" s="68">
        <v>207</v>
      </c>
      <c r="E4286" s="68"/>
      <c r="F4286" s="68"/>
      <c r="G4286" s="68">
        <v>207</v>
      </c>
      <c r="H42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87" spans="1:8" hidden="1" x14ac:dyDescent="0.3">
      <c r="A4287" t="s">
        <v>1395</v>
      </c>
      <c r="B4287" t="s">
        <v>565</v>
      </c>
      <c r="C4287" t="s">
        <v>31</v>
      </c>
      <c r="D4287" s="68">
        <v>1</v>
      </c>
      <c r="E4287" s="68"/>
      <c r="F4287" s="68"/>
      <c r="G4287" s="68">
        <v>1</v>
      </c>
      <c r="H42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88" spans="1:8" hidden="1" x14ac:dyDescent="0.3">
      <c r="A4288" t="s">
        <v>1395</v>
      </c>
      <c r="B4288" t="s">
        <v>767</v>
      </c>
      <c r="C4288" t="s">
        <v>34</v>
      </c>
      <c r="D4288" s="68">
        <v>229</v>
      </c>
      <c r="E4288" s="68"/>
      <c r="F4288" s="68">
        <v>869</v>
      </c>
      <c r="G4288" s="68">
        <v>1098</v>
      </c>
      <c r="H42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89" spans="1:8" hidden="1" x14ac:dyDescent="0.3">
      <c r="A4289" t="s">
        <v>1395</v>
      </c>
      <c r="B4289" t="s">
        <v>767</v>
      </c>
      <c r="C4289" t="s">
        <v>26</v>
      </c>
      <c r="D4289" s="68">
        <v>229</v>
      </c>
      <c r="E4289" s="68"/>
      <c r="F4289" s="68">
        <v>695</v>
      </c>
      <c r="G4289" s="68">
        <v>924</v>
      </c>
      <c r="H42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90" spans="1:8" hidden="1" x14ac:dyDescent="0.3">
      <c r="A4290" t="s">
        <v>1395</v>
      </c>
      <c r="B4290" t="s">
        <v>767</v>
      </c>
      <c r="C4290" t="s">
        <v>33</v>
      </c>
      <c r="D4290" s="68">
        <v>47</v>
      </c>
      <c r="E4290" s="68"/>
      <c r="F4290" s="68">
        <v>12</v>
      </c>
      <c r="G4290" s="68">
        <v>59</v>
      </c>
      <c r="H42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91" spans="1:8" hidden="1" x14ac:dyDescent="0.3">
      <c r="A4291" t="s">
        <v>1395</v>
      </c>
      <c r="B4291" t="s">
        <v>767</v>
      </c>
      <c r="C4291" t="s">
        <v>27</v>
      </c>
      <c r="D4291" s="68"/>
      <c r="E4291" s="68">
        <v>36</v>
      </c>
      <c r="F4291" s="68"/>
      <c r="G4291" s="68">
        <v>36</v>
      </c>
      <c r="H42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92" spans="1:8" hidden="1" x14ac:dyDescent="0.3">
      <c r="A4292" t="s">
        <v>1395</v>
      </c>
      <c r="B4292" t="s">
        <v>767</v>
      </c>
      <c r="C4292" t="s">
        <v>36</v>
      </c>
      <c r="D4292" s="68">
        <v>11</v>
      </c>
      <c r="E4292" s="68"/>
      <c r="F4292" s="68">
        <v>5</v>
      </c>
      <c r="G4292" s="68">
        <v>16</v>
      </c>
      <c r="H42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93" spans="1:8" hidden="1" x14ac:dyDescent="0.3">
      <c r="A4293" t="s">
        <v>1395</v>
      </c>
      <c r="B4293" t="s">
        <v>1396</v>
      </c>
      <c r="C4293" t="s">
        <v>26</v>
      </c>
      <c r="D4293" s="68">
        <v>11641</v>
      </c>
      <c r="E4293" s="68"/>
      <c r="F4293" s="68">
        <v>20760</v>
      </c>
      <c r="G4293" s="68">
        <v>32401</v>
      </c>
      <c r="H42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94" spans="1:8" hidden="1" x14ac:dyDescent="0.3">
      <c r="A4294" t="s">
        <v>1395</v>
      </c>
      <c r="B4294" t="s">
        <v>1396</v>
      </c>
      <c r="C4294" t="s">
        <v>38</v>
      </c>
      <c r="D4294" s="68">
        <v>625</v>
      </c>
      <c r="E4294" s="68"/>
      <c r="F4294" s="68">
        <v>7356</v>
      </c>
      <c r="G4294" s="68">
        <v>7981</v>
      </c>
      <c r="H42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95" spans="1:8" hidden="1" x14ac:dyDescent="0.3">
      <c r="A4295" t="s">
        <v>1395</v>
      </c>
      <c r="B4295" t="s">
        <v>1396</v>
      </c>
      <c r="C4295" t="s">
        <v>5</v>
      </c>
      <c r="D4295" s="68">
        <v>3837</v>
      </c>
      <c r="E4295" s="68"/>
      <c r="F4295" s="68">
        <v>2674</v>
      </c>
      <c r="G4295" s="68">
        <v>6511</v>
      </c>
      <c r="H42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96" spans="1:8" hidden="1" x14ac:dyDescent="0.3">
      <c r="A4296" t="s">
        <v>1395</v>
      </c>
      <c r="B4296" t="s">
        <v>1396</v>
      </c>
      <c r="C4296" t="s">
        <v>34</v>
      </c>
      <c r="D4296" s="68">
        <v>2553</v>
      </c>
      <c r="E4296" s="68"/>
      <c r="F4296" s="68">
        <v>1979</v>
      </c>
      <c r="G4296" s="68">
        <v>4532</v>
      </c>
      <c r="H42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97" spans="1:8" hidden="1" x14ac:dyDescent="0.3">
      <c r="A4297" t="s">
        <v>1395</v>
      </c>
      <c r="B4297" t="s">
        <v>1396</v>
      </c>
      <c r="C4297" t="s">
        <v>36</v>
      </c>
      <c r="D4297" s="68">
        <v>1117</v>
      </c>
      <c r="E4297" s="68"/>
      <c r="F4297" s="68">
        <v>1224</v>
      </c>
      <c r="G4297" s="68">
        <v>2341</v>
      </c>
      <c r="H42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98" spans="1:8" hidden="1" x14ac:dyDescent="0.3">
      <c r="A4298" t="s">
        <v>1395</v>
      </c>
      <c r="B4298" t="s">
        <v>1396</v>
      </c>
      <c r="C4298" t="s">
        <v>33</v>
      </c>
      <c r="D4298" s="68">
        <v>1168</v>
      </c>
      <c r="E4298" s="68"/>
      <c r="F4298" s="68">
        <v>600</v>
      </c>
      <c r="G4298" s="68">
        <v>1768</v>
      </c>
      <c r="H42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299" spans="1:8" hidden="1" x14ac:dyDescent="0.3">
      <c r="A4299" t="s">
        <v>1395</v>
      </c>
      <c r="B4299" t="s">
        <v>1396</v>
      </c>
      <c r="C4299" t="s">
        <v>27</v>
      </c>
      <c r="D4299" s="68"/>
      <c r="E4299" s="68">
        <v>974</v>
      </c>
      <c r="F4299" s="68"/>
      <c r="G4299" s="68">
        <v>974</v>
      </c>
      <c r="H42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00" spans="1:8" hidden="1" x14ac:dyDescent="0.3">
      <c r="A4300" t="s">
        <v>1395</v>
      </c>
      <c r="B4300" t="s">
        <v>1397</v>
      </c>
      <c r="C4300" t="s">
        <v>26</v>
      </c>
      <c r="D4300" s="68">
        <v>4583</v>
      </c>
      <c r="E4300" s="68"/>
      <c r="F4300" s="68">
        <v>7111</v>
      </c>
      <c r="G4300" s="68">
        <v>11694</v>
      </c>
      <c r="H43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01" spans="1:8" hidden="1" x14ac:dyDescent="0.3">
      <c r="A4301" t="s">
        <v>1395</v>
      </c>
      <c r="B4301" t="s">
        <v>1397</v>
      </c>
      <c r="C4301" t="s">
        <v>34</v>
      </c>
      <c r="D4301" s="68">
        <v>1227</v>
      </c>
      <c r="E4301" s="68"/>
      <c r="F4301" s="68">
        <v>3692</v>
      </c>
      <c r="G4301" s="68">
        <v>4919</v>
      </c>
      <c r="H43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02" spans="1:8" hidden="1" x14ac:dyDescent="0.3">
      <c r="A4302" t="s">
        <v>1395</v>
      </c>
      <c r="B4302" t="s">
        <v>1397</v>
      </c>
      <c r="C4302" t="s">
        <v>38</v>
      </c>
      <c r="D4302" s="68">
        <v>311</v>
      </c>
      <c r="E4302" s="68"/>
      <c r="F4302" s="68">
        <v>2899</v>
      </c>
      <c r="G4302" s="68">
        <v>3210</v>
      </c>
      <c r="H43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03" spans="1:8" hidden="1" x14ac:dyDescent="0.3">
      <c r="A4303" t="s">
        <v>1395</v>
      </c>
      <c r="B4303" t="s">
        <v>1397</v>
      </c>
      <c r="C4303" t="s">
        <v>33</v>
      </c>
      <c r="D4303" s="68">
        <v>429</v>
      </c>
      <c r="E4303" s="68"/>
      <c r="F4303" s="68">
        <v>278</v>
      </c>
      <c r="G4303" s="68">
        <v>707</v>
      </c>
      <c r="H43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04" spans="1:8" hidden="1" x14ac:dyDescent="0.3">
      <c r="A4304" t="s">
        <v>1395</v>
      </c>
      <c r="B4304" t="s">
        <v>1397</v>
      </c>
      <c r="C4304" t="s">
        <v>27</v>
      </c>
      <c r="D4304" s="68"/>
      <c r="E4304" s="68">
        <v>283</v>
      </c>
      <c r="F4304" s="68"/>
      <c r="G4304" s="68">
        <v>283</v>
      </c>
      <c r="H43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05" spans="1:8" hidden="1" x14ac:dyDescent="0.3">
      <c r="A4305" t="s">
        <v>1395</v>
      </c>
      <c r="B4305" t="s">
        <v>1397</v>
      </c>
      <c r="C4305" t="s">
        <v>36</v>
      </c>
      <c r="D4305" s="68">
        <v>56</v>
      </c>
      <c r="E4305" s="68"/>
      <c r="F4305" s="68">
        <v>21</v>
      </c>
      <c r="G4305" s="68">
        <v>77</v>
      </c>
      <c r="H43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06" spans="1:8" hidden="1" x14ac:dyDescent="0.3">
      <c r="A4306" t="s">
        <v>1395</v>
      </c>
      <c r="B4306" t="s">
        <v>1397</v>
      </c>
      <c r="C4306" t="s">
        <v>5</v>
      </c>
      <c r="D4306" s="68">
        <v>13</v>
      </c>
      <c r="E4306" s="68"/>
      <c r="F4306" s="68"/>
      <c r="G4306" s="68">
        <v>13</v>
      </c>
      <c r="H43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07" spans="1:8" hidden="1" x14ac:dyDescent="0.3">
      <c r="A4307" t="s">
        <v>1395</v>
      </c>
      <c r="B4307" t="s">
        <v>724</v>
      </c>
      <c r="C4307" t="s">
        <v>26</v>
      </c>
      <c r="D4307" s="68">
        <v>548</v>
      </c>
      <c r="E4307" s="68"/>
      <c r="F4307" s="68">
        <v>2012</v>
      </c>
      <c r="G4307" s="68">
        <v>2560</v>
      </c>
      <c r="H43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08" spans="1:8" hidden="1" x14ac:dyDescent="0.3">
      <c r="A4308" t="s">
        <v>1395</v>
      </c>
      <c r="B4308" t="s">
        <v>724</v>
      </c>
      <c r="C4308" t="s">
        <v>34</v>
      </c>
      <c r="D4308" s="68">
        <v>231</v>
      </c>
      <c r="E4308" s="68"/>
      <c r="F4308" s="68">
        <v>1819</v>
      </c>
      <c r="G4308" s="68">
        <v>2050</v>
      </c>
      <c r="H43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09" spans="1:8" hidden="1" x14ac:dyDescent="0.3">
      <c r="A4309" t="s">
        <v>1395</v>
      </c>
      <c r="B4309" t="s">
        <v>724</v>
      </c>
      <c r="C4309" t="s">
        <v>33</v>
      </c>
      <c r="D4309" s="68">
        <v>101</v>
      </c>
      <c r="E4309" s="68"/>
      <c r="F4309" s="68">
        <v>59</v>
      </c>
      <c r="G4309" s="68">
        <v>160</v>
      </c>
      <c r="H43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10" spans="1:8" hidden="1" x14ac:dyDescent="0.3">
      <c r="A4310" t="s">
        <v>1395</v>
      </c>
      <c r="B4310" t="s">
        <v>724</v>
      </c>
      <c r="C4310" t="s">
        <v>27</v>
      </c>
      <c r="D4310" s="68"/>
      <c r="E4310" s="68">
        <v>54</v>
      </c>
      <c r="F4310" s="68"/>
      <c r="G4310" s="68">
        <v>54</v>
      </c>
      <c r="H43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11" spans="1:8" hidden="1" x14ac:dyDescent="0.3">
      <c r="A4311" t="s">
        <v>1395</v>
      </c>
      <c r="B4311" t="s">
        <v>724</v>
      </c>
      <c r="C4311" t="s">
        <v>36</v>
      </c>
      <c r="D4311" s="68">
        <v>10</v>
      </c>
      <c r="E4311" s="68"/>
      <c r="F4311" s="68">
        <v>6</v>
      </c>
      <c r="G4311" s="68">
        <v>16</v>
      </c>
      <c r="H43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12" spans="1:8" hidden="1" x14ac:dyDescent="0.3">
      <c r="A4312" t="s">
        <v>1395</v>
      </c>
      <c r="B4312" t="s">
        <v>1398</v>
      </c>
      <c r="C4312" t="s">
        <v>26</v>
      </c>
      <c r="D4312" s="68">
        <v>1554</v>
      </c>
      <c r="E4312" s="68"/>
      <c r="F4312" s="68">
        <v>2846</v>
      </c>
      <c r="G4312" s="68">
        <v>4400</v>
      </c>
      <c r="H43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13" spans="1:8" hidden="1" x14ac:dyDescent="0.3">
      <c r="A4313" t="s">
        <v>1395</v>
      </c>
      <c r="B4313" t="s">
        <v>1398</v>
      </c>
      <c r="C4313" t="s">
        <v>34</v>
      </c>
      <c r="D4313" s="68">
        <v>543</v>
      </c>
      <c r="E4313" s="68"/>
      <c r="F4313" s="68">
        <v>1455</v>
      </c>
      <c r="G4313" s="68">
        <v>1998</v>
      </c>
      <c r="H43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14" spans="1:8" hidden="1" x14ac:dyDescent="0.3">
      <c r="A4314" t="s">
        <v>1395</v>
      </c>
      <c r="B4314" t="s">
        <v>1398</v>
      </c>
      <c r="C4314" t="s">
        <v>38</v>
      </c>
      <c r="D4314" s="68">
        <v>183</v>
      </c>
      <c r="E4314" s="68"/>
      <c r="F4314" s="68">
        <v>1758</v>
      </c>
      <c r="G4314" s="68">
        <v>1941</v>
      </c>
      <c r="H43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15" spans="1:8" hidden="1" x14ac:dyDescent="0.3">
      <c r="A4315" t="s">
        <v>1395</v>
      </c>
      <c r="B4315" t="s">
        <v>1398</v>
      </c>
      <c r="C4315" t="s">
        <v>5</v>
      </c>
      <c r="D4315" s="68">
        <v>528</v>
      </c>
      <c r="E4315" s="68"/>
      <c r="F4315" s="68">
        <v>1325</v>
      </c>
      <c r="G4315" s="68">
        <v>1853</v>
      </c>
      <c r="H43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16" spans="1:8" hidden="1" x14ac:dyDescent="0.3">
      <c r="A4316" t="s">
        <v>1395</v>
      </c>
      <c r="B4316" t="s">
        <v>1398</v>
      </c>
      <c r="C4316" t="s">
        <v>33</v>
      </c>
      <c r="D4316" s="68">
        <v>200</v>
      </c>
      <c r="E4316" s="68"/>
      <c r="F4316" s="68">
        <v>118</v>
      </c>
      <c r="G4316" s="68">
        <v>318</v>
      </c>
      <c r="H43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17" spans="1:8" hidden="1" x14ac:dyDescent="0.3">
      <c r="A4317" t="s">
        <v>1395</v>
      </c>
      <c r="B4317" t="s">
        <v>1398</v>
      </c>
      <c r="C4317" t="s">
        <v>27</v>
      </c>
      <c r="D4317" s="68"/>
      <c r="E4317" s="68">
        <v>95</v>
      </c>
      <c r="F4317" s="68"/>
      <c r="G4317" s="68">
        <v>95</v>
      </c>
      <c r="H43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18" spans="1:8" hidden="1" x14ac:dyDescent="0.3">
      <c r="A4318" t="s">
        <v>1395</v>
      </c>
      <c r="B4318" t="s">
        <v>1398</v>
      </c>
      <c r="C4318" t="s">
        <v>36</v>
      </c>
      <c r="D4318" s="68">
        <v>38</v>
      </c>
      <c r="E4318" s="68"/>
      <c r="F4318" s="68">
        <v>16</v>
      </c>
      <c r="G4318" s="68">
        <v>54</v>
      </c>
      <c r="H43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19" spans="1:8" hidden="1" x14ac:dyDescent="0.3">
      <c r="A4319" t="s">
        <v>1395</v>
      </c>
      <c r="B4319" t="s">
        <v>1399</v>
      </c>
      <c r="C4319" t="s">
        <v>26</v>
      </c>
      <c r="D4319" s="68">
        <v>624</v>
      </c>
      <c r="E4319" s="68"/>
      <c r="F4319" s="68">
        <v>2159</v>
      </c>
      <c r="G4319" s="68">
        <v>2783</v>
      </c>
      <c r="H43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20" spans="1:8" hidden="1" x14ac:dyDescent="0.3">
      <c r="A4320" t="s">
        <v>1395</v>
      </c>
      <c r="B4320" t="s">
        <v>1399</v>
      </c>
      <c r="C4320" t="s">
        <v>34</v>
      </c>
      <c r="D4320" s="68">
        <v>310</v>
      </c>
      <c r="E4320" s="68"/>
      <c r="F4320" s="68">
        <v>2075</v>
      </c>
      <c r="G4320" s="68">
        <v>2385</v>
      </c>
      <c r="H43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21" spans="1:8" hidden="1" x14ac:dyDescent="0.3">
      <c r="A4321" t="s">
        <v>1395</v>
      </c>
      <c r="B4321" t="s">
        <v>1399</v>
      </c>
      <c r="C4321" t="s">
        <v>38</v>
      </c>
      <c r="D4321" s="68">
        <v>100</v>
      </c>
      <c r="E4321" s="68"/>
      <c r="F4321" s="68">
        <v>1332</v>
      </c>
      <c r="G4321" s="68">
        <v>1432</v>
      </c>
      <c r="H43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22" spans="1:8" hidden="1" x14ac:dyDescent="0.3">
      <c r="A4322" t="s">
        <v>1395</v>
      </c>
      <c r="B4322" t="s">
        <v>1399</v>
      </c>
      <c r="C4322" t="s">
        <v>27</v>
      </c>
      <c r="D4322" s="68"/>
      <c r="E4322" s="68">
        <v>132</v>
      </c>
      <c r="F4322" s="68"/>
      <c r="G4322" s="68">
        <v>132</v>
      </c>
      <c r="H43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23" spans="1:8" hidden="1" x14ac:dyDescent="0.3">
      <c r="A4323" t="s">
        <v>1395</v>
      </c>
      <c r="B4323" t="s">
        <v>1399</v>
      </c>
      <c r="C4323" t="s">
        <v>33</v>
      </c>
      <c r="D4323" s="68">
        <v>54</v>
      </c>
      <c r="E4323" s="68"/>
      <c r="F4323" s="68">
        <v>15</v>
      </c>
      <c r="G4323" s="68">
        <v>69</v>
      </c>
      <c r="H43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24" spans="1:8" hidden="1" x14ac:dyDescent="0.3">
      <c r="A4324" t="s">
        <v>1395</v>
      </c>
      <c r="B4324" t="s">
        <v>1399</v>
      </c>
      <c r="C4324" t="s">
        <v>36</v>
      </c>
      <c r="D4324" s="68">
        <v>18</v>
      </c>
      <c r="E4324" s="68"/>
      <c r="F4324" s="68">
        <v>19</v>
      </c>
      <c r="G4324" s="68">
        <v>37</v>
      </c>
      <c r="H43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25" spans="1:8" hidden="1" x14ac:dyDescent="0.3">
      <c r="A4325" t="s">
        <v>1395</v>
      </c>
      <c r="B4325" t="s">
        <v>1400</v>
      </c>
      <c r="C4325" t="s">
        <v>26</v>
      </c>
      <c r="D4325" s="68">
        <v>6638</v>
      </c>
      <c r="E4325" s="68"/>
      <c r="F4325" s="68">
        <v>14328</v>
      </c>
      <c r="G4325" s="68">
        <v>20966</v>
      </c>
      <c r="H43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26" spans="1:8" hidden="1" x14ac:dyDescent="0.3">
      <c r="A4326" t="s">
        <v>1395</v>
      </c>
      <c r="B4326" t="s">
        <v>1400</v>
      </c>
      <c r="C4326" t="s">
        <v>38</v>
      </c>
      <c r="D4326" s="68">
        <v>505</v>
      </c>
      <c r="E4326" s="68"/>
      <c r="F4326" s="68">
        <v>4691</v>
      </c>
      <c r="G4326" s="68">
        <v>5196</v>
      </c>
      <c r="H43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27" spans="1:8" hidden="1" x14ac:dyDescent="0.3">
      <c r="A4327" t="s">
        <v>1395</v>
      </c>
      <c r="B4327" t="s">
        <v>1400</v>
      </c>
      <c r="C4327" t="s">
        <v>34</v>
      </c>
      <c r="D4327" s="68">
        <v>1032</v>
      </c>
      <c r="E4327" s="68"/>
      <c r="F4327" s="68">
        <v>1632</v>
      </c>
      <c r="G4327" s="68">
        <v>2664</v>
      </c>
      <c r="H43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28" spans="1:8" hidden="1" x14ac:dyDescent="0.3">
      <c r="A4328" t="s">
        <v>1395</v>
      </c>
      <c r="B4328" t="s">
        <v>1400</v>
      </c>
      <c r="C4328" t="s">
        <v>33</v>
      </c>
      <c r="D4328" s="68">
        <v>1177</v>
      </c>
      <c r="E4328" s="68"/>
      <c r="F4328" s="68">
        <v>653</v>
      </c>
      <c r="G4328" s="68">
        <v>1830</v>
      </c>
      <c r="H43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29" spans="1:8" hidden="1" x14ac:dyDescent="0.3">
      <c r="A4329" t="s">
        <v>1395</v>
      </c>
      <c r="B4329" t="s">
        <v>1400</v>
      </c>
      <c r="C4329" t="s">
        <v>36</v>
      </c>
      <c r="D4329" s="68">
        <v>494</v>
      </c>
      <c r="E4329" s="68"/>
      <c r="F4329" s="68">
        <v>847</v>
      </c>
      <c r="G4329" s="68">
        <v>1341</v>
      </c>
      <c r="H43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30" spans="1:8" hidden="1" x14ac:dyDescent="0.3">
      <c r="A4330" t="s">
        <v>1395</v>
      </c>
      <c r="B4330" t="s">
        <v>1400</v>
      </c>
      <c r="C4330" t="s">
        <v>27</v>
      </c>
      <c r="D4330" s="68"/>
      <c r="E4330" s="68">
        <v>340</v>
      </c>
      <c r="F4330" s="68"/>
      <c r="G4330" s="68">
        <v>340</v>
      </c>
      <c r="H43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31" spans="1:8" hidden="1" x14ac:dyDescent="0.3">
      <c r="A4331" t="s">
        <v>1395</v>
      </c>
      <c r="B4331" t="s">
        <v>1400</v>
      </c>
      <c r="C4331" t="s">
        <v>5</v>
      </c>
      <c r="D4331" s="68">
        <v>9</v>
      </c>
      <c r="E4331" s="68"/>
      <c r="F4331" s="68"/>
      <c r="G4331" s="68">
        <v>9</v>
      </c>
      <c r="H43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32" spans="1:8" hidden="1" x14ac:dyDescent="0.3">
      <c r="A4332" t="s">
        <v>1395</v>
      </c>
      <c r="B4332" t="s">
        <v>1401</v>
      </c>
      <c r="C4332" t="s">
        <v>26</v>
      </c>
      <c r="D4332" s="68">
        <v>7729</v>
      </c>
      <c r="E4332" s="68"/>
      <c r="F4332" s="68">
        <v>25354</v>
      </c>
      <c r="G4332" s="68">
        <v>33083</v>
      </c>
      <c r="H43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33" spans="1:8" hidden="1" x14ac:dyDescent="0.3">
      <c r="A4333" t="s">
        <v>1395</v>
      </c>
      <c r="B4333" t="s">
        <v>1401</v>
      </c>
      <c r="C4333" t="s">
        <v>36</v>
      </c>
      <c r="D4333" s="68">
        <v>1675</v>
      </c>
      <c r="E4333" s="68"/>
      <c r="F4333" s="68">
        <v>828</v>
      </c>
      <c r="G4333" s="68">
        <v>2503</v>
      </c>
      <c r="H43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34" spans="1:8" hidden="1" x14ac:dyDescent="0.3">
      <c r="A4334" t="s">
        <v>1395</v>
      </c>
      <c r="B4334" t="s">
        <v>1401</v>
      </c>
      <c r="C4334" t="s">
        <v>33</v>
      </c>
      <c r="D4334" s="68">
        <v>859</v>
      </c>
      <c r="E4334" s="68"/>
      <c r="F4334" s="68">
        <v>562</v>
      </c>
      <c r="G4334" s="68">
        <v>1421</v>
      </c>
      <c r="H43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35" spans="1:8" hidden="1" x14ac:dyDescent="0.3">
      <c r="A4335" t="s">
        <v>1395</v>
      </c>
      <c r="B4335" t="s">
        <v>1401</v>
      </c>
      <c r="C4335" t="s">
        <v>27</v>
      </c>
      <c r="D4335" s="68"/>
      <c r="E4335" s="68">
        <v>445</v>
      </c>
      <c r="F4335" s="68"/>
      <c r="G4335" s="68">
        <v>445</v>
      </c>
      <c r="H43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36" spans="1:8" hidden="1" x14ac:dyDescent="0.3">
      <c r="A4336" t="s">
        <v>1395</v>
      </c>
      <c r="B4336" t="s">
        <v>1401</v>
      </c>
      <c r="C4336" t="s">
        <v>5</v>
      </c>
      <c r="D4336" s="68">
        <v>4</v>
      </c>
      <c r="E4336" s="68"/>
      <c r="F4336" s="68">
        <v>1</v>
      </c>
      <c r="G4336" s="68">
        <v>5</v>
      </c>
      <c r="H43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37" spans="1:8" hidden="1" x14ac:dyDescent="0.3">
      <c r="A4337" t="s">
        <v>1395</v>
      </c>
      <c r="B4337" t="s">
        <v>1402</v>
      </c>
      <c r="C4337" t="s">
        <v>34</v>
      </c>
      <c r="D4337" s="68">
        <v>325</v>
      </c>
      <c r="E4337" s="68"/>
      <c r="F4337" s="68">
        <v>1960</v>
      </c>
      <c r="G4337" s="68">
        <v>2285</v>
      </c>
      <c r="H43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38" spans="1:8" hidden="1" x14ac:dyDescent="0.3">
      <c r="A4338" t="s">
        <v>1395</v>
      </c>
      <c r="B4338" t="s">
        <v>1402</v>
      </c>
      <c r="C4338" t="s">
        <v>26</v>
      </c>
      <c r="D4338" s="68">
        <v>477</v>
      </c>
      <c r="E4338" s="68"/>
      <c r="F4338" s="68">
        <v>1619</v>
      </c>
      <c r="G4338" s="68">
        <v>2096</v>
      </c>
      <c r="H43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39" spans="1:8" hidden="1" x14ac:dyDescent="0.3">
      <c r="A4339" t="s">
        <v>1395</v>
      </c>
      <c r="B4339" t="s">
        <v>1402</v>
      </c>
      <c r="C4339" t="s">
        <v>27</v>
      </c>
      <c r="D4339" s="68"/>
      <c r="E4339" s="68">
        <v>114</v>
      </c>
      <c r="F4339" s="68"/>
      <c r="G4339" s="68">
        <v>114</v>
      </c>
      <c r="H43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40" spans="1:8" hidden="1" x14ac:dyDescent="0.3">
      <c r="A4340" t="s">
        <v>1395</v>
      </c>
      <c r="B4340" t="s">
        <v>1402</v>
      </c>
      <c r="C4340" t="s">
        <v>33</v>
      </c>
      <c r="D4340" s="68">
        <v>48</v>
      </c>
      <c r="E4340" s="68"/>
      <c r="F4340" s="68">
        <v>40</v>
      </c>
      <c r="G4340" s="68">
        <v>88</v>
      </c>
      <c r="H43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41" spans="1:8" hidden="1" x14ac:dyDescent="0.3">
      <c r="A4341" t="s">
        <v>1395</v>
      </c>
      <c r="B4341" t="s">
        <v>1402</v>
      </c>
      <c r="C4341" t="s">
        <v>36</v>
      </c>
      <c r="D4341" s="68">
        <v>11</v>
      </c>
      <c r="E4341" s="68"/>
      <c r="F4341" s="68">
        <v>14</v>
      </c>
      <c r="G4341" s="68">
        <v>25</v>
      </c>
      <c r="H43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42" spans="1:8" hidden="1" x14ac:dyDescent="0.3">
      <c r="A4342" t="s">
        <v>1395</v>
      </c>
      <c r="B4342" t="s">
        <v>1402</v>
      </c>
      <c r="C4342" t="s">
        <v>5</v>
      </c>
      <c r="D4342" s="68"/>
      <c r="E4342" s="68"/>
      <c r="F4342" s="68">
        <v>1</v>
      </c>
      <c r="G4342" s="68">
        <v>1</v>
      </c>
      <c r="H43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43" spans="1:8" hidden="1" x14ac:dyDescent="0.3">
      <c r="A4343" t="s">
        <v>1395</v>
      </c>
      <c r="B4343" t="s">
        <v>1403</v>
      </c>
      <c r="C4343" t="s">
        <v>26</v>
      </c>
      <c r="D4343" s="68">
        <v>4489</v>
      </c>
      <c r="E4343" s="68"/>
      <c r="F4343" s="68">
        <v>8744</v>
      </c>
      <c r="G4343" s="68">
        <v>13233</v>
      </c>
      <c r="H43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44" spans="1:8" hidden="1" x14ac:dyDescent="0.3">
      <c r="A4344" t="s">
        <v>1395</v>
      </c>
      <c r="B4344" t="s">
        <v>1403</v>
      </c>
      <c r="C4344" t="s">
        <v>38</v>
      </c>
      <c r="D4344" s="68">
        <v>980</v>
      </c>
      <c r="E4344" s="68"/>
      <c r="F4344" s="68">
        <v>10168</v>
      </c>
      <c r="G4344" s="68">
        <v>11148</v>
      </c>
      <c r="H43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45" spans="1:8" hidden="1" x14ac:dyDescent="0.3">
      <c r="A4345" t="s">
        <v>1395</v>
      </c>
      <c r="B4345" t="s">
        <v>1403</v>
      </c>
      <c r="C4345" t="s">
        <v>5</v>
      </c>
      <c r="D4345" s="68">
        <v>1399</v>
      </c>
      <c r="E4345" s="68"/>
      <c r="F4345" s="68">
        <v>1538</v>
      </c>
      <c r="G4345" s="68">
        <v>2937</v>
      </c>
      <c r="H43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46" spans="1:8" hidden="1" x14ac:dyDescent="0.3">
      <c r="A4346" t="s">
        <v>1395</v>
      </c>
      <c r="B4346" t="s">
        <v>1403</v>
      </c>
      <c r="C4346" t="s">
        <v>33</v>
      </c>
      <c r="D4346" s="68">
        <v>552</v>
      </c>
      <c r="E4346" s="68"/>
      <c r="F4346" s="68">
        <v>318</v>
      </c>
      <c r="G4346" s="68">
        <v>870</v>
      </c>
      <c r="H43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47" spans="1:8" hidden="1" x14ac:dyDescent="0.3">
      <c r="A4347" t="s">
        <v>1395</v>
      </c>
      <c r="B4347" t="s">
        <v>1403</v>
      </c>
      <c r="C4347" t="s">
        <v>27</v>
      </c>
      <c r="D4347" s="68"/>
      <c r="E4347" s="68">
        <v>484</v>
      </c>
      <c r="F4347" s="68"/>
      <c r="G4347" s="68">
        <v>484</v>
      </c>
      <c r="H43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48" spans="1:8" hidden="1" x14ac:dyDescent="0.3">
      <c r="A4348" t="s">
        <v>1395</v>
      </c>
      <c r="B4348" t="s">
        <v>1403</v>
      </c>
      <c r="C4348" t="s">
        <v>36</v>
      </c>
      <c r="D4348" s="68">
        <v>84</v>
      </c>
      <c r="E4348" s="68"/>
      <c r="F4348" s="68">
        <v>17</v>
      </c>
      <c r="G4348" s="68">
        <v>101</v>
      </c>
      <c r="H43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49" spans="1:8" hidden="1" x14ac:dyDescent="0.3">
      <c r="A4349" t="s">
        <v>1395</v>
      </c>
      <c r="B4349" t="s">
        <v>1404</v>
      </c>
      <c r="C4349" t="s">
        <v>26</v>
      </c>
      <c r="D4349" s="68">
        <v>830</v>
      </c>
      <c r="E4349" s="68"/>
      <c r="F4349" s="68">
        <v>1513</v>
      </c>
      <c r="G4349" s="68">
        <v>2343</v>
      </c>
      <c r="H43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50" spans="1:8" hidden="1" x14ac:dyDescent="0.3">
      <c r="A4350" t="s">
        <v>1395</v>
      </c>
      <c r="B4350" t="s">
        <v>1404</v>
      </c>
      <c r="C4350" t="s">
        <v>34</v>
      </c>
      <c r="D4350" s="68">
        <v>292</v>
      </c>
      <c r="E4350" s="68"/>
      <c r="F4350" s="68">
        <v>1193</v>
      </c>
      <c r="G4350" s="68">
        <v>1485</v>
      </c>
      <c r="H43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51" spans="1:8" hidden="1" x14ac:dyDescent="0.3">
      <c r="A4351" t="s">
        <v>1395</v>
      </c>
      <c r="B4351" t="s">
        <v>1404</v>
      </c>
      <c r="C4351" t="s">
        <v>38</v>
      </c>
      <c r="D4351" s="68">
        <v>84</v>
      </c>
      <c r="E4351" s="68"/>
      <c r="F4351" s="68">
        <v>673</v>
      </c>
      <c r="G4351" s="68">
        <v>757</v>
      </c>
      <c r="H43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52" spans="1:8" hidden="1" x14ac:dyDescent="0.3">
      <c r="A4352" t="s">
        <v>1395</v>
      </c>
      <c r="B4352" t="s">
        <v>1404</v>
      </c>
      <c r="C4352" t="s">
        <v>33</v>
      </c>
      <c r="D4352" s="68">
        <v>122</v>
      </c>
      <c r="E4352" s="68"/>
      <c r="F4352" s="68">
        <v>46</v>
      </c>
      <c r="G4352" s="68">
        <v>168</v>
      </c>
      <c r="H43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53" spans="1:8" hidden="1" x14ac:dyDescent="0.3">
      <c r="A4353" t="s">
        <v>1395</v>
      </c>
      <c r="B4353" t="s">
        <v>1404</v>
      </c>
      <c r="C4353" t="s">
        <v>27</v>
      </c>
      <c r="D4353" s="68"/>
      <c r="E4353" s="68">
        <v>60</v>
      </c>
      <c r="F4353" s="68"/>
      <c r="G4353" s="68">
        <v>60</v>
      </c>
      <c r="H43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54" spans="1:8" hidden="1" x14ac:dyDescent="0.3">
      <c r="A4354" t="s">
        <v>897</v>
      </c>
      <c r="B4354" t="s">
        <v>1405</v>
      </c>
      <c r="C4354" t="s">
        <v>38</v>
      </c>
      <c r="D4354" s="68">
        <v>215</v>
      </c>
      <c r="E4354" s="68"/>
      <c r="F4354" s="68">
        <v>3866</v>
      </c>
      <c r="G4354" s="68">
        <v>4081</v>
      </c>
      <c r="H43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55" spans="1:8" hidden="1" x14ac:dyDescent="0.3">
      <c r="A4355" t="s">
        <v>897</v>
      </c>
      <c r="B4355" t="s">
        <v>1405</v>
      </c>
      <c r="C4355" t="s">
        <v>36</v>
      </c>
      <c r="D4355" s="68">
        <v>558</v>
      </c>
      <c r="E4355" s="68"/>
      <c r="F4355" s="68">
        <v>2340</v>
      </c>
      <c r="G4355" s="68">
        <v>2898</v>
      </c>
      <c r="H43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56" spans="1:8" hidden="1" x14ac:dyDescent="0.3">
      <c r="A4356" t="s">
        <v>897</v>
      </c>
      <c r="B4356" t="s">
        <v>1405</v>
      </c>
      <c r="C4356" t="s">
        <v>41</v>
      </c>
      <c r="D4356" s="68">
        <v>180</v>
      </c>
      <c r="E4356" s="68"/>
      <c r="F4356" s="68">
        <v>2133</v>
      </c>
      <c r="G4356" s="68">
        <v>2313</v>
      </c>
      <c r="H43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57" spans="1:8" hidden="1" x14ac:dyDescent="0.3">
      <c r="A4357" t="s">
        <v>897</v>
      </c>
      <c r="B4357" t="s">
        <v>1405</v>
      </c>
      <c r="C4357" t="s">
        <v>26</v>
      </c>
      <c r="D4357" s="68">
        <v>899</v>
      </c>
      <c r="E4357" s="68"/>
      <c r="F4357" s="68">
        <v>664</v>
      </c>
      <c r="G4357" s="68">
        <v>1563</v>
      </c>
      <c r="H43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58" spans="1:8" hidden="1" x14ac:dyDescent="0.3">
      <c r="A4358" t="s">
        <v>897</v>
      </c>
      <c r="B4358" t="s">
        <v>1405</v>
      </c>
      <c r="C4358" t="s">
        <v>27</v>
      </c>
      <c r="D4358" s="68"/>
      <c r="E4358" s="68">
        <v>278</v>
      </c>
      <c r="F4358" s="68"/>
      <c r="G4358" s="68">
        <v>278</v>
      </c>
      <c r="H43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59" spans="1:8" hidden="1" x14ac:dyDescent="0.3">
      <c r="A4359" t="s">
        <v>897</v>
      </c>
      <c r="B4359" t="s">
        <v>1405</v>
      </c>
      <c r="C4359" t="s">
        <v>33</v>
      </c>
      <c r="D4359" s="68">
        <v>202</v>
      </c>
      <c r="E4359" s="68"/>
      <c r="F4359" s="68">
        <v>68</v>
      </c>
      <c r="G4359" s="68">
        <v>270</v>
      </c>
      <c r="H43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60" spans="1:8" hidden="1" x14ac:dyDescent="0.3">
      <c r="A4360" t="s">
        <v>897</v>
      </c>
      <c r="B4360" t="s">
        <v>1405</v>
      </c>
      <c r="C4360" t="s">
        <v>31</v>
      </c>
      <c r="D4360" s="68">
        <v>1</v>
      </c>
      <c r="E4360" s="68"/>
      <c r="F4360" s="68"/>
      <c r="G4360" s="68">
        <v>1</v>
      </c>
      <c r="H43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61" spans="1:8" hidden="1" x14ac:dyDescent="0.3">
      <c r="A4361" t="s">
        <v>897</v>
      </c>
      <c r="B4361" t="s">
        <v>942</v>
      </c>
      <c r="C4361" t="s">
        <v>38</v>
      </c>
      <c r="D4361" s="68">
        <v>215</v>
      </c>
      <c r="E4361" s="68"/>
      <c r="F4361" s="68">
        <v>2836</v>
      </c>
      <c r="G4361" s="68">
        <v>3051</v>
      </c>
      <c r="H43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62" spans="1:8" hidden="1" x14ac:dyDescent="0.3">
      <c r="A4362" t="s">
        <v>897</v>
      </c>
      <c r="B4362" t="s">
        <v>942</v>
      </c>
      <c r="C4362" t="s">
        <v>36</v>
      </c>
      <c r="D4362" s="68">
        <v>431</v>
      </c>
      <c r="E4362" s="68"/>
      <c r="F4362" s="68">
        <v>1277</v>
      </c>
      <c r="G4362" s="68">
        <v>1708</v>
      </c>
      <c r="H43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63" spans="1:8" hidden="1" x14ac:dyDescent="0.3">
      <c r="A4363" t="s">
        <v>897</v>
      </c>
      <c r="B4363" t="s">
        <v>942</v>
      </c>
      <c r="C4363" t="s">
        <v>26</v>
      </c>
      <c r="D4363" s="68">
        <v>333</v>
      </c>
      <c r="E4363" s="68"/>
      <c r="F4363" s="68">
        <v>352</v>
      </c>
      <c r="G4363" s="68">
        <v>685</v>
      </c>
      <c r="H43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64" spans="1:8" hidden="1" x14ac:dyDescent="0.3">
      <c r="A4364" t="s">
        <v>897</v>
      </c>
      <c r="B4364" t="s">
        <v>942</v>
      </c>
      <c r="C4364" t="s">
        <v>27</v>
      </c>
      <c r="D4364" s="68"/>
      <c r="E4364" s="68">
        <v>68</v>
      </c>
      <c r="F4364" s="68"/>
      <c r="G4364" s="68">
        <v>68</v>
      </c>
      <c r="H43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65" spans="1:8" hidden="1" x14ac:dyDescent="0.3">
      <c r="A4365" t="s">
        <v>897</v>
      </c>
      <c r="B4365" t="s">
        <v>942</v>
      </c>
      <c r="C4365" t="s">
        <v>33</v>
      </c>
      <c r="D4365" s="68">
        <v>26</v>
      </c>
      <c r="E4365" s="68"/>
      <c r="F4365" s="68">
        <v>29</v>
      </c>
      <c r="G4365" s="68">
        <v>55</v>
      </c>
      <c r="H43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66" spans="1:8" hidden="1" x14ac:dyDescent="0.3">
      <c r="A4366" t="s">
        <v>897</v>
      </c>
      <c r="B4366" t="s">
        <v>942</v>
      </c>
      <c r="C4366" t="s">
        <v>5</v>
      </c>
      <c r="D4366" s="68"/>
      <c r="E4366" s="68"/>
      <c r="F4366" s="68">
        <v>1</v>
      </c>
      <c r="G4366" s="68">
        <v>1</v>
      </c>
      <c r="H43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67" spans="1:8" hidden="1" x14ac:dyDescent="0.3">
      <c r="A4367" t="s">
        <v>897</v>
      </c>
      <c r="B4367" t="s">
        <v>1406</v>
      </c>
      <c r="C4367" t="s">
        <v>38</v>
      </c>
      <c r="D4367" s="68">
        <v>604</v>
      </c>
      <c r="E4367" s="68"/>
      <c r="F4367" s="68">
        <v>12395</v>
      </c>
      <c r="G4367" s="68">
        <v>12999</v>
      </c>
      <c r="H43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68" spans="1:8" hidden="1" x14ac:dyDescent="0.3">
      <c r="A4368" t="s">
        <v>897</v>
      </c>
      <c r="B4368" t="s">
        <v>1406</v>
      </c>
      <c r="C4368" t="s">
        <v>26</v>
      </c>
      <c r="D4368" s="68">
        <v>2997</v>
      </c>
      <c r="E4368" s="68"/>
      <c r="F4368" s="68">
        <v>6735</v>
      </c>
      <c r="G4368" s="68">
        <v>9732</v>
      </c>
      <c r="H43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69" spans="1:8" hidden="1" x14ac:dyDescent="0.3">
      <c r="A4369" t="s">
        <v>897</v>
      </c>
      <c r="B4369" t="s">
        <v>1406</v>
      </c>
      <c r="C4369" t="s">
        <v>36</v>
      </c>
      <c r="D4369" s="68">
        <v>881</v>
      </c>
      <c r="E4369" s="68"/>
      <c r="F4369" s="68">
        <v>1401</v>
      </c>
      <c r="G4369" s="68">
        <v>2282</v>
      </c>
      <c r="H43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70" spans="1:8" hidden="1" x14ac:dyDescent="0.3">
      <c r="A4370" t="s">
        <v>897</v>
      </c>
      <c r="B4370" t="s">
        <v>1406</v>
      </c>
      <c r="C4370" t="s">
        <v>27</v>
      </c>
      <c r="D4370" s="68"/>
      <c r="E4370" s="68">
        <v>485</v>
      </c>
      <c r="F4370" s="68"/>
      <c r="G4370" s="68">
        <v>485</v>
      </c>
      <c r="H43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71" spans="1:8" hidden="1" x14ac:dyDescent="0.3">
      <c r="A4371" t="s">
        <v>897</v>
      </c>
      <c r="B4371" t="s">
        <v>1406</v>
      </c>
      <c r="C4371" t="s">
        <v>33</v>
      </c>
      <c r="D4371" s="68">
        <v>3</v>
      </c>
      <c r="E4371" s="68"/>
      <c r="F4371" s="68">
        <v>1</v>
      </c>
      <c r="G4371" s="68">
        <v>4</v>
      </c>
      <c r="H43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72" spans="1:8" hidden="1" x14ac:dyDescent="0.3">
      <c r="A4372" t="s">
        <v>897</v>
      </c>
      <c r="B4372" t="s">
        <v>1407</v>
      </c>
      <c r="C4372" t="s">
        <v>36</v>
      </c>
      <c r="D4372" s="68">
        <v>52709</v>
      </c>
      <c r="E4372" s="68"/>
      <c r="F4372" s="68">
        <v>23659</v>
      </c>
      <c r="G4372" s="68">
        <v>76368</v>
      </c>
      <c r="H43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73" spans="1:8" hidden="1" x14ac:dyDescent="0.3">
      <c r="A4373" t="s">
        <v>897</v>
      </c>
      <c r="B4373" t="s">
        <v>1407</v>
      </c>
      <c r="C4373" t="s">
        <v>26</v>
      </c>
      <c r="D4373" s="68">
        <v>22017</v>
      </c>
      <c r="E4373" s="68"/>
      <c r="F4373" s="68">
        <v>19993</v>
      </c>
      <c r="G4373" s="68">
        <v>42010</v>
      </c>
      <c r="H43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74" spans="1:8" hidden="1" x14ac:dyDescent="0.3">
      <c r="A4374" t="s">
        <v>897</v>
      </c>
      <c r="B4374" t="s">
        <v>1407</v>
      </c>
      <c r="C4374" t="s">
        <v>38</v>
      </c>
      <c r="D4374" s="68">
        <v>2165</v>
      </c>
      <c r="E4374" s="68"/>
      <c r="F4374" s="68">
        <v>29670</v>
      </c>
      <c r="G4374" s="68">
        <v>31835</v>
      </c>
      <c r="H43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75" spans="1:8" hidden="1" x14ac:dyDescent="0.3">
      <c r="A4375" t="s">
        <v>897</v>
      </c>
      <c r="B4375" t="s">
        <v>1407</v>
      </c>
      <c r="C4375" t="s">
        <v>34</v>
      </c>
      <c r="D4375" s="68">
        <v>21106</v>
      </c>
      <c r="E4375" s="68"/>
      <c r="F4375" s="68">
        <v>7357</v>
      </c>
      <c r="G4375" s="68">
        <v>28463</v>
      </c>
      <c r="H43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76" spans="1:8" hidden="1" x14ac:dyDescent="0.3">
      <c r="A4376" t="s">
        <v>897</v>
      </c>
      <c r="B4376" t="s">
        <v>1407</v>
      </c>
      <c r="C4376" t="s">
        <v>5</v>
      </c>
      <c r="D4376" s="68">
        <v>14892</v>
      </c>
      <c r="E4376" s="68"/>
      <c r="F4376" s="68">
        <v>5399</v>
      </c>
      <c r="G4376" s="68">
        <v>20291</v>
      </c>
      <c r="H43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77" spans="1:8" hidden="1" x14ac:dyDescent="0.3">
      <c r="A4377" t="s">
        <v>897</v>
      </c>
      <c r="B4377" t="s">
        <v>1407</v>
      </c>
      <c r="C4377" t="s">
        <v>33</v>
      </c>
      <c r="D4377" s="68">
        <v>13039</v>
      </c>
      <c r="E4377" s="68"/>
      <c r="F4377" s="68">
        <v>5590</v>
      </c>
      <c r="G4377" s="68">
        <v>18629</v>
      </c>
      <c r="H43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78" spans="1:8" hidden="1" x14ac:dyDescent="0.3">
      <c r="A4378" t="s">
        <v>897</v>
      </c>
      <c r="B4378" t="s">
        <v>1407</v>
      </c>
      <c r="C4378" t="s">
        <v>41</v>
      </c>
      <c r="D4378" s="68">
        <v>430</v>
      </c>
      <c r="E4378" s="68"/>
      <c r="F4378" s="68">
        <v>1670</v>
      </c>
      <c r="G4378" s="68">
        <v>2100</v>
      </c>
      <c r="H43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79" spans="1:8" hidden="1" x14ac:dyDescent="0.3">
      <c r="A4379" t="s">
        <v>897</v>
      </c>
      <c r="B4379" t="s">
        <v>1407</v>
      </c>
      <c r="C4379" t="s">
        <v>27</v>
      </c>
      <c r="D4379" s="68"/>
      <c r="E4379" s="68">
        <v>1708</v>
      </c>
      <c r="F4379" s="68"/>
      <c r="G4379" s="68">
        <v>1708</v>
      </c>
      <c r="H43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80" spans="1:8" hidden="1" x14ac:dyDescent="0.3">
      <c r="A4380" t="s">
        <v>897</v>
      </c>
      <c r="B4380" t="s">
        <v>1407</v>
      </c>
      <c r="C4380" t="s">
        <v>31</v>
      </c>
      <c r="D4380" s="68">
        <v>41</v>
      </c>
      <c r="E4380" s="68"/>
      <c r="F4380" s="68">
        <v>288</v>
      </c>
      <c r="G4380" s="68">
        <v>329</v>
      </c>
      <c r="H43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81" spans="1:8" hidden="1" x14ac:dyDescent="0.3">
      <c r="A4381" t="s">
        <v>897</v>
      </c>
      <c r="B4381" t="s">
        <v>1407</v>
      </c>
      <c r="C4381" t="s">
        <v>37</v>
      </c>
      <c r="D4381" s="68">
        <v>110</v>
      </c>
      <c r="E4381" s="68"/>
      <c r="F4381" s="68">
        <v>179</v>
      </c>
      <c r="G4381" s="68">
        <v>289</v>
      </c>
      <c r="H43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82" spans="1:8" hidden="1" x14ac:dyDescent="0.3">
      <c r="A4382" t="s">
        <v>897</v>
      </c>
      <c r="B4382" t="s">
        <v>1408</v>
      </c>
      <c r="C4382" t="s">
        <v>38</v>
      </c>
      <c r="D4382" s="68">
        <v>271</v>
      </c>
      <c r="E4382" s="68"/>
      <c r="F4382" s="68">
        <v>3727</v>
      </c>
      <c r="G4382" s="68">
        <v>3998</v>
      </c>
      <c r="H43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83" spans="1:8" hidden="1" x14ac:dyDescent="0.3">
      <c r="A4383" t="s">
        <v>897</v>
      </c>
      <c r="B4383" t="s">
        <v>1408</v>
      </c>
      <c r="C4383" t="s">
        <v>26</v>
      </c>
      <c r="D4383" s="68">
        <v>1124</v>
      </c>
      <c r="E4383" s="68"/>
      <c r="F4383" s="68">
        <v>2498</v>
      </c>
      <c r="G4383" s="68">
        <v>3622</v>
      </c>
      <c r="H43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84" spans="1:8" hidden="1" x14ac:dyDescent="0.3">
      <c r="A4384" t="s">
        <v>897</v>
      </c>
      <c r="B4384" t="s">
        <v>1408</v>
      </c>
      <c r="C4384" t="s">
        <v>1077</v>
      </c>
      <c r="D4384" s="68">
        <v>217</v>
      </c>
      <c r="E4384" s="68"/>
      <c r="F4384" s="68">
        <v>2203</v>
      </c>
      <c r="G4384" s="68">
        <v>2420</v>
      </c>
      <c r="H43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85" spans="1:8" hidden="1" x14ac:dyDescent="0.3">
      <c r="A4385" t="s">
        <v>897</v>
      </c>
      <c r="B4385" t="s">
        <v>1408</v>
      </c>
      <c r="C4385" t="s">
        <v>31</v>
      </c>
      <c r="D4385" s="68">
        <v>78</v>
      </c>
      <c r="E4385" s="68"/>
      <c r="F4385" s="68">
        <v>989</v>
      </c>
      <c r="G4385" s="68">
        <v>1067</v>
      </c>
      <c r="H43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86" spans="1:8" hidden="1" x14ac:dyDescent="0.3">
      <c r="A4386" t="s">
        <v>897</v>
      </c>
      <c r="B4386" t="s">
        <v>1408</v>
      </c>
      <c r="C4386" t="s">
        <v>27</v>
      </c>
      <c r="D4386" s="68"/>
      <c r="E4386" s="68">
        <v>223</v>
      </c>
      <c r="F4386" s="68"/>
      <c r="G4386" s="68">
        <v>223</v>
      </c>
      <c r="H43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87" spans="1:8" hidden="1" x14ac:dyDescent="0.3">
      <c r="A4387" t="s">
        <v>897</v>
      </c>
      <c r="B4387" t="s">
        <v>1408</v>
      </c>
      <c r="C4387" t="s">
        <v>36</v>
      </c>
      <c r="D4387" s="68">
        <v>42</v>
      </c>
      <c r="E4387" s="68"/>
      <c r="F4387" s="68">
        <v>23</v>
      </c>
      <c r="G4387" s="68">
        <v>65</v>
      </c>
      <c r="H43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88" spans="1:8" hidden="1" x14ac:dyDescent="0.3">
      <c r="A4388" t="s">
        <v>897</v>
      </c>
      <c r="B4388" t="s">
        <v>1409</v>
      </c>
      <c r="C4388" t="s">
        <v>38</v>
      </c>
      <c r="D4388" s="68">
        <v>113</v>
      </c>
      <c r="E4388" s="68"/>
      <c r="F4388" s="68">
        <v>2959</v>
      </c>
      <c r="G4388" s="68">
        <v>3072</v>
      </c>
      <c r="H43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89" spans="1:8" hidden="1" x14ac:dyDescent="0.3">
      <c r="A4389" t="s">
        <v>897</v>
      </c>
      <c r="B4389" t="s">
        <v>1409</v>
      </c>
      <c r="C4389" t="s">
        <v>41</v>
      </c>
      <c r="D4389" s="68">
        <v>202</v>
      </c>
      <c r="E4389" s="68"/>
      <c r="F4389" s="68">
        <v>2567</v>
      </c>
      <c r="G4389" s="68">
        <v>2769</v>
      </c>
      <c r="H43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90" spans="1:8" hidden="1" x14ac:dyDescent="0.3">
      <c r="A4390" t="s">
        <v>897</v>
      </c>
      <c r="B4390" t="s">
        <v>1409</v>
      </c>
      <c r="C4390" t="s">
        <v>26</v>
      </c>
      <c r="D4390" s="68">
        <v>439</v>
      </c>
      <c r="E4390" s="68"/>
      <c r="F4390" s="68">
        <v>516</v>
      </c>
      <c r="G4390" s="68">
        <v>955</v>
      </c>
      <c r="H43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91" spans="1:8" hidden="1" x14ac:dyDescent="0.3">
      <c r="A4391" t="s">
        <v>897</v>
      </c>
      <c r="B4391" t="s">
        <v>1409</v>
      </c>
      <c r="C4391" t="s">
        <v>36</v>
      </c>
      <c r="D4391" s="68">
        <v>172</v>
      </c>
      <c r="E4391" s="68"/>
      <c r="F4391" s="68">
        <v>45</v>
      </c>
      <c r="G4391" s="68">
        <v>217</v>
      </c>
      <c r="H43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92" spans="1:8" hidden="1" x14ac:dyDescent="0.3">
      <c r="A4392" t="s">
        <v>897</v>
      </c>
      <c r="B4392" t="s">
        <v>1409</v>
      </c>
      <c r="C4392" t="s">
        <v>27</v>
      </c>
      <c r="D4392" s="68"/>
      <c r="E4392" s="68">
        <v>153</v>
      </c>
      <c r="F4392" s="68"/>
      <c r="G4392" s="68">
        <v>153</v>
      </c>
      <c r="H43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93" spans="1:8" hidden="1" x14ac:dyDescent="0.3">
      <c r="A4393" t="s">
        <v>897</v>
      </c>
      <c r="B4393" t="s">
        <v>1409</v>
      </c>
      <c r="C4393" t="s">
        <v>33</v>
      </c>
      <c r="D4393" s="68">
        <v>1</v>
      </c>
      <c r="E4393" s="68"/>
      <c r="F4393" s="68"/>
      <c r="G4393" s="68">
        <v>1</v>
      </c>
      <c r="H43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94" spans="1:8" hidden="1" x14ac:dyDescent="0.3">
      <c r="A4394" t="s">
        <v>897</v>
      </c>
      <c r="B4394" t="s">
        <v>1410</v>
      </c>
      <c r="C4394" t="s">
        <v>26</v>
      </c>
      <c r="D4394" s="68">
        <v>8862</v>
      </c>
      <c r="E4394" s="68"/>
      <c r="F4394" s="68">
        <v>8878</v>
      </c>
      <c r="G4394" s="68">
        <v>17740</v>
      </c>
      <c r="H43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95" spans="1:8" hidden="1" x14ac:dyDescent="0.3">
      <c r="A4395" t="s">
        <v>897</v>
      </c>
      <c r="B4395" t="s">
        <v>1410</v>
      </c>
      <c r="C4395" t="s">
        <v>36</v>
      </c>
      <c r="D4395" s="68">
        <v>5324</v>
      </c>
      <c r="E4395" s="68"/>
      <c r="F4395" s="68">
        <v>4330</v>
      </c>
      <c r="G4395" s="68">
        <v>9654</v>
      </c>
      <c r="H43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96" spans="1:8" hidden="1" x14ac:dyDescent="0.3">
      <c r="A4396" t="s">
        <v>897</v>
      </c>
      <c r="B4396" t="s">
        <v>1410</v>
      </c>
      <c r="C4396" t="s">
        <v>38</v>
      </c>
      <c r="D4396" s="68">
        <v>505</v>
      </c>
      <c r="E4396" s="68"/>
      <c r="F4396" s="68">
        <v>5694</v>
      </c>
      <c r="G4396" s="68">
        <v>6199</v>
      </c>
      <c r="H43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97" spans="1:8" hidden="1" x14ac:dyDescent="0.3">
      <c r="A4397" t="s">
        <v>897</v>
      </c>
      <c r="B4397" t="s">
        <v>1410</v>
      </c>
      <c r="C4397" t="s">
        <v>33</v>
      </c>
      <c r="D4397" s="68">
        <v>1831</v>
      </c>
      <c r="E4397" s="68"/>
      <c r="F4397" s="68">
        <v>1026</v>
      </c>
      <c r="G4397" s="68">
        <v>2857</v>
      </c>
      <c r="H43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98" spans="1:8" hidden="1" x14ac:dyDescent="0.3">
      <c r="A4398" t="s">
        <v>897</v>
      </c>
      <c r="B4398" t="s">
        <v>1410</v>
      </c>
      <c r="C4398" t="s">
        <v>31</v>
      </c>
      <c r="D4398" s="68">
        <v>505</v>
      </c>
      <c r="E4398" s="68"/>
      <c r="F4398" s="68">
        <v>2324</v>
      </c>
      <c r="G4398" s="68">
        <v>2829</v>
      </c>
      <c r="H43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399" spans="1:8" hidden="1" x14ac:dyDescent="0.3">
      <c r="A4399" t="s">
        <v>897</v>
      </c>
      <c r="B4399" t="s">
        <v>1410</v>
      </c>
      <c r="C4399" t="s">
        <v>27</v>
      </c>
      <c r="D4399" s="68"/>
      <c r="E4399" s="68">
        <v>380</v>
      </c>
      <c r="F4399" s="68"/>
      <c r="G4399" s="68">
        <v>380</v>
      </c>
      <c r="H43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00" spans="1:8" hidden="1" x14ac:dyDescent="0.3">
      <c r="A4400" t="s">
        <v>897</v>
      </c>
      <c r="B4400" t="s">
        <v>1410</v>
      </c>
      <c r="C4400" t="s">
        <v>34</v>
      </c>
      <c r="D4400" s="68">
        <v>2</v>
      </c>
      <c r="E4400" s="68"/>
      <c r="F4400" s="68"/>
      <c r="G4400" s="68">
        <v>2</v>
      </c>
      <c r="H44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01" spans="1:8" hidden="1" x14ac:dyDescent="0.3">
      <c r="A4401" t="s">
        <v>897</v>
      </c>
      <c r="B4401" t="s">
        <v>1410</v>
      </c>
      <c r="C4401" t="s">
        <v>5</v>
      </c>
      <c r="D4401" s="68">
        <v>2</v>
      </c>
      <c r="E4401" s="68"/>
      <c r="F4401" s="68"/>
      <c r="G4401" s="68">
        <v>2</v>
      </c>
      <c r="H44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02" spans="1:8" hidden="1" x14ac:dyDescent="0.3">
      <c r="A4402" t="s">
        <v>897</v>
      </c>
      <c r="B4402" t="s">
        <v>1411</v>
      </c>
      <c r="C4402" t="s">
        <v>36</v>
      </c>
      <c r="D4402" s="68">
        <v>1229</v>
      </c>
      <c r="E4402" s="68"/>
      <c r="F4402" s="68">
        <v>2827</v>
      </c>
      <c r="G4402" s="68">
        <v>4056</v>
      </c>
      <c r="H44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03" spans="1:8" hidden="1" x14ac:dyDescent="0.3">
      <c r="A4403" t="s">
        <v>897</v>
      </c>
      <c r="B4403" t="s">
        <v>1411</v>
      </c>
      <c r="C4403" t="s">
        <v>34</v>
      </c>
      <c r="D4403" s="68">
        <v>696</v>
      </c>
      <c r="E4403" s="68"/>
      <c r="F4403" s="68">
        <v>2653</v>
      </c>
      <c r="G4403" s="68">
        <v>3349</v>
      </c>
      <c r="H44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04" spans="1:8" hidden="1" x14ac:dyDescent="0.3">
      <c r="A4404" t="s">
        <v>897</v>
      </c>
      <c r="B4404" t="s">
        <v>1411</v>
      </c>
      <c r="C4404" t="s">
        <v>38</v>
      </c>
      <c r="D4404" s="68">
        <v>194</v>
      </c>
      <c r="E4404" s="68"/>
      <c r="F4404" s="68">
        <v>2871</v>
      </c>
      <c r="G4404" s="68">
        <v>3065</v>
      </c>
      <c r="H44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05" spans="1:8" hidden="1" x14ac:dyDescent="0.3">
      <c r="A4405" t="s">
        <v>897</v>
      </c>
      <c r="B4405" t="s">
        <v>1411</v>
      </c>
      <c r="C4405" t="s">
        <v>1077</v>
      </c>
      <c r="D4405" s="68">
        <v>196</v>
      </c>
      <c r="E4405" s="68"/>
      <c r="F4405" s="68">
        <v>1455</v>
      </c>
      <c r="G4405" s="68">
        <v>1651</v>
      </c>
      <c r="H44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06" spans="1:8" hidden="1" x14ac:dyDescent="0.3">
      <c r="A4406" t="s">
        <v>897</v>
      </c>
      <c r="B4406" t="s">
        <v>1411</v>
      </c>
      <c r="C4406" t="s">
        <v>26</v>
      </c>
      <c r="D4406" s="68">
        <v>818</v>
      </c>
      <c r="E4406" s="68"/>
      <c r="F4406" s="68">
        <v>691</v>
      </c>
      <c r="G4406" s="68">
        <v>1509</v>
      </c>
      <c r="H44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07" spans="1:8" hidden="1" x14ac:dyDescent="0.3">
      <c r="A4407" t="s">
        <v>897</v>
      </c>
      <c r="B4407" t="s">
        <v>1411</v>
      </c>
      <c r="C4407" t="s">
        <v>27</v>
      </c>
      <c r="D4407" s="68"/>
      <c r="E4407" s="68">
        <v>332</v>
      </c>
      <c r="F4407" s="68"/>
      <c r="G4407" s="68">
        <v>332</v>
      </c>
      <c r="H44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08" spans="1:8" hidden="1" x14ac:dyDescent="0.3">
      <c r="A4408" t="s">
        <v>897</v>
      </c>
      <c r="B4408" t="s">
        <v>1411</v>
      </c>
      <c r="C4408" t="s">
        <v>33</v>
      </c>
      <c r="D4408" s="68">
        <v>148</v>
      </c>
      <c r="E4408" s="68"/>
      <c r="F4408" s="68">
        <v>77</v>
      </c>
      <c r="G4408" s="68">
        <v>225</v>
      </c>
      <c r="H44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09" spans="1:8" hidden="1" x14ac:dyDescent="0.3">
      <c r="A4409" t="s">
        <v>897</v>
      </c>
      <c r="B4409" t="s">
        <v>1412</v>
      </c>
      <c r="C4409" t="s">
        <v>1077</v>
      </c>
      <c r="D4409" s="68">
        <v>215</v>
      </c>
      <c r="E4409" s="68"/>
      <c r="F4409" s="68">
        <v>8672</v>
      </c>
      <c r="G4409" s="68">
        <v>8887</v>
      </c>
      <c r="H44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10" spans="1:8" hidden="1" x14ac:dyDescent="0.3">
      <c r="A4410" t="s">
        <v>897</v>
      </c>
      <c r="B4410" t="s">
        <v>1412</v>
      </c>
      <c r="C4410" t="s">
        <v>36</v>
      </c>
      <c r="D4410" s="68">
        <v>707</v>
      </c>
      <c r="E4410" s="68"/>
      <c r="F4410" s="68">
        <v>3690</v>
      </c>
      <c r="G4410" s="68">
        <v>4397</v>
      </c>
      <c r="H44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11" spans="1:8" hidden="1" x14ac:dyDescent="0.3">
      <c r="A4411" t="s">
        <v>897</v>
      </c>
      <c r="B4411" t="s">
        <v>1412</v>
      </c>
      <c r="C4411" t="s">
        <v>38</v>
      </c>
      <c r="D4411" s="68">
        <v>135</v>
      </c>
      <c r="E4411" s="68"/>
      <c r="F4411" s="68">
        <v>2786</v>
      </c>
      <c r="G4411" s="68">
        <v>2921</v>
      </c>
      <c r="H44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12" spans="1:8" hidden="1" x14ac:dyDescent="0.3">
      <c r="A4412" t="s">
        <v>897</v>
      </c>
      <c r="B4412" t="s">
        <v>1412</v>
      </c>
      <c r="C4412" t="s">
        <v>26</v>
      </c>
      <c r="D4412" s="68">
        <v>498</v>
      </c>
      <c r="E4412" s="68"/>
      <c r="F4412" s="68">
        <v>510</v>
      </c>
      <c r="G4412" s="68">
        <v>1008</v>
      </c>
      <c r="H44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13" spans="1:8" hidden="1" x14ac:dyDescent="0.3">
      <c r="A4413" t="s">
        <v>897</v>
      </c>
      <c r="B4413" t="s">
        <v>1412</v>
      </c>
      <c r="C4413" t="s">
        <v>27</v>
      </c>
      <c r="D4413" s="68"/>
      <c r="E4413" s="68">
        <v>589</v>
      </c>
      <c r="F4413" s="68"/>
      <c r="G4413" s="68">
        <v>589</v>
      </c>
      <c r="H44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14" spans="1:8" hidden="1" x14ac:dyDescent="0.3">
      <c r="A4414" t="s">
        <v>897</v>
      </c>
      <c r="B4414" t="s">
        <v>1412</v>
      </c>
      <c r="C4414" t="s">
        <v>33</v>
      </c>
      <c r="D4414" s="68">
        <v>1</v>
      </c>
      <c r="E4414" s="68"/>
      <c r="F4414" s="68"/>
      <c r="G4414" s="68">
        <v>1</v>
      </c>
      <c r="H44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15" spans="1:8" hidden="1" x14ac:dyDescent="0.3">
      <c r="A4415" t="s">
        <v>897</v>
      </c>
      <c r="B4415" t="s">
        <v>1413</v>
      </c>
      <c r="C4415" t="s">
        <v>36</v>
      </c>
      <c r="D4415" s="68">
        <v>145361</v>
      </c>
      <c r="E4415" s="68"/>
      <c r="F4415" s="68">
        <v>50839</v>
      </c>
      <c r="G4415" s="68">
        <v>196200</v>
      </c>
      <c r="H44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16" spans="1:8" hidden="1" x14ac:dyDescent="0.3">
      <c r="A4416" t="s">
        <v>897</v>
      </c>
      <c r="B4416" t="s">
        <v>1413</v>
      </c>
      <c r="C4416" t="s">
        <v>34</v>
      </c>
      <c r="D4416" s="68">
        <v>97845</v>
      </c>
      <c r="E4416" s="68"/>
      <c r="F4416" s="68">
        <v>20648</v>
      </c>
      <c r="G4416" s="68">
        <v>118493</v>
      </c>
      <c r="H44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17" spans="1:8" hidden="1" x14ac:dyDescent="0.3">
      <c r="A4417" t="s">
        <v>897</v>
      </c>
      <c r="B4417" t="s">
        <v>1413</v>
      </c>
      <c r="C4417" t="s">
        <v>26</v>
      </c>
      <c r="D4417" s="68">
        <v>52483</v>
      </c>
      <c r="E4417" s="68"/>
      <c r="F4417" s="68">
        <v>34972</v>
      </c>
      <c r="G4417" s="68">
        <v>87455</v>
      </c>
      <c r="H44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18" spans="1:8" hidden="1" x14ac:dyDescent="0.3">
      <c r="A4418" t="s">
        <v>897</v>
      </c>
      <c r="B4418" t="s">
        <v>1413</v>
      </c>
      <c r="C4418" t="s">
        <v>38</v>
      </c>
      <c r="D4418" s="68">
        <v>3985</v>
      </c>
      <c r="E4418" s="68"/>
      <c r="F4418" s="68">
        <v>52496</v>
      </c>
      <c r="G4418" s="68">
        <v>56481</v>
      </c>
      <c r="H44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19" spans="1:8" hidden="1" x14ac:dyDescent="0.3">
      <c r="A4419" t="s">
        <v>897</v>
      </c>
      <c r="B4419" t="s">
        <v>1413</v>
      </c>
      <c r="C4419" t="s">
        <v>5</v>
      </c>
      <c r="D4419" s="68">
        <v>45965</v>
      </c>
      <c r="E4419" s="68"/>
      <c r="F4419" s="68">
        <v>10065</v>
      </c>
      <c r="G4419" s="68">
        <v>56030</v>
      </c>
      <c r="H44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20" spans="1:8" hidden="1" x14ac:dyDescent="0.3">
      <c r="A4420" t="s">
        <v>897</v>
      </c>
      <c r="B4420" t="s">
        <v>1413</v>
      </c>
      <c r="C4420" t="s">
        <v>33</v>
      </c>
      <c r="D4420" s="68">
        <v>34186</v>
      </c>
      <c r="E4420" s="68"/>
      <c r="F4420" s="68">
        <v>13482</v>
      </c>
      <c r="G4420" s="68">
        <v>47668</v>
      </c>
      <c r="H44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21" spans="1:8" hidden="1" x14ac:dyDescent="0.3">
      <c r="A4421" t="s">
        <v>897</v>
      </c>
      <c r="B4421" t="s">
        <v>1413</v>
      </c>
      <c r="C4421" t="s">
        <v>31</v>
      </c>
      <c r="D4421" s="68">
        <v>2062</v>
      </c>
      <c r="E4421" s="68"/>
      <c r="F4421" s="68">
        <v>21120</v>
      </c>
      <c r="G4421" s="68">
        <v>23182</v>
      </c>
      <c r="H44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22" spans="1:8" hidden="1" x14ac:dyDescent="0.3">
      <c r="A4422" t="s">
        <v>897</v>
      </c>
      <c r="B4422" t="s">
        <v>1413</v>
      </c>
      <c r="C4422" t="s">
        <v>27</v>
      </c>
      <c r="D4422" s="68"/>
      <c r="E4422" s="68">
        <v>11835</v>
      </c>
      <c r="F4422" s="68"/>
      <c r="G4422" s="68">
        <v>11835</v>
      </c>
      <c r="H44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23" spans="1:8" hidden="1" x14ac:dyDescent="0.3">
      <c r="A4423" t="s">
        <v>897</v>
      </c>
      <c r="B4423" t="s">
        <v>1413</v>
      </c>
      <c r="C4423" t="s">
        <v>37</v>
      </c>
      <c r="D4423" s="68">
        <v>2542</v>
      </c>
      <c r="E4423" s="68"/>
      <c r="F4423" s="68">
        <v>5167</v>
      </c>
      <c r="G4423" s="68">
        <v>7709</v>
      </c>
      <c r="H44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24" spans="1:8" hidden="1" x14ac:dyDescent="0.3">
      <c r="A4424" t="s">
        <v>897</v>
      </c>
      <c r="B4424" t="s">
        <v>1413</v>
      </c>
      <c r="C4424" t="s">
        <v>41</v>
      </c>
      <c r="D4424" s="68">
        <v>816</v>
      </c>
      <c r="E4424" s="68"/>
      <c r="F4424" s="68">
        <v>1926</v>
      </c>
      <c r="G4424" s="68">
        <v>2742</v>
      </c>
      <c r="H44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25" spans="1:8" hidden="1" x14ac:dyDescent="0.3">
      <c r="A4425" t="s">
        <v>897</v>
      </c>
      <c r="B4425" t="s">
        <v>1413</v>
      </c>
      <c r="C4425" t="s">
        <v>1077</v>
      </c>
      <c r="D4425" s="68">
        <v>263</v>
      </c>
      <c r="E4425" s="68"/>
      <c r="F4425" s="68">
        <v>919</v>
      </c>
      <c r="G4425" s="68">
        <v>1182</v>
      </c>
      <c r="H44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26" spans="1:8" hidden="1" x14ac:dyDescent="0.3">
      <c r="A4426" t="s">
        <v>897</v>
      </c>
      <c r="B4426" t="s">
        <v>1413</v>
      </c>
      <c r="C4426" t="s">
        <v>35</v>
      </c>
      <c r="D4426" s="68">
        <v>170</v>
      </c>
      <c r="E4426" s="68"/>
      <c r="F4426" s="68"/>
      <c r="G4426" s="68">
        <v>170</v>
      </c>
      <c r="H44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27" spans="1:8" hidden="1" x14ac:dyDescent="0.3">
      <c r="A4427" t="s">
        <v>897</v>
      </c>
      <c r="B4427" t="s">
        <v>1413</v>
      </c>
      <c r="C4427" t="s">
        <v>553</v>
      </c>
      <c r="D4427" s="68">
        <v>1</v>
      </c>
      <c r="E4427" s="68"/>
      <c r="F4427" s="68"/>
      <c r="G4427" s="68">
        <v>1</v>
      </c>
      <c r="H44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28" spans="1:8" hidden="1" x14ac:dyDescent="0.3">
      <c r="A4428" t="s">
        <v>897</v>
      </c>
      <c r="B4428" t="s">
        <v>1413</v>
      </c>
      <c r="C4428" t="s">
        <v>538</v>
      </c>
      <c r="D4428" s="68"/>
      <c r="E4428" s="68"/>
      <c r="F4428" s="68">
        <v>1</v>
      </c>
      <c r="G4428" s="68">
        <v>1</v>
      </c>
      <c r="H44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29" spans="1:8" hidden="1" x14ac:dyDescent="0.3">
      <c r="A4429" t="s">
        <v>897</v>
      </c>
      <c r="B4429" t="s">
        <v>1413</v>
      </c>
      <c r="C4429" t="s">
        <v>32</v>
      </c>
      <c r="D4429" s="68"/>
      <c r="E4429" s="68"/>
      <c r="F4429" s="68">
        <v>1</v>
      </c>
      <c r="G4429" s="68">
        <v>1</v>
      </c>
      <c r="H44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30" spans="1:8" hidden="1" x14ac:dyDescent="0.3">
      <c r="A4430" t="s">
        <v>897</v>
      </c>
      <c r="B4430" t="s">
        <v>1414</v>
      </c>
      <c r="C4430" t="s">
        <v>1077</v>
      </c>
      <c r="D4430" s="68">
        <v>504</v>
      </c>
      <c r="E4430" s="68"/>
      <c r="F4430" s="68">
        <v>11142</v>
      </c>
      <c r="G4430" s="68">
        <v>11646</v>
      </c>
      <c r="H44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31" spans="1:8" hidden="1" x14ac:dyDescent="0.3">
      <c r="A4431" t="s">
        <v>897</v>
      </c>
      <c r="B4431" t="s">
        <v>1414</v>
      </c>
      <c r="C4431" t="s">
        <v>26</v>
      </c>
      <c r="D4431" s="68">
        <v>972</v>
      </c>
      <c r="E4431" s="68"/>
      <c r="F4431" s="68">
        <v>3022</v>
      </c>
      <c r="G4431" s="68">
        <v>3994</v>
      </c>
      <c r="H44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32" spans="1:8" hidden="1" x14ac:dyDescent="0.3">
      <c r="A4432" t="s">
        <v>897</v>
      </c>
      <c r="B4432" t="s">
        <v>1414</v>
      </c>
      <c r="C4432" t="s">
        <v>38</v>
      </c>
      <c r="D4432" s="68">
        <v>169</v>
      </c>
      <c r="E4432" s="68"/>
      <c r="F4432" s="68">
        <v>2184</v>
      </c>
      <c r="G4432" s="68">
        <v>2353</v>
      </c>
      <c r="H44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33" spans="1:8" hidden="1" x14ac:dyDescent="0.3">
      <c r="A4433" t="s">
        <v>897</v>
      </c>
      <c r="B4433" t="s">
        <v>1414</v>
      </c>
      <c r="C4433" t="s">
        <v>27</v>
      </c>
      <c r="D4433" s="68"/>
      <c r="E4433" s="68">
        <v>1145</v>
      </c>
      <c r="F4433" s="68"/>
      <c r="G4433" s="68">
        <v>1145</v>
      </c>
      <c r="H44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34" spans="1:8" hidden="1" x14ac:dyDescent="0.3">
      <c r="A4434" t="s">
        <v>897</v>
      </c>
      <c r="B4434" t="s">
        <v>1414</v>
      </c>
      <c r="C4434" t="s">
        <v>31</v>
      </c>
      <c r="D4434" s="68">
        <v>69</v>
      </c>
      <c r="E4434" s="68"/>
      <c r="F4434" s="68">
        <v>1023</v>
      </c>
      <c r="G4434" s="68">
        <v>1092</v>
      </c>
      <c r="H44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35" spans="1:8" hidden="1" x14ac:dyDescent="0.3">
      <c r="A4435" t="s">
        <v>897</v>
      </c>
      <c r="B4435" t="s">
        <v>1414</v>
      </c>
      <c r="C4435" t="s">
        <v>33</v>
      </c>
      <c r="D4435" s="68">
        <v>50</v>
      </c>
      <c r="E4435" s="68"/>
      <c r="F4435" s="68">
        <v>14</v>
      </c>
      <c r="G4435" s="68">
        <v>64</v>
      </c>
      <c r="H44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36" spans="1:8" hidden="1" x14ac:dyDescent="0.3">
      <c r="A4436" t="s">
        <v>897</v>
      </c>
      <c r="B4436" t="s">
        <v>1414</v>
      </c>
      <c r="C4436" t="s">
        <v>36</v>
      </c>
      <c r="D4436" s="68">
        <v>29</v>
      </c>
      <c r="E4436" s="68"/>
      <c r="F4436" s="68">
        <v>22</v>
      </c>
      <c r="G4436" s="68">
        <v>51</v>
      </c>
      <c r="H44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37" spans="1:8" hidden="1" x14ac:dyDescent="0.3">
      <c r="A4437" t="s">
        <v>897</v>
      </c>
      <c r="B4437" t="s">
        <v>1415</v>
      </c>
      <c r="C4437" t="s">
        <v>38</v>
      </c>
      <c r="D4437" s="68">
        <v>443</v>
      </c>
      <c r="E4437" s="68"/>
      <c r="F4437" s="68">
        <v>7311</v>
      </c>
      <c r="G4437" s="68">
        <v>7754</v>
      </c>
      <c r="H44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38" spans="1:8" hidden="1" x14ac:dyDescent="0.3">
      <c r="A4438" t="s">
        <v>897</v>
      </c>
      <c r="B4438" t="s">
        <v>1415</v>
      </c>
      <c r="C4438" t="s">
        <v>26</v>
      </c>
      <c r="D4438" s="68">
        <v>1847</v>
      </c>
      <c r="E4438" s="68"/>
      <c r="F4438" s="68">
        <v>5863</v>
      </c>
      <c r="G4438" s="68">
        <v>7710</v>
      </c>
      <c r="H44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39" spans="1:8" hidden="1" x14ac:dyDescent="0.3">
      <c r="A4439" t="s">
        <v>897</v>
      </c>
      <c r="B4439" t="s">
        <v>1415</v>
      </c>
      <c r="C4439" t="s">
        <v>1077</v>
      </c>
      <c r="D4439" s="68">
        <v>452</v>
      </c>
      <c r="E4439" s="68"/>
      <c r="F4439" s="68">
        <v>5383</v>
      </c>
      <c r="G4439" s="68">
        <v>5835</v>
      </c>
      <c r="H44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40" spans="1:8" hidden="1" x14ac:dyDescent="0.3">
      <c r="A4440" t="s">
        <v>897</v>
      </c>
      <c r="B4440" t="s">
        <v>1415</v>
      </c>
      <c r="C4440" t="s">
        <v>31</v>
      </c>
      <c r="D4440" s="68">
        <v>190</v>
      </c>
      <c r="E4440" s="68"/>
      <c r="F4440" s="68">
        <v>2304</v>
      </c>
      <c r="G4440" s="68">
        <v>2494</v>
      </c>
      <c r="H44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41" spans="1:8" hidden="1" x14ac:dyDescent="0.3">
      <c r="A4441" t="s">
        <v>897</v>
      </c>
      <c r="B4441" t="s">
        <v>1415</v>
      </c>
      <c r="C4441" t="s">
        <v>27</v>
      </c>
      <c r="D4441" s="68"/>
      <c r="E4441" s="68">
        <v>581</v>
      </c>
      <c r="F4441" s="68"/>
      <c r="G4441" s="68">
        <v>581</v>
      </c>
      <c r="H44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42" spans="1:8" hidden="1" x14ac:dyDescent="0.3">
      <c r="A4442" t="s">
        <v>897</v>
      </c>
      <c r="B4442" t="s">
        <v>1415</v>
      </c>
      <c r="C4442" t="s">
        <v>36</v>
      </c>
      <c r="D4442" s="68">
        <v>82</v>
      </c>
      <c r="E4442" s="68"/>
      <c r="F4442" s="68">
        <v>42</v>
      </c>
      <c r="G4442" s="68">
        <v>124</v>
      </c>
      <c r="H44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43" spans="1:8" hidden="1" x14ac:dyDescent="0.3">
      <c r="A4443" t="s">
        <v>897</v>
      </c>
      <c r="B4443" t="s">
        <v>1416</v>
      </c>
      <c r="C4443" t="s">
        <v>26</v>
      </c>
      <c r="D4443" s="68">
        <v>14075</v>
      </c>
      <c r="E4443" s="68"/>
      <c r="F4443" s="68">
        <v>13112</v>
      </c>
      <c r="G4443" s="68">
        <v>27187</v>
      </c>
      <c r="H44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44" spans="1:8" hidden="1" x14ac:dyDescent="0.3">
      <c r="A4444" t="s">
        <v>897</v>
      </c>
      <c r="B4444" t="s">
        <v>1416</v>
      </c>
      <c r="C4444" t="s">
        <v>36</v>
      </c>
      <c r="D4444" s="68">
        <v>12884</v>
      </c>
      <c r="E4444" s="68"/>
      <c r="F4444" s="68">
        <v>8509</v>
      </c>
      <c r="G4444" s="68">
        <v>21393</v>
      </c>
      <c r="H44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45" spans="1:8" hidden="1" x14ac:dyDescent="0.3">
      <c r="A4445" t="s">
        <v>897</v>
      </c>
      <c r="B4445" t="s">
        <v>1416</v>
      </c>
      <c r="C4445" t="s">
        <v>38</v>
      </c>
      <c r="D4445" s="68">
        <v>1221</v>
      </c>
      <c r="E4445" s="68"/>
      <c r="F4445" s="68">
        <v>13200</v>
      </c>
      <c r="G4445" s="68">
        <v>14421</v>
      </c>
      <c r="H44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46" spans="1:8" hidden="1" x14ac:dyDescent="0.3">
      <c r="A4446" t="s">
        <v>897</v>
      </c>
      <c r="B4446" t="s">
        <v>1416</v>
      </c>
      <c r="C4446" t="s">
        <v>33</v>
      </c>
      <c r="D4446" s="68">
        <v>4260</v>
      </c>
      <c r="E4446" s="68"/>
      <c r="F4446" s="68">
        <v>1736</v>
      </c>
      <c r="G4446" s="68">
        <v>5996</v>
      </c>
      <c r="H44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47" spans="1:8" hidden="1" x14ac:dyDescent="0.3">
      <c r="A4447" t="s">
        <v>897</v>
      </c>
      <c r="B4447" t="s">
        <v>1416</v>
      </c>
      <c r="C4447" t="s">
        <v>37</v>
      </c>
      <c r="D4447" s="68">
        <v>1431</v>
      </c>
      <c r="E4447" s="68"/>
      <c r="F4447" s="68">
        <v>3188</v>
      </c>
      <c r="G4447" s="68">
        <v>4619</v>
      </c>
      <c r="H44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48" spans="1:8" hidden="1" x14ac:dyDescent="0.3">
      <c r="A4448" t="s">
        <v>897</v>
      </c>
      <c r="B4448" t="s">
        <v>1416</v>
      </c>
      <c r="C4448" t="s">
        <v>27</v>
      </c>
      <c r="D4448" s="68"/>
      <c r="E4448" s="68">
        <v>1315</v>
      </c>
      <c r="F4448" s="68"/>
      <c r="G4448" s="68">
        <v>1315</v>
      </c>
      <c r="H44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49" spans="1:8" hidden="1" x14ac:dyDescent="0.3">
      <c r="A4449" t="s">
        <v>897</v>
      </c>
      <c r="B4449" t="s">
        <v>1416</v>
      </c>
      <c r="C4449" t="s">
        <v>5</v>
      </c>
      <c r="D4449" s="68">
        <v>16</v>
      </c>
      <c r="E4449" s="68"/>
      <c r="F4449" s="68">
        <v>5</v>
      </c>
      <c r="G4449" s="68">
        <v>21</v>
      </c>
      <c r="H44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50" spans="1:8" hidden="1" x14ac:dyDescent="0.3">
      <c r="A4450" t="s">
        <v>897</v>
      </c>
      <c r="B4450" t="s">
        <v>1416</v>
      </c>
      <c r="C4450" t="s">
        <v>34</v>
      </c>
      <c r="D4450" s="68">
        <v>2</v>
      </c>
      <c r="E4450" s="68"/>
      <c r="F4450" s="68"/>
      <c r="G4450" s="68">
        <v>2</v>
      </c>
      <c r="H44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51" spans="1:8" hidden="1" x14ac:dyDescent="0.3">
      <c r="A4451" t="s">
        <v>897</v>
      </c>
      <c r="B4451" t="s">
        <v>1417</v>
      </c>
      <c r="C4451" t="s">
        <v>38</v>
      </c>
      <c r="D4451" s="68">
        <v>178</v>
      </c>
      <c r="E4451" s="68"/>
      <c r="F4451" s="68">
        <v>3354</v>
      </c>
      <c r="G4451" s="68">
        <v>3532</v>
      </c>
      <c r="H44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52" spans="1:8" hidden="1" x14ac:dyDescent="0.3">
      <c r="A4452" t="s">
        <v>897</v>
      </c>
      <c r="B4452" t="s">
        <v>1417</v>
      </c>
      <c r="C4452" t="s">
        <v>36</v>
      </c>
      <c r="D4452" s="68">
        <v>881</v>
      </c>
      <c r="E4452" s="68"/>
      <c r="F4452" s="68">
        <v>2216</v>
      </c>
      <c r="G4452" s="68">
        <v>3097</v>
      </c>
      <c r="H44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53" spans="1:8" hidden="1" x14ac:dyDescent="0.3">
      <c r="A4453" t="s">
        <v>897</v>
      </c>
      <c r="B4453" t="s">
        <v>1417</v>
      </c>
      <c r="C4453" t="s">
        <v>41</v>
      </c>
      <c r="D4453" s="68">
        <v>206</v>
      </c>
      <c r="E4453" s="68"/>
      <c r="F4453" s="68">
        <v>2109</v>
      </c>
      <c r="G4453" s="68">
        <v>2315</v>
      </c>
      <c r="H44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54" spans="1:8" hidden="1" x14ac:dyDescent="0.3">
      <c r="A4454" t="s">
        <v>897</v>
      </c>
      <c r="B4454" t="s">
        <v>1417</v>
      </c>
      <c r="C4454" t="s">
        <v>26</v>
      </c>
      <c r="D4454" s="68">
        <v>793</v>
      </c>
      <c r="E4454" s="68"/>
      <c r="F4454" s="68">
        <v>622</v>
      </c>
      <c r="G4454" s="68">
        <v>1415</v>
      </c>
      <c r="H44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55" spans="1:8" hidden="1" x14ac:dyDescent="0.3">
      <c r="A4455" t="s">
        <v>897</v>
      </c>
      <c r="B4455" t="s">
        <v>1417</v>
      </c>
      <c r="C4455" t="s">
        <v>27</v>
      </c>
      <c r="D4455" s="68"/>
      <c r="E4455" s="68">
        <v>233</v>
      </c>
      <c r="F4455" s="68"/>
      <c r="G4455" s="68">
        <v>233</v>
      </c>
      <c r="H44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56" spans="1:8" hidden="1" x14ac:dyDescent="0.3">
      <c r="A4456" t="s">
        <v>897</v>
      </c>
      <c r="B4456" t="s">
        <v>1417</v>
      </c>
      <c r="C4456" t="s">
        <v>33</v>
      </c>
      <c r="D4456" s="68">
        <v>50</v>
      </c>
      <c r="E4456" s="68"/>
      <c r="F4456" s="68">
        <v>32</v>
      </c>
      <c r="G4456" s="68">
        <v>82</v>
      </c>
      <c r="H44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57" spans="1:8" hidden="1" x14ac:dyDescent="0.3">
      <c r="A4457" t="s">
        <v>395</v>
      </c>
      <c r="B4457" t="s">
        <v>1418</v>
      </c>
      <c r="C4457" t="s">
        <v>26</v>
      </c>
      <c r="D4457" s="68">
        <v>180</v>
      </c>
      <c r="E4457" s="68"/>
      <c r="F4457" s="68">
        <v>1132</v>
      </c>
      <c r="G4457" s="68">
        <v>1312</v>
      </c>
      <c r="H44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58" spans="1:8" hidden="1" x14ac:dyDescent="0.3">
      <c r="A4458" t="s">
        <v>395</v>
      </c>
      <c r="B4458" t="s">
        <v>1418</v>
      </c>
      <c r="C4458" t="s">
        <v>27</v>
      </c>
      <c r="D4458" s="68"/>
      <c r="E4458" s="68">
        <v>47</v>
      </c>
      <c r="F4458" s="68"/>
      <c r="G4458" s="68">
        <v>47</v>
      </c>
      <c r="H44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59" spans="1:8" hidden="1" x14ac:dyDescent="0.3">
      <c r="A4459" t="s">
        <v>395</v>
      </c>
      <c r="B4459" t="s">
        <v>906</v>
      </c>
      <c r="C4459" t="s">
        <v>31</v>
      </c>
      <c r="D4459" s="68">
        <v>165</v>
      </c>
      <c r="E4459" s="68"/>
      <c r="F4459" s="68">
        <v>2234</v>
      </c>
      <c r="G4459" s="68">
        <v>2399</v>
      </c>
      <c r="H44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60" spans="1:8" hidden="1" x14ac:dyDescent="0.3">
      <c r="A4460" t="s">
        <v>395</v>
      </c>
      <c r="B4460" t="s">
        <v>906</v>
      </c>
      <c r="C4460" t="s">
        <v>27</v>
      </c>
      <c r="D4460" s="68"/>
      <c r="E4460" s="68">
        <v>82</v>
      </c>
      <c r="F4460" s="68"/>
      <c r="G4460" s="68">
        <v>82</v>
      </c>
      <c r="H44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61" spans="1:8" hidden="1" x14ac:dyDescent="0.3">
      <c r="A4461" t="s">
        <v>395</v>
      </c>
      <c r="B4461" t="s">
        <v>906</v>
      </c>
      <c r="C4461" t="s">
        <v>26</v>
      </c>
      <c r="D4461" s="68">
        <v>53</v>
      </c>
      <c r="E4461" s="68"/>
      <c r="F4461" s="68">
        <v>21</v>
      </c>
      <c r="G4461" s="68">
        <v>74</v>
      </c>
      <c r="H44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62" spans="1:8" hidden="1" x14ac:dyDescent="0.3">
      <c r="A4462" t="s">
        <v>395</v>
      </c>
      <c r="B4462" t="s">
        <v>1419</v>
      </c>
      <c r="C4462" t="s">
        <v>31</v>
      </c>
      <c r="D4462" s="68">
        <v>639</v>
      </c>
      <c r="E4462" s="68"/>
      <c r="F4462" s="68">
        <v>5062</v>
      </c>
      <c r="G4462" s="68">
        <v>5701</v>
      </c>
      <c r="H44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63" spans="1:8" hidden="1" x14ac:dyDescent="0.3">
      <c r="A4463" t="s">
        <v>395</v>
      </c>
      <c r="B4463" t="s">
        <v>1419</v>
      </c>
      <c r="C4463" t="s">
        <v>26</v>
      </c>
      <c r="D4463" s="68">
        <v>605</v>
      </c>
      <c r="E4463" s="68"/>
      <c r="F4463" s="68">
        <v>591</v>
      </c>
      <c r="G4463" s="68">
        <v>1196</v>
      </c>
      <c r="H44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64" spans="1:8" hidden="1" x14ac:dyDescent="0.3">
      <c r="A4464" t="s">
        <v>395</v>
      </c>
      <c r="B4464" t="s">
        <v>1419</v>
      </c>
      <c r="C4464" t="s">
        <v>27</v>
      </c>
      <c r="D4464" s="68"/>
      <c r="E4464" s="68">
        <v>110</v>
      </c>
      <c r="F4464" s="68"/>
      <c r="G4464" s="68">
        <v>110</v>
      </c>
      <c r="H44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65" spans="1:8" hidden="1" x14ac:dyDescent="0.3">
      <c r="A4465" t="s">
        <v>395</v>
      </c>
      <c r="B4465" t="s">
        <v>566</v>
      </c>
      <c r="C4465" t="s">
        <v>26</v>
      </c>
      <c r="D4465" s="68">
        <v>7247</v>
      </c>
      <c r="E4465" s="68"/>
      <c r="F4465" s="68">
        <v>14426</v>
      </c>
      <c r="G4465" s="68">
        <v>21673</v>
      </c>
      <c r="H44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66" spans="1:8" hidden="1" x14ac:dyDescent="0.3">
      <c r="A4466" t="s">
        <v>395</v>
      </c>
      <c r="B4466" t="s">
        <v>566</v>
      </c>
      <c r="C4466" t="s">
        <v>31</v>
      </c>
      <c r="D4466" s="68">
        <v>932</v>
      </c>
      <c r="E4466" s="68"/>
      <c r="F4466" s="68">
        <v>3196</v>
      </c>
      <c r="G4466" s="68">
        <v>4128</v>
      </c>
      <c r="H44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67" spans="1:8" hidden="1" x14ac:dyDescent="0.3">
      <c r="A4467" t="s">
        <v>395</v>
      </c>
      <c r="B4467" t="s">
        <v>566</v>
      </c>
      <c r="C4467" t="s">
        <v>27</v>
      </c>
      <c r="D4467" s="68"/>
      <c r="E4467" s="68">
        <v>771</v>
      </c>
      <c r="F4467" s="68"/>
      <c r="G4467" s="68">
        <v>771</v>
      </c>
      <c r="H44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68" spans="1:8" hidden="1" x14ac:dyDescent="0.3">
      <c r="A4468" t="s">
        <v>395</v>
      </c>
      <c r="B4468" t="s">
        <v>566</v>
      </c>
      <c r="C4468" t="s">
        <v>5</v>
      </c>
      <c r="D4468" s="68">
        <v>4</v>
      </c>
      <c r="E4468" s="68"/>
      <c r="F4468" s="68"/>
      <c r="G4468" s="68">
        <v>4</v>
      </c>
      <c r="H44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69" spans="1:8" hidden="1" x14ac:dyDescent="0.3">
      <c r="A4469" t="s">
        <v>395</v>
      </c>
      <c r="B4469" t="s">
        <v>566</v>
      </c>
      <c r="C4469" t="s">
        <v>36</v>
      </c>
      <c r="D4469" s="68">
        <v>2</v>
      </c>
      <c r="E4469" s="68"/>
      <c r="F4469" s="68"/>
      <c r="G4469" s="68">
        <v>2</v>
      </c>
      <c r="H44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70" spans="1:8" hidden="1" x14ac:dyDescent="0.3">
      <c r="A4470" t="s">
        <v>395</v>
      </c>
      <c r="B4470" t="s">
        <v>1420</v>
      </c>
      <c r="C4470" t="s">
        <v>31</v>
      </c>
      <c r="D4470" s="68">
        <v>755</v>
      </c>
      <c r="E4470" s="68"/>
      <c r="F4470" s="68">
        <v>3871</v>
      </c>
      <c r="G4470" s="68">
        <v>4626</v>
      </c>
      <c r="H44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71" spans="1:8" hidden="1" x14ac:dyDescent="0.3">
      <c r="A4471" t="s">
        <v>395</v>
      </c>
      <c r="B4471" t="s">
        <v>1420</v>
      </c>
      <c r="C4471" t="s">
        <v>26</v>
      </c>
      <c r="D4471" s="68">
        <v>1101</v>
      </c>
      <c r="E4471" s="68"/>
      <c r="F4471" s="68">
        <v>1027</v>
      </c>
      <c r="G4471" s="68">
        <v>2128</v>
      </c>
      <c r="H44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72" spans="1:8" hidden="1" x14ac:dyDescent="0.3">
      <c r="A4472" t="s">
        <v>395</v>
      </c>
      <c r="B4472" t="s">
        <v>1420</v>
      </c>
      <c r="C4472" t="s">
        <v>27</v>
      </c>
      <c r="D4472" s="68"/>
      <c r="E4472" s="68">
        <v>159</v>
      </c>
      <c r="F4472" s="68"/>
      <c r="G4472" s="68">
        <v>159</v>
      </c>
      <c r="H44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73" spans="1:8" hidden="1" x14ac:dyDescent="0.3">
      <c r="A4473" t="s">
        <v>395</v>
      </c>
      <c r="B4473" t="s">
        <v>1420</v>
      </c>
      <c r="C4473" t="s">
        <v>5</v>
      </c>
      <c r="D4473" s="68">
        <v>1</v>
      </c>
      <c r="E4473" s="68"/>
      <c r="F4473" s="68"/>
      <c r="G4473" s="68">
        <v>1</v>
      </c>
      <c r="H44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74" spans="1:8" hidden="1" x14ac:dyDescent="0.3">
      <c r="A4474" t="s">
        <v>395</v>
      </c>
      <c r="B4474" t="s">
        <v>1421</v>
      </c>
      <c r="C4474" t="s">
        <v>26</v>
      </c>
      <c r="D4474" s="68">
        <v>62419</v>
      </c>
      <c r="E4474" s="68"/>
      <c r="F4474" s="68">
        <v>66429</v>
      </c>
      <c r="G4474" s="68">
        <v>128848</v>
      </c>
      <c r="H44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75" spans="1:8" hidden="1" x14ac:dyDescent="0.3">
      <c r="A4475" t="s">
        <v>395</v>
      </c>
      <c r="B4475" t="s">
        <v>1421</v>
      </c>
      <c r="C4475" t="s">
        <v>5</v>
      </c>
      <c r="D4475" s="68">
        <v>32232</v>
      </c>
      <c r="E4475" s="68"/>
      <c r="F4475" s="68">
        <v>12919</v>
      </c>
      <c r="G4475" s="68">
        <v>45151</v>
      </c>
      <c r="H44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76" spans="1:8" hidden="1" x14ac:dyDescent="0.3">
      <c r="A4476" t="s">
        <v>395</v>
      </c>
      <c r="B4476" t="s">
        <v>1421</v>
      </c>
      <c r="C4476" t="s">
        <v>37</v>
      </c>
      <c r="D4476" s="68">
        <v>9908</v>
      </c>
      <c r="E4476" s="68"/>
      <c r="F4476" s="68">
        <v>15846</v>
      </c>
      <c r="G4476" s="68">
        <v>25754</v>
      </c>
      <c r="H44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77" spans="1:8" hidden="1" x14ac:dyDescent="0.3">
      <c r="A4477" t="s">
        <v>395</v>
      </c>
      <c r="B4477" t="s">
        <v>1421</v>
      </c>
      <c r="C4477" t="s">
        <v>36</v>
      </c>
      <c r="D4477" s="68">
        <v>13143</v>
      </c>
      <c r="E4477" s="68"/>
      <c r="F4477" s="68">
        <v>10853</v>
      </c>
      <c r="G4477" s="68">
        <v>23996</v>
      </c>
      <c r="H44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78" spans="1:8" hidden="1" x14ac:dyDescent="0.3">
      <c r="A4478" t="s">
        <v>395</v>
      </c>
      <c r="B4478" t="s">
        <v>1421</v>
      </c>
      <c r="C4478" t="s">
        <v>27</v>
      </c>
      <c r="D4478" s="68"/>
      <c r="E4478" s="68">
        <v>16945</v>
      </c>
      <c r="F4478" s="68"/>
      <c r="G4478" s="68">
        <v>16945</v>
      </c>
      <c r="H44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79" spans="1:8" hidden="1" x14ac:dyDescent="0.3">
      <c r="A4479" t="s">
        <v>395</v>
      </c>
      <c r="B4479" t="s">
        <v>1421</v>
      </c>
      <c r="C4479" t="s">
        <v>31</v>
      </c>
      <c r="D4479" s="68">
        <v>1777</v>
      </c>
      <c r="E4479" s="68"/>
      <c r="F4479" s="68">
        <v>12760</v>
      </c>
      <c r="G4479" s="68">
        <v>14537</v>
      </c>
      <c r="H44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80" spans="1:8" hidden="1" x14ac:dyDescent="0.3">
      <c r="A4480" t="s">
        <v>395</v>
      </c>
      <c r="B4480" t="s">
        <v>1421</v>
      </c>
      <c r="C4480" t="s">
        <v>35</v>
      </c>
      <c r="D4480" s="68">
        <v>190</v>
      </c>
      <c r="E4480" s="68"/>
      <c r="F4480" s="68"/>
      <c r="G4480" s="68">
        <v>190</v>
      </c>
      <c r="H44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81" spans="1:8" hidden="1" x14ac:dyDescent="0.3">
      <c r="A4481" t="s">
        <v>395</v>
      </c>
      <c r="B4481" t="s">
        <v>1421</v>
      </c>
      <c r="C4481" t="s">
        <v>30</v>
      </c>
      <c r="D4481" s="68"/>
      <c r="E4481" s="68"/>
      <c r="F4481" s="68">
        <v>1</v>
      </c>
      <c r="G4481" s="68">
        <v>1</v>
      </c>
      <c r="H44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82" spans="1:8" hidden="1" x14ac:dyDescent="0.3">
      <c r="A4482" t="s">
        <v>395</v>
      </c>
      <c r="B4482" t="s">
        <v>570</v>
      </c>
      <c r="C4482" t="s">
        <v>5</v>
      </c>
      <c r="D4482" s="68">
        <v>315</v>
      </c>
      <c r="E4482" s="68"/>
      <c r="F4482" s="68">
        <v>2036</v>
      </c>
      <c r="G4482" s="68">
        <v>2351</v>
      </c>
      <c r="H44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83" spans="1:8" hidden="1" x14ac:dyDescent="0.3">
      <c r="A4483" t="s">
        <v>395</v>
      </c>
      <c r="B4483" t="s">
        <v>570</v>
      </c>
      <c r="C4483" t="s">
        <v>26</v>
      </c>
      <c r="D4483" s="68">
        <v>461</v>
      </c>
      <c r="E4483" s="68"/>
      <c r="F4483" s="68">
        <v>755</v>
      </c>
      <c r="G4483" s="68">
        <v>1216</v>
      </c>
      <c r="H44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84" spans="1:8" hidden="1" x14ac:dyDescent="0.3">
      <c r="A4484" t="s">
        <v>395</v>
      </c>
      <c r="B4484" t="s">
        <v>570</v>
      </c>
      <c r="C4484" t="s">
        <v>27</v>
      </c>
      <c r="D4484" s="68"/>
      <c r="E4484" s="68">
        <v>97</v>
      </c>
      <c r="F4484" s="68"/>
      <c r="G4484" s="68">
        <v>97</v>
      </c>
      <c r="H44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85" spans="1:8" hidden="1" x14ac:dyDescent="0.3">
      <c r="A4485" t="s">
        <v>395</v>
      </c>
      <c r="B4485" t="s">
        <v>39</v>
      </c>
      <c r="C4485" t="s">
        <v>31</v>
      </c>
      <c r="D4485" s="68">
        <v>279</v>
      </c>
      <c r="E4485" s="68"/>
      <c r="F4485" s="68">
        <v>4171</v>
      </c>
      <c r="G4485" s="68">
        <v>4450</v>
      </c>
      <c r="H44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86" spans="1:8" hidden="1" x14ac:dyDescent="0.3">
      <c r="A4486" t="s">
        <v>395</v>
      </c>
      <c r="B4486" t="s">
        <v>39</v>
      </c>
      <c r="C4486" t="s">
        <v>26</v>
      </c>
      <c r="D4486" s="68">
        <v>488</v>
      </c>
      <c r="E4486" s="68"/>
      <c r="F4486" s="68">
        <v>1530</v>
      </c>
      <c r="G4486" s="68">
        <v>2018</v>
      </c>
      <c r="H44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87" spans="1:8" hidden="1" x14ac:dyDescent="0.3">
      <c r="A4487" t="s">
        <v>395</v>
      </c>
      <c r="B4487" t="s">
        <v>39</v>
      </c>
      <c r="C4487" t="s">
        <v>27</v>
      </c>
      <c r="D4487" s="68"/>
      <c r="E4487" s="68">
        <v>312</v>
      </c>
      <c r="F4487" s="68"/>
      <c r="G4487" s="68">
        <v>312</v>
      </c>
      <c r="H44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88" spans="1:8" hidden="1" x14ac:dyDescent="0.3">
      <c r="A4488" t="s">
        <v>395</v>
      </c>
      <c r="B4488" t="s">
        <v>1422</v>
      </c>
      <c r="C4488" t="s">
        <v>26</v>
      </c>
      <c r="D4488" s="68">
        <v>117352</v>
      </c>
      <c r="E4488" s="68"/>
      <c r="F4488" s="68">
        <v>84778</v>
      </c>
      <c r="G4488" s="68">
        <v>202130</v>
      </c>
      <c r="H44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89" spans="1:8" hidden="1" x14ac:dyDescent="0.3">
      <c r="A4489" t="s">
        <v>395</v>
      </c>
      <c r="B4489" t="s">
        <v>1422</v>
      </c>
      <c r="C4489" t="s">
        <v>5</v>
      </c>
      <c r="D4489" s="68">
        <v>130387</v>
      </c>
      <c r="E4489" s="68"/>
      <c r="F4489" s="68">
        <v>30251</v>
      </c>
      <c r="G4489" s="68">
        <v>160638</v>
      </c>
      <c r="H44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90" spans="1:8" hidden="1" x14ac:dyDescent="0.3">
      <c r="A4490" t="s">
        <v>395</v>
      </c>
      <c r="B4490" t="s">
        <v>1422</v>
      </c>
      <c r="C4490" t="s">
        <v>36</v>
      </c>
      <c r="D4490" s="68">
        <v>92949</v>
      </c>
      <c r="E4490" s="68"/>
      <c r="F4490" s="68">
        <v>39344</v>
      </c>
      <c r="G4490" s="68">
        <v>132293</v>
      </c>
      <c r="H44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91" spans="1:8" hidden="1" x14ac:dyDescent="0.3">
      <c r="A4491" t="s">
        <v>395</v>
      </c>
      <c r="B4491" t="s">
        <v>1422</v>
      </c>
      <c r="C4491" t="s">
        <v>34</v>
      </c>
      <c r="D4491" s="68">
        <v>81639</v>
      </c>
      <c r="E4491" s="68"/>
      <c r="F4491" s="68">
        <v>25735</v>
      </c>
      <c r="G4491" s="68">
        <v>107374</v>
      </c>
      <c r="H44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92" spans="1:8" hidden="1" x14ac:dyDescent="0.3">
      <c r="A4492" t="s">
        <v>395</v>
      </c>
      <c r="B4492" t="s">
        <v>1422</v>
      </c>
      <c r="C4492" t="s">
        <v>31</v>
      </c>
      <c r="D4492" s="68">
        <v>11408</v>
      </c>
      <c r="E4492" s="68"/>
      <c r="F4492" s="68">
        <v>79172</v>
      </c>
      <c r="G4492" s="68">
        <v>90580</v>
      </c>
      <c r="H44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93" spans="1:8" hidden="1" x14ac:dyDescent="0.3">
      <c r="A4493" t="s">
        <v>395</v>
      </c>
      <c r="B4493" t="s">
        <v>1422</v>
      </c>
      <c r="C4493" t="s">
        <v>37</v>
      </c>
      <c r="D4493" s="68">
        <v>27838</v>
      </c>
      <c r="E4493" s="68"/>
      <c r="F4493" s="68">
        <v>19341</v>
      </c>
      <c r="G4493" s="68">
        <v>47179</v>
      </c>
      <c r="H44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94" spans="1:8" hidden="1" x14ac:dyDescent="0.3">
      <c r="A4494" t="s">
        <v>395</v>
      </c>
      <c r="B4494" t="s">
        <v>1422</v>
      </c>
      <c r="C4494" t="s">
        <v>27</v>
      </c>
      <c r="D4494" s="68"/>
      <c r="E4494" s="68">
        <v>23530</v>
      </c>
      <c r="F4494" s="68"/>
      <c r="G4494" s="68">
        <v>23530</v>
      </c>
      <c r="H44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95" spans="1:8" hidden="1" x14ac:dyDescent="0.3">
      <c r="A4495" t="s">
        <v>395</v>
      </c>
      <c r="B4495" t="s">
        <v>1422</v>
      </c>
      <c r="C4495" t="s">
        <v>365</v>
      </c>
      <c r="D4495" s="68">
        <v>16176</v>
      </c>
      <c r="E4495" s="68"/>
      <c r="F4495" s="68">
        <v>4987</v>
      </c>
      <c r="G4495" s="68">
        <v>21163</v>
      </c>
      <c r="H44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96" spans="1:8" hidden="1" x14ac:dyDescent="0.3">
      <c r="A4496" t="s">
        <v>395</v>
      </c>
      <c r="B4496" t="s">
        <v>1422</v>
      </c>
      <c r="C4496" t="s">
        <v>35</v>
      </c>
      <c r="D4496" s="68">
        <v>1097</v>
      </c>
      <c r="E4496" s="68"/>
      <c r="F4496" s="68"/>
      <c r="G4496" s="68">
        <v>1097</v>
      </c>
      <c r="H44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97" spans="1:8" hidden="1" x14ac:dyDescent="0.3">
      <c r="A4497" t="s">
        <v>395</v>
      </c>
      <c r="B4497" t="s">
        <v>1422</v>
      </c>
      <c r="C4497" t="s">
        <v>30</v>
      </c>
      <c r="D4497" s="68">
        <v>1</v>
      </c>
      <c r="E4497" s="68"/>
      <c r="F4497" s="68"/>
      <c r="G4497" s="68">
        <v>1</v>
      </c>
      <c r="H44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98" spans="1:8" hidden="1" x14ac:dyDescent="0.3">
      <c r="A4498" t="s">
        <v>395</v>
      </c>
      <c r="B4498" t="s">
        <v>1422</v>
      </c>
      <c r="C4498" t="s">
        <v>537</v>
      </c>
      <c r="D4498" s="68"/>
      <c r="E4498" s="68"/>
      <c r="F4498" s="68">
        <v>1</v>
      </c>
      <c r="G4498" s="68">
        <v>1</v>
      </c>
      <c r="H44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499" spans="1:8" hidden="1" x14ac:dyDescent="0.3">
      <c r="A4499" t="s">
        <v>395</v>
      </c>
      <c r="B4499" t="s">
        <v>1074</v>
      </c>
      <c r="C4499" t="s">
        <v>31</v>
      </c>
      <c r="D4499" s="68">
        <v>111</v>
      </c>
      <c r="E4499" s="68"/>
      <c r="F4499" s="68">
        <v>1200</v>
      </c>
      <c r="G4499" s="68">
        <v>1311</v>
      </c>
      <c r="H44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00" spans="1:8" hidden="1" x14ac:dyDescent="0.3">
      <c r="A4500" t="s">
        <v>395</v>
      </c>
      <c r="B4500" t="s">
        <v>1074</v>
      </c>
      <c r="C4500" t="s">
        <v>26</v>
      </c>
      <c r="D4500" s="68">
        <v>114</v>
      </c>
      <c r="E4500" s="68"/>
      <c r="F4500" s="68">
        <v>76</v>
      </c>
      <c r="G4500" s="68">
        <v>190</v>
      </c>
      <c r="H45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01" spans="1:8" hidden="1" x14ac:dyDescent="0.3">
      <c r="A4501" t="s">
        <v>395</v>
      </c>
      <c r="B4501" t="s">
        <v>1074</v>
      </c>
      <c r="C4501" t="s">
        <v>27</v>
      </c>
      <c r="D4501" s="68"/>
      <c r="E4501" s="68">
        <v>25</v>
      </c>
      <c r="F4501" s="68"/>
      <c r="G4501" s="68">
        <v>25</v>
      </c>
      <c r="H45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02" spans="1:8" hidden="1" x14ac:dyDescent="0.3">
      <c r="A4502" t="s">
        <v>395</v>
      </c>
      <c r="B4502" t="s">
        <v>1423</v>
      </c>
      <c r="C4502" t="s">
        <v>26</v>
      </c>
      <c r="D4502" s="68">
        <v>365</v>
      </c>
      <c r="E4502" s="68"/>
      <c r="F4502" s="68">
        <v>938</v>
      </c>
      <c r="G4502" s="68">
        <v>1303</v>
      </c>
      <c r="H45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03" spans="1:8" hidden="1" x14ac:dyDescent="0.3">
      <c r="A4503" t="s">
        <v>395</v>
      </c>
      <c r="B4503" t="s">
        <v>1423</v>
      </c>
      <c r="C4503" t="s">
        <v>27</v>
      </c>
      <c r="D4503" s="68"/>
      <c r="E4503" s="68">
        <v>20</v>
      </c>
      <c r="F4503" s="68"/>
      <c r="G4503" s="68">
        <v>20</v>
      </c>
      <c r="H45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04" spans="1:8" hidden="1" x14ac:dyDescent="0.3">
      <c r="A4504" t="s">
        <v>395</v>
      </c>
      <c r="B4504" t="s">
        <v>1424</v>
      </c>
      <c r="C4504" t="s">
        <v>5</v>
      </c>
      <c r="D4504" s="68">
        <v>457</v>
      </c>
      <c r="E4504" s="68"/>
      <c r="F4504" s="68">
        <v>3319</v>
      </c>
      <c r="G4504" s="68">
        <v>3776</v>
      </c>
      <c r="H45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05" spans="1:8" hidden="1" x14ac:dyDescent="0.3">
      <c r="A4505" t="s">
        <v>395</v>
      </c>
      <c r="B4505" t="s">
        <v>1424</v>
      </c>
      <c r="C4505" t="s">
        <v>26</v>
      </c>
      <c r="D4505" s="68">
        <v>234</v>
      </c>
      <c r="E4505" s="68"/>
      <c r="F4505" s="68">
        <v>593</v>
      </c>
      <c r="G4505" s="68">
        <v>827</v>
      </c>
      <c r="H45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06" spans="1:8" hidden="1" x14ac:dyDescent="0.3">
      <c r="A4506" t="s">
        <v>395</v>
      </c>
      <c r="B4506" t="s">
        <v>1424</v>
      </c>
      <c r="C4506" t="s">
        <v>27</v>
      </c>
      <c r="D4506" s="68"/>
      <c r="E4506" s="68">
        <v>151</v>
      </c>
      <c r="F4506" s="68"/>
      <c r="G4506" s="68">
        <v>151</v>
      </c>
      <c r="H45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07" spans="1:8" hidden="1" x14ac:dyDescent="0.3">
      <c r="A4507" t="s">
        <v>395</v>
      </c>
      <c r="B4507" t="s">
        <v>1424</v>
      </c>
      <c r="C4507" t="s">
        <v>30</v>
      </c>
      <c r="D4507" s="68"/>
      <c r="E4507" s="68"/>
      <c r="F4507" s="68">
        <v>1</v>
      </c>
      <c r="G4507" s="68">
        <v>1</v>
      </c>
      <c r="H45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08" spans="1:8" hidden="1" x14ac:dyDescent="0.3">
      <c r="A4508" t="s">
        <v>395</v>
      </c>
      <c r="B4508" t="s">
        <v>1425</v>
      </c>
      <c r="C4508" t="s">
        <v>5</v>
      </c>
      <c r="D4508" s="68">
        <v>226</v>
      </c>
      <c r="E4508" s="68"/>
      <c r="F4508" s="68">
        <v>3058</v>
      </c>
      <c r="G4508" s="68">
        <v>3284</v>
      </c>
      <c r="H45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09" spans="1:8" hidden="1" x14ac:dyDescent="0.3">
      <c r="A4509" t="s">
        <v>395</v>
      </c>
      <c r="B4509" t="s">
        <v>1425</v>
      </c>
      <c r="C4509" t="s">
        <v>26</v>
      </c>
      <c r="D4509" s="68">
        <v>47</v>
      </c>
      <c r="E4509" s="68"/>
      <c r="F4509" s="68">
        <v>182</v>
      </c>
      <c r="G4509" s="68">
        <v>229</v>
      </c>
      <c r="H45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10" spans="1:8" hidden="1" x14ac:dyDescent="0.3">
      <c r="A4510" t="s">
        <v>395</v>
      </c>
      <c r="B4510" t="s">
        <v>1425</v>
      </c>
      <c r="C4510" t="s">
        <v>27</v>
      </c>
      <c r="D4510" s="68"/>
      <c r="E4510" s="68">
        <v>127</v>
      </c>
      <c r="F4510" s="68"/>
      <c r="G4510" s="68">
        <v>127</v>
      </c>
      <c r="H45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11" spans="1:8" hidden="1" x14ac:dyDescent="0.3">
      <c r="A4511" t="s">
        <v>395</v>
      </c>
      <c r="B4511" t="s">
        <v>1426</v>
      </c>
      <c r="C4511" t="s">
        <v>31</v>
      </c>
      <c r="D4511" s="68">
        <v>69</v>
      </c>
      <c r="E4511" s="68"/>
      <c r="F4511" s="68">
        <v>692</v>
      </c>
      <c r="G4511" s="68">
        <v>761</v>
      </c>
      <c r="H45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12" spans="1:8" hidden="1" x14ac:dyDescent="0.3">
      <c r="A4512" t="s">
        <v>395</v>
      </c>
      <c r="B4512" t="s">
        <v>1426</v>
      </c>
      <c r="C4512" t="s">
        <v>26</v>
      </c>
      <c r="D4512" s="68">
        <v>94</v>
      </c>
      <c r="E4512" s="68"/>
      <c r="F4512" s="68">
        <v>652</v>
      </c>
      <c r="G4512" s="68">
        <v>746</v>
      </c>
      <c r="H45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13" spans="1:8" hidden="1" x14ac:dyDescent="0.3">
      <c r="A4513" t="s">
        <v>395</v>
      </c>
      <c r="B4513" t="s">
        <v>1426</v>
      </c>
      <c r="C4513" t="s">
        <v>27</v>
      </c>
      <c r="D4513" s="68"/>
      <c r="E4513" s="68">
        <v>46</v>
      </c>
      <c r="F4513" s="68"/>
      <c r="G4513" s="68">
        <v>46</v>
      </c>
      <c r="H45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14" spans="1:8" hidden="1" x14ac:dyDescent="0.3">
      <c r="A4514" t="s">
        <v>395</v>
      </c>
      <c r="B4514" t="s">
        <v>1427</v>
      </c>
      <c r="C4514" t="s">
        <v>5</v>
      </c>
      <c r="D4514" s="68">
        <v>393</v>
      </c>
      <c r="E4514" s="68"/>
      <c r="F4514" s="68">
        <v>4580</v>
      </c>
      <c r="G4514" s="68">
        <v>4973</v>
      </c>
      <c r="H45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15" spans="1:8" hidden="1" x14ac:dyDescent="0.3">
      <c r="A4515" t="s">
        <v>395</v>
      </c>
      <c r="B4515" t="s">
        <v>1427</v>
      </c>
      <c r="C4515" t="s">
        <v>26</v>
      </c>
      <c r="D4515" s="68">
        <v>145</v>
      </c>
      <c r="E4515" s="68"/>
      <c r="F4515" s="68">
        <v>1203</v>
      </c>
      <c r="G4515" s="68">
        <v>1348</v>
      </c>
      <c r="H45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16" spans="1:8" hidden="1" x14ac:dyDescent="0.3">
      <c r="A4516" t="s">
        <v>395</v>
      </c>
      <c r="B4516" t="s">
        <v>1427</v>
      </c>
      <c r="C4516" t="s">
        <v>27</v>
      </c>
      <c r="D4516" s="68"/>
      <c r="E4516" s="68">
        <v>179</v>
      </c>
      <c r="F4516" s="68"/>
      <c r="G4516" s="68">
        <v>179</v>
      </c>
      <c r="H45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17" spans="1:8" hidden="1" x14ac:dyDescent="0.3">
      <c r="A4517" t="s">
        <v>395</v>
      </c>
      <c r="B4517" t="s">
        <v>1428</v>
      </c>
      <c r="C4517" t="s">
        <v>31</v>
      </c>
      <c r="D4517" s="68">
        <v>580</v>
      </c>
      <c r="E4517" s="68"/>
      <c r="F4517" s="68">
        <v>5154</v>
      </c>
      <c r="G4517" s="68">
        <v>5734</v>
      </c>
      <c r="H45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18" spans="1:8" hidden="1" x14ac:dyDescent="0.3">
      <c r="A4518" t="s">
        <v>395</v>
      </c>
      <c r="B4518" t="s">
        <v>1428</v>
      </c>
      <c r="C4518" t="s">
        <v>26</v>
      </c>
      <c r="D4518" s="68">
        <v>1351</v>
      </c>
      <c r="E4518" s="68"/>
      <c r="F4518" s="68">
        <v>2738</v>
      </c>
      <c r="G4518" s="68">
        <v>4089</v>
      </c>
      <c r="H45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19" spans="1:8" hidden="1" x14ac:dyDescent="0.3">
      <c r="A4519" t="s">
        <v>395</v>
      </c>
      <c r="B4519" t="s">
        <v>1428</v>
      </c>
      <c r="C4519" t="s">
        <v>27</v>
      </c>
      <c r="D4519" s="68"/>
      <c r="E4519" s="68">
        <v>460</v>
      </c>
      <c r="F4519" s="68"/>
      <c r="G4519" s="68">
        <v>460</v>
      </c>
      <c r="H45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20" spans="1:8" hidden="1" x14ac:dyDescent="0.3">
      <c r="A4520" t="s">
        <v>395</v>
      </c>
      <c r="B4520" t="s">
        <v>1429</v>
      </c>
      <c r="C4520" t="s">
        <v>26</v>
      </c>
      <c r="D4520" s="68">
        <v>202</v>
      </c>
      <c r="E4520" s="68"/>
      <c r="F4520" s="68">
        <v>1826</v>
      </c>
      <c r="G4520" s="68">
        <v>2028</v>
      </c>
      <c r="H45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21" spans="1:8" hidden="1" x14ac:dyDescent="0.3">
      <c r="A4521" t="s">
        <v>395</v>
      </c>
      <c r="B4521" t="s">
        <v>1429</v>
      </c>
      <c r="C4521" t="s">
        <v>27</v>
      </c>
      <c r="D4521" s="68"/>
      <c r="E4521" s="68">
        <v>38</v>
      </c>
      <c r="F4521" s="68"/>
      <c r="G4521" s="68">
        <v>38</v>
      </c>
      <c r="H45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22" spans="1:8" hidden="1" x14ac:dyDescent="0.3">
      <c r="A4522" t="s">
        <v>395</v>
      </c>
      <c r="B4522" t="s">
        <v>1430</v>
      </c>
      <c r="C4522" t="s">
        <v>5</v>
      </c>
      <c r="D4522" s="68">
        <v>200</v>
      </c>
      <c r="E4522" s="68"/>
      <c r="F4522" s="68">
        <v>1117</v>
      </c>
      <c r="G4522" s="68">
        <v>1317</v>
      </c>
      <c r="H45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23" spans="1:8" hidden="1" x14ac:dyDescent="0.3">
      <c r="A4523" t="s">
        <v>395</v>
      </c>
      <c r="B4523" t="s">
        <v>1430</v>
      </c>
      <c r="C4523" t="s">
        <v>26</v>
      </c>
      <c r="D4523" s="68">
        <v>175</v>
      </c>
      <c r="E4523" s="68"/>
      <c r="F4523" s="68">
        <v>746</v>
      </c>
      <c r="G4523" s="68">
        <v>921</v>
      </c>
      <c r="H45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24" spans="1:8" hidden="1" x14ac:dyDescent="0.3">
      <c r="A4524" t="s">
        <v>395</v>
      </c>
      <c r="B4524" t="s">
        <v>1430</v>
      </c>
      <c r="C4524" t="s">
        <v>27</v>
      </c>
      <c r="D4524" s="68"/>
      <c r="E4524" s="68">
        <v>67</v>
      </c>
      <c r="F4524" s="68"/>
      <c r="G4524" s="68">
        <v>67</v>
      </c>
      <c r="H45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25" spans="1:8" hidden="1" x14ac:dyDescent="0.3">
      <c r="A4525" t="s">
        <v>395</v>
      </c>
      <c r="B4525" t="s">
        <v>1431</v>
      </c>
      <c r="C4525" t="s">
        <v>5</v>
      </c>
      <c r="D4525" s="68">
        <v>137</v>
      </c>
      <c r="E4525" s="68"/>
      <c r="F4525" s="68">
        <v>1869</v>
      </c>
      <c r="G4525" s="68">
        <v>2006</v>
      </c>
      <c r="H45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26" spans="1:8" hidden="1" x14ac:dyDescent="0.3">
      <c r="A4526" t="s">
        <v>395</v>
      </c>
      <c r="B4526" t="s">
        <v>1431</v>
      </c>
      <c r="C4526" t="s">
        <v>26</v>
      </c>
      <c r="D4526" s="68">
        <v>242</v>
      </c>
      <c r="E4526" s="68"/>
      <c r="F4526" s="68">
        <v>1010</v>
      </c>
      <c r="G4526" s="68">
        <v>1252</v>
      </c>
      <c r="H45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27" spans="1:8" hidden="1" x14ac:dyDescent="0.3">
      <c r="A4527" t="s">
        <v>395</v>
      </c>
      <c r="B4527" t="s">
        <v>1431</v>
      </c>
      <c r="C4527" t="s">
        <v>27</v>
      </c>
      <c r="D4527" s="68"/>
      <c r="E4527" s="68">
        <v>71</v>
      </c>
      <c r="F4527" s="68"/>
      <c r="G4527" s="68">
        <v>71</v>
      </c>
      <c r="H45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28" spans="1:8" hidden="1" x14ac:dyDescent="0.3">
      <c r="A4528" t="s">
        <v>395</v>
      </c>
      <c r="B4528" t="s">
        <v>1432</v>
      </c>
      <c r="C4528" t="s">
        <v>31</v>
      </c>
      <c r="D4528" s="68">
        <v>1764</v>
      </c>
      <c r="E4528" s="68"/>
      <c r="F4528" s="68">
        <v>16377</v>
      </c>
      <c r="G4528" s="68">
        <v>18141</v>
      </c>
      <c r="H45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29" spans="1:8" hidden="1" x14ac:dyDescent="0.3">
      <c r="A4529" t="s">
        <v>395</v>
      </c>
      <c r="B4529" t="s">
        <v>1432</v>
      </c>
      <c r="C4529" t="s">
        <v>26</v>
      </c>
      <c r="D4529" s="68">
        <v>4401</v>
      </c>
      <c r="E4529" s="68"/>
      <c r="F4529" s="68">
        <v>6808</v>
      </c>
      <c r="G4529" s="68">
        <v>11209</v>
      </c>
      <c r="H45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30" spans="1:8" hidden="1" x14ac:dyDescent="0.3">
      <c r="A4530" t="s">
        <v>395</v>
      </c>
      <c r="B4530" t="s">
        <v>1432</v>
      </c>
      <c r="C4530" t="s">
        <v>27</v>
      </c>
      <c r="D4530" s="68"/>
      <c r="E4530" s="68">
        <v>935</v>
      </c>
      <c r="F4530" s="68"/>
      <c r="G4530" s="68">
        <v>935</v>
      </c>
      <c r="H45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31" spans="1:8" hidden="1" x14ac:dyDescent="0.3">
      <c r="A4531" t="s">
        <v>395</v>
      </c>
      <c r="B4531" t="s">
        <v>1432</v>
      </c>
      <c r="C4531" t="s">
        <v>36</v>
      </c>
      <c r="D4531" s="68">
        <v>107</v>
      </c>
      <c r="E4531" s="68"/>
      <c r="F4531" s="68">
        <v>121</v>
      </c>
      <c r="G4531" s="68">
        <v>228</v>
      </c>
      <c r="H45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32" spans="1:8" hidden="1" x14ac:dyDescent="0.3">
      <c r="A4532" t="s">
        <v>395</v>
      </c>
      <c r="B4532" t="s">
        <v>1432</v>
      </c>
      <c r="C4532" t="s">
        <v>5</v>
      </c>
      <c r="D4532" s="68">
        <v>4</v>
      </c>
      <c r="E4532" s="68"/>
      <c r="F4532" s="68"/>
      <c r="G4532" s="68">
        <v>4</v>
      </c>
      <c r="H45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33" spans="1:8" hidden="1" x14ac:dyDescent="0.3">
      <c r="A4533" t="s">
        <v>395</v>
      </c>
      <c r="B4533" t="s">
        <v>589</v>
      </c>
      <c r="C4533" t="s">
        <v>5</v>
      </c>
      <c r="D4533" s="68">
        <v>444</v>
      </c>
      <c r="E4533" s="68"/>
      <c r="F4533" s="68">
        <v>4109</v>
      </c>
      <c r="G4533" s="68">
        <v>4553</v>
      </c>
      <c r="H45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34" spans="1:8" hidden="1" x14ac:dyDescent="0.3">
      <c r="A4534" t="s">
        <v>395</v>
      </c>
      <c r="B4534" t="s">
        <v>589</v>
      </c>
      <c r="C4534" t="s">
        <v>26</v>
      </c>
      <c r="D4534" s="68">
        <v>124</v>
      </c>
      <c r="E4534" s="68"/>
      <c r="F4534" s="68">
        <v>739</v>
      </c>
      <c r="G4534" s="68">
        <v>863</v>
      </c>
      <c r="H45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35" spans="1:8" hidden="1" x14ac:dyDescent="0.3">
      <c r="A4535" t="s">
        <v>395</v>
      </c>
      <c r="B4535" t="s">
        <v>589</v>
      </c>
      <c r="C4535" t="s">
        <v>27</v>
      </c>
      <c r="D4535" s="68"/>
      <c r="E4535" s="68">
        <v>136</v>
      </c>
      <c r="F4535" s="68"/>
      <c r="G4535" s="68">
        <v>136</v>
      </c>
      <c r="H45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36" spans="1:8" hidden="1" x14ac:dyDescent="0.3">
      <c r="A4536" t="s">
        <v>395</v>
      </c>
      <c r="B4536" t="s">
        <v>1433</v>
      </c>
      <c r="C4536" t="s">
        <v>26</v>
      </c>
      <c r="D4536" s="68">
        <v>309</v>
      </c>
      <c r="E4536" s="68"/>
      <c r="F4536" s="68">
        <v>2332</v>
      </c>
      <c r="G4536" s="68">
        <v>2641</v>
      </c>
      <c r="H45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37" spans="1:8" hidden="1" x14ac:dyDescent="0.3">
      <c r="A4537" t="s">
        <v>395</v>
      </c>
      <c r="B4537" t="s">
        <v>1433</v>
      </c>
      <c r="C4537" t="s">
        <v>27</v>
      </c>
      <c r="D4537" s="68"/>
      <c r="E4537" s="68">
        <v>34</v>
      </c>
      <c r="F4537" s="68"/>
      <c r="G4537" s="68">
        <v>34</v>
      </c>
      <c r="H45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38" spans="1:8" hidden="1" x14ac:dyDescent="0.3">
      <c r="A4538" t="s">
        <v>395</v>
      </c>
      <c r="B4538" t="s">
        <v>1434</v>
      </c>
      <c r="C4538" t="s">
        <v>31</v>
      </c>
      <c r="D4538" s="68">
        <v>246</v>
      </c>
      <c r="E4538" s="68"/>
      <c r="F4538" s="68">
        <v>2155</v>
      </c>
      <c r="G4538" s="68">
        <v>2401</v>
      </c>
      <c r="H45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39" spans="1:8" hidden="1" x14ac:dyDescent="0.3">
      <c r="A4539" t="s">
        <v>395</v>
      </c>
      <c r="B4539" t="s">
        <v>1434</v>
      </c>
      <c r="C4539" t="s">
        <v>26</v>
      </c>
      <c r="D4539" s="68">
        <v>534</v>
      </c>
      <c r="E4539" s="68"/>
      <c r="F4539" s="68">
        <v>200</v>
      </c>
      <c r="G4539" s="68">
        <v>734</v>
      </c>
      <c r="H45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40" spans="1:8" hidden="1" x14ac:dyDescent="0.3">
      <c r="A4540" t="s">
        <v>395</v>
      </c>
      <c r="B4540" t="s">
        <v>1434</v>
      </c>
      <c r="C4540" t="s">
        <v>27</v>
      </c>
      <c r="D4540" s="68"/>
      <c r="E4540" s="68">
        <v>101</v>
      </c>
      <c r="F4540" s="68"/>
      <c r="G4540" s="68">
        <v>101</v>
      </c>
      <c r="H45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41" spans="1:8" hidden="1" x14ac:dyDescent="0.3">
      <c r="A4541" t="s">
        <v>395</v>
      </c>
      <c r="B4541" t="s">
        <v>1435</v>
      </c>
      <c r="C4541" t="s">
        <v>31</v>
      </c>
      <c r="D4541" s="68">
        <v>275</v>
      </c>
      <c r="E4541" s="68"/>
      <c r="F4541" s="68">
        <v>4234</v>
      </c>
      <c r="G4541" s="68">
        <v>4509</v>
      </c>
      <c r="H45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42" spans="1:8" hidden="1" x14ac:dyDescent="0.3">
      <c r="A4542" t="s">
        <v>395</v>
      </c>
      <c r="B4542" t="s">
        <v>1435</v>
      </c>
      <c r="C4542" t="s">
        <v>26</v>
      </c>
      <c r="D4542" s="68">
        <v>114</v>
      </c>
      <c r="E4542" s="68"/>
      <c r="F4542" s="68">
        <v>91</v>
      </c>
      <c r="G4542" s="68">
        <v>205</v>
      </c>
      <c r="H45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43" spans="1:8" hidden="1" x14ac:dyDescent="0.3">
      <c r="A4543" t="s">
        <v>395</v>
      </c>
      <c r="B4543" t="s">
        <v>1435</v>
      </c>
      <c r="C4543" t="s">
        <v>27</v>
      </c>
      <c r="D4543" s="68"/>
      <c r="E4543" s="68">
        <v>140</v>
      </c>
      <c r="F4543" s="68"/>
      <c r="G4543" s="68">
        <v>140</v>
      </c>
      <c r="H45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44" spans="1:8" hidden="1" x14ac:dyDescent="0.3">
      <c r="A4544" t="s">
        <v>395</v>
      </c>
      <c r="B4544" t="s">
        <v>1436</v>
      </c>
      <c r="C4544" t="s">
        <v>31</v>
      </c>
      <c r="D4544" s="68">
        <v>588</v>
      </c>
      <c r="E4544" s="68"/>
      <c r="F4544" s="68">
        <v>5181</v>
      </c>
      <c r="G4544" s="68">
        <v>5769</v>
      </c>
      <c r="H45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45" spans="1:8" hidden="1" x14ac:dyDescent="0.3">
      <c r="A4545" t="s">
        <v>395</v>
      </c>
      <c r="B4545" t="s">
        <v>1436</v>
      </c>
      <c r="C4545" t="s">
        <v>26</v>
      </c>
      <c r="D4545" s="68">
        <v>1139</v>
      </c>
      <c r="E4545" s="68"/>
      <c r="F4545" s="68">
        <v>2680</v>
      </c>
      <c r="G4545" s="68">
        <v>3819</v>
      </c>
      <c r="H45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46" spans="1:8" hidden="1" x14ac:dyDescent="0.3">
      <c r="A4546" t="s">
        <v>395</v>
      </c>
      <c r="B4546" t="s">
        <v>1436</v>
      </c>
      <c r="C4546" t="s">
        <v>27</v>
      </c>
      <c r="D4546" s="68"/>
      <c r="E4546" s="68">
        <v>131</v>
      </c>
      <c r="F4546" s="68"/>
      <c r="G4546" s="68">
        <v>131</v>
      </c>
      <c r="H45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47" spans="1:8" hidden="1" x14ac:dyDescent="0.3">
      <c r="A4547" t="s">
        <v>395</v>
      </c>
      <c r="B4547" t="s">
        <v>1437</v>
      </c>
      <c r="C4547" t="s">
        <v>26</v>
      </c>
      <c r="D4547" s="68">
        <v>1018</v>
      </c>
      <c r="E4547" s="68"/>
      <c r="F4547" s="68">
        <v>7701</v>
      </c>
      <c r="G4547" s="68">
        <v>8719</v>
      </c>
      <c r="H45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48" spans="1:8" hidden="1" x14ac:dyDescent="0.3">
      <c r="A4548" t="s">
        <v>395</v>
      </c>
      <c r="B4548" t="s">
        <v>1437</v>
      </c>
      <c r="C4548" t="s">
        <v>31</v>
      </c>
      <c r="D4548" s="68">
        <v>323</v>
      </c>
      <c r="E4548" s="68"/>
      <c r="F4548" s="68">
        <v>5037</v>
      </c>
      <c r="G4548" s="68">
        <v>5360</v>
      </c>
      <c r="H45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49" spans="1:8" hidden="1" x14ac:dyDescent="0.3">
      <c r="A4549" t="s">
        <v>395</v>
      </c>
      <c r="B4549" t="s">
        <v>1437</v>
      </c>
      <c r="C4549" t="s">
        <v>27</v>
      </c>
      <c r="D4549" s="68"/>
      <c r="E4549" s="68">
        <v>391</v>
      </c>
      <c r="F4549" s="68"/>
      <c r="G4549" s="68">
        <v>391</v>
      </c>
      <c r="H45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50" spans="1:8" hidden="1" x14ac:dyDescent="0.3">
      <c r="A4550" t="s">
        <v>395</v>
      </c>
      <c r="B4550" t="s">
        <v>1437</v>
      </c>
      <c r="C4550" t="s">
        <v>36</v>
      </c>
      <c r="D4550" s="68">
        <v>2</v>
      </c>
      <c r="E4550" s="68"/>
      <c r="F4550" s="68">
        <v>6</v>
      </c>
      <c r="G4550" s="68">
        <v>8</v>
      </c>
      <c r="H45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51" spans="1:8" hidden="1" x14ac:dyDescent="0.3">
      <c r="A4551" t="s">
        <v>395</v>
      </c>
      <c r="B4551" t="s">
        <v>1438</v>
      </c>
      <c r="C4551" t="s">
        <v>31</v>
      </c>
      <c r="D4551" s="68">
        <v>115</v>
      </c>
      <c r="E4551" s="68"/>
      <c r="F4551" s="68">
        <v>1303</v>
      </c>
      <c r="G4551" s="68">
        <v>1418</v>
      </c>
      <c r="H45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52" spans="1:8" hidden="1" x14ac:dyDescent="0.3">
      <c r="A4552" t="s">
        <v>395</v>
      </c>
      <c r="B4552" t="s">
        <v>1438</v>
      </c>
      <c r="C4552" t="s">
        <v>27</v>
      </c>
      <c r="D4552" s="68"/>
      <c r="E4552" s="68">
        <v>72</v>
      </c>
      <c r="F4552" s="68"/>
      <c r="G4552" s="68">
        <v>72</v>
      </c>
      <c r="H45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53" spans="1:8" hidden="1" x14ac:dyDescent="0.3">
      <c r="A4553" t="s">
        <v>395</v>
      </c>
      <c r="B4553" t="s">
        <v>1438</v>
      </c>
      <c r="C4553" t="s">
        <v>26</v>
      </c>
      <c r="D4553" s="68">
        <v>22</v>
      </c>
      <c r="E4553" s="68"/>
      <c r="F4553" s="68">
        <v>8</v>
      </c>
      <c r="G4553" s="68">
        <v>30</v>
      </c>
      <c r="H45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54" spans="1:8" hidden="1" x14ac:dyDescent="0.3">
      <c r="A4554" t="s">
        <v>395</v>
      </c>
      <c r="B4554" t="s">
        <v>727</v>
      </c>
      <c r="C4554" t="s">
        <v>31</v>
      </c>
      <c r="D4554" s="68">
        <v>189</v>
      </c>
      <c r="E4554" s="68"/>
      <c r="F4554" s="68">
        <v>2932</v>
      </c>
      <c r="G4554" s="68">
        <v>3121</v>
      </c>
      <c r="H45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55" spans="1:8" hidden="1" x14ac:dyDescent="0.3">
      <c r="A4555" t="s">
        <v>395</v>
      </c>
      <c r="B4555" t="s">
        <v>727</v>
      </c>
      <c r="C4555" t="s">
        <v>26</v>
      </c>
      <c r="D4555" s="68">
        <v>113</v>
      </c>
      <c r="E4555" s="68"/>
      <c r="F4555" s="68">
        <v>596</v>
      </c>
      <c r="G4555" s="68">
        <v>709</v>
      </c>
      <c r="H45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56" spans="1:8" hidden="1" x14ac:dyDescent="0.3">
      <c r="A4556" t="s">
        <v>395</v>
      </c>
      <c r="B4556" t="s">
        <v>727</v>
      </c>
      <c r="C4556" t="s">
        <v>27</v>
      </c>
      <c r="D4556" s="68"/>
      <c r="E4556" s="68">
        <v>100</v>
      </c>
      <c r="F4556" s="68"/>
      <c r="G4556" s="68">
        <v>100</v>
      </c>
      <c r="H45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57" spans="1:8" hidden="1" x14ac:dyDescent="0.3">
      <c r="A4557" t="s">
        <v>395</v>
      </c>
      <c r="B4557" t="s">
        <v>1439</v>
      </c>
      <c r="C4557" t="s">
        <v>26</v>
      </c>
      <c r="D4557" s="68">
        <v>1420</v>
      </c>
      <c r="E4557" s="68"/>
      <c r="F4557" s="68">
        <v>7770</v>
      </c>
      <c r="G4557" s="68">
        <v>9190</v>
      </c>
      <c r="H45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58" spans="1:8" hidden="1" x14ac:dyDescent="0.3">
      <c r="A4558" t="s">
        <v>395</v>
      </c>
      <c r="B4558" t="s">
        <v>1439</v>
      </c>
      <c r="C4558" t="s">
        <v>36</v>
      </c>
      <c r="D4558" s="68">
        <v>1429</v>
      </c>
      <c r="E4558" s="68"/>
      <c r="F4558" s="68">
        <v>2170</v>
      </c>
      <c r="G4558" s="68">
        <v>3599</v>
      </c>
      <c r="H45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59" spans="1:8" hidden="1" x14ac:dyDescent="0.3">
      <c r="A4559" t="s">
        <v>395</v>
      </c>
      <c r="B4559" t="s">
        <v>1439</v>
      </c>
      <c r="C4559" t="s">
        <v>37</v>
      </c>
      <c r="D4559" s="68">
        <v>117</v>
      </c>
      <c r="E4559" s="68"/>
      <c r="F4559" s="68">
        <v>790</v>
      </c>
      <c r="G4559" s="68">
        <v>907</v>
      </c>
      <c r="H45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60" spans="1:8" hidden="1" x14ac:dyDescent="0.3">
      <c r="A4560" t="s">
        <v>395</v>
      </c>
      <c r="B4560" t="s">
        <v>1439</v>
      </c>
      <c r="C4560" t="s">
        <v>27</v>
      </c>
      <c r="D4560" s="68"/>
      <c r="E4560" s="68">
        <v>262</v>
      </c>
      <c r="F4560" s="68"/>
      <c r="G4560" s="68">
        <v>262</v>
      </c>
      <c r="H45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61" spans="1:8" hidden="1" x14ac:dyDescent="0.3">
      <c r="A4561" t="s">
        <v>395</v>
      </c>
      <c r="B4561" t="s">
        <v>1440</v>
      </c>
      <c r="C4561" t="s">
        <v>31</v>
      </c>
      <c r="D4561" s="68">
        <v>212</v>
      </c>
      <c r="E4561" s="68"/>
      <c r="F4561" s="68">
        <v>1659</v>
      </c>
      <c r="G4561" s="68">
        <v>1871</v>
      </c>
      <c r="H45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62" spans="1:8" hidden="1" x14ac:dyDescent="0.3">
      <c r="A4562" t="s">
        <v>395</v>
      </c>
      <c r="B4562" t="s">
        <v>1440</v>
      </c>
      <c r="C4562" t="s">
        <v>26</v>
      </c>
      <c r="D4562" s="68">
        <v>39</v>
      </c>
      <c r="E4562" s="68"/>
      <c r="F4562" s="68">
        <v>74</v>
      </c>
      <c r="G4562" s="68">
        <v>113</v>
      </c>
      <c r="H45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63" spans="1:8" hidden="1" x14ac:dyDescent="0.3">
      <c r="A4563" t="s">
        <v>395</v>
      </c>
      <c r="B4563" t="s">
        <v>1440</v>
      </c>
      <c r="C4563" t="s">
        <v>27</v>
      </c>
      <c r="D4563" s="68"/>
      <c r="E4563" s="68">
        <v>55</v>
      </c>
      <c r="F4563" s="68"/>
      <c r="G4563" s="68">
        <v>55</v>
      </c>
      <c r="H45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64" spans="1:8" hidden="1" x14ac:dyDescent="0.3">
      <c r="A4564" t="s">
        <v>395</v>
      </c>
      <c r="B4564" t="s">
        <v>1441</v>
      </c>
      <c r="C4564" t="s">
        <v>5</v>
      </c>
      <c r="D4564" s="68">
        <v>339</v>
      </c>
      <c r="E4564" s="68"/>
      <c r="F4564" s="68">
        <v>2259</v>
      </c>
      <c r="G4564" s="68">
        <v>2598</v>
      </c>
      <c r="H45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65" spans="1:8" hidden="1" x14ac:dyDescent="0.3">
      <c r="A4565" t="s">
        <v>395</v>
      </c>
      <c r="B4565" t="s">
        <v>1441</v>
      </c>
      <c r="C4565" t="s">
        <v>26</v>
      </c>
      <c r="D4565" s="68">
        <v>104</v>
      </c>
      <c r="E4565" s="68"/>
      <c r="F4565" s="68">
        <v>212</v>
      </c>
      <c r="G4565" s="68">
        <v>316</v>
      </c>
      <c r="H45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66" spans="1:8" hidden="1" x14ac:dyDescent="0.3">
      <c r="A4566" t="s">
        <v>395</v>
      </c>
      <c r="B4566" t="s">
        <v>1441</v>
      </c>
      <c r="C4566" t="s">
        <v>27</v>
      </c>
      <c r="D4566" s="68"/>
      <c r="E4566" s="68">
        <v>74</v>
      </c>
      <c r="F4566" s="68"/>
      <c r="G4566" s="68">
        <v>74</v>
      </c>
      <c r="H45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67" spans="1:8" hidden="1" x14ac:dyDescent="0.3">
      <c r="A4567" t="s">
        <v>395</v>
      </c>
      <c r="B4567" t="s">
        <v>1442</v>
      </c>
      <c r="C4567" t="s">
        <v>31</v>
      </c>
      <c r="D4567" s="68">
        <v>214</v>
      </c>
      <c r="E4567" s="68"/>
      <c r="F4567" s="68">
        <v>2577</v>
      </c>
      <c r="G4567" s="68">
        <v>2791</v>
      </c>
      <c r="H45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68" spans="1:8" hidden="1" x14ac:dyDescent="0.3">
      <c r="A4568" t="s">
        <v>395</v>
      </c>
      <c r="B4568" t="s">
        <v>1442</v>
      </c>
      <c r="C4568" t="s">
        <v>26</v>
      </c>
      <c r="D4568" s="68">
        <v>318</v>
      </c>
      <c r="E4568" s="68"/>
      <c r="F4568" s="68">
        <v>1348</v>
      </c>
      <c r="G4568" s="68">
        <v>1666</v>
      </c>
      <c r="H45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69" spans="1:8" hidden="1" x14ac:dyDescent="0.3">
      <c r="A4569" t="s">
        <v>395</v>
      </c>
      <c r="B4569" t="s">
        <v>1442</v>
      </c>
      <c r="C4569" t="s">
        <v>27</v>
      </c>
      <c r="D4569" s="68"/>
      <c r="E4569" s="68">
        <v>161</v>
      </c>
      <c r="F4569" s="68"/>
      <c r="G4569" s="68">
        <v>161</v>
      </c>
      <c r="H45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70" spans="1:8" hidden="1" x14ac:dyDescent="0.3">
      <c r="A4570" t="s">
        <v>395</v>
      </c>
      <c r="B4570" t="s">
        <v>1443</v>
      </c>
      <c r="C4570" t="s">
        <v>26</v>
      </c>
      <c r="D4570" s="68">
        <v>61433</v>
      </c>
      <c r="E4570" s="68"/>
      <c r="F4570" s="68">
        <v>47118</v>
      </c>
      <c r="G4570" s="68">
        <v>108551</v>
      </c>
      <c r="H45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71" spans="1:8" hidden="1" x14ac:dyDescent="0.3">
      <c r="A4571" t="s">
        <v>395</v>
      </c>
      <c r="B4571" t="s">
        <v>1443</v>
      </c>
      <c r="C4571" t="s">
        <v>36</v>
      </c>
      <c r="D4571" s="68">
        <v>32031</v>
      </c>
      <c r="E4571" s="68"/>
      <c r="F4571" s="68">
        <v>17146</v>
      </c>
      <c r="G4571" s="68">
        <v>49177</v>
      </c>
      <c r="H45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72" spans="1:8" hidden="1" x14ac:dyDescent="0.3">
      <c r="A4572" t="s">
        <v>395</v>
      </c>
      <c r="B4572" t="s">
        <v>1443</v>
      </c>
      <c r="C4572" t="s">
        <v>5</v>
      </c>
      <c r="D4572" s="68">
        <v>35888</v>
      </c>
      <c r="E4572" s="68"/>
      <c r="F4572" s="68">
        <v>11339</v>
      </c>
      <c r="G4572" s="68">
        <v>47227</v>
      </c>
      <c r="H45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73" spans="1:8" hidden="1" x14ac:dyDescent="0.3">
      <c r="A4573" t="s">
        <v>395</v>
      </c>
      <c r="B4573" t="s">
        <v>1443</v>
      </c>
      <c r="C4573" t="s">
        <v>34</v>
      </c>
      <c r="D4573" s="68">
        <v>29925</v>
      </c>
      <c r="E4573" s="68"/>
      <c r="F4573" s="68">
        <v>10899</v>
      </c>
      <c r="G4573" s="68">
        <v>40824</v>
      </c>
      <c r="H45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74" spans="1:8" hidden="1" x14ac:dyDescent="0.3">
      <c r="A4574" t="s">
        <v>395</v>
      </c>
      <c r="B4574" t="s">
        <v>1443</v>
      </c>
      <c r="C4574" t="s">
        <v>31</v>
      </c>
      <c r="D4574" s="68">
        <v>2510</v>
      </c>
      <c r="E4574" s="68"/>
      <c r="F4574" s="68">
        <v>17012</v>
      </c>
      <c r="G4574" s="68">
        <v>19522</v>
      </c>
      <c r="H45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75" spans="1:8" hidden="1" x14ac:dyDescent="0.3">
      <c r="A4575" t="s">
        <v>395</v>
      </c>
      <c r="B4575" t="s">
        <v>1443</v>
      </c>
      <c r="C4575" t="s">
        <v>365</v>
      </c>
      <c r="D4575" s="68">
        <v>12395</v>
      </c>
      <c r="E4575" s="68"/>
      <c r="F4575" s="68">
        <v>4656</v>
      </c>
      <c r="G4575" s="68">
        <v>17051</v>
      </c>
      <c r="H45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76" spans="1:8" hidden="1" x14ac:dyDescent="0.3">
      <c r="A4576" t="s">
        <v>395</v>
      </c>
      <c r="B4576" t="s">
        <v>1443</v>
      </c>
      <c r="C4576" t="s">
        <v>37</v>
      </c>
      <c r="D4576" s="68">
        <v>4597</v>
      </c>
      <c r="E4576" s="68"/>
      <c r="F4576" s="68">
        <v>4778</v>
      </c>
      <c r="G4576" s="68">
        <v>9375</v>
      </c>
      <c r="H45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77" spans="1:8" hidden="1" x14ac:dyDescent="0.3">
      <c r="A4577" t="s">
        <v>395</v>
      </c>
      <c r="B4577" t="s">
        <v>1443</v>
      </c>
      <c r="C4577" t="s">
        <v>27</v>
      </c>
      <c r="D4577" s="68"/>
      <c r="E4577" s="68">
        <v>8536</v>
      </c>
      <c r="F4577" s="68"/>
      <c r="G4577" s="68">
        <v>8536</v>
      </c>
      <c r="H45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78" spans="1:8" hidden="1" x14ac:dyDescent="0.3">
      <c r="A4578" t="s">
        <v>395</v>
      </c>
      <c r="B4578" t="s">
        <v>1443</v>
      </c>
      <c r="C4578" t="s">
        <v>538</v>
      </c>
      <c r="D4578" s="68"/>
      <c r="E4578" s="68"/>
      <c r="F4578" s="68">
        <v>1</v>
      </c>
      <c r="G4578" s="68">
        <v>1</v>
      </c>
      <c r="H45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79" spans="1:8" hidden="1" x14ac:dyDescent="0.3">
      <c r="A4579" t="s">
        <v>395</v>
      </c>
      <c r="B4579" t="s">
        <v>1444</v>
      </c>
      <c r="C4579" t="s">
        <v>31</v>
      </c>
      <c r="D4579" s="68">
        <v>254</v>
      </c>
      <c r="E4579" s="68"/>
      <c r="F4579" s="68">
        <v>2508</v>
      </c>
      <c r="G4579" s="68">
        <v>2762</v>
      </c>
      <c r="H45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80" spans="1:8" hidden="1" x14ac:dyDescent="0.3">
      <c r="A4580" t="s">
        <v>395</v>
      </c>
      <c r="B4580" t="s">
        <v>1444</v>
      </c>
      <c r="C4580" t="s">
        <v>26</v>
      </c>
      <c r="D4580" s="68">
        <v>138</v>
      </c>
      <c r="E4580" s="68"/>
      <c r="F4580" s="68">
        <v>42</v>
      </c>
      <c r="G4580" s="68">
        <v>180</v>
      </c>
      <c r="H45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81" spans="1:8" hidden="1" x14ac:dyDescent="0.3">
      <c r="A4581" t="s">
        <v>395</v>
      </c>
      <c r="B4581" t="s">
        <v>1444</v>
      </c>
      <c r="C4581" t="s">
        <v>27</v>
      </c>
      <c r="D4581" s="68"/>
      <c r="E4581" s="68">
        <v>76</v>
      </c>
      <c r="F4581" s="68"/>
      <c r="G4581" s="68">
        <v>76</v>
      </c>
      <c r="H45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82" spans="1:8" hidden="1" x14ac:dyDescent="0.3">
      <c r="A4582" t="s">
        <v>395</v>
      </c>
      <c r="B4582" t="s">
        <v>1445</v>
      </c>
      <c r="C4582" t="s">
        <v>26</v>
      </c>
      <c r="D4582" s="68">
        <v>220</v>
      </c>
      <c r="E4582" s="68"/>
      <c r="F4582" s="68">
        <v>1775</v>
      </c>
      <c r="G4582" s="68">
        <v>1995</v>
      </c>
      <c r="H45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83" spans="1:8" hidden="1" x14ac:dyDescent="0.3">
      <c r="A4583" t="s">
        <v>395</v>
      </c>
      <c r="B4583" t="s">
        <v>1445</v>
      </c>
      <c r="C4583" t="s">
        <v>5</v>
      </c>
      <c r="D4583" s="68">
        <v>47</v>
      </c>
      <c r="E4583" s="68"/>
      <c r="F4583" s="68">
        <v>971</v>
      </c>
      <c r="G4583" s="68">
        <v>1018</v>
      </c>
      <c r="H45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84" spans="1:8" hidden="1" x14ac:dyDescent="0.3">
      <c r="A4584" t="s">
        <v>395</v>
      </c>
      <c r="B4584" t="s">
        <v>1445</v>
      </c>
      <c r="C4584" t="s">
        <v>27</v>
      </c>
      <c r="D4584" s="68"/>
      <c r="E4584" s="68">
        <v>90</v>
      </c>
      <c r="F4584" s="68"/>
      <c r="G4584" s="68">
        <v>90</v>
      </c>
      <c r="H45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85" spans="1:8" hidden="1" x14ac:dyDescent="0.3">
      <c r="A4585" t="s">
        <v>395</v>
      </c>
      <c r="B4585" t="s">
        <v>1446</v>
      </c>
      <c r="C4585" t="s">
        <v>26</v>
      </c>
      <c r="D4585" s="68">
        <v>26488</v>
      </c>
      <c r="E4585" s="68"/>
      <c r="F4585" s="68">
        <v>28914</v>
      </c>
      <c r="G4585" s="68">
        <v>55402</v>
      </c>
      <c r="H45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86" spans="1:8" hidden="1" x14ac:dyDescent="0.3">
      <c r="A4586" t="s">
        <v>395</v>
      </c>
      <c r="B4586" t="s">
        <v>1446</v>
      </c>
      <c r="C4586" t="s">
        <v>36</v>
      </c>
      <c r="D4586" s="68">
        <v>19175</v>
      </c>
      <c r="E4586" s="68"/>
      <c r="F4586" s="68">
        <v>11091</v>
      </c>
      <c r="G4586" s="68">
        <v>30266</v>
      </c>
      <c r="H45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87" spans="1:8" hidden="1" x14ac:dyDescent="0.3">
      <c r="A4587" t="s">
        <v>395</v>
      </c>
      <c r="B4587" t="s">
        <v>1446</v>
      </c>
      <c r="C4587" t="s">
        <v>31</v>
      </c>
      <c r="D4587" s="68">
        <v>3682</v>
      </c>
      <c r="E4587" s="68"/>
      <c r="F4587" s="68">
        <v>26090</v>
      </c>
      <c r="G4587" s="68">
        <v>29772</v>
      </c>
      <c r="H45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88" spans="1:8" hidden="1" x14ac:dyDescent="0.3">
      <c r="A4588" t="s">
        <v>395</v>
      </c>
      <c r="B4588" t="s">
        <v>1446</v>
      </c>
      <c r="C4588" t="s">
        <v>5</v>
      </c>
      <c r="D4588" s="68">
        <v>9891</v>
      </c>
      <c r="E4588" s="68"/>
      <c r="F4588" s="68">
        <v>5152</v>
      </c>
      <c r="G4588" s="68">
        <v>15043</v>
      </c>
      <c r="H45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89" spans="1:8" hidden="1" x14ac:dyDescent="0.3">
      <c r="A4589" t="s">
        <v>395</v>
      </c>
      <c r="B4589" t="s">
        <v>1446</v>
      </c>
      <c r="C4589" t="s">
        <v>365</v>
      </c>
      <c r="D4589" s="68">
        <v>6738</v>
      </c>
      <c r="E4589" s="68"/>
      <c r="F4589" s="68">
        <v>3599</v>
      </c>
      <c r="G4589" s="68">
        <v>10337</v>
      </c>
      <c r="H45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90" spans="1:8" hidden="1" x14ac:dyDescent="0.3">
      <c r="A4590" t="s">
        <v>395</v>
      </c>
      <c r="B4590" t="s">
        <v>1446</v>
      </c>
      <c r="C4590" t="s">
        <v>37</v>
      </c>
      <c r="D4590" s="68">
        <v>3114</v>
      </c>
      <c r="E4590" s="68"/>
      <c r="F4590" s="68">
        <v>3901</v>
      </c>
      <c r="G4590" s="68">
        <v>7015</v>
      </c>
      <c r="H45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91" spans="1:8" hidden="1" x14ac:dyDescent="0.3">
      <c r="A4591" t="s">
        <v>395</v>
      </c>
      <c r="B4591" t="s">
        <v>1446</v>
      </c>
      <c r="C4591" t="s">
        <v>27</v>
      </c>
      <c r="D4591" s="68"/>
      <c r="E4591" s="68">
        <v>2202</v>
      </c>
      <c r="F4591" s="68"/>
      <c r="G4591" s="68">
        <v>2202</v>
      </c>
      <c r="H45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92" spans="1:8" hidden="1" x14ac:dyDescent="0.3">
      <c r="A4592" t="s">
        <v>395</v>
      </c>
      <c r="B4592" t="s">
        <v>1447</v>
      </c>
      <c r="C4592" t="s">
        <v>5</v>
      </c>
      <c r="D4592" s="68">
        <v>411</v>
      </c>
      <c r="E4592" s="68"/>
      <c r="F4592" s="68">
        <v>4053</v>
      </c>
      <c r="G4592" s="68">
        <v>4464</v>
      </c>
      <c r="H45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93" spans="1:8" hidden="1" x14ac:dyDescent="0.3">
      <c r="A4593" t="s">
        <v>395</v>
      </c>
      <c r="B4593" t="s">
        <v>1447</v>
      </c>
      <c r="C4593" t="s">
        <v>26</v>
      </c>
      <c r="D4593" s="68">
        <v>110</v>
      </c>
      <c r="E4593" s="68"/>
      <c r="F4593" s="68">
        <v>335</v>
      </c>
      <c r="G4593" s="68">
        <v>445</v>
      </c>
      <c r="H45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94" spans="1:8" hidden="1" x14ac:dyDescent="0.3">
      <c r="A4594" t="s">
        <v>395</v>
      </c>
      <c r="B4594" t="s">
        <v>1447</v>
      </c>
      <c r="C4594" t="s">
        <v>27</v>
      </c>
      <c r="D4594" s="68"/>
      <c r="E4594" s="68">
        <v>189</v>
      </c>
      <c r="F4594" s="68"/>
      <c r="G4594" s="68">
        <v>189</v>
      </c>
      <c r="H45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95" spans="1:8" hidden="1" x14ac:dyDescent="0.3">
      <c r="A4595" t="s">
        <v>395</v>
      </c>
      <c r="B4595" t="s">
        <v>1447</v>
      </c>
      <c r="C4595" t="s">
        <v>36</v>
      </c>
      <c r="D4595" s="68">
        <v>3</v>
      </c>
      <c r="E4595" s="68"/>
      <c r="F4595" s="68">
        <v>1</v>
      </c>
      <c r="G4595" s="68">
        <v>4</v>
      </c>
      <c r="H45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96" spans="1:8" hidden="1" x14ac:dyDescent="0.3">
      <c r="A4596" t="s">
        <v>395</v>
      </c>
      <c r="B4596" t="s">
        <v>606</v>
      </c>
      <c r="C4596" t="s">
        <v>31</v>
      </c>
      <c r="D4596" s="68">
        <v>265</v>
      </c>
      <c r="E4596" s="68"/>
      <c r="F4596" s="68">
        <v>3182</v>
      </c>
      <c r="G4596" s="68">
        <v>3447</v>
      </c>
      <c r="H45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97" spans="1:8" hidden="1" x14ac:dyDescent="0.3">
      <c r="A4597" t="s">
        <v>395</v>
      </c>
      <c r="B4597" t="s">
        <v>606</v>
      </c>
      <c r="C4597" t="s">
        <v>26</v>
      </c>
      <c r="D4597" s="68">
        <v>297</v>
      </c>
      <c r="E4597" s="68"/>
      <c r="F4597" s="68">
        <v>94</v>
      </c>
      <c r="G4597" s="68">
        <v>391</v>
      </c>
      <c r="H45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98" spans="1:8" hidden="1" x14ac:dyDescent="0.3">
      <c r="A4598" t="s">
        <v>395</v>
      </c>
      <c r="B4598" t="s">
        <v>606</v>
      </c>
      <c r="C4598" t="s">
        <v>27</v>
      </c>
      <c r="D4598" s="68"/>
      <c r="E4598" s="68">
        <v>178</v>
      </c>
      <c r="F4598" s="68"/>
      <c r="G4598" s="68">
        <v>178</v>
      </c>
      <c r="H45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599" spans="1:8" hidden="1" x14ac:dyDescent="0.3">
      <c r="A4599" t="s">
        <v>395</v>
      </c>
      <c r="B4599" t="s">
        <v>1448</v>
      </c>
      <c r="C4599" t="s">
        <v>31</v>
      </c>
      <c r="D4599" s="68">
        <v>217</v>
      </c>
      <c r="E4599" s="68"/>
      <c r="F4599" s="68">
        <v>1094</v>
      </c>
      <c r="G4599" s="68">
        <v>1311</v>
      </c>
      <c r="H45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00" spans="1:8" hidden="1" x14ac:dyDescent="0.3">
      <c r="A4600" t="s">
        <v>395</v>
      </c>
      <c r="B4600" t="s">
        <v>1448</v>
      </c>
      <c r="C4600" t="s">
        <v>26</v>
      </c>
      <c r="D4600" s="68">
        <v>192</v>
      </c>
      <c r="E4600" s="68"/>
      <c r="F4600" s="68">
        <v>161</v>
      </c>
      <c r="G4600" s="68">
        <v>353</v>
      </c>
      <c r="H46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01" spans="1:8" hidden="1" x14ac:dyDescent="0.3">
      <c r="A4601" t="s">
        <v>395</v>
      </c>
      <c r="B4601" t="s">
        <v>1448</v>
      </c>
      <c r="C4601" t="s">
        <v>27</v>
      </c>
      <c r="D4601" s="68"/>
      <c r="E4601" s="68">
        <v>29</v>
      </c>
      <c r="F4601" s="68"/>
      <c r="G4601" s="68">
        <v>29</v>
      </c>
      <c r="H46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02" spans="1:8" hidden="1" x14ac:dyDescent="0.3">
      <c r="A4602" t="s">
        <v>395</v>
      </c>
      <c r="B4602" t="s">
        <v>1449</v>
      </c>
      <c r="C4602" t="s">
        <v>26</v>
      </c>
      <c r="D4602" s="68">
        <v>327</v>
      </c>
      <c r="E4602" s="68"/>
      <c r="F4602" s="68">
        <v>2614</v>
      </c>
      <c r="G4602" s="68">
        <v>2941</v>
      </c>
      <c r="H46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03" spans="1:8" hidden="1" x14ac:dyDescent="0.3">
      <c r="A4603" t="s">
        <v>395</v>
      </c>
      <c r="B4603" t="s">
        <v>1449</v>
      </c>
      <c r="C4603" t="s">
        <v>27</v>
      </c>
      <c r="D4603" s="68"/>
      <c r="E4603" s="68">
        <v>68</v>
      </c>
      <c r="F4603" s="68"/>
      <c r="G4603" s="68">
        <v>68</v>
      </c>
      <c r="H46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04" spans="1:8" hidden="1" x14ac:dyDescent="0.3">
      <c r="A4604" t="s">
        <v>395</v>
      </c>
      <c r="B4604" t="s">
        <v>1450</v>
      </c>
      <c r="C4604" t="s">
        <v>26</v>
      </c>
      <c r="D4604" s="68">
        <v>320</v>
      </c>
      <c r="E4604" s="68"/>
      <c r="F4604" s="68">
        <v>2515</v>
      </c>
      <c r="G4604" s="68">
        <v>2835</v>
      </c>
      <c r="H46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05" spans="1:8" hidden="1" x14ac:dyDescent="0.3">
      <c r="A4605" t="s">
        <v>395</v>
      </c>
      <c r="B4605" t="s">
        <v>1450</v>
      </c>
      <c r="C4605" t="s">
        <v>5</v>
      </c>
      <c r="D4605" s="68">
        <v>136</v>
      </c>
      <c r="E4605" s="68"/>
      <c r="F4605" s="68">
        <v>902</v>
      </c>
      <c r="G4605" s="68">
        <v>1038</v>
      </c>
      <c r="H46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06" spans="1:8" hidden="1" x14ac:dyDescent="0.3">
      <c r="A4606" t="s">
        <v>395</v>
      </c>
      <c r="B4606" t="s">
        <v>1450</v>
      </c>
      <c r="C4606" t="s">
        <v>27</v>
      </c>
      <c r="D4606" s="68"/>
      <c r="E4606" s="68">
        <v>75</v>
      </c>
      <c r="F4606" s="68"/>
      <c r="G4606" s="68">
        <v>75</v>
      </c>
      <c r="H46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07" spans="1:8" hidden="1" x14ac:dyDescent="0.3">
      <c r="A4607" t="s">
        <v>395</v>
      </c>
      <c r="B4607" t="s">
        <v>1450</v>
      </c>
      <c r="C4607" t="s">
        <v>36</v>
      </c>
      <c r="D4607" s="68">
        <v>21</v>
      </c>
      <c r="E4607" s="68"/>
      <c r="F4607" s="68">
        <v>7</v>
      </c>
      <c r="G4607" s="68">
        <v>28</v>
      </c>
      <c r="H46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08" spans="1:8" hidden="1" x14ac:dyDescent="0.3">
      <c r="A4608" t="s">
        <v>395</v>
      </c>
      <c r="B4608" t="s">
        <v>1451</v>
      </c>
      <c r="C4608" t="s">
        <v>26</v>
      </c>
      <c r="D4608" s="68">
        <v>224</v>
      </c>
      <c r="E4608" s="68"/>
      <c r="F4608" s="68">
        <v>1814</v>
      </c>
      <c r="G4608" s="68">
        <v>2038</v>
      </c>
      <c r="H46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09" spans="1:8" hidden="1" x14ac:dyDescent="0.3">
      <c r="A4609" t="s">
        <v>395</v>
      </c>
      <c r="B4609" t="s">
        <v>1451</v>
      </c>
      <c r="C4609" t="s">
        <v>27</v>
      </c>
      <c r="D4609" s="68"/>
      <c r="E4609" s="68">
        <v>44</v>
      </c>
      <c r="F4609" s="68"/>
      <c r="G4609" s="68">
        <v>44</v>
      </c>
      <c r="H46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10" spans="1:8" hidden="1" x14ac:dyDescent="0.3">
      <c r="A4610" t="s">
        <v>395</v>
      </c>
      <c r="B4610" t="s">
        <v>1452</v>
      </c>
      <c r="C4610" t="s">
        <v>31</v>
      </c>
      <c r="D4610" s="68">
        <v>314</v>
      </c>
      <c r="E4610" s="68"/>
      <c r="F4610" s="68">
        <v>2235</v>
      </c>
      <c r="G4610" s="68">
        <v>2549</v>
      </c>
      <c r="H46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11" spans="1:8" hidden="1" x14ac:dyDescent="0.3">
      <c r="A4611" t="s">
        <v>395</v>
      </c>
      <c r="B4611" t="s">
        <v>1452</v>
      </c>
      <c r="C4611" t="s">
        <v>27</v>
      </c>
      <c r="D4611" s="68"/>
      <c r="E4611" s="68">
        <v>62</v>
      </c>
      <c r="F4611" s="68"/>
      <c r="G4611" s="68">
        <v>62</v>
      </c>
      <c r="H46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12" spans="1:8" hidden="1" x14ac:dyDescent="0.3">
      <c r="A4612" t="s">
        <v>395</v>
      </c>
      <c r="B4612" t="s">
        <v>1452</v>
      </c>
      <c r="C4612" t="s">
        <v>26</v>
      </c>
      <c r="D4612" s="68">
        <v>33</v>
      </c>
      <c r="E4612" s="68"/>
      <c r="F4612" s="68">
        <v>20</v>
      </c>
      <c r="G4612" s="68">
        <v>53</v>
      </c>
      <c r="H46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13" spans="1:8" hidden="1" x14ac:dyDescent="0.3">
      <c r="A4613" t="s">
        <v>395</v>
      </c>
      <c r="B4613" t="s">
        <v>1453</v>
      </c>
      <c r="C4613" t="s">
        <v>26</v>
      </c>
      <c r="D4613" s="68">
        <v>97</v>
      </c>
      <c r="E4613" s="68"/>
      <c r="F4613" s="68">
        <v>1042</v>
      </c>
      <c r="G4613" s="68">
        <v>1139</v>
      </c>
      <c r="H46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14" spans="1:8" hidden="1" x14ac:dyDescent="0.3">
      <c r="A4614" t="s">
        <v>395</v>
      </c>
      <c r="B4614" t="s">
        <v>1453</v>
      </c>
      <c r="C4614" t="s">
        <v>27</v>
      </c>
      <c r="D4614" s="68"/>
      <c r="E4614" s="68">
        <v>5</v>
      </c>
      <c r="F4614" s="68"/>
      <c r="G4614" s="68">
        <v>5</v>
      </c>
      <c r="H46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15" spans="1:8" hidden="1" x14ac:dyDescent="0.3">
      <c r="A4615" t="s">
        <v>395</v>
      </c>
      <c r="B4615" t="s">
        <v>1454</v>
      </c>
      <c r="C4615" t="s">
        <v>31</v>
      </c>
      <c r="D4615" s="68">
        <v>288</v>
      </c>
      <c r="E4615" s="68"/>
      <c r="F4615" s="68">
        <v>4762</v>
      </c>
      <c r="G4615" s="68">
        <v>5050</v>
      </c>
      <c r="H46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16" spans="1:8" hidden="1" x14ac:dyDescent="0.3">
      <c r="A4616" t="s">
        <v>395</v>
      </c>
      <c r="B4616" t="s">
        <v>1454</v>
      </c>
      <c r="C4616" t="s">
        <v>26</v>
      </c>
      <c r="D4616" s="68">
        <v>229</v>
      </c>
      <c r="E4616" s="68"/>
      <c r="F4616" s="68">
        <v>778</v>
      </c>
      <c r="G4616" s="68">
        <v>1007</v>
      </c>
      <c r="H46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17" spans="1:8" hidden="1" x14ac:dyDescent="0.3">
      <c r="A4617" t="s">
        <v>395</v>
      </c>
      <c r="B4617" t="s">
        <v>1454</v>
      </c>
      <c r="C4617" t="s">
        <v>27</v>
      </c>
      <c r="D4617" s="68"/>
      <c r="E4617" s="68">
        <v>170</v>
      </c>
      <c r="F4617" s="68"/>
      <c r="G4617" s="68">
        <v>170</v>
      </c>
      <c r="H46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18" spans="1:8" hidden="1" x14ac:dyDescent="0.3">
      <c r="A4618" t="s">
        <v>395</v>
      </c>
      <c r="B4618" t="s">
        <v>992</v>
      </c>
      <c r="C4618" t="s">
        <v>31</v>
      </c>
      <c r="D4618" s="68">
        <v>153</v>
      </c>
      <c r="E4618" s="68"/>
      <c r="F4618" s="68">
        <v>2658</v>
      </c>
      <c r="G4618" s="68">
        <v>2811</v>
      </c>
      <c r="H46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19" spans="1:8" hidden="1" x14ac:dyDescent="0.3">
      <c r="A4619" t="s">
        <v>395</v>
      </c>
      <c r="B4619" t="s">
        <v>992</v>
      </c>
      <c r="C4619" t="s">
        <v>26</v>
      </c>
      <c r="D4619" s="68">
        <v>163</v>
      </c>
      <c r="E4619" s="68"/>
      <c r="F4619" s="68">
        <v>314</v>
      </c>
      <c r="G4619" s="68">
        <v>477</v>
      </c>
      <c r="H46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20" spans="1:8" hidden="1" x14ac:dyDescent="0.3">
      <c r="A4620" t="s">
        <v>395</v>
      </c>
      <c r="B4620" t="s">
        <v>992</v>
      </c>
      <c r="C4620" t="s">
        <v>27</v>
      </c>
      <c r="D4620" s="68"/>
      <c r="E4620" s="68">
        <v>91</v>
      </c>
      <c r="F4620" s="68"/>
      <c r="G4620" s="68">
        <v>91</v>
      </c>
      <c r="H46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21" spans="1:8" hidden="1" x14ac:dyDescent="0.3">
      <c r="A4621" t="s">
        <v>395</v>
      </c>
      <c r="B4621" t="s">
        <v>1455</v>
      </c>
      <c r="C4621" t="s">
        <v>26</v>
      </c>
      <c r="D4621" s="68">
        <v>1082</v>
      </c>
      <c r="E4621" s="68"/>
      <c r="F4621" s="68">
        <v>9532</v>
      </c>
      <c r="G4621" s="68">
        <v>10614</v>
      </c>
      <c r="H46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22" spans="1:8" hidden="1" x14ac:dyDescent="0.3">
      <c r="A4622" t="s">
        <v>395</v>
      </c>
      <c r="B4622" t="s">
        <v>1455</v>
      </c>
      <c r="C4622" t="s">
        <v>27</v>
      </c>
      <c r="D4622" s="68"/>
      <c r="E4622" s="68">
        <v>286</v>
      </c>
      <c r="F4622" s="68"/>
      <c r="G4622" s="68">
        <v>286</v>
      </c>
      <c r="H46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23" spans="1:8" hidden="1" x14ac:dyDescent="0.3">
      <c r="A4623" t="s">
        <v>395</v>
      </c>
      <c r="B4623" t="s">
        <v>1456</v>
      </c>
      <c r="C4623" t="s">
        <v>26</v>
      </c>
      <c r="D4623" s="68">
        <v>11986</v>
      </c>
      <c r="E4623" s="68"/>
      <c r="F4623" s="68">
        <v>11707</v>
      </c>
      <c r="G4623" s="68">
        <v>23693</v>
      </c>
      <c r="H46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24" spans="1:8" hidden="1" x14ac:dyDescent="0.3">
      <c r="A4624" t="s">
        <v>395</v>
      </c>
      <c r="B4624" t="s">
        <v>1456</v>
      </c>
      <c r="C4624" t="s">
        <v>31</v>
      </c>
      <c r="D4624" s="68">
        <v>2302</v>
      </c>
      <c r="E4624" s="68"/>
      <c r="F4624" s="68">
        <v>13699</v>
      </c>
      <c r="G4624" s="68">
        <v>16001</v>
      </c>
      <c r="H46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25" spans="1:8" hidden="1" x14ac:dyDescent="0.3">
      <c r="A4625" t="s">
        <v>395</v>
      </c>
      <c r="B4625" t="s">
        <v>1456</v>
      </c>
      <c r="C4625" t="s">
        <v>36</v>
      </c>
      <c r="D4625" s="68">
        <v>648</v>
      </c>
      <c r="E4625" s="68"/>
      <c r="F4625" s="68">
        <v>291</v>
      </c>
      <c r="G4625" s="68">
        <v>939</v>
      </c>
      <c r="H46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26" spans="1:8" hidden="1" x14ac:dyDescent="0.3">
      <c r="A4626" t="s">
        <v>395</v>
      </c>
      <c r="B4626" t="s">
        <v>1456</v>
      </c>
      <c r="C4626" t="s">
        <v>5</v>
      </c>
      <c r="D4626" s="68">
        <v>225</v>
      </c>
      <c r="E4626" s="68"/>
      <c r="F4626" s="68">
        <v>227</v>
      </c>
      <c r="G4626" s="68">
        <v>452</v>
      </c>
      <c r="H46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27" spans="1:8" hidden="1" x14ac:dyDescent="0.3">
      <c r="A4627" t="s">
        <v>395</v>
      </c>
      <c r="B4627" t="s">
        <v>1456</v>
      </c>
      <c r="C4627" t="s">
        <v>27</v>
      </c>
      <c r="D4627" s="68"/>
      <c r="E4627" s="68">
        <v>428</v>
      </c>
      <c r="F4627" s="68"/>
      <c r="G4627" s="68">
        <v>428</v>
      </c>
      <c r="H46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28" spans="1:8" hidden="1" x14ac:dyDescent="0.3">
      <c r="A4628" t="s">
        <v>395</v>
      </c>
      <c r="B4628" t="s">
        <v>1457</v>
      </c>
      <c r="C4628" t="s">
        <v>26</v>
      </c>
      <c r="D4628" s="68">
        <v>1599</v>
      </c>
      <c r="E4628" s="68"/>
      <c r="F4628" s="68">
        <v>3756</v>
      </c>
      <c r="G4628" s="68">
        <v>5355</v>
      </c>
      <c r="H46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29" spans="1:8" hidden="1" x14ac:dyDescent="0.3">
      <c r="A4629" t="s">
        <v>395</v>
      </c>
      <c r="B4629" t="s">
        <v>1457</v>
      </c>
      <c r="C4629" t="s">
        <v>5</v>
      </c>
      <c r="D4629" s="68">
        <v>518</v>
      </c>
      <c r="E4629" s="68"/>
      <c r="F4629" s="68">
        <v>3476</v>
      </c>
      <c r="G4629" s="68">
        <v>3994</v>
      </c>
      <c r="H46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30" spans="1:8" hidden="1" x14ac:dyDescent="0.3">
      <c r="A4630" t="s">
        <v>395</v>
      </c>
      <c r="B4630" t="s">
        <v>1457</v>
      </c>
      <c r="C4630" t="s">
        <v>27</v>
      </c>
      <c r="D4630" s="68"/>
      <c r="E4630" s="68">
        <v>135</v>
      </c>
      <c r="F4630" s="68"/>
      <c r="G4630" s="68">
        <v>135</v>
      </c>
      <c r="H46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31" spans="1:8" hidden="1" x14ac:dyDescent="0.3">
      <c r="A4631" t="s">
        <v>395</v>
      </c>
      <c r="B4631" t="s">
        <v>1457</v>
      </c>
      <c r="C4631" t="s">
        <v>36</v>
      </c>
      <c r="D4631" s="68">
        <v>27</v>
      </c>
      <c r="E4631" s="68"/>
      <c r="F4631" s="68">
        <v>8</v>
      </c>
      <c r="G4631" s="68">
        <v>35</v>
      </c>
      <c r="H46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32" spans="1:8" hidden="1" x14ac:dyDescent="0.3">
      <c r="A4632" t="s">
        <v>395</v>
      </c>
      <c r="B4632" t="s">
        <v>1458</v>
      </c>
      <c r="C4632" t="s">
        <v>5</v>
      </c>
      <c r="D4632" s="68">
        <v>209</v>
      </c>
      <c r="E4632" s="68"/>
      <c r="F4632" s="68">
        <v>1412</v>
      </c>
      <c r="G4632" s="68">
        <v>1621</v>
      </c>
      <c r="H46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33" spans="1:8" hidden="1" x14ac:dyDescent="0.3">
      <c r="A4633" t="s">
        <v>395</v>
      </c>
      <c r="B4633" t="s">
        <v>1458</v>
      </c>
      <c r="C4633" t="s">
        <v>26</v>
      </c>
      <c r="D4633" s="68">
        <v>45</v>
      </c>
      <c r="E4633" s="68"/>
      <c r="F4633" s="68">
        <v>92</v>
      </c>
      <c r="G4633" s="68">
        <v>137</v>
      </c>
      <c r="H46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34" spans="1:8" hidden="1" x14ac:dyDescent="0.3">
      <c r="A4634" t="s">
        <v>395</v>
      </c>
      <c r="B4634" t="s">
        <v>1458</v>
      </c>
      <c r="C4634" t="s">
        <v>27</v>
      </c>
      <c r="D4634" s="68"/>
      <c r="E4634" s="68">
        <v>68</v>
      </c>
      <c r="F4634" s="68"/>
      <c r="G4634" s="68">
        <v>68</v>
      </c>
      <c r="H46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35" spans="1:8" hidden="1" x14ac:dyDescent="0.3">
      <c r="A4635" t="s">
        <v>395</v>
      </c>
      <c r="B4635" t="s">
        <v>1459</v>
      </c>
      <c r="C4635" t="s">
        <v>26</v>
      </c>
      <c r="D4635" s="68">
        <v>4348</v>
      </c>
      <c r="E4635" s="68"/>
      <c r="F4635" s="68">
        <v>3646</v>
      </c>
      <c r="G4635" s="68">
        <v>7994</v>
      </c>
      <c r="H46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36" spans="1:8" hidden="1" x14ac:dyDescent="0.3">
      <c r="A4636" t="s">
        <v>395</v>
      </c>
      <c r="B4636" t="s">
        <v>1459</v>
      </c>
      <c r="C4636" t="s">
        <v>5</v>
      </c>
      <c r="D4636" s="68">
        <v>1559</v>
      </c>
      <c r="E4636" s="68"/>
      <c r="F4636" s="68">
        <v>5812</v>
      </c>
      <c r="G4636" s="68">
        <v>7371</v>
      </c>
      <c r="H46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37" spans="1:8" hidden="1" x14ac:dyDescent="0.3">
      <c r="A4637" t="s">
        <v>395</v>
      </c>
      <c r="B4637" t="s">
        <v>1459</v>
      </c>
      <c r="C4637" t="s">
        <v>36</v>
      </c>
      <c r="D4637" s="68">
        <v>868</v>
      </c>
      <c r="E4637" s="68"/>
      <c r="F4637" s="68">
        <v>5084</v>
      </c>
      <c r="G4637" s="68">
        <v>5952</v>
      </c>
      <c r="H46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38" spans="1:8" hidden="1" x14ac:dyDescent="0.3">
      <c r="A4638" t="s">
        <v>395</v>
      </c>
      <c r="B4638" t="s">
        <v>1459</v>
      </c>
      <c r="C4638" t="s">
        <v>27</v>
      </c>
      <c r="D4638" s="68"/>
      <c r="E4638" s="68">
        <v>956</v>
      </c>
      <c r="F4638" s="68"/>
      <c r="G4638" s="68">
        <v>956</v>
      </c>
      <c r="H46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39" spans="1:8" hidden="1" x14ac:dyDescent="0.3">
      <c r="A4639" t="s">
        <v>395</v>
      </c>
      <c r="B4639" t="s">
        <v>1460</v>
      </c>
      <c r="C4639" t="s">
        <v>26</v>
      </c>
      <c r="D4639" s="68">
        <v>379</v>
      </c>
      <c r="E4639" s="68"/>
      <c r="F4639" s="68">
        <v>3377</v>
      </c>
      <c r="G4639" s="68">
        <v>3756</v>
      </c>
      <c r="H46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40" spans="1:8" hidden="1" x14ac:dyDescent="0.3">
      <c r="A4640" t="s">
        <v>395</v>
      </c>
      <c r="B4640" t="s">
        <v>1460</v>
      </c>
      <c r="C4640" t="s">
        <v>36</v>
      </c>
      <c r="D4640" s="68">
        <v>35</v>
      </c>
      <c r="E4640" s="68"/>
      <c r="F4640" s="68">
        <v>110</v>
      </c>
      <c r="G4640" s="68">
        <v>145</v>
      </c>
      <c r="H46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41" spans="1:8" hidden="1" x14ac:dyDescent="0.3">
      <c r="A4641" t="s">
        <v>395</v>
      </c>
      <c r="B4641" t="s">
        <v>1460</v>
      </c>
      <c r="C4641" t="s">
        <v>27</v>
      </c>
      <c r="D4641" s="68"/>
      <c r="E4641" s="68">
        <v>93</v>
      </c>
      <c r="F4641" s="68"/>
      <c r="G4641" s="68">
        <v>93</v>
      </c>
      <c r="H46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42" spans="1:8" hidden="1" x14ac:dyDescent="0.3">
      <c r="A4642" t="s">
        <v>395</v>
      </c>
      <c r="B4642" t="s">
        <v>1461</v>
      </c>
      <c r="C4642" t="s">
        <v>26</v>
      </c>
      <c r="D4642" s="68">
        <v>1057</v>
      </c>
      <c r="E4642" s="68"/>
      <c r="F4642" s="68">
        <v>8257</v>
      </c>
      <c r="G4642" s="68">
        <v>9314</v>
      </c>
      <c r="H46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43" spans="1:8" hidden="1" x14ac:dyDescent="0.3">
      <c r="A4643" t="s">
        <v>395</v>
      </c>
      <c r="B4643" t="s">
        <v>1461</v>
      </c>
      <c r="C4643" t="s">
        <v>27</v>
      </c>
      <c r="D4643" s="68"/>
      <c r="E4643" s="68">
        <v>262</v>
      </c>
      <c r="F4643" s="68"/>
      <c r="G4643" s="68">
        <v>262</v>
      </c>
      <c r="H46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44" spans="1:8" hidden="1" x14ac:dyDescent="0.3">
      <c r="A4644" t="s">
        <v>395</v>
      </c>
      <c r="B4644" t="s">
        <v>1461</v>
      </c>
      <c r="C4644" t="s">
        <v>5</v>
      </c>
      <c r="D4644" s="68">
        <v>1</v>
      </c>
      <c r="E4644" s="68"/>
      <c r="F4644" s="68"/>
      <c r="G4644" s="68">
        <v>1</v>
      </c>
      <c r="H46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45" spans="1:8" hidden="1" x14ac:dyDescent="0.3">
      <c r="A4645" t="s">
        <v>395</v>
      </c>
      <c r="B4645" t="s">
        <v>1462</v>
      </c>
      <c r="C4645" t="s">
        <v>5</v>
      </c>
      <c r="D4645" s="68">
        <v>212</v>
      </c>
      <c r="E4645" s="68"/>
      <c r="F4645" s="68">
        <v>2808</v>
      </c>
      <c r="G4645" s="68">
        <v>3020</v>
      </c>
      <c r="H46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46" spans="1:8" hidden="1" x14ac:dyDescent="0.3">
      <c r="A4646" t="s">
        <v>395</v>
      </c>
      <c r="B4646" t="s">
        <v>1462</v>
      </c>
      <c r="C4646" t="s">
        <v>26</v>
      </c>
      <c r="D4646" s="68">
        <v>54</v>
      </c>
      <c r="E4646" s="68"/>
      <c r="F4646" s="68">
        <v>101</v>
      </c>
      <c r="G4646" s="68">
        <v>155</v>
      </c>
      <c r="H46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47" spans="1:8" hidden="1" x14ac:dyDescent="0.3">
      <c r="A4647" t="s">
        <v>395</v>
      </c>
      <c r="B4647" t="s">
        <v>1462</v>
      </c>
      <c r="C4647" t="s">
        <v>27</v>
      </c>
      <c r="D4647" s="68"/>
      <c r="E4647" s="68">
        <v>94</v>
      </c>
      <c r="F4647" s="68"/>
      <c r="G4647" s="68">
        <v>94</v>
      </c>
      <c r="H46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48" spans="1:8" hidden="1" x14ac:dyDescent="0.3">
      <c r="A4648" t="s">
        <v>395</v>
      </c>
      <c r="B4648" t="s">
        <v>1462</v>
      </c>
      <c r="C4648" t="s">
        <v>536</v>
      </c>
      <c r="D4648" s="68"/>
      <c r="E4648" s="68"/>
      <c r="F4648" s="68">
        <v>1</v>
      </c>
      <c r="G4648" s="68">
        <v>1</v>
      </c>
      <c r="H46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49" spans="1:8" hidden="1" x14ac:dyDescent="0.3">
      <c r="A4649" t="s">
        <v>395</v>
      </c>
      <c r="B4649" t="s">
        <v>1463</v>
      </c>
      <c r="C4649" t="s">
        <v>31</v>
      </c>
      <c r="D4649" s="68">
        <v>213</v>
      </c>
      <c r="E4649" s="68"/>
      <c r="F4649" s="68">
        <v>3331</v>
      </c>
      <c r="G4649" s="68">
        <v>3544</v>
      </c>
      <c r="H46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50" spans="1:8" hidden="1" x14ac:dyDescent="0.3">
      <c r="A4650" t="s">
        <v>395</v>
      </c>
      <c r="B4650" t="s">
        <v>1463</v>
      </c>
      <c r="C4650" t="s">
        <v>26</v>
      </c>
      <c r="D4650" s="68">
        <v>103</v>
      </c>
      <c r="E4650" s="68"/>
      <c r="F4650" s="68">
        <v>91</v>
      </c>
      <c r="G4650" s="68">
        <v>194</v>
      </c>
      <c r="H46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51" spans="1:8" hidden="1" x14ac:dyDescent="0.3">
      <c r="A4651" t="s">
        <v>395</v>
      </c>
      <c r="B4651" t="s">
        <v>1463</v>
      </c>
      <c r="C4651" t="s">
        <v>27</v>
      </c>
      <c r="D4651" s="68"/>
      <c r="E4651" s="68">
        <v>78</v>
      </c>
      <c r="F4651" s="68"/>
      <c r="G4651" s="68">
        <v>78</v>
      </c>
      <c r="H46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52" spans="1:8" hidden="1" x14ac:dyDescent="0.3">
      <c r="A4652" t="s">
        <v>395</v>
      </c>
      <c r="B4652" t="s">
        <v>1464</v>
      </c>
      <c r="C4652" t="s">
        <v>26</v>
      </c>
      <c r="D4652" s="68">
        <v>1859</v>
      </c>
      <c r="E4652" s="68"/>
      <c r="F4652" s="68">
        <v>5285</v>
      </c>
      <c r="G4652" s="68">
        <v>7144</v>
      </c>
      <c r="H46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53" spans="1:8" hidden="1" x14ac:dyDescent="0.3">
      <c r="A4653" t="s">
        <v>395</v>
      </c>
      <c r="B4653" t="s">
        <v>1464</v>
      </c>
      <c r="C4653" t="s">
        <v>5</v>
      </c>
      <c r="D4653" s="68">
        <v>339</v>
      </c>
      <c r="E4653" s="68"/>
      <c r="F4653" s="68">
        <v>2420</v>
      </c>
      <c r="G4653" s="68">
        <v>2759</v>
      </c>
      <c r="H46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54" spans="1:8" hidden="1" x14ac:dyDescent="0.3">
      <c r="A4654" t="s">
        <v>395</v>
      </c>
      <c r="B4654" t="s">
        <v>1464</v>
      </c>
      <c r="C4654" t="s">
        <v>27</v>
      </c>
      <c r="D4654" s="68"/>
      <c r="E4654" s="68">
        <v>313</v>
      </c>
      <c r="F4654" s="68"/>
      <c r="G4654" s="68">
        <v>313</v>
      </c>
      <c r="H46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55" spans="1:8" hidden="1" x14ac:dyDescent="0.3">
      <c r="A4655" t="s">
        <v>395</v>
      </c>
      <c r="B4655" t="s">
        <v>1464</v>
      </c>
      <c r="C4655" t="s">
        <v>536</v>
      </c>
      <c r="D4655" s="68"/>
      <c r="E4655" s="68"/>
      <c r="F4655" s="68">
        <v>2</v>
      </c>
      <c r="G4655" s="68">
        <v>2</v>
      </c>
      <c r="H46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56" spans="1:8" hidden="1" x14ac:dyDescent="0.3">
      <c r="A4656" t="s">
        <v>395</v>
      </c>
      <c r="B4656" t="s">
        <v>1465</v>
      </c>
      <c r="C4656" t="s">
        <v>26</v>
      </c>
      <c r="D4656" s="68">
        <v>354</v>
      </c>
      <c r="E4656" s="68"/>
      <c r="F4656" s="68">
        <v>2802</v>
      </c>
      <c r="G4656" s="68">
        <v>3156</v>
      </c>
      <c r="H46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57" spans="1:8" hidden="1" x14ac:dyDescent="0.3">
      <c r="A4657" t="s">
        <v>395</v>
      </c>
      <c r="B4657" t="s">
        <v>1465</v>
      </c>
      <c r="C4657" t="s">
        <v>27</v>
      </c>
      <c r="D4657" s="68"/>
      <c r="E4657" s="68">
        <v>130</v>
      </c>
      <c r="F4657" s="68"/>
      <c r="G4657" s="68">
        <v>130</v>
      </c>
      <c r="H46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58" spans="1:8" hidden="1" x14ac:dyDescent="0.3">
      <c r="A4658" t="s">
        <v>395</v>
      </c>
      <c r="B4658" t="s">
        <v>1465</v>
      </c>
      <c r="C4658" t="s">
        <v>5</v>
      </c>
      <c r="D4658" s="68">
        <v>1</v>
      </c>
      <c r="E4658" s="68"/>
      <c r="F4658" s="68"/>
      <c r="G4658" s="68">
        <v>1</v>
      </c>
      <c r="H46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59" spans="1:8" hidden="1" x14ac:dyDescent="0.3">
      <c r="A4659" t="s">
        <v>395</v>
      </c>
      <c r="B4659" t="s">
        <v>1466</v>
      </c>
      <c r="C4659" t="s">
        <v>26</v>
      </c>
      <c r="D4659" s="68">
        <v>218</v>
      </c>
      <c r="E4659" s="68"/>
      <c r="F4659" s="68">
        <v>976</v>
      </c>
      <c r="G4659" s="68">
        <v>1194</v>
      </c>
      <c r="H46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60" spans="1:8" hidden="1" x14ac:dyDescent="0.3">
      <c r="A4660" t="s">
        <v>395</v>
      </c>
      <c r="B4660" t="s">
        <v>1466</v>
      </c>
      <c r="C4660" t="s">
        <v>27</v>
      </c>
      <c r="D4660" s="68"/>
      <c r="E4660" s="68">
        <v>32</v>
      </c>
      <c r="F4660" s="68"/>
      <c r="G4660" s="68">
        <v>32</v>
      </c>
      <c r="H46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61" spans="1:8" hidden="1" x14ac:dyDescent="0.3">
      <c r="A4661" t="s">
        <v>395</v>
      </c>
      <c r="B4661" t="s">
        <v>1467</v>
      </c>
      <c r="C4661" t="s">
        <v>5</v>
      </c>
      <c r="D4661" s="68">
        <v>193</v>
      </c>
      <c r="E4661" s="68"/>
      <c r="F4661" s="68">
        <v>1235</v>
      </c>
      <c r="G4661" s="68">
        <v>1428</v>
      </c>
      <c r="H46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62" spans="1:8" hidden="1" x14ac:dyDescent="0.3">
      <c r="A4662" t="s">
        <v>395</v>
      </c>
      <c r="B4662" t="s">
        <v>1467</v>
      </c>
      <c r="C4662" t="s">
        <v>26</v>
      </c>
      <c r="D4662" s="68">
        <v>174</v>
      </c>
      <c r="E4662" s="68"/>
      <c r="F4662" s="68">
        <v>302</v>
      </c>
      <c r="G4662" s="68">
        <v>476</v>
      </c>
      <c r="H46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63" spans="1:8" hidden="1" x14ac:dyDescent="0.3">
      <c r="A4663" t="s">
        <v>395</v>
      </c>
      <c r="B4663" t="s">
        <v>1467</v>
      </c>
      <c r="C4663" t="s">
        <v>27</v>
      </c>
      <c r="D4663" s="68"/>
      <c r="E4663" s="68">
        <v>38</v>
      </c>
      <c r="F4663" s="68"/>
      <c r="G4663" s="68">
        <v>38</v>
      </c>
      <c r="H46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64" spans="1:8" hidden="1" x14ac:dyDescent="0.3">
      <c r="A4664" t="s">
        <v>395</v>
      </c>
      <c r="B4664" t="s">
        <v>1468</v>
      </c>
      <c r="C4664" t="s">
        <v>31</v>
      </c>
      <c r="D4664" s="68">
        <v>324</v>
      </c>
      <c r="E4664" s="68"/>
      <c r="F4664" s="68">
        <v>2878</v>
      </c>
      <c r="G4664" s="68">
        <v>3202</v>
      </c>
      <c r="H46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65" spans="1:8" hidden="1" x14ac:dyDescent="0.3">
      <c r="A4665" t="s">
        <v>395</v>
      </c>
      <c r="B4665" t="s">
        <v>1468</v>
      </c>
      <c r="C4665" t="s">
        <v>26</v>
      </c>
      <c r="D4665" s="68">
        <v>369</v>
      </c>
      <c r="E4665" s="68"/>
      <c r="F4665" s="68">
        <v>573</v>
      </c>
      <c r="G4665" s="68">
        <v>942</v>
      </c>
      <c r="H46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66" spans="1:8" hidden="1" x14ac:dyDescent="0.3">
      <c r="A4666" t="s">
        <v>395</v>
      </c>
      <c r="B4666" t="s">
        <v>1468</v>
      </c>
      <c r="C4666" t="s">
        <v>27</v>
      </c>
      <c r="D4666" s="68"/>
      <c r="E4666" s="68">
        <v>51</v>
      </c>
      <c r="F4666" s="68"/>
      <c r="G4666" s="68">
        <v>51</v>
      </c>
      <c r="H46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67" spans="1:8" hidden="1" x14ac:dyDescent="0.3">
      <c r="A4667" t="s">
        <v>395</v>
      </c>
      <c r="B4667" t="s">
        <v>1468</v>
      </c>
      <c r="C4667" t="s">
        <v>536</v>
      </c>
      <c r="D4667" s="68"/>
      <c r="E4667" s="68"/>
      <c r="F4667" s="68">
        <v>1</v>
      </c>
      <c r="G4667" s="68">
        <v>1</v>
      </c>
      <c r="H46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68" spans="1:8" hidden="1" x14ac:dyDescent="0.3">
      <c r="A4668" t="s">
        <v>395</v>
      </c>
      <c r="B4668" t="s">
        <v>1468</v>
      </c>
      <c r="C4668" t="s">
        <v>5</v>
      </c>
      <c r="D4668" s="68"/>
      <c r="E4668" s="68"/>
      <c r="F4668" s="68">
        <v>1</v>
      </c>
      <c r="G4668" s="68">
        <v>1</v>
      </c>
      <c r="H46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69" spans="1:8" hidden="1" x14ac:dyDescent="0.3">
      <c r="A4669" t="s">
        <v>395</v>
      </c>
      <c r="B4669" t="s">
        <v>1469</v>
      </c>
      <c r="C4669" t="s">
        <v>26</v>
      </c>
      <c r="D4669" s="68">
        <v>32106</v>
      </c>
      <c r="E4669" s="68"/>
      <c r="F4669" s="68">
        <v>41464</v>
      </c>
      <c r="G4669" s="68">
        <v>73570</v>
      </c>
      <c r="H46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70" spans="1:8" hidden="1" x14ac:dyDescent="0.3">
      <c r="A4670" t="s">
        <v>395</v>
      </c>
      <c r="B4670" t="s">
        <v>1469</v>
      </c>
      <c r="C4670" t="s">
        <v>365</v>
      </c>
      <c r="D4670" s="68">
        <v>19488</v>
      </c>
      <c r="E4670" s="68"/>
      <c r="F4670" s="68">
        <v>8625</v>
      </c>
      <c r="G4670" s="68">
        <v>28113</v>
      </c>
      <c r="H46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71" spans="1:8" hidden="1" x14ac:dyDescent="0.3">
      <c r="A4671" t="s">
        <v>395</v>
      </c>
      <c r="B4671" t="s">
        <v>1469</v>
      </c>
      <c r="C4671" t="s">
        <v>36</v>
      </c>
      <c r="D4671" s="68">
        <v>14492</v>
      </c>
      <c r="E4671" s="68"/>
      <c r="F4671" s="68">
        <v>9856</v>
      </c>
      <c r="G4671" s="68">
        <v>24348</v>
      </c>
      <c r="H46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72" spans="1:8" hidden="1" x14ac:dyDescent="0.3">
      <c r="A4672" t="s">
        <v>395</v>
      </c>
      <c r="B4672" t="s">
        <v>1469</v>
      </c>
      <c r="C4672" t="s">
        <v>5</v>
      </c>
      <c r="D4672" s="68">
        <v>10521</v>
      </c>
      <c r="E4672" s="68"/>
      <c r="F4672" s="68">
        <v>6556</v>
      </c>
      <c r="G4672" s="68">
        <v>17077</v>
      </c>
      <c r="H46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73" spans="1:8" hidden="1" x14ac:dyDescent="0.3">
      <c r="A4673" t="s">
        <v>395</v>
      </c>
      <c r="B4673" t="s">
        <v>1469</v>
      </c>
      <c r="C4673" t="s">
        <v>37</v>
      </c>
      <c r="D4673" s="68">
        <v>3900</v>
      </c>
      <c r="E4673" s="68"/>
      <c r="F4673" s="68">
        <v>5261</v>
      </c>
      <c r="G4673" s="68">
        <v>9161</v>
      </c>
      <c r="H46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74" spans="1:8" hidden="1" x14ac:dyDescent="0.3">
      <c r="A4674" t="s">
        <v>395</v>
      </c>
      <c r="B4674" t="s">
        <v>1469</v>
      </c>
      <c r="C4674" t="s">
        <v>34</v>
      </c>
      <c r="D4674" s="68">
        <v>4955</v>
      </c>
      <c r="E4674" s="68"/>
      <c r="F4674" s="68">
        <v>986</v>
      </c>
      <c r="G4674" s="68">
        <v>5941</v>
      </c>
      <c r="H46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75" spans="1:8" hidden="1" x14ac:dyDescent="0.3">
      <c r="A4675" t="s">
        <v>395</v>
      </c>
      <c r="B4675" t="s">
        <v>1469</v>
      </c>
      <c r="C4675" t="s">
        <v>27</v>
      </c>
      <c r="D4675" s="68"/>
      <c r="E4675" s="68">
        <v>2856</v>
      </c>
      <c r="F4675" s="68"/>
      <c r="G4675" s="68">
        <v>2856</v>
      </c>
      <c r="H46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76" spans="1:8" hidden="1" x14ac:dyDescent="0.3">
      <c r="A4676" t="s">
        <v>395</v>
      </c>
      <c r="B4676" t="s">
        <v>1469</v>
      </c>
      <c r="C4676" t="s">
        <v>35</v>
      </c>
      <c r="D4676" s="68">
        <v>8</v>
      </c>
      <c r="E4676" s="68"/>
      <c r="F4676" s="68"/>
      <c r="G4676" s="68">
        <v>8</v>
      </c>
      <c r="H46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77" spans="1:8" hidden="1" x14ac:dyDescent="0.3">
      <c r="A4677" t="s">
        <v>395</v>
      </c>
      <c r="B4677" t="s">
        <v>1469</v>
      </c>
      <c r="C4677" t="s">
        <v>33</v>
      </c>
      <c r="D4677" s="68">
        <v>1</v>
      </c>
      <c r="E4677" s="68"/>
      <c r="F4677" s="68"/>
      <c r="G4677" s="68">
        <v>1</v>
      </c>
      <c r="H46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78" spans="1:8" hidden="1" x14ac:dyDescent="0.3">
      <c r="A4678" t="s">
        <v>395</v>
      </c>
      <c r="B4678" t="s">
        <v>1469</v>
      </c>
      <c r="C4678" t="s">
        <v>536</v>
      </c>
      <c r="D4678" s="68"/>
      <c r="E4678" s="68"/>
      <c r="F4678" s="68">
        <v>1</v>
      </c>
      <c r="G4678" s="68">
        <v>1</v>
      </c>
      <c r="H46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79" spans="1:8" hidden="1" x14ac:dyDescent="0.3">
      <c r="A4679" t="s">
        <v>395</v>
      </c>
      <c r="B4679" t="s">
        <v>1469</v>
      </c>
      <c r="C4679" t="s">
        <v>31</v>
      </c>
      <c r="D4679" s="68">
        <v>1</v>
      </c>
      <c r="E4679" s="68"/>
      <c r="F4679" s="68"/>
      <c r="G4679" s="68">
        <v>1</v>
      </c>
      <c r="H46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80" spans="1:8" hidden="1" x14ac:dyDescent="0.3">
      <c r="A4680" t="s">
        <v>395</v>
      </c>
      <c r="B4680" t="s">
        <v>1470</v>
      </c>
      <c r="C4680" t="s">
        <v>26</v>
      </c>
      <c r="D4680" s="68">
        <v>433</v>
      </c>
      <c r="E4680" s="68"/>
      <c r="F4680" s="68">
        <v>1183</v>
      </c>
      <c r="G4680" s="68">
        <v>1616</v>
      </c>
      <c r="H46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81" spans="1:8" hidden="1" x14ac:dyDescent="0.3">
      <c r="A4681" t="s">
        <v>395</v>
      </c>
      <c r="B4681" t="s">
        <v>1470</v>
      </c>
      <c r="C4681" t="s">
        <v>5</v>
      </c>
      <c r="D4681" s="68">
        <v>321</v>
      </c>
      <c r="E4681" s="68"/>
      <c r="F4681" s="68">
        <v>1013</v>
      </c>
      <c r="G4681" s="68">
        <v>1334</v>
      </c>
      <c r="H46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82" spans="1:8" hidden="1" x14ac:dyDescent="0.3">
      <c r="A4682" t="s">
        <v>395</v>
      </c>
      <c r="B4682" t="s">
        <v>1470</v>
      </c>
      <c r="C4682" t="s">
        <v>27</v>
      </c>
      <c r="D4682" s="68"/>
      <c r="E4682" s="68">
        <v>41</v>
      </c>
      <c r="F4682" s="68"/>
      <c r="G4682" s="68">
        <v>41</v>
      </c>
      <c r="H46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83" spans="1:8" hidden="1" x14ac:dyDescent="0.3">
      <c r="A4683" t="s">
        <v>395</v>
      </c>
      <c r="B4683" t="s">
        <v>1471</v>
      </c>
      <c r="C4683" t="s">
        <v>31</v>
      </c>
      <c r="D4683" s="68">
        <v>684</v>
      </c>
      <c r="E4683" s="68"/>
      <c r="F4683" s="68">
        <v>5218</v>
      </c>
      <c r="G4683" s="68">
        <v>5902</v>
      </c>
      <c r="H46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84" spans="1:8" hidden="1" x14ac:dyDescent="0.3">
      <c r="A4684" t="s">
        <v>395</v>
      </c>
      <c r="B4684" t="s">
        <v>1471</v>
      </c>
      <c r="C4684" t="s">
        <v>26</v>
      </c>
      <c r="D4684" s="68">
        <v>1133</v>
      </c>
      <c r="E4684" s="68"/>
      <c r="F4684" s="68">
        <v>2105</v>
      </c>
      <c r="G4684" s="68">
        <v>3238</v>
      </c>
      <c r="H46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85" spans="1:8" hidden="1" x14ac:dyDescent="0.3">
      <c r="A4685" t="s">
        <v>395</v>
      </c>
      <c r="B4685" t="s">
        <v>1471</v>
      </c>
      <c r="C4685" t="s">
        <v>27</v>
      </c>
      <c r="D4685" s="68"/>
      <c r="E4685" s="68">
        <v>498</v>
      </c>
      <c r="F4685" s="68"/>
      <c r="G4685" s="68">
        <v>498</v>
      </c>
      <c r="H46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86" spans="1:8" hidden="1" x14ac:dyDescent="0.3">
      <c r="A4686" t="s">
        <v>395</v>
      </c>
      <c r="B4686" t="s">
        <v>1471</v>
      </c>
      <c r="C4686" t="s">
        <v>35</v>
      </c>
      <c r="D4686" s="68">
        <v>26</v>
      </c>
      <c r="E4686" s="68"/>
      <c r="F4686" s="68"/>
      <c r="G4686" s="68">
        <v>26</v>
      </c>
      <c r="H46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87" spans="1:8" hidden="1" x14ac:dyDescent="0.3">
      <c r="A4687" t="s">
        <v>395</v>
      </c>
      <c r="B4687" t="s">
        <v>1472</v>
      </c>
      <c r="C4687" t="s">
        <v>26</v>
      </c>
      <c r="D4687" s="68">
        <v>1386</v>
      </c>
      <c r="E4687" s="68"/>
      <c r="F4687" s="68">
        <v>2217</v>
      </c>
      <c r="G4687" s="68">
        <v>3603</v>
      </c>
      <c r="H46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88" spans="1:8" hidden="1" x14ac:dyDescent="0.3">
      <c r="A4688" t="s">
        <v>395</v>
      </c>
      <c r="B4688" t="s">
        <v>1472</v>
      </c>
      <c r="C4688" t="s">
        <v>5</v>
      </c>
      <c r="D4688" s="68">
        <v>389</v>
      </c>
      <c r="E4688" s="68"/>
      <c r="F4688" s="68">
        <v>1857</v>
      </c>
      <c r="G4688" s="68">
        <v>2246</v>
      </c>
      <c r="H46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89" spans="1:8" hidden="1" x14ac:dyDescent="0.3">
      <c r="A4689" t="s">
        <v>395</v>
      </c>
      <c r="B4689" t="s">
        <v>1472</v>
      </c>
      <c r="C4689" t="s">
        <v>27</v>
      </c>
      <c r="D4689" s="68"/>
      <c r="E4689" s="68">
        <v>127</v>
      </c>
      <c r="F4689" s="68"/>
      <c r="G4689" s="68">
        <v>127</v>
      </c>
      <c r="H46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90" spans="1:8" hidden="1" x14ac:dyDescent="0.3">
      <c r="A4690" t="s">
        <v>395</v>
      </c>
      <c r="B4690" t="s">
        <v>1473</v>
      </c>
      <c r="C4690" t="s">
        <v>26</v>
      </c>
      <c r="D4690" s="68">
        <v>11319</v>
      </c>
      <c r="E4690" s="68"/>
      <c r="F4690" s="68">
        <v>12852</v>
      </c>
      <c r="G4690" s="68">
        <v>24171</v>
      </c>
      <c r="H46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91" spans="1:8" hidden="1" x14ac:dyDescent="0.3">
      <c r="A4691" t="s">
        <v>395</v>
      </c>
      <c r="B4691" t="s">
        <v>1473</v>
      </c>
      <c r="C4691" t="s">
        <v>31</v>
      </c>
      <c r="D4691" s="68">
        <v>877</v>
      </c>
      <c r="E4691" s="68"/>
      <c r="F4691" s="68">
        <v>5159</v>
      </c>
      <c r="G4691" s="68">
        <v>6036</v>
      </c>
      <c r="H46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92" spans="1:8" hidden="1" x14ac:dyDescent="0.3">
      <c r="A4692" t="s">
        <v>395</v>
      </c>
      <c r="B4692" t="s">
        <v>1473</v>
      </c>
      <c r="C4692" t="s">
        <v>27</v>
      </c>
      <c r="D4692" s="68"/>
      <c r="E4692" s="68">
        <v>1332</v>
      </c>
      <c r="F4692" s="68"/>
      <c r="G4692" s="68">
        <v>1332</v>
      </c>
      <c r="H46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93" spans="1:8" hidden="1" x14ac:dyDescent="0.3">
      <c r="A4693" t="s">
        <v>395</v>
      </c>
      <c r="B4693" t="s">
        <v>1473</v>
      </c>
      <c r="C4693" t="s">
        <v>5</v>
      </c>
      <c r="D4693" s="68">
        <v>271</v>
      </c>
      <c r="E4693" s="68"/>
      <c r="F4693" s="68">
        <v>181</v>
      </c>
      <c r="G4693" s="68">
        <v>452</v>
      </c>
      <c r="H46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94" spans="1:8" hidden="1" x14ac:dyDescent="0.3">
      <c r="A4694" t="s">
        <v>395</v>
      </c>
      <c r="B4694" t="s">
        <v>1473</v>
      </c>
      <c r="C4694" t="s">
        <v>35</v>
      </c>
      <c r="D4694" s="68">
        <v>12</v>
      </c>
      <c r="E4694" s="68"/>
      <c r="F4694" s="68"/>
      <c r="G4694" s="68">
        <v>12</v>
      </c>
      <c r="H46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95" spans="1:8" hidden="1" x14ac:dyDescent="0.3">
      <c r="A4695" t="s">
        <v>395</v>
      </c>
      <c r="B4695" t="s">
        <v>637</v>
      </c>
      <c r="C4695" t="s">
        <v>31</v>
      </c>
      <c r="D4695" s="68">
        <v>766</v>
      </c>
      <c r="E4695" s="68"/>
      <c r="F4695" s="68">
        <v>8849</v>
      </c>
      <c r="G4695" s="68">
        <v>9615</v>
      </c>
      <c r="H46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96" spans="1:8" hidden="1" x14ac:dyDescent="0.3">
      <c r="A4696" t="s">
        <v>395</v>
      </c>
      <c r="B4696" t="s">
        <v>637</v>
      </c>
      <c r="C4696" t="s">
        <v>26</v>
      </c>
      <c r="D4696" s="68">
        <v>1737</v>
      </c>
      <c r="E4696" s="68"/>
      <c r="F4696" s="68">
        <v>6478</v>
      </c>
      <c r="G4696" s="68">
        <v>8215</v>
      </c>
      <c r="H46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97" spans="1:8" hidden="1" x14ac:dyDescent="0.3">
      <c r="A4697" t="s">
        <v>395</v>
      </c>
      <c r="B4697" t="s">
        <v>637</v>
      </c>
      <c r="C4697" t="s">
        <v>36</v>
      </c>
      <c r="D4697" s="68">
        <v>919</v>
      </c>
      <c r="E4697" s="68"/>
      <c r="F4697" s="68">
        <v>1576</v>
      </c>
      <c r="G4697" s="68">
        <v>2495</v>
      </c>
      <c r="H46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98" spans="1:8" hidden="1" x14ac:dyDescent="0.3">
      <c r="A4698" t="s">
        <v>395</v>
      </c>
      <c r="B4698" t="s">
        <v>637</v>
      </c>
      <c r="C4698" t="s">
        <v>27</v>
      </c>
      <c r="D4698" s="68"/>
      <c r="E4698" s="68">
        <v>397</v>
      </c>
      <c r="F4698" s="68"/>
      <c r="G4698" s="68">
        <v>397</v>
      </c>
      <c r="H46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699" spans="1:8" hidden="1" x14ac:dyDescent="0.3">
      <c r="A4699" t="s">
        <v>395</v>
      </c>
      <c r="B4699" t="s">
        <v>637</v>
      </c>
      <c r="C4699" t="s">
        <v>5</v>
      </c>
      <c r="D4699" s="68">
        <v>2</v>
      </c>
      <c r="E4699" s="68"/>
      <c r="F4699" s="68">
        <v>2</v>
      </c>
      <c r="G4699" s="68">
        <v>4</v>
      </c>
      <c r="H46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00" spans="1:8" hidden="1" x14ac:dyDescent="0.3">
      <c r="A4700" t="s">
        <v>395</v>
      </c>
      <c r="B4700" t="s">
        <v>1474</v>
      </c>
      <c r="C4700" t="s">
        <v>26</v>
      </c>
      <c r="D4700" s="68">
        <v>12070</v>
      </c>
      <c r="E4700" s="68"/>
      <c r="F4700" s="68">
        <v>18786</v>
      </c>
      <c r="G4700" s="68">
        <v>30856</v>
      </c>
      <c r="H47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01" spans="1:8" hidden="1" x14ac:dyDescent="0.3">
      <c r="A4701" t="s">
        <v>395</v>
      </c>
      <c r="B4701" t="s">
        <v>1474</v>
      </c>
      <c r="C4701" t="s">
        <v>36</v>
      </c>
      <c r="D4701" s="68">
        <v>1683</v>
      </c>
      <c r="E4701" s="68"/>
      <c r="F4701" s="68">
        <v>2765</v>
      </c>
      <c r="G4701" s="68">
        <v>4448</v>
      </c>
      <c r="H47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02" spans="1:8" hidden="1" x14ac:dyDescent="0.3">
      <c r="A4702" t="s">
        <v>395</v>
      </c>
      <c r="B4702" t="s">
        <v>1474</v>
      </c>
      <c r="C4702" t="s">
        <v>27</v>
      </c>
      <c r="D4702" s="68"/>
      <c r="E4702" s="68">
        <v>802</v>
      </c>
      <c r="F4702" s="68"/>
      <c r="G4702" s="68">
        <v>802</v>
      </c>
      <c r="H47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03" spans="1:8" hidden="1" x14ac:dyDescent="0.3">
      <c r="A4703" t="s">
        <v>395</v>
      </c>
      <c r="B4703" t="s">
        <v>1474</v>
      </c>
      <c r="C4703" t="s">
        <v>35</v>
      </c>
      <c r="D4703" s="68">
        <v>15</v>
      </c>
      <c r="E4703" s="68"/>
      <c r="F4703" s="68"/>
      <c r="G4703" s="68">
        <v>15</v>
      </c>
      <c r="H47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04" spans="1:8" hidden="1" x14ac:dyDescent="0.3">
      <c r="A4704" t="s">
        <v>395</v>
      </c>
      <c r="B4704" t="s">
        <v>1474</v>
      </c>
      <c r="C4704" t="s">
        <v>5</v>
      </c>
      <c r="D4704" s="68">
        <v>1</v>
      </c>
      <c r="E4704" s="68"/>
      <c r="F4704" s="68"/>
      <c r="G4704" s="68">
        <v>1</v>
      </c>
      <c r="H47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05" spans="1:8" hidden="1" x14ac:dyDescent="0.3">
      <c r="A4705" t="s">
        <v>395</v>
      </c>
      <c r="B4705" t="s">
        <v>687</v>
      </c>
      <c r="C4705" t="s">
        <v>5</v>
      </c>
      <c r="D4705" s="68">
        <v>394</v>
      </c>
      <c r="E4705" s="68"/>
      <c r="F4705" s="68">
        <v>4752</v>
      </c>
      <c r="G4705" s="68">
        <v>5146</v>
      </c>
      <c r="H47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06" spans="1:8" hidden="1" x14ac:dyDescent="0.3">
      <c r="A4706" t="s">
        <v>395</v>
      </c>
      <c r="B4706" t="s">
        <v>687</v>
      </c>
      <c r="C4706" t="s">
        <v>26</v>
      </c>
      <c r="D4706" s="68">
        <v>289</v>
      </c>
      <c r="E4706" s="68"/>
      <c r="F4706" s="68">
        <v>671</v>
      </c>
      <c r="G4706" s="68">
        <v>960</v>
      </c>
      <c r="H47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07" spans="1:8" hidden="1" x14ac:dyDescent="0.3">
      <c r="A4707" t="s">
        <v>395</v>
      </c>
      <c r="B4707" t="s">
        <v>687</v>
      </c>
      <c r="C4707" t="s">
        <v>27</v>
      </c>
      <c r="D4707" s="68"/>
      <c r="E4707" s="68">
        <v>276</v>
      </c>
      <c r="F4707" s="68"/>
      <c r="G4707" s="68">
        <v>276</v>
      </c>
      <c r="H47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08" spans="1:8" hidden="1" x14ac:dyDescent="0.3">
      <c r="A4708" t="s">
        <v>395</v>
      </c>
      <c r="B4708" t="s">
        <v>1475</v>
      </c>
      <c r="C4708" t="s">
        <v>26</v>
      </c>
      <c r="D4708" s="68">
        <v>127</v>
      </c>
      <c r="E4708" s="68"/>
      <c r="F4708" s="68">
        <v>2027</v>
      </c>
      <c r="G4708" s="68">
        <v>2154</v>
      </c>
      <c r="H47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09" spans="1:8" hidden="1" x14ac:dyDescent="0.3">
      <c r="A4709" t="s">
        <v>395</v>
      </c>
      <c r="B4709" t="s">
        <v>1475</v>
      </c>
      <c r="C4709" t="s">
        <v>27</v>
      </c>
      <c r="D4709" s="68"/>
      <c r="E4709" s="68">
        <v>43</v>
      </c>
      <c r="F4709" s="68"/>
      <c r="G4709" s="68">
        <v>43</v>
      </c>
      <c r="H47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10" spans="1:8" hidden="1" x14ac:dyDescent="0.3">
      <c r="A4710" t="s">
        <v>395</v>
      </c>
      <c r="B4710" t="s">
        <v>1476</v>
      </c>
      <c r="C4710" t="s">
        <v>26</v>
      </c>
      <c r="D4710" s="68">
        <v>19633</v>
      </c>
      <c r="E4710" s="68"/>
      <c r="F4710" s="68">
        <v>20412</v>
      </c>
      <c r="G4710" s="68">
        <v>40045</v>
      </c>
      <c r="H47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11" spans="1:8" hidden="1" x14ac:dyDescent="0.3">
      <c r="A4711" t="s">
        <v>395</v>
      </c>
      <c r="B4711" t="s">
        <v>1476</v>
      </c>
      <c r="C4711" t="s">
        <v>5</v>
      </c>
      <c r="D4711" s="68">
        <v>14065</v>
      </c>
      <c r="E4711" s="68"/>
      <c r="F4711" s="68">
        <v>7237</v>
      </c>
      <c r="G4711" s="68">
        <v>21302</v>
      </c>
      <c r="H47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12" spans="1:8" hidden="1" x14ac:dyDescent="0.3">
      <c r="A4712" t="s">
        <v>395</v>
      </c>
      <c r="B4712" t="s">
        <v>1476</v>
      </c>
      <c r="C4712" t="s">
        <v>36</v>
      </c>
      <c r="D4712" s="68">
        <v>2912</v>
      </c>
      <c r="E4712" s="68"/>
      <c r="F4712" s="68">
        <v>2919</v>
      </c>
      <c r="G4712" s="68">
        <v>5831</v>
      </c>
      <c r="H47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13" spans="1:8" hidden="1" x14ac:dyDescent="0.3">
      <c r="A4713" t="s">
        <v>395</v>
      </c>
      <c r="B4713" t="s">
        <v>1476</v>
      </c>
      <c r="C4713" t="s">
        <v>37</v>
      </c>
      <c r="D4713" s="68">
        <v>1914</v>
      </c>
      <c r="E4713" s="68"/>
      <c r="F4713" s="68">
        <v>2585</v>
      </c>
      <c r="G4713" s="68">
        <v>4499</v>
      </c>
      <c r="H47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14" spans="1:8" hidden="1" x14ac:dyDescent="0.3">
      <c r="A4714" t="s">
        <v>395</v>
      </c>
      <c r="B4714" t="s">
        <v>1476</v>
      </c>
      <c r="C4714" t="s">
        <v>27</v>
      </c>
      <c r="D4714" s="68"/>
      <c r="E4714" s="68">
        <v>1882</v>
      </c>
      <c r="F4714" s="68"/>
      <c r="G4714" s="68">
        <v>1882</v>
      </c>
      <c r="H47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15" spans="1:8" hidden="1" x14ac:dyDescent="0.3">
      <c r="A4715" t="s">
        <v>395</v>
      </c>
      <c r="B4715" t="s">
        <v>1476</v>
      </c>
      <c r="C4715" t="s">
        <v>35</v>
      </c>
      <c r="D4715" s="68">
        <v>30</v>
      </c>
      <c r="E4715" s="68"/>
      <c r="F4715" s="68"/>
      <c r="G4715" s="68">
        <v>30</v>
      </c>
      <c r="H47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16" spans="1:8" hidden="1" x14ac:dyDescent="0.3">
      <c r="A4716" t="s">
        <v>395</v>
      </c>
      <c r="B4716" t="s">
        <v>1477</v>
      </c>
      <c r="C4716" t="s">
        <v>5</v>
      </c>
      <c r="D4716" s="68">
        <v>143</v>
      </c>
      <c r="E4716" s="68"/>
      <c r="F4716" s="68">
        <v>1275</v>
      </c>
      <c r="G4716" s="68">
        <v>1418</v>
      </c>
      <c r="H47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17" spans="1:8" hidden="1" x14ac:dyDescent="0.3">
      <c r="A4717" t="s">
        <v>395</v>
      </c>
      <c r="B4717" t="s">
        <v>1477</v>
      </c>
      <c r="C4717" t="s">
        <v>26</v>
      </c>
      <c r="D4717" s="68">
        <v>155</v>
      </c>
      <c r="E4717" s="68"/>
      <c r="F4717" s="68">
        <v>210</v>
      </c>
      <c r="G4717" s="68">
        <v>365</v>
      </c>
      <c r="H47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18" spans="1:8" hidden="1" x14ac:dyDescent="0.3">
      <c r="A4718" t="s">
        <v>395</v>
      </c>
      <c r="B4718" t="s">
        <v>1477</v>
      </c>
      <c r="C4718" t="s">
        <v>27</v>
      </c>
      <c r="D4718" s="68"/>
      <c r="E4718" s="68">
        <v>75</v>
      </c>
      <c r="F4718" s="68"/>
      <c r="G4718" s="68">
        <v>75</v>
      </c>
      <c r="H47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19" spans="1:8" hidden="1" x14ac:dyDescent="0.3">
      <c r="A4719" t="s">
        <v>395</v>
      </c>
      <c r="B4719" t="s">
        <v>1478</v>
      </c>
      <c r="C4719" t="s">
        <v>5</v>
      </c>
      <c r="D4719" s="68">
        <v>290</v>
      </c>
      <c r="E4719" s="68"/>
      <c r="F4719" s="68">
        <v>2517</v>
      </c>
      <c r="G4719" s="68">
        <v>2807</v>
      </c>
      <c r="H47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20" spans="1:8" hidden="1" x14ac:dyDescent="0.3">
      <c r="A4720" t="s">
        <v>395</v>
      </c>
      <c r="B4720" t="s">
        <v>1478</v>
      </c>
      <c r="C4720" t="s">
        <v>26</v>
      </c>
      <c r="D4720" s="68">
        <v>152</v>
      </c>
      <c r="E4720" s="68"/>
      <c r="F4720" s="68">
        <v>191</v>
      </c>
      <c r="G4720" s="68">
        <v>343</v>
      </c>
      <c r="H47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21" spans="1:8" hidden="1" x14ac:dyDescent="0.3">
      <c r="A4721" t="s">
        <v>395</v>
      </c>
      <c r="B4721" t="s">
        <v>1478</v>
      </c>
      <c r="C4721" t="s">
        <v>27</v>
      </c>
      <c r="D4721" s="68"/>
      <c r="E4721" s="68">
        <v>63</v>
      </c>
      <c r="F4721" s="68"/>
      <c r="G4721" s="68">
        <v>63</v>
      </c>
      <c r="H47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22" spans="1:8" hidden="1" x14ac:dyDescent="0.3">
      <c r="A4722" t="s">
        <v>395</v>
      </c>
      <c r="B4722" t="s">
        <v>1391</v>
      </c>
      <c r="C4722" t="s">
        <v>5</v>
      </c>
      <c r="D4722" s="68">
        <v>186</v>
      </c>
      <c r="E4722" s="68"/>
      <c r="F4722" s="68">
        <v>1520</v>
      </c>
      <c r="G4722" s="68">
        <v>1706</v>
      </c>
      <c r="H47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23" spans="1:8" hidden="1" x14ac:dyDescent="0.3">
      <c r="A4723" t="s">
        <v>395</v>
      </c>
      <c r="B4723" t="s">
        <v>1391</v>
      </c>
      <c r="C4723" t="s">
        <v>26</v>
      </c>
      <c r="D4723" s="68">
        <v>42</v>
      </c>
      <c r="E4723" s="68"/>
      <c r="F4723" s="68">
        <v>105</v>
      </c>
      <c r="G4723" s="68">
        <v>147</v>
      </c>
      <c r="H47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24" spans="1:8" hidden="1" x14ac:dyDescent="0.3">
      <c r="A4724" t="s">
        <v>395</v>
      </c>
      <c r="B4724" t="s">
        <v>1391</v>
      </c>
      <c r="C4724" t="s">
        <v>27</v>
      </c>
      <c r="D4724" s="68"/>
      <c r="E4724" s="68">
        <v>64</v>
      </c>
      <c r="F4724" s="68"/>
      <c r="G4724" s="68">
        <v>64</v>
      </c>
      <c r="H47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25" spans="1:8" hidden="1" x14ac:dyDescent="0.3">
      <c r="A4725" t="s">
        <v>395</v>
      </c>
      <c r="B4725" t="s">
        <v>1479</v>
      </c>
      <c r="C4725" t="s">
        <v>31</v>
      </c>
      <c r="D4725" s="68">
        <v>1717</v>
      </c>
      <c r="E4725" s="68"/>
      <c r="F4725" s="68">
        <v>12684</v>
      </c>
      <c r="G4725" s="68">
        <v>14401</v>
      </c>
      <c r="H47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26" spans="1:8" hidden="1" x14ac:dyDescent="0.3">
      <c r="A4726" t="s">
        <v>395</v>
      </c>
      <c r="B4726" t="s">
        <v>1479</v>
      </c>
      <c r="C4726" t="s">
        <v>26</v>
      </c>
      <c r="D4726" s="68">
        <v>3022</v>
      </c>
      <c r="E4726" s="68"/>
      <c r="F4726" s="68">
        <v>6538</v>
      </c>
      <c r="G4726" s="68">
        <v>9560</v>
      </c>
      <c r="H47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27" spans="1:8" hidden="1" x14ac:dyDescent="0.3">
      <c r="A4727" t="s">
        <v>395</v>
      </c>
      <c r="B4727" t="s">
        <v>1479</v>
      </c>
      <c r="C4727" t="s">
        <v>27</v>
      </c>
      <c r="D4727" s="68"/>
      <c r="E4727" s="68">
        <v>753</v>
      </c>
      <c r="F4727" s="68"/>
      <c r="G4727" s="68">
        <v>753</v>
      </c>
      <c r="H47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28" spans="1:8" hidden="1" x14ac:dyDescent="0.3">
      <c r="A4728" t="s">
        <v>395</v>
      </c>
      <c r="B4728" t="s">
        <v>1479</v>
      </c>
      <c r="C4728" t="s">
        <v>36</v>
      </c>
      <c r="D4728" s="68">
        <v>3</v>
      </c>
      <c r="E4728" s="68"/>
      <c r="F4728" s="68"/>
      <c r="G4728" s="68">
        <v>3</v>
      </c>
      <c r="H47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29" spans="1:8" hidden="1" x14ac:dyDescent="0.3">
      <c r="A4729" t="s">
        <v>395</v>
      </c>
      <c r="B4729" t="s">
        <v>653</v>
      </c>
      <c r="C4729" t="s">
        <v>26</v>
      </c>
      <c r="D4729" s="68">
        <v>172</v>
      </c>
      <c r="E4729" s="68"/>
      <c r="F4729" s="68">
        <v>1431</v>
      </c>
      <c r="G4729" s="68">
        <v>1603</v>
      </c>
      <c r="H47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30" spans="1:8" hidden="1" x14ac:dyDescent="0.3">
      <c r="A4730" t="s">
        <v>395</v>
      </c>
      <c r="B4730" t="s">
        <v>653</v>
      </c>
      <c r="C4730" t="s">
        <v>27</v>
      </c>
      <c r="D4730" s="68"/>
      <c r="E4730" s="68">
        <v>34</v>
      </c>
      <c r="F4730" s="68"/>
      <c r="G4730" s="68">
        <v>34</v>
      </c>
      <c r="H47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31" spans="1:8" hidden="1" x14ac:dyDescent="0.3">
      <c r="A4731" t="s">
        <v>395</v>
      </c>
      <c r="B4731" t="s">
        <v>1480</v>
      </c>
      <c r="C4731" t="s">
        <v>31</v>
      </c>
      <c r="D4731" s="68">
        <v>201</v>
      </c>
      <c r="E4731" s="68"/>
      <c r="F4731" s="68">
        <v>3074</v>
      </c>
      <c r="G4731" s="68">
        <v>3275</v>
      </c>
      <c r="H47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32" spans="1:8" hidden="1" x14ac:dyDescent="0.3">
      <c r="A4732" t="s">
        <v>395</v>
      </c>
      <c r="B4732" t="s">
        <v>1480</v>
      </c>
      <c r="C4732" t="s">
        <v>26</v>
      </c>
      <c r="D4732" s="68">
        <v>67</v>
      </c>
      <c r="E4732" s="68"/>
      <c r="F4732" s="68">
        <v>97</v>
      </c>
      <c r="G4732" s="68">
        <v>164</v>
      </c>
      <c r="H47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33" spans="1:8" hidden="1" x14ac:dyDescent="0.3">
      <c r="A4733" t="s">
        <v>395</v>
      </c>
      <c r="B4733" t="s">
        <v>1480</v>
      </c>
      <c r="C4733" t="s">
        <v>27</v>
      </c>
      <c r="D4733" s="68"/>
      <c r="E4733" s="68">
        <v>129</v>
      </c>
      <c r="F4733" s="68"/>
      <c r="G4733" s="68">
        <v>129</v>
      </c>
      <c r="H47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34" spans="1:8" hidden="1" x14ac:dyDescent="0.3">
      <c r="A4734" t="s">
        <v>395</v>
      </c>
      <c r="B4734" t="s">
        <v>1481</v>
      </c>
      <c r="C4734" t="s">
        <v>31</v>
      </c>
      <c r="D4734" s="68">
        <v>499</v>
      </c>
      <c r="E4734" s="68"/>
      <c r="F4734" s="68">
        <v>4526</v>
      </c>
      <c r="G4734" s="68">
        <v>5025</v>
      </c>
      <c r="H47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35" spans="1:8" hidden="1" x14ac:dyDescent="0.3">
      <c r="A4735" t="s">
        <v>395</v>
      </c>
      <c r="B4735" t="s">
        <v>1481</v>
      </c>
      <c r="C4735" t="s">
        <v>26</v>
      </c>
      <c r="D4735" s="68">
        <v>596</v>
      </c>
      <c r="E4735" s="68"/>
      <c r="F4735" s="68">
        <v>1044</v>
      </c>
      <c r="G4735" s="68">
        <v>1640</v>
      </c>
      <c r="H47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36" spans="1:8" hidden="1" x14ac:dyDescent="0.3">
      <c r="A4736" t="s">
        <v>395</v>
      </c>
      <c r="B4736" t="s">
        <v>1481</v>
      </c>
      <c r="C4736" t="s">
        <v>27</v>
      </c>
      <c r="D4736" s="68"/>
      <c r="E4736" s="68">
        <v>192</v>
      </c>
      <c r="F4736" s="68"/>
      <c r="G4736" s="68">
        <v>192</v>
      </c>
      <c r="H47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37" spans="1:8" hidden="1" x14ac:dyDescent="0.3">
      <c r="A4737" t="s">
        <v>395</v>
      </c>
      <c r="B4737" t="s">
        <v>1481</v>
      </c>
      <c r="C4737" t="s">
        <v>5</v>
      </c>
      <c r="D4737" s="68">
        <v>2</v>
      </c>
      <c r="E4737" s="68"/>
      <c r="F4737" s="68"/>
      <c r="G4737" s="68">
        <v>2</v>
      </c>
      <c r="H47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38" spans="1:8" hidden="1" x14ac:dyDescent="0.3">
      <c r="A4738" t="s">
        <v>395</v>
      </c>
      <c r="B4738" t="s">
        <v>1482</v>
      </c>
      <c r="C4738" t="s">
        <v>26</v>
      </c>
      <c r="D4738" s="68">
        <v>10303</v>
      </c>
      <c r="E4738" s="68"/>
      <c r="F4738" s="68">
        <v>9326</v>
      </c>
      <c r="G4738" s="68">
        <v>19629</v>
      </c>
      <c r="H47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39" spans="1:8" hidden="1" x14ac:dyDescent="0.3">
      <c r="A4739" t="s">
        <v>395</v>
      </c>
      <c r="B4739" t="s">
        <v>1482</v>
      </c>
      <c r="C4739" t="s">
        <v>31</v>
      </c>
      <c r="D4739" s="68">
        <v>2632</v>
      </c>
      <c r="E4739" s="68"/>
      <c r="F4739" s="68">
        <v>9264</v>
      </c>
      <c r="G4739" s="68">
        <v>11896</v>
      </c>
      <c r="H47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40" spans="1:8" hidden="1" x14ac:dyDescent="0.3">
      <c r="A4740" t="s">
        <v>395</v>
      </c>
      <c r="B4740" t="s">
        <v>1482</v>
      </c>
      <c r="C4740" t="s">
        <v>27</v>
      </c>
      <c r="D4740" s="68"/>
      <c r="E4740" s="68">
        <v>1010</v>
      </c>
      <c r="F4740" s="68"/>
      <c r="G4740" s="68">
        <v>1010</v>
      </c>
      <c r="H47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41" spans="1:8" hidden="1" x14ac:dyDescent="0.3">
      <c r="A4741" t="s">
        <v>395</v>
      </c>
      <c r="B4741" t="s">
        <v>1482</v>
      </c>
      <c r="C4741" t="s">
        <v>5</v>
      </c>
      <c r="D4741" s="68">
        <v>563</v>
      </c>
      <c r="E4741" s="68"/>
      <c r="F4741" s="68">
        <v>259</v>
      </c>
      <c r="G4741" s="68">
        <v>822</v>
      </c>
      <c r="H47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42" spans="1:8" hidden="1" x14ac:dyDescent="0.3">
      <c r="A4742" t="s">
        <v>395</v>
      </c>
      <c r="B4742" t="s">
        <v>1482</v>
      </c>
      <c r="C4742" t="s">
        <v>36</v>
      </c>
      <c r="D4742" s="68">
        <v>90</v>
      </c>
      <c r="E4742" s="68"/>
      <c r="F4742" s="68">
        <v>38</v>
      </c>
      <c r="G4742" s="68">
        <v>128</v>
      </c>
      <c r="H47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43" spans="1:8" hidden="1" x14ac:dyDescent="0.3">
      <c r="A4743" t="s">
        <v>395</v>
      </c>
      <c r="B4743" t="s">
        <v>1483</v>
      </c>
      <c r="C4743" t="s">
        <v>26</v>
      </c>
      <c r="D4743" s="68">
        <v>1045</v>
      </c>
      <c r="E4743" s="68"/>
      <c r="F4743" s="68">
        <v>5078</v>
      </c>
      <c r="G4743" s="68">
        <v>6123</v>
      </c>
      <c r="H47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44" spans="1:8" hidden="1" x14ac:dyDescent="0.3">
      <c r="A4744" t="s">
        <v>395</v>
      </c>
      <c r="B4744" t="s">
        <v>1483</v>
      </c>
      <c r="C4744" t="s">
        <v>5</v>
      </c>
      <c r="D4744" s="68">
        <v>221</v>
      </c>
      <c r="E4744" s="68"/>
      <c r="F4744" s="68">
        <v>1291</v>
      </c>
      <c r="G4744" s="68">
        <v>1512</v>
      </c>
      <c r="H47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45" spans="1:8" hidden="1" x14ac:dyDescent="0.3">
      <c r="A4745" t="s">
        <v>395</v>
      </c>
      <c r="B4745" t="s">
        <v>1483</v>
      </c>
      <c r="C4745" t="s">
        <v>27</v>
      </c>
      <c r="D4745" s="68"/>
      <c r="E4745" s="68">
        <v>200</v>
      </c>
      <c r="F4745" s="68"/>
      <c r="G4745" s="68">
        <v>200</v>
      </c>
      <c r="H47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46" spans="1:8" hidden="1" x14ac:dyDescent="0.3">
      <c r="A4746" t="s">
        <v>395</v>
      </c>
      <c r="B4746" t="s">
        <v>971</v>
      </c>
      <c r="C4746" t="s">
        <v>31</v>
      </c>
      <c r="D4746" s="68">
        <v>258</v>
      </c>
      <c r="E4746" s="68"/>
      <c r="F4746" s="68">
        <v>4593</v>
      </c>
      <c r="G4746" s="68">
        <v>4851</v>
      </c>
      <c r="H47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47" spans="1:8" hidden="1" x14ac:dyDescent="0.3">
      <c r="A4747" t="s">
        <v>395</v>
      </c>
      <c r="B4747" t="s">
        <v>971</v>
      </c>
      <c r="C4747" t="s">
        <v>27</v>
      </c>
      <c r="D4747" s="68"/>
      <c r="E4747" s="68">
        <v>206</v>
      </c>
      <c r="F4747" s="68"/>
      <c r="G4747" s="68">
        <v>206</v>
      </c>
      <c r="H47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48" spans="1:8" hidden="1" x14ac:dyDescent="0.3">
      <c r="A4748" t="s">
        <v>395</v>
      </c>
      <c r="B4748" t="s">
        <v>971</v>
      </c>
      <c r="C4748" t="s">
        <v>26</v>
      </c>
      <c r="D4748" s="68">
        <v>121</v>
      </c>
      <c r="E4748" s="68"/>
      <c r="F4748" s="68">
        <v>35</v>
      </c>
      <c r="G4748" s="68">
        <v>156</v>
      </c>
      <c r="H47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49" spans="1:8" hidden="1" x14ac:dyDescent="0.3">
      <c r="A4749" t="s">
        <v>395</v>
      </c>
      <c r="B4749" t="s">
        <v>1484</v>
      </c>
      <c r="C4749" t="s">
        <v>31</v>
      </c>
      <c r="D4749" s="68">
        <v>189</v>
      </c>
      <c r="E4749" s="68"/>
      <c r="F4749" s="68">
        <v>2407</v>
      </c>
      <c r="G4749" s="68">
        <v>2596</v>
      </c>
      <c r="H47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50" spans="1:8" hidden="1" x14ac:dyDescent="0.3">
      <c r="A4750" t="s">
        <v>395</v>
      </c>
      <c r="B4750" t="s">
        <v>1484</v>
      </c>
      <c r="C4750" t="s">
        <v>26</v>
      </c>
      <c r="D4750" s="68">
        <v>207</v>
      </c>
      <c r="E4750" s="68"/>
      <c r="F4750" s="68">
        <v>326</v>
      </c>
      <c r="G4750" s="68">
        <v>533</v>
      </c>
      <c r="H47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51" spans="1:8" hidden="1" x14ac:dyDescent="0.3">
      <c r="A4751" t="s">
        <v>395</v>
      </c>
      <c r="B4751" t="s">
        <v>1484</v>
      </c>
      <c r="C4751" t="s">
        <v>27</v>
      </c>
      <c r="D4751" s="68"/>
      <c r="E4751" s="68">
        <v>96</v>
      </c>
      <c r="F4751" s="68"/>
      <c r="G4751" s="68">
        <v>96</v>
      </c>
      <c r="H47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52" spans="1:8" hidden="1" x14ac:dyDescent="0.3">
      <c r="A4752" t="s">
        <v>395</v>
      </c>
      <c r="B4752" t="s">
        <v>1485</v>
      </c>
      <c r="C4752" t="s">
        <v>5</v>
      </c>
      <c r="D4752" s="68">
        <v>173</v>
      </c>
      <c r="E4752" s="68"/>
      <c r="F4752" s="68">
        <v>3129</v>
      </c>
      <c r="G4752" s="68">
        <v>3302</v>
      </c>
      <c r="H47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53" spans="1:8" hidden="1" x14ac:dyDescent="0.3">
      <c r="A4753" t="s">
        <v>395</v>
      </c>
      <c r="B4753" t="s">
        <v>1485</v>
      </c>
      <c r="C4753" t="s">
        <v>26</v>
      </c>
      <c r="D4753" s="68">
        <v>183</v>
      </c>
      <c r="E4753" s="68"/>
      <c r="F4753" s="68">
        <v>1730</v>
      </c>
      <c r="G4753" s="68">
        <v>1913</v>
      </c>
      <c r="H47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54" spans="1:8" hidden="1" x14ac:dyDescent="0.3">
      <c r="A4754" t="s">
        <v>395</v>
      </c>
      <c r="B4754" t="s">
        <v>1485</v>
      </c>
      <c r="C4754" t="s">
        <v>27</v>
      </c>
      <c r="D4754" s="68"/>
      <c r="E4754" s="68">
        <v>79</v>
      </c>
      <c r="F4754" s="68"/>
      <c r="G4754" s="68">
        <v>79</v>
      </c>
      <c r="H47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55" spans="1:8" hidden="1" x14ac:dyDescent="0.3">
      <c r="A4755" t="s">
        <v>395</v>
      </c>
      <c r="B4755" t="s">
        <v>1486</v>
      </c>
      <c r="C4755" t="s">
        <v>31</v>
      </c>
      <c r="D4755" s="68">
        <v>384</v>
      </c>
      <c r="E4755" s="68"/>
      <c r="F4755" s="68">
        <v>4074</v>
      </c>
      <c r="G4755" s="68">
        <v>4458</v>
      </c>
      <c r="H47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56" spans="1:8" hidden="1" x14ac:dyDescent="0.3">
      <c r="A4756" t="s">
        <v>395</v>
      </c>
      <c r="B4756" t="s">
        <v>1486</v>
      </c>
      <c r="C4756" t="s">
        <v>26</v>
      </c>
      <c r="D4756" s="68">
        <v>302</v>
      </c>
      <c r="E4756" s="68"/>
      <c r="F4756" s="68">
        <v>476</v>
      </c>
      <c r="G4756" s="68">
        <v>778</v>
      </c>
      <c r="H47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57" spans="1:8" hidden="1" x14ac:dyDescent="0.3">
      <c r="A4757" t="s">
        <v>395</v>
      </c>
      <c r="B4757" t="s">
        <v>1486</v>
      </c>
      <c r="C4757" t="s">
        <v>27</v>
      </c>
      <c r="D4757" s="68"/>
      <c r="E4757" s="68">
        <v>99</v>
      </c>
      <c r="F4757" s="68"/>
      <c r="G4757" s="68">
        <v>99</v>
      </c>
      <c r="H47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58" spans="1:8" hidden="1" x14ac:dyDescent="0.3">
      <c r="A4758" t="s">
        <v>395</v>
      </c>
      <c r="B4758" t="s">
        <v>1487</v>
      </c>
      <c r="C4758" t="s">
        <v>26</v>
      </c>
      <c r="D4758" s="68">
        <v>4792</v>
      </c>
      <c r="E4758" s="68"/>
      <c r="F4758" s="68">
        <v>10490</v>
      </c>
      <c r="G4758" s="68">
        <v>15282</v>
      </c>
      <c r="H47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59" spans="1:8" hidden="1" x14ac:dyDescent="0.3">
      <c r="A4759" t="s">
        <v>395</v>
      </c>
      <c r="B4759" t="s">
        <v>1487</v>
      </c>
      <c r="C4759" t="s">
        <v>5</v>
      </c>
      <c r="D4759" s="68">
        <v>506</v>
      </c>
      <c r="E4759" s="68"/>
      <c r="F4759" s="68">
        <v>1040</v>
      </c>
      <c r="G4759" s="68">
        <v>1546</v>
      </c>
      <c r="H47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60" spans="1:8" hidden="1" x14ac:dyDescent="0.3">
      <c r="A4760" t="s">
        <v>395</v>
      </c>
      <c r="B4760" t="s">
        <v>1487</v>
      </c>
      <c r="C4760" t="s">
        <v>27</v>
      </c>
      <c r="D4760" s="68"/>
      <c r="E4760" s="68">
        <v>576</v>
      </c>
      <c r="F4760" s="68"/>
      <c r="G4760" s="68">
        <v>576</v>
      </c>
      <c r="H47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61" spans="1:8" hidden="1" x14ac:dyDescent="0.3">
      <c r="A4761" t="s">
        <v>395</v>
      </c>
      <c r="B4761" t="s">
        <v>1487</v>
      </c>
      <c r="C4761" t="s">
        <v>36</v>
      </c>
      <c r="D4761" s="68">
        <v>2</v>
      </c>
      <c r="E4761" s="68"/>
      <c r="F4761" s="68"/>
      <c r="G4761" s="68">
        <v>2</v>
      </c>
      <c r="H47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62" spans="1:8" hidden="1" x14ac:dyDescent="0.3">
      <c r="A4762" t="s">
        <v>395</v>
      </c>
      <c r="B4762" t="s">
        <v>1487</v>
      </c>
      <c r="C4762" t="s">
        <v>31</v>
      </c>
      <c r="D4762" s="68"/>
      <c r="E4762" s="68"/>
      <c r="F4762" s="68">
        <v>2</v>
      </c>
      <c r="G4762" s="68">
        <v>2</v>
      </c>
      <c r="H47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63" spans="1:8" hidden="1" x14ac:dyDescent="0.3">
      <c r="A4763" t="s">
        <v>395</v>
      </c>
      <c r="B4763" t="s">
        <v>1488</v>
      </c>
      <c r="C4763" t="s">
        <v>26</v>
      </c>
      <c r="D4763" s="68">
        <v>484</v>
      </c>
      <c r="E4763" s="68"/>
      <c r="F4763" s="68">
        <v>626</v>
      </c>
      <c r="G4763" s="68">
        <v>1110</v>
      </c>
      <c r="H47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64" spans="1:8" hidden="1" x14ac:dyDescent="0.3">
      <c r="A4764" t="s">
        <v>395</v>
      </c>
      <c r="B4764" t="s">
        <v>1488</v>
      </c>
      <c r="C4764" t="s">
        <v>27</v>
      </c>
      <c r="D4764" s="68"/>
      <c r="E4764" s="68">
        <v>32</v>
      </c>
      <c r="F4764" s="68"/>
      <c r="G4764" s="68">
        <v>32</v>
      </c>
      <c r="H47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65" spans="1:8" hidden="1" x14ac:dyDescent="0.3">
      <c r="A4765" t="s">
        <v>395</v>
      </c>
      <c r="B4765" t="s">
        <v>757</v>
      </c>
      <c r="C4765" t="s">
        <v>26</v>
      </c>
      <c r="D4765" s="68">
        <v>862</v>
      </c>
      <c r="E4765" s="68"/>
      <c r="F4765" s="68">
        <v>3343</v>
      </c>
      <c r="G4765" s="68">
        <v>4205</v>
      </c>
      <c r="H47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66" spans="1:8" hidden="1" x14ac:dyDescent="0.3">
      <c r="A4766" t="s">
        <v>395</v>
      </c>
      <c r="B4766" t="s">
        <v>757</v>
      </c>
      <c r="C4766" t="s">
        <v>5</v>
      </c>
      <c r="D4766" s="68">
        <v>399</v>
      </c>
      <c r="E4766" s="68"/>
      <c r="F4766" s="68">
        <v>2648</v>
      </c>
      <c r="G4766" s="68">
        <v>3047</v>
      </c>
      <c r="H47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67" spans="1:8" hidden="1" x14ac:dyDescent="0.3">
      <c r="A4767" t="s">
        <v>395</v>
      </c>
      <c r="B4767" t="s">
        <v>757</v>
      </c>
      <c r="C4767" t="s">
        <v>27</v>
      </c>
      <c r="D4767" s="68"/>
      <c r="E4767" s="68">
        <v>143</v>
      </c>
      <c r="F4767" s="68"/>
      <c r="G4767" s="68">
        <v>143</v>
      </c>
      <c r="H47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68" spans="1:8" hidden="1" x14ac:dyDescent="0.3">
      <c r="A4768" t="s">
        <v>395</v>
      </c>
      <c r="B4768" t="s">
        <v>1489</v>
      </c>
      <c r="C4768" t="s">
        <v>31</v>
      </c>
      <c r="D4768" s="68">
        <v>831</v>
      </c>
      <c r="E4768" s="68"/>
      <c r="F4768" s="68">
        <v>4085</v>
      </c>
      <c r="G4768" s="68">
        <v>4916</v>
      </c>
      <c r="H47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69" spans="1:8" hidden="1" x14ac:dyDescent="0.3">
      <c r="A4769" t="s">
        <v>395</v>
      </c>
      <c r="B4769" t="s">
        <v>1489</v>
      </c>
      <c r="C4769" t="s">
        <v>26</v>
      </c>
      <c r="D4769" s="68">
        <v>1713</v>
      </c>
      <c r="E4769" s="68"/>
      <c r="F4769" s="68">
        <v>1201</v>
      </c>
      <c r="G4769" s="68">
        <v>2914</v>
      </c>
      <c r="H47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70" spans="1:8" hidden="1" x14ac:dyDescent="0.3">
      <c r="A4770" t="s">
        <v>395</v>
      </c>
      <c r="B4770" t="s">
        <v>1489</v>
      </c>
      <c r="C4770" t="s">
        <v>27</v>
      </c>
      <c r="D4770" s="68"/>
      <c r="E4770" s="68">
        <v>253</v>
      </c>
      <c r="F4770" s="68"/>
      <c r="G4770" s="68">
        <v>253</v>
      </c>
      <c r="H47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71" spans="1:8" hidden="1" x14ac:dyDescent="0.3">
      <c r="A4771" t="s">
        <v>395</v>
      </c>
      <c r="B4771" t="s">
        <v>1489</v>
      </c>
      <c r="C4771" t="s">
        <v>5</v>
      </c>
      <c r="D4771" s="68">
        <v>2</v>
      </c>
      <c r="E4771" s="68"/>
      <c r="F4771" s="68">
        <v>1</v>
      </c>
      <c r="G4771" s="68">
        <v>3</v>
      </c>
      <c r="H47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72" spans="1:8" hidden="1" x14ac:dyDescent="0.3">
      <c r="A4772" t="s">
        <v>1490</v>
      </c>
      <c r="B4772" t="s">
        <v>1490</v>
      </c>
      <c r="C4772" t="s">
        <v>27</v>
      </c>
      <c r="D4772" s="68"/>
      <c r="E4772" s="68">
        <v>1243699</v>
      </c>
      <c r="F4772" s="68"/>
      <c r="G4772" s="68">
        <v>1243699</v>
      </c>
      <c r="H47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73" spans="1:8" hidden="1" x14ac:dyDescent="0.3">
      <c r="A4773" t="s">
        <v>971</v>
      </c>
      <c r="B4773" t="s">
        <v>767</v>
      </c>
      <c r="C4773" t="s">
        <v>26</v>
      </c>
      <c r="D4773" s="68">
        <v>365</v>
      </c>
      <c r="E4773" s="68"/>
      <c r="F4773" s="68">
        <v>5770</v>
      </c>
      <c r="G4773" s="68">
        <v>6135</v>
      </c>
      <c r="H47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74" spans="1:8" hidden="1" x14ac:dyDescent="0.3">
      <c r="A4774" t="s">
        <v>971</v>
      </c>
      <c r="B4774" t="s">
        <v>767</v>
      </c>
      <c r="C4774" t="s">
        <v>588</v>
      </c>
      <c r="D4774" s="68">
        <v>330</v>
      </c>
      <c r="E4774" s="68"/>
      <c r="F4774" s="68">
        <v>2887</v>
      </c>
      <c r="G4774" s="68">
        <v>3217</v>
      </c>
      <c r="H47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75" spans="1:8" hidden="1" x14ac:dyDescent="0.3">
      <c r="A4775" t="s">
        <v>971</v>
      </c>
      <c r="B4775" t="s">
        <v>767</v>
      </c>
      <c r="C4775" t="s">
        <v>32</v>
      </c>
      <c r="D4775" s="68">
        <v>22</v>
      </c>
      <c r="E4775" s="68"/>
      <c r="F4775" s="68">
        <v>609</v>
      </c>
      <c r="G4775" s="68">
        <v>631</v>
      </c>
      <c r="H47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76" spans="1:8" hidden="1" x14ac:dyDescent="0.3">
      <c r="A4776" t="s">
        <v>971</v>
      </c>
      <c r="B4776" t="s">
        <v>767</v>
      </c>
      <c r="C4776" t="s">
        <v>36</v>
      </c>
      <c r="D4776" s="68">
        <v>107</v>
      </c>
      <c r="E4776" s="68"/>
      <c r="F4776" s="68">
        <v>50</v>
      </c>
      <c r="G4776" s="68">
        <v>157</v>
      </c>
      <c r="H47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77" spans="1:8" hidden="1" x14ac:dyDescent="0.3">
      <c r="A4777" t="s">
        <v>971</v>
      </c>
      <c r="B4777" t="s">
        <v>767</v>
      </c>
      <c r="C4777" t="s">
        <v>27</v>
      </c>
      <c r="D4777" s="68"/>
      <c r="E4777" s="68">
        <v>154</v>
      </c>
      <c r="F4777" s="68"/>
      <c r="G4777" s="68">
        <v>154</v>
      </c>
      <c r="H47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78" spans="1:8" hidden="1" x14ac:dyDescent="0.3">
      <c r="A4778" t="s">
        <v>971</v>
      </c>
      <c r="B4778" t="s">
        <v>1491</v>
      </c>
      <c r="C4778" t="s">
        <v>26</v>
      </c>
      <c r="D4778" s="68">
        <v>740</v>
      </c>
      <c r="E4778" s="68"/>
      <c r="F4778" s="68">
        <v>7665</v>
      </c>
      <c r="G4778" s="68">
        <v>8405</v>
      </c>
      <c r="H47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79" spans="1:8" hidden="1" x14ac:dyDescent="0.3">
      <c r="A4779" t="s">
        <v>971</v>
      </c>
      <c r="B4779" t="s">
        <v>1491</v>
      </c>
      <c r="C4779" t="s">
        <v>30</v>
      </c>
      <c r="D4779" s="68">
        <v>53</v>
      </c>
      <c r="E4779" s="68"/>
      <c r="F4779" s="68">
        <v>1751</v>
      </c>
      <c r="G4779" s="68">
        <v>1804</v>
      </c>
      <c r="H47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80" spans="1:8" hidden="1" x14ac:dyDescent="0.3">
      <c r="A4780" t="s">
        <v>971</v>
      </c>
      <c r="B4780" t="s">
        <v>1491</v>
      </c>
      <c r="C4780" t="s">
        <v>31</v>
      </c>
      <c r="D4780" s="68">
        <v>57</v>
      </c>
      <c r="E4780" s="68"/>
      <c r="F4780" s="68">
        <v>1326</v>
      </c>
      <c r="G4780" s="68">
        <v>1383</v>
      </c>
      <c r="H47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81" spans="1:8" hidden="1" x14ac:dyDescent="0.3">
      <c r="A4781" t="s">
        <v>971</v>
      </c>
      <c r="B4781" t="s">
        <v>1491</v>
      </c>
      <c r="C4781" t="s">
        <v>27</v>
      </c>
      <c r="D4781" s="68"/>
      <c r="E4781" s="68">
        <v>244</v>
      </c>
      <c r="F4781" s="68"/>
      <c r="G4781" s="68">
        <v>244</v>
      </c>
      <c r="H47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82" spans="1:8" hidden="1" x14ac:dyDescent="0.3">
      <c r="A4782" t="s">
        <v>971</v>
      </c>
      <c r="B4782" t="s">
        <v>1491</v>
      </c>
      <c r="C4782" t="s">
        <v>5</v>
      </c>
      <c r="D4782" s="68">
        <v>5</v>
      </c>
      <c r="E4782" s="68"/>
      <c r="F4782" s="68">
        <v>2</v>
      </c>
      <c r="G4782" s="68">
        <v>7</v>
      </c>
      <c r="H47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83" spans="1:8" hidden="1" x14ac:dyDescent="0.3">
      <c r="A4783" t="s">
        <v>971</v>
      </c>
      <c r="B4783" t="s">
        <v>1492</v>
      </c>
      <c r="C4783" t="s">
        <v>588</v>
      </c>
      <c r="D4783" s="68">
        <v>483</v>
      </c>
      <c r="E4783" s="68"/>
      <c r="F4783" s="68">
        <v>4404</v>
      </c>
      <c r="G4783" s="68">
        <v>4887</v>
      </c>
      <c r="H47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84" spans="1:8" hidden="1" x14ac:dyDescent="0.3">
      <c r="A4784" t="s">
        <v>971</v>
      </c>
      <c r="B4784" t="s">
        <v>1492</v>
      </c>
      <c r="C4784" t="s">
        <v>26</v>
      </c>
      <c r="D4784" s="68">
        <v>12</v>
      </c>
      <c r="E4784" s="68"/>
      <c r="F4784" s="68">
        <v>14</v>
      </c>
      <c r="G4784" s="68">
        <v>26</v>
      </c>
      <c r="H47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85" spans="1:8" hidden="1" x14ac:dyDescent="0.3">
      <c r="A4785" t="s">
        <v>971</v>
      </c>
      <c r="B4785" t="s">
        <v>1492</v>
      </c>
      <c r="C4785" t="s">
        <v>27</v>
      </c>
      <c r="D4785" s="68"/>
      <c r="E4785" s="68">
        <v>25</v>
      </c>
      <c r="F4785" s="68"/>
      <c r="G4785" s="68">
        <v>25</v>
      </c>
      <c r="H47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86" spans="1:8" hidden="1" x14ac:dyDescent="0.3">
      <c r="A4786" t="s">
        <v>971</v>
      </c>
      <c r="B4786" t="s">
        <v>1493</v>
      </c>
      <c r="C4786" t="s">
        <v>588</v>
      </c>
      <c r="D4786" s="68">
        <v>831</v>
      </c>
      <c r="E4786" s="68"/>
      <c r="F4786" s="68">
        <v>5956</v>
      </c>
      <c r="G4786" s="68">
        <v>6787</v>
      </c>
      <c r="H47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87" spans="1:8" hidden="1" x14ac:dyDescent="0.3">
      <c r="A4787" t="s">
        <v>971</v>
      </c>
      <c r="B4787" t="s">
        <v>1493</v>
      </c>
      <c r="C4787" t="s">
        <v>32</v>
      </c>
      <c r="D4787" s="68">
        <v>37</v>
      </c>
      <c r="E4787" s="68"/>
      <c r="F4787" s="68">
        <v>1205</v>
      </c>
      <c r="G4787" s="68">
        <v>1242</v>
      </c>
      <c r="H47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88" spans="1:8" hidden="1" x14ac:dyDescent="0.3">
      <c r="A4788" t="s">
        <v>971</v>
      </c>
      <c r="B4788" t="s">
        <v>1493</v>
      </c>
      <c r="C4788" t="s">
        <v>26</v>
      </c>
      <c r="D4788" s="68">
        <v>35</v>
      </c>
      <c r="E4788" s="68"/>
      <c r="F4788" s="68">
        <v>37</v>
      </c>
      <c r="G4788" s="68">
        <v>72</v>
      </c>
      <c r="H47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89" spans="1:8" hidden="1" x14ac:dyDescent="0.3">
      <c r="A4789" t="s">
        <v>971</v>
      </c>
      <c r="B4789" t="s">
        <v>1493</v>
      </c>
      <c r="C4789" t="s">
        <v>27</v>
      </c>
      <c r="D4789" s="68"/>
      <c r="E4789" s="68">
        <v>67</v>
      </c>
      <c r="F4789" s="68"/>
      <c r="G4789" s="68">
        <v>67</v>
      </c>
      <c r="H47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90" spans="1:8" hidden="1" x14ac:dyDescent="0.3">
      <c r="A4790" t="s">
        <v>971</v>
      </c>
      <c r="B4790" t="s">
        <v>1494</v>
      </c>
      <c r="C4790" t="s">
        <v>588</v>
      </c>
      <c r="D4790" s="68">
        <v>4309</v>
      </c>
      <c r="E4790" s="68"/>
      <c r="F4790" s="68">
        <v>25388</v>
      </c>
      <c r="G4790" s="68">
        <v>29697</v>
      </c>
      <c r="H47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91" spans="1:8" hidden="1" x14ac:dyDescent="0.3">
      <c r="A4791" t="s">
        <v>971</v>
      </c>
      <c r="B4791" t="s">
        <v>1494</v>
      </c>
      <c r="C4791" t="s">
        <v>36</v>
      </c>
      <c r="D4791" s="68">
        <v>7913</v>
      </c>
      <c r="E4791" s="68"/>
      <c r="F4791" s="68">
        <v>5833</v>
      </c>
      <c r="G4791" s="68">
        <v>13746</v>
      </c>
      <c r="H47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92" spans="1:8" hidden="1" x14ac:dyDescent="0.3">
      <c r="A4792" t="s">
        <v>971</v>
      </c>
      <c r="B4792" t="s">
        <v>1494</v>
      </c>
      <c r="C4792" t="s">
        <v>26</v>
      </c>
      <c r="D4792" s="68">
        <v>1911</v>
      </c>
      <c r="E4792" s="68"/>
      <c r="F4792" s="68">
        <v>6926</v>
      </c>
      <c r="G4792" s="68">
        <v>8837</v>
      </c>
      <c r="H47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93" spans="1:8" hidden="1" x14ac:dyDescent="0.3">
      <c r="A4793" t="s">
        <v>971</v>
      </c>
      <c r="B4793" t="s">
        <v>1494</v>
      </c>
      <c r="C4793" t="s">
        <v>32</v>
      </c>
      <c r="D4793" s="68">
        <v>231</v>
      </c>
      <c r="E4793" s="68"/>
      <c r="F4793" s="68">
        <v>5705</v>
      </c>
      <c r="G4793" s="68">
        <v>5936</v>
      </c>
      <c r="H47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94" spans="1:8" hidden="1" x14ac:dyDescent="0.3">
      <c r="A4794" t="s">
        <v>971</v>
      </c>
      <c r="B4794" t="s">
        <v>1494</v>
      </c>
      <c r="C4794" t="s">
        <v>30</v>
      </c>
      <c r="D4794" s="68">
        <v>81</v>
      </c>
      <c r="E4794" s="68"/>
      <c r="F4794" s="68">
        <v>2877</v>
      </c>
      <c r="G4794" s="68">
        <v>2958</v>
      </c>
      <c r="H47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95" spans="1:8" hidden="1" x14ac:dyDescent="0.3">
      <c r="A4795" t="s">
        <v>971</v>
      </c>
      <c r="B4795" t="s">
        <v>1494</v>
      </c>
      <c r="C4795" t="s">
        <v>27</v>
      </c>
      <c r="D4795" s="68"/>
      <c r="E4795" s="68">
        <v>2530</v>
      </c>
      <c r="F4795" s="68"/>
      <c r="G4795" s="68">
        <v>2530</v>
      </c>
      <c r="H47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96" spans="1:8" hidden="1" x14ac:dyDescent="0.3">
      <c r="A4796" t="s">
        <v>971</v>
      </c>
      <c r="B4796" t="s">
        <v>1494</v>
      </c>
      <c r="C4796" t="s">
        <v>31</v>
      </c>
      <c r="D4796" s="68">
        <v>61</v>
      </c>
      <c r="E4796" s="68"/>
      <c r="F4796" s="68">
        <v>971</v>
      </c>
      <c r="G4796" s="68">
        <v>1032</v>
      </c>
      <c r="H47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97" spans="1:8" hidden="1" x14ac:dyDescent="0.3">
      <c r="A4797" t="s">
        <v>971</v>
      </c>
      <c r="B4797" t="s">
        <v>1494</v>
      </c>
      <c r="C4797" t="s">
        <v>5</v>
      </c>
      <c r="D4797" s="68">
        <v>5</v>
      </c>
      <c r="E4797" s="68"/>
      <c r="F4797" s="68">
        <v>1</v>
      </c>
      <c r="G4797" s="68">
        <v>6</v>
      </c>
      <c r="H47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98" spans="1:8" hidden="1" x14ac:dyDescent="0.3">
      <c r="A4798" t="s">
        <v>971</v>
      </c>
      <c r="B4798" t="s">
        <v>1495</v>
      </c>
      <c r="C4798" t="s">
        <v>26</v>
      </c>
      <c r="D4798" s="68">
        <v>930</v>
      </c>
      <c r="E4798" s="68"/>
      <c r="F4798" s="68">
        <v>4546</v>
      </c>
      <c r="G4798" s="68">
        <v>5476</v>
      </c>
      <c r="H47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799" spans="1:8" hidden="1" x14ac:dyDescent="0.3">
      <c r="A4799" t="s">
        <v>971</v>
      </c>
      <c r="B4799" t="s">
        <v>1495</v>
      </c>
      <c r="C4799" t="s">
        <v>32</v>
      </c>
      <c r="D4799" s="68">
        <v>166</v>
      </c>
      <c r="E4799" s="68"/>
      <c r="F4799" s="68">
        <v>3262</v>
      </c>
      <c r="G4799" s="68">
        <v>3428</v>
      </c>
      <c r="H47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00" spans="1:8" hidden="1" x14ac:dyDescent="0.3">
      <c r="A4800" t="s">
        <v>971</v>
      </c>
      <c r="B4800" t="s">
        <v>1495</v>
      </c>
      <c r="C4800" t="s">
        <v>30</v>
      </c>
      <c r="D4800" s="68">
        <v>94</v>
      </c>
      <c r="E4800" s="68"/>
      <c r="F4800" s="68">
        <v>2355</v>
      </c>
      <c r="G4800" s="68">
        <v>2449</v>
      </c>
      <c r="H48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01" spans="1:8" hidden="1" x14ac:dyDescent="0.3">
      <c r="A4801" t="s">
        <v>971</v>
      </c>
      <c r="B4801" t="s">
        <v>1495</v>
      </c>
      <c r="C4801" t="s">
        <v>31</v>
      </c>
      <c r="D4801" s="68">
        <v>87</v>
      </c>
      <c r="E4801" s="68"/>
      <c r="F4801" s="68">
        <v>1100</v>
      </c>
      <c r="G4801" s="68">
        <v>1187</v>
      </c>
      <c r="H48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02" spans="1:8" hidden="1" x14ac:dyDescent="0.3">
      <c r="A4802" t="s">
        <v>971</v>
      </c>
      <c r="B4802" t="s">
        <v>1495</v>
      </c>
      <c r="C4802" t="s">
        <v>27</v>
      </c>
      <c r="D4802" s="68"/>
      <c r="E4802" s="68">
        <v>93</v>
      </c>
      <c r="F4802" s="68"/>
      <c r="G4802" s="68">
        <v>93</v>
      </c>
      <c r="H48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03" spans="1:8" hidden="1" x14ac:dyDescent="0.3">
      <c r="A4803" t="s">
        <v>971</v>
      </c>
      <c r="B4803" t="s">
        <v>1495</v>
      </c>
      <c r="C4803" t="s">
        <v>588</v>
      </c>
      <c r="D4803" s="68"/>
      <c r="E4803" s="68"/>
      <c r="F4803" s="68">
        <v>1</v>
      </c>
      <c r="G4803" s="68">
        <v>1</v>
      </c>
      <c r="H48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04" spans="1:8" hidden="1" x14ac:dyDescent="0.3">
      <c r="A4804" t="s">
        <v>971</v>
      </c>
      <c r="B4804" t="s">
        <v>1496</v>
      </c>
      <c r="C4804" t="s">
        <v>32</v>
      </c>
      <c r="D4804" s="68">
        <v>204</v>
      </c>
      <c r="E4804" s="68"/>
      <c r="F4804" s="68">
        <v>5936</v>
      </c>
      <c r="G4804" s="68">
        <v>6140</v>
      </c>
      <c r="H48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05" spans="1:8" hidden="1" x14ac:dyDescent="0.3">
      <c r="A4805" t="s">
        <v>971</v>
      </c>
      <c r="B4805" t="s">
        <v>1496</v>
      </c>
      <c r="C4805" t="s">
        <v>26</v>
      </c>
      <c r="D4805" s="68">
        <v>110</v>
      </c>
      <c r="E4805" s="68"/>
      <c r="F4805" s="68">
        <v>1528</v>
      </c>
      <c r="G4805" s="68">
        <v>1638</v>
      </c>
      <c r="H48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06" spans="1:8" hidden="1" x14ac:dyDescent="0.3">
      <c r="A4806" t="s">
        <v>971</v>
      </c>
      <c r="B4806" t="s">
        <v>1496</v>
      </c>
      <c r="C4806" t="s">
        <v>31</v>
      </c>
      <c r="D4806" s="68">
        <v>28</v>
      </c>
      <c r="E4806" s="68"/>
      <c r="F4806" s="68">
        <v>1032</v>
      </c>
      <c r="G4806" s="68">
        <v>1060</v>
      </c>
      <c r="H48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07" spans="1:8" hidden="1" x14ac:dyDescent="0.3">
      <c r="A4807" t="s">
        <v>971</v>
      </c>
      <c r="B4807" t="s">
        <v>1496</v>
      </c>
      <c r="C4807" t="s">
        <v>27</v>
      </c>
      <c r="D4807" s="68"/>
      <c r="E4807" s="68">
        <v>26</v>
      </c>
      <c r="F4807" s="68"/>
      <c r="G4807" s="68">
        <v>26</v>
      </c>
      <c r="H48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08" spans="1:8" hidden="1" x14ac:dyDescent="0.3">
      <c r="A4808" t="s">
        <v>971</v>
      </c>
      <c r="B4808" t="s">
        <v>1496</v>
      </c>
      <c r="C4808" t="s">
        <v>588</v>
      </c>
      <c r="D4808" s="68"/>
      <c r="E4808" s="68"/>
      <c r="F4808" s="68">
        <v>11</v>
      </c>
      <c r="G4808" s="68">
        <v>11</v>
      </c>
      <c r="H48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09" spans="1:8" hidden="1" x14ac:dyDescent="0.3">
      <c r="A4809" t="s">
        <v>971</v>
      </c>
      <c r="B4809" t="s">
        <v>1497</v>
      </c>
      <c r="C4809" t="s">
        <v>588</v>
      </c>
      <c r="D4809" s="68">
        <v>773</v>
      </c>
      <c r="E4809" s="68"/>
      <c r="F4809" s="68">
        <v>10194</v>
      </c>
      <c r="G4809" s="68">
        <v>10967</v>
      </c>
      <c r="H48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10" spans="1:8" hidden="1" x14ac:dyDescent="0.3">
      <c r="A4810" t="s">
        <v>971</v>
      </c>
      <c r="B4810" t="s">
        <v>1497</v>
      </c>
      <c r="C4810" t="s">
        <v>32</v>
      </c>
      <c r="D4810" s="68">
        <v>168</v>
      </c>
      <c r="E4810" s="68"/>
      <c r="F4810" s="68">
        <v>5198</v>
      </c>
      <c r="G4810" s="68">
        <v>5366</v>
      </c>
      <c r="H48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11" spans="1:8" hidden="1" x14ac:dyDescent="0.3">
      <c r="A4811" t="s">
        <v>971</v>
      </c>
      <c r="B4811" t="s">
        <v>1497</v>
      </c>
      <c r="C4811" t="s">
        <v>26</v>
      </c>
      <c r="D4811" s="68">
        <v>435</v>
      </c>
      <c r="E4811" s="68"/>
      <c r="F4811" s="68">
        <v>2879</v>
      </c>
      <c r="G4811" s="68">
        <v>3314</v>
      </c>
      <c r="H48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12" spans="1:8" hidden="1" x14ac:dyDescent="0.3">
      <c r="A4812" t="s">
        <v>971</v>
      </c>
      <c r="B4812" t="s">
        <v>1497</v>
      </c>
      <c r="C4812" t="s">
        <v>30</v>
      </c>
      <c r="D4812" s="68">
        <v>25</v>
      </c>
      <c r="E4812" s="68"/>
      <c r="F4812" s="68">
        <v>1564</v>
      </c>
      <c r="G4812" s="68">
        <v>1589</v>
      </c>
      <c r="H48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13" spans="1:8" hidden="1" x14ac:dyDescent="0.3">
      <c r="A4813" t="s">
        <v>971</v>
      </c>
      <c r="B4813" t="s">
        <v>1497</v>
      </c>
      <c r="C4813" t="s">
        <v>27</v>
      </c>
      <c r="D4813" s="68"/>
      <c r="E4813" s="68">
        <v>414</v>
      </c>
      <c r="F4813" s="68"/>
      <c r="G4813" s="68">
        <v>414</v>
      </c>
      <c r="H48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14" spans="1:8" hidden="1" x14ac:dyDescent="0.3">
      <c r="A4814" t="s">
        <v>971</v>
      </c>
      <c r="B4814" t="s">
        <v>1498</v>
      </c>
      <c r="C4814" t="s">
        <v>31</v>
      </c>
      <c r="D4814" s="68">
        <v>237</v>
      </c>
      <c r="E4814" s="68"/>
      <c r="F4814" s="68">
        <v>5987</v>
      </c>
      <c r="G4814" s="68">
        <v>6224</v>
      </c>
      <c r="H48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15" spans="1:8" hidden="1" x14ac:dyDescent="0.3">
      <c r="A4815" t="s">
        <v>971</v>
      </c>
      <c r="B4815" t="s">
        <v>1498</v>
      </c>
      <c r="C4815" t="s">
        <v>26</v>
      </c>
      <c r="D4815" s="68">
        <v>549</v>
      </c>
      <c r="E4815" s="68"/>
      <c r="F4815" s="68">
        <v>5204</v>
      </c>
      <c r="G4815" s="68">
        <v>5753</v>
      </c>
      <c r="H48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16" spans="1:8" hidden="1" x14ac:dyDescent="0.3">
      <c r="A4816" t="s">
        <v>971</v>
      </c>
      <c r="B4816" t="s">
        <v>1498</v>
      </c>
      <c r="C4816" t="s">
        <v>30</v>
      </c>
      <c r="D4816" s="68">
        <v>59</v>
      </c>
      <c r="E4816" s="68"/>
      <c r="F4816" s="68">
        <v>4253</v>
      </c>
      <c r="G4816" s="68">
        <v>4312</v>
      </c>
      <c r="H48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17" spans="1:8" hidden="1" x14ac:dyDescent="0.3">
      <c r="A4817" t="s">
        <v>971</v>
      </c>
      <c r="B4817" t="s">
        <v>1498</v>
      </c>
      <c r="C4817" t="s">
        <v>32</v>
      </c>
      <c r="D4817" s="68">
        <v>50</v>
      </c>
      <c r="E4817" s="68"/>
      <c r="F4817" s="68">
        <v>2144</v>
      </c>
      <c r="G4817" s="68">
        <v>2194</v>
      </c>
      <c r="H48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18" spans="1:8" hidden="1" x14ac:dyDescent="0.3">
      <c r="A4818" t="s">
        <v>971</v>
      </c>
      <c r="B4818" t="s">
        <v>1498</v>
      </c>
      <c r="C4818" t="s">
        <v>27</v>
      </c>
      <c r="D4818" s="68"/>
      <c r="E4818" s="68">
        <v>262</v>
      </c>
      <c r="F4818" s="68"/>
      <c r="G4818" s="68">
        <v>262</v>
      </c>
      <c r="H48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19" spans="1:8" hidden="1" x14ac:dyDescent="0.3">
      <c r="A4819" t="s">
        <v>971</v>
      </c>
      <c r="B4819" t="s">
        <v>1498</v>
      </c>
      <c r="C4819" t="s">
        <v>588</v>
      </c>
      <c r="D4819" s="68">
        <v>1</v>
      </c>
      <c r="E4819" s="68"/>
      <c r="F4819" s="68">
        <v>17</v>
      </c>
      <c r="G4819" s="68">
        <v>18</v>
      </c>
      <c r="H48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20" spans="1:8" hidden="1" x14ac:dyDescent="0.3">
      <c r="A4820" t="s">
        <v>971</v>
      </c>
      <c r="B4820" t="s">
        <v>50</v>
      </c>
      <c r="C4820" t="s">
        <v>588</v>
      </c>
      <c r="D4820" s="68">
        <v>735</v>
      </c>
      <c r="E4820" s="68"/>
      <c r="F4820" s="68">
        <v>6860</v>
      </c>
      <c r="G4820" s="68">
        <v>7595</v>
      </c>
      <c r="H48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21" spans="1:8" hidden="1" x14ac:dyDescent="0.3">
      <c r="A4821" t="s">
        <v>971</v>
      </c>
      <c r="B4821" t="s">
        <v>50</v>
      </c>
      <c r="C4821" t="s">
        <v>26</v>
      </c>
      <c r="D4821" s="68">
        <v>303</v>
      </c>
      <c r="E4821" s="68"/>
      <c r="F4821" s="68">
        <v>1816</v>
      </c>
      <c r="G4821" s="68">
        <v>2119</v>
      </c>
      <c r="H48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22" spans="1:8" hidden="1" x14ac:dyDescent="0.3">
      <c r="A4822" t="s">
        <v>971</v>
      </c>
      <c r="B4822" t="s">
        <v>50</v>
      </c>
      <c r="C4822" t="s">
        <v>30</v>
      </c>
      <c r="D4822" s="68">
        <v>32</v>
      </c>
      <c r="E4822" s="68"/>
      <c r="F4822" s="68">
        <v>1102</v>
      </c>
      <c r="G4822" s="68">
        <v>1134</v>
      </c>
      <c r="H48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23" spans="1:8" hidden="1" x14ac:dyDescent="0.3">
      <c r="A4823" t="s">
        <v>971</v>
      </c>
      <c r="B4823" t="s">
        <v>50</v>
      </c>
      <c r="C4823" t="s">
        <v>31</v>
      </c>
      <c r="D4823" s="68">
        <v>36</v>
      </c>
      <c r="E4823" s="68"/>
      <c r="F4823" s="68">
        <v>779</v>
      </c>
      <c r="G4823" s="68">
        <v>815</v>
      </c>
      <c r="H48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24" spans="1:8" hidden="1" x14ac:dyDescent="0.3">
      <c r="A4824" t="s">
        <v>971</v>
      </c>
      <c r="B4824" t="s">
        <v>50</v>
      </c>
      <c r="C4824" t="s">
        <v>27</v>
      </c>
      <c r="D4824" s="68"/>
      <c r="E4824" s="68">
        <v>242</v>
      </c>
      <c r="F4824" s="68"/>
      <c r="G4824" s="68">
        <v>242</v>
      </c>
      <c r="H48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25" spans="1:8" hidden="1" x14ac:dyDescent="0.3">
      <c r="A4825" t="s">
        <v>971</v>
      </c>
      <c r="B4825" t="s">
        <v>50</v>
      </c>
      <c r="C4825" t="s">
        <v>36</v>
      </c>
      <c r="D4825" s="68">
        <v>3</v>
      </c>
      <c r="E4825" s="68"/>
      <c r="F4825" s="68"/>
      <c r="G4825" s="68">
        <v>3</v>
      </c>
      <c r="H48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26" spans="1:8" hidden="1" x14ac:dyDescent="0.3">
      <c r="A4826" t="s">
        <v>971</v>
      </c>
      <c r="B4826" t="s">
        <v>50</v>
      </c>
      <c r="C4826" t="s">
        <v>5</v>
      </c>
      <c r="D4826" s="68">
        <v>1</v>
      </c>
      <c r="E4826" s="68"/>
      <c r="F4826" s="68"/>
      <c r="G4826" s="68">
        <v>1</v>
      </c>
      <c r="H48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27" spans="1:8" hidden="1" x14ac:dyDescent="0.3">
      <c r="A4827" t="s">
        <v>971</v>
      </c>
      <c r="B4827" t="s">
        <v>1499</v>
      </c>
      <c r="C4827" t="s">
        <v>588</v>
      </c>
      <c r="D4827" s="68">
        <v>869</v>
      </c>
      <c r="E4827" s="68"/>
      <c r="F4827" s="68">
        <v>7296</v>
      </c>
      <c r="G4827" s="68">
        <v>8165</v>
      </c>
      <c r="H48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28" spans="1:8" hidden="1" x14ac:dyDescent="0.3">
      <c r="A4828" t="s">
        <v>971</v>
      </c>
      <c r="B4828" t="s">
        <v>1499</v>
      </c>
      <c r="C4828" t="s">
        <v>32</v>
      </c>
      <c r="D4828" s="68">
        <v>160</v>
      </c>
      <c r="E4828" s="68"/>
      <c r="F4828" s="68">
        <v>4750</v>
      </c>
      <c r="G4828" s="68">
        <v>4910</v>
      </c>
      <c r="H48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29" spans="1:8" hidden="1" x14ac:dyDescent="0.3">
      <c r="A4829" t="s">
        <v>971</v>
      </c>
      <c r="B4829" t="s">
        <v>1499</v>
      </c>
      <c r="C4829" t="s">
        <v>31</v>
      </c>
      <c r="D4829" s="68">
        <v>156</v>
      </c>
      <c r="E4829" s="68"/>
      <c r="F4829" s="68">
        <v>4153</v>
      </c>
      <c r="G4829" s="68">
        <v>4309</v>
      </c>
      <c r="H48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30" spans="1:8" hidden="1" x14ac:dyDescent="0.3">
      <c r="A4830" t="s">
        <v>971</v>
      </c>
      <c r="B4830" t="s">
        <v>1499</v>
      </c>
      <c r="C4830" t="s">
        <v>26</v>
      </c>
      <c r="D4830" s="68">
        <v>458</v>
      </c>
      <c r="E4830" s="68"/>
      <c r="F4830" s="68">
        <v>3442</v>
      </c>
      <c r="G4830" s="68">
        <v>3900</v>
      </c>
      <c r="H48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31" spans="1:8" hidden="1" x14ac:dyDescent="0.3">
      <c r="A4831" t="s">
        <v>971</v>
      </c>
      <c r="B4831" t="s">
        <v>1499</v>
      </c>
      <c r="C4831" t="s">
        <v>27</v>
      </c>
      <c r="D4831" s="68"/>
      <c r="E4831" s="68">
        <v>398</v>
      </c>
      <c r="F4831" s="68"/>
      <c r="G4831" s="68">
        <v>398</v>
      </c>
      <c r="H48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32" spans="1:8" hidden="1" x14ac:dyDescent="0.3">
      <c r="A4832" t="s">
        <v>971</v>
      </c>
      <c r="B4832" t="s">
        <v>1499</v>
      </c>
      <c r="C4832" t="s">
        <v>30</v>
      </c>
      <c r="D4832" s="68">
        <v>5</v>
      </c>
      <c r="E4832" s="68"/>
      <c r="F4832" s="68">
        <v>158</v>
      </c>
      <c r="G4832" s="68">
        <v>163</v>
      </c>
      <c r="H48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33" spans="1:8" hidden="1" x14ac:dyDescent="0.3">
      <c r="A4833" t="s">
        <v>971</v>
      </c>
      <c r="B4833" t="s">
        <v>1500</v>
      </c>
      <c r="C4833" t="s">
        <v>26</v>
      </c>
      <c r="D4833" s="68">
        <v>1260</v>
      </c>
      <c r="E4833" s="68"/>
      <c r="F4833" s="68">
        <v>14874</v>
      </c>
      <c r="G4833" s="68">
        <v>16134</v>
      </c>
      <c r="H48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34" spans="1:8" hidden="1" x14ac:dyDescent="0.3">
      <c r="A4834" t="s">
        <v>971</v>
      </c>
      <c r="B4834" t="s">
        <v>1500</v>
      </c>
      <c r="C4834" t="s">
        <v>31</v>
      </c>
      <c r="D4834" s="68">
        <v>420</v>
      </c>
      <c r="E4834" s="68"/>
      <c r="F4834" s="68">
        <v>14515</v>
      </c>
      <c r="G4834" s="68">
        <v>14935</v>
      </c>
      <c r="H48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35" spans="1:8" hidden="1" x14ac:dyDescent="0.3">
      <c r="A4835" t="s">
        <v>971</v>
      </c>
      <c r="B4835" t="s">
        <v>1500</v>
      </c>
      <c r="C4835" t="s">
        <v>588</v>
      </c>
      <c r="D4835" s="68">
        <v>338</v>
      </c>
      <c r="E4835" s="68"/>
      <c r="F4835" s="68">
        <v>5635</v>
      </c>
      <c r="G4835" s="68">
        <v>5973</v>
      </c>
      <c r="H48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36" spans="1:8" hidden="1" x14ac:dyDescent="0.3">
      <c r="A4836" t="s">
        <v>971</v>
      </c>
      <c r="B4836" t="s">
        <v>1500</v>
      </c>
      <c r="C4836" t="s">
        <v>30</v>
      </c>
      <c r="D4836" s="68">
        <v>27</v>
      </c>
      <c r="E4836" s="68"/>
      <c r="F4836" s="68">
        <v>1938</v>
      </c>
      <c r="G4836" s="68">
        <v>1965</v>
      </c>
      <c r="H48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37" spans="1:8" hidden="1" x14ac:dyDescent="0.3">
      <c r="A4837" t="s">
        <v>971</v>
      </c>
      <c r="B4837" t="s">
        <v>1500</v>
      </c>
      <c r="C4837" t="s">
        <v>32</v>
      </c>
      <c r="D4837" s="68">
        <v>52</v>
      </c>
      <c r="E4837" s="68"/>
      <c r="F4837" s="68">
        <v>1388</v>
      </c>
      <c r="G4837" s="68">
        <v>1440</v>
      </c>
      <c r="H48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38" spans="1:8" hidden="1" x14ac:dyDescent="0.3">
      <c r="A4838" t="s">
        <v>971</v>
      </c>
      <c r="B4838" t="s">
        <v>1500</v>
      </c>
      <c r="C4838" t="s">
        <v>27</v>
      </c>
      <c r="D4838" s="68"/>
      <c r="E4838" s="68">
        <v>723</v>
      </c>
      <c r="F4838" s="68"/>
      <c r="G4838" s="68">
        <v>723</v>
      </c>
      <c r="H48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39" spans="1:8" hidden="1" x14ac:dyDescent="0.3">
      <c r="A4839" t="s">
        <v>971</v>
      </c>
      <c r="B4839" t="s">
        <v>1501</v>
      </c>
      <c r="C4839" t="s">
        <v>588</v>
      </c>
      <c r="D4839" s="68">
        <v>1311</v>
      </c>
      <c r="E4839" s="68"/>
      <c r="F4839" s="68">
        <v>10022</v>
      </c>
      <c r="G4839" s="68">
        <v>11333</v>
      </c>
      <c r="H48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40" spans="1:8" hidden="1" x14ac:dyDescent="0.3">
      <c r="A4840" t="s">
        <v>971</v>
      </c>
      <c r="B4840" t="s">
        <v>1501</v>
      </c>
      <c r="C4840" t="s">
        <v>32</v>
      </c>
      <c r="D4840" s="68">
        <v>94</v>
      </c>
      <c r="E4840" s="68"/>
      <c r="F4840" s="68">
        <v>2206</v>
      </c>
      <c r="G4840" s="68">
        <v>2300</v>
      </c>
      <c r="H48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41" spans="1:8" hidden="1" x14ac:dyDescent="0.3">
      <c r="A4841" t="s">
        <v>971</v>
      </c>
      <c r="B4841" t="s">
        <v>1501</v>
      </c>
      <c r="C4841" t="s">
        <v>26</v>
      </c>
      <c r="D4841" s="68">
        <v>223</v>
      </c>
      <c r="E4841" s="68"/>
      <c r="F4841" s="68">
        <v>968</v>
      </c>
      <c r="G4841" s="68">
        <v>1191</v>
      </c>
      <c r="H48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42" spans="1:8" hidden="1" x14ac:dyDescent="0.3">
      <c r="A4842" t="s">
        <v>971</v>
      </c>
      <c r="B4842" t="s">
        <v>1501</v>
      </c>
      <c r="C4842" t="s">
        <v>30</v>
      </c>
      <c r="D4842" s="68">
        <v>21</v>
      </c>
      <c r="E4842" s="68"/>
      <c r="F4842" s="68">
        <v>839</v>
      </c>
      <c r="G4842" s="68">
        <v>860</v>
      </c>
      <c r="H48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43" spans="1:8" hidden="1" x14ac:dyDescent="0.3">
      <c r="A4843" t="s">
        <v>971</v>
      </c>
      <c r="B4843" t="s">
        <v>1501</v>
      </c>
      <c r="C4843" t="s">
        <v>27</v>
      </c>
      <c r="D4843" s="68"/>
      <c r="E4843" s="68">
        <v>188</v>
      </c>
      <c r="F4843" s="68"/>
      <c r="G4843" s="68">
        <v>188</v>
      </c>
      <c r="H48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44" spans="1:8" hidden="1" x14ac:dyDescent="0.3">
      <c r="A4844" t="s">
        <v>971</v>
      </c>
      <c r="B4844" t="s">
        <v>1501</v>
      </c>
      <c r="C4844" t="s">
        <v>31</v>
      </c>
      <c r="D4844" s="68">
        <v>6</v>
      </c>
      <c r="E4844" s="68"/>
      <c r="F4844" s="68">
        <v>108</v>
      </c>
      <c r="G4844" s="68">
        <v>114</v>
      </c>
      <c r="H48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45" spans="1:8" hidden="1" x14ac:dyDescent="0.3">
      <c r="A4845" t="s">
        <v>971</v>
      </c>
      <c r="B4845" t="s">
        <v>1501</v>
      </c>
      <c r="C4845" t="s">
        <v>5</v>
      </c>
      <c r="D4845" s="68">
        <v>22</v>
      </c>
      <c r="E4845" s="68"/>
      <c r="F4845" s="68">
        <v>5</v>
      </c>
      <c r="G4845" s="68">
        <v>27</v>
      </c>
      <c r="H48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46" spans="1:8" hidden="1" x14ac:dyDescent="0.3">
      <c r="A4846" t="s">
        <v>971</v>
      </c>
      <c r="B4846" t="s">
        <v>1502</v>
      </c>
      <c r="C4846" t="s">
        <v>588</v>
      </c>
      <c r="D4846" s="68">
        <v>1334</v>
      </c>
      <c r="E4846" s="68"/>
      <c r="F4846" s="68">
        <v>11361</v>
      </c>
      <c r="G4846" s="68">
        <v>12695</v>
      </c>
      <c r="H48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47" spans="1:8" hidden="1" x14ac:dyDescent="0.3">
      <c r="A4847" t="s">
        <v>971</v>
      </c>
      <c r="B4847" t="s">
        <v>1502</v>
      </c>
      <c r="C4847" t="s">
        <v>31</v>
      </c>
      <c r="D4847" s="68">
        <v>172</v>
      </c>
      <c r="E4847" s="68"/>
      <c r="F4847" s="68">
        <v>4732</v>
      </c>
      <c r="G4847" s="68">
        <v>4904</v>
      </c>
      <c r="H48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48" spans="1:8" hidden="1" x14ac:dyDescent="0.3">
      <c r="A4848" t="s">
        <v>971</v>
      </c>
      <c r="B4848" t="s">
        <v>1502</v>
      </c>
      <c r="C4848" t="s">
        <v>32</v>
      </c>
      <c r="D4848" s="68">
        <v>130</v>
      </c>
      <c r="E4848" s="68"/>
      <c r="F4848" s="68">
        <v>3878</v>
      </c>
      <c r="G4848" s="68">
        <v>4008</v>
      </c>
      <c r="H48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49" spans="1:8" hidden="1" x14ac:dyDescent="0.3">
      <c r="A4849" t="s">
        <v>971</v>
      </c>
      <c r="B4849" t="s">
        <v>1502</v>
      </c>
      <c r="C4849" t="s">
        <v>30</v>
      </c>
      <c r="D4849" s="68">
        <v>26</v>
      </c>
      <c r="E4849" s="68"/>
      <c r="F4849" s="68">
        <v>1427</v>
      </c>
      <c r="G4849" s="68">
        <v>1453</v>
      </c>
      <c r="H48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50" spans="1:8" hidden="1" x14ac:dyDescent="0.3">
      <c r="A4850" t="s">
        <v>971</v>
      </c>
      <c r="B4850" t="s">
        <v>1502</v>
      </c>
      <c r="C4850" t="s">
        <v>26</v>
      </c>
      <c r="D4850" s="68">
        <v>355</v>
      </c>
      <c r="E4850" s="68"/>
      <c r="F4850" s="68">
        <v>893</v>
      </c>
      <c r="G4850" s="68">
        <v>1248</v>
      </c>
      <c r="H48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51" spans="1:8" hidden="1" x14ac:dyDescent="0.3">
      <c r="A4851" t="s">
        <v>971</v>
      </c>
      <c r="B4851" t="s">
        <v>1502</v>
      </c>
      <c r="C4851" t="s">
        <v>27</v>
      </c>
      <c r="D4851" s="68"/>
      <c r="E4851" s="68">
        <v>376</v>
      </c>
      <c r="F4851" s="68"/>
      <c r="G4851" s="68">
        <v>376</v>
      </c>
      <c r="H48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52" spans="1:8" hidden="1" x14ac:dyDescent="0.3">
      <c r="A4852" t="s">
        <v>971</v>
      </c>
      <c r="B4852" t="s">
        <v>1502</v>
      </c>
      <c r="C4852" t="s">
        <v>36</v>
      </c>
      <c r="D4852" s="68">
        <v>87</v>
      </c>
      <c r="E4852" s="68"/>
      <c r="F4852" s="68">
        <v>50</v>
      </c>
      <c r="G4852" s="68">
        <v>137</v>
      </c>
      <c r="H48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53" spans="1:8" hidden="1" x14ac:dyDescent="0.3">
      <c r="A4853" t="s">
        <v>971</v>
      </c>
      <c r="B4853" t="s">
        <v>1502</v>
      </c>
      <c r="C4853" t="s">
        <v>38</v>
      </c>
      <c r="D4853" s="68"/>
      <c r="E4853" s="68"/>
      <c r="F4853" s="68">
        <v>1</v>
      </c>
      <c r="G4853" s="68">
        <v>1</v>
      </c>
      <c r="H48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54" spans="1:8" hidden="1" x14ac:dyDescent="0.3">
      <c r="A4854" t="s">
        <v>971</v>
      </c>
      <c r="B4854" t="s">
        <v>1503</v>
      </c>
      <c r="C4854" t="s">
        <v>26</v>
      </c>
      <c r="D4854" s="68">
        <v>451</v>
      </c>
      <c r="E4854" s="68"/>
      <c r="F4854" s="68">
        <v>5072</v>
      </c>
      <c r="G4854" s="68">
        <v>5523</v>
      </c>
      <c r="H48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55" spans="1:8" hidden="1" x14ac:dyDescent="0.3">
      <c r="A4855" t="s">
        <v>971</v>
      </c>
      <c r="B4855" t="s">
        <v>1503</v>
      </c>
      <c r="C4855" t="s">
        <v>32</v>
      </c>
      <c r="D4855" s="68">
        <v>162</v>
      </c>
      <c r="E4855" s="68"/>
      <c r="F4855" s="68">
        <v>5142</v>
      </c>
      <c r="G4855" s="68">
        <v>5304</v>
      </c>
      <c r="H48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56" spans="1:8" hidden="1" x14ac:dyDescent="0.3">
      <c r="A4856" t="s">
        <v>971</v>
      </c>
      <c r="B4856" t="s">
        <v>1503</v>
      </c>
      <c r="C4856" t="s">
        <v>30</v>
      </c>
      <c r="D4856" s="68">
        <v>34</v>
      </c>
      <c r="E4856" s="68"/>
      <c r="F4856" s="68">
        <v>2145</v>
      </c>
      <c r="G4856" s="68">
        <v>2179</v>
      </c>
      <c r="H48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57" spans="1:8" hidden="1" x14ac:dyDescent="0.3">
      <c r="A4857" t="s">
        <v>971</v>
      </c>
      <c r="B4857" t="s">
        <v>1503</v>
      </c>
      <c r="C4857" t="s">
        <v>27</v>
      </c>
      <c r="D4857" s="68"/>
      <c r="E4857" s="68">
        <v>138</v>
      </c>
      <c r="F4857" s="68"/>
      <c r="G4857" s="68">
        <v>138</v>
      </c>
      <c r="H48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58" spans="1:8" hidden="1" x14ac:dyDescent="0.3">
      <c r="A4858" t="s">
        <v>971</v>
      </c>
      <c r="B4858" t="s">
        <v>1503</v>
      </c>
      <c r="C4858" t="s">
        <v>36</v>
      </c>
      <c r="D4858" s="68">
        <v>1</v>
      </c>
      <c r="E4858" s="68"/>
      <c r="F4858" s="68"/>
      <c r="G4858" s="68">
        <v>1</v>
      </c>
      <c r="H48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59" spans="1:8" hidden="1" x14ac:dyDescent="0.3">
      <c r="A4859" t="s">
        <v>971</v>
      </c>
      <c r="B4859" t="s">
        <v>1504</v>
      </c>
      <c r="C4859" t="s">
        <v>588</v>
      </c>
      <c r="D4859" s="68">
        <v>1680</v>
      </c>
      <c r="E4859" s="68"/>
      <c r="F4859" s="68">
        <v>17628</v>
      </c>
      <c r="G4859" s="68">
        <v>19308</v>
      </c>
      <c r="H48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60" spans="1:8" hidden="1" x14ac:dyDescent="0.3">
      <c r="A4860" t="s">
        <v>971</v>
      </c>
      <c r="B4860" t="s">
        <v>1504</v>
      </c>
      <c r="C4860" t="s">
        <v>32</v>
      </c>
      <c r="D4860" s="68">
        <v>313</v>
      </c>
      <c r="E4860" s="68"/>
      <c r="F4860" s="68">
        <v>10305</v>
      </c>
      <c r="G4860" s="68">
        <v>10618</v>
      </c>
      <c r="H48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61" spans="1:8" hidden="1" x14ac:dyDescent="0.3">
      <c r="A4861" t="s">
        <v>971</v>
      </c>
      <c r="B4861" t="s">
        <v>1504</v>
      </c>
      <c r="C4861" t="s">
        <v>26</v>
      </c>
      <c r="D4861" s="68">
        <v>1072</v>
      </c>
      <c r="E4861" s="68"/>
      <c r="F4861" s="68">
        <v>8833</v>
      </c>
      <c r="G4861" s="68">
        <v>9905</v>
      </c>
      <c r="H48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62" spans="1:8" hidden="1" x14ac:dyDescent="0.3">
      <c r="A4862" t="s">
        <v>971</v>
      </c>
      <c r="B4862" t="s">
        <v>1504</v>
      </c>
      <c r="C4862" t="s">
        <v>30</v>
      </c>
      <c r="D4862" s="68">
        <v>50</v>
      </c>
      <c r="E4862" s="68"/>
      <c r="F4862" s="68">
        <v>3525</v>
      </c>
      <c r="G4862" s="68">
        <v>3575</v>
      </c>
      <c r="H48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63" spans="1:8" hidden="1" x14ac:dyDescent="0.3">
      <c r="A4863" t="s">
        <v>971</v>
      </c>
      <c r="B4863" t="s">
        <v>1504</v>
      </c>
      <c r="C4863" t="s">
        <v>27</v>
      </c>
      <c r="D4863" s="68"/>
      <c r="E4863" s="68">
        <v>628</v>
      </c>
      <c r="F4863" s="68"/>
      <c r="G4863" s="68">
        <v>628</v>
      </c>
      <c r="H48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64" spans="1:8" hidden="1" x14ac:dyDescent="0.3">
      <c r="A4864" t="s">
        <v>971</v>
      </c>
      <c r="B4864" t="s">
        <v>1504</v>
      </c>
      <c r="C4864" t="s">
        <v>5</v>
      </c>
      <c r="D4864" s="68">
        <v>1</v>
      </c>
      <c r="E4864" s="68"/>
      <c r="F4864" s="68"/>
      <c r="G4864" s="68">
        <v>1</v>
      </c>
      <c r="H48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65" spans="1:8" hidden="1" x14ac:dyDescent="0.3">
      <c r="A4865" t="s">
        <v>971</v>
      </c>
      <c r="B4865" t="s">
        <v>1505</v>
      </c>
      <c r="C4865" t="s">
        <v>26</v>
      </c>
      <c r="D4865" s="68">
        <v>828</v>
      </c>
      <c r="E4865" s="68"/>
      <c r="F4865" s="68">
        <v>13121</v>
      </c>
      <c r="G4865" s="68">
        <v>13949</v>
      </c>
      <c r="H48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66" spans="1:8" hidden="1" x14ac:dyDescent="0.3">
      <c r="A4866" t="s">
        <v>971</v>
      </c>
      <c r="B4866" t="s">
        <v>1505</v>
      </c>
      <c r="C4866" t="s">
        <v>32</v>
      </c>
      <c r="D4866" s="68">
        <v>77</v>
      </c>
      <c r="E4866" s="68"/>
      <c r="F4866" s="68">
        <v>2659</v>
      </c>
      <c r="G4866" s="68">
        <v>2736</v>
      </c>
      <c r="H48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67" spans="1:8" hidden="1" x14ac:dyDescent="0.3">
      <c r="A4867" t="s">
        <v>971</v>
      </c>
      <c r="B4867" t="s">
        <v>1505</v>
      </c>
      <c r="C4867" t="s">
        <v>31</v>
      </c>
      <c r="D4867" s="68">
        <v>96</v>
      </c>
      <c r="E4867" s="68"/>
      <c r="F4867" s="68">
        <v>2404</v>
      </c>
      <c r="G4867" s="68">
        <v>2500</v>
      </c>
      <c r="H48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68" spans="1:8" hidden="1" x14ac:dyDescent="0.3">
      <c r="A4868" t="s">
        <v>971</v>
      </c>
      <c r="B4868" t="s">
        <v>1505</v>
      </c>
      <c r="C4868" t="s">
        <v>30</v>
      </c>
      <c r="D4868" s="68">
        <v>22</v>
      </c>
      <c r="E4868" s="68"/>
      <c r="F4868" s="68">
        <v>1364</v>
      </c>
      <c r="G4868" s="68">
        <v>1386</v>
      </c>
      <c r="H48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69" spans="1:8" hidden="1" x14ac:dyDescent="0.3">
      <c r="A4869" t="s">
        <v>971</v>
      </c>
      <c r="B4869" t="s">
        <v>1505</v>
      </c>
      <c r="C4869" t="s">
        <v>27</v>
      </c>
      <c r="D4869" s="68"/>
      <c r="E4869" s="68">
        <v>444</v>
      </c>
      <c r="F4869" s="68"/>
      <c r="G4869" s="68">
        <v>444</v>
      </c>
      <c r="H48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70" spans="1:8" hidden="1" x14ac:dyDescent="0.3">
      <c r="A4870" t="s">
        <v>971</v>
      </c>
      <c r="B4870" t="s">
        <v>1505</v>
      </c>
      <c r="C4870" t="s">
        <v>588</v>
      </c>
      <c r="D4870" s="68"/>
      <c r="E4870" s="68"/>
      <c r="F4870" s="68">
        <v>2</v>
      </c>
      <c r="G4870" s="68">
        <v>2</v>
      </c>
      <c r="H48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71" spans="1:8" hidden="1" x14ac:dyDescent="0.3">
      <c r="A4871" t="s">
        <v>971</v>
      </c>
      <c r="B4871" t="s">
        <v>1506</v>
      </c>
      <c r="C4871" t="s">
        <v>588</v>
      </c>
      <c r="D4871" s="68">
        <v>1113</v>
      </c>
      <c r="E4871" s="68"/>
      <c r="F4871" s="68">
        <v>11000</v>
      </c>
      <c r="G4871" s="68">
        <v>12113</v>
      </c>
      <c r="H48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72" spans="1:8" hidden="1" x14ac:dyDescent="0.3">
      <c r="A4872" t="s">
        <v>971</v>
      </c>
      <c r="B4872" t="s">
        <v>1506</v>
      </c>
      <c r="C4872" t="s">
        <v>26</v>
      </c>
      <c r="D4872" s="68">
        <v>390</v>
      </c>
      <c r="E4872" s="68"/>
      <c r="F4872" s="68">
        <v>1992</v>
      </c>
      <c r="G4872" s="68">
        <v>2382</v>
      </c>
      <c r="H48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73" spans="1:8" hidden="1" x14ac:dyDescent="0.3">
      <c r="A4873" t="s">
        <v>971</v>
      </c>
      <c r="B4873" t="s">
        <v>1506</v>
      </c>
      <c r="C4873" t="s">
        <v>32</v>
      </c>
      <c r="D4873" s="68">
        <v>122</v>
      </c>
      <c r="E4873" s="68"/>
      <c r="F4873" s="68">
        <v>2247</v>
      </c>
      <c r="G4873" s="68">
        <v>2369</v>
      </c>
      <c r="H48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74" spans="1:8" hidden="1" x14ac:dyDescent="0.3">
      <c r="A4874" t="s">
        <v>971</v>
      </c>
      <c r="B4874" t="s">
        <v>1506</v>
      </c>
      <c r="C4874" t="s">
        <v>36</v>
      </c>
      <c r="D4874" s="68">
        <v>965</v>
      </c>
      <c r="E4874" s="68"/>
      <c r="F4874" s="68">
        <v>771</v>
      </c>
      <c r="G4874" s="68">
        <v>1736</v>
      </c>
      <c r="H48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75" spans="1:8" hidden="1" x14ac:dyDescent="0.3">
      <c r="A4875" t="s">
        <v>971</v>
      </c>
      <c r="B4875" t="s">
        <v>1506</v>
      </c>
      <c r="C4875" t="s">
        <v>30</v>
      </c>
      <c r="D4875" s="68">
        <v>76</v>
      </c>
      <c r="E4875" s="68"/>
      <c r="F4875" s="68">
        <v>1604</v>
      </c>
      <c r="G4875" s="68">
        <v>1680</v>
      </c>
      <c r="H48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76" spans="1:8" hidden="1" x14ac:dyDescent="0.3">
      <c r="A4876" t="s">
        <v>971</v>
      </c>
      <c r="B4876" t="s">
        <v>1506</v>
      </c>
      <c r="C4876" t="s">
        <v>31</v>
      </c>
      <c r="D4876" s="68">
        <v>15</v>
      </c>
      <c r="E4876" s="68"/>
      <c r="F4876" s="68">
        <v>234</v>
      </c>
      <c r="G4876" s="68">
        <v>249</v>
      </c>
      <c r="H48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77" spans="1:8" hidden="1" x14ac:dyDescent="0.3">
      <c r="A4877" t="s">
        <v>971</v>
      </c>
      <c r="B4877" t="s">
        <v>1506</v>
      </c>
      <c r="C4877" t="s">
        <v>27</v>
      </c>
      <c r="D4877" s="68"/>
      <c r="E4877" s="68">
        <v>189</v>
      </c>
      <c r="F4877" s="68"/>
      <c r="G4877" s="68">
        <v>189</v>
      </c>
      <c r="H48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78" spans="1:8" hidden="1" x14ac:dyDescent="0.3">
      <c r="A4878" t="s">
        <v>971</v>
      </c>
      <c r="B4878" t="s">
        <v>1507</v>
      </c>
      <c r="C4878" t="s">
        <v>588</v>
      </c>
      <c r="D4878" s="68">
        <v>997</v>
      </c>
      <c r="E4878" s="68"/>
      <c r="F4878" s="68">
        <v>9527</v>
      </c>
      <c r="G4878" s="68">
        <v>10524</v>
      </c>
      <c r="H48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79" spans="1:8" hidden="1" x14ac:dyDescent="0.3">
      <c r="A4879" t="s">
        <v>971</v>
      </c>
      <c r="B4879" t="s">
        <v>1507</v>
      </c>
      <c r="C4879" t="s">
        <v>32</v>
      </c>
      <c r="D4879" s="68">
        <v>60</v>
      </c>
      <c r="E4879" s="68"/>
      <c r="F4879" s="68">
        <v>1698</v>
      </c>
      <c r="G4879" s="68">
        <v>1758</v>
      </c>
      <c r="H48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80" spans="1:8" hidden="1" x14ac:dyDescent="0.3">
      <c r="A4880" t="s">
        <v>971</v>
      </c>
      <c r="B4880" t="s">
        <v>1507</v>
      </c>
      <c r="C4880" t="s">
        <v>26</v>
      </c>
      <c r="D4880" s="68">
        <v>152</v>
      </c>
      <c r="E4880" s="68"/>
      <c r="F4880" s="68">
        <v>382</v>
      </c>
      <c r="G4880" s="68">
        <v>534</v>
      </c>
      <c r="H48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81" spans="1:8" hidden="1" x14ac:dyDescent="0.3">
      <c r="A4881" t="s">
        <v>971</v>
      </c>
      <c r="B4881" t="s">
        <v>1507</v>
      </c>
      <c r="C4881" t="s">
        <v>27</v>
      </c>
      <c r="D4881" s="68"/>
      <c r="E4881" s="68">
        <v>182</v>
      </c>
      <c r="F4881" s="68"/>
      <c r="G4881" s="68">
        <v>182</v>
      </c>
      <c r="H48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82" spans="1:8" hidden="1" x14ac:dyDescent="0.3">
      <c r="A4882" t="s">
        <v>971</v>
      </c>
      <c r="B4882" t="s">
        <v>1508</v>
      </c>
      <c r="C4882" t="s">
        <v>588</v>
      </c>
      <c r="D4882" s="68">
        <v>1048</v>
      </c>
      <c r="E4882" s="68"/>
      <c r="F4882" s="68">
        <v>12422</v>
      </c>
      <c r="G4882" s="68">
        <v>13470</v>
      </c>
      <c r="H48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83" spans="1:8" hidden="1" x14ac:dyDescent="0.3">
      <c r="A4883" t="s">
        <v>971</v>
      </c>
      <c r="B4883" t="s">
        <v>1508</v>
      </c>
      <c r="C4883" t="s">
        <v>26</v>
      </c>
      <c r="D4883" s="68">
        <v>875</v>
      </c>
      <c r="E4883" s="68"/>
      <c r="F4883" s="68">
        <v>7293</v>
      </c>
      <c r="G4883" s="68">
        <v>8168</v>
      </c>
      <c r="H48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84" spans="1:8" hidden="1" x14ac:dyDescent="0.3">
      <c r="A4884" t="s">
        <v>971</v>
      </c>
      <c r="B4884" t="s">
        <v>1508</v>
      </c>
      <c r="C4884" t="s">
        <v>30</v>
      </c>
      <c r="D4884" s="68">
        <v>63</v>
      </c>
      <c r="E4884" s="68"/>
      <c r="F4884" s="68">
        <v>3364</v>
      </c>
      <c r="G4884" s="68">
        <v>3427</v>
      </c>
      <c r="H48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85" spans="1:8" hidden="1" x14ac:dyDescent="0.3">
      <c r="A4885" t="s">
        <v>971</v>
      </c>
      <c r="B4885" t="s">
        <v>1508</v>
      </c>
      <c r="C4885" t="s">
        <v>32</v>
      </c>
      <c r="D4885" s="68">
        <v>80</v>
      </c>
      <c r="E4885" s="68"/>
      <c r="F4885" s="68">
        <v>2293</v>
      </c>
      <c r="G4885" s="68">
        <v>2373</v>
      </c>
      <c r="H48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86" spans="1:8" hidden="1" x14ac:dyDescent="0.3">
      <c r="A4886" t="s">
        <v>971</v>
      </c>
      <c r="B4886" t="s">
        <v>1508</v>
      </c>
      <c r="C4886" t="s">
        <v>27</v>
      </c>
      <c r="D4886" s="68"/>
      <c r="E4886" s="68">
        <v>661</v>
      </c>
      <c r="F4886" s="68"/>
      <c r="G4886" s="68">
        <v>661</v>
      </c>
      <c r="H48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87" spans="1:8" hidden="1" x14ac:dyDescent="0.3">
      <c r="A4887" t="s">
        <v>971</v>
      </c>
      <c r="B4887" t="s">
        <v>1509</v>
      </c>
      <c r="C4887" t="s">
        <v>588</v>
      </c>
      <c r="D4887" s="68">
        <v>2181</v>
      </c>
      <c r="E4887" s="68"/>
      <c r="F4887" s="68">
        <v>19371</v>
      </c>
      <c r="G4887" s="68">
        <v>21552</v>
      </c>
      <c r="H48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88" spans="1:8" hidden="1" x14ac:dyDescent="0.3">
      <c r="A4888" t="s">
        <v>971</v>
      </c>
      <c r="B4888" t="s">
        <v>1509</v>
      </c>
      <c r="C4888" t="s">
        <v>31</v>
      </c>
      <c r="D4888" s="68">
        <v>664</v>
      </c>
      <c r="E4888" s="68"/>
      <c r="F4888" s="68">
        <v>20764</v>
      </c>
      <c r="G4888" s="68">
        <v>21428</v>
      </c>
      <c r="H48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89" spans="1:8" hidden="1" x14ac:dyDescent="0.3">
      <c r="A4889" t="s">
        <v>971</v>
      </c>
      <c r="B4889" t="s">
        <v>1509</v>
      </c>
      <c r="C4889" t="s">
        <v>26</v>
      </c>
      <c r="D4889" s="68">
        <v>1935</v>
      </c>
      <c r="E4889" s="68"/>
      <c r="F4889" s="68">
        <v>8564</v>
      </c>
      <c r="G4889" s="68">
        <v>10499</v>
      </c>
      <c r="H48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90" spans="1:8" hidden="1" x14ac:dyDescent="0.3">
      <c r="A4890" t="s">
        <v>971</v>
      </c>
      <c r="B4890" t="s">
        <v>1509</v>
      </c>
      <c r="C4890" t="s">
        <v>32</v>
      </c>
      <c r="D4890" s="68">
        <v>213</v>
      </c>
      <c r="E4890" s="68"/>
      <c r="F4890" s="68">
        <v>6781</v>
      </c>
      <c r="G4890" s="68">
        <v>6994</v>
      </c>
      <c r="H48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91" spans="1:8" hidden="1" x14ac:dyDescent="0.3">
      <c r="A4891" t="s">
        <v>971</v>
      </c>
      <c r="B4891" t="s">
        <v>1509</v>
      </c>
      <c r="C4891" t="s">
        <v>36</v>
      </c>
      <c r="D4891" s="68">
        <v>1608</v>
      </c>
      <c r="E4891" s="68"/>
      <c r="F4891" s="68">
        <v>1733</v>
      </c>
      <c r="G4891" s="68">
        <v>3341</v>
      </c>
      <c r="H48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92" spans="1:8" hidden="1" x14ac:dyDescent="0.3">
      <c r="A4892" t="s">
        <v>971</v>
      </c>
      <c r="B4892" t="s">
        <v>1509</v>
      </c>
      <c r="C4892" t="s">
        <v>30</v>
      </c>
      <c r="D4892" s="68">
        <v>57</v>
      </c>
      <c r="E4892" s="68"/>
      <c r="F4892" s="68">
        <v>1630</v>
      </c>
      <c r="G4892" s="68">
        <v>1687</v>
      </c>
      <c r="H48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93" spans="1:8" hidden="1" x14ac:dyDescent="0.3">
      <c r="A4893" t="s">
        <v>971</v>
      </c>
      <c r="B4893" t="s">
        <v>1509</v>
      </c>
      <c r="C4893" t="s">
        <v>27</v>
      </c>
      <c r="D4893" s="68"/>
      <c r="E4893" s="68">
        <v>1145</v>
      </c>
      <c r="F4893" s="68"/>
      <c r="G4893" s="68">
        <v>1145</v>
      </c>
      <c r="H48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94" spans="1:8" hidden="1" x14ac:dyDescent="0.3">
      <c r="A4894" t="s">
        <v>971</v>
      </c>
      <c r="B4894" t="s">
        <v>1509</v>
      </c>
      <c r="C4894" t="s">
        <v>5</v>
      </c>
      <c r="D4894" s="68">
        <v>1</v>
      </c>
      <c r="E4894" s="68"/>
      <c r="F4894" s="68"/>
      <c r="G4894" s="68">
        <v>1</v>
      </c>
      <c r="H48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95" spans="1:8" hidden="1" x14ac:dyDescent="0.3">
      <c r="A4895" t="s">
        <v>971</v>
      </c>
      <c r="B4895" t="s">
        <v>1510</v>
      </c>
      <c r="C4895" t="s">
        <v>588</v>
      </c>
      <c r="D4895" s="68">
        <v>2059</v>
      </c>
      <c r="E4895" s="68"/>
      <c r="F4895" s="68">
        <v>23449</v>
      </c>
      <c r="G4895" s="68">
        <v>25508</v>
      </c>
      <c r="H48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96" spans="1:8" hidden="1" x14ac:dyDescent="0.3">
      <c r="A4896" t="s">
        <v>971</v>
      </c>
      <c r="B4896" t="s">
        <v>1510</v>
      </c>
      <c r="C4896" t="s">
        <v>31</v>
      </c>
      <c r="D4896" s="68">
        <v>692</v>
      </c>
      <c r="E4896" s="68"/>
      <c r="F4896" s="68">
        <v>20161</v>
      </c>
      <c r="G4896" s="68">
        <v>20853</v>
      </c>
      <c r="H48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97" spans="1:8" hidden="1" x14ac:dyDescent="0.3">
      <c r="A4897" t="s">
        <v>971</v>
      </c>
      <c r="B4897" t="s">
        <v>1510</v>
      </c>
      <c r="C4897" t="s">
        <v>30</v>
      </c>
      <c r="D4897" s="68">
        <v>72</v>
      </c>
      <c r="E4897" s="68"/>
      <c r="F4897" s="68">
        <v>3544</v>
      </c>
      <c r="G4897" s="68">
        <v>3616</v>
      </c>
      <c r="H48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98" spans="1:8" hidden="1" x14ac:dyDescent="0.3">
      <c r="A4898" t="s">
        <v>971</v>
      </c>
      <c r="B4898" t="s">
        <v>1510</v>
      </c>
      <c r="C4898" t="s">
        <v>26</v>
      </c>
      <c r="D4898" s="68">
        <v>686</v>
      </c>
      <c r="E4898" s="68"/>
      <c r="F4898" s="68">
        <v>2152</v>
      </c>
      <c r="G4898" s="68">
        <v>2838</v>
      </c>
      <c r="H48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899" spans="1:8" hidden="1" x14ac:dyDescent="0.3">
      <c r="A4899" t="s">
        <v>971</v>
      </c>
      <c r="B4899" t="s">
        <v>1510</v>
      </c>
      <c r="C4899" t="s">
        <v>36</v>
      </c>
      <c r="D4899" s="68">
        <v>1055</v>
      </c>
      <c r="E4899" s="68"/>
      <c r="F4899" s="68">
        <v>1167</v>
      </c>
      <c r="G4899" s="68">
        <v>2222</v>
      </c>
      <c r="H48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00" spans="1:8" hidden="1" x14ac:dyDescent="0.3">
      <c r="A4900" t="s">
        <v>971</v>
      </c>
      <c r="B4900" t="s">
        <v>1510</v>
      </c>
      <c r="C4900" t="s">
        <v>27</v>
      </c>
      <c r="D4900" s="68"/>
      <c r="E4900" s="68">
        <v>1033</v>
      </c>
      <c r="F4900" s="68"/>
      <c r="G4900" s="68">
        <v>1033</v>
      </c>
      <c r="H49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01" spans="1:8" hidden="1" x14ac:dyDescent="0.3">
      <c r="A4901" t="s">
        <v>971</v>
      </c>
      <c r="B4901" t="s">
        <v>1510</v>
      </c>
      <c r="C4901" t="s">
        <v>32</v>
      </c>
      <c r="D4901" s="68">
        <v>50</v>
      </c>
      <c r="E4901" s="68"/>
      <c r="F4901" s="68">
        <v>888</v>
      </c>
      <c r="G4901" s="68">
        <v>938</v>
      </c>
      <c r="H49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02" spans="1:8" hidden="1" x14ac:dyDescent="0.3">
      <c r="A4902" t="s">
        <v>971</v>
      </c>
      <c r="B4902" t="s">
        <v>53</v>
      </c>
      <c r="C4902" t="s">
        <v>588</v>
      </c>
      <c r="D4902" s="68">
        <v>944</v>
      </c>
      <c r="E4902" s="68"/>
      <c r="F4902" s="68">
        <v>9225</v>
      </c>
      <c r="G4902" s="68">
        <v>10169</v>
      </c>
      <c r="H49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03" spans="1:8" hidden="1" x14ac:dyDescent="0.3">
      <c r="A4903" t="s">
        <v>971</v>
      </c>
      <c r="B4903" t="s">
        <v>53</v>
      </c>
      <c r="C4903" t="s">
        <v>26</v>
      </c>
      <c r="D4903" s="68">
        <v>638</v>
      </c>
      <c r="E4903" s="68"/>
      <c r="F4903" s="68">
        <v>4182</v>
      </c>
      <c r="G4903" s="68">
        <v>4820</v>
      </c>
      <c r="H49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04" spans="1:8" hidden="1" x14ac:dyDescent="0.3">
      <c r="A4904" t="s">
        <v>971</v>
      </c>
      <c r="B4904" t="s">
        <v>53</v>
      </c>
      <c r="C4904" t="s">
        <v>32</v>
      </c>
      <c r="D4904" s="68">
        <v>84</v>
      </c>
      <c r="E4904" s="68"/>
      <c r="F4904" s="68">
        <v>2497</v>
      </c>
      <c r="G4904" s="68">
        <v>2581</v>
      </c>
      <c r="H49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05" spans="1:8" hidden="1" x14ac:dyDescent="0.3">
      <c r="A4905" t="s">
        <v>971</v>
      </c>
      <c r="B4905" t="s">
        <v>53</v>
      </c>
      <c r="C4905" t="s">
        <v>31</v>
      </c>
      <c r="D4905" s="68">
        <v>35</v>
      </c>
      <c r="E4905" s="68"/>
      <c r="F4905" s="68">
        <v>979</v>
      </c>
      <c r="G4905" s="68">
        <v>1014</v>
      </c>
      <c r="H49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06" spans="1:8" hidden="1" x14ac:dyDescent="0.3">
      <c r="A4906" t="s">
        <v>971</v>
      </c>
      <c r="B4906" t="s">
        <v>53</v>
      </c>
      <c r="C4906" t="s">
        <v>27</v>
      </c>
      <c r="D4906" s="68"/>
      <c r="E4906" s="68">
        <v>329</v>
      </c>
      <c r="F4906" s="68"/>
      <c r="G4906" s="68">
        <v>329</v>
      </c>
      <c r="H49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07" spans="1:8" hidden="1" x14ac:dyDescent="0.3">
      <c r="A4907" t="s">
        <v>971</v>
      </c>
      <c r="B4907" t="s">
        <v>53</v>
      </c>
      <c r="C4907" t="s">
        <v>36</v>
      </c>
      <c r="D4907" s="68">
        <v>2</v>
      </c>
      <c r="E4907" s="68"/>
      <c r="F4907" s="68"/>
      <c r="G4907" s="68">
        <v>2</v>
      </c>
      <c r="H49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08" spans="1:8" hidden="1" x14ac:dyDescent="0.3">
      <c r="A4908" t="s">
        <v>971</v>
      </c>
      <c r="B4908" t="s">
        <v>53</v>
      </c>
      <c r="C4908" t="s">
        <v>5</v>
      </c>
      <c r="D4908" s="68">
        <v>2</v>
      </c>
      <c r="E4908" s="68"/>
      <c r="F4908" s="68"/>
      <c r="G4908" s="68">
        <v>2</v>
      </c>
      <c r="H49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09" spans="1:8" hidden="1" x14ac:dyDescent="0.3">
      <c r="A4909" t="s">
        <v>971</v>
      </c>
      <c r="B4909" t="s">
        <v>53</v>
      </c>
      <c r="C4909" t="s">
        <v>30</v>
      </c>
      <c r="D4909" s="68"/>
      <c r="E4909" s="68"/>
      <c r="F4909" s="68">
        <v>1</v>
      </c>
      <c r="G4909" s="68">
        <v>1</v>
      </c>
      <c r="H49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10" spans="1:8" hidden="1" x14ac:dyDescent="0.3">
      <c r="A4910" t="s">
        <v>971</v>
      </c>
      <c r="B4910" t="s">
        <v>1511</v>
      </c>
      <c r="C4910" t="s">
        <v>588</v>
      </c>
      <c r="D4910" s="68">
        <v>1461</v>
      </c>
      <c r="E4910" s="68"/>
      <c r="F4910" s="68">
        <v>10132</v>
      </c>
      <c r="G4910" s="68">
        <v>11593</v>
      </c>
      <c r="H49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11" spans="1:8" hidden="1" x14ac:dyDescent="0.3">
      <c r="A4911" t="s">
        <v>971</v>
      </c>
      <c r="B4911" t="s">
        <v>1511</v>
      </c>
      <c r="C4911" t="s">
        <v>36</v>
      </c>
      <c r="D4911" s="68">
        <v>6037</v>
      </c>
      <c r="E4911" s="68"/>
      <c r="F4911" s="68">
        <v>4645</v>
      </c>
      <c r="G4911" s="68">
        <v>10682</v>
      </c>
      <c r="H49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12" spans="1:8" hidden="1" x14ac:dyDescent="0.3">
      <c r="A4912" t="s">
        <v>971</v>
      </c>
      <c r="B4912" t="s">
        <v>1511</v>
      </c>
      <c r="C4912" t="s">
        <v>26</v>
      </c>
      <c r="D4912" s="68">
        <v>1331</v>
      </c>
      <c r="E4912" s="68"/>
      <c r="F4912" s="68">
        <v>4570</v>
      </c>
      <c r="G4912" s="68">
        <v>5901</v>
      </c>
      <c r="H49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13" spans="1:8" hidden="1" x14ac:dyDescent="0.3">
      <c r="A4913" t="s">
        <v>971</v>
      </c>
      <c r="B4913" t="s">
        <v>1511</v>
      </c>
      <c r="C4913" t="s">
        <v>32</v>
      </c>
      <c r="D4913" s="68">
        <v>226</v>
      </c>
      <c r="E4913" s="68"/>
      <c r="F4913" s="68">
        <v>4217</v>
      </c>
      <c r="G4913" s="68">
        <v>4443</v>
      </c>
      <c r="H49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14" spans="1:8" hidden="1" x14ac:dyDescent="0.3">
      <c r="A4914" t="s">
        <v>971</v>
      </c>
      <c r="B4914" t="s">
        <v>1511</v>
      </c>
      <c r="C4914" t="s">
        <v>30</v>
      </c>
      <c r="D4914" s="68">
        <v>71</v>
      </c>
      <c r="E4914" s="68"/>
      <c r="F4914" s="68">
        <v>2435</v>
      </c>
      <c r="G4914" s="68">
        <v>2506</v>
      </c>
      <c r="H49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15" spans="1:8" hidden="1" x14ac:dyDescent="0.3">
      <c r="A4915" t="s">
        <v>971</v>
      </c>
      <c r="B4915" t="s">
        <v>1511</v>
      </c>
      <c r="C4915" t="s">
        <v>31</v>
      </c>
      <c r="D4915" s="68">
        <v>85</v>
      </c>
      <c r="E4915" s="68"/>
      <c r="F4915" s="68">
        <v>1315</v>
      </c>
      <c r="G4915" s="68">
        <v>1400</v>
      </c>
      <c r="H49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16" spans="1:8" hidden="1" x14ac:dyDescent="0.3">
      <c r="A4916" t="s">
        <v>971</v>
      </c>
      <c r="B4916" t="s">
        <v>1511</v>
      </c>
      <c r="C4916" t="s">
        <v>27</v>
      </c>
      <c r="D4916" s="68"/>
      <c r="E4916" s="68">
        <v>623</v>
      </c>
      <c r="F4916" s="68"/>
      <c r="G4916" s="68">
        <v>623</v>
      </c>
      <c r="H49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17" spans="1:8" hidden="1" x14ac:dyDescent="0.3">
      <c r="A4917" t="s">
        <v>971</v>
      </c>
      <c r="B4917" t="s">
        <v>1512</v>
      </c>
      <c r="C4917" t="s">
        <v>36</v>
      </c>
      <c r="D4917" s="68">
        <v>60330</v>
      </c>
      <c r="E4917" s="68"/>
      <c r="F4917" s="68">
        <v>27718</v>
      </c>
      <c r="G4917" s="68">
        <v>88048</v>
      </c>
      <c r="H49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18" spans="1:8" hidden="1" x14ac:dyDescent="0.3">
      <c r="A4918" t="s">
        <v>971</v>
      </c>
      <c r="B4918" t="s">
        <v>1512</v>
      </c>
      <c r="C4918" t="s">
        <v>588</v>
      </c>
      <c r="D4918" s="68">
        <v>11390</v>
      </c>
      <c r="E4918" s="68"/>
      <c r="F4918" s="68">
        <v>71411</v>
      </c>
      <c r="G4918" s="68">
        <v>82801</v>
      </c>
      <c r="H49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19" spans="1:8" hidden="1" x14ac:dyDescent="0.3">
      <c r="A4919" t="s">
        <v>971</v>
      </c>
      <c r="B4919" t="s">
        <v>1512</v>
      </c>
      <c r="C4919" t="s">
        <v>31</v>
      </c>
      <c r="D4919" s="68">
        <v>2362</v>
      </c>
      <c r="E4919" s="68"/>
      <c r="F4919" s="68">
        <v>45642</v>
      </c>
      <c r="G4919" s="68">
        <v>48004</v>
      </c>
      <c r="H49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20" spans="1:8" hidden="1" x14ac:dyDescent="0.3">
      <c r="A4920" t="s">
        <v>971</v>
      </c>
      <c r="B4920" t="s">
        <v>1512</v>
      </c>
      <c r="C4920" t="s">
        <v>26</v>
      </c>
      <c r="D4920" s="68">
        <v>14435</v>
      </c>
      <c r="E4920" s="68"/>
      <c r="F4920" s="68">
        <v>27715</v>
      </c>
      <c r="G4920" s="68">
        <v>42150</v>
      </c>
      <c r="H49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21" spans="1:8" hidden="1" x14ac:dyDescent="0.3">
      <c r="A4921" t="s">
        <v>971</v>
      </c>
      <c r="B4921" t="s">
        <v>1512</v>
      </c>
      <c r="C4921" t="s">
        <v>32</v>
      </c>
      <c r="D4921" s="68">
        <v>1815</v>
      </c>
      <c r="E4921" s="68"/>
      <c r="F4921" s="68">
        <v>35606</v>
      </c>
      <c r="G4921" s="68">
        <v>37421</v>
      </c>
      <c r="H49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22" spans="1:8" hidden="1" x14ac:dyDescent="0.3">
      <c r="A4922" t="s">
        <v>971</v>
      </c>
      <c r="B4922" t="s">
        <v>1512</v>
      </c>
      <c r="C4922" t="s">
        <v>5</v>
      </c>
      <c r="D4922" s="68">
        <v>15168</v>
      </c>
      <c r="E4922" s="68"/>
      <c r="F4922" s="68">
        <v>6229</v>
      </c>
      <c r="G4922" s="68">
        <v>21397</v>
      </c>
      <c r="H49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23" spans="1:8" hidden="1" x14ac:dyDescent="0.3">
      <c r="A4923" t="s">
        <v>971</v>
      </c>
      <c r="B4923" t="s">
        <v>1512</v>
      </c>
      <c r="C4923" t="s">
        <v>30</v>
      </c>
      <c r="D4923" s="68">
        <v>924</v>
      </c>
      <c r="E4923" s="68"/>
      <c r="F4923" s="68">
        <v>18209</v>
      </c>
      <c r="G4923" s="68">
        <v>19133</v>
      </c>
      <c r="H49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24" spans="1:8" hidden="1" x14ac:dyDescent="0.3">
      <c r="A4924" t="s">
        <v>971</v>
      </c>
      <c r="B4924" t="s">
        <v>1512</v>
      </c>
      <c r="C4924" t="s">
        <v>27</v>
      </c>
      <c r="D4924" s="68"/>
      <c r="E4924" s="68">
        <v>10823</v>
      </c>
      <c r="F4924" s="68"/>
      <c r="G4924" s="68">
        <v>10823</v>
      </c>
      <c r="H49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25" spans="1:8" hidden="1" x14ac:dyDescent="0.3">
      <c r="A4925" t="s">
        <v>971</v>
      </c>
      <c r="B4925" t="s">
        <v>1512</v>
      </c>
      <c r="C4925" t="s">
        <v>34</v>
      </c>
      <c r="D4925" s="68">
        <v>1</v>
      </c>
      <c r="E4925" s="68"/>
      <c r="F4925" s="68"/>
      <c r="G4925" s="68">
        <v>1</v>
      </c>
      <c r="H49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26" spans="1:8" hidden="1" x14ac:dyDescent="0.3">
      <c r="A4926" t="s">
        <v>971</v>
      </c>
      <c r="B4926" t="s">
        <v>971</v>
      </c>
      <c r="C4926" t="s">
        <v>31</v>
      </c>
      <c r="D4926" s="68">
        <v>285</v>
      </c>
      <c r="E4926" s="68"/>
      <c r="F4926" s="68">
        <v>8119</v>
      </c>
      <c r="G4926" s="68">
        <v>8404</v>
      </c>
      <c r="H49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27" spans="1:8" hidden="1" x14ac:dyDescent="0.3">
      <c r="A4927" t="s">
        <v>971</v>
      </c>
      <c r="B4927" t="s">
        <v>971</v>
      </c>
      <c r="C4927" t="s">
        <v>26</v>
      </c>
      <c r="D4927" s="68">
        <v>547</v>
      </c>
      <c r="E4927" s="68"/>
      <c r="F4927" s="68">
        <v>6090</v>
      </c>
      <c r="G4927" s="68">
        <v>6637</v>
      </c>
      <c r="H49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28" spans="1:8" hidden="1" x14ac:dyDescent="0.3">
      <c r="A4928" t="s">
        <v>971</v>
      </c>
      <c r="B4928" t="s">
        <v>971</v>
      </c>
      <c r="C4928" t="s">
        <v>588</v>
      </c>
      <c r="D4928" s="68">
        <v>155</v>
      </c>
      <c r="E4928" s="68"/>
      <c r="F4928" s="68">
        <v>2619</v>
      </c>
      <c r="G4928" s="68">
        <v>2774</v>
      </c>
      <c r="H49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29" spans="1:8" hidden="1" x14ac:dyDescent="0.3">
      <c r="A4929" t="s">
        <v>971</v>
      </c>
      <c r="B4929" t="s">
        <v>971</v>
      </c>
      <c r="C4929" t="s">
        <v>32</v>
      </c>
      <c r="D4929" s="68">
        <v>71</v>
      </c>
      <c r="E4929" s="68"/>
      <c r="F4929" s="68">
        <v>2061</v>
      </c>
      <c r="G4929" s="68">
        <v>2132</v>
      </c>
      <c r="H49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30" spans="1:8" hidden="1" x14ac:dyDescent="0.3">
      <c r="A4930" t="s">
        <v>971</v>
      </c>
      <c r="B4930" t="s">
        <v>971</v>
      </c>
      <c r="C4930" t="s">
        <v>30</v>
      </c>
      <c r="D4930" s="68">
        <v>17</v>
      </c>
      <c r="E4930" s="68"/>
      <c r="F4930" s="68">
        <v>1366</v>
      </c>
      <c r="G4930" s="68">
        <v>1383</v>
      </c>
      <c r="H49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31" spans="1:8" hidden="1" x14ac:dyDescent="0.3">
      <c r="A4931" t="s">
        <v>971</v>
      </c>
      <c r="B4931" t="s">
        <v>971</v>
      </c>
      <c r="C4931" t="s">
        <v>27</v>
      </c>
      <c r="D4931" s="68"/>
      <c r="E4931" s="68">
        <v>543</v>
      </c>
      <c r="F4931" s="68"/>
      <c r="G4931" s="68">
        <v>543</v>
      </c>
      <c r="H49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32" spans="1:8" hidden="1" x14ac:dyDescent="0.3">
      <c r="A4932" t="s">
        <v>971</v>
      </c>
      <c r="B4932" t="s">
        <v>971</v>
      </c>
      <c r="C4932" t="s">
        <v>33</v>
      </c>
      <c r="D4932" s="68">
        <v>1</v>
      </c>
      <c r="E4932" s="68"/>
      <c r="F4932" s="68"/>
      <c r="G4932" s="68">
        <v>1</v>
      </c>
      <c r="H49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33" spans="1:8" hidden="1" x14ac:dyDescent="0.3">
      <c r="A4933" t="s">
        <v>971</v>
      </c>
      <c r="B4933" t="s">
        <v>971</v>
      </c>
      <c r="C4933" t="s">
        <v>5</v>
      </c>
      <c r="D4933" s="68">
        <v>1</v>
      </c>
      <c r="E4933" s="68"/>
      <c r="F4933" s="68"/>
      <c r="G4933" s="68">
        <v>1</v>
      </c>
      <c r="H49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34" spans="1:8" hidden="1" x14ac:dyDescent="0.3">
      <c r="A4934" t="s">
        <v>1513</v>
      </c>
      <c r="B4934" t="s">
        <v>1514</v>
      </c>
      <c r="C4934" t="s">
        <v>26</v>
      </c>
      <c r="D4934" s="68">
        <v>354</v>
      </c>
      <c r="E4934" s="68"/>
      <c r="F4934" s="68">
        <v>1934</v>
      </c>
      <c r="G4934" s="68">
        <v>2288</v>
      </c>
      <c r="H49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35" spans="1:8" hidden="1" x14ac:dyDescent="0.3">
      <c r="A4935" t="s">
        <v>1513</v>
      </c>
      <c r="B4935" t="s">
        <v>1514</v>
      </c>
      <c r="C4935" t="s">
        <v>36</v>
      </c>
      <c r="D4935" s="68">
        <v>56</v>
      </c>
      <c r="E4935" s="68"/>
      <c r="F4935" s="68">
        <v>865</v>
      </c>
      <c r="G4935" s="68">
        <v>921</v>
      </c>
      <c r="H49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36" spans="1:8" hidden="1" x14ac:dyDescent="0.3">
      <c r="A4936" t="s">
        <v>1513</v>
      </c>
      <c r="B4936" t="s">
        <v>1514</v>
      </c>
      <c r="C4936" t="s">
        <v>27</v>
      </c>
      <c r="D4936" s="68"/>
      <c r="E4936" s="68">
        <v>81</v>
      </c>
      <c r="F4936" s="68"/>
      <c r="G4936" s="68">
        <v>81</v>
      </c>
      <c r="H49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37" spans="1:8" hidden="1" x14ac:dyDescent="0.3">
      <c r="A4937" t="s">
        <v>1513</v>
      </c>
      <c r="B4937" t="s">
        <v>1515</v>
      </c>
      <c r="C4937" t="s">
        <v>26</v>
      </c>
      <c r="D4937" s="68">
        <v>998</v>
      </c>
      <c r="E4937" s="68"/>
      <c r="F4937" s="68">
        <v>1982</v>
      </c>
      <c r="G4937" s="68">
        <v>2980</v>
      </c>
      <c r="H49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38" spans="1:8" hidden="1" x14ac:dyDescent="0.3">
      <c r="A4938" t="s">
        <v>1513</v>
      </c>
      <c r="B4938" t="s">
        <v>1515</v>
      </c>
      <c r="C4938" t="s">
        <v>38</v>
      </c>
      <c r="D4938" s="68">
        <v>117</v>
      </c>
      <c r="E4938" s="68"/>
      <c r="F4938" s="68">
        <v>2207</v>
      </c>
      <c r="G4938" s="68">
        <v>2324</v>
      </c>
      <c r="H49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39" spans="1:8" hidden="1" x14ac:dyDescent="0.3">
      <c r="A4939" t="s">
        <v>1513</v>
      </c>
      <c r="B4939" t="s">
        <v>1515</v>
      </c>
      <c r="C4939" t="s">
        <v>36</v>
      </c>
      <c r="D4939" s="68">
        <v>260</v>
      </c>
      <c r="E4939" s="68"/>
      <c r="F4939" s="68">
        <v>1077</v>
      </c>
      <c r="G4939" s="68">
        <v>1337</v>
      </c>
      <c r="H49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40" spans="1:8" hidden="1" x14ac:dyDescent="0.3">
      <c r="A4940" t="s">
        <v>1513</v>
      </c>
      <c r="B4940" t="s">
        <v>1515</v>
      </c>
      <c r="C4940" t="s">
        <v>27</v>
      </c>
      <c r="D4940" s="68"/>
      <c r="E4940" s="68">
        <v>74</v>
      </c>
      <c r="F4940" s="68"/>
      <c r="G4940" s="68">
        <v>74</v>
      </c>
      <c r="H49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41" spans="1:8" hidden="1" x14ac:dyDescent="0.3">
      <c r="A4941" t="s">
        <v>1513</v>
      </c>
      <c r="B4941" t="s">
        <v>1515</v>
      </c>
      <c r="C4941" t="s">
        <v>5</v>
      </c>
      <c r="D4941" s="68">
        <v>1</v>
      </c>
      <c r="E4941" s="68"/>
      <c r="F4941" s="68">
        <v>1</v>
      </c>
      <c r="G4941" s="68">
        <v>2</v>
      </c>
      <c r="H49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42" spans="1:8" hidden="1" x14ac:dyDescent="0.3">
      <c r="A4942" t="s">
        <v>1513</v>
      </c>
      <c r="B4942" t="s">
        <v>1516</v>
      </c>
      <c r="C4942" t="s">
        <v>26</v>
      </c>
      <c r="D4942" s="68">
        <v>1053</v>
      </c>
      <c r="E4942" s="68"/>
      <c r="F4942" s="68">
        <v>2046</v>
      </c>
      <c r="G4942" s="68">
        <v>3099</v>
      </c>
      <c r="H49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43" spans="1:8" hidden="1" x14ac:dyDescent="0.3">
      <c r="A4943" t="s">
        <v>1513</v>
      </c>
      <c r="B4943" t="s">
        <v>1516</v>
      </c>
      <c r="C4943" t="s">
        <v>38</v>
      </c>
      <c r="D4943" s="68">
        <v>96</v>
      </c>
      <c r="E4943" s="68"/>
      <c r="F4943" s="68">
        <v>1193</v>
      </c>
      <c r="G4943" s="68">
        <v>1289</v>
      </c>
      <c r="H49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44" spans="1:8" hidden="1" x14ac:dyDescent="0.3">
      <c r="A4944" t="s">
        <v>1513</v>
      </c>
      <c r="B4944" t="s">
        <v>1516</v>
      </c>
      <c r="C4944" t="s">
        <v>36</v>
      </c>
      <c r="D4944" s="68">
        <v>32</v>
      </c>
      <c r="E4944" s="68"/>
      <c r="F4944" s="68">
        <v>104</v>
      </c>
      <c r="G4944" s="68">
        <v>136</v>
      </c>
      <c r="H49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45" spans="1:8" hidden="1" x14ac:dyDescent="0.3">
      <c r="A4945" t="s">
        <v>1513</v>
      </c>
      <c r="B4945" t="s">
        <v>1516</v>
      </c>
      <c r="C4945" t="s">
        <v>27</v>
      </c>
      <c r="D4945" s="68"/>
      <c r="E4945" s="68">
        <v>84</v>
      </c>
      <c r="F4945" s="68"/>
      <c r="G4945" s="68">
        <v>84</v>
      </c>
      <c r="H49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46" spans="1:8" hidden="1" x14ac:dyDescent="0.3">
      <c r="A4946" t="s">
        <v>1513</v>
      </c>
      <c r="B4946" t="s">
        <v>1516</v>
      </c>
      <c r="C4946" t="s">
        <v>35</v>
      </c>
      <c r="D4946" s="68">
        <v>13</v>
      </c>
      <c r="E4946" s="68"/>
      <c r="F4946" s="68"/>
      <c r="G4946" s="68">
        <v>13</v>
      </c>
      <c r="H49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47" spans="1:8" hidden="1" x14ac:dyDescent="0.3">
      <c r="A4947" t="s">
        <v>1513</v>
      </c>
      <c r="B4947" t="s">
        <v>1517</v>
      </c>
      <c r="C4947" t="s">
        <v>38</v>
      </c>
      <c r="D4947" s="68">
        <v>136</v>
      </c>
      <c r="E4947" s="68"/>
      <c r="F4947" s="68">
        <v>5423</v>
      </c>
      <c r="G4947" s="68">
        <v>5559</v>
      </c>
      <c r="H49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48" spans="1:8" hidden="1" x14ac:dyDescent="0.3">
      <c r="A4948" t="s">
        <v>1513</v>
      </c>
      <c r="B4948" t="s">
        <v>1517</v>
      </c>
      <c r="C4948" t="s">
        <v>26</v>
      </c>
      <c r="D4948" s="68">
        <v>297</v>
      </c>
      <c r="E4948" s="68"/>
      <c r="F4948" s="68">
        <v>1894</v>
      </c>
      <c r="G4948" s="68">
        <v>2191</v>
      </c>
      <c r="H49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49" spans="1:8" hidden="1" x14ac:dyDescent="0.3">
      <c r="A4949" t="s">
        <v>1513</v>
      </c>
      <c r="B4949" t="s">
        <v>1517</v>
      </c>
      <c r="C4949" t="s">
        <v>36</v>
      </c>
      <c r="D4949" s="68">
        <v>86</v>
      </c>
      <c r="E4949" s="68"/>
      <c r="F4949" s="68">
        <v>951</v>
      </c>
      <c r="G4949" s="68">
        <v>1037</v>
      </c>
      <c r="H49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50" spans="1:8" hidden="1" x14ac:dyDescent="0.3">
      <c r="A4950" t="s">
        <v>1513</v>
      </c>
      <c r="B4950" t="s">
        <v>1517</v>
      </c>
      <c r="C4950" t="s">
        <v>27</v>
      </c>
      <c r="D4950" s="68"/>
      <c r="E4950" s="68">
        <v>148</v>
      </c>
      <c r="F4950" s="68"/>
      <c r="G4950" s="68">
        <v>148</v>
      </c>
      <c r="H49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51" spans="1:8" hidden="1" x14ac:dyDescent="0.3">
      <c r="A4951" t="s">
        <v>1513</v>
      </c>
      <c r="B4951" t="s">
        <v>1518</v>
      </c>
      <c r="C4951" t="s">
        <v>26</v>
      </c>
      <c r="D4951" s="68">
        <v>2386</v>
      </c>
      <c r="E4951" s="68"/>
      <c r="F4951" s="68">
        <v>4857</v>
      </c>
      <c r="G4951" s="68">
        <v>7243</v>
      </c>
      <c r="H49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52" spans="1:8" hidden="1" x14ac:dyDescent="0.3">
      <c r="A4952" t="s">
        <v>1513</v>
      </c>
      <c r="B4952" t="s">
        <v>1518</v>
      </c>
      <c r="C4952" t="s">
        <v>36</v>
      </c>
      <c r="D4952" s="68">
        <v>231</v>
      </c>
      <c r="E4952" s="68"/>
      <c r="F4952" s="68">
        <v>1484</v>
      </c>
      <c r="G4952" s="68">
        <v>1715</v>
      </c>
      <c r="H49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53" spans="1:8" hidden="1" x14ac:dyDescent="0.3">
      <c r="A4953" t="s">
        <v>1513</v>
      </c>
      <c r="B4953" t="s">
        <v>1518</v>
      </c>
      <c r="C4953" t="s">
        <v>38</v>
      </c>
      <c r="D4953" s="68">
        <v>50</v>
      </c>
      <c r="E4953" s="68"/>
      <c r="F4953" s="68">
        <v>760</v>
      </c>
      <c r="G4953" s="68">
        <v>810</v>
      </c>
      <c r="H49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54" spans="1:8" hidden="1" x14ac:dyDescent="0.3">
      <c r="A4954" t="s">
        <v>1513</v>
      </c>
      <c r="B4954" t="s">
        <v>1518</v>
      </c>
      <c r="C4954" t="s">
        <v>27</v>
      </c>
      <c r="D4954" s="68"/>
      <c r="E4954" s="68">
        <v>167</v>
      </c>
      <c r="F4954" s="68"/>
      <c r="G4954" s="68">
        <v>167</v>
      </c>
      <c r="H49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55" spans="1:8" hidden="1" x14ac:dyDescent="0.3">
      <c r="A4955" t="s">
        <v>1513</v>
      </c>
      <c r="B4955" t="s">
        <v>1519</v>
      </c>
      <c r="C4955" t="s">
        <v>26</v>
      </c>
      <c r="D4955" s="68">
        <v>805</v>
      </c>
      <c r="E4955" s="68"/>
      <c r="F4955" s="68">
        <v>7904</v>
      </c>
      <c r="G4955" s="68">
        <v>8709</v>
      </c>
      <c r="H49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56" spans="1:8" hidden="1" x14ac:dyDescent="0.3">
      <c r="A4956" t="s">
        <v>1513</v>
      </c>
      <c r="B4956" t="s">
        <v>1519</v>
      </c>
      <c r="C4956" t="s">
        <v>38</v>
      </c>
      <c r="D4956" s="68">
        <v>121</v>
      </c>
      <c r="E4956" s="68"/>
      <c r="F4956" s="68">
        <v>5981</v>
      </c>
      <c r="G4956" s="68">
        <v>6102</v>
      </c>
      <c r="H49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57" spans="1:8" hidden="1" x14ac:dyDescent="0.3">
      <c r="A4957" t="s">
        <v>1513</v>
      </c>
      <c r="B4957" t="s">
        <v>1519</v>
      </c>
      <c r="C4957" t="s">
        <v>5</v>
      </c>
      <c r="D4957" s="68">
        <v>94</v>
      </c>
      <c r="E4957" s="68"/>
      <c r="F4957" s="68">
        <v>1479</v>
      </c>
      <c r="G4957" s="68">
        <v>1573</v>
      </c>
      <c r="H49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58" spans="1:8" hidden="1" x14ac:dyDescent="0.3">
      <c r="A4958" t="s">
        <v>1513</v>
      </c>
      <c r="B4958" t="s">
        <v>1519</v>
      </c>
      <c r="C4958" t="s">
        <v>1077</v>
      </c>
      <c r="D4958" s="68">
        <v>67</v>
      </c>
      <c r="E4958" s="68"/>
      <c r="F4958" s="68">
        <v>1380</v>
      </c>
      <c r="G4958" s="68">
        <v>1447</v>
      </c>
      <c r="H49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59" spans="1:8" hidden="1" x14ac:dyDescent="0.3">
      <c r="A4959" t="s">
        <v>1513</v>
      </c>
      <c r="B4959" t="s">
        <v>1519</v>
      </c>
      <c r="C4959" t="s">
        <v>27</v>
      </c>
      <c r="D4959" s="68"/>
      <c r="E4959" s="68">
        <v>373</v>
      </c>
      <c r="F4959" s="68"/>
      <c r="G4959" s="68">
        <v>373</v>
      </c>
      <c r="H49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60" spans="1:8" hidden="1" x14ac:dyDescent="0.3">
      <c r="A4960" t="s">
        <v>1513</v>
      </c>
      <c r="B4960" t="s">
        <v>1519</v>
      </c>
      <c r="C4960" t="s">
        <v>36</v>
      </c>
      <c r="D4960" s="68">
        <v>44</v>
      </c>
      <c r="E4960" s="68"/>
      <c r="F4960" s="68">
        <v>33</v>
      </c>
      <c r="G4960" s="68">
        <v>77</v>
      </c>
      <c r="H49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61" spans="1:8" hidden="1" x14ac:dyDescent="0.3">
      <c r="A4961" t="s">
        <v>1513</v>
      </c>
      <c r="B4961" t="s">
        <v>1520</v>
      </c>
      <c r="C4961" t="s">
        <v>38</v>
      </c>
      <c r="D4961" s="68">
        <v>398</v>
      </c>
      <c r="E4961" s="68"/>
      <c r="F4961" s="68">
        <v>7084</v>
      </c>
      <c r="G4961" s="68">
        <v>7482</v>
      </c>
      <c r="H49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62" spans="1:8" hidden="1" x14ac:dyDescent="0.3">
      <c r="A4962" t="s">
        <v>1513</v>
      </c>
      <c r="B4962" t="s">
        <v>1520</v>
      </c>
      <c r="C4962" t="s">
        <v>26</v>
      </c>
      <c r="D4962" s="68">
        <v>1616</v>
      </c>
      <c r="E4962" s="68"/>
      <c r="F4962" s="68">
        <v>5739</v>
      </c>
      <c r="G4962" s="68">
        <v>7355</v>
      </c>
      <c r="H49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63" spans="1:8" hidden="1" x14ac:dyDescent="0.3">
      <c r="A4963" t="s">
        <v>1513</v>
      </c>
      <c r="B4963" t="s">
        <v>1520</v>
      </c>
      <c r="C4963" t="s">
        <v>31</v>
      </c>
      <c r="D4963" s="68">
        <v>51</v>
      </c>
      <c r="E4963" s="68"/>
      <c r="F4963" s="68">
        <v>545</v>
      </c>
      <c r="G4963" s="68">
        <v>596</v>
      </c>
      <c r="H49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64" spans="1:8" hidden="1" x14ac:dyDescent="0.3">
      <c r="A4964" t="s">
        <v>1513</v>
      </c>
      <c r="B4964" t="s">
        <v>1520</v>
      </c>
      <c r="C4964" t="s">
        <v>27</v>
      </c>
      <c r="D4964" s="68"/>
      <c r="E4964" s="68">
        <v>248</v>
      </c>
      <c r="F4964" s="68"/>
      <c r="G4964" s="68">
        <v>248</v>
      </c>
      <c r="H49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65" spans="1:8" hidden="1" x14ac:dyDescent="0.3">
      <c r="A4965" t="s">
        <v>1513</v>
      </c>
      <c r="B4965" t="s">
        <v>1520</v>
      </c>
      <c r="C4965" t="s">
        <v>5</v>
      </c>
      <c r="D4965" s="68">
        <v>15</v>
      </c>
      <c r="E4965" s="68"/>
      <c r="F4965" s="68">
        <v>2</v>
      </c>
      <c r="G4965" s="68">
        <v>17</v>
      </c>
      <c r="H49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66" spans="1:8" hidden="1" x14ac:dyDescent="0.3">
      <c r="A4966" t="s">
        <v>1513</v>
      </c>
      <c r="B4966" t="s">
        <v>1521</v>
      </c>
      <c r="C4966" t="s">
        <v>26</v>
      </c>
      <c r="D4966" s="68">
        <v>670</v>
      </c>
      <c r="E4966" s="68"/>
      <c r="F4966" s="68">
        <v>3395</v>
      </c>
      <c r="G4966" s="68">
        <v>4065</v>
      </c>
      <c r="H49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67" spans="1:8" hidden="1" x14ac:dyDescent="0.3">
      <c r="A4967" t="s">
        <v>1513</v>
      </c>
      <c r="B4967" t="s">
        <v>1521</v>
      </c>
      <c r="C4967" t="s">
        <v>37</v>
      </c>
      <c r="D4967" s="68">
        <v>585</v>
      </c>
      <c r="E4967" s="68"/>
      <c r="F4967" s="68">
        <v>646</v>
      </c>
      <c r="G4967" s="68">
        <v>1231</v>
      </c>
      <c r="H49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68" spans="1:8" hidden="1" x14ac:dyDescent="0.3">
      <c r="A4968" t="s">
        <v>1513</v>
      </c>
      <c r="B4968" t="s">
        <v>1521</v>
      </c>
      <c r="C4968" t="s">
        <v>38</v>
      </c>
      <c r="D4968" s="68">
        <v>43</v>
      </c>
      <c r="E4968" s="68"/>
      <c r="F4968" s="68">
        <v>1041</v>
      </c>
      <c r="G4968" s="68">
        <v>1084</v>
      </c>
      <c r="H49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69" spans="1:8" hidden="1" x14ac:dyDescent="0.3">
      <c r="A4969" t="s">
        <v>1513</v>
      </c>
      <c r="B4969" t="s">
        <v>1521</v>
      </c>
      <c r="C4969" t="s">
        <v>36</v>
      </c>
      <c r="D4969" s="68">
        <v>91</v>
      </c>
      <c r="E4969" s="68"/>
      <c r="F4969" s="68">
        <v>49</v>
      </c>
      <c r="G4969" s="68">
        <v>140</v>
      </c>
      <c r="H49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70" spans="1:8" hidden="1" x14ac:dyDescent="0.3">
      <c r="A4970" t="s">
        <v>1513</v>
      </c>
      <c r="B4970" t="s">
        <v>1521</v>
      </c>
      <c r="C4970" t="s">
        <v>27</v>
      </c>
      <c r="D4970" s="68"/>
      <c r="E4970" s="68">
        <v>115</v>
      </c>
      <c r="F4970" s="68"/>
      <c r="G4970" s="68">
        <v>115</v>
      </c>
      <c r="H49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71" spans="1:8" hidden="1" x14ac:dyDescent="0.3">
      <c r="A4971" t="s">
        <v>1513</v>
      </c>
      <c r="B4971" t="s">
        <v>1521</v>
      </c>
      <c r="C4971" t="s">
        <v>5</v>
      </c>
      <c r="D4971" s="68">
        <v>1</v>
      </c>
      <c r="E4971" s="68"/>
      <c r="F4971" s="68"/>
      <c r="G4971" s="68">
        <v>1</v>
      </c>
      <c r="H49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72" spans="1:8" hidden="1" x14ac:dyDescent="0.3">
      <c r="A4972" t="s">
        <v>1513</v>
      </c>
      <c r="B4972" t="s">
        <v>1522</v>
      </c>
      <c r="C4972" t="s">
        <v>38</v>
      </c>
      <c r="D4972" s="68">
        <v>118</v>
      </c>
      <c r="E4972" s="68"/>
      <c r="F4972" s="68">
        <v>3803</v>
      </c>
      <c r="G4972" s="68">
        <v>3921</v>
      </c>
      <c r="H49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73" spans="1:8" hidden="1" x14ac:dyDescent="0.3">
      <c r="A4973" t="s">
        <v>1513</v>
      </c>
      <c r="B4973" t="s">
        <v>1522</v>
      </c>
      <c r="C4973" t="s">
        <v>26</v>
      </c>
      <c r="D4973" s="68">
        <v>256</v>
      </c>
      <c r="E4973" s="68"/>
      <c r="F4973" s="68">
        <v>1486</v>
      </c>
      <c r="G4973" s="68">
        <v>1742</v>
      </c>
      <c r="H49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74" spans="1:8" hidden="1" x14ac:dyDescent="0.3">
      <c r="A4974" t="s">
        <v>1513</v>
      </c>
      <c r="B4974" t="s">
        <v>1522</v>
      </c>
      <c r="C4974" t="s">
        <v>27</v>
      </c>
      <c r="D4974" s="68"/>
      <c r="E4974" s="68">
        <v>131</v>
      </c>
      <c r="F4974" s="68"/>
      <c r="G4974" s="68">
        <v>131</v>
      </c>
      <c r="H49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75" spans="1:8" hidden="1" x14ac:dyDescent="0.3">
      <c r="A4975" t="s">
        <v>1513</v>
      </c>
      <c r="B4975" t="s">
        <v>1523</v>
      </c>
      <c r="C4975" t="s">
        <v>26</v>
      </c>
      <c r="D4975" s="68">
        <v>6606</v>
      </c>
      <c r="E4975" s="68"/>
      <c r="F4975" s="68">
        <v>25057</v>
      </c>
      <c r="G4975" s="68">
        <v>31663</v>
      </c>
      <c r="H49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76" spans="1:8" hidden="1" x14ac:dyDescent="0.3">
      <c r="A4976" t="s">
        <v>1513</v>
      </c>
      <c r="B4976" t="s">
        <v>1523</v>
      </c>
      <c r="C4976" t="s">
        <v>1077</v>
      </c>
      <c r="D4976" s="68">
        <v>419</v>
      </c>
      <c r="E4976" s="68"/>
      <c r="F4976" s="68">
        <v>7022</v>
      </c>
      <c r="G4976" s="68">
        <v>7441</v>
      </c>
      <c r="H49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77" spans="1:8" hidden="1" x14ac:dyDescent="0.3">
      <c r="A4977" t="s">
        <v>1513</v>
      </c>
      <c r="B4977" t="s">
        <v>1523</v>
      </c>
      <c r="C4977" t="s">
        <v>5</v>
      </c>
      <c r="D4977" s="68">
        <v>636</v>
      </c>
      <c r="E4977" s="68"/>
      <c r="F4977" s="68">
        <v>3198</v>
      </c>
      <c r="G4977" s="68">
        <v>3834</v>
      </c>
      <c r="H49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78" spans="1:8" hidden="1" x14ac:dyDescent="0.3">
      <c r="A4978" t="s">
        <v>1513</v>
      </c>
      <c r="B4978" t="s">
        <v>1523</v>
      </c>
      <c r="C4978" t="s">
        <v>36</v>
      </c>
      <c r="D4978" s="68">
        <v>519</v>
      </c>
      <c r="E4978" s="68"/>
      <c r="F4978" s="68">
        <v>2410</v>
      </c>
      <c r="G4978" s="68">
        <v>2929</v>
      </c>
      <c r="H49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79" spans="1:8" hidden="1" x14ac:dyDescent="0.3">
      <c r="A4979" t="s">
        <v>1513</v>
      </c>
      <c r="B4979" t="s">
        <v>1523</v>
      </c>
      <c r="C4979" t="s">
        <v>38</v>
      </c>
      <c r="D4979" s="68">
        <v>69</v>
      </c>
      <c r="E4979" s="68"/>
      <c r="F4979" s="68">
        <v>2306</v>
      </c>
      <c r="G4979" s="68">
        <v>2375</v>
      </c>
      <c r="H49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80" spans="1:8" hidden="1" x14ac:dyDescent="0.3">
      <c r="A4980" t="s">
        <v>1513</v>
      </c>
      <c r="B4980" t="s">
        <v>1523</v>
      </c>
      <c r="C4980" t="s">
        <v>27</v>
      </c>
      <c r="D4980" s="68"/>
      <c r="E4980" s="68">
        <v>1361</v>
      </c>
      <c r="F4980" s="68"/>
      <c r="G4980" s="68">
        <v>1361</v>
      </c>
      <c r="H49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81" spans="1:8" hidden="1" x14ac:dyDescent="0.3">
      <c r="A4981" t="s">
        <v>1513</v>
      </c>
      <c r="B4981" t="s">
        <v>1524</v>
      </c>
      <c r="C4981" t="s">
        <v>26</v>
      </c>
      <c r="D4981" s="68">
        <v>526</v>
      </c>
      <c r="E4981" s="68"/>
      <c r="F4981" s="68">
        <v>2950</v>
      </c>
      <c r="G4981" s="68">
        <v>3476</v>
      </c>
      <c r="H49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82" spans="1:8" hidden="1" x14ac:dyDescent="0.3">
      <c r="A4982" t="s">
        <v>1513</v>
      </c>
      <c r="B4982" t="s">
        <v>1524</v>
      </c>
      <c r="C4982" t="s">
        <v>36</v>
      </c>
      <c r="D4982" s="68">
        <v>120</v>
      </c>
      <c r="E4982" s="68"/>
      <c r="F4982" s="68">
        <v>559</v>
      </c>
      <c r="G4982" s="68">
        <v>679</v>
      </c>
      <c r="H49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83" spans="1:8" hidden="1" x14ac:dyDescent="0.3">
      <c r="A4983" t="s">
        <v>1513</v>
      </c>
      <c r="B4983" t="s">
        <v>1524</v>
      </c>
      <c r="C4983" t="s">
        <v>27</v>
      </c>
      <c r="D4983" s="68"/>
      <c r="E4983" s="68">
        <v>47</v>
      </c>
      <c r="F4983" s="68"/>
      <c r="G4983" s="68">
        <v>47</v>
      </c>
      <c r="H49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84" spans="1:8" hidden="1" x14ac:dyDescent="0.3">
      <c r="A4984" t="s">
        <v>1513</v>
      </c>
      <c r="B4984" t="s">
        <v>1525</v>
      </c>
      <c r="C4984" t="s">
        <v>1077</v>
      </c>
      <c r="D4984" s="68">
        <v>304</v>
      </c>
      <c r="E4984" s="68"/>
      <c r="F4984" s="68">
        <v>10170</v>
      </c>
      <c r="G4984" s="68">
        <v>10474</v>
      </c>
      <c r="H49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85" spans="1:8" hidden="1" x14ac:dyDescent="0.3">
      <c r="A4985" t="s">
        <v>1513</v>
      </c>
      <c r="B4985" t="s">
        <v>1525</v>
      </c>
      <c r="C4985" t="s">
        <v>26</v>
      </c>
      <c r="D4985" s="68">
        <v>862</v>
      </c>
      <c r="E4985" s="68"/>
      <c r="F4985" s="68">
        <v>4193</v>
      </c>
      <c r="G4985" s="68">
        <v>5055</v>
      </c>
      <c r="H49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86" spans="1:8" hidden="1" x14ac:dyDescent="0.3">
      <c r="A4986" t="s">
        <v>1513</v>
      </c>
      <c r="B4986" t="s">
        <v>1525</v>
      </c>
      <c r="C4986" t="s">
        <v>38</v>
      </c>
      <c r="D4986" s="68">
        <v>99</v>
      </c>
      <c r="E4986" s="68"/>
      <c r="F4986" s="68">
        <v>3381</v>
      </c>
      <c r="G4986" s="68">
        <v>3480</v>
      </c>
      <c r="H49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87" spans="1:8" hidden="1" x14ac:dyDescent="0.3">
      <c r="A4987" t="s">
        <v>1513</v>
      </c>
      <c r="B4987" t="s">
        <v>1525</v>
      </c>
      <c r="C4987" t="s">
        <v>36</v>
      </c>
      <c r="D4987" s="68">
        <v>127</v>
      </c>
      <c r="E4987" s="68"/>
      <c r="F4987" s="68">
        <v>1489</v>
      </c>
      <c r="G4987" s="68">
        <v>1616</v>
      </c>
      <c r="H49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88" spans="1:8" hidden="1" x14ac:dyDescent="0.3">
      <c r="A4988" t="s">
        <v>1513</v>
      </c>
      <c r="B4988" t="s">
        <v>1525</v>
      </c>
      <c r="C4988" t="s">
        <v>27</v>
      </c>
      <c r="D4988" s="68"/>
      <c r="E4988" s="68">
        <v>373</v>
      </c>
      <c r="F4988" s="68"/>
      <c r="G4988" s="68">
        <v>373</v>
      </c>
      <c r="H49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89" spans="1:8" hidden="1" x14ac:dyDescent="0.3">
      <c r="A4989" t="s">
        <v>1513</v>
      </c>
      <c r="B4989" t="s">
        <v>1525</v>
      </c>
      <c r="C4989" t="s">
        <v>25</v>
      </c>
      <c r="D4989" s="68">
        <v>5</v>
      </c>
      <c r="E4989" s="68"/>
      <c r="F4989" s="68">
        <v>20</v>
      </c>
      <c r="G4989" s="68">
        <v>25</v>
      </c>
      <c r="H49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90" spans="1:8" hidden="1" x14ac:dyDescent="0.3">
      <c r="A4990" t="s">
        <v>1513</v>
      </c>
      <c r="B4990" t="s">
        <v>1526</v>
      </c>
      <c r="C4990" t="s">
        <v>26</v>
      </c>
      <c r="D4990" s="68">
        <v>482</v>
      </c>
      <c r="E4990" s="68"/>
      <c r="F4990" s="68">
        <v>3114</v>
      </c>
      <c r="G4990" s="68">
        <v>3596</v>
      </c>
      <c r="H49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91" spans="1:8" hidden="1" x14ac:dyDescent="0.3">
      <c r="A4991" t="s">
        <v>1513</v>
      </c>
      <c r="B4991" t="s">
        <v>1526</v>
      </c>
      <c r="C4991" t="s">
        <v>38</v>
      </c>
      <c r="D4991" s="68">
        <v>55</v>
      </c>
      <c r="E4991" s="68"/>
      <c r="F4991" s="68">
        <v>2114</v>
      </c>
      <c r="G4991" s="68">
        <v>2169</v>
      </c>
      <c r="H49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92" spans="1:8" hidden="1" x14ac:dyDescent="0.3">
      <c r="A4992" t="s">
        <v>1513</v>
      </c>
      <c r="B4992" t="s">
        <v>1526</v>
      </c>
      <c r="C4992" t="s">
        <v>36</v>
      </c>
      <c r="D4992" s="68">
        <v>51</v>
      </c>
      <c r="E4992" s="68"/>
      <c r="F4992" s="68">
        <v>127</v>
      </c>
      <c r="G4992" s="68">
        <v>178</v>
      </c>
      <c r="H49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93" spans="1:8" hidden="1" x14ac:dyDescent="0.3">
      <c r="A4993" t="s">
        <v>1513</v>
      </c>
      <c r="B4993" t="s">
        <v>1526</v>
      </c>
      <c r="C4993" t="s">
        <v>27</v>
      </c>
      <c r="D4993" s="68"/>
      <c r="E4993" s="68">
        <v>150</v>
      </c>
      <c r="F4993" s="68"/>
      <c r="G4993" s="68">
        <v>150</v>
      </c>
      <c r="H49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94" spans="1:8" hidden="1" x14ac:dyDescent="0.3">
      <c r="A4994" t="s">
        <v>1513</v>
      </c>
      <c r="B4994" t="s">
        <v>1527</v>
      </c>
      <c r="C4994" t="s">
        <v>26</v>
      </c>
      <c r="D4994" s="68">
        <v>476</v>
      </c>
      <c r="E4994" s="68"/>
      <c r="F4994" s="68">
        <v>4469</v>
      </c>
      <c r="G4994" s="68">
        <v>4945</v>
      </c>
      <c r="H49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95" spans="1:8" hidden="1" x14ac:dyDescent="0.3">
      <c r="A4995" t="s">
        <v>1513</v>
      </c>
      <c r="B4995" t="s">
        <v>1527</v>
      </c>
      <c r="C4995" t="s">
        <v>36</v>
      </c>
      <c r="D4995" s="68">
        <v>112</v>
      </c>
      <c r="E4995" s="68"/>
      <c r="F4995" s="68">
        <v>1889</v>
      </c>
      <c r="G4995" s="68">
        <v>2001</v>
      </c>
      <c r="H49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96" spans="1:8" hidden="1" x14ac:dyDescent="0.3">
      <c r="A4996" t="s">
        <v>1513</v>
      </c>
      <c r="B4996" t="s">
        <v>1527</v>
      </c>
      <c r="C4996" t="s">
        <v>27</v>
      </c>
      <c r="D4996" s="68"/>
      <c r="E4996" s="68">
        <v>192</v>
      </c>
      <c r="F4996" s="68"/>
      <c r="G4996" s="68">
        <v>192</v>
      </c>
      <c r="H49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97" spans="1:8" hidden="1" x14ac:dyDescent="0.3">
      <c r="A4997" t="s">
        <v>1513</v>
      </c>
      <c r="B4997" t="s">
        <v>1528</v>
      </c>
      <c r="C4997" t="s">
        <v>26</v>
      </c>
      <c r="D4997" s="68">
        <v>9702</v>
      </c>
      <c r="E4997" s="68"/>
      <c r="F4997" s="68">
        <v>25983</v>
      </c>
      <c r="G4997" s="68">
        <v>35685</v>
      </c>
      <c r="H49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98" spans="1:8" hidden="1" x14ac:dyDescent="0.3">
      <c r="A4998" t="s">
        <v>1513</v>
      </c>
      <c r="B4998" t="s">
        <v>1528</v>
      </c>
      <c r="C4998" t="s">
        <v>36</v>
      </c>
      <c r="D4998" s="68">
        <v>14024</v>
      </c>
      <c r="E4998" s="68"/>
      <c r="F4998" s="68">
        <v>12129</v>
      </c>
      <c r="G4998" s="68">
        <v>26153</v>
      </c>
      <c r="H49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999" spans="1:8" hidden="1" x14ac:dyDescent="0.3">
      <c r="A4999" t="s">
        <v>1513</v>
      </c>
      <c r="B4999" t="s">
        <v>1528</v>
      </c>
      <c r="C4999" t="s">
        <v>37</v>
      </c>
      <c r="D4999" s="68">
        <v>6276</v>
      </c>
      <c r="E4999" s="68"/>
      <c r="F4999" s="68">
        <v>9710</v>
      </c>
      <c r="G4999" s="68">
        <v>15986</v>
      </c>
      <c r="H49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00" spans="1:8" hidden="1" x14ac:dyDescent="0.3">
      <c r="A5000" t="s">
        <v>1513</v>
      </c>
      <c r="B5000" t="s">
        <v>1528</v>
      </c>
      <c r="C5000" t="s">
        <v>27</v>
      </c>
      <c r="D5000" s="68"/>
      <c r="E5000" s="68">
        <v>1220</v>
      </c>
      <c r="F5000" s="68"/>
      <c r="G5000" s="68">
        <v>1220</v>
      </c>
      <c r="H50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01" spans="1:8" hidden="1" x14ac:dyDescent="0.3">
      <c r="A5001" t="s">
        <v>1513</v>
      </c>
      <c r="B5001" t="s">
        <v>1528</v>
      </c>
      <c r="C5001" t="s">
        <v>5</v>
      </c>
      <c r="D5001" s="68">
        <v>405</v>
      </c>
      <c r="E5001" s="68"/>
      <c r="F5001" s="68">
        <v>292</v>
      </c>
      <c r="G5001" s="68">
        <v>697</v>
      </c>
      <c r="H50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02" spans="1:8" hidden="1" x14ac:dyDescent="0.3">
      <c r="A5002" t="s">
        <v>1513</v>
      </c>
      <c r="B5002" t="s">
        <v>1528</v>
      </c>
      <c r="C5002" t="s">
        <v>25</v>
      </c>
      <c r="D5002" s="68">
        <v>1</v>
      </c>
      <c r="E5002" s="68"/>
      <c r="F5002" s="68">
        <v>13</v>
      </c>
      <c r="G5002" s="68">
        <v>14</v>
      </c>
      <c r="H50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03" spans="1:8" hidden="1" x14ac:dyDescent="0.3">
      <c r="A5003" t="s">
        <v>1513</v>
      </c>
      <c r="B5003" t="s">
        <v>1529</v>
      </c>
      <c r="C5003" t="s">
        <v>26</v>
      </c>
      <c r="D5003" s="68">
        <v>612</v>
      </c>
      <c r="E5003" s="68"/>
      <c r="F5003" s="68">
        <v>2437</v>
      </c>
      <c r="G5003" s="68">
        <v>3049</v>
      </c>
      <c r="H50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04" spans="1:8" hidden="1" x14ac:dyDescent="0.3">
      <c r="A5004" t="s">
        <v>1513</v>
      </c>
      <c r="B5004" t="s">
        <v>1529</v>
      </c>
      <c r="C5004" t="s">
        <v>36</v>
      </c>
      <c r="D5004" s="68">
        <v>198</v>
      </c>
      <c r="E5004" s="68"/>
      <c r="F5004" s="68">
        <v>2357</v>
      </c>
      <c r="G5004" s="68">
        <v>2555</v>
      </c>
      <c r="H50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05" spans="1:8" hidden="1" x14ac:dyDescent="0.3">
      <c r="A5005" t="s">
        <v>1513</v>
      </c>
      <c r="B5005" t="s">
        <v>1529</v>
      </c>
      <c r="C5005" t="s">
        <v>27</v>
      </c>
      <c r="D5005" s="68"/>
      <c r="E5005" s="68">
        <v>240</v>
      </c>
      <c r="F5005" s="68"/>
      <c r="G5005" s="68">
        <v>240</v>
      </c>
      <c r="H50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06" spans="1:8" hidden="1" x14ac:dyDescent="0.3">
      <c r="A5006" t="s">
        <v>1513</v>
      </c>
      <c r="B5006" t="s">
        <v>1530</v>
      </c>
      <c r="C5006" t="s">
        <v>26</v>
      </c>
      <c r="D5006" s="68">
        <v>825</v>
      </c>
      <c r="E5006" s="68"/>
      <c r="F5006" s="68">
        <v>4911</v>
      </c>
      <c r="G5006" s="68">
        <v>5736</v>
      </c>
      <c r="H50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07" spans="1:8" hidden="1" x14ac:dyDescent="0.3">
      <c r="A5007" t="s">
        <v>1513</v>
      </c>
      <c r="B5007" t="s">
        <v>1530</v>
      </c>
      <c r="C5007" t="s">
        <v>37</v>
      </c>
      <c r="D5007" s="68">
        <v>1437</v>
      </c>
      <c r="E5007" s="68"/>
      <c r="F5007" s="68">
        <v>1470</v>
      </c>
      <c r="G5007" s="68">
        <v>2907</v>
      </c>
      <c r="H50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08" spans="1:8" hidden="1" x14ac:dyDescent="0.3">
      <c r="A5008" t="s">
        <v>1513</v>
      </c>
      <c r="B5008" t="s">
        <v>1530</v>
      </c>
      <c r="C5008" t="s">
        <v>27</v>
      </c>
      <c r="D5008" s="68"/>
      <c r="E5008" s="68">
        <v>316</v>
      </c>
      <c r="F5008" s="68"/>
      <c r="G5008" s="68">
        <v>316</v>
      </c>
      <c r="H50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09" spans="1:8" hidden="1" x14ac:dyDescent="0.3">
      <c r="A5009" t="s">
        <v>1513</v>
      </c>
      <c r="B5009" t="s">
        <v>1530</v>
      </c>
      <c r="C5009" t="s">
        <v>36</v>
      </c>
      <c r="D5009" s="68">
        <v>129</v>
      </c>
      <c r="E5009" s="68"/>
      <c r="F5009" s="68">
        <v>108</v>
      </c>
      <c r="G5009" s="68">
        <v>237</v>
      </c>
      <c r="H50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10" spans="1:8" hidden="1" x14ac:dyDescent="0.3">
      <c r="A5010" t="s">
        <v>1513</v>
      </c>
      <c r="B5010" t="s">
        <v>1530</v>
      </c>
      <c r="C5010" t="s">
        <v>5</v>
      </c>
      <c r="D5010" s="68"/>
      <c r="E5010" s="68"/>
      <c r="F5010" s="68">
        <v>1</v>
      </c>
      <c r="G5010" s="68">
        <v>1</v>
      </c>
      <c r="H50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11" spans="1:8" hidden="1" x14ac:dyDescent="0.3">
      <c r="A5011" t="s">
        <v>1513</v>
      </c>
      <c r="B5011" t="s">
        <v>1531</v>
      </c>
      <c r="C5011" t="s">
        <v>26</v>
      </c>
      <c r="D5011" s="68">
        <v>3439</v>
      </c>
      <c r="E5011" s="68"/>
      <c r="F5011" s="68">
        <v>13295</v>
      </c>
      <c r="G5011" s="68">
        <v>16734</v>
      </c>
      <c r="H50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12" spans="1:8" hidden="1" x14ac:dyDescent="0.3">
      <c r="A5012" t="s">
        <v>1513</v>
      </c>
      <c r="B5012" t="s">
        <v>1531</v>
      </c>
      <c r="C5012" t="s">
        <v>36</v>
      </c>
      <c r="D5012" s="68">
        <v>1457</v>
      </c>
      <c r="E5012" s="68"/>
      <c r="F5012" s="68">
        <v>11049</v>
      </c>
      <c r="G5012" s="68">
        <v>12506</v>
      </c>
      <c r="H50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13" spans="1:8" hidden="1" x14ac:dyDescent="0.3">
      <c r="A5013" t="s">
        <v>1513</v>
      </c>
      <c r="B5013" t="s">
        <v>1531</v>
      </c>
      <c r="C5013" t="s">
        <v>27</v>
      </c>
      <c r="D5013" s="68"/>
      <c r="E5013" s="68">
        <v>693</v>
      </c>
      <c r="F5013" s="68"/>
      <c r="G5013" s="68">
        <v>693</v>
      </c>
      <c r="H50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14" spans="1:8" hidden="1" x14ac:dyDescent="0.3">
      <c r="A5014" t="s">
        <v>1513</v>
      </c>
      <c r="B5014" t="s">
        <v>1532</v>
      </c>
      <c r="C5014" t="s">
        <v>26</v>
      </c>
      <c r="D5014" s="68">
        <v>3420</v>
      </c>
      <c r="E5014" s="68"/>
      <c r="F5014" s="68">
        <v>11269</v>
      </c>
      <c r="G5014" s="68">
        <v>14689</v>
      </c>
      <c r="H50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15" spans="1:8" hidden="1" x14ac:dyDescent="0.3">
      <c r="A5015" t="s">
        <v>1513</v>
      </c>
      <c r="B5015" t="s">
        <v>1532</v>
      </c>
      <c r="C5015" t="s">
        <v>36</v>
      </c>
      <c r="D5015" s="68">
        <v>1618</v>
      </c>
      <c r="E5015" s="68"/>
      <c r="F5015" s="68">
        <v>3834</v>
      </c>
      <c r="G5015" s="68">
        <v>5452</v>
      </c>
      <c r="H50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16" spans="1:8" hidden="1" x14ac:dyDescent="0.3">
      <c r="A5016" t="s">
        <v>1513</v>
      </c>
      <c r="B5016" t="s">
        <v>1532</v>
      </c>
      <c r="C5016" t="s">
        <v>38</v>
      </c>
      <c r="D5016" s="68">
        <v>166</v>
      </c>
      <c r="E5016" s="68"/>
      <c r="F5016" s="68">
        <v>4609</v>
      </c>
      <c r="G5016" s="68">
        <v>4775</v>
      </c>
      <c r="H50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17" spans="1:8" hidden="1" x14ac:dyDescent="0.3">
      <c r="A5017" t="s">
        <v>1513</v>
      </c>
      <c r="B5017" t="s">
        <v>1532</v>
      </c>
      <c r="C5017" t="s">
        <v>27</v>
      </c>
      <c r="D5017" s="68"/>
      <c r="E5017" s="68">
        <v>449</v>
      </c>
      <c r="F5017" s="68"/>
      <c r="G5017" s="68">
        <v>449</v>
      </c>
      <c r="H50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18" spans="1:8" hidden="1" x14ac:dyDescent="0.3">
      <c r="A5018" t="s">
        <v>1513</v>
      </c>
      <c r="B5018" t="s">
        <v>1532</v>
      </c>
      <c r="C5018" t="s">
        <v>5</v>
      </c>
      <c r="D5018" s="68">
        <v>13</v>
      </c>
      <c r="E5018" s="68"/>
      <c r="F5018" s="68">
        <v>4</v>
      </c>
      <c r="G5018" s="68">
        <v>17</v>
      </c>
      <c r="H50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19" spans="1:8" hidden="1" x14ac:dyDescent="0.3">
      <c r="A5019" t="s">
        <v>1513</v>
      </c>
      <c r="B5019" t="s">
        <v>1533</v>
      </c>
      <c r="C5019" t="s">
        <v>26</v>
      </c>
      <c r="D5019" s="68">
        <v>207</v>
      </c>
      <c r="E5019" s="68"/>
      <c r="F5019" s="68">
        <v>2596</v>
      </c>
      <c r="G5019" s="68">
        <v>2803</v>
      </c>
      <c r="H50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20" spans="1:8" hidden="1" x14ac:dyDescent="0.3">
      <c r="A5020" t="s">
        <v>1513</v>
      </c>
      <c r="B5020" t="s">
        <v>1533</v>
      </c>
      <c r="C5020" t="s">
        <v>36</v>
      </c>
      <c r="D5020" s="68">
        <v>41</v>
      </c>
      <c r="E5020" s="68"/>
      <c r="F5020" s="68">
        <v>742</v>
      </c>
      <c r="G5020" s="68">
        <v>783</v>
      </c>
      <c r="H50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21" spans="1:8" hidden="1" x14ac:dyDescent="0.3">
      <c r="A5021" t="s">
        <v>1513</v>
      </c>
      <c r="B5021" t="s">
        <v>1533</v>
      </c>
      <c r="C5021" t="s">
        <v>27</v>
      </c>
      <c r="D5021" s="68"/>
      <c r="E5021" s="68">
        <v>97</v>
      </c>
      <c r="F5021" s="68"/>
      <c r="G5021" s="68">
        <v>97</v>
      </c>
      <c r="H50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22" spans="1:8" hidden="1" x14ac:dyDescent="0.3">
      <c r="A5022" t="s">
        <v>1513</v>
      </c>
      <c r="B5022" t="s">
        <v>1534</v>
      </c>
      <c r="C5022" t="s">
        <v>26</v>
      </c>
      <c r="D5022" s="68">
        <v>4701</v>
      </c>
      <c r="E5022" s="68"/>
      <c r="F5022" s="68">
        <v>7828</v>
      </c>
      <c r="G5022" s="68">
        <v>12529</v>
      </c>
      <c r="H50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23" spans="1:8" hidden="1" x14ac:dyDescent="0.3">
      <c r="A5023" t="s">
        <v>1513</v>
      </c>
      <c r="B5023" t="s">
        <v>1534</v>
      </c>
      <c r="C5023" t="s">
        <v>5</v>
      </c>
      <c r="D5023" s="68">
        <v>7651</v>
      </c>
      <c r="E5023" s="68"/>
      <c r="F5023" s="68">
        <v>1983</v>
      </c>
      <c r="G5023" s="68">
        <v>9634</v>
      </c>
      <c r="H50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24" spans="1:8" hidden="1" x14ac:dyDescent="0.3">
      <c r="A5024" t="s">
        <v>1513</v>
      </c>
      <c r="B5024" t="s">
        <v>1534</v>
      </c>
      <c r="C5024" t="s">
        <v>38</v>
      </c>
      <c r="D5024" s="68">
        <v>132</v>
      </c>
      <c r="E5024" s="68"/>
      <c r="F5024" s="68">
        <v>1491</v>
      </c>
      <c r="G5024" s="68">
        <v>1623</v>
      </c>
      <c r="H50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25" spans="1:8" hidden="1" x14ac:dyDescent="0.3">
      <c r="A5025" t="s">
        <v>1513</v>
      </c>
      <c r="B5025" t="s">
        <v>1534</v>
      </c>
      <c r="C5025" t="s">
        <v>37</v>
      </c>
      <c r="D5025" s="68">
        <v>411</v>
      </c>
      <c r="E5025" s="68"/>
      <c r="F5025" s="68">
        <v>402</v>
      </c>
      <c r="G5025" s="68">
        <v>813</v>
      </c>
      <c r="H50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26" spans="1:8" hidden="1" x14ac:dyDescent="0.3">
      <c r="A5026" t="s">
        <v>1513</v>
      </c>
      <c r="B5026" t="s">
        <v>1534</v>
      </c>
      <c r="C5026" t="s">
        <v>27</v>
      </c>
      <c r="D5026" s="68"/>
      <c r="E5026" s="68">
        <v>444</v>
      </c>
      <c r="F5026" s="68"/>
      <c r="G5026" s="68">
        <v>444</v>
      </c>
      <c r="H50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27" spans="1:8" hidden="1" x14ac:dyDescent="0.3">
      <c r="A5027" t="s">
        <v>1513</v>
      </c>
      <c r="B5027" t="s">
        <v>1534</v>
      </c>
      <c r="C5027" t="s">
        <v>36</v>
      </c>
      <c r="D5027" s="68">
        <v>236</v>
      </c>
      <c r="E5027" s="68"/>
      <c r="F5027" s="68">
        <v>137</v>
      </c>
      <c r="G5027" s="68">
        <v>373</v>
      </c>
      <c r="H50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28" spans="1:8" hidden="1" x14ac:dyDescent="0.3">
      <c r="A5028" t="s">
        <v>1513</v>
      </c>
      <c r="B5028" t="s">
        <v>1534</v>
      </c>
      <c r="C5028" t="s">
        <v>35</v>
      </c>
      <c r="D5028" s="68">
        <v>36</v>
      </c>
      <c r="E5028" s="68"/>
      <c r="F5028" s="68"/>
      <c r="G5028" s="68">
        <v>36</v>
      </c>
      <c r="H50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29" spans="1:8" hidden="1" x14ac:dyDescent="0.3">
      <c r="A5029" t="s">
        <v>1513</v>
      </c>
      <c r="B5029" t="s">
        <v>1535</v>
      </c>
      <c r="C5029" t="s">
        <v>36</v>
      </c>
      <c r="D5029" s="68">
        <v>154366</v>
      </c>
      <c r="E5029" s="68"/>
      <c r="F5029" s="68">
        <v>82720</v>
      </c>
      <c r="G5029" s="68">
        <v>237086</v>
      </c>
      <c r="H50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30" spans="1:8" hidden="1" x14ac:dyDescent="0.3">
      <c r="A5030" t="s">
        <v>1513</v>
      </c>
      <c r="B5030" t="s">
        <v>1535</v>
      </c>
      <c r="C5030" t="s">
        <v>26</v>
      </c>
      <c r="D5030" s="68">
        <v>66408</v>
      </c>
      <c r="E5030" s="68"/>
      <c r="F5030" s="68">
        <v>98082</v>
      </c>
      <c r="G5030" s="68">
        <v>164490</v>
      </c>
      <c r="H50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31" spans="1:8" hidden="1" x14ac:dyDescent="0.3">
      <c r="A5031" t="s">
        <v>1513</v>
      </c>
      <c r="B5031" t="s">
        <v>1535</v>
      </c>
      <c r="C5031" t="s">
        <v>5</v>
      </c>
      <c r="D5031" s="68">
        <v>111648</v>
      </c>
      <c r="E5031" s="68"/>
      <c r="F5031" s="68">
        <v>35373</v>
      </c>
      <c r="G5031" s="68">
        <v>147021</v>
      </c>
      <c r="H50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32" spans="1:8" hidden="1" x14ac:dyDescent="0.3">
      <c r="A5032" t="s">
        <v>1513</v>
      </c>
      <c r="B5032" t="s">
        <v>1535</v>
      </c>
      <c r="C5032" t="s">
        <v>37</v>
      </c>
      <c r="D5032" s="68">
        <v>17483</v>
      </c>
      <c r="E5032" s="68"/>
      <c r="F5032" s="68">
        <v>20949</v>
      </c>
      <c r="G5032" s="68">
        <v>38432</v>
      </c>
      <c r="H50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33" spans="1:8" hidden="1" x14ac:dyDescent="0.3">
      <c r="A5033" t="s">
        <v>1513</v>
      </c>
      <c r="B5033" t="s">
        <v>1535</v>
      </c>
      <c r="C5033" t="s">
        <v>27</v>
      </c>
      <c r="D5033" s="68"/>
      <c r="E5033" s="68">
        <v>14946</v>
      </c>
      <c r="F5033" s="68"/>
      <c r="G5033" s="68">
        <v>14946</v>
      </c>
      <c r="H50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34" spans="1:8" hidden="1" x14ac:dyDescent="0.3">
      <c r="A5034" t="s">
        <v>1513</v>
      </c>
      <c r="B5034" t="s">
        <v>1535</v>
      </c>
      <c r="C5034" t="s">
        <v>1077</v>
      </c>
      <c r="D5034" s="68">
        <v>1450</v>
      </c>
      <c r="E5034" s="68"/>
      <c r="F5034" s="68">
        <v>11335</v>
      </c>
      <c r="G5034" s="68">
        <v>12785</v>
      </c>
      <c r="H50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35" spans="1:8" hidden="1" x14ac:dyDescent="0.3">
      <c r="A5035" t="s">
        <v>1513</v>
      </c>
      <c r="B5035" t="s">
        <v>1535</v>
      </c>
      <c r="C5035" t="s">
        <v>35</v>
      </c>
      <c r="D5035" s="68">
        <v>284</v>
      </c>
      <c r="E5035" s="68"/>
      <c r="F5035" s="68"/>
      <c r="G5035" s="68">
        <v>284</v>
      </c>
      <c r="H50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36" spans="1:8" hidden="1" x14ac:dyDescent="0.3">
      <c r="A5036" t="s">
        <v>1513</v>
      </c>
      <c r="B5036" t="s">
        <v>1535</v>
      </c>
      <c r="C5036" t="s">
        <v>25</v>
      </c>
      <c r="D5036" s="68">
        <v>1</v>
      </c>
      <c r="E5036" s="68"/>
      <c r="F5036" s="68">
        <v>7</v>
      </c>
      <c r="G5036" s="68">
        <v>8</v>
      </c>
      <c r="H50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37" spans="1:8" hidden="1" x14ac:dyDescent="0.3">
      <c r="A5037" t="s">
        <v>1513</v>
      </c>
      <c r="B5037" t="s">
        <v>1535</v>
      </c>
      <c r="C5037" t="s">
        <v>31</v>
      </c>
      <c r="D5037" s="68"/>
      <c r="E5037" s="68"/>
      <c r="F5037" s="68">
        <v>1</v>
      </c>
      <c r="G5037" s="68">
        <v>1</v>
      </c>
      <c r="H50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38" spans="1:8" hidden="1" x14ac:dyDescent="0.3">
      <c r="A5038" t="s">
        <v>1513</v>
      </c>
      <c r="B5038" t="s">
        <v>1536</v>
      </c>
      <c r="C5038" t="s">
        <v>26</v>
      </c>
      <c r="D5038" s="68">
        <v>612</v>
      </c>
      <c r="E5038" s="68"/>
      <c r="F5038" s="68">
        <v>3103</v>
      </c>
      <c r="G5038" s="68">
        <v>3715</v>
      </c>
      <c r="H50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39" spans="1:8" hidden="1" x14ac:dyDescent="0.3">
      <c r="A5039" t="s">
        <v>1513</v>
      </c>
      <c r="B5039" t="s">
        <v>1536</v>
      </c>
      <c r="C5039" t="s">
        <v>38</v>
      </c>
      <c r="D5039" s="68">
        <v>70</v>
      </c>
      <c r="E5039" s="68"/>
      <c r="F5039" s="68">
        <v>2269</v>
      </c>
      <c r="G5039" s="68">
        <v>2339</v>
      </c>
      <c r="H50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40" spans="1:8" hidden="1" x14ac:dyDescent="0.3">
      <c r="A5040" t="s">
        <v>1513</v>
      </c>
      <c r="B5040" t="s">
        <v>1536</v>
      </c>
      <c r="C5040" t="s">
        <v>36</v>
      </c>
      <c r="D5040" s="68">
        <v>249</v>
      </c>
      <c r="E5040" s="68"/>
      <c r="F5040" s="68">
        <v>809</v>
      </c>
      <c r="G5040" s="68">
        <v>1058</v>
      </c>
      <c r="H50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41" spans="1:8" hidden="1" x14ac:dyDescent="0.3">
      <c r="A5041" t="s">
        <v>1513</v>
      </c>
      <c r="B5041" t="s">
        <v>1536</v>
      </c>
      <c r="C5041" t="s">
        <v>27</v>
      </c>
      <c r="D5041" s="68"/>
      <c r="E5041" s="68">
        <v>350</v>
      </c>
      <c r="F5041" s="68"/>
      <c r="G5041" s="68">
        <v>350</v>
      </c>
      <c r="H50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42" spans="1:8" hidden="1" x14ac:dyDescent="0.3">
      <c r="A5042" t="s">
        <v>1513</v>
      </c>
      <c r="B5042" t="s">
        <v>1537</v>
      </c>
      <c r="C5042" t="s">
        <v>26</v>
      </c>
      <c r="D5042" s="68">
        <v>2977</v>
      </c>
      <c r="E5042" s="68"/>
      <c r="F5042" s="68">
        <v>5342</v>
      </c>
      <c r="G5042" s="68">
        <v>8319</v>
      </c>
      <c r="H50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43" spans="1:8" hidden="1" x14ac:dyDescent="0.3">
      <c r="A5043" t="s">
        <v>1513</v>
      </c>
      <c r="B5043" t="s">
        <v>1537</v>
      </c>
      <c r="C5043" t="s">
        <v>36</v>
      </c>
      <c r="D5043" s="68">
        <v>1800</v>
      </c>
      <c r="E5043" s="68"/>
      <c r="F5043" s="68">
        <v>3375</v>
      </c>
      <c r="G5043" s="68">
        <v>5175</v>
      </c>
      <c r="H50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44" spans="1:8" hidden="1" x14ac:dyDescent="0.3">
      <c r="A5044" t="s">
        <v>1513</v>
      </c>
      <c r="B5044" t="s">
        <v>1537</v>
      </c>
      <c r="C5044" t="s">
        <v>38</v>
      </c>
      <c r="D5044" s="68">
        <v>162</v>
      </c>
      <c r="E5044" s="68"/>
      <c r="F5044" s="68">
        <v>2557</v>
      </c>
      <c r="G5044" s="68">
        <v>2719</v>
      </c>
      <c r="H50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45" spans="1:8" hidden="1" x14ac:dyDescent="0.3">
      <c r="A5045" t="s">
        <v>1513</v>
      </c>
      <c r="B5045" t="s">
        <v>1537</v>
      </c>
      <c r="C5045" t="s">
        <v>27</v>
      </c>
      <c r="D5045" s="68"/>
      <c r="E5045" s="68">
        <v>276</v>
      </c>
      <c r="F5045" s="68"/>
      <c r="G5045" s="68">
        <v>276</v>
      </c>
      <c r="H50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46" spans="1:8" hidden="1" x14ac:dyDescent="0.3">
      <c r="A5046" t="s">
        <v>1513</v>
      </c>
      <c r="B5046" t="s">
        <v>1537</v>
      </c>
      <c r="C5046" t="s">
        <v>5</v>
      </c>
      <c r="D5046" s="68">
        <v>9</v>
      </c>
      <c r="E5046" s="68"/>
      <c r="F5046" s="68"/>
      <c r="G5046" s="68">
        <v>9</v>
      </c>
      <c r="H50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47" spans="1:8" hidden="1" x14ac:dyDescent="0.3">
      <c r="A5047" t="s">
        <v>1513</v>
      </c>
      <c r="B5047" t="s">
        <v>1538</v>
      </c>
      <c r="C5047" t="s">
        <v>26</v>
      </c>
      <c r="D5047" s="68">
        <v>7612</v>
      </c>
      <c r="E5047" s="68"/>
      <c r="F5047" s="68">
        <v>20224</v>
      </c>
      <c r="G5047" s="68">
        <v>27836</v>
      </c>
      <c r="H50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48" spans="1:8" hidden="1" x14ac:dyDescent="0.3">
      <c r="A5048" t="s">
        <v>1513</v>
      </c>
      <c r="B5048" t="s">
        <v>1538</v>
      </c>
      <c r="C5048" t="s">
        <v>38</v>
      </c>
      <c r="D5048" s="68">
        <v>206</v>
      </c>
      <c r="E5048" s="68"/>
      <c r="F5048" s="68">
        <v>5604</v>
      </c>
      <c r="G5048" s="68">
        <v>5810</v>
      </c>
      <c r="H50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49" spans="1:8" hidden="1" x14ac:dyDescent="0.3">
      <c r="A5049" t="s">
        <v>1513</v>
      </c>
      <c r="B5049" t="s">
        <v>1538</v>
      </c>
      <c r="C5049" t="s">
        <v>36</v>
      </c>
      <c r="D5049" s="68">
        <v>977</v>
      </c>
      <c r="E5049" s="68"/>
      <c r="F5049" s="68">
        <v>3769</v>
      </c>
      <c r="G5049" s="68">
        <v>4746</v>
      </c>
      <c r="H50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50" spans="1:8" hidden="1" x14ac:dyDescent="0.3">
      <c r="A5050" t="s">
        <v>1513</v>
      </c>
      <c r="B5050" t="s">
        <v>1538</v>
      </c>
      <c r="C5050" t="s">
        <v>27</v>
      </c>
      <c r="D5050" s="68"/>
      <c r="E5050" s="68">
        <v>946</v>
      </c>
      <c r="F5050" s="68"/>
      <c r="G5050" s="68">
        <v>946</v>
      </c>
      <c r="H50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51" spans="1:8" hidden="1" x14ac:dyDescent="0.3">
      <c r="A5051" t="s">
        <v>1513</v>
      </c>
      <c r="B5051" t="s">
        <v>1538</v>
      </c>
      <c r="C5051" t="s">
        <v>5</v>
      </c>
      <c r="D5051" s="68">
        <v>3</v>
      </c>
      <c r="E5051" s="68"/>
      <c r="F5051" s="68"/>
      <c r="G5051" s="68">
        <v>3</v>
      </c>
      <c r="H50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52" spans="1:8" hidden="1" x14ac:dyDescent="0.3">
      <c r="A5052" t="s">
        <v>1513</v>
      </c>
      <c r="B5052" t="s">
        <v>1539</v>
      </c>
      <c r="C5052" t="s">
        <v>37</v>
      </c>
      <c r="D5052" s="68">
        <v>7170</v>
      </c>
      <c r="E5052" s="68"/>
      <c r="F5052" s="68">
        <v>6400</v>
      </c>
      <c r="G5052" s="68">
        <v>13570</v>
      </c>
      <c r="H50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53" spans="1:8" hidden="1" x14ac:dyDescent="0.3">
      <c r="A5053" t="s">
        <v>1513</v>
      </c>
      <c r="B5053" t="s">
        <v>1539</v>
      </c>
      <c r="C5053" t="s">
        <v>36</v>
      </c>
      <c r="D5053" s="68">
        <v>7586</v>
      </c>
      <c r="E5053" s="68"/>
      <c r="F5053" s="68">
        <v>4730</v>
      </c>
      <c r="G5053" s="68">
        <v>12316</v>
      </c>
      <c r="H50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54" spans="1:8" hidden="1" x14ac:dyDescent="0.3">
      <c r="A5054" t="s">
        <v>1513</v>
      </c>
      <c r="B5054" t="s">
        <v>1539</v>
      </c>
      <c r="C5054" t="s">
        <v>26</v>
      </c>
      <c r="D5054" s="68">
        <v>2039</v>
      </c>
      <c r="E5054" s="68"/>
      <c r="F5054" s="68">
        <v>8003</v>
      </c>
      <c r="G5054" s="68">
        <v>10042</v>
      </c>
      <c r="H50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55" spans="1:8" hidden="1" x14ac:dyDescent="0.3">
      <c r="A5055" t="s">
        <v>1513</v>
      </c>
      <c r="B5055" t="s">
        <v>1539</v>
      </c>
      <c r="C5055" t="s">
        <v>5</v>
      </c>
      <c r="D5055" s="68">
        <v>886</v>
      </c>
      <c r="E5055" s="68"/>
      <c r="F5055" s="68">
        <v>815</v>
      </c>
      <c r="G5055" s="68">
        <v>1701</v>
      </c>
      <c r="H50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56" spans="1:8" hidden="1" x14ac:dyDescent="0.3">
      <c r="A5056" t="s">
        <v>1513</v>
      </c>
      <c r="B5056" t="s">
        <v>1539</v>
      </c>
      <c r="C5056" t="s">
        <v>27</v>
      </c>
      <c r="D5056" s="68"/>
      <c r="E5056" s="68">
        <v>438</v>
      </c>
      <c r="F5056" s="68"/>
      <c r="G5056" s="68">
        <v>438</v>
      </c>
      <c r="H50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57" spans="1:8" hidden="1" x14ac:dyDescent="0.3">
      <c r="A5057" t="s">
        <v>1513</v>
      </c>
      <c r="B5057" t="s">
        <v>1540</v>
      </c>
      <c r="C5057" t="s">
        <v>26</v>
      </c>
      <c r="D5057" s="68">
        <v>295</v>
      </c>
      <c r="E5057" s="68"/>
      <c r="F5057" s="68">
        <v>2218</v>
      </c>
      <c r="G5057" s="68">
        <v>2513</v>
      </c>
      <c r="H50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58" spans="1:8" hidden="1" x14ac:dyDescent="0.3">
      <c r="A5058" t="s">
        <v>1513</v>
      </c>
      <c r="B5058" t="s">
        <v>1540</v>
      </c>
      <c r="C5058" t="s">
        <v>36</v>
      </c>
      <c r="D5058" s="68">
        <v>19</v>
      </c>
      <c r="E5058" s="68"/>
      <c r="F5058" s="68">
        <v>194</v>
      </c>
      <c r="G5058" s="68">
        <v>213</v>
      </c>
      <c r="H50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59" spans="1:8" hidden="1" x14ac:dyDescent="0.3">
      <c r="A5059" t="s">
        <v>1513</v>
      </c>
      <c r="B5059" t="s">
        <v>1540</v>
      </c>
      <c r="C5059" t="s">
        <v>27</v>
      </c>
      <c r="D5059" s="68"/>
      <c r="E5059" s="68">
        <v>66</v>
      </c>
      <c r="F5059" s="68"/>
      <c r="G5059" s="68">
        <v>66</v>
      </c>
      <c r="H50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60" spans="1:8" hidden="1" x14ac:dyDescent="0.3">
      <c r="A5060" t="s">
        <v>1513</v>
      </c>
      <c r="B5060" t="s">
        <v>1541</v>
      </c>
      <c r="C5060" t="s">
        <v>1077</v>
      </c>
      <c r="D5060" s="68">
        <v>390</v>
      </c>
      <c r="E5060" s="68"/>
      <c r="F5060" s="68">
        <v>6879</v>
      </c>
      <c r="G5060" s="68">
        <v>7269</v>
      </c>
      <c r="H50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61" spans="1:8" hidden="1" x14ac:dyDescent="0.3">
      <c r="A5061" t="s">
        <v>1513</v>
      </c>
      <c r="B5061" t="s">
        <v>1541</v>
      </c>
      <c r="C5061" t="s">
        <v>26</v>
      </c>
      <c r="D5061" s="68">
        <v>719</v>
      </c>
      <c r="E5061" s="68"/>
      <c r="F5061" s="68">
        <v>2303</v>
      </c>
      <c r="G5061" s="68">
        <v>3022</v>
      </c>
      <c r="H50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62" spans="1:8" hidden="1" x14ac:dyDescent="0.3">
      <c r="A5062" t="s">
        <v>1513</v>
      </c>
      <c r="B5062" t="s">
        <v>1541</v>
      </c>
      <c r="C5062" t="s">
        <v>5</v>
      </c>
      <c r="D5062" s="68">
        <v>189</v>
      </c>
      <c r="E5062" s="68"/>
      <c r="F5062" s="68">
        <v>1610</v>
      </c>
      <c r="G5062" s="68">
        <v>1799</v>
      </c>
      <c r="H50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63" spans="1:8" hidden="1" x14ac:dyDescent="0.3">
      <c r="A5063" t="s">
        <v>1513</v>
      </c>
      <c r="B5063" t="s">
        <v>1541</v>
      </c>
      <c r="C5063" t="s">
        <v>27</v>
      </c>
      <c r="D5063" s="68"/>
      <c r="E5063" s="68">
        <v>388</v>
      </c>
      <c r="F5063" s="68"/>
      <c r="G5063" s="68">
        <v>388</v>
      </c>
      <c r="H50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64" spans="1:8" hidden="1" x14ac:dyDescent="0.3">
      <c r="A5064" t="s">
        <v>1513</v>
      </c>
      <c r="B5064" t="s">
        <v>1541</v>
      </c>
      <c r="C5064" t="s">
        <v>36</v>
      </c>
      <c r="D5064" s="68">
        <v>101</v>
      </c>
      <c r="E5064" s="68"/>
      <c r="F5064" s="68">
        <v>192</v>
      </c>
      <c r="G5064" s="68">
        <v>293</v>
      </c>
      <c r="H50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65" spans="1:8" hidden="1" x14ac:dyDescent="0.3">
      <c r="A5065" t="s">
        <v>1513</v>
      </c>
      <c r="B5065" t="s">
        <v>1541</v>
      </c>
      <c r="C5065" t="s">
        <v>25</v>
      </c>
      <c r="D5065" s="68">
        <v>3</v>
      </c>
      <c r="E5065" s="68"/>
      <c r="F5065" s="68">
        <v>27</v>
      </c>
      <c r="G5065" s="68">
        <v>30</v>
      </c>
      <c r="H50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66" spans="1:8" hidden="1" x14ac:dyDescent="0.3">
      <c r="A5066" t="s">
        <v>1513</v>
      </c>
      <c r="B5066" t="s">
        <v>1541</v>
      </c>
      <c r="C5066" t="s">
        <v>35</v>
      </c>
      <c r="D5066" s="68">
        <v>26</v>
      </c>
      <c r="E5066" s="68"/>
      <c r="F5066" s="68"/>
      <c r="G5066" s="68">
        <v>26</v>
      </c>
      <c r="H50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67" spans="1:8" hidden="1" x14ac:dyDescent="0.3">
      <c r="A5067" t="s">
        <v>1513</v>
      </c>
      <c r="B5067" t="s">
        <v>1541</v>
      </c>
      <c r="C5067" t="s">
        <v>34</v>
      </c>
      <c r="D5067" s="68">
        <v>1</v>
      </c>
      <c r="E5067" s="68"/>
      <c r="F5067" s="68"/>
      <c r="G5067" s="68">
        <v>1</v>
      </c>
      <c r="H50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68" spans="1:8" hidden="1" x14ac:dyDescent="0.3">
      <c r="A5068" t="s">
        <v>1513</v>
      </c>
      <c r="B5068" t="s">
        <v>1542</v>
      </c>
      <c r="C5068" t="s">
        <v>1077</v>
      </c>
      <c r="D5068" s="68">
        <v>464</v>
      </c>
      <c r="E5068" s="68"/>
      <c r="F5068" s="68">
        <v>8826</v>
      </c>
      <c r="G5068" s="68">
        <v>9290</v>
      </c>
      <c r="H50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69" spans="1:8" hidden="1" x14ac:dyDescent="0.3">
      <c r="A5069" t="s">
        <v>1513</v>
      </c>
      <c r="B5069" t="s">
        <v>1542</v>
      </c>
      <c r="C5069" t="s">
        <v>26</v>
      </c>
      <c r="D5069" s="68">
        <v>881</v>
      </c>
      <c r="E5069" s="68"/>
      <c r="F5069" s="68">
        <v>6712</v>
      </c>
      <c r="G5069" s="68">
        <v>7593</v>
      </c>
      <c r="H50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70" spans="1:8" hidden="1" x14ac:dyDescent="0.3">
      <c r="A5070" t="s">
        <v>1513</v>
      </c>
      <c r="B5070" t="s">
        <v>1542</v>
      </c>
      <c r="C5070" t="s">
        <v>36</v>
      </c>
      <c r="D5070" s="68">
        <v>463</v>
      </c>
      <c r="E5070" s="68"/>
      <c r="F5070" s="68">
        <v>5060</v>
      </c>
      <c r="G5070" s="68">
        <v>5523</v>
      </c>
      <c r="H50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71" spans="1:8" hidden="1" x14ac:dyDescent="0.3">
      <c r="A5071" t="s">
        <v>1513</v>
      </c>
      <c r="B5071" t="s">
        <v>1542</v>
      </c>
      <c r="C5071" t="s">
        <v>5</v>
      </c>
      <c r="D5071" s="68">
        <v>101</v>
      </c>
      <c r="E5071" s="68"/>
      <c r="F5071" s="68">
        <v>1062</v>
      </c>
      <c r="G5071" s="68">
        <v>1163</v>
      </c>
      <c r="H50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72" spans="1:8" hidden="1" x14ac:dyDescent="0.3">
      <c r="A5072" t="s">
        <v>1513</v>
      </c>
      <c r="B5072" t="s">
        <v>1542</v>
      </c>
      <c r="C5072" t="s">
        <v>27</v>
      </c>
      <c r="D5072" s="68"/>
      <c r="E5072" s="68">
        <v>666</v>
      </c>
      <c r="F5072" s="68"/>
      <c r="G5072" s="68">
        <v>666</v>
      </c>
      <c r="H50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73" spans="1:8" hidden="1" x14ac:dyDescent="0.3">
      <c r="A5073" t="s">
        <v>1513</v>
      </c>
      <c r="B5073" t="s">
        <v>1543</v>
      </c>
      <c r="C5073" t="s">
        <v>26</v>
      </c>
      <c r="D5073" s="68">
        <v>629</v>
      </c>
      <c r="E5073" s="68"/>
      <c r="F5073" s="68">
        <v>3902</v>
      </c>
      <c r="G5073" s="68">
        <v>4531</v>
      </c>
      <c r="H50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74" spans="1:8" hidden="1" x14ac:dyDescent="0.3">
      <c r="A5074" t="s">
        <v>1513</v>
      </c>
      <c r="B5074" t="s">
        <v>1543</v>
      </c>
      <c r="C5074" t="s">
        <v>38</v>
      </c>
      <c r="D5074" s="68">
        <v>110</v>
      </c>
      <c r="E5074" s="68"/>
      <c r="F5074" s="68">
        <v>3856</v>
      </c>
      <c r="G5074" s="68">
        <v>3966</v>
      </c>
      <c r="H50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75" spans="1:8" hidden="1" x14ac:dyDescent="0.3">
      <c r="A5075" t="s">
        <v>1513</v>
      </c>
      <c r="B5075" t="s">
        <v>1543</v>
      </c>
      <c r="C5075" t="s">
        <v>36</v>
      </c>
      <c r="D5075" s="68">
        <v>62</v>
      </c>
      <c r="E5075" s="68"/>
      <c r="F5075" s="68">
        <v>409</v>
      </c>
      <c r="G5075" s="68">
        <v>471</v>
      </c>
      <c r="H50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76" spans="1:8" hidden="1" x14ac:dyDescent="0.3">
      <c r="A5076" t="s">
        <v>1513</v>
      </c>
      <c r="B5076" t="s">
        <v>1543</v>
      </c>
      <c r="C5076" t="s">
        <v>27</v>
      </c>
      <c r="D5076" s="68"/>
      <c r="E5076" s="68">
        <v>202</v>
      </c>
      <c r="F5076" s="68"/>
      <c r="G5076" s="68">
        <v>202</v>
      </c>
      <c r="H50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77" spans="1:8" hidden="1" x14ac:dyDescent="0.3">
      <c r="A5077" t="s">
        <v>1513</v>
      </c>
      <c r="B5077" t="s">
        <v>1544</v>
      </c>
      <c r="C5077" t="s">
        <v>26</v>
      </c>
      <c r="D5077" s="68">
        <v>827</v>
      </c>
      <c r="E5077" s="68"/>
      <c r="F5077" s="68">
        <v>1675</v>
      </c>
      <c r="G5077" s="68">
        <v>2502</v>
      </c>
      <c r="H50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78" spans="1:8" hidden="1" x14ac:dyDescent="0.3">
      <c r="A5078" t="s">
        <v>1513</v>
      </c>
      <c r="B5078" t="s">
        <v>1544</v>
      </c>
      <c r="C5078" t="s">
        <v>36</v>
      </c>
      <c r="D5078" s="68">
        <v>91</v>
      </c>
      <c r="E5078" s="68"/>
      <c r="F5078" s="68">
        <v>310</v>
      </c>
      <c r="G5078" s="68">
        <v>401</v>
      </c>
      <c r="H50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79" spans="1:8" hidden="1" x14ac:dyDescent="0.3">
      <c r="A5079" t="s">
        <v>1513</v>
      </c>
      <c r="B5079" t="s">
        <v>1544</v>
      </c>
      <c r="C5079" t="s">
        <v>27</v>
      </c>
      <c r="D5079" s="68"/>
      <c r="E5079" s="68">
        <v>38</v>
      </c>
      <c r="F5079" s="68"/>
      <c r="G5079" s="68">
        <v>38</v>
      </c>
      <c r="H50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80" spans="1:8" hidden="1" x14ac:dyDescent="0.3">
      <c r="A5080" t="s">
        <v>1513</v>
      </c>
      <c r="B5080" t="s">
        <v>1545</v>
      </c>
      <c r="C5080" t="s">
        <v>26</v>
      </c>
      <c r="D5080" s="68">
        <v>2052</v>
      </c>
      <c r="E5080" s="68"/>
      <c r="F5080" s="68">
        <v>21788</v>
      </c>
      <c r="G5080" s="68">
        <v>23840</v>
      </c>
      <c r="H50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81" spans="1:8" hidden="1" x14ac:dyDescent="0.3">
      <c r="A5081" t="s">
        <v>1513</v>
      </c>
      <c r="B5081" t="s">
        <v>1545</v>
      </c>
      <c r="C5081" t="s">
        <v>1077</v>
      </c>
      <c r="D5081" s="68">
        <v>96</v>
      </c>
      <c r="E5081" s="68"/>
      <c r="F5081" s="68">
        <v>5589</v>
      </c>
      <c r="G5081" s="68">
        <v>5685</v>
      </c>
      <c r="H50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82" spans="1:8" hidden="1" x14ac:dyDescent="0.3">
      <c r="A5082" t="s">
        <v>1513</v>
      </c>
      <c r="B5082" t="s">
        <v>1545</v>
      </c>
      <c r="C5082" t="s">
        <v>31</v>
      </c>
      <c r="D5082" s="68">
        <v>21</v>
      </c>
      <c r="E5082" s="68"/>
      <c r="F5082" s="68">
        <v>1621</v>
      </c>
      <c r="G5082" s="68">
        <v>1642</v>
      </c>
      <c r="H50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83" spans="1:8" hidden="1" x14ac:dyDescent="0.3">
      <c r="A5083" t="s">
        <v>1513</v>
      </c>
      <c r="B5083" t="s">
        <v>1545</v>
      </c>
      <c r="C5083" t="s">
        <v>27</v>
      </c>
      <c r="D5083" s="68"/>
      <c r="E5083" s="68">
        <v>699</v>
      </c>
      <c r="F5083" s="68"/>
      <c r="G5083" s="68">
        <v>699</v>
      </c>
      <c r="H50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84" spans="1:8" hidden="1" x14ac:dyDescent="0.3">
      <c r="A5084" t="s">
        <v>1513</v>
      </c>
      <c r="B5084" t="s">
        <v>1545</v>
      </c>
      <c r="C5084" t="s">
        <v>36</v>
      </c>
      <c r="D5084" s="68">
        <v>54</v>
      </c>
      <c r="E5084" s="68"/>
      <c r="F5084" s="68">
        <v>72</v>
      </c>
      <c r="G5084" s="68">
        <v>126</v>
      </c>
      <c r="H50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85" spans="1:8" hidden="1" x14ac:dyDescent="0.3">
      <c r="A5085" t="s">
        <v>1513</v>
      </c>
      <c r="B5085" t="s">
        <v>1545</v>
      </c>
      <c r="C5085" t="s">
        <v>5</v>
      </c>
      <c r="D5085" s="68">
        <v>19</v>
      </c>
      <c r="E5085" s="68"/>
      <c r="F5085" s="68">
        <v>58</v>
      </c>
      <c r="G5085" s="68">
        <v>77</v>
      </c>
      <c r="H50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86" spans="1:8" hidden="1" x14ac:dyDescent="0.3">
      <c r="A5086" t="s">
        <v>1513</v>
      </c>
      <c r="B5086" t="s">
        <v>1546</v>
      </c>
      <c r="C5086" t="s">
        <v>26</v>
      </c>
      <c r="D5086" s="68">
        <v>986</v>
      </c>
      <c r="E5086" s="68"/>
      <c r="F5086" s="68">
        <v>2573</v>
      </c>
      <c r="G5086" s="68">
        <v>3559</v>
      </c>
      <c r="H50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87" spans="1:8" hidden="1" x14ac:dyDescent="0.3">
      <c r="A5087" t="s">
        <v>1513</v>
      </c>
      <c r="B5087" t="s">
        <v>1546</v>
      </c>
      <c r="C5087" t="s">
        <v>38</v>
      </c>
      <c r="D5087" s="68">
        <v>102</v>
      </c>
      <c r="E5087" s="68"/>
      <c r="F5087" s="68">
        <v>2464</v>
      </c>
      <c r="G5087" s="68">
        <v>2566</v>
      </c>
      <c r="H50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88" spans="1:8" hidden="1" x14ac:dyDescent="0.3">
      <c r="A5088" t="s">
        <v>1513</v>
      </c>
      <c r="B5088" t="s">
        <v>1546</v>
      </c>
      <c r="C5088" t="s">
        <v>1077</v>
      </c>
      <c r="D5088" s="68">
        <v>49</v>
      </c>
      <c r="E5088" s="68"/>
      <c r="F5088" s="68">
        <v>905</v>
      </c>
      <c r="G5088" s="68">
        <v>954</v>
      </c>
      <c r="H50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89" spans="1:8" hidden="1" x14ac:dyDescent="0.3">
      <c r="A5089" t="s">
        <v>1513</v>
      </c>
      <c r="B5089" t="s">
        <v>1546</v>
      </c>
      <c r="C5089" t="s">
        <v>36</v>
      </c>
      <c r="D5089" s="68">
        <v>37</v>
      </c>
      <c r="E5089" s="68"/>
      <c r="F5089" s="68">
        <v>329</v>
      </c>
      <c r="G5089" s="68">
        <v>366</v>
      </c>
      <c r="H50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90" spans="1:8" hidden="1" x14ac:dyDescent="0.3">
      <c r="A5090" t="s">
        <v>1513</v>
      </c>
      <c r="B5090" t="s">
        <v>1546</v>
      </c>
      <c r="C5090" t="s">
        <v>27</v>
      </c>
      <c r="D5090" s="68"/>
      <c r="E5090" s="68">
        <v>143</v>
      </c>
      <c r="F5090" s="68"/>
      <c r="G5090" s="68">
        <v>143</v>
      </c>
      <c r="H50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91" spans="1:8" hidden="1" x14ac:dyDescent="0.3">
      <c r="A5091" t="s">
        <v>1513</v>
      </c>
      <c r="B5091" t="s">
        <v>1547</v>
      </c>
      <c r="C5091" t="s">
        <v>26</v>
      </c>
      <c r="D5091" s="68">
        <v>4590</v>
      </c>
      <c r="E5091" s="68"/>
      <c r="F5091" s="68">
        <v>10497</v>
      </c>
      <c r="G5091" s="68">
        <v>15087</v>
      </c>
      <c r="H50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92" spans="1:8" hidden="1" x14ac:dyDescent="0.3">
      <c r="A5092" t="s">
        <v>1513</v>
      </c>
      <c r="B5092" t="s">
        <v>1547</v>
      </c>
      <c r="C5092" t="s">
        <v>38</v>
      </c>
      <c r="D5092" s="68">
        <v>117</v>
      </c>
      <c r="E5092" s="68"/>
      <c r="F5092" s="68">
        <v>2393</v>
      </c>
      <c r="G5092" s="68">
        <v>2510</v>
      </c>
      <c r="H50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93" spans="1:8" hidden="1" x14ac:dyDescent="0.3">
      <c r="A5093" t="s">
        <v>1513</v>
      </c>
      <c r="B5093" t="s">
        <v>1547</v>
      </c>
      <c r="C5093" t="s">
        <v>36</v>
      </c>
      <c r="D5093" s="68">
        <v>580</v>
      </c>
      <c r="E5093" s="68"/>
      <c r="F5093" s="68">
        <v>1811</v>
      </c>
      <c r="G5093" s="68">
        <v>2391</v>
      </c>
      <c r="H50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94" spans="1:8" hidden="1" x14ac:dyDescent="0.3">
      <c r="A5094" t="s">
        <v>1513</v>
      </c>
      <c r="B5094" t="s">
        <v>1547</v>
      </c>
      <c r="C5094" t="s">
        <v>1077</v>
      </c>
      <c r="D5094" s="68">
        <v>115</v>
      </c>
      <c r="E5094" s="68"/>
      <c r="F5094" s="68">
        <v>1362</v>
      </c>
      <c r="G5094" s="68">
        <v>1477</v>
      </c>
      <c r="H50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95" spans="1:8" hidden="1" x14ac:dyDescent="0.3">
      <c r="A5095" t="s">
        <v>1513</v>
      </c>
      <c r="B5095" t="s">
        <v>1547</v>
      </c>
      <c r="C5095" t="s">
        <v>27</v>
      </c>
      <c r="D5095" s="68"/>
      <c r="E5095" s="68">
        <v>422</v>
      </c>
      <c r="F5095" s="68"/>
      <c r="G5095" s="68">
        <v>422</v>
      </c>
      <c r="H50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96" spans="1:8" hidden="1" x14ac:dyDescent="0.3">
      <c r="A5096" t="s">
        <v>1513</v>
      </c>
      <c r="B5096" t="s">
        <v>1547</v>
      </c>
      <c r="C5096" t="s">
        <v>5</v>
      </c>
      <c r="D5096" s="68">
        <v>68</v>
      </c>
      <c r="E5096" s="68"/>
      <c r="F5096" s="68">
        <v>34</v>
      </c>
      <c r="G5096" s="68">
        <v>102</v>
      </c>
      <c r="H50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97" spans="1:8" hidden="1" x14ac:dyDescent="0.3">
      <c r="A5097" t="s">
        <v>1513</v>
      </c>
      <c r="B5097" t="s">
        <v>1548</v>
      </c>
      <c r="C5097" t="s">
        <v>26</v>
      </c>
      <c r="D5097" s="68">
        <v>840</v>
      </c>
      <c r="E5097" s="68"/>
      <c r="F5097" s="68">
        <v>6980</v>
      </c>
      <c r="G5097" s="68">
        <v>7820</v>
      </c>
      <c r="H50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98" spans="1:8" hidden="1" x14ac:dyDescent="0.3">
      <c r="A5098" t="s">
        <v>1513</v>
      </c>
      <c r="B5098" t="s">
        <v>1548</v>
      </c>
      <c r="C5098" t="s">
        <v>38</v>
      </c>
      <c r="D5098" s="68">
        <v>117</v>
      </c>
      <c r="E5098" s="68"/>
      <c r="F5098" s="68">
        <v>5919</v>
      </c>
      <c r="G5098" s="68">
        <v>6036</v>
      </c>
      <c r="H50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099" spans="1:8" hidden="1" x14ac:dyDescent="0.3">
      <c r="A5099" t="s">
        <v>1513</v>
      </c>
      <c r="B5099" t="s">
        <v>1548</v>
      </c>
      <c r="C5099" t="s">
        <v>36</v>
      </c>
      <c r="D5099" s="68">
        <v>218</v>
      </c>
      <c r="E5099" s="68"/>
      <c r="F5099" s="68">
        <v>5061</v>
      </c>
      <c r="G5099" s="68">
        <v>5279</v>
      </c>
      <c r="H50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00" spans="1:8" hidden="1" x14ac:dyDescent="0.3">
      <c r="A5100" t="s">
        <v>1513</v>
      </c>
      <c r="B5100" t="s">
        <v>1548</v>
      </c>
      <c r="C5100" t="s">
        <v>1077</v>
      </c>
      <c r="D5100" s="68">
        <v>153</v>
      </c>
      <c r="E5100" s="68"/>
      <c r="F5100" s="68">
        <v>3730</v>
      </c>
      <c r="G5100" s="68">
        <v>3883</v>
      </c>
      <c r="H51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01" spans="1:8" hidden="1" x14ac:dyDescent="0.3">
      <c r="A5101" t="s">
        <v>1513</v>
      </c>
      <c r="B5101" t="s">
        <v>1548</v>
      </c>
      <c r="C5101" t="s">
        <v>27</v>
      </c>
      <c r="D5101" s="68"/>
      <c r="E5101" s="68">
        <v>540</v>
      </c>
      <c r="F5101" s="68"/>
      <c r="G5101" s="68">
        <v>540</v>
      </c>
      <c r="H51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02" spans="1:8" hidden="1" x14ac:dyDescent="0.3">
      <c r="A5102" t="s">
        <v>1513</v>
      </c>
      <c r="B5102" t="s">
        <v>1549</v>
      </c>
      <c r="C5102" t="s">
        <v>26</v>
      </c>
      <c r="D5102" s="68">
        <v>421</v>
      </c>
      <c r="E5102" s="68"/>
      <c r="F5102" s="68">
        <v>2531</v>
      </c>
      <c r="G5102" s="68">
        <v>2952</v>
      </c>
      <c r="H51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03" spans="1:8" hidden="1" x14ac:dyDescent="0.3">
      <c r="A5103" t="s">
        <v>1513</v>
      </c>
      <c r="B5103" t="s">
        <v>1549</v>
      </c>
      <c r="C5103" t="s">
        <v>36</v>
      </c>
      <c r="D5103" s="68">
        <v>95</v>
      </c>
      <c r="E5103" s="68"/>
      <c r="F5103" s="68">
        <v>1160</v>
      </c>
      <c r="G5103" s="68">
        <v>1255</v>
      </c>
      <c r="H51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04" spans="1:8" hidden="1" x14ac:dyDescent="0.3">
      <c r="A5104" t="s">
        <v>1513</v>
      </c>
      <c r="B5104" t="s">
        <v>1549</v>
      </c>
      <c r="C5104" t="s">
        <v>27</v>
      </c>
      <c r="D5104" s="68"/>
      <c r="E5104" s="68">
        <v>83</v>
      </c>
      <c r="F5104" s="68"/>
      <c r="G5104" s="68">
        <v>83</v>
      </c>
      <c r="H51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05" spans="1:8" hidden="1" x14ac:dyDescent="0.3">
      <c r="A5105" t="s">
        <v>1513</v>
      </c>
      <c r="B5105" t="s">
        <v>1550</v>
      </c>
      <c r="C5105" t="s">
        <v>26</v>
      </c>
      <c r="D5105" s="68">
        <v>1077</v>
      </c>
      <c r="E5105" s="68"/>
      <c r="F5105" s="68">
        <v>10288</v>
      </c>
      <c r="G5105" s="68">
        <v>11365</v>
      </c>
      <c r="H51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06" spans="1:8" hidden="1" x14ac:dyDescent="0.3">
      <c r="A5106" t="s">
        <v>1513</v>
      </c>
      <c r="B5106" t="s">
        <v>1550</v>
      </c>
      <c r="C5106" t="s">
        <v>38</v>
      </c>
      <c r="D5106" s="68">
        <v>183</v>
      </c>
      <c r="E5106" s="68"/>
      <c r="F5106" s="68">
        <v>7405</v>
      </c>
      <c r="G5106" s="68">
        <v>7588</v>
      </c>
      <c r="H51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07" spans="1:8" hidden="1" x14ac:dyDescent="0.3">
      <c r="A5107" t="s">
        <v>1513</v>
      </c>
      <c r="B5107" t="s">
        <v>1550</v>
      </c>
      <c r="C5107" t="s">
        <v>36</v>
      </c>
      <c r="D5107" s="68">
        <v>401</v>
      </c>
      <c r="E5107" s="68"/>
      <c r="F5107" s="68">
        <v>4489</v>
      </c>
      <c r="G5107" s="68">
        <v>4890</v>
      </c>
      <c r="H51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08" spans="1:8" hidden="1" x14ac:dyDescent="0.3">
      <c r="A5108" t="s">
        <v>1513</v>
      </c>
      <c r="B5108" t="s">
        <v>1550</v>
      </c>
      <c r="C5108" t="s">
        <v>27</v>
      </c>
      <c r="D5108" s="68"/>
      <c r="E5108" s="68">
        <v>364</v>
      </c>
      <c r="F5108" s="68"/>
      <c r="G5108" s="68">
        <v>364</v>
      </c>
      <c r="H51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09" spans="1:8" hidden="1" x14ac:dyDescent="0.3">
      <c r="A5109" t="s">
        <v>1513</v>
      </c>
      <c r="B5109" t="s">
        <v>1551</v>
      </c>
      <c r="C5109" t="s">
        <v>26</v>
      </c>
      <c r="D5109" s="68">
        <v>2059</v>
      </c>
      <c r="E5109" s="68"/>
      <c r="F5109" s="68">
        <v>7273</v>
      </c>
      <c r="G5109" s="68">
        <v>9332</v>
      </c>
      <c r="H51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10" spans="1:8" hidden="1" x14ac:dyDescent="0.3">
      <c r="A5110" t="s">
        <v>1513</v>
      </c>
      <c r="B5110" t="s">
        <v>1551</v>
      </c>
      <c r="C5110" t="s">
        <v>1077</v>
      </c>
      <c r="D5110" s="68">
        <v>55</v>
      </c>
      <c r="E5110" s="68"/>
      <c r="F5110" s="68">
        <v>1206</v>
      </c>
      <c r="G5110" s="68">
        <v>1261</v>
      </c>
      <c r="H51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11" spans="1:8" hidden="1" x14ac:dyDescent="0.3">
      <c r="A5111" t="s">
        <v>1513</v>
      </c>
      <c r="B5111" t="s">
        <v>1551</v>
      </c>
      <c r="C5111" t="s">
        <v>36</v>
      </c>
      <c r="D5111" s="68">
        <v>208</v>
      </c>
      <c r="E5111" s="68"/>
      <c r="F5111" s="68">
        <v>461</v>
      </c>
      <c r="G5111" s="68">
        <v>669</v>
      </c>
      <c r="H51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12" spans="1:8" hidden="1" x14ac:dyDescent="0.3">
      <c r="A5112" t="s">
        <v>1513</v>
      </c>
      <c r="B5112" t="s">
        <v>1551</v>
      </c>
      <c r="C5112" t="s">
        <v>27</v>
      </c>
      <c r="D5112" s="68"/>
      <c r="E5112" s="68">
        <v>238</v>
      </c>
      <c r="F5112" s="68"/>
      <c r="G5112" s="68">
        <v>238</v>
      </c>
      <c r="H51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13" spans="1:8" hidden="1" x14ac:dyDescent="0.3">
      <c r="A5113" t="s">
        <v>1513</v>
      </c>
      <c r="B5113" t="s">
        <v>1552</v>
      </c>
      <c r="C5113" t="s">
        <v>26</v>
      </c>
      <c r="D5113" s="68">
        <v>452</v>
      </c>
      <c r="E5113" s="68"/>
      <c r="F5113" s="68">
        <v>4443</v>
      </c>
      <c r="G5113" s="68">
        <v>4895</v>
      </c>
      <c r="H51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14" spans="1:8" hidden="1" x14ac:dyDescent="0.3">
      <c r="A5114" t="s">
        <v>1513</v>
      </c>
      <c r="B5114" t="s">
        <v>1552</v>
      </c>
      <c r="C5114" t="s">
        <v>38</v>
      </c>
      <c r="D5114" s="68">
        <v>68</v>
      </c>
      <c r="E5114" s="68"/>
      <c r="F5114" s="68">
        <v>3474</v>
      </c>
      <c r="G5114" s="68">
        <v>3542</v>
      </c>
      <c r="H51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15" spans="1:8" hidden="1" x14ac:dyDescent="0.3">
      <c r="A5115" t="s">
        <v>1513</v>
      </c>
      <c r="B5115" t="s">
        <v>1552</v>
      </c>
      <c r="C5115" t="s">
        <v>1077</v>
      </c>
      <c r="D5115" s="68">
        <v>121</v>
      </c>
      <c r="E5115" s="68"/>
      <c r="F5115" s="68">
        <v>2974</v>
      </c>
      <c r="G5115" s="68">
        <v>3095</v>
      </c>
      <c r="H51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16" spans="1:8" hidden="1" x14ac:dyDescent="0.3">
      <c r="A5116" t="s">
        <v>1513</v>
      </c>
      <c r="B5116" t="s">
        <v>1552</v>
      </c>
      <c r="C5116" t="s">
        <v>36</v>
      </c>
      <c r="D5116" s="68">
        <v>63</v>
      </c>
      <c r="E5116" s="68"/>
      <c r="F5116" s="68">
        <v>273</v>
      </c>
      <c r="G5116" s="68">
        <v>336</v>
      </c>
      <c r="H51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17" spans="1:8" hidden="1" x14ac:dyDescent="0.3">
      <c r="A5117" t="s">
        <v>1513</v>
      </c>
      <c r="B5117" t="s">
        <v>1552</v>
      </c>
      <c r="C5117" t="s">
        <v>27</v>
      </c>
      <c r="D5117" s="68"/>
      <c r="E5117" s="68">
        <v>279</v>
      </c>
      <c r="F5117" s="68"/>
      <c r="G5117" s="68">
        <v>279</v>
      </c>
      <c r="H51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18" spans="1:8" hidden="1" x14ac:dyDescent="0.3">
      <c r="A5118" t="s">
        <v>1513</v>
      </c>
      <c r="B5118" t="s">
        <v>647</v>
      </c>
      <c r="C5118" t="s">
        <v>26</v>
      </c>
      <c r="D5118" s="68">
        <v>946</v>
      </c>
      <c r="E5118" s="68"/>
      <c r="F5118" s="68">
        <v>7094</v>
      </c>
      <c r="G5118" s="68">
        <v>8040</v>
      </c>
      <c r="H51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19" spans="1:8" hidden="1" x14ac:dyDescent="0.3">
      <c r="A5119" t="s">
        <v>1513</v>
      </c>
      <c r="B5119" t="s">
        <v>647</v>
      </c>
      <c r="C5119" t="s">
        <v>36</v>
      </c>
      <c r="D5119" s="68">
        <v>90</v>
      </c>
      <c r="E5119" s="68"/>
      <c r="F5119" s="68">
        <v>408</v>
      </c>
      <c r="G5119" s="68">
        <v>498</v>
      </c>
      <c r="H51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20" spans="1:8" hidden="1" x14ac:dyDescent="0.3">
      <c r="A5120" t="s">
        <v>1513</v>
      </c>
      <c r="B5120" t="s">
        <v>647</v>
      </c>
      <c r="C5120" t="s">
        <v>27</v>
      </c>
      <c r="D5120" s="68"/>
      <c r="E5120" s="68">
        <v>145</v>
      </c>
      <c r="F5120" s="68"/>
      <c r="G5120" s="68">
        <v>145</v>
      </c>
      <c r="H51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21" spans="1:8" hidden="1" x14ac:dyDescent="0.3">
      <c r="A5121" t="s">
        <v>1513</v>
      </c>
      <c r="B5121" t="s">
        <v>1553</v>
      </c>
      <c r="C5121" t="s">
        <v>26</v>
      </c>
      <c r="D5121" s="68">
        <v>8808</v>
      </c>
      <c r="E5121" s="68"/>
      <c r="F5121" s="68">
        <v>17210</v>
      </c>
      <c r="G5121" s="68">
        <v>26018</v>
      </c>
      <c r="H51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22" spans="1:8" hidden="1" x14ac:dyDescent="0.3">
      <c r="A5122" t="s">
        <v>1513</v>
      </c>
      <c r="B5122" t="s">
        <v>1553</v>
      </c>
      <c r="C5122" t="s">
        <v>37</v>
      </c>
      <c r="D5122" s="68">
        <v>1414</v>
      </c>
      <c r="E5122" s="68"/>
      <c r="F5122" s="68">
        <v>2575</v>
      </c>
      <c r="G5122" s="68">
        <v>3989</v>
      </c>
      <c r="H51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23" spans="1:8" hidden="1" x14ac:dyDescent="0.3">
      <c r="A5123" t="s">
        <v>1513</v>
      </c>
      <c r="B5123" t="s">
        <v>1553</v>
      </c>
      <c r="C5123" t="s">
        <v>38</v>
      </c>
      <c r="D5123" s="68">
        <v>175</v>
      </c>
      <c r="E5123" s="68"/>
      <c r="F5123" s="68">
        <v>3324</v>
      </c>
      <c r="G5123" s="68">
        <v>3499</v>
      </c>
      <c r="H51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24" spans="1:8" hidden="1" x14ac:dyDescent="0.3">
      <c r="A5124" t="s">
        <v>1513</v>
      </c>
      <c r="B5124" t="s">
        <v>1553</v>
      </c>
      <c r="C5124" t="s">
        <v>36</v>
      </c>
      <c r="D5124" s="68">
        <v>646</v>
      </c>
      <c r="E5124" s="68"/>
      <c r="F5124" s="68">
        <v>713</v>
      </c>
      <c r="G5124" s="68">
        <v>1359</v>
      </c>
      <c r="H51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25" spans="1:8" hidden="1" x14ac:dyDescent="0.3">
      <c r="A5125" t="s">
        <v>1513</v>
      </c>
      <c r="B5125" t="s">
        <v>1553</v>
      </c>
      <c r="C5125" t="s">
        <v>27</v>
      </c>
      <c r="D5125" s="68"/>
      <c r="E5125" s="68">
        <v>745</v>
      </c>
      <c r="F5125" s="68"/>
      <c r="G5125" s="68">
        <v>745</v>
      </c>
      <c r="H51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26" spans="1:8" hidden="1" x14ac:dyDescent="0.3">
      <c r="A5126" t="s">
        <v>1513</v>
      </c>
      <c r="B5126" t="s">
        <v>1553</v>
      </c>
      <c r="C5126" t="s">
        <v>35</v>
      </c>
      <c r="D5126" s="68">
        <v>139</v>
      </c>
      <c r="E5126" s="68"/>
      <c r="F5126" s="68"/>
      <c r="G5126" s="68">
        <v>139</v>
      </c>
      <c r="H51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27" spans="1:8" hidden="1" x14ac:dyDescent="0.3">
      <c r="A5127" t="s">
        <v>1513</v>
      </c>
      <c r="B5127" t="s">
        <v>1553</v>
      </c>
      <c r="C5127" t="s">
        <v>5</v>
      </c>
      <c r="D5127" s="68">
        <v>3</v>
      </c>
      <c r="E5127" s="68"/>
      <c r="F5127" s="68"/>
      <c r="G5127" s="68">
        <v>3</v>
      </c>
      <c r="H51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28" spans="1:8" hidden="1" x14ac:dyDescent="0.3">
      <c r="A5128" t="s">
        <v>1513</v>
      </c>
      <c r="B5128" t="s">
        <v>1553</v>
      </c>
      <c r="C5128" t="s">
        <v>34</v>
      </c>
      <c r="D5128" s="68">
        <v>1</v>
      </c>
      <c r="E5128" s="68"/>
      <c r="F5128" s="68"/>
      <c r="G5128" s="68">
        <v>1</v>
      </c>
      <c r="H51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29" spans="1:8" hidden="1" x14ac:dyDescent="0.3">
      <c r="A5129" t="s">
        <v>1513</v>
      </c>
      <c r="B5129" t="s">
        <v>1554</v>
      </c>
      <c r="C5129" t="s">
        <v>26</v>
      </c>
      <c r="D5129" s="68">
        <v>382</v>
      </c>
      <c r="E5129" s="68"/>
      <c r="F5129" s="68">
        <v>3507</v>
      </c>
      <c r="G5129" s="68">
        <v>3889</v>
      </c>
      <c r="H51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30" spans="1:8" hidden="1" x14ac:dyDescent="0.3">
      <c r="A5130" t="s">
        <v>1513</v>
      </c>
      <c r="B5130" t="s">
        <v>1554</v>
      </c>
      <c r="C5130" t="s">
        <v>36</v>
      </c>
      <c r="D5130" s="68">
        <v>47</v>
      </c>
      <c r="E5130" s="68"/>
      <c r="F5130" s="68">
        <v>500</v>
      </c>
      <c r="G5130" s="68">
        <v>547</v>
      </c>
      <c r="H51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31" spans="1:8" hidden="1" x14ac:dyDescent="0.3">
      <c r="A5131" t="s">
        <v>1513</v>
      </c>
      <c r="B5131" t="s">
        <v>1554</v>
      </c>
      <c r="C5131" t="s">
        <v>27</v>
      </c>
      <c r="D5131" s="68"/>
      <c r="E5131" s="68">
        <v>141</v>
      </c>
      <c r="F5131" s="68"/>
      <c r="G5131" s="68">
        <v>141</v>
      </c>
      <c r="H51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32" spans="1:8" hidden="1" x14ac:dyDescent="0.3">
      <c r="A5132" t="s">
        <v>1513</v>
      </c>
      <c r="B5132" t="s">
        <v>970</v>
      </c>
      <c r="C5132" t="s">
        <v>26</v>
      </c>
      <c r="D5132" s="68">
        <v>375</v>
      </c>
      <c r="E5132" s="68"/>
      <c r="F5132" s="68">
        <v>1558</v>
      </c>
      <c r="G5132" s="68">
        <v>1933</v>
      </c>
      <c r="H51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33" spans="1:8" hidden="1" x14ac:dyDescent="0.3">
      <c r="A5133" t="s">
        <v>1513</v>
      </c>
      <c r="B5133" t="s">
        <v>970</v>
      </c>
      <c r="C5133" t="s">
        <v>36</v>
      </c>
      <c r="D5133" s="68">
        <v>77</v>
      </c>
      <c r="E5133" s="68"/>
      <c r="F5133" s="68">
        <v>522</v>
      </c>
      <c r="G5133" s="68">
        <v>599</v>
      </c>
      <c r="H51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34" spans="1:8" hidden="1" x14ac:dyDescent="0.3">
      <c r="A5134" t="s">
        <v>1513</v>
      </c>
      <c r="B5134" t="s">
        <v>970</v>
      </c>
      <c r="C5134" t="s">
        <v>27</v>
      </c>
      <c r="D5134" s="68"/>
      <c r="E5134" s="68">
        <v>49</v>
      </c>
      <c r="F5134" s="68"/>
      <c r="G5134" s="68">
        <v>49</v>
      </c>
      <c r="H51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35" spans="1:8" hidden="1" x14ac:dyDescent="0.3">
      <c r="A5135" t="s">
        <v>1513</v>
      </c>
      <c r="B5135" t="s">
        <v>1555</v>
      </c>
      <c r="C5135" t="s">
        <v>26</v>
      </c>
      <c r="D5135" s="68">
        <v>246</v>
      </c>
      <c r="E5135" s="68"/>
      <c r="F5135" s="68">
        <v>1729</v>
      </c>
      <c r="G5135" s="68">
        <v>1975</v>
      </c>
      <c r="H51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36" spans="1:8" hidden="1" x14ac:dyDescent="0.3">
      <c r="A5136" t="s">
        <v>1513</v>
      </c>
      <c r="B5136" t="s">
        <v>1555</v>
      </c>
      <c r="C5136" t="s">
        <v>36</v>
      </c>
      <c r="D5136" s="68">
        <v>226</v>
      </c>
      <c r="E5136" s="68"/>
      <c r="F5136" s="68">
        <v>1386</v>
      </c>
      <c r="G5136" s="68">
        <v>1612</v>
      </c>
      <c r="H51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37" spans="1:8" hidden="1" x14ac:dyDescent="0.3">
      <c r="A5137" t="s">
        <v>1513</v>
      </c>
      <c r="B5137" t="s">
        <v>1555</v>
      </c>
      <c r="C5137" t="s">
        <v>27</v>
      </c>
      <c r="D5137" s="68"/>
      <c r="E5137" s="68">
        <v>53</v>
      </c>
      <c r="F5137" s="68"/>
      <c r="G5137" s="68">
        <v>53</v>
      </c>
      <c r="H51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38" spans="1:8" hidden="1" x14ac:dyDescent="0.3">
      <c r="A5138" t="s">
        <v>1513</v>
      </c>
      <c r="B5138" t="s">
        <v>1556</v>
      </c>
      <c r="C5138" t="s">
        <v>26</v>
      </c>
      <c r="D5138" s="68">
        <v>2412</v>
      </c>
      <c r="E5138" s="68"/>
      <c r="F5138" s="68">
        <v>6550</v>
      </c>
      <c r="G5138" s="68">
        <v>8962</v>
      </c>
      <c r="H51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39" spans="1:8" hidden="1" x14ac:dyDescent="0.3">
      <c r="A5139" t="s">
        <v>1513</v>
      </c>
      <c r="B5139" t="s">
        <v>1556</v>
      </c>
      <c r="C5139" t="s">
        <v>36</v>
      </c>
      <c r="D5139" s="68">
        <v>260</v>
      </c>
      <c r="E5139" s="68"/>
      <c r="F5139" s="68">
        <v>1186</v>
      </c>
      <c r="G5139" s="68">
        <v>1446</v>
      </c>
      <c r="H51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40" spans="1:8" hidden="1" x14ac:dyDescent="0.3">
      <c r="A5140" t="s">
        <v>1513</v>
      </c>
      <c r="B5140" t="s">
        <v>1556</v>
      </c>
      <c r="C5140" t="s">
        <v>27</v>
      </c>
      <c r="D5140" s="68"/>
      <c r="E5140" s="68">
        <v>161</v>
      </c>
      <c r="F5140" s="68"/>
      <c r="G5140" s="68">
        <v>161</v>
      </c>
      <c r="H51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41" spans="1:8" hidden="1" x14ac:dyDescent="0.3">
      <c r="A5141" t="s">
        <v>1513</v>
      </c>
      <c r="B5141" t="s">
        <v>1557</v>
      </c>
      <c r="C5141" t="s">
        <v>26</v>
      </c>
      <c r="D5141" s="68">
        <v>391</v>
      </c>
      <c r="E5141" s="68"/>
      <c r="F5141" s="68">
        <v>3298</v>
      </c>
      <c r="G5141" s="68">
        <v>3689</v>
      </c>
      <c r="H51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42" spans="1:8" hidden="1" x14ac:dyDescent="0.3">
      <c r="A5142" t="s">
        <v>1513</v>
      </c>
      <c r="B5142" t="s">
        <v>1557</v>
      </c>
      <c r="C5142" t="s">
        <v>38</v>
      </c>
      <c r="D5142" s="68">
        <v>72</v>
      </c>
      <c r="E5142" s="68"/>
      <c r="F5142" s="68">
        <v>2410</v>
      </c>
      <c r="G5142" s="68">
        <v>2482</v>
      </c>
      <c r="H51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43" spans="1:8" hidden="1" x14ac:dyDescent="0.3">
      <c r="A5143" t="s">
        <v>1513</v>
      </c>
      <c r="B5143" t="s">
        <v>1557</v>
      </c>
      <c r="C5143" t="s">
        <v>36</v>
      </c>
      <c r="D5143" s="68">
        <v>42</v>
      </c>
      <c r="E5143" s="68"/>
      <c r="F5143" s="68">
        <v>413</v>
      </c>
      <c r="G5143" s="68">
        <v>455</v>
      </c>
      <c r="H51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44" spans="1:8" hidden="1" x14ac:dyDescent="0.3">
      <c r="A5144" t="s">
        <v>1513</v>
      </c>
      <c r="B5144" t="s">
        <v>1557</v>
      </c>
      <c r="C5144" t="s">
        <v>27</v>
      </c>
      <c r="D5144" s="68"/>
      <c r="E5144" s="68">
        <v>188</v>
      </c>
      <c r="F5144" s="68"/>
      <c r="G5144" s="68">
        <v>188</v>
      </c>
      <c r="H51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45" spans="1:8" hidden="1" x14ac:dyDescent="0.3">
      <c r="A5145" t="s">
        <v>1513</v>
      </c>
      <c r="B5145" t="s">
        <v>1558</v>
      </c>
      <c r="C5145" t="s">
        <v>26</v>
      </c>
      <c r="D5145" s="68">
        <v>292</v>
      </c>
      <c r="E5145" s="68"/>
      <c r="F5145" s="68">
        <v>2841</v>
      </c>
      <c r="G5145" s="68">
        <v>3133</v>
      </c>
      <c r="H51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46" spans="1:8" hidden="1" x14ac:dyDescent="0.3">
      <c r="A5146" t="s">
        <v>1513</v>
      </c>
      <c r="B5146" t="s">
        <v>1558</v>
      </c>
      <c r="C5146" t="s">
        <v>36</v>
      </c>
      <c r="D5146" s="68">
        <v>132</v>
      </c>
      <c r="E5146" s="68"/>
      <c r="F5146" s="68">
        <v>846</v>
      </c>
      <c r="G5146" s="68">
        <v>978</v>
      </c>
      <c r="H51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47" spans="1:8" hidden="1" x14ac:dyDescent="0.3">
      <c r="A5147" t="s">
        <v>1513</v>
      </c>
      <c r="B5147" t="s">
        <v>1558</v>
      </c>
      <c r="C5147" t="s">
        <v>27</v>
      </c>
      <c r="D5147" s="68"/>
      <c r="E5147" s="68">
        <v>104</v>
      </c>
      <c r="F5147" s="68"/>
      <c r="G5147" s="68">
        <v>104</v>
      </c>
      <c r="H51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48" spans="1:8" x14ac:dyDescent="0.3">
      <c r="A5148" t="s">
        <v>42</v>
      </c>
      <c r="B5148" t="s">
        <v>54</v>
      </c>
      <c r="C5148" t="s">
        <v>26</v>
      </c>
      <c r="D5148" s="68">
        <v>2797</v>
      </c>
      <c r="E5148" s="68"/>
      <c r="F5148" s="68">
        <v>9536</v>
      </c>
      <c r="G5148" s="68">
        <v>12333</v>
      </c>
      <c r="H51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49" spans="1:8" x14ac:dyDescent="0.3">
      <c r="A5149" t="s">
        <v>42</v>
      </c>
      <c r="B5149" t="s">
        <v>54</v>
      </c>
      <c r="C5149" t="s">
        <v>27</v>
      </c>
      <c r="D5149" s="68"/>
      <c r="E5149" s="68">
        <v>121</v>
      </c>
      <c r="F5149" s="68"/>
      <c r="G5149" s="68">
        <v>121</v>
      </c>
      <c r="H51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50" spans="1:8" x14ac:dyDescent="0.3">
      <c r="A5150" t="s">
        <v>42</v>
      </c>
      <c r="B5150" t="s">
        <v>54</v>
      </c>
      <c r="C5150" t="s">
        <v>33</v>
      </c>
      <c r="D5150" s="68">
        <v>7</v>
      </c>
      <c r="E5150" s="68"/>
      <c r="F5150" s="68">
        <v>1</v>
      </c>
      <c r="G5150" s="68">
        <v>8</v>
      </c>
      <c r="H51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51" spans="1:8" x14ac:dyDescent="0.3">
      <c r="A5151" t="s">
        <v>42</v>
      </c>
      <c r="B5151" t="s">
        <v>54</v>
      </c>
      <c r="C5151" t="s">
        <v>5</v>
      </c>
      <c r="D5151" s="68">
        <v>1</v>
      </c>
      <c r="E5151" s="68"/>
      <c r="F5151" s="68"/>
      <c r="G5151" s="68">
        <v>1</v>
      </c>
      <c r="H51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52" spans="1:8" x14ac:dyDescent="0.3">
      <c r="A5152" t="s">
        <v>42</v>
      </c>
      <c r="B5152" t="s">
        <v>55</v>
      </c>
      <c r="C5152" t="s">
        <v>40</v>
      </c>
      <c r="D5152" s="68">
        <v>754</v>
      </c>
      <c r="E5152" s="68"/>
      <c r="F5152" s="68">
        <v>7274</v>
      </c>
      <c r="G5152" s="68">
        <v>8028</v>
      </c>
      <c r="H51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53" spans="1:8" x14ac:dyDescent="0.3">
      <c r="A5153" t="s">
        <v>42</v>
      </c>
      <c r="B5153" t="s">
        <v>55</v>
      </c>
      <c r="C5153" t="s">
        <v>26</v>
      </c>
      <c r="D5153" s="68">
        <v>4476</v>
      </c>
      <c r="E5153" s="68"/>
      <c r="F5153" s="68">
        <v>1113</v>
      </c>
      <c r="G5153" s="68">
        <v>5589</v>
      </c>
      <c r="H51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54" spans="1:8" x14ac:dyDescent="0.3">
      <c r="A5154" t="s">
        <v>42</v>
      </c>
      <c r="B5154" t="s">
        <v>55</v>
      </c>
      <c r="C5154" t="s">
        <v>33</v>
      </c>
      <c r="D5154" s="68">
        <v>2001</v>
      </c>
      <c r="E5154" s="68"/>
      <c r="F5154" s="68">
        <v>523</v>
      </c>
      <c r="G5154" s="68">
        <v>2524</v>
      </c>
      <c r="H51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55" spans="1:8" x14ac:dyDescent="0.3">
      <c r="A5155" t="s">
        <v>42</v>
      </c>
      <c r="B5155" t="s">
        <v>55</v>
      </c>
      <c r="C5155" t="s">
        <v>27</v>
      </c>
      <c r="D5155" s="68"/>
      <c r="E5155" s="68">
        <v>116</v>
      </c>
      <c r="F5155" s="68"/>
      <c r="G5155" s="68">
        <v>116</v>
      </c>
      <c r="H51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56" spans="1:8" x14ac:dyDescent="0.3">
      <c r="A5156" t="s">
        <v>42</v>
      </c>
      <c r="B5156" t="s">
        <v>55</v>
      </c>
      <c r="C5156" t="s">
        <v>5</v>
      </c>
      <c r="D5156" s="68">
        <v>2</v>
      </c>
      <c r="E5156" s="68"/>
      <c r="F5156" s="68"/>
      <c r="G5156" s="68">
        <v>2</v>
      </c>
      <c r="H51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57" spans="1:8" x14ac:dyDescent="0.3">
      <c r="A5157" t="s">
        <v>42</v>
      </c>
      <c r="B5157" t="s">
        <v>55</v>
      </c>
      <c r="C5157" t="s">
        <v>31</v>
      </c>
      <c r="D5157" s="68">
        <v>1</v>
      </c>
      <c r="E5157" s="68"/>
      <c r="F5157" s="68"/>
      <c r="G5157" s="68">
        <v>1</v>
      </c>
      <c r="H51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58" spans="1:8" x14ac:dyDescent="0.3">
      <c r="A5158" t="s">
        <v>42</v>
      </c>
      <c r="B5158" t="s">
        <v>56</v>
      </c>
      <c r="C5158" t="s">
        <v>26</v>
      </c>
      <c r="D5158" s="68">
        <v>2648</v>
      </c>
      <c r="E5158" s="68"/>
      <c r="F5158" s="68">
        <v>11680</v>
      </c>
      <c r="G5158" s="68">
        <v>14328</v>
      </c>
      <c r="H51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59" spans="1:8" x14ac:dyDescent="0.3">
      <c r="A5159" t="s">
        <v>42</v>
      </c>
      <c r="B5159" t="s">
        <v>56</v>
      </c>
      <c r="C5159" t="s">
        <v>33</v>
      </c>
      <c r="D5159" s="68">
        <v>1093</v>
      </c>
      <c r="E5159" s="68"/>
      <c r="F5159" s="68">
        <v>567</v>
      </c>
      <c r="G5159" s="68">
        <v>1660</v>
      </c>
      <c r="H51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60" spans="1:8" x14ac:dyDescent="0.3">
      <c r="A5160" t="s">
        <v>42</v>
      </c>
      <c r="B5160" t="s">
        <v>56</v>
      </c>
      <c r="C5160" t="s">
        <v>27</v>
      </c>
      <c r="D5160" s="68"/>
      <c r="E5160" s="68">
        <v>125</v>
      </c>
      <c r="F5160" s="68"/>
      <c r="G5160" s="68">
        <v>125</v>
      </c>
      <c r="H51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61" spans="1:8" x14ac:dyDescent="0.3">
      <c r="A5161" t="s">
        <v>42</v>
      </c>
      <c r="B5161" t="s">
        <v>56</v>
      </c>
      <c r="C5161" t="s">
        <v>36</v>
      </c>
      <c r="D5161" s="68">
        <v>11</v>
      </c>
      <c r="E5161" s="68"/>
      <c r="F5161" s="68">
        <v>8</v>
      </c>
      <c r="G5161" s="68">
        <v>19</v>
      </c>
      <c r="H51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62" spans="1:8" x14ac:dyDescent="0.3">
      <c r="A5162" t="s">
        <v>42</v>
      </c>
      <c r="B5162" t="s">
        <v>56</v>
      </c>
      <c r="C5162" t="s">
        <v>41</v>
      </c>
      <c r="D5162" s="68"/>
      <c r="E5162" s="68"/>
      <c r="F5162" s="68">
        <v>1</v>
      </c>
      <c r="G5162" s="68">
        <v>1</v>
      </c>
      <c r="H51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63" spans="1:8" x14ac:dyDescent="0.3">
      <c r="A5163" t="s">
        <v>42</v>
      </c>
      <c r="B5163" t="s">
        <v>49</v>
      </c>
      <c r="C5163" t="s">
        <v>31</v>
      </c>
      <c r="D5163" s="68">
        <v>159</v>
      </c>
      <c r="E5163" s="68"/>
      <c r="F5163" s="68">
        <v>2718</v>
      </c>
      <c r="G5163" s="68">
        <v>2877</v>
      </c>
      <c r="H51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64" spans="1:8" x14ac:dyDescent="0.3">
      <c r="A5164" t="s">
        <v>42</v>
      </c>
      <c r="B5164" t="s">
        <v>49</v>
      </c>
      <c r="C5164" t="s">
        <v>26</v>
      </c>
      <c r="D5164" s="68">
        <v>453</v>
      </c>
      <c r="E5164" s="68"/>
      <c r="F5164" s="68">
        <v>1516</v>
      </c>
      <c r="G5164" s="68">
        <v>1969</v>
      </c>
      <c r="H51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65" spans="1:8" x14ac:dyDescent="0.3">
      <c r="A5165" t="s">
        <v>42</v>
      </c>
      <c r="B5165" t="s">
        <v>49</v>
      </c>
      <c r="C5165" t="s">
        <v>27</v>
      </c>
      <c r="D5165" s="68"/>
      <c r="E5165" s="68">
        <v>85</v>
      </c>
      <c r="F5165" s="68"/>
      <c r="G5165" s="68">
        <v>85</v>
      </c>
      <c r="H51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66" spans="1:8" x14ac:dyDescent="0.3">
      <c r="A5166" t="s">
        <v>42</v>
      </c>
      <c r="B5166" t="s">
        <v>49</v>
      </c>
      <c r="C5166" t="s">
        <v>33</v>
      </c>
      <c r="D5166" s="68">
        <v>7</v>
      </c>
      <c r="E5166" s="68"/>
      <c r="F5166" s="68"/>
      <c r="G5166" s="68">
        <v>7</v>
      </c>
      <c r="H51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67" spans="1:8" x14ac:dyDescent="0.3">
      <c r="A5167" t="s">
        <v>42</v>
      </c>
      <c r="B5167" t="s">
        <v>49</v>
      </c>
      <c r="C5167" t="s">
        <v>41</v>
      </c>
      <c r="D5167" s="68"/>
      <c r="E5167" s="68"/>
      <c r="F5167" s="68">
        <v>1</v>
      </c>
      <c r="G5167" s="68">
        <v>1</v>
      </c>
      <c r="H51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68" spans="1:8" x14ac:dyDescent="0.3">
      <c r="A5168" t="s">
        <v>42</v>
      </c>
      <c r="B5168" t="s">
        <v>39</v>
      </c>
      <c r="C5168" t="s">
        <v>26</v>
      </c>
      <c r="D5168" s="68">
        <v>1749</v>
      </c>
      <c r="E5168" s="68"/>
      <c r="F5168" s="68">
        <v>9112</v>
      </c>
      <c r="G5168" s="68">
        <v>10861</v>
      </c>
      <c r="H51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69" spans="1:8" x14ac:dyDescent="0.3">
      <c r="A5169" t="s">
        <v>42</v>
      </c>
      <c r="B5169" t="s">
        <v>39</v>
      </c>
      <c r="C5169" t="s">
        <v>33</v>
      </c>
      <c r="D5169" s="68">
        <v>442</v>
      </c>
      <c r="E5169" s="68"/>
      <c r="F5169" s="68">
        <v>207</v>
      </c>
      <c r="G5169" s="68">
        <v>649</v>
      </c>
      <c r="H51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70" spans="1:8" x14ac:dyDescent="0.3">
      <c r="A5170" t="s">
        <v>42</v>
      </c>
      <c r="B5170" t="s">
        <v>39</v>
      </c>
      <c r="C5170" t="s">
        <v>27</v>
      </c>
      <c r="D5170" s="68"/>
      <c r="E5170" s="68">
        <v>185</v>
      </c>
      <c r="F5170" s="68"/>
      <c r="G5170" s="68">
        <v>185</v>
      </c>
      <c r="H51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71" spans="1:8" x14ac:dyDescent="0.3">
      <c r="A5171" t="s">
        <v>42</v>
      </c>
      <c r="B5171" t="s">
        <v>39</v>
      </c>
      <c r="C5171" t="s">
        <v>31</v>
      </c>
      <c r="D5171" s="68">
        <v>1</v>
      </c>
      <c r="E5171" s="68"/>
      <c r="F5171" s="68"/>
      <c r="G5171" s="68">
        <v>1</v>
      </c>
      <c r="H51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72" spans="1:8" x14ac:dyDescent="0.3">
      <c r="A5172" t="s">
        <v>42</v>
      </c>
      <c r="B5172" t="s">
        <v>57</v>
      </c>
      <c r="C5172" t="s">
        <v>40</v>
      </c>
      <c r="D5172" s="68">
        <v>3712</v>
      </c>
      <c r="E5172" s="68"/>
      <c r="F5172" s="68">
        <v>70378</v>
      </c>
      <c r="G5172" s="68">
        <v>74090</v>
      </c>
      <c r="H51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73" spans="1:8" x14ac:dyDescent="0.3">
      <c r="A5173" t="s">
        <v>42</v>
      </c>
      <c r="B5173" t="s">
        <v>57</v>
      </c>
      <c r="C5173" t="s">
        <v>31</v>
      </c>
      <c r="D5173" s="68">
        <v>7537</v>
      </c>
      <c r="E5173" s="68"/>
      <c r="F5173" s="68">
        <v>54502</v>
      </c>
      <c r="G5173" s="68">
        <v>62039</v>
      </c>
      <c r="H51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74" spans="1:8" x14ac:dyDescent="0.3">
      <c r="A5174" t="s">
        <v>42</v>
      </c>
      <c r="B5174" t="s">
        <v>57</v>
      </c>
      <c r="C5174" t="s">
        <v>38</v>
      </c>
      <c r="D5174" s="68">
        <v>1959</v>
      </c>
      <c r="E5174" s="68"/>
      <c r="F5174" s="68">
        <v>45296</v>
      </c>
      <c r="G5174" s="68">
        <v>47255</v>
      </c>
      <c r="H51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75" spans="1:8" x14ac:dyDescent="0.3">
      <c r="A5175" t="s">
        <v>42</v>
      </c>
      <c r="B5175" t="s">
        <v>57</v>
      </c>
      <c r="C5175" t="s">
        <v>33</v>
      </c>
      <c r="D5175" s="68">
        <v>20182</v>
      </c>
      <c r="E5175" s="68"/>
      <c r="F5175" s="68">
        <v>12180</v>
      </c>
      <c r="G5175" s="68">
        <v>32362</v>
      </c>
      <c r="H51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76" spans="1:8" x14ac:dyDescent="0.3">
      <c r="A5176" t="s">
        <v>42</v>
      </c>
      <c r="B5176" t="s">
        <v>57</v>
      </c>
      <c r="C5176" t="s">
        <v>26</v>
      </c>
      <c r="D5176" s="68">
        <v>18342</v>
      </c>
      <c r="E5176" s="68"/>
      <c r="F5176" s="68">
        <v>12939</v>
      </c>
      <c r="G5176" s="68">
        <v>31281</v>
      </c>
      <c r="H51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77" spans="1:8" x14ac:dyDescent="0.3">
      <c r="A5177" t="s">
        <v>42</v>
      </c>
      <c r="B5177" t="s">
        <v>57</v>
      </c>
      <c r="C5177" t="s">
        <v>41</v>
      </c>
      <c r="D5177" s="68">
        <v>20041</v>
      </c>
      <c r="E5177" s="68"/>
      <c r="F5177" s="68">
        <v>10320</v>
      </c>
      <c r="G5177" s="68">
        <v>30361</v>
      </c>
      <c r="H51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78" spans="1:8" x14ac:dyDescent="0.3">
      <c r="A5178" t="s">
        <v>42</v>
      </c>
      <c r="B5178" t="s">
        <v>57</v>
      </c>
      <c r="C5178" t="s">
        <v>27</v>
      </c>
      <c r="D5178" s="68"/>
      <c r="E5178" s="68">
        <v>6043</v>
      </c>
      <c r="F5178" s="68"/>
      <c r="G5178" s="68">
        <v>6043</v>
      </c>
      <c r="H51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79" spans="1:8" x14ac:dyDescent="0.3">
      <c r="A5179" t="s">
        <v>42</v>
      </c>
      <c r="B5179" t="s">
        <v>57</v>
      </c>
      <c r="C5179" t="s">
        <v>25</v>
      </c>
      <c r="D5179" s="68">
        <v>308</v>
      </c>
      <c r="E5179" s="68"/>
      <c r="F5179" s="68">
        <v>2558</v>
      </c>
      <c r="G5179" s="68">
        <v>2866</v>
      </c>
      <c r="H51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80" spans="1:8" x14ac:dyDescent="0.3">
      <c r="A5180" t="s">
        <v>42</v>
      </c>
      <c r="B5180" t="s">
        <v>57</v>
      </c>
      <c r="C5180" t="s">
        <v>35</v>
      </c>
      <c r="D5180" s="68">
        <v>1979</v>
      </c>
      <c r="E5180" s="68"/>
      <c r="F5180" s="68"/>
      <c r="G5180" s="68">
        <v>1979</v>
      </c>
      <c r="H51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81" spans="1:8" x14ac:dyDescent="0.3">
      <c r="A5181" t="s">
        <v>42</v>
      </c>
      <c r="B5181" t="s">
        <v>57</v>
      </c>
      <c r="C5181" t="s">
        <v>36</v>
      </c>
      <c r="D5181" s="68">
        <v>333</v>
      </c>
      <c r="E5181" s="68"/>
      <c r="F5181" s="68">
        <v>100</v>
      </c>
      <c r="G5181" s="68">
        <v>433</v>
      </c>
      <c r="H51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82" spans="1:8" x14ac:dyDescent="0.3">
      <c r="A5182" t="s">
        <v>42</v>
      </c>
      <c r="B5182" t="s">
        <v>57</v>
      </c>
      <c r="C5182" t="s">
        <v>5</v>
      </c>
      <c r="D5182" s="68">
        <v>5</v>
      </c>
      <c r="E5182" s="68"/>
      <c r="F5182" s="68">
        <v>8</v>
      </c>
      <c r="G5182" s="68">
        <v>13</v>
      </c>
      <c r="H51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83" spans="1:8" x14ac:dyDescent="0.3">
      <c r="A5183" t="s">
        <v>42</v>
      </c>
      <c r="B5183" t="s">
        <v>57</v>
      </c>
      <c r="C5183" t="s">
        <v>30</v>
      </c>
      <c r="D5183" s="68"/>
      <c r="E5183" s="68"/>
      <c r="F5183" s="68">
        <v>1</v>
      </c>
      <c r="G5183" s="68">
        <v>1</v>
      </c>
      <c r="H51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84" spans="1:8" x14ac:dyDescent="0.3">
      <c r="A5184" t="s">
        <v>42</v>
      </c>
      <c r="B5184" t="s">
        <v>58</v>
      </c>
      <c r="C5184" t="s">
        <v>26</v>
      </c>
      <c r="D5184" s="68">
        <v>7005</v>
      </c>
      <c r="E5184" s="68"/>
      <c r="F5184" s="68">
        <v>7762</v>
      </c>
      <c r="G5184" s="68">
        <v>14767</v>
      </c>
      <c r="H51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85" spans="1:8" x14ac:dyDescent="0.3">
      <c r="A5185" t="s">
        <v>42</v>
      </c>
      <c r="B5185" t="s">
        <v>58</v>
      </c>
      <c r="C5185" t="s">
        <v>40</v>
      </c>
      <c r="D5185" s="68">
        <v>326</v>
      </c>
      <c r="E5185" s="68"/>
      <c r="F5185" s="68">
        <v>3372</v>
      </c>
      <c r="G5185" s="68">
        <v>3698</v>
      </c>
      <c r="H51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86" spans="1:8" x14ac:dyDescent="0.3">
      <c r="A5186" t="s">
        <v>42</v>
      </c>
      <c r="B5186" t="s">
        <v>58</v>
      </c>
      <c r="C5186" t="s">
        <v>33</v>
      </c>
      <c r="D5186" s="68">
        <v>1758</v>
      </c>
      <c r="E5186" s="68"/>
      <c r="F5186" s="68">
        <v>481</v>
      </c>
      <c r="G5186" s="68">
        <v>2239</v>
      </c>
      <c r="H51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87" spans="1:8" x14ac:dyDescent="0.3">
      <c r="A5187" t="s">
        <v>42</v>
      </c>
      <c r="B5187" t="s">
        <v>58</v>
      </c>
      <c r="C5187" t="s">
        <v>27</v>
      </c>
      <c r="D5187" s="68"/>
      <c r="E5187" s="68">
        <v>161</v>
      </c>
      <c r="F5187" s="68"/>
      <c r="G5187" s="68">
        <v>161</v>
      </c>
      <c r="H51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88" spans="1:8" x14ac:dyDescent="0.3">
      <c r="A5188" t="s">
        <v>42</v>
      </c>
      <c r="B5188" t="s">
        <v>58</v>
      </c>
      <c r="C5188" t="s">
        <v>36</v>
      </c>
      <c r="D5188" s="68">
        <v>20</v>
      </c>
      <c r="E5188" s="68"/>
      <c r="F5188" s="68">
        <v>4</v>
      </c>
      <c r="G5188" s="68">
        <v>24</v>
      </c>
      <c r="H51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89" spans="1:8" x14ac:dyDescent="0.3">
      <c r="A5189" t="s">
        <v>42</v>
      </c>
      <c r="B5189" t="s">
        <v>58</v>
      </c>
      <c r="C5189" t="s">
        <v>5</v>
      </c>
      <c r="D5189" s="68">
        <v>3</v>
      </c>
      <c r="E5189" s="68"/>
      <c r="F5189" s="68"/>
      <c r="G5189" s="68">
        <v>3</v>
      </c>
      <c r="H51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90" spans="1:8" x14ac:dyDescent="0.3">
      <c r="A5190" t="s">
        <v>42</v>
      </c>
      <c r="B5190" t="s">
        <v>59</v>
      </c>
      <c r="C5190" t="s">
        <v>26</v>
      </c>
      <c r="D5190" s="68">
        <v>4086</v>
      </c>
      <c r="E5190" s="68"/>
      <c r="F5190" s="68">
        <v>11482</v>
      </c>
      <c r="G5190" s="68">
        <v>15568</v>
      </c>
      <c r="H51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91" spans="1:8" x14ac:dyDescent="0.3">
      <c r="A5191" t="s">
        <v>42</v>
      </c>
      <c r="B5191" t="s">
        <v>59</v>
      </c>
      <c r="C5191" t="s">
        <v>40</v>
      </c>
      <c r="D5191" s="68">
        <v>400</v>
      </c>
      <c r="E5191" s="68"/>
      <c r="F5191" s="68">
        <v>6217</v>
      </c>
      <c r="G5191" s="68">
        <v>6617</v>
      </c>
      <c r="H51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92" spans="1:8" x14ac:dyDescent="0.3">
      <c r="A5192" t="s">
        <v>42</v>
      </c>
      <c r="B5192" t="s">
        <v>59</v>
      </c>
      <c r="C5192" t="s">
        <v>34</v>
      </c>
      <c r="D5192" s="68">
        <v>785</v>
      </c>
      <c r="E5192" s="68"/>
      <c r="F5192" s="68">
        <v>417</v>
      </c>
      <c r="G5192" s="68">
        <v>1202</v>
      </c>
      <c r="H51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93" spans="1:8" x14ac:dyDescent="0.3">
      <c r="A5193" t="s">
        <v>42</v>
      </c>
      <c r="B5193" t="s">
        <v>59</v>
      </c>
      <c r="C5193" t="s">
        <v>27</v>
      </c>
      <c r="D5193" s="68"/>
      <c r="E5193" s="68">
        <v>544</v>
      </c>
      <c r="F5193" s="68"/>
      <c r="G5193" s="68">
        <v>544</v>
      </c>
      <c r="H51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94" spans="1:8" x14ac:dyDescent="0.3">
      <c r="A5194" t="s">
        <v>42</v>
      </c>
      <c r="B5194" t="s">
        <v>59</v>
      </c>
      <c r="C5194" t="s">
        <v>33</v>
      </c>
      <c r="D5194" s="68">
        <v>382</v>
      </c>
      <c r="E5194" s="68"/>
      <c r="F5194" s="68">
        <v>155</v>
      </c>
      <c r="G5194" s="68">
        <v>537</v>
      </c>
      <c r="H51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95" spans="1:8" x14ac:dyDescent="0.3">
      <c r="A5195" t="s">
        <v>42</v>
      </c>
      <c r="B5195" t="s">
        <v>59</v>
      </c>
      <c r="C5195" t="s">
        <v>36</v>
      </c>
      <c r="D5195" s="68">
        <v>25</v>
      </c>
      <c r="E5195" s="68"/>
      <c r="F5195" s="68">
        <v>10</v>
      </c>
      <c r="G5195" s="68">
        <v>35</v>
      </c>
      <c r="H51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196" spans="1:8" x14ac:dyDescent="0.3">
      <c r="A5196" t="s">
        <v>42</v>
      </c>
      <c r="B5196" t="s">
        <v>59</v>
      </c>
      <c r="C5196" t="s">
        <v>5</v>
      </c>
      <c r="D5196" s="68">
        <v>2</v>
      </c>
      <c r="E5196" s="68"/>
      <c r="F5196" s="68"/>
      <c r="G5196" s="68">
        <v>2</v>
      </c>
      <c r="H51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97" spans="1:8" x14ac:dyDescent="0.3">
      <c r="A5197" t="s">
        <v>42</v>
      </c>
      <c r="B5197" t="s">
        <v>60</v>
      </c>
      <c r="C5197" t="s">
        <v>26</v>
      </c>
      <c r="D5197" s="68">
        <v>2656</v>
      </c>
      <c r="E5197" s="68"/>
      <c r="F5197" s="68">
        <v>7588</v>
      </c>
      <c r="G5197" s="68">
        <v>10244</v>
      </c>
      <c r="H51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98" spans="1:8" x14ac:dyDescent="0.3">
      <c r="A5198" t="s">
        <v>42</v>
      </c>
      <c r="B5198" t="s">
        <v>60</v>
      </c>
      <c r="C5198" t="s">
        <v>38</v>
      </c>
      <c r="D5198" s="68">
        <v>276</v>
      </c>
      <c r="E5198" s="68"/>
      <c r="F5198" s="68">
        <v>3853</v>
      </c>
      <c r="G5198" s="68">
        <v>4129</v>
      </c>
      <c r="H51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99" spans="1:8" x14ac:dyDescent="0.3">
      <c r="A5199" t="s">
        <v>42</v>
      </c>
      <c r="B5199" t="s">
        <v>60</v>
      </c>
      <c r="C5199" t="s">
        <v>33</v>
      </c>
      <c r="D5199" s="68">
        <v>1766</v>
      </c>
      <c r="E5199" s="68"/>
      <c r="F5199" s="68">
        <v>793</v>
      </c>
      <c r="G5199" s="68">
        <v>2559</v>
      </c>
      <c r="H51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00" spans="1:8" x14ac:dyDescent="0.3">
      <c r="A5200" t="s">
        <v>42</v>
      </c>
      <c r="B5200" t="s">
        <v>60</v>
      </c>
      <c r="C5200" t="s">
        <v>27</v>
      </c>
      <c r="D5200" s="68"/>
      <c r="E5200" s="68">
        <v>256</v>
      </c>
      <c r="F5200" s="68"/>
      <c r="G5200" s="68">
        <v>256</v>
      </c>
      <c r="H52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01" spans="1:8" x14ac:dyDescent="0.3">
      <c r="A5201" t="s">
        <v>42</v>
      </c>
      <c r="B5201" t="s">
        <v>60</v>
      </c>
      <c r="C5201" t="s">
        <v>36</v>
      </c>
      <c r="D5201" s="68">
        <v>18</v>
      </c>
      <c r="E5201" s="68"/>
      <c r="F5201" s="68">
        <v>4</v>
      </c>
      <c r="G5201" s="68">
        <v>22</v>
      </c>
      <c r="H52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02" spans="1:8" x14ac:dyDescent="0.3">
      <c r="A5202" t="s">
        <v>42</v>
      </c>
      <c r="B5202" t="s">
        <v>60</v>
      </c>
      <c r="C5202" t="s">
        <v>5</v>
      </c>
      <c r="D5202" s="68"/>
      <c r="E5202" s="68"/>
      <c r="F5202" s="68">
        <v>1</v>
      </c>
      <c r="G5202" s="68">
        <v>1</v>
      </c>
      <c r="H52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03" spans="1:8" x14ac:dyDescent="0.3">
      <c r="A5203" t="s">
        <v>42</v>
      </c>
      <c r="B5203" t="s">
        <v>51</v>
      </c>
      <c r="C5203" t="s">
        <v>26</v>
      </c>
      <c r="D5203" s="68">
        <v>19326</v>
      </c>
      <c r="E5203" s="68"/>
      <c r="F5203" s="68">
        <v>6256</v>
      </c>
      <c r="G5203" s="68">
        <v>25582</v>
      </c>
      <c r="H52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04" spans="1:8" x14ac:dyDescent="0.3">
      <c r="A5204" t="s">
        <v>42</v>
      </c>
      <c r="B5204" t="s">
        <v>51</v>
      </c>
      <c r="C5204" t="s">
        <v>40</v>
      </c>
      <c r="D5204" s="68">
        <v>2266</v>
      </c>
      <c r="E5204" s="68"/>
      <c r="F5204" s="68">
        <v>20894</v>
      </c>
      <c r="G5204" s="68">
        <v>23160</v>
      </c>
      <c r="H52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05" spans="1:8" x14ac:dyDescent="0.3">
      <c r="A5205" t="s">
        <v>42</v>
      </c>
      <c r="B5205" t="s">
        <v>51</v>
      </c>
      <c r="C5205" t="s">
        <v>33</v>
      </c>
      <c r="D5205" s="68">
        <v>15972</v>
      </c>
      <c r="E5205" s="68"/>
      <c r="F5205" s="68">
        <v>4421</v>
      </c>
      <c r="G5205" s="68">
        <v>20393</v>
      </c>
      <c r="H52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06" spans="1:8" x14ac:dyDescent="0.3">
      <c r="A5206" t="s">
        <v>42</v>
      </c>
      <c r="B5206" t="s">
        <v>51</v>
      </c>
      <c r="C5206" t="s">
        <v>38</v>
      </c>
      <c r="D5206" s="68">
        <v>379</v>
      </c>
      <c r="E5206" s="68"/>
      <c r="F5206" s="68">
        <v>4402</v>
      </c>
      <c r="G5206" s="68">
        <v>4781</v>
      </c>
      <c r="H52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07" spans="1:8" x14ac:dyDescent="0.3">
      <c r="A5207" t="s">
        <v>42</v>
      </c>
      <c r="B5207" t="s">
        <v>51</v>
      </c>
      <c r="C5207" t="s">
        <v>36</v>
      </c>
      <c r="D5207" s="68">
        <v>2019</v>
      </c>
      <c r="E5207" s="68"/>
      <c r="F5207" s="68">
        <v>875</v>
      </c>
      <c r="G5207" s="68">
        <v>2894</v>
      </c>
      <c r="H52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08" spans="1:8" x14ac:dyDescent="0.3">
      <c r="A5208" t="s">
        <v>42</v>
      </c>
      <c r="B5208" t="s">
        <v>51</v>
      </c>
      <c r="C5208" t="s">
        <v>27</v>
      </c>
      <c r="D5208" s="68"/>
      <c r="E5208" s="68">
        <v>552</v>
      </c>
      <c r="F5208" s="68"/>
      <c r="G5208" s="68">
        <v>552</v>
      </c>
      <c r="H52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09" spans="1:8" x14ac:dyDescent="0.3">
      <c r="A5209" t="s">
        <v>42</v>
      </c>
      <c r="B5209" t="s">
        <v>51</v>
      </c>
      <c r="C5209" t="s">
        <v>5</v>
      </c>
      <c r="D5209" s="68">
        <v>7</v>
      </c>
      <c r="E5209" s="68"/>
      <c r="F5209" s="68">
        <v>4</v>
      </c>
      <c r="G5209" s="68">
        <v>11</v>
      </c>
      <c r="H52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10" spans="1:8" x14ac:dyDescent="0.3">
      <c r="A5210" t="s">
        <v>42</v>
      </c>
      <c r="B5210" t="s">
        <v>51</v>
      </c>
      <c r="C5210" t="s">
        <v>41</v>
      </c>
      <c r="D5210" s="68"/>
      <c r="E5210" s="68"/>
      <c r="F5210" s="68">
        <v>1</v>
      </c>
      <c r="G5210" s="68">
        <v>1</v>
      </c>
      <c r="H52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11" spans="1:8" x14ac:dyDescent="0.3">
      <c r="A5211" t="s">
        <v>42</v>
      </c>
      <c r="B5211" t="s">
        <v>51</v>
      </c>
      <c r="C5211" t="s">
        <v>34</v>
      </c>
      <c r="D5211" s="68">
        <v>1</v>
      </c>
      <c r="E5211" s="68"/>
      <c r="F5211" s="68"/>
      <c r="G5211" s="68">
        <v>1</v>
      </c>
      <c r="H52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12" spans="1:8" x14ac:dyDescent="0.3">
      <c r="A5212" t="s">
        <v>42</v>
      </c>
      <c r="B5212" t="s">
        <v>61</v>
      </c>
      <c r="C5212" t="s">
        <v>26</v>
      </c>
      <c r="D5212" s="68">
        <v>24169</v>
      </c>
      <c r="E5212" s="68"/>
      <c r="F5212" s="68">
        <v>17509</v>
      </c>
      <c r="G5212" s="68">
        <v>41678</v>
      </c>
      <c r="H52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13" spans="1:8" x14ac:dyDescent="0.3">
      <c r="A5213" t="s">
        <v>42</v>
      </c>
      <c r="B5213" t="s">
        <v>61</v>
      </c>
      <c r="C5213" t="s">
        <v>31</v>
      </c>
      <c r="D5213" s="68">
        <v>4796</v>
      </c>
      <c r="E5213" s="68"/>
      <c r="F5213" s="68">
        <v>35067</v>
      </c>
      <c r="G5213" s="68">
        <v>39863</v>
      </c>
      <c r="H52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14" spans="1:8" x14ac:dyDescent="0.3">
      <c r="A5214" t="s">
        <v>42</v>
      </c>
      <c r="B5214" t="s">
        <v>61</v>
      </c>
      <c r="C5214" t="s">
        <v>33</v>
      </c>
      <c r="D5214" s="68">
        <v>24846</v>
      </c>
      <c r="E5214" s="68"/>
      <c r="F5214" s="68">
        <v>9279</v>
      </c>
      <c r="G5214" s="68">
        <v>34125</v>
      </c>
      <c r="H52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15" spans="1:8" x14ac:dyDescent="0.3">
      <c r="A5215" t="s">
        <v>42</v>
      </c>
      <c r="B5215" t="s">
        <v>61</v>
      </c>
      <c r="C5215" t="s">
        <v>5</v>
      </c>
      <c r="D5215" s="68">
        <v>17009</v>
      </c>
      <c r="E5215" s="68"/>
      <c r="F5215" s="68">
        <v>5643</v>
      </c>
      <c r="G5215" s="68">
        <v>22652</v>
      </c>
      <c r="H52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16" spans="1:8" x14ac:dyDescent="0.3">
      <c r="A5216" t="s">
        <v>42</v>
      </c>
      <c r="B5216" t="s">
        <v>61</v>
      </c>
      <c r="C5216" t="s">
        <v>27</v>
      </c>
      <c r="D5216" s="68"/>
      <c r="E5216" s="68">
        <v>2820</v>
      </c>
      <c r="F5216" s="68"/>
      <c r="G5216" s="68">
        <v>2820</v>
      </c>
      <c r="H52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17" spans="1:8" x14ac:dyDescent="0.3">
      <c r="A5217" t="s">
        <v>42</v>
      </c>
      <c r="B5217" t="s">
        <v>61</v>
      </c>
      <c r="C5217" t="s">
        <v>36</v>
      </c>
      <c r="D5217" s="68">
        <v>1251</v>
      </c>
      <c r="E5217" s="68"/>
      <c r="F5217" s="68">
        <v>282</v>
      </c>
      <c r="G5217" s="68">
        <v>1533</v>
      </c>
      <c r="H52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18" spans="1:8" x14ac:dyDescent="0.3">
      <c r="A5218" t="s">
        <v>42</v>
      </c>
      <c r="B5218" t="s">
        <v>61</v>
      </c>
      <c r="C5218" t="s">
        <v>37</v>
      </c>
      <c r="D5218" s="68">
        <v>202</v>
      </c>
      <c r="E5218" s="68"/>
      <c r="F5218" s="68">
        <v>834</v>
      </c>
      <c r="G5218" s="68">
        <v>1036</v>
      </c>
      <c r="H52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19" spans="1:8" x14ac:dyDescent="0.3">
      <c r="A5219" t="s">
        <v>42</v>
      </c>
      <c r="B5219" t="s">
        <v>61</v>
      </c>
      <c r="C5219" t="s">
        <v>35</v>
      </c>
      <c r="D5219" s="68">
        <v>81</v>
      </c>
      <c r="E5219" s="68"/>
      <c r="F5219" s="68"/>
      <c r="G5219" s="68">
        <v>81</v>
      </c>
      <c r="H52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20" spans="1:8" x14ac:dyDescent="0.3">
      <c r="A5220" t="s">
        <v>42</v>
      </c>
      <c r="B5220" t="s">
        <v>61</v>
      </c>
      <c r="C5220" t="s">
        <v>41</v>
      </c>
      <c r="D5220" s="68"/>
      <c r="E5220" s="68"/>
      <c r="F5220" s="68">
        <v>3</v>
      </c>
      <c r="G5220" s="68">
        <v>3</v>
      </c>
      <c r="H52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21" spans="1:8" x14ac:dyDescent="0.3">
      <c r="A5221" t="s">
        <v>42</v>
      </c>
      <c r="B5221" t="s">
        <v>61</v>
      </c>
      <c r="C5221" t="s">
        <v>34</v>
      </c>
      <c r="D5221" s="68">
        <v>2</v>
      </c>
      <c r="E5221" s="68"/>
      <c r="F5221" s="68"/>
      <c r="G5221" s="68">
        <v>2</v>
      </c>
      <c r="H52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22" spans="1:8" x14ac:dyDescent="0.3">
      <c r="A5222" t="s">
        <v>42</v>
      </c>
      <c r="B5222" t="s">
        <v>62</v>
      </c>
      <c r="C5222" t="s">
        <v>31</v>
      </c>
      <c r="D5222" s="68">
        <v>1475</v>
      </c>
      <c r="E5222" s="68"/>
      <c r="F5222" s="68">
        <v>18642</v>
      </c>
      <c r="G5222" s="68">
        <v>20117</v>
      </c>
      <c r="H52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23" spans="1:8" x14ac:dyDescent="0.3">
      <c r="A5223" t="s">
        <v>42</v>
      </c>
      <c r="B5223" t="s">
        <v>62</v>
      </c>
      <c r="C5223" t="s">
        <v>26</v>
      </c>
      <c r="D5223" s="68">
        <v>5122</v>
      </c>
      <c r="E5223" s="68"/>
      <c r="F5223" s="68">
        <v>8184</v>
      </c>
      <c r="G5223" s="68">
        <v>13306</v>
      </c>
      <c r="H52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24" spans="1:8" x14ac:dyDescent="0.3">
      <c r="A5224" t="s">
        <v>42</v>
      </c>
      <c r="B5224" t="s">
        <v>62</v>
      </c>
      <c r="C5224" t="s">
        <v>33</v>
      </c>
      <c r="D5224" s="68">
        <v>2801</v>
      </c>
      <c r="E5224" s="68"/>
      <c r="F5224" s="68">
        <v>1310</v>
      </c>
      <c r="G5224" s="68">
        <v>4111</v>
      </c>
      <c r="H52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25" spans="1:8" x14ac:dyDescent="0.3">
      <c r="A5225" t="s">
        <v>42</v>
      </c>
      <c r="B5225" t="s">
        <v>62</v>
      </c>
      <c r="C5225" t="s">
        <v>27</v>
      </c>
      <c r="D5225" s="68"/>
      <c r="E5225" s="68">
        <v>463</v>
      </c>
      <c r="F5225" s="68"/>
      <c r="G5225" s="68">
        <v>463</v>
      </c>
      <c r="H52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26" spans="1:8" x14ac:dyDescent="0.3">
      <c r="A5226" t="s">
        <v>42</v>
      </c>
      <c r="B5226" t="s">
        <v>62</v>
      </c>
      <c r="C5226" t="s">
        <v>35</v>
      </c>
      <c r="D5226" s="68">
        <v>166</v>
      </c>
      <c r="E5226" s="68"/>
      <c r="F5226" s="68"/>
      <c r="G5226" s="68">
        <v>166</v>
      </c>
      <c r="H52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27" spans="1:8" x14ac:dyDescent="0.3">
      <c r="A5227" t="s">
        <v>42</v>
      </c>
      <c r="B5227" t="s">
        <v>62</v>
      </c>
      <c r="C5227" t="s">
        <v>36</v>
      </c>
      <c r="D5227" s="68">
        <v>20</v>
      </c>
      <c r="E5227" s="68"/>
      <c r="F5227" s="68">
        <v>17</v>
      </c>
      <c r="G5227" s="68">
        <v>37</v>
      </c>
      <c r="H52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28" spans="1:8" x14ac:dyDescent="0.3">
      <c r="A5228" t="s">
        <v>42</v>
      </c>
      <c r="B5228" t="s">
        <v>62</v>
      </c>
      <c r="C5228" t="s">
        <v>5</v>
      </c>
      <c r="D5228" s="68">
        <v>2</v>
      </c>
      <c r="E5228" s="68"/>
      <c r="F5228" s="68"/>
      <c r="G5228" s="68">
        <v>2</v>
      </c>
      <c r="H52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29" spans="1:8" x14ac:dyDescent="0.3">
      <c r="A5229" t="s">
        <v>42</v>
      </c>
      <c r="B5229" t="s">
        <v>62</v>
      </c>
      <c r="C5229" t="s">
        <v>41</v>
      </c>
      <c r="D5229" s="68"/>
      <c r="E5229" s="68"/>
      <c r="F5229" s="68">
        <v>1</v>
      </c>
      <c r="G5229" s="68">
        <v>1</v>
      </c>
      <c r="H52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30" spans="1:8" x14ac:dyDescent="0.3">
      <c r="A5230" t="s">
        <v>42</v>
      </c>
      <c r="B5230" t="s">
        <v>63</v>
      </c>
      <c r="C5230" t="s">
        <v>31</v>
      </c>
      <c r="D5230" s="68">
        <v>260</v>
      </c>
      <c r="E5230" s="68"/>
      <c r="F5230" s="68">
        <v>4723</v>
      </c>
      <c r="G5230" s="68">
        <v>4983</v>
      </c>
      <c r="H52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31" spans="1:8" x14ac:dyDescent="0.3">
      <c r="A5231" t="s">
        <v>42</v>
      </c>
      <c r="B5231" t="s">
        <v>63</v>
      </c>
      <c r="C5231" t="s">
        <v>26</v>
      </c>
      <c r="D5231" s="68">
        <v>494</v>
      </c>
      <c r="E5231" s="68"/>
      <c r="F5231" s="68">
        <v>1451</v>
      </c>
      <c r="G5231" s="68">
        <v>1945</v>
      </c>
      <c r="H52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32" spans="1:8" x14ac:dyDescent="0.3">
      <c r="A5232" t="s">
        <v>42</v>
      </c>
      <c r="B5232" t="s">
        <v>63</v>
      </c>
      <c r="C5232" t="s">
        <v>27</v>
      </c>
      <c r="D5232" s="68"/>
      <c r="E5232" s="68">
        <v>129</v>
      </c>
      <c r="F5232" s="68"/>
      <c r="G5232" s="68">
        <v>129</v>
      </c>
      <c r="H52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33" spans="1:8" x14ac:dyDescent="0.3">
      <c r="A5233" t="s">
        <v>42</v>
      </c>
      <c r="B5233" t="s">
        <v>63</v>
      </c>
      <c r="C5233" t="s">
        <v>33</v>
      </c>
      <c r="D5233" s="68">
        <v>2</v>
      </c>
      <c r="E5233" s="68"/>
      <c r="F5233" s="68">
        <v>1</v>
      </c>
      <c r="G5233" s="68">
        <v>3</v>
      </c>
      <c r="H52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34" spans="1:8" x14ac:dyDescent="0.3">
      <c r="A5234" t="s">
        <v>42</v>
      </c>
      <c r="B5234" t="s">
        <v>64</v>
      </c>
      <c r="C5234" t="s">
        <v>31</v>
      </c>
      <c r="D5234" s="68">
        <v>178</v>
      </c>
      <c r="E5234" s="68"/>
      <c r="F5234" s="68">
        <v>3587</v>
      </c>
      <c r="G5234" s="68">
        <v>3765</v>
      </c>
      <c r="H52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35" spans="1:8" x14ac:dyDescent="0.3">
      <c r="A5235" t="s">
        <v>42</v>
      </c>
      <c r="B5235" t="s">
        <v>64</v>
      </c>
      <c r="C5235" t="s">
        <v>26</v>
      </c>
      <c r="D5235" s="68">
        <v>468</v>
      </c>
      <c r="E5235" s="68"/>
      <c r="F5235" s="68">
        <v>1513</v>
      </c>
      <c r="G5235" s="68">
        <v>1981</v>
      </c>
      <c r="H52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36" spans="1:8" x14ac:dyDescent="0.3">
      <c r="A5236" t="s">
        <v>42</v>
      </c>
      <c r="B5236" t="s">
        <v>64</v>
      </c>
      <c r="C5236" t="s">
        <v>27</v>
      </c>
      <c r="D5236" s="68"/>
      <c r="E5236" s="68">
        <v>146</v>
      </c>
      <c r="F5236" s="68"/>
      <c r="G5236" s="68">
        <v>146</v>
      </c>
      <c r="H52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37" spans="1:8" x14ac:dyDescent="0.3">
      <c r="A5237" t="s">
        <v>42</v>
      </c>
      <c r="B5237" t="s">
        <v>64</v>
      </c>
      <c r="C5237" t="s">
        <v>33</v>
      </c>
      <c r="D5237" s="68">
        <v>4</v>
      </c>
      <c r="E5237" s="68"/>
      <c r="F5237" s="68"/>
      <c r="G5237" s="68">
        <v>4</v>
      </c>
      <c r="H52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38" spans="1:8" x14ac:dyDescent="0.3">
      <c r="A5238" t="s">
        <v>42</v>
      </c>
      <c r="B5238" t="s">
        <v>64</v>
      </c>
      <c r="C5238" t="s">
        <v>34</v>
      </c>
      <c r="D5238" s="68">
        <v>1</v>
      </c>
      <c r="E5238" s="68"/>
      <c r="F5238" s="68"/>
      <c r="G5238" s="68">
        <v>1</v>
      </c>
      <c r="H52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39" spans="1:8" x14ac:dyDescent="0.3">
      <c r="A5239" t="s">
        <v>42</v>
      </c>
      <c r="B5239" t="s">
        <v>65</v>
      </c>
      <c r="C5239" t="s">
        <v>26</v>
      </c>
      <c r="D5239" s="68">
        <v>15324</v>
      </c>
      <c r="E5239" s="68"/>
      <c r="F5239" s="68">
        <v>4096</v>
      </c>
      <c r="G5239" s="68">
        <v>19420</v>
      </c>
      <c r="H52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40" spans="1:8" x14ac:dyDescent="0.3">
      <c r="A5240" t="s">
        <v>42</v>
      </c>
      <c r="B5240" t="s">
        <v>65</v>
      </c>
      <c r="C5240" t="s">
        <v>40</v>
      </c>
      <c r="D5240" s="68">
        <v>1577</v>
      </c>
      <c r="E5240" s="68"/>
      <c r="F5240" s="68">
        <v>15321</v>
      </c>
      <c r="G5240" s="68">
        <v>16898</v>
      </c>
      <c r="H52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41" spans="1:8" x14ac:dyDescent="0.3">
      <c r="A5241" t="s">
        <v>42</v>
      </c>
      <c r="B5241" t="s">
        <v>65</v>
      </c>
      <c r="C5241" t="s">
        <v>33</v>
      </c>
      <c r="D5241" s="68">
        <v>5864</v>
      </c>
      <c r="E5241" s="68"/>
      <c r="F5241" s="68">
        <v>1608</v>
      </c>
      <c r="G5241" s="68">
        <v>7472</v>
      </c>
      <c r="H52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42" spans="1:8" x14ac:dyDescent="0.3">
      <c r="A5242" t="s">
        <v>42</v>
      </c>
      <c r="B5242" t="s">
        <v>65</v>
      </c>
      <c r="C5242" t="s">
        <v>38</v>
      </c>
      <c r="D5242" s="68">
        <v>345</v>
      </c>
      <c r="E5242" s="68"/>
      <c r="F5242" s="68">
        <v>4137</v>
      </c>
      <c r="G5242" s="68">
        <v>4482</v>
      </c>
      <c r="H52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43" spans="1:8" x14ac:dyDescent="0.3">
      <c r="A5243" t="s">
        <v>42</v>
      </c>
      <c r="B5243" t="s">
        <v>65</v>
      </c>
      <c r="C5243" t="s">
        <v>36</v>
      </c>
      <c r="D5243" s="68">
        <v>915</v>
      </c>
      <c r="E5243" s="68"/>
      <c r="F5243" s="68">
        <v>410</v>
      </c>
      <c r="G5243" s="68">
        <v>1325</v>
      </c>
      <c r="H52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44" spans="1:8" x14ac:dyDescent="0.3">
      <c r="A5244" t="s">
        <v>42</v>
      </c>
      <c r="B5244" t="s">
        <v>65</v>
      </c>
      <c r="C5244" t="s">
        <v>27</v>
      </c>
      <c r="D5244" s="68"/>
      <c r="E5244" s="68">
        <v>471</v>
      </c>
      <c r="F5244" s="68"/>
      <c r="G5244" s="68">
        <v>471</v>
      </c>
      <c r="H52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45" spans="1:8" x14ac:dyDescent="0.3">
      <c r="A5245" t="s">
        <v>42</v>
      </c>
      <c r="B5245" t="s">
        <v>65</v>
      </c>
      <c r="C5245" t="s">
        <v>5</v>
      </c>
      <c r="D5245" s="68">
        <v>6</v>
      </c>
      <c r="E5245" s="68"/>
      <c r="F5245" s="68"/>
      <c r="G5245" s="68">
        <v>6</v>
      </c>
      <c r="H52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46" spans="1:8" x14ac:dyDescent="0.3">
      <c r="A5246" t="s">
        <v>42</v>
      </c>
      <c r="B5246" t="s">
        <v>66</v>
      </c>
      <c r="C5246" t="s">
        <v>40</v>
      </c>
      <c r="D5246" s="68">
        <v>271</v>
      </c>
      <c r="E5246" s="68"/>
      <c r="F5246" s="68">
        <v>6302</v>
      </c>
      <c r="G5246" s="68">
        <v>6573</v>
      </c>
      <c r="H52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47" spans="1:8" x14ac:dyDescent="0.3">
      <c r="A5247" t="s">
        <v>42</v>
      </c>
      <c r="B5247" t="s">
        <v>66</v>
      </c>
      <c r="C5247" t="s">
        <v>26</v>
      </c>
      <c r="D5247" s="68">
        <v>2007</v>
      </c>
      <c r="E5247" s="68"/>
      <c r="F5247" s="68">
        <v>3173</v>
      </c>
      <c r="G5247" s="68">
        <v>5180</v>
      </c>
      <c r="H52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48" spans="1:8" x14ac:dyDescent="0.3">
      <c r="A5248" t="s">
        <v>42</v>
      </c>
      <c r="B5248" t="s">
        <v>66</v>
      </c>
      <c r="C5248" t="s">
        <v>27</v>
      </c>
      <c r="D5248" s="68"/>
      <c r="E5248" s="68">
        <v>228</v>
      </c>
      <c r="F5248" s="68"/>
      <c r="G5248" s="68">
        <v>228</v>
      </c>
      <c r="H52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49" spans="1:8" x14ac:dyDescent="0.3">
      <c r="A5249" t="s">
        <v>42</v>
      </c>
      <c r="B5249" t="s">
        <v>66</v>
      </c>
      <c r="C5249" t="s">
        <v>33</v>
      </c>
      <c r="D5249" s="68">
        <v>5</v>
      </c>
      <c r="E5249" s="68"/>
      <c r="F5249" s="68">
        <v>2</v>
      </c>
      <c r="G5249" s="68">
        <v>7</v>
      </c>
      <c r="H52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50" spans="1:8" x14ac:dyDescent="0.3">
      <c r="A5250" t="s">
        <v>42</v>
      </c>
      <c r="B5250" t="s">
        <v>66</v>
      </c>
      <c r="C5250" t="s">
        <v>31</v>
      </c>
      <c r="D5250" s="68">
        <v>1</v>
      </c>
      <c r="E5250" s="68"/>
      <c r="F5250" s="68"/>
      <c r="G5250" s="68">
        <v>1</v>
      </c>
      <c r="H52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51" spans="1:8" x14ac:dyDescent="0.3">
      <c r="A5251" t="s">
        <v>42</v>
      </c>
      <c r="B5251" t="s">
        <v>67</v>
      </c>
      <c r="C5251" t="s">
        <v>33</v>
      </c>
      <c r="D5251" s="68">
        <v>14957</v>
      </c>
      <c r="E5251" s="68"/>
      <c r="F5251" s="68">
        <v>3964</v>
      </c>
      <c r="G5251" s="68">
        <v>18921</v>
      </c>
      <c r="H52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52" spans="1:8" x14ac:dyDescent="0.3">
      <c r="A5252" t="s">
        <v>42</v>
      </c>
      <c r="B5252" t="s">
        <v>67</v>
      </c>
      <c r="C5252" t="s">
        <v>26</v>
      </c>
      <c r="D5252" s="68">
        <v>9838</v>
      </c>
      <c r="E5252" s="68"/>
      <c r="F5252" s="68">
        <v>5333</v>
      </c>
      <c r="G5252" s="68">
        <v>15171</v>
      </c>
      <c r="H52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53" spans="1:8" x14ac:dyDescent="0.3">
      <c r="A5253" t="s">
        <v>42</v>
      </c>
      <c r="B5253" t="s">
        <v>67</v>
      </c>
      <c r="C5253" t="s">
        <v>31</v>
      </c>
      <c r="D5253" s="68">
        <v>1558</v>
      </c>
      <c r="E5253" s="68"/>
      <c r="F5253" s="68">
        <v>8445</v>
      </c>
      <c r="G5253" s="68">
        <v>10003</v>
      </c>
      <c r="H52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54" spans="1:8" x14ac:dyDescent="0.3">
      <c r="A5254" t="s">
        <v>42</v>
      </c>
      <c r="B5254" t="s">
        <v>67</v>
      </c>
      <c r="C5254" t="s">
        <v>38</v>
      </c>
      <c r="D5254" s="68">
        <v>575</v>
      </c>
      <c r="E5254" s="68"/>
      <c r="F5254" s="68">
        <v>7881</v>
      </c>
      <c r="G5254" s="68">
        <v>8456</v>
      </c>
      <c r="H52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55" spans="1:8" x14ac:dyDescent="0.3">
      <c r="A5255" t="s">
        <v>42</v>
      </c>
      <c r="B5255" t="s">
        <v>67</v>
      </c>
      <c r="C5255" t="s">
        <v>40</v>
      </c>
      <c r="D5255" s="68">
        <v>518</v>
      </c>
      <c r="E5255" s="68"/>
      <c r="F5255" s="68">
        <v>5986</v>
      </c>
      <c r="G5255" s="68">
        <v>6504</v>
      </c>
      <c r="H52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56" spans="1:8" x14ac:dyDescent="0.3">
      <c r="A5256" t="s">
        <v>42</v>
      </c>
      <c r="B5256" t="s">
        <v>67</v>
      </c>
      <c r="C5256" t="s">
        <v>36</v>
      </c>
      <c r="D5256" s="68">
        <v>1025</v>
      </c>
      <c r="E5256" s="68"/>
      <c r="F5256" s="68">
        <v>480</v>
      </c>
      <c r="G5256" s="68">
        <v>1505</v>
      </c>
      <c r="H52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57" spans="1:8" x14ac:dyDescent="0.3">
      <c r="A5257" t="s">
        <v>42</v>
      </c>
      <c r="B5257" t="s">
        <v>67</v>
      </c>
      <c r="C5257" t="s">
        <v>27</v>
      </c>
      <c r="D5257" s="68"/>
      <c r="E5257" s="68">
        <v>695</v>
      </c>
      <c r="F5257" s="68"/>
      <c r="G5257" s="68">
        <v>695</v>
      </c>
      <c r="H52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58" spans="1:8" x14ac:dyDescent="0.3">
      <c r="A5258" t="s">
        <v>42</v>
      </c>
      <c r="B5258" t="s">
        <v>67</v>
      </c>
      <c r="C5258" t="s">
        <v>5</v>
      </c>
      <c r="D5258" s="68"/>
      <c r="E5258" s="68"/>
      <c r="F5258" s="68">
        <v>2</v>
      </c>
      <c r="G5258" s="68">
        <v>2</v>
      </c>
      <c r="H52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59" spans="1:8" x14ac:dyDescent="0.3">
      <c r="A5259" t="s">
        <v>42</v>
      </c>
      <c r="B5259" t="s">
        <v>67</v>
      </c>
      <c r="C5259" t="s">
        <v>41</v>
      </c>
      <c r="D5259" s="68"/>
      <c r="E5259" s="68"/>
      <c r="F5259" s="68">
        <v>1</v>
      </c>
      <c r="G5259" s="68">
        <v>1</v>
      </c>
      <c r="H52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60" spans="1:8" x14ac:dyDescent="0.3">
      <c r="A5260" t="s">
        <v>42</v>
      </c>
      <c r="B5260" t="s">
        <v>68</v>
      </c>
      <c r="C5260" t="s">
        <v>26</v>
      </c>
      <c r="D5260" s="68">
        <v>4373</v>
      </c>
      <c r="E5260" s="68"/>
      <c r="F5260" s="68">
        <v>5067</v>
      </c>
      <c r="G5260" s="68">
        <v>9440</v>
      </c>
      <c r="H52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61" spans="1:8" x14ac:dyDescent="0.3">
      <c r="A5261" t="s">
        <v>42</v>
      </c>
      <c r="B5261" t="s">
        <v>68</v>
      </c>
      <c r="C5261" t="s">
        <v>40</v>
      </c>
      <c r="D5261" s="68">
        <v>521</v>
      </c>
      <c r="E5261" s="68"/>
      <c r="F5261" s="68">
        <v>5302</v>
      </c>
      <c r="G5261" s="68">
        <v>5823</v>
      </c>
      <c r="H52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62" spans="1:8" x14ac:dyDescent="0.3">
      <c r="A5262" t="s">
        <v>42</v>
      </c>
      <c r="B5262" t="s">
        <v>68</v>
      </c>
      <c r="C5262" t="s">
        <v>33</v>
      </c>
      <c r="D5262" s="68">
        <v>2535</v>
      </c>
      <c r="E5262" s="68"/>
      <c r="F5262" s="68">
        <v>1035</v>
      </c>
      <c r="G5262" s="68">
        <v>3570</v>
      </c>
      <c r="H52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63" spans="1:8" x14ac:dyDescent="0.3">
      <c r="A5263" t="s">
        <v>42</v>
      </c>
      <c r="B5263" t="s">
        <v>68</v>
      </c>
      <c r="C5263" t="s">
        <v>38</v>
      </c>
      <c r="D5263" s="68">
        <v>175</v>
      </c>
      <c r="E5263" s="68"/>
      <c r="F5263" s="68">
        <v>1578</v>
      </c>
      <c r="G5263" s="68">
        <v>1753</v>
      </c>
      <c r="H52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64" spans="1:8" x14ac:dyDescent="0.3">
      <c r="A5264" t="s">
        <v>42</v>
      </c>
      <c r="B5264" t="s">
        <v>68</v>
      </c>
      <c r="C5264" t="s">
        <v>36</v>
      </c>
      <c r="D5264" s="68">
        <v>225</v>
      </c>
      <c r="E5264" s="68"/>
      <c r="F5264" s="68">
        <v>130</v>
      </c>
      <c r="G5264" s="68">
        <v>355</v>
      </c>
      <c r="H52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65" spans="1:8" x14ac:dyDescent="0.3">
      <c r="A5265" t="s">
        <v>42</v>
      </c>
      <c r="B5265" t="s">
        <v>68</v>
      </c>
      <c r="C5265" t="s">
        <v>27</v>
      </c>
      <c r="D5265" s="68"/>
      <c r="E5265" s="68">
        <v>223</v>
      </c>
      <c r="F5265" s="68"/>
      <c r="G5265" s="68">
        <v>223</v>
      </c>
      <c r="H52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66" spans="1:8" x14ac:dyDescent="0.3">
      <c r="A5266" t="s">
        <v>42</v>
      </c>
      <c r="B5266" t="s">
        <v>68</v>
      </c>
      <c r="C5266" t="s">
        <v>5</v>
      </c>
      <c r="D5266" s="68">
        <v>3</v>
      </c>
      <c r="E5266" s="68"/>
      <c r="F5266" s="68"/>
      <c r="G5266" s="68">
        <v>3</v>
      </c>
      <c r="H52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67" spans="1:8" x14ac:dyDescent="0.3">
      <c r="A5267" t="s">
        <v>42</v>
      </c>
      <c r="B5267" t="s">
        <v>69</v>
      </c>
      <c r="C5267" t="s">
        <v>26</v>
      </c>
      <c r="D5267" s="68">
        <v>9490</v>
      </c>
      <c r="E5267" s="68"/>
      <c r="F5267" s="68">
        <v>3263</v>
      </c>
      <c r="G5267" s="68">
        <v>12753</v>
      </c>
      <c r="H52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68" spans="1:8" x14ac:dyDescent="0.3">
      <c r="A5268" t="s">
        <v>42</v>
      </c>
      <c r="B5268" t="s">
        <v>69</v>
      </c>
      <c r="C5268" t="s">
        <v>40</v>
      </c>
      <c r="D5268" s="68">
        <v>896</v>
      </c>
      <c r="E5268" s="68"/>
      <c r="F5268" s="68">
        <v>8655</v>
      </c>
      <c r="G5268" s="68">
        <v>9551</v>
      </c>
      <c r="H52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69" spans="1:8" x14ac:dyDescent="0.3">
      <c r="A5269" t="s">
        <v>42</v>
      </c>
      <c r="B5269" t="s">
        <v>69</v>
      </c>
      <c r="C5269" t="s">
        <v>33</v>
      </c>
      <c r="D5269" s="68">
        <v>4503</v>
      </c>
      <c r="E5269" s="68"/>
      <c r="F5269" s="68">
        <v>1316</v>
      </c>
      <c r="G5269" s="68">
        <v>5819</v>
      </c>
      <c r="H52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70" spans="1:8" x14ac:dyDescent="0.3">
      <c r="A5270" t="s">
        <v>42</v>
      </c>
      <c r="B5270" t="s">
        <v>69</v>
      </c>
      <c r="C5270" t="s">
        <v>38</v>
      </c>
      <c r="D5270" s="68">
        <v>272</v>
      </c>
      <c r="E5270" s="68"/>
      <c r="F5270" s="68">
        <v>2607</v>
      </c>
      <c r="G5270" s="68">
        <v>2879</v>
      </c>
      <c r="H52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71" spans="1:8" x14ac:dyDescent="0.3">
      <c r="A5271" t="s">
        <v>42</v>
      </c>
      <c r="B5271" t="s">
        <v>69</v>
      </c>
      <c r="C5271" t="s">
        <v>27</v>
      </c>
      <c r="D5271" s="68"/>
      <c r="E5271" s="68">
        <v>622</v>
      </c>
      <c r="F5271" s="68"/>
      <c r="G5271" s="68">
        <v>622</v>
      </c>
      <c r="H52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72" spans="1:8" x14ac:dyDescent="0.3">
      <c r="A5272" t="s">
        <v>42</v>
      </c>
      <c r="B5272" t="s">
        <v>69</v>
      </c>
      <c r="C5272" t="s">
        <v>36</v>
      </c>
      <c r="D5272" s="68">
        <v>91</v>
      </c>
      <c r="E5272" s="68"/>
      <c r="F5272" s="68">
        <v>21</v>
      </c>
      <c r="G5272" s="68">
        <v>112</v>
      </c>
      <c r="H52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73" spans="1:8" x14ac:dyDescent="0.3">
      <c r="A5273" t="s">
        <v>42</v>
      </c>
      <c r="B5273" t="s">
        <v>69</v>
      </c>
      <c r="C5273" t="s">
        <v>41</v>
      </c>
      <c r="D5273" s="68"/>
      <c r="E5273" s="68"/>
      <c r="F5273" s="68">
        <v>2</v>
      </c>
      <c r="G5273" s="68">
        <v>2</v>
      </c>
      <c r="H52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74" spans="1:8" x14ac:dyDescent="0.3">
      <c r="A5274" t="s">
        <v>42</v>
      </c>
      <c r="B5274" t="s">
        <v>70</v>
      </c>
      <c r="C5274" t="s">
        <v>26</v>
      </c>
      <c r="D5274" s="68">
        <v>27701</v>
      </c>
      <c r="E5274" s="68"/>
      <c r="F5274" s="68">
        <v>16141</v>
      </c>
      <c r="G5274" s="68">
        <v>43842</v>
      </c>
      <c r="H52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75" spans="1:8" x14ac:dyDescent="0.3">
      <c r="A5275" t="s">
        <v>42</v>
      </c>
      <c r="B5275" t="s">
        <v>70</v>
      </c>
      <c r="C5275" t="s">
        <v>33</v>
      </c>
      <c r="D5275" s="68">
        <v>27876</v>
      </c>
      <c r="E5275" s="68"/>
      <c r="F5275" s="68">
        <v>9514</v>
      </c>
      <c r="G5275" s="68">
        <v>37390</v>
      </c>
      <c r="H52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76" spans="1:8" x14ac:dyDescent="0.3">
      <c r="A5276" t="s">
        <v>42</v>
      </c>
      <c r="B5276" t="s">
        <v>70</v>
      </c>
      <c r="C5276" t="s">
        <v>40</v>
      </c>
      <c r="D5276" s="68">
        <v>2768</v>
      </c>
      <c r="E5276" s="68"/>
      <c r="F5276" s="68">
        <v>29595</v>
      </c>
      <c r="G5276" s="68">
        <v>32363</v>
      </c>
      <c r="H52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77" spans="1:8" x14ac:dyDescent="0.3">
      <c r="A5277" t="s">
        <v>42</v>
      </c>
      <c r="B5277" t="s">
        <v>70</v>
      </c>
      <c r="C5277" t="s">
        <v>34</v>
      </c>
      <c r="D5277" s="68">
        <v>15337</v>
      </c>
      <c r="E5277" s="68"/>
      <c r="F5277" s="68">
        <v>4345</v>
      </c>
      <c r="G5277" s="68">
        <v>19682</v>
      </c>
      <c r="H52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78" spans="1:8" x14ac:dyDescent="0.3">
      <c r="A5278" t="s">
        <v>42</v>
      </c>
      <c r="B5278" t="s">
        <v>70</v>
      </c>
      <c r="C5278" t="s">
        <v>27</v>
      </c>
      <c r="D5278" s="68"/>
      <c r="E5278" s="68">
        <v>2522</v>
      </c>
      <c r="F5278" s="68"/>
      <c r="G5278" s="68">
        <v>2522</v>
      </c>
      <c r="H52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79" spans="1:8" x14ac:dyDescent="0.3">
      <c r="A5279" t="s">
        <v>42</v>
      </c>
      <c r="B5279" t="s">
        <v>70</v>
      </c>
      <c r="C5279" t="s">
        <v>36</v>
      </c>
      <c r="D5279" s="68">
        <v>1181</v>
      </c>
      <c r="E5279" s="68"/>
      <c r="F5279" s="68">
        <v>263</v>
      </c>
      <c r="G5279" s="68">
        <v>1444</v>
      </c>
      <c r="H52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80" spans="1:8" x14ac:dyDescent="0.3">
      <c r="A5280" t="s">
        <v>42</v>
      </c>
      <c r="B5280" t="s">
        <v>70</v>
      </c>
      <c r="C5280" t="s">
        <v>35</v>
      </c>
      <c r="D5280" s="68">
        <v>79</v>
      </c>
      <c r="E5280" s="68"/>
      <c r="F5280" s="68"/>
      <c r="G5280" s="68">
        <v>79</v>
      </c>
      <c r="H52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81" spans="1:8" x14ac:dyDescent="0.3">
      <c r="A5281" t="s">
        <v>42</v>
      </c>
      <c r="B5281" t="s">
        <v>70</v>
      </c>
      <c r="C5281" t="s">
        <v>5</v>
      </c>
      <c r="D5281" s="68">
        <v>37</v>
      </c>
      <c r="E5281" s="68"/>
      <c r="F5281" s="68"/>
      <c r="G5281" s="68">
        <v>37</v>
      </c>
      <c r="H52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82" spans="1:8" x14ac:dyDescent="0.3">
      <c r="A5282" t="s">
        <v>42</v>
      </c>
      <c r="B5282" t="s">
        <v>71</v>
      </c>
      <c r="C5282" t="s">
        <v>31</v>
      </c>
      <c r="D5282" s="68">
        <v>4658</v>
      </c>
      <c r="E5282" s="68"/>
      <c r="F5282" s="68">
        <v>37705</v>
      </c>
      <c r="G5282" s="68">
        <v>42363</v>
      </c>
      <c r="H52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83" spans="1:8" x14ac:dyDescent="0.3">
      <c r="A5283" t="s">
        <v>42</v>
      </c>
      <c r="B5283" t="s">
        <v>71</v>
      </c>
      <c r="C5283" t="s">
        <v>26</v>
      </c>
      <c r="D5283" s="68">
        <v>17996</v>
      </c>
      <c r="E5283" s="68"/>
      <c r="F5283" s="68">
        <v>13025</v>
      </c>
      <c r="G5283" s="68">
        <v>31021</v>
      </c>
      <c r="H52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84" spans="1:8" x14ac:dyDescent="0.3">
      <c r="A5284" t="s">
        <v>42</v>
      </c>
      <c r="B5284" t="s">
        <v>71</v>
      </c>
      <c r="C5284" t="s">
        <v>33</v>
      </c>
      <c r="D5284" s="68">
        <v>16819</v>
      </c>
      <c r="E5284" s="68"/>
      <c r="F5284" s="68">
        <v>4935</v>
      </c>
      <c r="G5284" s="68">
        <v>21754</v>
      </c>
      <c r="H52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85" spans="1:8" x14ac:dyDescent="0.3">
      <c r="A5285" t="s">
        <v>42</v>
      </c>
      <c r="B5285" t="s">
        <v>71</v>
      </c>
      <c r="C5285" t="s">
        <v>34</v>
      </c>
      <c r="D5285" s="68">
        <v>14904</v>
      </c>
      <c r="E5285" s="68"/>
      <c r="F5285" s="68">
        <v>3704</v>
      </c>
      <c r="G5285" s="68">
        <v>18608</v>
      </c>
      <c r="H52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86" spans="1:8" x14ac:dyDescent="0.3">
      <c r="A5286" t="s">
        <v>42</v>
      </c>
      <c r="B5286" t="s">
        <v>71</v>
      </c>
      <c r="C5286" t="s">
        <v>41</v>
      </c>
      <c r="D5286" s="68">
        <v>12578</v>
      </c>
      <c r="E5286" s="68"/>
      <c r="F5286" s="68">
        <v>4305</v>
      </c>
      <c r="G5286" s="68">
        <v>16883</v>
      </c>
      <c r="H52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87" spans="1:8" x14ac:dyDescent="0.3">
      <c r="A5287" t="s">
        <v>42</v>
      </c>
      <c r="B5287" t="s">
        <v>71</v>
      </c>
      <c r="C5287" t="s">
        <v>5</v>
      </c>
      <c r="D5287" s="68">
        <v>13222</v>
      </c>
      <c r="E5287" s="68"/>
      <c r="F5287" s="68">
        <v>2598</v>
      </c>
      <c r="G5287" s="68">
        <v>15820</v>
      </c>
      <c r="H52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88" spans="1:8" x14ac:dyDescent="0.3">
      <c r="A5288" t="s">
        <v>42</v>
      </c>
      <c r="B5288" t="s">
        <v>71</v>
      </c>
      <c r="C5288" t="s">
        <v>36</v>
      </c>
      <c r="D5288" s="68">
        <v>5664</v>
      </c>
      <c r="E5288" s="68"/>
      <c r="F5288" s="68">
        <v>2536</v>
      </c>
      <c r="G5288" s="68">
        <v>8200</v>
      </c>
      <c r="H52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89" spans="1:8" x14ac:dyDescent="0.3">
      <c r="A5289" t="s">
        <v>42</v>
      </c>
      <c r="B5289" t="s">
        <v>71</v>
      </c>
      <c r="C5289" t="s">
        <v>38</v>
      </c>
      <c r="D5289" s="68">
        <v>235</v>
      </c>
      <c r="E5289" s="68"/>
      <c r="F5289" s="68">
        <v>4785</v>
      </c>
      <c r="G5289" s="68">
        <v>5020</v>
      </c>
      <c r="H52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90" spans="1:8" x14ac:dyDescent="0.3">
      <c r="A5290" t="s">
        <v>42</v>
      </c>
      <c r="B5290" t="s">
        <v>71</v>
      </c>
      <c r="C5290" t="s">
        <v>27</v>
      </c>
      <c r="D5290" s="68"/>
      <c r="E5290" s="68">
        <v>1874</v>
      </c>
      <c r="F5290" s="68"/>
      <c r="G5290" s="68">
        <v>1874</v>
      </c>
      <c r="H52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91" spans="1:8" x14ac:dyDescent="0.3">
      <c r="A5291" t="s">
        <v>42</v>
      </c>
      <c r="B5291" t="s">
        <v>71</v>
      </c>
      <c r="C5291" t="s">
        <v>37</v>
      </c>
      <c r="D5291" s="68">
        <v>354</v>
      </c>
      <c r="E5291" s="68"/>
      <c r="F5291" s="68">
        <v>550</v>
      </c>
      <c r="G5291" s="68">
        <v>904</v>
      </c>
      <c r="H52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92" spans="1:8" x14ac:dyDescent="0.3">
      <c r="A5292" t="s">
        <v>42</v>
      </c>
      <c r="B5292" t="s">
        <v>72</v>
      </c>
      <c r="C5292" t="s">
        <v>26</v>
      </c>
      <c r="D5292" s="68">
        <v>1630</v>
      </c>
      <c r="E5292" s="68"/>
      <c r="F5292" s="68">
        <v>5236</v>
      </c>
      <c r="G5292" s="68">
        <v>6866</v>
      </c>
      <c r="H52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93" spans="1:8" x14ac:dyDescent="0.3">
      <c r="A5293" t="s">
        <v>42</v>
      </c>
      <c r="B5293" t="s">
        <v>72</v>
      </c>
      <c r="C5293" t="s">
        <v>31</v>
      </c>
      <c r="D5293" s="68">
        <v>187</v>
      </c>
      <c r="E5293" s="68"/>
      <c r="F5293" s="68">
        <v>2783</v>
      </c>
      <c r="G5293" s="68">
        <v>2970</v>
      </c>
      <c r="H52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94" spans="1:8" x14ac:dyDescent="0.3">
      <c r="A5294" t="s">
        <v>42</v>
      </c>
      <c r="B5294" t="s">
        <v>72</v>
      </c>
      <c r="C5294" t="s">
        <v>33</v>
      </c>
      <c r="D5294" s="68">
        <v>734</v>
      </c>
      <c r="E5294" s="68"/>
      <c r="F5294" s="68">
        <v>230</v>
      </c>
      <c r="G5294" s="68">
        <v>964</v>
      </c>
      <c r="H52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95" spans="1:8" x14ac:dyDescent="0.3">
      <c r="A5295" t="s">
        <v>42</v>
      </c>
      <c r="B5295" t="s">
        <v>72</v>
      </c>
      <c r="C5295" t="s">
        <v>27</v>
      </c>
      <c r="D5295" s="68"/>
      <c r="E5295" s="68">
        <v>149</v>
      </c>
      <c r="F5295" s="68"/>
      <c r="G5295" s="68">
        <v>149</v>
      </c>
      <c r="H52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96" spans="1:8" x14ac:dyDescent="0.3">
      <c r="A5296" t="s">
        <v>42</v>
      </c>
      <c r="B5296" t="s">
        <v>72</v>
      </c>
      <c r="C5296" t="s">
        <v>36</v>
      </c>
      <c r="D5296" s="68">
        <v>9</v>
      </c>
      <c r="E5296" s="68"/>
      <c r="F5296" s="68">
        <v>2</v>
      </c>
      <c r="G5296" s="68">
        <v>11</v>
      </c>
      <c r="H52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97" spans="1:8" x14ac:dyDescent="0.3">
      <c r="A5297" t="s">
        <v>42</v>
      </c>
      <c r="B5297" t="s">
        <v>72</v>
      </c>
      <c r="C5297" t="s">
        <v>41</v>
      </c>
      <c r="D5297" s="68"/>
      <c r="E5297" s="68"/>
      <c r="F5297" s="68">
        <v>1</v>
      </c>
      <c r="G5297" s="68">
        <v>1</v>
      </c>
      <c r="H52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298" spans="1:8" x14ac:dyDescent="0.3">
      <c r="A5298" t="s">
        <v>42</v>
      </c>
      <c r="B5298" t="s">
        <v>50</v>
      </c>
      <c r="C5298" t="s">
        <v>26</v>
      </c>
      <c r="D5298" s="68">
        <v>6138</v>
      </c>
      <c r="E5298" s="68"/>
      <c r="F5298" s="68">
        <v>12444</v>
      </c>
      <c r="G5298" s="68">
        <v>18582</v>
      </c>
      <c r="H52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99" spans="1:8" x14ac:dyDescent="0.3">
      <c r="A5299" t="s">
        <v>42</v>
      </c>
      <c r="B5299" t="s">
        <v>50</v>
      </c>
      <c r="C5299" t="s">
        <v>31</v>
      </c>
      <c r="D5299" s="68">
        <v>1479</v>
      </c>
      <c r="E5299" s="68"/>
      <c r="F5299" s="68">
        <v>10865</v>
      </c>
      <c r="G5299" s="68">
        <v>12344</v>
      </c>
      <c r="H52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00" spans="1:8" x14ac:dyDescent="0.3">
      <c r="A5300" t="s">
        <v>42</v>
      </c>
      <c r="B5300" t="s">
        <v>50</v>
      </c>
      <c r="C5300" t="s">
        <v>33</v>
      </c>
      <c r="D5300" s="68">
        <v>830</v>
      </c>
      <c r="E5300" s="68"/>
      <c r="F5300" s="68">
        <v>474</v>
      </c>
      <c r="G5300" s="68">
        <v>1304</v>
      </c>
      <c r="H53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01" spans="1:8" x14ac:dyDescent="0.3">
      <c r="A5301" t="s">
        <v>42</v>
      </c>
      <c r="B5301" t="s">
        <v>50</v>
      </c>
      <c r="C5301" t="s">
        <v>27</v>
      </c>
      <c r="D5301" s="68"/>
      <c r="E5301" s="68">
        <v>582</v>
      </c>
      <c r="F5301" s="68"/>
      <c r="G5301" s="68">
        <v>582</v>
      </c>
      <c r="H53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02" spans="1:8" x14ac:dyDescent="0.3">
      <c r="A5302" t="s">
        <v>42</v>
      </c>
      <c r="B5302" t="s">
        <v>50</v>
      </c>
      <c r="C5302" t="s">
        <v>36</v>
      </c>
      <c r="D5302" s="68">
        <v>30</v>
      </c>
      <c r="E5302" s="68"/>
      <c r="F5302" s="68">
        <v>9</v>
      </c>
      <c r="G5302" s="68">
        <v>39</v>
      </c>
      <c r="H53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03" spans="1:8" x14ac:dyDescent="0.3">
      <c r="A5303" t="s">
        <v>42</v>
      </c>
      <c r="B5303" t="s">
        <v>50</v>
      </c>
      <c r="C5303" t="s">
        <v>5</v>
      </c>
      <c r="D5303" s="68">
        <v>1</v>
      </c>
      <c r="E5303" s="68"/>
      <c r="F5303" s="68"/>
      <c r="G5303" s="68">
        <v>1</v>
      </c>
      <c r="H53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04" spans="1:8" x14ac:dyDescent="0.3">
      <c r="A5304" t="s">
        <v>42</v>
      </c>
      <c r="B5304" t="s">
        <v>48</v>
      </c>
      <c r="C5304" t="s">
        <v>26</v>
      </c>
      <c r="D5304" s="68">
        <v>2352</v>
      </c>
      <c r="E5304" s="68"/>
      <c r="F5304" s="68">
        <v>3038</v>
      </c>
      <c r="G5304" s="68">
        <v>5390</v>
      </c>
      <c r="H53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05" spans="1:8" x14ac:dyDescent="0.3">
      <c r="A5305" t="s">
        <v>42</v>
      </c>
      <c r="B5305" t="s">
        <v>48</v>
      </c>
      <c r="C5305" t="s">
        <v>31</v>
      </c>
      <c r="D5305" s="68">
        <v>409</v>
      </c>
      <c r="E5305" s="68"/>
      <c r="F5305" s="68">
        <v>4347</v>
      </c>
      <c r="G5305" s="68">
        <v>4756</v>
      </c>
      <c r="H53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06" spans="1:8" x14ac:dyDescent="0.3">
      <c r="A5306" t="s">
        <v>42</v>
      </c>
      <c r="B5306" t="s">
        <v>48</v>
      </c>
      <c r="C5306" t="s">
        <v>33</v>
      </c>
      <c r="D5306" s="68">
        <v>863</v>
      </c>
      <c r="E5306" s="68"/>
      <c r="F5306" s="68">
        <v>353</v>
      </c>
      <c r="G5306" s="68">
        <v>1216</v>
      </c>
      <c r="H53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07" spans="1:8" x14ac:dyDescent="0.3">
      <c r="A5307" t="s">
        <v>42</v>
      </c>
      <c r="B5307" t="s">
        <v>48</v>
      </c>
      <c r="C5307" t="s">
        <v>27</v>
      </c>
      <c r="D5307" s="68"/>
      <c r="E5307" s="68">
        <v>271</v>
      </c>
      <c r="F5307" s="68"/>
      <c r="G5307" s="68">
        <v>271</v>
      </c>
      <c r="H53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08" spans="1:8" x14ac:dyDescent="0.3">
      <c r="A5308" t="s">
        <v>42</v>
      </c>
      <c r="B5308" t="s">
        <v>73</v>
      </c>
      <c r="C5308" t="s">
        <v>26</v>
      </c>
      <c r="D5308" s="68">
        <v>2105</v>
      </c>
      <c r="E5308" s="68"/>
      <c r="F5308" s="68">
        <v>5937</v>
      </c>
      <c r="G5308" s="68">
        <v>8042</v>
      </c>
      <c r="H53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09" spans="1:8" x14ac:dyDescent="0.3">
      <c r="A5309" t="s">
        <v>42</v>
      </c>
      <c r="B5309" t="s">
        <v>73</v>
      </c>
      <c r="C5309" t="s">
        <v>33</v>
      </c>
      <c r="D5309" s="68">
        <v>873</v>
      </c>
      <c r="E5309" s="68"/>
      <c r="F5309" s="68">
        <v>401</v>
      </c>
      <c r="G5309" s="68">
        <v>1274</v>
      </c>
      <c r="H53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10" spans="1:8" x14ac:dyDescent="0.3">
      <c r="A5310" t="s">
        <v>42</v>
      </c>
      <c r="B5310" t="s">
        <v>73</v>
      </c>
      <c r="C5310" t="s">
        <v>27</v>
      </c>
      <c r="D5310" s="68"/>
      <c r="E5310" s="68">
        <v>125</v>
      </c>
      <c r="F5310" s="68"/>
      <c r="G5310" s="68">
        <v>125</v>
      </c>
      <c r="H53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11" spans="1:8" x14ac:dyDescent="0.3">
      <c r="A5311" t="s">
        <v>42</v>
      </c>
      <c r="B5311" t="s">
        <v>74</v>
      </c>
      <c r="C5311" t="s">
        <v>40</v>
      </c>
      <c r="D5311" s="68">
        <v>5289</v>
      </c>
      <c r="E5311" s="68"/>
      <c r="F5311" s="68">
        <v>79090</v>
      </c>
      <c r="G5311" s="68">
        <v>84379</v>
      </c>
      <c r="H53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12" spans="1:8" x14ac:dyDescent="0.3">
      <c r="A5312" t="s">
        <v>42</v>
      </c>
      <c r="B5312" t="s">
        <v>74</v>
      </c>
      <c r="C5312" t="s">
        <v>26</v>
      </c>
      <c r="D5312" s="68">
        <v>50392</v>
      </c>
      <c r="E5312" s="68"/>
      <c r="F5312" s="68">
        <v>20438</v>
      </c>
      <c r="G5312" s="68">
        <v>70830</v>
      </c>
      <c r="H53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13" spans="1:8" x14ac:dyDescent="0.3">
      <c r="A5313" t="s">
        <v>42</v>
      </c>
      <c r="B5313" t="s">
        <v>74</v>
      </c>
      <c r="C5313" t="s">
        <v>5</v>
      </c>
      <c r="D5313" s="68">
        <v>41033</v>
      </c>
      <c r="E5313" s="68"/>
      <c r="F5313" s="68">
        <v>8731</v>
      </c>
      <c r="G5313" s="68">
        <v>49764</v>
      </c>
      <c r="H53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14" spans="1:8" x14ac:dyDescent="0.3">
      <c r="A5314" t="s">
        <v>42</v>
      </c>
      <c r="B5314" t="s">
        <v>74</v>
      </c>
      <c r="C5314" t="s">
        <v>33</v>
      </c>
      <c r="D5314" s="68">
        <v>34659</v>
      </c>
      <c r="E5314" s="68"/>
      <c r="F5314" s="68">
        <v>10706</v>
      </c>
      <c r="G5314" s="68">
        <v>45365</v>
      </c>
      <c r="H53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15" spans="1:8" x14ac:dyDescent="0.3">
      <c r="A5315" t="s">
        <v>42</v>
      </c>
      <c r="B5315" t="s">
        <v>74</v>
      </c>
      <c r="C5315" t="s">
        <v>34</v>
      </c>
      <c r="D5315" s="68">
        <v>32968</v>
      </c>
      <c r="E5315" s="68"/>
      <c r="F5315" s="68">
        <v>7854</v>
      </c>
      <c r="G5315" s="68">
        <v>40822</v>
      </c>
      <c r="H53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16" spans="1:8" x14ac:dyDescent="0.3">
      <c r="A5316" t="s">
        <v>42</v>
      </c>
      <c r="B5316" t="s">
        <v>74</v>
      </c>
      <c r="C5316" t="s">
        <v>36</v>
      </c>
      <c r="D5316" s="68">
        <v>22800</v>
      </c>
      <c r="E5316" s="68"/>
      <c r="F5316" s="68">
        <v>7578</v>
      </c>
      <c r="G5316" s="68">
        <v>30378</v>
      </c>
      <c r="H53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17" spans="1:8" x14ac:dyDescent="0.3">
      <c r="A5317" t="s">
        <v>42</v>
      </c>
      <c r="B5317" t="s">
        <v>74</v>
      </c>
      <c r="C5317" t="s">
        <v>41</v>
      </c>
      <c r="D5317" s="68">
        <v>20403</v>
      </c>
      <c r="E5317" s="68"/>
      <c r="F5317" s="68">
        <v>6820</v>
      </c>
      <c r="G5317" s="68">
        <v>27223</v>
      </c>
      <c r="H53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18" spans="1:8" x14ac:dyDescent="0.3">
      <c r="A5318" t="s">
        <v>42</v>
      </c>
      <c r="B5318" t="s">
        <v>74</v>
      </c>
      <c r="C5318" t="s">
        <v>27</v>
      </c>
      <c r="D5318" s="68"/>
      <c r="E5318" s="68">
        <v>5549</v>
      </c>
      <c r="F5318" s="68"/>
      <c r="G5318" s="68">
        <v>5549</v>
      </c>
      <c r="H53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19" spans="1:8" x14ac:dyDescent="0.3">
      <c r="A5319" t="s">
        <v>42</v>
      </c>
      <c r="B5319" t="s">
        <v>74</v>
      </c>
      <c r="C5319" t="s">
        <v>31</v>
      </c>
      <c r="D5319" s="68">
        <v>379</v>
      </c>
      <c r="E5319" s="68"/>
      <c r="F5319" s="68">
        <v>2991</v>
      </c>
      <c r="G5319" s="68">
        <v>3370</v>
      </c>
      <c r="H53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20" spans="1:8" x14ac:dyDescent="0.3">
      <c r="A5320" t="s">
        <v>42</v>
      </c>
      <c r="B5320" t="s">
        <v>74</v>
      </c>
      <c r="C5320" t="s">
        <v>37</v>
      </c>
      <c r="D5320" s="68">
        <v>543</v>
      </c>
      <c r="E5320" s="68"/>
      <c r="F5320" s="68">
        <v>877</v>
      </c>
      <c r="G5320" s="68">
        <v>1420</v>
      </c>
      <c r="H53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21" spans="1:8" x14ac:dyDescent="0.3">
      <c r="A5321" t="s">
        <v>42</v>
      </c>
      <c r="B5321" t="s">
        <v>74</v>
      </c>
      <c r="C5321" t="s">
        <v>35</v>
      </c>
      <c r="D5321" s="68">
        <v>219</v>
      </c>
      <c r="E5321" s="68"/>
      <c r="F5321" s="68"/>
      <c r="G5321" s="68">
        <v>219</v>
      </c>
      <c r="H53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22" spans="1:8" x14ac:dyDescent="0.3">
      <c r="A5322" t="s">
        <v>42</v>
      </c>
      <c r="B5322" t="s">
        <v>74</v>
      </c>
      <c r="C5322" t="s">
        <v>32</v>
      </c>
      <c r="D5322" s="68"/>
      <c r="E5322" s="68"/>
      <c r="F5322" s="68">
        <v>1</v>
      </c>
      <c r="G5322" s="68">
        <v>1</v>
      </c>
      <c r="H53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23" spans="1:8" x14ac:dyDescent="0.3">
      <c r="A5323" t="s">
        <v>42</v>
      </c>
      <c r="B5323" t="s">
        <v>75</v>
      </c>
      <c r="C5323" t="s">
        <v>40</v>
      </c>
      <c r="D5323" s="68">
        <v>1466</v>
      </c>
      <c r="E5323" s="68"/>
      <c r="F5323" s="68">
        <v>15306</v>
      </c>
      <c r="G5323" s="68">
        <v>16772</v>
      </c>
      <c r="H53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24" spans="1:8" x14ac:dyDescent="0.3">
      <c r="A5324" t="s">
        <v>42</v>
      </c>
      <c r="B5324" t="s">
        <v>75</v>
      </c>
      <c r="C5324" t="s">
        <v>26</v>
      </c>
      <c r="D5324" s="68">
        <v>12464</v>
      </c>
      <c r="E5324" s="68"/>
      <c r="F5324" s="68">
        <v>3621</v>
      </c>
      <c r="G5324" s="68">
        <v>16085</v>
      </c>
      <c r="H53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25" spans="1:8" x14ac:dyDescent="0.3">
      <c r="A5325" t="s">
        <v>42</v>
      </c>
      <c r="B5325" t="s">
        <v>75</v>
      </c>
      <c r="C5325" t="s">
        <v>33</v>
      </c>
      <c r="D5325" s="68">
        <v>4729</v>
      </c>
      <c r="E5325" s="68"/>
      <c r="F5325" s="68">
        <v>1442</v>
      </c>
      <c r="G5325" s="68">
        <v>6171</v>
      </c>
      <c r="H53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26" spans="1:8" x14ac:dyDescent="0.3">
      <c r="A5326" t="s">
        <v>42</v>
      </c>
      <c r="B5326" t="s">
        <v>75</v>
      </c>
      <c r="C5326" t="s">
        <v>36</v>
      </c>
      <c r="D5326" s="68">
        <v>2151</v>
      </c>
      <c r="E5326" s="68"/>
      <c r="F5326" s="68">
        <v>691</v>
      </c>
      <c r="G5326" s="68">
        <v>2842</v>
      </c>
      <c r="H53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27" spans="1:8" x14ac:dyDescent="0.3">
      <c r="A5327" t="s">
        <v>42</v>
      </c>
      <c r="B5327" t="s">
        <v>75</v>
      </c>
      <c r="C5327" t="s">
        <v>38</v>
      </c>
      <c r="D5327" s="68">
        <v>141</v>
      </c>
      <c r="E5327" s="68"/>
      <c r="F5327" s="68">
        <v>2146</v>
      </c>
      <c r="G5327" s="68">
        <v>2287</v>
      </c>
      <c r="H53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28" spans="1:8" x14ac:dyDescent="0.3">
      <c r="A5328" t="s">
        <v>42</v>
      </c>
      <c r="B5328" t="s">
        <v>75</v>
      </c>
      <c r="C5328" t="s">
        <v>27</v>
      </c>
      <c r="D5328" s="68"/>
      <c r="E5328" s="68">
        <v>513</v>
      </c>
      <c r="F5328" s="68"/>
      <c r="G5328" s="68">
        <v>513</v>
      </c>
      <c r="H53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29" spans="1:8" x14ac:dyDescent="0.3">
      <c r="A5329" t="s">
        <v>42</v>
      </c>
      <c r="B5329" t="s">
        <v>75</v>
      </c>
      <c r="C5329" t="s">
        <v>5</v>
      </c>
      <c r="D5329" s="68">
        <v>13</v>
      </c>
      <c r="E5329" s="68"/>
      <c r="F5329" s="68"/>
      <c r="G5329" s="68">
        <v>13</v>
      </c>
      <c r="H53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30" spans="1:8" x14ac:dyDescent="0.3">
      <c r="A5330" t="s">
        <v>42</v>
      </c>
      <c r="B5330" t="s">
        <v>75</v>
      </c>
      <c r="C5330" t="s">
        <v>41</v>
      </c>
      <c r="D5330" s="68"/>
      <c r="E5330" s="68"/>
      <c r="F5330" s="68">
        <v>1</v>
      </c>
      <c r="G5330" s="68">
        <v>1</v>
      </c>
      <c r="H53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31" spans="1:8" x14ac:dyDescent="0.3">
      <c r="A5331" t="s">
        <v>42</v>
      </c>
      <c r="B5331" t="s">
        <v>75</v>
      </c>
      <c r="C5331" t="s">
        <v>34</v>
      </c>
      <c r="D5331" s="68">
        <v>1</v>
      </c>
      <c r="E5331" s="68"/>
      <c r="F5331" s="68"/>
      <c r="G5331" s="68">
        <v>1</v>
      </c>
      <c r="H53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32" spans="1:8" x14ac:dyDescent="0.3">
      <c r="A5332" t="s">
        <v>42</v>
      </c>
      <c r="B5332" t="s">
        <v>52</v>
      </c>
      <c r="C5332" t="s">
        <v>26</v>
      </c>
      <c r="D5332" s="68">
        <v>2938</v>
      </c>
      <c r="E5332" s="68"/>
      <c r="F5332" s="68">
        <v>9078</v>
      </c>
      <c r="G5332" s="68">
        <v>12016</v>
      </c>
      <c r="H53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33" spans="1:8" x14ac:dyDescent="0.3">
      <c r="A5333" t="s">
        <v>42</v>
      </c>
      <c r="B5333" t="s">
        <v>52</v>
      </c>
      <c r="C5333" t="s">
        <v>33</v>
      </c>
      <c r="D5333" s="68">
        <v>2102</v>
      </c>
      <c r="E5333" s="68"/>
      <c r="F5333" s="68">
        <v>662</v>
      </c>
      <c r="G5333" s="68">
        <v>2764</v>
      </c>
      <c r="H53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34" spans="1:8" x14ac:dyDescent="0.3">
      <c r="A5334" t="s">
        <v>42</v>
      </c>
      <c r="B5334" t="s">
        <v>52</v>
      </c>
      <c r="C5334" t="s">
        <v>40</v>
      </c>
      <c r="D5334" s="68">
        <v>215</v>
      </c>
      <c r="E5334" s="68"/>
      <c r="F5334" s="68">
        <v>2195</v>
      </c>
      <c r="G5334" s="68">
        <v>2410</v>
      </c>
      <c r="H53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35" spans="1:8" x14ac:dyDescent="0.3">
      <c r="A5335" t="s">
        <v>42</v>
      </c>
      <c r="B5335" t="s">
        <v>52</v>
      </c>
      <c r="C5335" t="s">
        <v>27</v>
      </c>
      <c r="D5335" s="68"/>
      <c r="E5335" s="68">
        <v>216</v>
      </c>
      <c r="F5335" s="68"/>
      <c r="G5335" s="68">
        <v>216</v>
      </c>
      <c r="H53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36" spans="1:8" x14ac:dyDescent="0.3">
      <c r="A5336" t="s">
        <v>42</v>
      </c>
      <c r="B5336" t="s">
        <v>52</v>
      </c>
      <c r="C5336" t="s">
        <v>36</v>
      </c>
      <c r="D5336" s="68"/>
      <c r="E5336" s="68"/>
      <c r="F5336" s="68">
        <v>1</v>
      </c>
      <c r="G5336" s="68">
        <v>1</v>
      </c>
      <c r="H53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37" spans="1:8" x14ac:dyDescent="0.3">
      <c r="A5337" t="s">
        <v>42</v>
      </c>
      <c r="B5337" t="s">
        <v>76</v>
      </c>
      <c r="C5337" t="s">
        <v>26</v>
      </c>
      <c r="D5337" s="68">
        <v>2512</v>
      </c>
      <c r="E5337" s="68"/>
      <c r="F5337" s="68">
        <v>8310</v>
      </c>
      <c r="G5337" s="68">
        <v>10822</v>
      </c>
      <c r="H53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38" spans="1:8" x14ac:dyDescent="0.3">
      <c r="A5338" t="s">
        <v>42</v>
      </c>
      <c r="B5338" t="s">
        <v>76</v>
      </c>
      <c r="C5338" t="s">
        <v>40</v>
      </c>
      <c r="D5338" s="68">
        <v>247</v>
      </c>
      <c r="E5338" s="68"/>
      <c r="F5338" s="68">
        <v>2676</v>
      </c>
      <c r="G5338" s="68">
        <v>2923</v>
      </c>
      <c r="H53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39" spans="1:8" x14ac:dyDescent="0.3">
      <c r="A5339" t="s">
        <v>42</v>
      </c>
      <c r="B5339" t="s">
        <v>76</v>
      </c>
      <c r="C5339" t="s">
        <v>33</v>
      </c>
      <c r="D5339" s="68">
        <v>1176</v>
      </c>
      <c r="E5339" s="68"/>
      <c r="F5339" s="68">
        <v>308</v>
      </c>
      <c r="G5339" s="68">
        <v>1484</v>
      </c>
      <c r="H53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40" spans="1:8" x14ac:dyDescent="0.3">
      <c r="A5340" t="s">
        <v>42</v>
      </c>
      <c r="B5340" t="s">
        <v>76</v>
      </c>
      <c r="C5340" t="s">
        <v>27</v>
      </c>
      <c r="D5340" s="68"/>
      <c r="E5340" s="68">
        <v>151</v>
      </c>
      <c r="F5340" s="68"/>
      <c r="G5340" s="68">
        <v>151</v>
      </c>
      <c r="H53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41" spans="1:8" x14ac:dyDescent="0.3">
      <c r="A5341" t="s">
        <v>42</v>
      </c>
      <c r="B5341" t="s">
        <v>77</v>
      </c>
      <c r="C5341" t="s">
        <v>31</v>
      </c>
      <c r="D5341" s="68">
        <v>3021</v>
      </c>
      <c r="E5341" s="68"/>
      <c r="F5341" s="68">
        <v>17781</v>
      </c>
      <c r="G5341" s="68">
        <v>20802</v>
      </c>
      <c r="H53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42" spans="1:8" x14ac:dyDescent="0.3">
      <c r="A5342" t="s">
        <v>42</v>
      </c>
      <c r="B5342" t="s">
        <v>77</v>
      </c>
      <c r="C5342" t="s">
        <v>26</v>
      </c>
      <c r="D5342" s="68">
        <v>6592</v>
      </c>
      <c r="E5342" s="68"/>
      <c r="F5342" s="68">
        <v>4571</v>
      </c>
      <c r="G5342" s="68">
        <v>11163</v>
      </c>
      <c r="H53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43" spans="1:8" x14ac:dyDescent="0.3">
      <c r="A5343" t="s">
        <v>42</v>
      </c>
      <c r="B5343" t="s">
        <v>77</v>
      </c>
      <c r="C5343" t="s">
        <v>33</v>
      </c>
      <c r="D5343" s="68">
        <v>3324</v>
      </c>
      <c r="E5343" s="68"/>
      <c r="F5343" s="68">
        <v>1266</v>
      </c>
      <c r="G5343" s="68">
        <v>4590</v>
      </c>
      <c r="H53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44" spans="1:8" x14ac:dyDescent="0.3">
      <c r="A5344" t="s">
        <v>42</v>
      </c>
      <c r="B5344" t="s">
        <v>77</v>
      </c>
      <c r="C5344" t="s">
        <v>27</v>
      </c>
      <c r="D5344" s="68"/>
      <c r="E5344" s="68">
        <v>1135</v>
      </c>
      <c r="F5344" s="68"/>
      <c r="G5344" s="68">
        <v>1135</v>
      </c>
      <c r="H53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45" spans="1:8" x14ac:dyDescent="0.3">
      <c r="A5345" t="s">
        <v>42</v>
      </c>
      <c r="B5345" t="s">
        <v>77</v>
      </c>
      <c r="C5345" t="s">
        <v>36</v>
      </c>
      <c r="D5345" s="68">
        <v>25</v>
      </c>
      <c r="E5345" s="68"/>
      <c r="F5345" s="68">
        <v>18</v>
      </c>
      <c r="G5345" s="68">
        <v>43</v>
      </c>
      <c r="H53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46" spans="1:8" x14ac:dyDescent="0.3">
      <c r="A5346" t="s">
        <v>42</v>
      </c>
      <c r="B5346" t="s">
        <v>77</v>
      </c>
      <c r="C5346" t="s">
        <v>5</v>
      </c>
      <c r="D5346" s="68">
        <v>3</v>
      </c>
      <c r="E5346" s="68"/>
      <c r="F5346" s="68"/>
      <c r="G5346" s="68">
        <v>3</v>
      </c>
      <c r="H53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47" spans="1:8" x14ac:dyDescent="0.3">
      <c r="A5347" t="s">
        <v>42</v>
      </c>
      <c r="B5347" t="s">
        <v>53</v>
      </c>
      <c r="C5347" t="s">
        <v>40</v>
      </c>
      <c r="D5347" s="68">
        <v>572</v>
      </c>
      <c r="E5347" s="68"/>
      <c r="F5347" s="68">
        <v>4549</v>
      </c>
      <c r="G5347" s="68">
        <v>5121</v>
      </c>
      <c r="H53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48" spans="1:8" x14ac:dyDescent="0.3">
      <c r="A5348" t="s">
        <v>42</v>
      </c>
      <c r="B5348" t="s">
        <v>53</v>
      </c>
      <c r="C5348" t="s">
        <v>33</v>
      </c>
      <c r="D5348" s="68">
        <v>1938</v>
      </c>
      <c r="E5348" s="68"/>
      <c r="F5348" s="68">
        <v>542</v>
      </c>
      <c r="G5348" s="68">
        <v>2480</v>
      </c>
      <c r="H53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49" spans="1:8" x14ac:dyDescent="0.3">
      <c r="A5349" t="s">
        <v>42</v>
      </c>
      <c r="B5349" t="s">
        <v>53</v>
      </c>
      <c r="C5349" t="s">
        <v>26</v>
      </c>
      <c r="D5349" s="68">
        <v>1722</v>
      </c>
      <c r="E5349" s="68"/>
      <c r="F5349" s="68">
        <v>500</v>
      </c>
      <c r="G5349" s="68">
        <v>2222</v>
      </c>
      <c r="H53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50" spans="1:8" x14ac:dyDescent="0.3">
      <c r="A5350" t="s">
        <v>42</v>
      </c>
      <c r="B5350" t="s">
        <v>53</v>
      </c>
      <c r="C5350" t="s">
        <v>31</v>
      </c>
      <c r="D5350" s="68">
        <v>157</v>
      </c>
      <c r="E5350" s="68"/>
      <c r="F5350" s="68">
        <v>1390</v>
      </c>
      <c r="G5350" s="68">
        <v>1547</v>
      </c>
      <c r="H53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51" spans="1:8" x14ac:dyDescent="0.3">
      <c r="A5351" t="s">
        <v>42</v>
      </c>
      <c r="B5351" t="s">
        <v>53</v>
      </c>
      <c r="C5351" t="s">
        <v>27</v>
      </c>
      <c r="D5351" s="68"/>
      <c r="E5351" s="68">
        <v>92</v>
      </c>
      <c r="F5351" s="68"/>
      <c r="G5351" s="68">
        <v>92</v>
      </c>
      <c r="H53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52" spans="1:8" x14ac:dyDescent="0.3">
      <c r="A5352" t="s">
        <v>42</v>
      </c>
      <c r="B5352" t="s">
        <v>78</v>
      </c>
      <c r="C5352" t="s">
        <v>34</v>
      </c>
      <c r="D5352" s="68">
        <v>418440</v>
      </c>
      <c r="E5352" s="68"/>
      <c r="F5352" s="68">
        <v>69477</v>
      </c>
      <c r="G5352" s="68">
        <v>487917</v>
      </c>
      <c r="H53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53" spans="1:8" x14ac:dyDescent="0.3">
      <c r="A5353" t="s">
        <v>42</v>
      </c>
      <c r="B5353" t="s">
        <v>78</v>
      </c>
      <c r="C5353" t="s">
        <v>40</v>
      </c>
      <c r="D5353" s="68">
        <v>30767</v>
      </c>
      <c r="E5353" s="68"/>
      <c r="F5353" s="68">
        <v>362891</v>
      </c>
      <c r="G5353" s="68">
        <v>393658</v>
      </c>
      <c r="H53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54" spans="1:8" x14ac:dyDescent="0.3">
      <c r="A5354" t="s">
        <v>42</v>
      </c>
      <c r="B5354" t="s">
        <v>78</v>
      </c>
      <c r="C5354" t="s">
        <v>5</v>
      </c>
      <c r="D5354" s="68">
        <v>305137</v>
      </c>
      <c r="E5354" s="68"/>
      <c r="F5354" s="68">
        <v>36485</v>
      </c>
      <c r="G5354" s="68">
        <v>341622</v>
      </c>
      <c r="H53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55" spans="1:8" x14ac:dyDescent="0.3">
      <c r="A5355" t="s">
        <v>42</v>
      </c>
      <c r="B5355" t="s">
        <v>78</v>
      </c>
      <c r="C5355" t="s">
        <v>26</v>
      </c>
      <c r="D5355" s="68">
        <v>222586</v>
      </c>
      <c r="E5355" s="68"/>
      <c r="F5355" s="68">
        <v>73357</v>
      </c>
      <c r="G5355" s="68">
        <v>295943</v>
      </c>
      <c r="H53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56" spans="1:8" x14ac:dyDescent="0.3">
      <c r="A5356" t="s">
        <v>42</v>
      </c>
      <c r="B5356" t="s">
        <v>78</v>
      </c>
      <c r="C5356" t="s">
        <v>33</v>
      </c>
      <c r="D5356" s="68">
        <v>193281</v>
      </c>
      <c r="E5356" s="68"/>
      <c r="F5356" s="68">
        <v>66010</v>
      </c>
      <c r="G5356" s="68">
        <v>259291</v>
      </c>
      <c r="H53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57" spans="1:8" x14ac:dyDescent="0.3">
      <c r="A5357" t="s">
        <v>42</v>
      </c>
      <c r="B5357" t="s">
        <v>78</v>
      </c>
      <c r="C5357" t="s">
        <v>31</v>
      </c>
      <c r="D5357" s="68">
        <v>26279</v>
      </c>
      <c r="E5357" s="68"/>
      <c r="F5357" s="68">
        <v>216787</v>
      </c>
      <c r="G5357" s="68">
        <v>243066</v>
      </c>
      <c r="H53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58" spans="1:8" x14ac:dyDescent="0.3">
      <c r="A5358" t="s">
        <v>42</v>
      </c>
      <c r="B5358" t="s">
        <v>78</v>
      </c>
      <c r="C5358" t="s">
        <v>41</v>
      </c>
      <c r="D5358" s="68">
        <v>157115</v>
      </c>
      <c r="E5358" s="68"/>
      <c r="F5358" s="68">
        <v>40092</v>
      </c>
      <c r="G5358" s="68">
        <v>197207</v>
      </c>
      <c r="H53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59" spans="1:8" x14ac:dyDescent="0.3">
      <c r="A5359" t="s">
        <v>42</v>
      </c>
      <c r="B5359" t="s">
        <v>78</v>
      </c>
      <c r="C5359" t="s">
        <v>36</v>
      </c>
      <c r="D5359" s="68">
        <v>150490</v>
      </c>
      <c r="E5359" s="68"/>
      <c r="F5359" s="68">
        <v>44747</v>
      </c>
      <c r="G5359" s="68">
        <v>195237</v>
      </c>
      <c r="H53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60" spans="1:8" x14ac:dyDescent="0.3">
      <c r="A5360" t="s">
        <v>42</v>
      </c>
      <c r="B5360" t="s">
        <v>78</v>
      </c>
      <c r="C5360" t="s">
        <v>38</v>
      </c>
      <c r="D5360" s="68">
        <v>3612</v>
      </c>
      <c r="E5360" s="68"/>
      <c r="F5360" s="68">
        <v>36466</v>
      </c>
      <c r="G5360" s="68">
        <v>40078</v>
      </c>
      <c r="H53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61" spans="1:8" x14ac:dyDescent="0.3">
      <c r="A5361" t="s">
        <v>42</v>
      </c>
      <c r="B5361" t="s">
        <v>78</v>
      </c>
      <c r="C5361" t="s">
        <v>27</v>
      </c>
      <c r="D5361" s="68"/>
      <c r="E5361" s="68">
        <v>35997</v>
      </c>
      <c r="F5361" s="68"/>
      <c r="G5361" s="68">
        <v>35997</v>
      </c>
      <c r="H53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62" spans="1:8" x14ac:dyDescent="0.3">
      <c r="A5362" t="s">
        <v>42</v>
      </c>
      <c r="B5362" t="s">
        <v>78</v>
      </c>
      <c r="C5362" t="s">
        <v>37</v>
      </c>
      <c r="D5362" s="68">
        <v>4868</v>
      </c>
      <c r="E5362" s="68"/>
      <c r="F5362" s="68">
        <v>4147</v>
      </c>
      <c r="G5362" s="68">
        <v>9015</v>
      </c>
      <c r="H53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63" spans="1:8" x14ac:dyDescent="0.3">
      <c r="A5363" t="s">
        <v>42</v>
      </c>
      <c r="B5363" t="s">
        <v>78</v>
      </c>
      <c r="C5363" t="s">
        <v>35</v>
      </c>
      <c r="D5363" s="68">
        <v>4142</v>
      </c>
      <c r="E5363" s="68"/>
      <c r="F5363" s="68"/>
      <c r="G5363" s="68">
        <v>4142</v>
      </c>
      <c r="H53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64" spans="1:8" x14ac:dyDescent="0.3">
      <c r="A5364" t="s">
        <v>42</v>
      </c>
      <c r="B5364" t="s">
        <v>78</v>
      </c>
      <c r="C5364" t="s">
        <v>25</v>
      </c>
      <c r="D5364" s="68">
        <v>529</v>
      </c>
      <c r="E5364" s="68"/>
      <c r="F5364" s="68">
        <v>2809</v>
      </c>
      <c r="G5364" s="68">
        <v>3338</v>
      </c>
      <c r="H53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65" spans="1:8" x14ac:dyDescent="0.3">
      <c r="A5365" t="s">
        <v>42</v>
      </c>
      <c r="B5365" t="s">
        <v>78</v>
      </c>
      <c r="C5365" t="s">
        <v>32</v>
      </c>
      <c r="D5365" s="68">
        <v>5</v>
      </c>
      <c r="E5365" s="68"/>
      <c r="F5365" s="68"/>
      <c r="G5365" s="68">
        <v>5</v>
      </c>
      <c r="H53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66" spans="1:8" x14ac:dyDescent="0.3">
      <c r="A5366" t="s">
        <v>42</v>
      </c>
      <c r="B5366" t="s">
        <v>79</v>
      </c>
      <c r="C5366" t="s">
        <v>40</v>
      </c>
      <c r="D5366" s="68">
        <v>1188</v>
      </c>
      <c r="E5366" s="68"/>
      <c r="F5366" s="68">
        <v>20877</v>
      </c>
      <c r="G5366" s="68">
        <v>22065</v>
      </c>
      <c r="H53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67" spans="1:8" x14ac:dyDescent="0.3">
      <c r="A5367" t="s">
        <v>42</v>
      </c>
      <c r="B5367" t="s">
        <v>79</v>
      </c>
      <c r="C5367" t="s">
        <v>26</v>
      </c>
      <c r="D5367" s="68">
        <v>3914</v>
      </c>
      <c r="E5367" s="68"/>
      <c r="F5367" s="68">
        <v>8434</v>
      </c>
      <c r="G5367" s="68">
        <v>12348</v>
      </c>
      <c r="H53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68" spans="1:8" x14ac:dyDescent="0.3">
      <c r="A5368" t="s">
        <v>42</v>
      </c>
      <c r="B5368" t="s">
        <v>79</v>
      </c>
      <c r="C5368" t="s">
        <v>33</v>
      </c>
      <c r="D5368" s="68">
        <v>3352</v>
      </c>
      <c r="E5368" s="68"/>
      <c r="F5368" s="68">
        <v>622</v>
      </c>
      <c r="G5368" s="68">
        <v>3974</v>
      </c>
      <c r="H53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69" spans="1:8" x14ac:dyDescent="0.3">
      <c r="A5369" t="s">
        <v>42</v>
      </c>
      <c r="B5369" t="s">
        <v>79</v>
      </c>
      <c r="C5369" t="s">
        <v>27</v>
      </c>
      <c r="D5369" s="68"/>
      <c r="E5369" s="68">
        <v>790</v>
      </c>
      <c r="F5369" s="68"/>
      <c r="G5369" s="68">
        <v>790</v>
      </c>
      <c r="H53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70" spans="1:8" x14ac:dyDescent="0.3">
      <c r="A5370" t="s">
        <v>42</v>
      </c>
      <c r="B5370" t="s">
        <v>79</v>
      </c>
      <c r="C5370" t="s">
        <v>36</v>
      </c>
      <c r="D5370" s="68">
        <v>42</v>
      </c>
      <c r="E5370" s="68"/>
      <c r="F5370" s="68">
        <v>48</v>
      </c>
      <c r="G5370" s="68">
        <v>90</v>
      </c>
      <c r="H53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71" spans="1:8" x14ac:dyDescent="0.3">
      <c r="A5371" t="s">
        <v>42</v>
      </c>
      <c r="B5371" t="s">
        <v>79</v>
      </c>
      <c r="C5371" t="s">
        <v>31</v>
      </c>
      <c r="D5371" s="68">
        <v>1</v>
      </c>
      <c r="E5371" s="68"/>
      <c r="F5371" s="68"/>
      <c r="G5371" s="68">
        <v>1</v>
      </c>
      <c r="H53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72" spans="1:8" x14ac:dyDescent="0.3">
      <c r="A5372" t="s">
        <v>42</v>
      </c>
      <c r="B5372" t="s">
        <v>79</v>
      </c>
      <c r="C5372" t="s">
        <v>5</v>
      </c>
      <c r="D5372" s="68"/>
      <c r="E5372" s="68"/>
      <c r="F5372" s="68">
        <v>1</v>
      </c>
      <c r="G5372" s="68">
        <v>1</v>
      </c>
      <c r="H53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73" spans="1:8" x14ac:dyDescent="0.3">
      <c r="A5373" t="s">
        <v>42</v>
      </c>
      <c r="B5373" t="s">
        <v>80</v>
      </c>
      <c r="C5373" t="s">
        <v>26</v>
      </c>
      <c r="D5373" s="68">
        <v>2431</v>
      </c>
      <c r="E5373" s="68"/>
      <c r="F5373" s="68">
        <v>9829</v>
      </c>
      <c r="G5373" s="68">
        <v>12260</v>
      </c>
      <c r="H53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74" spans="1:8" x14ac:dyDescent="0.3">
      <c r="A5374" t="s">
        <v>42</v>
      </c>
      <c r="B5374" t="s">
        <v>80</v>
      </c>
      <c r="C5374" t="s">
        <v>27</v>
      </c>
      <c r="D5374" s="68"/>
      <c r="E5374" s="68">
        <v>197</v>
      </c>
      <c r="F5374" s="68"/>
      <c r="G5374" s="68">
        <v>197</v>
      </c>
      <c r="H53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75" spans="1:8" x14ac:dyDescent="0.3">
      <c r="A5375" t="s">
        <v>42</v>
      </c>
      <c r="B5375" t="s">
        <v>80</v>
      </c>
      <c r="C5375" t="s">
        <v>33</v>
      </c>
      <c r="D5375" s="68">
        <v>11</v>
      </c>
      <c r="E5375" s="68"/>
      <c r="F5375" s="68">
        <v>4</v>
      </c>
      <c r="G5375" s="68">
        <v>15</v>
      </c>
      <c r="H53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76" spans="1:8" x14ac:dyDescent="0.3">
      <c r="A5376" t="s">
        <v>42</v>
      </c>
      <c r="B5376" t="s">
        <v>80</v>
      </c>
      <c r="C5376" t="s">
        <v>36</v>
      </c>
      <c r="D5376" s="68">
        <v>9</v>
      </c>
      <c r="E5376" s="68"/>
      <c r="F5376" s="68">
        <v>3</v>
      </c>
      <c r="G5376" s="68">
        <v>12</v>
      </c>
      <c r="H53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77" spans="1:8" x14ac:dyDescent="0.3">
      <c r="A5377" t="s">
        <v>42</v>
      </c>
      <c r="B5377" t="s">
        <v>81</v>
      </c>
      <c r="C5377" t="s">
        <v>26</v>
      </c>
      <c r="D5377" s="68">
        <v>2471</v>
      </c>
      <c r="E5377" s="68"/>
      <c r="F5377" s="68">
        <v>11246</v>
      </c>
      <c r="G5377" s="68">
        <v>13717</v>
      </c>
      <c r="H53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78" spans="1:8" x14ac:dyDescent="0.3">
      <c r="A5378" t="s">
        <v>42</v>
      </c>
      <c r="B5378" t="s">
        <v>81</v>
      </c>
      <c r="C5378" t="s">
        <v>40</v>
      </c>
      <c r="D5378" s="68">
        <v>231</v>
      </c>
      <c r="E5378" s="68"/>
      <c r="F5378" s="68">
        <v>3161</v>
      </c>
      <c r="G5378" s="68">
        <v>3392</v>
      </c>
      <c r="H53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79" spans="1:8" x14ac:dyDescent="0.3">
      <c r="A5379" t="s">
        <v>42</v>
      </c>
      <c r="B5379" t="s">
        <v>81</v>
      </c>
      <c r="C5379" t="s">
        <v>27</v>
      </c>
      <c r="D5379" s="68"/>
      <c r="E5379" s="68">
        <v>195</v>
      </c>
      <c r="F5379" s="68"/>
      <c r="G5379" s="68">
        <v>195</v>
      </c>
      <c r="H53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80" spans="1:8" x14ac:dyDescent="0.3">
      <c r="A5380" t="s">
        <v>42</v>
      </c>
      <c r="B5380" t="s">
        <v>81</v>
      </c>
      <c r="C5380" t="s">
        <v>33</v>
      </c>
      <c r="D5380" s="68">
        <v>4</v>
      </c>
      <c r="E5380" s="68"/>
      <c r="F5380" s="68">
        <v>1</v>
      </c>
      <c r="G5380" s="68">
        <v>5</v>
      </c>
      <c r="H53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81" spans="1:8" x14ac:dyDescent="0.3">
      <c r="A5381" t="s">
        <v>42</v>
      </c>
      <c r="B5381" t="s">
        <v>81</v>
      </c>
      <c r="C5381" t="s">
        <v>5</v>
      </c>
      <c r="D5381" s="68">
        <v>2</v>
      </c>
      <c r="E5381" s="68"/>
      <c r="F5381" s="68"/>
      <c r="G5381" s="68">
        <v>2</v>
      </c>
      <c r="H53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82" spans="1:8" x14ac:dyDescent="0.3">
      <c r="A5382" t="s">
        <v>42</v>
      </c>
      <c r="B5382" t="s">
        <v>82</v>
      </c>
      <c r="C5382" t="s">
        <v>26</v>
      </c>
      <c r="D5382" s="68">
        <v>40103</v>
      </c>
      <c r="E5382" s="68"/>
      <c r="F5382" s="68">
        <v>29747</v>
      </c>
      <c r="G5382" s="68">
        <v>69850</v>
      </c>
      <c r="H53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83" spans="1:8" x14ac:dyDescent="0.3">
      <c r="A5383" t="s">
        <v>42</v>
      </c>
      <c r="B5383" t="s">
        <v>82</v>
      </c>
      <c r="C5383" t="s">
        <v>40</v>
      </c>
      <c r="D5383" s="68">
        <v>4636</v>
      </c>
      <c r="E5383" s="68"/>
      <c r="F5383" s="68">
        <v>54216</v>
      </c>
      <c r="G5383" s="68">
        <v>58852</v>
      </c>
      <c r="H53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84" spans="1:8" x14ac:dyDescent="0.3">
      <c r="A5384" t="s">
        <v>42</v>
      </c>
      <c r="B5384" t="s">
        <v>82</v>
      </c>
      <c r="C5384" t="s">
        <v>5</v>
      </c>
      <c r="D5384" s="68">
        <v>30483</v>
      </c>
      <c r="E5384" s="68"/>
      <c r="F5384" s="68">
        <v>11383</v>
      </c>
      <c r="G5384" s="68">
        <v>41866</v>
      </c>
      <c r="H53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85" spans="1:8" x14ac:dyDescent="0.3">
      <c r="A5385" t="s">
        <v>42</v>
      </c>
      <c r="B5385" t="s">
        <v>82</v>
      </c>
      <c r="C5385" t="s">
        <v>33</v>
      </c>
      <c r="D5385" s="68">
        <v>21319</v>
      </c>
      <c r="E5385" s="68"/>
      <c r="F5385" s="68">
        <v>8026</v>
      </c>
      <c r="G5385" s="68">
        <v>29345</v>
      </c>
      <c r="H53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86" spans="1:8" x14ac:dyDescent="0.3">
      <c r="A5386" t="s">
        <v>42</v>
      </c>
      <c r="B5386" t="s">
        <v>82</v>
      </c>
      <c r="C5386" t="s">
        <v>34</v>
      </c>
      <c r="D5386" s="68">
        <v>3967</v>
      </c>
      <c r="E5386" s="68"/>
      <c r="F5386" s="68">
        <v>2533</v>
      </c>
      <c r="G5386" s="68">
        <v>6500</v>
      </c>
      <c r="H53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87" spans="1:8" x14ac:dyDescent="0.3">
      <c r="A5387" t="s">
        <v>42</v>
      </c>
      <c r="B5387" t="s">
        <v>82</v>
      </c>
      <c r="C5387" t="s">
        <v>38</v>
      </c>
      <c r="D5387" s="68">
        <v>379</v>
      </c>
      <c r="E5387" s="68"/>
      <c r="F5387" s="68">
        <v>5424</v>
      </c>
      <c r="G5387" s="68">
        <v>5803</v>
      </c>
      <c r="H53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88" spans="1:8" x14ac:dyDescent="0.3">
      <c r="A5388" t="s">
        <v>42</v>
      </c>
      <c r="B5388" t="s">
        <v>82</v>
      </c>
      <c r="C5388" t="s">
        <v>27</v>
      </c>
      <c r="D5388" s="68"/>
      <c r="E5388" s="68">
        <v>4216</v>
      </c>
      <c r="F5388" s="68"/>
      <c r="G5388" s="68">
        <v>4216</v>
      </c>
      <c r="H53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89" spans="1:8" x14ac:dyDescent="0.3">
      <c r="A5389" t="s">
        <v>42</v>
      </c>
      <c r="B5389" t="s">
        <v>82</v>
      </c>
      <c r="C5389" t="s">
        <v>36</v>
      </c>
      <c r="D5389" s="68">
        <v>2030</v>
      </c>
      <c r="E5389" s="68"/>
      <c r="F5389" s="68">
        <v>773</v>
      </c>
      <c r="G5389" s="68">
        <v>2803</v>
      </c>
      <c r="H53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90" spans="1:8" x14ac:dyDescent="0.3">
      <c r="A5390" t="s">
        <v>42</v>
      </c>
      <c r="B5390" t="s">
        <v>82</v>
      </c>
      <c r="C5390" t="s">
        <v>37</v>
      </c>
      <c r="D5390" s="68">
        <v>478</v>
      </c>
      <c r="E5390" s="68"/>
      <c r="F5390" s="68">
        <v>1752</v>
      </c>
      <c r="G5390" s="68">
        <v>2230</v>
      </c>
      <c r="H53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91" spans="1:8" x14ac:dyDescent="0.3">
      <c r="A5391" t="s">
        <v>42</v>
      </c>
      <c r="B5391" t="s">
        <v>82</v>
      </c>
      <c r="C5391" t="s">
        <v>35</v>
      </c>
      <c r="D5391" s="68">
        <v>180</v>
      </c>
      <c r="E5391" s="68"/>
      <c r="F5391" s="68"/>
      <c r="G5391" s="68">
        <v>180</v>
      </c>
      <c r="H53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92" spans="1:8" x14ac:dyDescent="0.3">
      <c r="A5392" t="s">
        <v>42</v>
      </c>
      <c r="B5392" t="s">
        <v>82</v>
      </c>
      <c r="C5392" t="s">
        <v>41</v>
      </c>
      <c r="D5392" s="68"/>
      <c r="E5392" s="68"/>
      <c r="F5392" s="68">
        <v>1</v>
      </c>
      <c r="G5392" s="68">
        <v>1</v>
      </c>
      <c r="H53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93" spans="1:8" x14ac:dyDescent="0.3">
      <c r="A5393" t="s">
        <v>42</v>
      </c>
      <c r="B5393" t="s">
        <v>83</v>
      </c>
      <c r="C5393" t="s">
        <v>26</v>
      </c>
      <c r="D5393" s="68">
        <v>787</v>
      </c>
      <c r="E5393" s="68"/>
      <c r="F5393" s="68">
        <v>1277</v>
      </c>
      <c r="G5393" s="68">
        <v>2064</v>
      </c>
      <c r="H53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94" spans="1:8" x14ac:dyDescent="0.3">
      <c r="A5394" t="s">
        <v>42</v>
      </c>
      <c r="B5394" t="s">
        <v>83</v>
      </c>
      <c r="C5394" t="s">
        <v>31</v>
      </c>
      <c r="D5394" s="68">
        <v>139</v>
      </c>
      <c r="E5394" s="68"/>
      <c r="F5394" s="68">
        <v>1454</v>
      </c>
      <c r="G5394" s="68">
        <v>1593</v>
      </c>
      <c r="H53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95" spans="1:8" x14ac:dyDescent="0.3">
      <c r="A5395" t="s">
        <v>42</v>
      </c>
      <c r="B5395" t="s">
        <v>83</v>
      </c>
      <c r="C5395" t="s">
        <v>27</v>
      </c>
      <c r="D5395" s="68"/>
      <c r="E5395" s="68">
        <v>47</v>
      </c>
      <c r="F5395" s="68"/>
      <c r="G5395" s="68">
        <v>47</v>
      </c>
      <c r="H53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396" spans="1:8" x14ac:dyDescent="0.3">
      <c r="A5396" t="s">
        <v>42</v>
      </c>
      <c r="B5396" t="s">
        <v>83</v>
      </c>
      <c r="C5396" t="s">
        <v>33</v>
      </c>
      <c r="D5396" s="68">
        <v>3</v>
      </c>
      <c r="E5396" s="68"/>
      <c r="F5396" s="68"/>
      <c r="G5396" s="68">
        <v>3</v>
      </c>
      <c r="H53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97" spans="1:8" x14ac:dyDescent="0.3">
      <c r="A5397" t="s">
        <v>42</v>
      </c>
      <c r="B5397" t="s">
        <v>84</v>
      </c>
      <c r="C5397" t="s">
        <v>40</v>
      </c>
      <c r="D5397" s="68">
        <v>336</v>
      </c>
      <c r="E5397" s="68"/>
      <c r="F5397" s="68">
        <v>5004</v>
      </c>
      <c r="G5397" s="68">
        <v>5340</v>
      </c>
      <c r="H53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98" spans="1:8" x14ac:dyDescent="0.3">
      <c r="A5398" t="s">
        <v>42</v>
      </c>
      <c r="B5398" t="s">
        <v>84</v>
      </c>
      <c r="C5398" t="s">
        <v>26</v>
      </c>
      <c r="D5398" s="68">
        <v>593</v>
      </c>
      <c r="E5398" s="68"/>
      <c r="F5398" s="68">
        <v>277</v>
      </c>
      <c r="G5398" s="68">
        <v>870</v>
      </c>
      <c r="H53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99" spans="1:8" x14ac:dyDescent="0.3">
      <c r="A5399" t="s">
        <v>42</v>
      </c>
      <c r="B5399" t="s">
        <v>84</v>
      </c>
      <c r="C5399" t="s">
        <v>33</v>
      </c>
      <c r="D5399" s="68">
        <v>347</v>
      </c>
      <c r="E5399" s="68"/>
      <c r="F5399" s="68">
        <v>103</v>
      </c>
      <c r="G5399" s="68">
        <v>450</v>
      </c>
      <c r="H53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00" spans="1:8" x14ac:dyDescent="0.3">
      <c r="A5400" t="s">
        <v>42</v>
      </c>
      <c r="B5400" t="s">
        <v>84</v>
      </c>
      <c r="C5400" t="s">
        <v>27</v>
      </c>
      <c r="D5400" s="68"/>
      <c r="E5400" s="68">
        <v>137</v>
      </c>
      <c r="F5400" s="68"/>
      <c r="G5400" s="68">
        <v>137</v>
      </c>
      <c r="H54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01" spans="1:8" x14ac:dyDescent="0.3">
      <c r="A5401" t="s">
        <v>42</v>
      </c>
      <c r="B5401" t="s">
        <v>85</v>
      </c>
      <c r="C5401" t="s">
        <v>31</v>
      </c>
      <c r="D5401" s="68">
        <v>613</v>
      </c>
      <c r="E5401" s="68"/>
      <c r="F5401" s="68">
        <v>5421</v>
      </c>
      <c r="G5401" s="68">
        <v>6034</v>
      </c>
      <c r="H54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02" spans="1:8" x14ac:dyDescent="0.3">
      <c r="A5402" t="s">
        <v>42</v>
      </c>
      <c r="B5402" t="s">
        <v>85</v>
      </c>
      <c r="C5402" t="s">
        <v>33</v>
      </c>
      <c r="D5402" s="68">
        <v>1672</v>
      </c>
      <c r="E5402" s="68"/>
      <c r="F5402" s="68">
        <v>635</v>
      </c>
      <c r="G5402" s="68">
        <v>2307</v>
      </c>
      <c r="H54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03" spans="1:8" x14ac:dyDescent="0.3">
      <c r="A5403" t="s">
        <v>42</v>
      </c>
      <c r="B5403" t="s">
        <v>85</v>
      </c>
      <c r="C5403" t="s">
        <v>26</v>
      </c>
      <c r="D5403" s="68">
        <v>774</v>
      </c>
      <c r="E5403" s="68"/>
      <c r="F5403" s="68">
        <v>269</v>
      </c>
      <c r="G5403" s="68">
        <v>1043</v>
      </c>
      <c r="H54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04" spans="1:8" x14ac:dyDescent="0.3">
      <c r="A5404" t="s">
        <v>42</v>
      </c>
      <c r="B5404" t="s">
        <v>85</v>
      </c>
      <c r="C5404" t="s">
        <v>27</v>
      </c>
      <c r="D5404" s="68"/>
      <c r="E5404" s="68">
        <v>120</v>
      </c>
      <c r="F5404" s="68"/>
      <c r="G5404" s="68">
        <v>120</v>
      </c>
      <c r="H54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05" spans="1:8" x14ac:dyDescent="0.3">
      <c r="A5405" t="s">
        <v>42</v>
      </c>
      <c r="B5405" t="s">
        <v>86</v>
      </c>
      <c r="C5405" t="s">
        <v>40</v>
      </c>
      <c r="D5405" s="68">
        <v>801</v>
      </c>
      <c r="E5405" s="68"/>
      <c r="F5405" s="68">
        <v>6815</v>
      </c>
      <c r="G5405" s="68">
        <v>7616</v>
      </c>
      <c r="H54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06" spans="1:8" x14ac:dyDescent="0.3">
      <c r="A5406" t="s">
        <v>42</v>
      </c>
      <c r="B5406" t="s">
        <v>86</v>
      </c>
      <c r="C5406" t="s">
        <v>26</v>
      </c>
      <c r="D5406" s="68">
        <v>2184</v>
      </c>
      <c r="E5406" s="68"/>
      <c r="F5406" s="68">
        <v>1059</v>
      </c>
      <c r="G5406" s="68">
        <v>3243</v>
      </c>
      <c r="H54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07" spans="1:8" x14ac:dyDescent="0.3">
      <c r="A5407" t="s">
        <v>42</v>
      </c>
      <c r="B5407" t="s">
        <v>86</v>
      </c>
      <c r="C5407" t="s">
        <v>33</v>
      </c>
      <c r="D5407" s="68">
        <v>1983</v>
      </c>
      <c r="E5407" s="68"/>
      <c r="F5407" s="68">
        <v>666</v>
      </c>
      <c r="G5407" s="68">
        <v>2649</v>
      </c>
      <c r="H54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08" spans="1:8" x14ac:dyDescent="0.3">
      <c r="A5408" t="s">
        <v>42</v>
      </c>
      <c r="B5408" t="s">
        <v>86</v>
      </c>
      <c r="C5408" t="s">
        <v>27</v>
      </c>
      <c r="D5408" s="68"/>
      <c r="E5408" s="68">
        <v>111</v>
      </c>
      <c r="F5408" s="68"/>
      <c r="G5408" s="68">
        <v>111</v>
      </c>
      <c r="H54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09" spans="1:8" x14ac:dyDescent="0.3">
      <c r="A5409" t="s">
        <v>42</v>
      </c>
      <c r="B5409" t="s">
        <v>86</v>
      </c>
      <c r="C5409" t="s">
        <v>5</v>
      </c>
      <c r="D5409" s="68">
        <v>2</v>
      </c>
      <c r="E5409" s="68"/>
      <c r="F5409" s="68"/>
      <c r="G5409" s="68">
        <v>2</v>
      </c>
      <c r="H54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10" spans="1:8" x14ac:dyDescent="0.3">
      <c r="A5410" t="s">
        <v>42</v>
      </c>
      <c r="B5410" t="s">
        <v>87</v>
      </c>
      <c r="C5410" t="s">
        <v>26</v>
      </c>
      <c r="D5410" s="68">
        <v>15964</v>
      </c>
      <c r="E5410" s="68"/>
      <c r="F5410" s="68">
        <v>10057</v>
      </c>
      <c r="G5410" s="68">
        <v>26021</v>
      </c>
      <c r="H54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11" spans="1:8" x14ac:dyDescent="0.3">
      <c r="A5411" t="s">
        <v>42</v>
      </c>
      <c r="B5411" t="s">
        <v>87</v>
      </c>
      <c r="C5411" t="s">
        <v>38</v>
      </c>
      <c r="D5411" s="68">
        <v>1870</v>
      </c>
      <c r="E5411" s="68"/>
      <c r="F5411" s="68">
        <v>23246</v>
      </c>
      <c r="G5411" s="68">
        <v>25116</v>
      </c>
      <c r="H54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12" spans="1:8" x14ac:dyDescent="0.3">
      <c r="A5412" t="s">
        <v>42</v>
      </c>
      <c r="B5412" t="s">
        <v>87</v>
      </c>
      <c r="C5412" t="s">
        <v>33</v>
      </c>
      <c r="D5412" s="68">
        <v>18183</v>
      </c>
      <c r="E5412" s="68"/>
      <c r="F5412" s="68">
        <v>6540</v>
      </c>
      <c r="G5412" s="68">
        <v>24723</v>
      </c>
      <c r="H54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13" spans="1:8" x14ac:dyDescent="0.3">
      <c r="A5413" t="s">
        <v>42</v>
      </c>
      <c r="B5413" t="s">
        <v>87</v>
      </c>
      <c r="C5413" t="s">
        <v>41</v>
      </c>
      <c r="D5413" s="68">
        <v>10013</v>
      </c>
      <c r="E5413" s="68"/>
      <c r="F5413" s="68">
        <v>2631</v>
      </c>
      <c r="G5413" s="68">
        <v>12644</v>
      </c>
      <c r="H54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14" spans="1:8" x14ac:dyDescent="0.3">
      <c r="A5414" t="s">
        <v>42</v>
      </c>
      <c r="B5414" t="s">
        <v>87</v>
      </c>
      <c r="C5414" t="s">
        <v>36</v>
      </c>
      <c r="D5414" s="68">
        <v>6503</v>
      </c>
      <c r="E5414" s="68"/>
      <c r="F5414" s="68">
        <v>2326</v>
      </c>
      <c r="G5414" s="68">
        <v>8829</v>
      </c>
      <c r="H54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15" spans="1:8" x14ac:dyDescent="0.3">
      <c r="A5415" t="s">
        <v>42</v>
      </c>
      <c r="B5415" t="s">
        <v>87</v>
      </c>
      <c r="C5415" t="s">
        <v>5</v>
      </c>
      <c r="D5415" s="68">
        <v>7227</v>
      </c>
      <c r="E5415" s="68"/>
      <c r="F5415" s="68">
        <v>1177</v>
      </c>
      <c r="G5415" s="68">
        <v>8404</v>
      </c>
      <c r="H54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16" spans="1:8" x14ac:dyDescent="0.3">
      <c r="A5416" t="s">
        <v>42</v>
      </c>
      <c r="B5416" t="s">
        <v>87</v>
      </c>
      <c r="C5416" t="s">
        <v>31</v>
      </c>
      <c r="D5416" s="68">
        <v>417</v>
      </c>
      <c r="E5416" s="68"/>
      <c r="F5416" s="68">
        <v>3264</v>
      </c>
      <c r="G5416" s="68">
        <v>3681</v>
      </c>
      <c r="H54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17" spans="1:8" x14ac:dyDescent="0.3">
      <c r="A5417" t="s">
        <v>42</v>
      </c>
      <c r="B5417" t="s">
        <v>87</v>
      </c>
      <c r="C5417" t="s">
        <v>34</v>
      </c>
      <c r="D5417" s="68">
        <v>2951</v>
      </c>
      <c r="E5417" s="68"/>
      <c r="F5417" s="68">
        <v>491</v>
      </c>
      <c r="G5417" s="68">
        <v>3442</v>
      </c>
      <c r="H54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18" spans="1:8" x14ac:dyDescent="0.3">
      <c r="A5418" t="s">
        <v>42</v>
      </c>
      <c r="B5418" t="s">
        <v>87</v>
      </c>
      <c r="C5418" t="s">
        <v>27</v>
      </c>
      <c r="D5418" s="68"/>
      <c r="E5418" s="68">
        <v>1094</v>
      </c>
      <c r="F5418" s="68"/>
      <c r="G5418" s="68">
        <v>1094</v>
      </c>
      <c r="H54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19" spans="1:8" x14ac:dyDescent="0.3">
      <c r="A5419" t="s">
        <v>42</v>
      </c>
      <c r="B5419" t="s">
        <v>87</v>
      </c>
      <c r="C5419" t="s">
        <v>35</v>
      </c>
      <c r="D5419" s="68">
        <v>96</v>
      </c>
      <c r="E5419" s="68"/>
      <c r="F5419" s="68"/>
      <c r="G5419" s="68">
        <v>96</v>
      </c>
      <c r="H54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20" spans="1:8" x14ac:dyDescent="0.3">
      <c r="A5420" t="s">
        <v>42</v>
      </c>
      <c r="B5420" t="s">
        <v>88</v>
      </c>
      <c r="C5420" t="s">
        <v>26</v>
      </c>
      <c r="D5420" s="68">
        <v>13820</v>
      </c>
      <c r="E5420" s="68"/>
      <c r="F5420" s="68">
        <v>4493</v>
      </c>
      <c r="G5420" s="68">
        <v>18313</v>
      </c>
      <c r="H54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21" spans="1:8" x14ac:dyDescent="0.3">
      <c r="A5421" t="s">
        <v>42</v>
      </c>
      <c r="B5421" t="s">
        <v>88</v>
      </c>
      <c r="C5421" t="s">
        <v>40</v>
      </c>
      <c r="D5421" s="68">
        <v>1590</v>
      </c>
      <c r="E5421" s="68"/>
      <c r="F5421" s="68">
        <v>13817</v>
      </c>
      <c r="G5421" s="68">
        <v>15407</v>
      </c>
      <c r="H54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22" spans="1:8" x14ac:dyDescent="0.3">
      <c r="A5422" t="s">
        <v>42</v>
      </c>
      <c r="B5422" t="s">
        <v>88</v>
      </c>
      <c r="C5422" t="s">
        <v>31</v>
      </c>
      <c r="D5422" s="68">
        <v>1210</v>
      </c>
      <c r="E5422" s="68"/>
      <c r="F5422" s="68">
        <v>4336</v>
      </c>
      <c r="G5422" s="68">
        <v>5546</v>
      </c>
      <c r="H54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23" spans="1:8" x14ac:dyDescent="0.3">
      <c r="A5423" t="s">
        <v>42</v>
      </c>
      <c r="B5423" t="s">
        <v>88</v>
      </c>
      <c r="C5423" t="s">
        <v>33</v>
      </c>
      <c r="D5423" s="68">
        <v>2316</v>
      </c>
      <c r="E5423" s="68"/>
      <c r="F5423" s="68">
        <v>902</v>
      </c>
      <c r="G5423" s="68">
        <v>3218</v>
      </c>
      <c r="H54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24" spans="1:8" x14ac:dyDescent="0.3">
      <c r="A5424" t="s">
        <v>42</v>
      </c>
      <c r="B5424" t="s">
        <v>88</v>
      </c>
      <c r="C5424" t="s">
        <v>27</v>
      </c>
      <c r="D5424" s="68"/>
      <c r="E5424" s="68">
        <v>774</v>
      </c>
      <c r="F5424" s="68"/>
      <c r="G5424" s="68">
        <v>774</v>
      </c>
      <c r="H54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25" spans="1:8" x14ac:dyDescent="0.3">
      <c r="A5425" t="s">
        <v>42</v>
      </c>
      <c r="B5425" t="s">
        <v>88</v>
      </c>
      <c r="C5425" t="s">
        <v>36</v>
      </c>
      <c r="D5425" s="68">
        <v>37</v>
      </c>
      <c r="E5425" s="68"/>
      <c r="F5425" s="68">
        <v>14</v>
      </c>
      <c r="G5425" s="68">
        <v>51</v>
      </c>
      <c r="H54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26" spans="1:8" x14ac:dyDescent="0.3">
      <c r="A5426" t="s">
        <v>42</v>
      </c>
      <c r="B5426" t="s">
        <v>88</v>
      </c>
      <c r="C5426" t="s">
        <v>35</v>
      </c>
      <c r="D5426" s="68">
        <v>47</v>
      </c>
      <c r="E5426" s="68"/>
      <c r="F5426" s="68"/>
      <c r="G5426" s="68">
        <v>47</v>
      </c>
      <c r="H54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27" spans="1:8" x14ac:dyDescent="0.3">
      <c r="A5427" t="s">
        <v>42</v>
      </c>
      <c r="B5427" t="s">
        <v>88</v>
      </c>
      <c r="C5427" t="s">
        <v>5</v>
      </c>
      <c r="D5427" s="68">
        <v>1</v>
      </c>
      <c r="E5427" s="68"/>
      <c r="F5427" s="68">
        <v>1</v>
      </c>
      <c r="G5427" s="68">
        <v>2</v>
      </c>
      <c r="H54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28" spans="1:8" hidden="1" x14ac:dyDescent="0.3">
      <c r="A5428" t="s">
        <v>1559</v>
      </c>
      <c r="B5428" t="s">
        <v>1560</v>
      </c>
      <c r="C5428" t="s">
        <v>26</v>
      </c>
      <c r="D5428" s="68">
        <v>263</v>
      </c>
      <c r="E5428" s="68"/>
      <c r="F5428" s="68">
        <v>1908</v>
      </c>
      <c r="G5428" s="68">
        <v>2171</v>
      </c>
      <c r="H54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29" spans="1:8" hidden="1" x14ac:dyDescent="0.3">
      <c r="A5429" t="s">
        <v>1559</v>
      </c>
      <c r="B5429" t="s">
        <v>1560</v>
      </c>
      <c r="C5429" t="s">
        <v>27</v>
      </c>
      <c r="D5429" s="68"/>
      <c r="E5429" s="68">
        <v>25</v>
      </c>
      <c r="F5429" s="68"/>
      <c r="G5429" s="68">
        <v>25</v>
      </c>
      <c r="H54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30" spans="1:8" hidden="1" x14ac:dyDescent="0.3">
      <c r="A5430" t="s">
        <v>1559</v>
      </c>
      <c r="B5430" t="s">
        <v>1561</v>
      </c>
      <c r="C5430" t="s">
        <v>26</v>
      </c>
      <c r="D5430" s="68">
        <v>4954</v>
      </c>
      <c r="E5430" s="68"/>
      <c r="F5430" s="68">
        <v>16860</v>
      </c>
      <c r="G5430" s="68">
        <v>21814</v>
      </c>
      <c r="H54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31" spans="1:8" hidden="1" x14ac:dyDescent="0.3">
      <c r="A5431" t="s">
        <v>1559</v>
      </c>
      <c r="B5431" t="s">
        <v>1561</v>
      </c>
      <c r="C5431" t="s">
        <v>25</v>
      </c>
      <c r="D5431" s="68">
        <v>287</v>
      </c>
      <c r="E5431" s="68"/>
      <c r="F5431" s="68">
        <v>4901</v>
      </c>
      <c r="G5431" s="68">
        <v>5188</v>
      </c>
      <c r="H54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32" spans="1:8" hidden="1" x14ac:dyDescent="0.3">
      <c r="A5432" t="s">
        <v>1559</v>
      </c>
      <c r="B5432" t="s">
        <v>1561</v>
      </c>
      <c r="C5432" t="s">
        <v>27</v>
      </c>
      <c r="D5432" s="68"/>
      <c r="E5432" s="68">
        <v>1087</v>
      </c>
      <c r="F5432" s="68"/>
      <c r="G5432" s="68">
        <v>1087</v>
      </c>
      <c r="H54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33" spans="1:8" hidden="1" x14ac:dyDescent="0.3">
      <c r="A5433" t="s">
        <v>1559</v>
      </c>
      <c r="B5433" t="s">
        <v>1562</v>
      </c>
      <c r="C5433" t="s">
        <v>26</v>
      </c>
      <c r="D5433" s="68">
        <v>8</v>
      </c>
      <c r="E5433" s="68"/>
      <c r="F5433" s="68">
        <v>434</v>
      </c>
      <c r="G5433" s="68">
        <v>442</v>
      </c>
      <c r="H54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34" spans="1:8" hidden="1" x14ac:dyDescent="0.3">
      <c r="A5434" t="s">
        <v>1559</v>
      </c>
      <c r="B5434" t="s">
        <v>1562</v>
      </c>
      <c r="C5434" t="s">
        <v>27</v>
      </c>
      <c r="D5434" s="68"/>
      <c r="E5434" s="68">
        <v>16</v>
      </c>
      <c r="F5434" s="68"/>
      <c r="G5434" s="68">
        <v>16</v>
      </c>
      <c r="H54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35" spans="1:8" hidden="1" x14ac:dyDescent="0.3">
      <c r="A5435" t="s">
        <v>1559</v>
      </c>
      <c r="B5435" t="s">
        <v>1563</v>
      </c>
      <c r="C5435" t="s">
        <v>26</v>
      </c>
      <c r="D5435" s="68">
        <v>1</v>
      </c>
      <c r="E5435" s="68"/>
      <c r="F5435" s="68">
        <v>53</v>
      </c>
      <c r="G5435" s="68">
        <v>54</v>
      </c>
      <c r="H54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36" spans="1:8" hidden="1" x14ac:dyDescent="0.3">
      <c r="A5436" t="s">
        <v>1559</v>
      </c>
      <c r="B5436" t="s">
        <v>1564</v>
      </c>
      <c r="C5436" t="s">
        <v>26</v>
      </c>
      <c r="D5436" s="68">
        <v>202</v>
      </c>
      <c r="E5436" s="68"/>
      <c r="F5436" s="68">
        <v>1468</v>
      </c>
      <c r="G5436" s="68">
        <v>1670</v>
      </c>
      <c r="H54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37" spans="1:8" hidden="1" x14ac:dyDescent="0.3">
      <c r="A5437" t="s">
        <v>1559</v>
      </c>
      <c r="B5437" t="s">
        <v>1564</v>
      </c>
      <c r="C5437" t="s">
        <v>27</v>
      </c>
      <c r="D5437" s="68"/>
      <c r="E5437" s="68">
        <v>32</v>
      </c>
      <c r="F5437" s="68"/>
      <c r="G5437" s="68">
        <v>32</v>
      </c>
      <c r="H54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38" spans="1:8" hidden="1" x14ac:dyDescent="0.3">
      <c r="A5438" t="s">
        <v>1559</v>
      </c>
      <c r="B5438" t="s">
        <v>1564</v>
      </c>
      <c r="C5438" t="s">
        <v>25</v>
      </c>
      <c r="D5438" s="68"/>
      <c r="E5438" s="68"/>
      <c r="F5438" s="68">
        <v>1</v>
      </c>
      <c r="G5438" s="68">
        <v>1</v>
      </c>
      <c r="H54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39" spans="1:8" hidden="1" x14ac:dyDescent="0.3">
      <c r="A5439" t="s">
        <v>1559</v>
      </c>
      <c r="B5439" t="s">
        <v>1565</v>
      </c>
      <c r="C5439" t="s">
        <v>26</v>
      </c>
      <c r="D5439" s="68"/>
      <c r="E5439" s="68"/>
      <c r="F5439" s="68">
        <v>2560</v>
      </c>
      <c r="G5439" s="68">
        <v>2560</v>
      </c>
      <c r="H54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40" spans="1:8" hidden="1" x14ac:dyDescent="0.3">
      <c r="A5440" t="s">
        <v>1559</v>
      </c>
      <c r="B5440" t="s">
        <v>1565</v>
      </c>
      <c r="C5440" t="s">
        <v>27</v>
      </c>
      <c r="D5440" s="68"/>
      <c r="E5440" s="68">
        <v>2</v>
      </c>
      <c r="F5440" s="68"/>
      <c r="G5440" s="68">
        <v>2</v>
      </c>
      <c r="H54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41" spans="1:8" hidden="1" x14ac:dyDescent="0.3">
      <c r="A5441" t="s">
        <v>1559</v>
      </c>
      <c r="B5441" t="s">
        <v>1566</v>
      </c>
      <c r="C5441" t="s">
        <v>26</v>
      </c>
      <c r="D5441" s="68">
        <v>8</v>
      </c>
      <c r="E5441" s="68"/>
      <c r="F5441" s="68">
        <v>149</v>
      </c>
      <c r="G5441" s="68">
        <v>157</v>
      </c>
      <c r="H54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42" spans="1:8" hidden="1" x14ac:dyDescent="0.3">
      <c r="A5442" t="s">
        <v>1559</v>
      </c>
      <c r="B5442" t="s">
        <v>1566</v>
      </c>
      <c r="C5442" t="s">
        <v>27</v>
      </c>
      <c r="D5442" s="68"/>
      <c r="E5442" s="68">
        <v>12</v>
      </c>
      <c r="F5442" s="68"/>
      <c r="G5442" s="68">
        <v>12</v>
      </c>
      <c r="H54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43" spans="1:8" hidden="1" x14ac:dyDescent="0.3">
      <c r="A5443" t="s">
        <v>1567</v>
      </c>
      <c r="B5443" t="s">
        <v>1568</v>
      </c>
      <c r="C5443" t="s">
        <v>25</v>
      </c>
      <c r="D5443" s="68">
        <v>2292</v>
      </c>
      <c r="E5443" s="68"/>
      <c r="F5443" s="68">
        <v>42902</v>
      </c>
      <c r="G5443" s="68">
        <v>45194</v>
      </c>
      <c r="H54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44" spans="1:8" hidden="1" x14ac:dyDescent="0.3">
      <c r="A5444" t="s">
        <v>1567</v>
      </c>
      <c r="B5444" t="s">
        <v>1568</v>
      </c>
      <c r="C5444" t="s">
        <v>26</v>
      </c>
      <c r="D5444" s="68">
        <v>686</v>
      </c>
      <c r="E5444" s="68"/>
      <c r="F5444" s="68">
        <v>607</v>
      </c>
      <c r="G5444" s="68">
        <v>1293</v>
      </c>
      <c r="H54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45" spans="1:8" hidden="1" x14ac:dyDescent="0.3">
      <c r="A5445" t="s">
        <v>1567</v>
      </c>
      <c r="B5445" t="s">
        <v>1568</v>
      </c>
      <c r="C5445" t="s">
        <v>27</v>
      </c>
      <c r="D5445" s="68"/>
      <c r="E5445" s="68">
        <v>514</v>
      </c>
      <c r="F5445" s="68"/>
      <c r="G5445" s="68">
        <v>514</v>
      </c>
      <c r="H54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46" spans="1:8" hidden="1" x14ac:dyDescent="0.3">
      <c r="A5446" t="s">
        <v>1567</v>
      </c>
      <c r="B5446" t="s">
        <v>1569</v>
      </c>
      <c r="C5446" t="s">
        <v>26</v>
      </c>
      <c r="D5446" s="68">
        <v>1798</v>
      </c>
      <c r="E5446" s="68"/>
      <c r="F5446" s="68">
        <v>7103</v>
      </c>
      <c r="G5446" s="68">
        <v>8901</v>
      </c>
      <c r="H54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47" spans="1:8" hidden="1" x14ac:dyDescent="0.3">
      <c r="A5447" t="s">
        <v>1567</v>
      </c>
      <c r="B5447" t="s">
        <v>1569</v>
      </c>
      <c r="C5447" t="s">
        <v>27</v>
      </c>
      <c r="D5447" s="68"/>
      <c r="E5447" s="68">
        <v>226</v>
      </c>
      <c r="F5447" s="68"/>
      <c r="G5447" s="68">
        <v>226</v>
      </c>
      <c r="H54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48" spans="1:8" hidden="1" x14ac:dyDescent="0.3">
      <c r="A5448" t="s">
        <v>1567</v>
      </c>
      <c r="B5448" t="s">
        <v>1570</v>
      </c>
      <c r="C5448" t="s">
        <v>26</v>
      </c>
      <c r="D5448" s="68">
        <v>7204</v>
      </c>
      <c r="E5448" s="68"/>
      <c r="F5448" s="68">
        <v>23341</v>
      </c>
      <c r="G5448" s="68">
        <v>30545</v>
      </c>
      <c r="H54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49" spans="1:8" hidden="1" x14ac:dyDescent="0.3">
      <c r="A5449" t="s">
        <v>1567</v>
      </c>
      <c r="B5449" t="s">
        <v>1570</v>
      </c>
      <c r="C5449" t="s">
        <v>27</v>
      </c>
      <c r="D5449" s="68"/>
      <c r="E5449" s="68">
        <v>673</v>
      </c>
      <c r="F5449" s="68"/>
      <c r="G5449" s="68">
        <v>673</v>
      </c>
      <c r="H54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450" spans="1:8" hidden="1" x14ac:dyDescent="0.3">
      <c r="A5450" t="s">
        <v>1567</v>
      </c>
      <c r="B5450" t="s">
        <v>1571</v>
      </c>
      <c r="C5450" t="s">
        <v>26</v>
      </c>
      <c r="D5450" s="68">
        <v>1135</v>
      </c>
      <c r="E5450" s="68"/>
      <c r="F5450" s="68">
        <v>2620</v>
      </c>
      <c r="G5450" s="68">
        <v>3755</v>
      </c>
      <c r="H54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51" spans="1:8" hidden="1" x14ac:dyDescent="0.3">
      <c r="A5451" t="s">
        <v>1567</v>
      </c>
      <c r="B5451" t="s">
        <v>1571</v>
      </c>
      <c r="C5451" t="s">
        <v>27</v>
      </c>
      <c r="D5451" s="68"/>
      <c r="E5451" s="68">
        <v>85</v>
      </c>
      <c r="F5451" s="68"/>
      <c r="G5451" s="68">
        <v>85</v>
      </c>
      <c r="H54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9BE13-A17D-4A03-BDA3-9EA29B8A47BA}">
  <dimension ref="A1:H8680"/>
  <sheetViews>
    <sheetView workbookViewId="0"/>
  </sheetViews>
  <sheetFormatPr baseColWidth="10" defaultRowHeight="14.4" x14ac:dyDescent="0.3"/>
  <cols>
    <col min="1" max="8" width="16.5546875" customWidth="1"/>
  </cols>
  <sheetData>
    <row r="1" spans="1:8" x14ac:dyDescent="0.3">
      <c r="A1" s="72" t="s">
        <v>0</v>
      </c>
      <c r="B1" s="73" t="s">
        <v>1</v>
      </c>
      <c r="C1" s="74" t="s">
        <v>1663</v>
      </c>
      <c r="D1" s="74" t="s">
        <v>1664</v>
      </c>
      <c r="E1" s="74" t="s">
        <v>2</v>
      </c>
      <c r="F1" s="74" t="s">
        <v>3</v>
      </c>
      <c r="G1" s="74" t="s">
        <v>4</v>
      </c>
      <c r="H1" t="s">
        <v>89</v>
      </c>
    </row>
    <row r="2" spans="1:8" x14ac:dyDescent="0.3">
      <c r="A2" t="s">
        <v>539</v>
      </c>
      <c r="B2" t="s">
        <v>5</v>
      </c>
      <c r="C2" t="s">
        <v>6</v>
      </c>
      <c r="D2" t="s">
        <v>7</v>
      </c>
      <c r="E2" s="68">
        <v>204</v>
      </c>
      <c r="F2" s="68">
        <v>199</v>
      </c>
      <c r="G2" s="68">
        <v>403</v>
      </c>
      <c r="H2" t="s">
        <v>90</v>
      </c>
    </row>
    <row r="3" spans="1:8" x14ac:dyDescent="0.3">
      <c r="A3" t="s">
        <v>539</v>
      </c>
      <c r="B3" t="s">
        <v>5</v>
      </c>
      <c r="C3" t="s">
        <v>6</v>
      </c>
      <c r="D3" t="s">
        <v>8</v>
      </c>
      <c r="E3" s="68">
        <v>263</v>
      </c>
      <c r="F3" s="68">
        <v>303</v>
      </c>
      <c r="G3" s="68">
        <v>566</v>
      </c>
      <c r="H3" t="s">
        <v>90</v>
      </c>
    </row>
    <row r="4" spans="1:8" x14ac:dyDescent="0.3">
      <c r="A4" t="s">
        <v>539</v>
      </c>
      <c r="B4" t="s">
        <v>5</v>
      </c>
      <c r="C4" t="s">
        <v>6</v>
      </c>
      <c r="D4" t="s">
        <v>9</v>
      </c>
      <c r="E4" s="68">
        <v>276</v>
      </c>
      <c r="F4" s="68">
        <v>328</v>
      </c>
      <c r="G4" s="68">
        <v>604</v>
      </c>
      <c r="H4" t="s">
        <v>90</v>
      </c>
    </row>
    <row r="5" spans="1:8" x14ac:dyDescent="0.3">
      <c r="A5" t="s">
        <v>539</v>
      </c>
      <c r="B5" t="s">
        <v>5</v>
      </c>
      <c r="C5" t="s">
        <v>6</v>
      </c>
      <c r="D5" t="s">
        <v>10</v>
      </c>
      <c r="E5" s="68">
        <v>253</v>
      </c>
      <c r="F5" s="68">
        <v>277</v>
      </c>
      <c r="G5" s="68">
        <v>530</v>
      </c>
      <c r="H5" t="s">
        <v>90</v>
      </c>
    </row>
    <row r="6" spans="1:8" x14ac:dyDescent="0.3">
      <c r="A6" t="s">
        <v>539</v>
      </c>
      <c r="B6" t="s">
        <v>5</v>
      </c>
      <c r="C6" t="s">
        <v>6</v>
      </c>
      <c r="D6" t="s">
        <v>11</v>
      </c>
      <c r="E6" s="68">
        <v>198</v>
      </c>
      <c r="F6" s="68">
        <v>203</v>
      </c>
      <c r="G6" s="68">
        <v>401</v>
      </c>
      <c r="H6" t="s">
        <v>90</v>
      </c>
    </row>
    <row r="7" spans="1:8" x14ac:dyDescent="0.3">
      <c r="A7" t="s">
        <v>539</v>
      </c>
      <c r="B7" t="s">
        <v>5</v>
      </c>
      <c r="C7" t="s">
        <v>6</v>
      </c>
      <c r="D7" t="s">
        <v>12</v>
      </c>
      <c r="E7" s="68">
        <v>285</v>
      </c>
      <c r="F7" s="68">
        <v>234</v>
      </c>
      <c r="G7" s="68">
        <v>519</v>
      </c>
      <c r="H7" t="s">
        <v>90</v>
      </c>
    </row>
    <row r="8" spans="1:8" x14ac:dyDescent="0.3">
      <c r="A8" t="s">
        <v>539</v>
      </c>
      <c r="B8" t="s">
        <v>5</v>
      </c>
      <c r="C8" t="s">
        <v>6</v>
      </c>
      <c r="D8" t="s">
        <v>13</v>
      </c>
      <c r="E8" s="68">
        <v>442</v>
      </c>
      <c r="F8" s="68">
        <v>307</v>
      </c>
      <c r="G8" s="68">
        <v>749</v>
      </c>
      <c r="H8" t="s">
        <v>90</v>
      </c>
    </row>
    <row r="9" spans="1:8" x14ac:dyDescent="0.3">
      <c r="A9" t="s">
        <v>539</v>
      </c>
      <c r="B9" t="s">
        <v>5</v>
      </c>
      <c r="C9" t="s">
        <v>6</v>
      </c>
      <c r="D9" t="s">
        <v>14</v>
      </c>
      <c r="E9" s="68">
        <v>421</v>
      </c>
      <c r="F9" s="68">
        <v>378</v>
      </c>
      <c r="G9" s="68">
        <v>799</v>
      </c>
      <c r="H9" t="s">
        <v>90</v>
      </c>
    </row>
    <row r="10" spans="1:8" x14ac:dyDescent="0.3">
      <c r="A10" t="s">
        <v>539</v>
      </c>
      <c r="B10" t="s">
        <v>5</v>
      </c>
      <c r="C10" t="s">
        <v>6</v>
      </c>
      <c r="D10" t="s">
        <v>15</v>
      </c>
      <c r="E10" s="68">
        <v>432</v>
      </c>
      <c r="F10" s="68">
        <v>349</v>
      </c>
      <c r="G10" s="68">
        <v>781</v>
      </c>
      <c r="H10" t="s">
        <v>90</v>
      </c>
    </row>
    <row r="11" spans="1:8" x14ac:dyDescent="0.3">
      <c r="A11" t="s">
        <v>539</v>
      </c>
      <c r="B11" t="s">
        <v>5</v>
      </c>
      <c r="C11" t="s">
        <v>6</v>
      </c>
      <c r="D11" t="s">
        <v>16</v>
      </c>
      <c r="E11" s="68">
        <v>301</v>
      </c>
      <c r="F11" s="68">
        <v>276</v>
      </c>
      <c r="G11" s="68">
        <v>577</v>
      </c>
      <c r="H11" t="s">
        <v>90</v>
      </c>
    </row>
    <row r="12" spans="1:8" x14ac:dyDescent="0.3">
      <c r="A12" t="s">
        <v>539</v>
      </c>
      <c r="B12" t="s">
        <v>5</v>
      </c>
      <c r="C12" t="s">
        <v>6</v>
      </c>
      <c r="D12" t="s">
        <v>17</v>
      </c>
      <c r="E12" s="68">
        <v>234</v>
      </c>
      <c r="F12" s="68">
        <v>223</v>
      </c>
      <c r="G12" s="68">
        <v>457</v>
      </c>
      <c r="H12" t="s">
        <v>90</v>
      </c>
    </row>
    <row r="13" spans="1:8" x14ac:dyDescent="0.3">
      <c r="A13" t="s">
        <v>539</v>
      </c>
      <c r="B13" t="s">
        <v>5</v>
      </c>
      <c r="C13" t="s">
        <v>6</v>
      </c>
      <c r="D13" t="s">
        <v>18</v>
      </c>
      <c r="E13" s="68">
        <v>238</v>
      </c>
      <c r="F13" s="68">
        <v>217</v>
      </c>
      <c r="G13" s="68">
        <v>455</v>
      </c>
      <c r="H13" t="s">
        <v>90</v>
      </c>
    </row>
    <row r="14" spans="1:8" x14ac:dyDescent="0.3">
      <c r="A14" t="s">
        <v>539</v>
      </c>
      <c r="B14" t="s">
        <v>5</v>
      </c>
      <c r="C14" t="s">
        <v>6</v>
      </c>
      <c r="D14" t="s">
        <v>19</v>
      </c>
      <c r="E14" s="68">
        <v>221</v>
      </c>
      <c r="F14" s="68">
        <v>180</v>
      </c>
      <c r="G14" s="68">
        <v>401</v>
      </c>
      <c r="H14" t="s">
        <v>90</v>
      </c>
    </row>
    <row r="15" spans="1:8" x14ac:dyDescent="0.3">
      <c r="A15" t="s">
        <v>539</v>
      </c>
      <c r="B15" t="s">
        <v>5</v>
      </c>
      <c r="C15" t="s">
        <v>6</v>
      </c>
      <c r="D15" t="s">
        <v>20</v>
      </c>
      <c r="E15" s="68">
        <v>154</v>
      </c>
      <c r="F15" s="68">
        <v>143</v>
      </c>
      <c r="G15" s="68">
        <v>297</v>
      </c>
      <c r="H15" t="s">
        <v>90</v>
      </c>
    </row>
    <row r="16" spans="1:8" x14ac:dyDescent="0.3">
      <c r="A16" t="s">
        <v>539</v>
      </c>
      <c r="B16" t="s">
        <v>5</v>
      </c>
      <c r="C16" t="s">
        <v>6</v>
      </c>
      <c r="D16" t="s">
        <v>21</v>
      </c>
      <c r="E16" s="68">
        <v>108</v>
      </c>
      <c r="F16" s="68">
        <v>99</v>
      </c>
      <c r="G16" s="68">
        <v>207</v>
      </c>
      <c r="H16" t="s">
        <v>90</v>
      </c>
    </row>
    <row r="17" spans="1:8" x14ac:dyDescent="0.3">
      <c r="A17" t="s">
        <v>539</v>
      </c>
      <c r="B17" t="s">
        <v>5</v>
      </c>
      <c r="C17" t="s">
        <v>6</v>
      </c>
      <c r="D17" t="s">
        <v>22</v>
      </c>
      <c r="E17" s="68">
        <v>77</v>
      </c>
      <c r="F17" s="68">
        <v>61</v>
      </c>
      <c r="G17" s="68">
        <v>138</v>
      </c>
      <c r="H17" t="s">
        <v>90</v>
      </c>
    </row>
    <row r="18" spans="1:8" x14ac:dyDescent="0.3">
      <c r="A18" t="s">
        <v>539</v>
      </c>
      <c r="B18" t="s">
        <v>5</v>
      </c>
      <c r="C18" t="s">
        <v>6</v>
      </c>
      <c r="D18" t="s">
        <v>23</v>
      </c>
      <c r="E18" s="68">
        <v>42</v>
      </c>
      <c r="F18" s="68">
        <v>44</v>
      </c>
      <c r="G18" s="68">
        <v>86</v>
      </c>
      <c r="H18" t="s">
        <v>90</v>
      </c>
    </row>
    <row r="19" spans="1:8" x14ac:dyDescent="0.3">
      <c r="A19" t="s">
        <v>539</v>
      </c>
      <c r="B19" t="s">
        <v>5</v>
      </c>
      <c r="C19" t="s">
        <v>24</v>
      </c>
      <c r="D19" t="s">
        <v>7</v>
      </c>
      <c r="E19" s="68">
        <v>37</v>
      </c>
      <c r="F19" s="68">
        <v>39</v>
      </c>
      <c r="G19" s="68">
        <v>76</v>
      </c>
      <c r="H19" t="s">
        <v>90</v>
      </c>
    </row>
    <row r="20" spans="1:8" x14ac:dyDescent="0.3">
      <c r="A20" t="s">
        <v>539</v>
      </c>
      <c r="B20" t="s">
        <v>5</v>
      </c>
      <c r="C20" t="s">
        <v>24</v>
      </c>
      <c r="D20" t="s">
        <v>8</v>
      </c>
      <c r="E20" s="68">
        <v>59</v>
      </c>
      <c r="F20" s="68">
        <v>63</v>
      </c>
      <c r="G20" s="68">
        <v>122</v>
      </c>
      <c r="H20" t="s">
        <v>90</v>
      </c>
    </row>
    <row r="21" spans="1:8" x14ac:dyDescent="0.3">
      <c r="A21" t="s">
        <v>539</v>
      </c>
      <c r="B21" t="s">
        <v>5</v>
      </c>
      <c r="C21" t="s">
        <v>24</v>
      </c>
      <c r="D21" t="s">
        <v>9</v>
      </c>
      <c r="E21" s="68">
        <v>49</v>
      </c>
      <c r="F21" s="68">
        <v>60</v>
      </c>
      <c r="G21" s="68">
        <v>109</v>
      </c>
      <c r="H21" t="s">
        <v>90</v>
      </c>
    </row>
    <row r="22" spans="1:8" x14ac:dyDescent="0.3">
      <c r="A22" t="s">
        <v>539</v>
      </c>
      <c r="B22" t="s">
        <v>5</v>
      </c>
      <c r="C22" t="s">
        <v>24</v>
      </c>
      <c r="D22" t="s">
        <v>10</v>
      </c>
      <c r="E22" s="68">
        <v>52</v>
      </c>
      <c r="F22" s="68">
        <v>44</v>
      </c>
      <c r="G22" s="68">
        <v>96</v>
      </c>
      <c r="H22" t="s">
        <v>90</v>
      </c>
    </row>
    <row r="23" spans="1:8" x14ac:dyDescent="0.3">
      <c r="A23" t="s">
        <v>539</v>
      </c>
      <c r="B23" t="s">
        <v>5</v>
      </c>
      <c r="C23" t="s">
        <v>24</v>
      </c>
      <c r="D23" t="s">
        <v>11</v>
      </c>
      <c r="E23" s="68">
        <v>71</v>
      </c>
      <c r="F23" s="68">
        <v>69</v>
      </c>
      <c r="G23" s="68">
        <v>140</v>
      </c>
      <c r="H23" t="s">
        <v>90</v>
      </c>
    </row>
    <row r="24" spans="1:8" x14ac:dyDescent="0.3">
      <c r="A24" t="s">
        <v>539</v>
      </c>
      <c r="B24" t="s">
        <v>5</v>
      </c>
      <c r="C24" t="s">
        <v>24</v>
      </c>
      <c r="D24" t="s">
        <v>12</v>
      </c>
      <c r="E24" s="68">
        <v>57</v>
      </c>
      <c r="F24" s="68">
        <v>82</v>
      </c>
      <c r="G24" s="68">
        <v>139</v>
      </c>
      <c r="H24" t="s">
        <v>90</v>
      </c>
    </row>
    <row r="25" spans="1:8" x14ac:dyDescent="0.3">
      <c r="A25" t="s">
        <v>539</v>
      </c>
      <c r="B25" t="s">
        <v>5</v>
      </c>
      <c r="C25" t="s">
        <v>24</v>
      </c>
      <c r="D25" t="s">
        <v>13</v>
      </c>
      <c r="E25" s="68">
        <v>81</v>
      </c>
      <c r="F25" s="68">
        <v>105</v>
      </c>
      <c r="G25" s="68">
        <v>186</v>
      </c>
      <c r="H25" t="s">
        <v>90</v>
      </c>
    </row>
    <row r="26" spans="1:8" x14ac:dyDescent="0.3">
      <c r="A26" t="s">
        <v>539</v>
      </c>
      <c r="B26" t="s">
        <v>5</v>
      </c>
      <c r="C26" t="s">
        <v>24</v>
      </c>
      <c r="D26" t="s">
        <v>14</v>
      </c>
      <c r="E26" s="68">
        <v>75</v>
      </c>
      <c r="F26" s="68">
        <v>98</v>
      </c>
      <c r="G26" s="68">
        <v>173</v>
      </c>
      <c r="H26" t="s">
        <v>90</v>
      </c>
    </row>
    <row r="27" spans="1:8" x14ac:dyDescent="0.3">
      <c r="A27" t="s">
        <v>539</v>
      </c>
      <c r="B27" t="s">
        <v>5</v>
      </c>
      <c r="C27" t="s">
        <v>24</v>
      </c>
      <c r="D27" t="s">
        <v>15</v>
      </c>
      <c r="E27" s="68">
        <v>64</v>
      </c>
      <c r="F27" s="68">
        <v>74</v>
      </c>
      <c r="G27" s="68">
        <v>138</v>
      </c>
      <c r="H27" t="s">
        <v>90</v>
      </c>
    </row>
    <row r="28" spans="1:8" x14ac:dyDescent="0.3">
      <c r="A28" t="s">
        <v>539</v>
      </c>
      <c r="B28" t="s">
        <v>5</v>
      </c>
      <c r="C28" t="s">
        <v>24</v>
      </c>
      <c r="D28" t="s">
        <v>16</v>
      </c>
      <c r="E28" s="68">
        <v>46</v>
      </c>
      <c r="F28" s="68">
        <v>46</v>
      </c>
      <c r="G28" s="68">
        <v>92</v>
      </c>
      <c r="H28" t="s">
        <v>90</v>
      </c>
    </row>
    <row r="29" spans="1:8" x14ac:dyDescent="0.3">
      <c r="A29" t="s">
        <v>539</v>
      </c>
      <c r="B29" t="s">
        <v>5</v>
      </c>
      <c r="C29" t="s">
        <v>24</v>
      </c>
      <c r="D29" t="s">
        <v>17</v>
      </c>
      <c r="E29" s="68">
        <v>40</v>
      </c>
      <c r="F29" s="68">
        <v>48</v>
      </c>
      <c r="G29" s="68">
        <v>88</v>
      </c>
      <c r="H29" t="s">
        <v>90</v>
      </c>
    </row>
    <row r="30" spans="1:8" x14ac:dyDescent="0.3">
      <c r="A30" t="s">
        <v>539</v>
      </c>
      <c r="B30" t="s">
        <v>5</v>
      </c>
      <c r="C30" t="s">
        <v>24</v>
      </c>
      <c r="D30" t="s">
        <v>18</v>
      </c>
      <c r="E30" s="68">
        <v>44</v>
      </c>
      <c r="F30" s="68">
        <v>41</v>
      </c>
      <c r="G30" s="68">
        <v>85</v>
      </c>
      <c r="H30" t="s">
        <v>90</v>
      </c>
    </row>
    <row r="31" spans="1:8" x14ac:dyDescent="0.3">
      <c r="A31" t="s">
        <v>539</v>
      </c>
      <c r="B31" t="s">
        <v>5</v>
      </c>
      <c r="C31" t="s">
        <v>24</v>
      </c>
      <c r="D31" t="s">
        <v>19</v>
      </c>
      <c r="E31" s="68">
        <v>43</v>
      </c>
      <c r="F31" s="68">
        <v>32</v>
      </c>
      <c r="G31" s="68">
        <v>75</v>
      </c>
      <c r="H31" t="s">
        <v>90</v>
      </c>
    </row>
    <row r="32" spans="1:8" x14ac:dyDescent="0.3">
      <c r="A32" t="s">
        <v>539</v>
      </c>
      <c r="B32" t="s">
        <v>5</v>
      </c>
      <c r="C32" t="s">
        <v>24</v>
      </c>
      <c r="D32" t="s">
        <v>20</v>
      </c>
      <c r="E32" s="68">
        <v>23</v>
      </c>
      <c r="F32" s="68">
        <v>25</v>
      </c>
      <c r="G32" s="68">
        <v>48</v>
      </c>
      <c r="H32" t="s">
        <v>90</v>
      </c>
    </row>
    <row r="33" spans="1:8" x14ac:dyDescent="0.3">
      <c r="A33" t="s">
        <v>539</v>
      </c>
      <c r="B33" t="s">
        <v>5</v>
      </c>
      <c r="C33" t="s">
        <v>24</v>
      </c>
      <c r="D33" t="s">
        <v>21</v>
      </c>
      <c r="E33" s="68">
        <v>9</v>
      </c>
      <c r="F33" s="68">
        <v>13</v>
      </c>
      <c r="G33" s="68">
        <v>22</v>
      </c>
      <c r="H33" t="s">
        <v>90</v>
      </c>
    </row>
    <row r="34" spans="1:8" x14ac:dyDescent="0.3">
      <c r="A34" t="s">
        <v>539</v>
      </c>
      <c r="B34" t="s">
        <v>5</v>
      </c>
      <c r="C34" t="s">
        <v>24</v>
      </c>
      <c r="D34" t="s">
        <v>22</v>
      </c>
      <c r="E34" s="68">
        <v>5</v>
      </c>
      <c r="F34" s="68">
        <v>10</v>
      </c>
      <c r="G34" s="68">
        <v>15</v>
      </c>
      <c r="H34" t="s">
        <v>90</v>
      </c>
    </row>
    <row r="35" spans="1:8" x14ac:dyDescent="0.3">
      <c r="A35" t="s">
        <v>539</v>
      </c>
      <c r="B35" t="s">
        <v>5</v>
      </c>
      <c r="C35" t="s">
        <v>24</v>
      </c>
      <c r="D35" t="s">
        <v>23</v>
      </c>
      <c r="E35" s="68">
        <v>4</v>
      </c>
      <c r="F35" s="68">
        <v>3</v>
      </c>
      <c r="G35" s="68">
        <v>7</v>
      </c>
      <c r="H35" t="s">
        <v>90</v>
      </c>
    </row>
    <row r="36" spans="1:8" x14ac:dyDescent="0.3">
      <c r="A36" t="s">
        <v>539</v>
      </c>
      <c r="B36" t="s">
        <v>25</v>
      </c>
      <c r="C36" t="s">
        <v>6</v>
      </c>
      <c r="D36" t="s">
        <v>7</v>
      </c>
      <c r="E36" s="68">
        <v>61</v>
      </c>
      <c r="F36" s="68">
        <v>60</v>
      </c>
      <c r="G36" s="68">
        <v>121</v>
      </c>
      <c r="H36" t="s">
        <v>91</v>
      </c>
    </row>
    <row r="37" spans="1:8" x14ac:dyDescent="0.3">
      <c r="A37" t="s">
        <v>539</v>
      </c>
      <c r="B37" t="s">
        <v>25</v>
      </c>
      <c r="C37" t="s">
        <v>6</v>
      </c>
      <c r="D37" t="s">
        <v>8</v>
      </c>
      <c r="E37" s="68">
        <v>104</v>
      </c>
      <c r="F37" s="68">
        <v>116</v>
      </c>
      <c r="G37" s="68">
        <v>220</v>
      </c>
      <c r="H37" t="s">
        <v>91</v>
      </c>
    </row>
    <row r="38" spans="1:8" x14ac:dyDescent="0.3">
      <c r="A38" t="s">
        <v>539</v>
      </c>
      <c r="B38" t="s">
        <v>25</v>
      </c>
      <c r="C38" t="s">
        <v>6</v>
      </c>
      <c r="D38" t="s">
        <v>9</v>
      </c>
      <c r="E38" s="68">
        <v>110</v>
      </c>
      <c r="F38" s="68">
        <v>124</v>
      </c>
      <c r="G38" s="68">
        <v>234</v>
      </c>
      <c r="H38" t="s">
        <v>91</v>
      </c>
    </row>
    <row r="39" spans="1:8" x14ac:dyDescent="0.3">
      <c r="A39" t="s">
        <v>539</v>
      </c>
      <c r="B39" t="s">
        <v>25</v>
      </c>
      <c r="C39" t="s">
        <v>6</v>
      </c>
      <c r="D39" t="s">
        <v>10</v>
      </c>
      <c r="E39" s="68">
        <v>58</v>
      </c>
      <c r="F39" s="68">
        <v>77</v>
      </c>
      <c r="G39" s="68">
        <v>135</v>
      </c>
      <c r="H39" t="s">
        <v>91</v>
      </c>
    </row>
    <row r="40" spans="1:8" x14ac:dyDescent="0.3">
      <c r="A40" t="s">
        <v>539</v>
      </c>
      <c r="B40" t="s">
        <v>25</v>
      </c>
      <c r="C40" t="s">
        <v>6</v>
      </c>
      <c r="D40" t="s">
        <v>11</v>
      </c>
      <c r="E40" s="68">
        <v>119</v>
      </c>
      <c r="F40" s="68">
        <v>119</v>
      </c>
      <c r="G40" s="68">
        <v>238</v>
      </c>
      <c r="H40" t="s">
        <v>91</v>
      </c>
    </row>
    <row r="41" spans="1:8" x14ac:dyDescent="0.3">
      <c r="A41" t="s">
        <v>539</v>
      </c>
      <c r="B41" t="s">
        <v>25</v>
      </c>
      <c r="C41" t="s">
        <v>6</v>
      </c>
      <c r="D41" t="s">
        <v>12</v>
      </c>
      <c r="E41" s="68">
        <v>120</v>
      </c>
      <c r="F41" s="68">
        <v>164</v>
      </c>
      <c r="G41" s="68">
        <v>284</v>
      </c>
      <c r="H41" t="s">
        <v>91</v>
      </c>
    </row>
    <row r="42" spans="1:8" x14ac:dyDescent="0.3">
      <c r="A42" t="s">
        <v>539</v>
      </c>
      <c r="B42" t="s">
        <v>25</v>
      </c>
      <c r="C42" t="s">
        <v>6</v>
      </c>
      <c r="D42" t="s">
        <v>13</v>
      </c>
      <c r="E42" s="68">
        <v>105</v>
      </c>
      <c r="F42" s="68">
        <v>138</v>
      </c>
      <c r="G42" s="68">
        <v>243</v>
      </c>
      <c r="H42" t="s">
        <v>91</v>
      </c>
    </row>
    <row r="43" spans="1:8" x14ac:dyDescent="0.3">
      <c r="A43" t="s">
        <v>539</v>
      </c>
      <c r="B43" t="s">
        <v>25</v>
      </c>
      <c r="C43" t="s">
        <v>6</v>
      </c>
      <c r="D43" t="s">
        <v>14</v>
      </c>
      <c r="E43" s="68">
        <v>111</v>
      </c>
      <c r="F43" s="68">
        <v>121</v>
      </c>
      <c r="G43" s="68">
        <v>232</v>
      </c>
      <c r="H43" t="s">
        <v>91</v>
      </c>
    </row>
    <row r="44" spans="1:8" x14ac:dyDescent="0.3">
      <c r="A44" t="s">
        <v>539</v>
      </c>
      <c r="B44" t="s">
        <v>25</v>
      </c>
      <c r="C44" t="s">
        <v>6</v>
      </c>
      <c r="D44" t="s">
        <v>15</v>
      </c>
      <c r="E44" s="68">
        <v>82</v>
      </c>
      <c r="F44" s="68">
        <v>110</v>
      </c>
      <c r="G44" s="68">
        <v>192</v>
      </c>
      <c r="H44" t="s">
        <v>91</v>
      </c>
    </row>
    <row r="45" spans="1:8" x14ac:dyDescent="0.3">
      <c r="A45" t="s">
        <v>539</v>
      </c>
      <c r="B45" t="s">
        <v>25</v>
      </c>
      <c r="C45" t="s">
        <v>6</v>
      </c>
      <c r="D45" t="s">
        <v>16</v>
      </c>
      <c r="E45" s="68">
        <v>61</v>
      </c>
      <c r="F45" s="68">
        <v>56</v>
      </c>
      <c r="G45" s="68">
        <v>117</v>
      </c>
      <c r="H45" t="s">
        <v>91</v>
      </c>
    </row>
    <row r="46" spans="1:8" x14ac:dyDescent="0.3">
      <c r="A46" t="s">
        <v>539</v>
      </c>
      <c r="B46" t="s">
        <v>25</v>
      </c>
      <c r="C46" t="s">
        <v>6</v>
      </c>
      <c r="D46" t="s">
        <v>17</v>
      </c>
      <c r="E46" s="68">
        <v>32</v>
      </c>
      <c r="F46" s="68">
        <v>49</v>
      </c>
      <c r="G46" s="68">
        <v>81</v>
      </c>
      <c r="H46" t="s">
        <v>91</v>
      </c>
    </row>
    <row r="47" spans="1:8" x14ac:dyDescent="0.3">
      <c r="A47" t="s">
        <v>539</v>
      </c>
      <c r="B47" t="s">
        <v>25</v>
      </c>
      <c r="C47" t="s">
        <v>6</v>
      </c>
      <c r="D47" t="s">
        <v>18</v>
      </c>
      <c r="E47" s="68">
        <v>24</v>
      </c>
      <c r="F47" s="68">
        <v>25</v>
      </c>
      <c r="G47" s="68">
        <v>49</v>
      </c>
      <c r="H47" t="s">
        <v>91</v>
      </c>
    </row>
    <row r="48" spans="1:8" x14ac:dyDescent="0.3">
      <c r="A48" t="s">
        <v>539</v>
      </c>
      <c r="B48" t="s">
        <v>25</v>
      </c>
      <c r="C48" t="s">
        <v>6</v>
      </c>
      <c r="D48" t="s">
        <v>19</v>
      </c>
      <c r="E48" s="68">
        <v>10</v>
      </c>
      <c r="F48" s="68">
        <v>23</v>
      </c>
      <c r="G48" s="68">
        <v>33</v>
      </c>
      <c r="H48" t="s">
        <v>91</v>
      </c>
    </row>
    <row r="49" spans="1:8" x14ac:dyDescent="0.3">
      <c r="A49" t="s">
        <v>539</v>
      </c>
      <c r="B49" t="s">
        <v>25</v>
      </c>
      <c r="C49" t="s">
        <v>6</v>
      </c>
      <c r="D49" t="s">
        <v>20</v>
      </c>
      <c r="E49" s="68">
        <v>5</v>
      </c>
      <c r="F49" s="68">
        <v>18</v>
      </c>
      <c r="G49" s="68">
        <v>23</v>
      </c>
      <c r="H49" t="s">
        <v>91</v>
      </c>
    </row>
    <row r="50" spans="1:8" x14ac:dyDescent="0.3">
      <c r="A50" t="s">
        <v>539</v>
      </c>
      <c r="B50" t="s">
        <v>25</v>
      </c>
      <c r="C50" t="s">
        <v>6</v>
      </c>
      <c r="D50" t="s">
        <v>21</v>
      </c>
      <c r="E50" s="68">
        <v>2</v>
      </c>
      <c r="F50" s="68">
        <v>8</v>
      </c>
      <c r="G50" s="68">
        <v>10</v>
      </c>
      <c r="H50" t="s">
        <v>91</v>
      </c>
    </row>
    <row r="51" spans="1:8" x14ac:dyDescent="0.3">
      <c r="A51" t="s">
        <v>539</v>
      </c>
      <c r="B51" t="s">
        <v>25</v>
      </c>
      <c r="C51" t="s">
        <v>6</v>
      </c>
      <c r="D51" t="s">
        <v>22</v>
      </c>
      <c r="E51" s="68">
        <v>1</v>
      </c>
      <c r="F51" s="68">
        <v>3</v>
      </c>
      <c r="G51" s="68">
        <v>4</v>
      </c>
      <c r="H51" t="s">
        <v>91</v>
      </c>
    </row>
    <row r="52" spans="1:8" x14ac:dyDescent="0.3">
      <c r="A52" t="s">
        <v>539</v>
      </c>
      <c r="B52" t="s">
        <v>25</v>
      </c>
      <c r="C52" t="s">
        <v>6</v>
      </c>
      <c r="D52" t="s">
        <v>23</v>
      </c>
      <c r="E52" s="68">
        <v>2</v>
      </c>
      <c r="F52" s="68">
        <v>1</v>
      </c>
      <c r="G52" s="68">
        <v>3</v>
      </c>
      <c r="H52" t="s">
        <v>91</v>
      </c>
    </row>
    <row r="53" spans="1:8" x14ac:dyDescent="0.3">
      <c r="A53" t="s">
        <v>539</v>
      </c>
      <c r="B53" t="s">
        <v>25</v>
      </c>
      <c r="C53" t="s">
        <v>24</v>
      </c>
      <c r="D53" t="s">
        <v>7</v>
      </c>
      <c r="E53" s="68">
        <v>1117</v>
      </c>
      <c r="F53" s="68">
        <v>1117</v>
      </c>
      <c r="G53" s="68">
        <v>2234</v>
      </c>
      <c r="H53" t="s">
        <v>91</v>
      </c>
    </row>
    <row r="54" spans="1:8" x14ac:dyDescent="0.3">
      <c r="A54" t="s">
        <v>539</v>
      </c>
      <c r="B54" t="s">
        <v>25</v>
      </c>
      <c r="C54" t="s">
        <v>24</v>
      </c>
      <c r="D54" t="s">
        <v>8</v>
      </c>
      <c r="E54" s="68">
        <v>1596</v>
      </c>
      <c r="F54" s="68">
        <v>1627</v>
      </c>
      <c r="G54" s="68">
        <v>3223</v>
      </c>
      <c r="H54" t="s">
        <v>91</v>
      </c>
    </row>
    <row r="55" spans="1:8" x14ac:dyDescent="0.3">
      <c r="A55" t="s">
        <v>539</v>
      </c>
      <c r="B55" t="s">
        <v>25</v>
      </c>
      <c r="C55" t="s">
        <v>24</v>
      </c>
      <c r="D55" t="s">
        <v>9</v>
      </c>
      <c r="E55" s="68">
        <v>1766</v>
      </c>
      <c r="F55" s="68">
        <v>1865</v>
      </c>
      <c r="G55" s="68">
        <v>3631</v>
      </c>
      <c r="H55" t="s">
        <v>91</v>
      </c>
    </row>
    <row r="56" spans="1:8" x14ac:dyDescent="0.3">
      <c r="A56" t="s">
        <v>539</v>
      </c>
      <c r="B56" t="s">
        <v>25</v>
      </c>
      <c r="C56" t="s">
        <v>24</v>
      </c>
      <c r="D56" t="s">
        <v>10</v>
      </c>
      <c r="E56" s="68">
        <v>1690</v>
      </c>
      <c r="F56" s="68">
        <v>1675</v>
      </c>
      <c r="G56" s="68">
        <v>3365</v>
      </c>
      <c r="H56" t="s">
        <v>91</v>
      </c>
    </row>
    <row r="57" spans="1:8" x14ac:dyDescent="0.3">
      <c r="A57" t="s">
        <v>539</v>
      </c>
      <c r="B57" t="s">
        <v>25</v>
      </c>
      <c r="C57" t="s">
        <v>24</v>
      </c>
      <c r="D57" t="s">
        <v>11</v>
      </c>
      <c r="E57" s="68">
        <v>1363</v>
      </c>
      <c r="F57" s="68">
        <v>1092</v>
      </c>
      <c r="G57" s="68">
        <v>2455</v>
      </c>
      <c r="H57" t="s">
        <v>91</v>
      </c>
    </row>
    <row r="58" spans="1:8" x14ac:dyDescent="0.3">
      <c r="A58" t="s">
        <v>539</v>
      </c>
      <c r="B58" t="s">
        <v>25</v>
      </c>
      <c r="C58" t="s">
        <v>24</v>
      </c>
      <c r="D58" t="s">
        <v>12</v>
      </c>
      <c r="E58" s="68">
        <v>1206</v>
      </c>
      <c r="F58" s="68">
        <v>1021</v>
      </c>
      <c r="G58" s="68">
        <v>2227</v>
      </c>
      <c r="H58" t="s">
        <v>91</v>
      </c>
    </row>
    <row r="59" spans="1:8" x14ac:dyDescent="0.3">
      <c r="A59" t="s">
        <v>539</v>
      </c>
      <c r="B59" t="s">
        <v>25</v>
      </c>
      <c r="C59" t="s">
        <v>24</v>
      </c>
      <c r="D59" t="s">
        <v>13</v>
      </c>
      <c r="E59" s="68">
        <v>1122</v>
      </c>
      <c r="F59" s="68">
        <v>1007</v>
      </c>
      <c r="G59" s="68">
        <v>2129</v>
      </c>
      <c r="H59" t="s">
        <v>91</v>
      </c>
    </row>
    <row r="60" spans="1:8" x14ac:dyDescent="0.3">
      <c r="A60" t="s">
        <v>539</v>
      </c>
      <c r="B60" t="s">
        <v>25</v>
      </c>
      <c r="C60" t="s">
        <v>24</v>
      </c>
      <c r="D60" t="s">
        <v>14</v>
      </c>
      <c r="E60" s="68">
        <v>1091</v>
      </c>
      <c r="F60" s="68">
        <v>1009</v>
      </c>
      <c r="G60" s="68">
        <v>2100</v>
      </c>
      <c r="H60" t="s">
        <v>91</v>
      </c>
    </row>
    <row r="61" spans="1:8" x14ac:dyDescent="0.3">
      <c r="A61" t="s">
        <v>539</v>
      </c>
      <c r="B61" t="s">
        <v>25</v>
      </c>
      <c r="C61" t="s">
        <v>24</v>
      </c>
      <c r="D61" t="s">
        <v>15</v>
      </c>
      <c r="E61" s="68">
        <v>823</v>
      </c>
      <c r="F61" s="68">
        <v>799</v>
      </c>
      <c r="G61" s="68">
        <v>1622</v>
      </c>
      <c r="H61" t="s">
        <v>91</v>
      </c>
    </row>
    <row r="62" spans="1:8" x14ac:dyDescent="0.3">
      <c r="A62" t="s">
        <v>539</v>
      </c>
      <c r="B62" t="s">
        <v>25</v>
      </c>
      <c r="C62" t="s">
        <v>24</v>
      </c>
      <c r="D62" t="s">
        <v>16</v>
      </c>
      <c r="E62" s="68">
        <v>626</v>
      </c>
      <c r="F62" s="68">
        <v>722</v>
      </c>
      <c r="G62" s="68">
        <v>1348</v>
      </c>
      <c r="H62" t="s">
        <v>91</v>
      </c>
    </row>
    <row r="63" spans="1:8" x14ac:dyDescent="0.3">
      <c r="A63" t="s">
        <v>539</v>
      </c>
      <c r="B63" t="s">
        <v>25</v>
      </c>
      <c r="C63" t="s">
        <v>24</v>
      </c>
      <c r="D63" t="s">
        <v>17</v>
      </c>
      <c r="E63" s="68">
        <v>529</v>
      </c>
      <c r="F63" s="68">
        <v>654</v>
      </c>
      <c r="G63" s="68">
        <v>1183</v>
      </c>
      <c r="H63" t="s">
        <v>91</v>
      </c>
    </row>
    <row r="64" spans="1:8" x14ac:dyDescent="0.3">
      <c r="A64" t="s">
        <v>539</v>
      </c>
      <c r="B64" t="s">
        <v>25</v>
      </c>
      <c r="C64" t="s">
        <v>24</v>
      </c>
      <c r="D64" t="s">
        <v>18</v>
      </c>
      <c r="E64" s="68">
        <v>502</v>
      </c>
      <c r="F64" s="68">
        <v>515</v>
      </c>
      <c r="G64" s="68">
        <v>1017</v>
      </c>
      <c r="H64" t="s">
        <v>91</v>
      </c>
    </row>
    <row r="65" spans="1:8" x14ac:dyDescent="0.3">
      <c r="A65" t="s">
        <v>539</v>
      </c>
      <c r="B65" t="s">
        <v>25</v>
      </c>
      <c r="C65" t="s">
        <v>24</v>
      </c>
      <c r="D65" t="s">
        <v>19</v>
      </c>
      <c r="E65" s="68">
        <v>327</v>
      </c>
      <c r="F65" s="68">
        <v>454</v>
      </c>
      <c r="G65" s="68">
        <v>781</v>
      </c>
      <c r="H65" t="s">
        <v>91</v>
      </c>
    </row>
    <row r="66" spans="1:8" x14ac:dyDescent="0.3">
      <c r="A66" t="s">
        <v>539</v>
      </c>
      <c r="B66" t="s">
        <v>25</v>
      </c>
      <c r="C66" t="s">
        <v>24</v>
      </c>
      <c r="D66" t="s">
        <v>20</v>
      </c>
      <c r="E66" s="68">
        <v>322</v>
      </c>
      <c r="F66" s="68">
        <v>367</v>
      </c>
      <c r="G66" s="68">
        <v>689</v>
      </c>
      <c r="H66" t="s">
        <v>91</v>
      </c>
    </row>
    <row r="67" spans="1:8" x14ac:dyDescent="0.3">
      <c r="A67" t="s">
        <v>539</v>
      </c>
      <c r="B67" t="s">
        <v>25</v>
      </c>
      <c r="C67" t="s">
        <v>24</v>
      </c>
      <c r="D67" t="s">
        <v>21</v>
      </c>
      <c r="E67" s="68">
        <v>245</v>
      </c>
      <c r="F67" s="68">
        <v>286</v>
      </c>
      <c r="G67" s="68">
        <v>531</v>
      </c>
      <c r="H67" t="s">
        <v>91</v>
      </c>
    </row>
    <row r="68" spans="1:8" x14ac:dyDescent="0.3">
      <c r="A68" t="s">
        <v>539</v>
      </c>
      <c r="B68" t="s">
        <v>25</v>
      </c>
      <c r="C68" t="s">
        <v>24</v>
      </c>
      <c r="D68" t="s">
        <v>22</v>
      </c>
      <c r="E68" s="68">
        <v>181</v>
      </c>
      <c r="F68" s="68">
        <v>218</v>
      </c>
      <c r="G68" s="68">
        <v>399</v>
      </c>
      <c r="H68" t="s">
        <v>91</v>
      </c>
    </row>
    <row r="69" spans="1:8" x14ac:dyDescent="0.3">
      <c r="A69" t="s">
        <v>539</v>
      </c>
      <c r="B69" t="s">
        <v>25</v>
      </c>
      <c r="C69" t="s">
        <v>24</v>
      </c>
      <c r="D69" t="s">
        <v>23</v>
      </c>
      <c r="E69" s="68">
        <v>328</v>
      </c>
      <c r="F69" s="68">
        <v>338</v>
      </c>
      <c r="G69" s="68">
        <v>666</v>
      </c>
      <c r="H69" t="s">
        <v>91</v>
      </c>
    </row>
    <row r="70" spans="1:8" x14ac:dyDescent="0.3">
      <c r="A70" t="s">
        <v>539</v>
      </c>
      <c r="B70" t="s">
        <v>26</v>
      </c>
      <c r="C70" t="s">
        <v>6</v>
      </c>
      <c r="D70" t="s">
        <v>7</v>
      </c>
      <c r="E70" s="68">
        <v>195</v>
      </c>
      <c r="F70" s="68">
        <v>172</v>
      </c>
      <c r="G70" s="68">
        <v>367</v>
      </c>
      <c r="H70" t="s">
        <v>91</v>
      </c>
    </row>
    <row r="71" spans="1:8" x14ac:dyDescent="0.3">
      <c r="A71" t="s">
        <v>539</v>
      </c>
      <c r="B71" t="s">
        <v>26</v>
      </c>
      <c r="C71" t="s">
        <v>6</v>
      </c>
      <c r="D71" t="s">
        <v>8</v>
      </c>
      <c r="E71" s="68">
        <v>276</v>
      </c>
      <c r="F71" s="68">
        <v>323</v>
      </c>
      <c r="G71" s="68">
        <v>599</v>
      </c>
      <c r="H71" t="s">
        <v>90</v>
      </c>
    </row>
    <row r="72" spans="1:8" x14ac:dyDescent="0.3">
      <c r="A72" t="s">
        <v>539</v>
      </c>
      <c r="B72" t="s">
        <v>26</v>
      </c>
      <c r="C72" t="s">
        <v>6</v>
      </c>
      <c r="D72" t="s">
        <v>9</v>
      </c>
      <c r="E72" s="68">
        <v>241</v>
      </c>
      <c r="F72" s="68">
        <v>277</v>
      </c>
      <c r="G72" s="68">
        <v>518</v>
      </c>
      <c r="H72" t="s">
        <v>90</v>
      </c>
    </row>
    <row r="73" spans="1:8" x14ac:dyDescent="0.3">
      <c r="A73" t="s">
        <v>539</v>
      </c>
      <c r="B73" t="s">
        <v>26</v>
      </c>
      <c r="C73" t="s">
        <v>6</v>
      </c>
      <c r="D73" t="s">
        <v>10</v>
      </c>
      <c r="E73" s="68">
        <v>224</v>
      </c>
      <c r="F73" s="68">
        <v>224</v>
      </c>
      <c r="G73" s="68">
        <v>448</v>
      </c>
      <c r="H73" t="s">
        <v>90</v>
      </c>
    </row>
    <row r="74" spans="1:8" x14ac:dyDescent="0.3">
      <c r="A74" t="s">
        <v>539</v>
      </c>
      <c r="B74" t="s">
        <v>26</v>
      </c>
      <c r="C74" t="s">
        <v>6</v>
      </c>
      <c r="D74" t="s">
        <v>11</v>
      </c>
      <c r="E74" s="68">
        <v>357</v>
      </c>
      <c r="F74" s="68">
        <v>383</v>
      </c>
      <c r="G74" s="68">
        <v>740</v>
      </c>
      <c r="H74" t="s">
        <v>90</v>
      </c>
    </row>
    <row r="75" spans="1:8" x14ac:dyDescent="0.3">
      <c r="A75" t="s">
        <v>539</v>
      </c>
      <c r="B75" t="s">
        <v>26</v>
      </c>
      <c r="C75" t="s">
        <v>6</v>
      </c>
      <c r="D75" t="s">
        <v>12</v>
      </c>
      <c r="E75" s="68">
        <v>405</v>
      </c>
      <c r="F75" s="68">
        <v>442</v>
      </c>
      <c r="G75" s="68">
        <v>847</v>
      </c>
      <c r="H75" t="s">
        <v>90</v>
      </c>
    </row>
    <row r="76" spans="1:8" x14ac:dyDescent="0.3">
      <c r="A76" t="s">
        <v>539</v>
      </c>
      <c r="B76" t="s">
        <v>26</v>
      </c>
      <c r="C76" t="s">
        <v>6</v>
      </c>
      <c r="D76" t="s">
        <v>13</v>
      </c>
      <c r="E76" s="68">
        <v>348</v>
      </c>
      <c r="F76" s="68">
        <v>423</v>
      </c>
      <c r="G76" s="68">
        <v>771</v>
      </c>
      <c r="H76" t="s">
        <v>90</v>
      </c>
    </row>
    <row r="77" spans="1:8" x14ac:dyDescent="0.3">
      <c r="A77" t="s">
        <v>539</v>
      </c>
      <c r="B77" t="s">
        <v>26</v>
      </c>
      <c r="C77" t="s">
        <v>6</v>
      </c>
      <c r="D77" t="s">
        <v>14</v>
      </c>
      <c r="E77" s="68">
        <v>334</v>
      </c>
      <c r="F77" s="68">
        <v>337</v>
      </c>
      <c r="G77" s="68">
        <v>671</v>
      </c>
      <c r="H77" t="s">
        <v>90</v>
      </c>
    </row>
    <row r="78" spans="1:8" x14ac:dyDescent="0.3">
      <c r="A78" t="s">
        <v>539</v>
      </c>
      <c r="B78" t="s">
        <v>26</v>
      </c>
      <c r="C78" t="s">
        <v>6</v>
      </c>
      <c r="D78" t="s">
        <v>15</v>
      </c>
      <c r="E78" s="68">
        <v>310</v>
      </c>
      <c r="F78" s="68">
        <v>328</v>
      </c>
      <c r="G78" s="68">
        <v>638</v>
      </c>
      <c r="H78" t="s">
        <v>90</v>
      </c>
    </row>
    <row r="79" spans="1:8" x14ac:dyDescent="0.3">
      <c r="A79" t="s">
        <v>539</v>
      </c>
      <c r="B79" t="s">
        <v>26</v>
      </c>
      <c r="C79" t="s">
        <v>6</v>
      </c>
      <c r="D79" t="s">
        <v>16</v>
      </c>
      <c r="E79" s="68">
        <v>246</v>
      </c>
      <c r="F79" s="68">
        <v>265</v>
      </c>
      <c r="G79" s="68">
        <v>511</v>
      </c>
      <c r="H79" t="s">
        <v>90</v>
      </c>
    </row>
    <row r="80" spans="1:8" x14ac:dyDescent="0.3">
      <c r="A80" t="s">
        <v>539</v>
      </c>
      <c r="B80" t="s">
        <v>26</v>
      </c>
      <c r="C80" t="s">
        <v>6</v>
      </c>
      <c r="D80" t="s">
        <v>17</v>
      </c>
      <c r="E80" s="68">
        <v>185</v>
      </c>
      <c r="F80" s="68">
        <v>265</v>
      </c>
      <c r="G80" s="68">
        <v>450</v>
      </c>
      <c r="H80" t="s">
        <v>90</v>
      </c>
    </row>
    <row r="81" spans="1:8" x14ac:dyDescent="0.3">
      <c r="A81" t="s">
        <v>539</v>
      </c>
      <c r="B81" t="s">
        <v>26</v>
      </c>
      <c r="C81" t="s">
        <v>6</v>
      </c>
      <c r="D81" t="s">
        <v>18</v>
      </c>
      <c r="E81" s="68">
        <v>205</v>
      </c>
      <c r="F81" s="68">
        <v>210</v>
      </c>
      <c r="G81" s="68">
        <v>415</v>
      </c>
      <c r="H81" t="s">
        <v>90</v>
      </c>
    </row>
    <row r="82" spans="1:8" x14ac:dyDescent="0.3">
      <c r="A82" t="s">
        <v>539</v>
      </c>
      <c r="B82" t="s">
        <v>26</v>
      </c>
      <c r="C82" t="s">
        <v>6</v>
      </c>
      <c r="D82" t="s">
        <v>19</v>
      </c>
      <c r="E82" s="68">
        <v>113</v>
      </c>
      <c r="F82" s="68">
        <v>159</v>
      </c>
      <c r="G82" s="68">
        <v>272</v>
      </c>
      <c r="H82" t="s">
        <v>90</v>
      </c>
    </row>
    <row r="83" spans="1:8" x14ac:dyDescent="0.3">
      <c r="A83" t="s">
        <v>539</v>
      </c>
      <c r="B83" t="s">
        <v>26</v>
      </c>
      <c r="C83" t="s">
        <v>6</v>
      </c>
      <c r="D83" t="s">
        <v>20</v>
      </c>
      <c r="E83" s="68">
        <v>81</v>
      </c>
      <c r="F83" s="68">
        <v>109</v>
      </c>
      <c r="G83" s="68">
        <v>190</v>
      </c>
      <c r="H83" t="s">
        <v>90</v>
      </c>
    </row>
    <row r="84" spans="1:8" x14ac:dyDescent="0.3">
      <c r="A84" t="s">
        <v>539</v>
      </c>
      <c r="B84" t="s">
        <v>26</v>
      </c>
      <c r="C84" t="s">
        <v>6</v>
      </c>
      <c r="D84" t="s">
        <v>21</v>
      </c>
      <c r="E84" s="68">
        <v>67</v>
      </c>
      <c r="F84" s="68">
        <v>66</v>
      </c>
      <c r="G84" s="68">
        <v>133</v>
      </c>
      <c r="H84" t="s">
        <v>90</v>
      </c>
    </row>
    <row r="85" spans="1:8" x14ac:dyDescent="0.3">
      <c r="A85" t="s">
        <v>539</v>
      </c>
      <c r="B85" t="s">
        <v>26</v>
      </c>
      <c r="C85" t="s">
        <v>6</v>
      </c>
      <c r="D85" t="s">
        <v>22</v>
      </c>
      <c r="E85" s="68">
        <v>47</v>
      </c>
      <c r="F85" s="68">
        <v>34</v>
      </c>
      <c r="G85" s="68">
        <v>81</v>
      </c>
      <c r="H85" t="s">
        <v>90</v>
      </c>
    </row>
    <row r="86" spans="1:8" x14ac:dyDescent="0.3">
      <c r="A86" t="s">
        <v>539</v>
      </c>
      <c r="B86" t="s">
        <v>26</v>
      </c>
      <c r="C86" t="s">
        <v>6</v>
      </c>
      <c r="D86" t="s">
        <v>23</v>
      </c>
      <c r="E86" s="68">
        <v>53</v>
      </c>
      <c r="F86" s="68">
        <v>36</v>
      </c>
      <c r="G86" s="68">
        <v>89</v>
      </c>
      <c r="H86" t="s">
        <v>90</v>
      </c>
    </row>
    <row r="87" spans="1:8" x14ac:dyDescent="0.3">
      <c r="A87" t="s">
        <v>539</v>
      </c>
      <c r="B87" t="s">
        <v>26</v>
      </c>
      <c r="C87" t="s">
        <v>24</v>
      </c>
      <c r="D87" t="s">
        <v>7</v>
      </c>
      <c r="E87" s="68">
        <v>890</v>
      </c>
      <c r="F87" s="68">
        <v>990</v>
      </c>
      <c r="G87" s="68">
        <v>1880</v>
      </c>
      <c r="H87" t="s">
        <v>90</v>
      </c>
    </row>
    <row r="88" spans="1:8" x14ac:dyDescent="0.3">
      <c r="A88" t="s">
        <v>539</v>
      </c>
      <c r="B88" t="s">
        <v>26</v>
      </c>
      <c r="C88" t="s">
        <v>24</v>
      </c>
      <c r="D88" t="s">
        <v>8</v>
      </c>
      <c r="E88" s="68">
        <v>1264</v>
      </c>
      <c r="F88" s="68">
        <v>1262</v>
      </c>
      <c r="G88" s="68">
        <v>2526</v>
      </c>
      <c r="H88" t="s">
        <v>90</v>
      </c>
    </row>
    <row r="89" spans="1:8" x14ac:dyDescent="0.3">
      <c r="A89" t="s">
        <v>539</v>
      </c>
      <c r="B89" t="s">
        <v>26</v>
      </c>
      <c r="C89" t="s">
        <v>24</v>
      </c>
      <c r="D89" t="s">
        <v>9</v>
      </c>
      <c r="E89" s="68">
        <v>1610</v>
      </c>
      <c r="F89" s="68">
        <v>1651</v>
      </c>
      <c r="G89" s="68">
        <v>3261</v>
      </c>
      <c r="H89" t="s">
        <v>90</v>
      </c>
    </row>
    <row r="90" spans="1:8" x14ac:dyDescent="0.3">
      <c r="A90" t="s">
        <v>539</v>
      </c>
      <c r="B90" t="s">
        <v>26</v>
      </c>
      <c r="C90" t="s">
        <v>24</v>
      </c>
      <c r="D90" t="s">
        <v>10</v>
      </c>
      <c r="E90" s="68">
        <v>1498</v>
      </c>
      <c r="F90" s="68">
        <v>1451</v>
      </c>
      <c r="G90" s="68">
        <v>2949</v>
      </c>
      <c r="H90" t="s">
        <v>90</v>
      </c>
    </row>
    <row r="91" spans="1:8" x14ac:dyDescent="0.3">
      <c r="A91" t="s">
        <v>539</v>
      </c>
      <c r="B91" t="s">
        <v>26</v>
      </c>
      <c r="C91" t="s">
        <v>24</v>
      </c>
      <c r="D91" t="s">
        <v>11</v>
      </c>
      <c r="E91" s="68">
        <v>1288</v>
      </c>
      <c r="F91" s="68">
        <v>1108</v>
      </c>
      <c r="G91" s="68">
        <v>2396</v>
      </c>
      <c r="H91" t="s">
        <v>90</v>
      </c>
    </row>
    <row r="92" spans="1:8" x14ac:dyDescent="0.3">
      <c r="A92" t="s">
        <v>539</v>
      </c>
      <c r="B92" t="s">
        <v>26</v>
      </c>
      <c r="C92" t="s">
        <v>24</v>
      </c>
      <c r="D92" t="s">
        <v>12</v>
      </c>
      <c r="E92" s="68">
        <v>1111</v>
      </c>
      <c r="F92" s="68">
        <v>1161</v>
      </c>
      <c r="G92" s="68">
        <v>2272</v>
      </c>
      <c r="H92" t="s">
        <v>90</v>
      </c>
    </row>
    <row r="93" spans="1:8" x14ac:dyDescent="0.3">
      <c r="A93" t="s">
        <v>539</v>
      </c>
      <c r="B93" t="s">
        <v>26</v>
      </c>
      <c r="C93" t="s">
        <v>24</v>
      </c>
      <c r="D93" t="s">
        <v>13</v>
      </c>
      <c r="E93" s="68">
        <v>888</v>
      </c>
      <c r="F93" s="68">
        <v>1042</v>
      </c>
      <c r="G93" s="68">
        <v>1930</v>
      </c>
      <c r="H93" t="s">
        <v>90</v>
      </c>
    </row>
    <row r="94" spans="1:8" x14ac:dyDescent="0.3">
      <c r="A94" t="s">
        <v>539</v>
      </c>
      <c r="B94" t="s">
        <v>26</v>
      </c>
      <c r="C94" t="s">
        <v>24</v>
      </c>
      <c r="D94" t="s">
        <v>14</v>
      </c>
      <c r="E94" s="68">
        <v>888</v>
      </c>
      <c r="F94" s="68">
        <v>893</v>
      </c>
      <c r="G94" s="68">
        <v>1781</v>
      </c>
      <c r="H94" t="s">
        <v>90</v>
      </c>
    </row>
    <row r="95" spans="1:8" x14ac:dyDescent="0.3">
      <c r="A95" t="s">
        <v>539</v>
      </c>
      <c r="B95" t="s">
        <v>26</v>
      </c>
      <c r="C95" t="s">
        <v>24</v>
      </c>
      <c r="D95" t="s">
        <v>15</v>
      </c>
      <c r="E95" s="68">
        <v>820</v>
      </c>
      <c r="F95" s="68">
        <v>902</v>
      </c>
      <c r="G95" s="68">
        <v>1722</v>
      </c>
      <c r="H95" t="s">
        <v>90</v>
      </c>
    </row>
    <row r="96" spans="1:8" x14ac:dyDescent="0.3">
      <c r="A96" t="s">
        <v>539</v>
      </c>
      <c r="B96" t="s">
        <v>26</v>
      </c>
      <c r="C96" t="s">
        <v>24</v>
      </c>
      <c r="D96" t="s">
        <v>16</v>
      </c>
      <c r="E96" s="68">
        <v>688</v>
      </c>
      <c r="F96" s="68">
        <v>660</v>
      </c>
      <c r="G96" s="68">
        <v>1348</v>
      </c>
      <c r="H96" t="s">
        <v>90</v>
      </c>
    </row>
    <row r="97" spans="1:8" x14ac:dyDescent="0.3">
      <c r="A97" t="s">
        <v>539</v>
      </c>
      <c r="B97" t="s">
        <v>26</v>
      </c>
      <c r="C97" t="s">
        <v>24</v>
      </c>
      <c r="D97" t="s">
        <v>17</v>
      </c>
      <c r="E97" s="68">
        <v>575</v>
      </c>
      <c r="F97" s="68">
        <v>697</v>
      </c>
      <c r="G97" s="68">
        <v>1272</v>
      </c>
      <c r="H97" t="s">
        <v>90</v>
      </c>
    </row>
    <row r="98" spans="1:8" x14ac:dyDescent="0.3">
      <c r="A98" t="s">
        <v>539</v>
      </c>
      <c r="B98" t="s">
        <v>26</v>
      </c>
      <c r="C98" t="s">
        <v>24</v>
      </c>
      <c r="D98" t="s">
        <v>18</v>
      </c>
      <c r="E98" s="68">
        <v>538</v>
      </c>
      <c r="F98" s="68">
        <v>571</v>
      </c>
      <c r="G98" s="68">
        <v>1109</v>
      </c>
      <c r="H98" t="s">
        <v>90</v>
      </c>
    </row>
    <row r="99" spans="1:8" x14ac:dyDescent="0.3">
      <c r="A99" t="s">
        <v>539</v>
      </c>
      <c r="B99" t="s">
        <v>26</v>
      </c>
      <c r="C99" t="s">
        <v>24</v>
      </c>
      <c r="D99" t="s">
        <v>19</v>
      </c>
      <c r="E99" s="68">
        <v>423</v>
      </c>
      <c r="F99" s="68">
        <v>483</v>
      </c>
      <c r="G99" s="68">
        <v>906</v>
      </c>
      <c r="H99" t="s">
        <v>90</v>
      </c>
    </row>
    <row r="100" spans="1:8" x14ac:dyDescent="0.3">
      <c r="A100" t="s">
        <v>539</v>
      </c>
      <c r="B100" t="s">
        <v>26</v>
      </c>
      <c r="C100" t="s">
        <v>24</v>
      </c>
      <c r="D100" t="s">
        <v>20</v>
      </c>
      <c r="E100" s="68">
        <v>326</v>
      </c>
      <c r="F100" s="68">
        <v>391</v>
      </c>
      <c r="G100" s="68">
        <v>717</v>
      </c>
      <c r="H100" t="s">
        <v>90</v>
      </c>
    </row>
    <row r="101" spans="1:8" x14ac:dyDescent="0.3">
      <c r="A101" t="s">
        <v>539</v>
      </c>
      <c r="B101" t="s">
        <v>26</v>
      </c>
      <c r="C101" t="s">
        <v>24</v>
      </c>
      <c r="D101" t="s">
        <v>21</v>
      </c>
      <c r="E101" s="68">
        <v>214</v>
      </c>
      <c r="F101" s="68">
        <v>264</v>
      </c>
      <c r="G101" s="68">
        <v>478</v>
      </c>
      <c r="H101" t="s">
        <v>90</v>
      </c>
    </row>
    <row r="102" spans="1:8" x14ac:dyDescent="0.3">
      <c r="A102" t="s">
        <v>539</v>
      </c>
      <c r="B102" t="s">
        <v>26</v>
      </c>
      <c r="C102" t="s">
        <v>24</v>
      </c>
      <c r="D102" t="s">
        <v>22</v>
      </c>
      <c r="E102" s="68">
        <v>122</v>
      </c>
      <c r="F102" s="68">
        <v>158</v>
      </c>
      <c r="G102" s="68">
        <v>280</v>
      </c>
      <c r="H102" t="s">
        <v>90</v>
      </c>
    </row>
    <row r="103" spans="1:8" x14ac:dyDescent="0.3">
      <c r="A103" t="s">
        <v>539</v>
      </c>
      <c r="B103" t="s">
        <v>26</v>
      </c>
      <c r="C103" t="s">
        <v>24</v>
      </c>
      <c r="D103" t="s">
        <v>23</v>
      </c>
      <c r="E103" s="68">
        <v>186</v>
      </c>
      <c r="F103" s="68">
        <v>177</v>
      </c>
      <c r="G103" s="68">
        <v>363</v>
      </c>
      <c r="H103" t="s">
        <v>90</v>
      </c>
    </row>
    <row r="104" spans="1:8" x14ac:dyDescent="0.3">
      <c r="A104" t="s">
        <v>539</v>
      </c>
      <c r="B104" t="s">
        <v>27</v>
      </c>
      <c r="C104" t="s">
        <v>28</v>
      </c>
      <c r="D104" t="s">
        <v>7</v>
      </c>
      <c r="E104" s="68">
        <v>22</v>
      </c>
      <c r="F104" s="68">
        <v>31</v>
      </c>
      <c r="G104" s="68">
        <v>53</v>
      </c>
      <c r="H104" t="s">
        <v>90</v>
      </c>
    </row>
    <row r="105" spans="1:8" x14ac:dyDescent="0.3">
      <c r="A105" t="s">
        <v>539</v>
      </c>
      <c r="B105" t="s">
        <v>27</v>
      </c>
      <c r="C105" t="s">
        <v>28</v>
      </c>
      <c r="D105" t="s">
        <v>8</v>
      </c>
      <c r="E105" s="68">
        <v>41</v>
      </c>
      <c r="F105" s="68">
        <v>54</v>
      </c>
      <c r="G105" s="68">
        <v>95</v>
      </c>
      <c r="H105" t="s">
        <v>90</v>
      </c>
    </row>
    <row r="106" spans="1:8" x14ac:dyDescent="0.3">
      <c r="A106" t="s">
        <v>539</v>
      </c>
      <c r="B106" t="s">
        <v>27</v>
      </c>
      <c r="C106" t="s">
        <v>28</v>
      </c>
      <c r="D106" t="s">
        <v>9</v>
      </c>
      <c r="E106" s="68">
        <v>83</v>
      </c>
      <c r="F106" s="68">
        <v>104</v>
      </c>
      <c r="G106" s="68">
        <v>187</v>
      </c>
      <c r="H106" t="s">
        <v>90</v>
      </c>
    </row>
    <row r="107" spans="1:8" x14ac:dyDescent="0.3">
      <c r="A107" t="s">
        <v>539</v>
      </c>
      <c r="B107" t="s">
        <v>27</v>
      </c>
      <c r="C107" t="s">
        <v>28</v>
      </c>
      <c r="D107" t="s">
        <v>10</v>
      </c>
      <c r="E107" s="68">
        <v>113</v>
      </c>
      <c r="F107" s="68">
        <v>108</v>
      </c>
      <c r="G107" s="68">
        <v>221</v>
      </c>
      <c r="H107" t="s">
        <v>90</v>
      </c>
    </row>
    <row r="108" spans="1:8" x14ac:dyDescent="0.3">
      <c r="A108" t="s">
        <v>539</v>
      </c>
      <c r="B108" t="s">
        <v>27</v>
      </c>
      <c r="C108" t="s">
        <v>28</v>
      </c>
      <c r="D108" t="s">
        <v>11</v>
      </c>
      <c r="E108" s="68">
        <v>75</v>
      </c>
      <c r="F108" s="68">
        <v>65</v>
      </c>
      <c r="G108" s="68">
        <v>140</v>
      </c>
      <c r="H108" t="s">
        <v>90</v>
      </c>
    </row>
    <row r="109" spans="1:8" x14ac:dyDescent="0.3">
      <c r="A109" t="s">
        <v>539</v>
      </c>
      <c r="B109" t="s">
        <v>27</v>
      </c>
      <c r="C109" t="s">
        <v>28</v>
      </c>
      <c r="D109" t="s">
        <v>12</v>
      </c>
      <c r="E109" s="68">
        <v>30</v>
      </c>
      <c r="F109" s="68">
        <v>25</v>
      </c>
      <c r="G109" s="68">
        <v>55</v>
      </c>
      <c r="H109" t="s">
        <v>90</v>
      </c>
    </row>
    <row r="110" spans="1:8" x14ac:dyDescent="0.3">
      <c r="A110" t="s">
        <v>539</v>
      </c>
      <c r="B110" t="s">
        <v>27</v>
      </c>
      <c r="C110" t="s">
        <v>28</v>
      </c>
      <c r="D110" t="s">
        <v>13</v>
      </c>
      <c r="E110" s="68">
        <v>50</v>
      </c>
      <c r="F110" s="68">
        <v>37</v>
      </c>
      <c r="G110" s="68">
        <v>87</v>
      </c>
      <c r="H110" t="s">
        <v>90</v>
      </c>
    </row>
    <row r="111" spans="1:8" x14ac:dyDescent="0.3">
      <c r="A111" t="s">
        <v>539</v>
      </c>
      <c r="B111" t="s">
        <v>27</v>
      </c>
      <c r="C111" t="s">
        <v>28</v>
      </c>
      <c r="D111" t="s">
        <v>14</v>
      </c>
      <c r="E111" s="68">
        <v>75</v>
      </c>
      <c r="F111" s="68">
        <v>50</v>
      </c>
      <c r="G111" s="68">
        <v>125</v>
      </c>
      <c r="H111" t="s">
        <v>90</v>
      </c>
    </row>
    <row r="112" spans="1:8" x14ac:dyDescent="0.3">
      <c r="A112" t="s">
        <v>539</v>
      </c>
      <c r="B112" t="s">
        <v>27</v>
      </c>
      <c r="C112" t="s">
        <v>28</v>
      </c>
      <c r="D112" t="s">
        <v>15</v>
      </c>
      <c r="E112" s="68">
        <v>86</v>
      </c>
      <c r="F112" s="68">
        <v>92</v>
      </c>
      <c r="G112" s="68">
        <v>178</v>
      </c>
      <c r="H112" t="s">
        <v>90</v>
      </c>
    </row>
    <row r="113" spans="1:8" x14ac:dyDescent="0.3">
      <c r="A113" t="s">
        <v>539</v>
      </c>
      <c r="B113" t="s">
        <v>27</v>
      </c>
      <c r="C113" t="s">
        <v>28</v>
      </c>
      <c r="D113" t="s">
        <v>16</v>
      </c>
      <c r="E113" s="68">
        <v>101</v>
      </c>
      <c r="F113" s="68">
        <v>82</v>
      </c>
      <c r="G113" s="68">
        <v>183</v>
      </c>
      <c r="H113" t="s">
        <v>90</v>
      </c>
    </row>
    <row r="114" spans="1:8" x14ac:dyDescent="0.3">
      <c r="A114" t="s">
        <v>539</v>
      </c>
      <c r="B114" t="s">
        <v>27</v>
      </c>
      <c r="C114" t="s">
        <v>28</v>
      </c>
      <c r="D114" t="s">
        <v>17</v>
      </c>
      <c r="E114" s="68">
        <v>105</v>
      </c>
      <c r="F114" s="68">
        <v>91</v>
      </c>
      <c r="G114" s="68">
        <v>196</v>
      </c>
      <c r="H114" t="s">
        <v>90</v>
      </c>
    </row>
    <row r="115" spans="1:8" x14ac:dyDescent="0.3">
      <c r="A115" t="s">
        <v>539</v>
      </c>
      <c r="B115" t="s">
        <v>27</v>
      </c>
      <c r="C115" t="s">
        <v>28</v>
      </c>
      <c r="D115" t="s">
        <v>18</v>
      </c>
      <c r="E115" s="68">
        <v>72</v>
      </c>
      <c r="F115" s="68">
        <v>55</v>
      </c>
      <c r="G115" s="68">
        <v>127</v>
      </c>
      <c r="H115" t="s">
        <v>90</v>
      </c>
    </row>
    <row r="116" spans="1:8" x14ac:dyDescent="0.3">
      <c r="A116" t="s">
        <v>539</v>
      </c>
      <c r="B116" t="s">
        <v>27</v>
      </c>
      <c r="C116" t="s">
        <v>28</v>
      </c>
      <c r="D116" t="s">
        <v>19</v>
      </c>
      <c r="E116" s="68">
        <v>51</v>
      </c>
      <c r="F116" s="68">
        <v>52</v>
      </c>
      <c r="G116" s="68">
        <v>103</v>
      </c>
      <c r="H116" t="s">
        <v>90</v>
      </c>
    </row>
    <row r="117" spans="1:8" x14ac:dyDescent="0.3">
      <c r="A117" t="s">
        <v>539</v>
      </c>
      <c r="B117" t="s">
        <v>27</v>
      </c>
      <c r="C117" t="s">
        <v>28</v>
      </c>
      <c r="D117" t="s">
        <v>20</v>
      </c>
      <c r="E117" s="68">
        <v>39</v>
      </c>
      <c r="F117" s="68">
        <v>58</v>
      </c>
      <c r="G117" s="68">
        <v>97</v>
      </c>
      <c r="H117" t="s">
        <v>90</v>
      </c>
    </row>
    <row r="118" spans="1:8" x14ac:dyDescent="0.3">
      <c r="A118" t="s">
        <v>539</v>
      </c>
      <c r="B118" t="s">
        <v>27</v>
      </c>
      <c r="C118" t="s">
        <v>28</v>
      </c>
      <c r="D118" t="s">
        <v>21</v>
      </c>
      <c r="E118" s="68">
        <v>33</v>
      </c>
      <c r="F118" s="68">
        <v>46</v>
      </c>
      <c r="G118" s="68">
        <v>79</v>
      </c>
      <c r="H118" t="s">
        <v>90</v>
      </c>
    </row>
    <row r="119" spans="1:8" x14ac:dyDescent="0.3">
      <c r="A119" t="s">
        <v>539</v>
      </c>
      <c r="B119" t="s">
        <v>27</v>
      </c>
      <c r="C119" t="s">
        <v>28</v>
      </c>
      <c r="D119" t="s">
        <v>22</v>
      </c>
      <c r="E119" s="68">
        <v>21</v>
      </c>
      <c r="F119" s="68">
        <v>12</v>
      </c>
      <c r="G119" s="68">
        <v>33</v>
      </c>
      <c r="H119" t="s">
        <v>90</v>
      </c>
    </row>
    <row r="120" spans="1:8" x14ac:dyDescent="0.3">
      <c r="A120" t="s">
        <v>539</v>
      </c>
      <c r="B120" t="s">
        <v>27</v>
      </c>
      <c r="C120" t="s">
        <v>28</v>
      </c>
      <c r="D120" t="s">
        <v>23</v>
      </c>
      <c r="E120" s="68">
        <v>17</v>
      </c>
      <c r="F120" s="68">
        <v>7</v>
      </c>
      <c r="G120" s="68">
        <v>24</v>
      </c>
      <c r="H120" t="s">
        <v>90</v>
      </c>
    </row>
    <row r="121" spans="1:8" x14ac:dyDescent="0.3">
      <c r="A121" t="s">
        <v>539</v>
      </c>
      <c r="B121" t="s">
        <v>27</v>
      </c>
      <c r="C121" t="s">
        <v>29</v>
      </c>
      <c r="D121" t="s">
        <v>10</v>
      </c>
      <c r="E121" s="68">
        <v>1</v>
      </c>
      <c r="F121" s="68">
        <v>1</v>
      </c>
      <c r="G121" s="68">
        <v>2</v>
      </c>
      <c r="H121" t="s">
        <v>90</v>
      </c>
    </row>
    <row r="122" spans="1:8" x14ac:dyDescent="0.3">
      <c r="A122" t="s">
        <v>539</v>
      </c>
      <c r="B122" t="s">
        <v>27</v>
      </c>
      <c r="C122" t="s">
        <v>29</v>
      </c>
      <c r="D122" t="s">
        <v>11</v>
      </c>
      <c r="E122" s="68">
        <v>3</v>
      </c>
      <c r="F122" s="68">
        <v>21</v>
      </c>
      <c r="G122" s="68">
        <v>24</v>
      </c>
      <c r="H122" t="s">
        <v>90</v>
      </c>
    </row>
    <row r="123" spans="1:8" x14ac:dyDescent="0.3">
      <c r="A123" t="s">
        <v>539</v>
      </c>
      <c r="B123" t="s">
        <v>27</v>
      </c>
      <c r="C123" t="s">
        <v>29</v>
      </c>
      <c r="D123" t="s">
        <v>12</v>
      </c>
      <c r="E123" s="68">
        <v>1</v>
      </c>
      <c r="F123" s="68">
        <v>39</v>
      </c>
      <c r="G123" s="68">
        <v>40</v>
      </c>
      <c r="H123" t="s">
        <v>90</v>
      </c>
    </row>
    <row r="124" spans="1:8" x14ac:dyDescent="0.3">
      <c r="A124" t="s">
        <v>539</v>
      </c>
      <c r="B124" t="s">
        <v>27</v>
      </c>
      <c r="C124" t="s">
        <v>29</v>
      </c>
      <c r="D124" t="s">
        <v>13</v>
      </c>
      <c r="E124" s="68">
        <v>2</v>
      </c>
      <c r="F124" s="68">
        <v>23</v>
      </c>
      <c r="G124" s="68">
        <v>25</v>
      </c>
      <c r="H124" t="s">
        <v>90</v>
      </c>
    </row>
    <row r="125" spans="1:8" x14ac:dyDescent="0.3">
      <c r="A125" t="s">
        <v>539</v>
      </c>
      <c r="B125" t="s">
        <v>27</v>
      </c>
      <c r="C125" t="s">
        <v>29</v>
      </c>
      <c r="D125" t="s">
        <v>14</v>
      </c>
      <c r="E125" s="68">
        <v>1</v>
      </c>
      <c r="F125" s="68">
        <v>23</v>
      </c>
      <c r="G125" s="68">
        <v>24</v>
      </c>
      <c r="H125" t="s">
        <v>90</v>
      </c>
    </row>
    <row r="126" spans="1:8" x14ac:dyDescent="0.3">
      <c r="A126" t="s">
        <v>539</v>
      </c>
      <c r="B126" t="s">
        <v>27</v>
      </c>
      <c r="C126" t="s">
        <v>29</v>
      </c>
      <c r="D126" t="s">
        <v>15</v>
      </c>
      <c r="E126" s="68">
        <v>1</v>
      </c>
      <c r="F126" s="68">
        <v>14</v>
      </c>
      <c r="G126" s="68">
        <v>15</v>
      </c>
      <c r="H126" t="s">
        <v>90</v>
      </c>
    </row>
    <row r="127" spans="1:8" x14ac:dyDescent="0.3">
      <c r="A127" t="s">
        <v>539</v>
      </c>
      <c r="B127" t="s">
        <v>27</v>
      </c>
      <c r="C127" t="s">
        <v>29</v>
      </c>
      <c r="D127" t="s">
        <v>16</v>
      </c>
      <c r="E127" s="68"/>
      <c r="F127" s="68">
        <v>8</v>
      </c>
      <c r="G127" s="68">
        <v>8</v>
      </c>
      <c r="H127" t="s">
        <v>90</v>
      </c>
    </row>
    <row r="128" spans="1:8" x14ac:dyDescent="0.3">
      <c r="A128" t="s">
        <v>539</v>
      </c>
      <c r="B128" t="s">
        <v>27</v>
      </c>
      <c r="C128" t="s">
        <v>29</v>
      </c>
      <c r="D128" t="s">
        <v>17</v>
      </c>
      <c r="E128" s="68"/>
      <c r="F128" s="68">
        <v>6</v>
      </c>
      <c r="G128" s="68">
        <v>6</v>
      </c>
      <c r="H128" t="s">
        <v>90</v>
      </c>
    </row>
    <row r="129" spans="1:8" x14ac:dyDescent="0.3">
      <c r="A129" t="s">
        <v>539</v>
      </c>
      <c r="B129" t="s">
        <v>27</v>
      </c>
      <c r="C129" t="s">
        <v>29</v>
      </c>
      <c r="D129" t="s">
        <v>18</v>
      </c>
      <c r="E129" s="68"/>
      <c r="F129" s="68">
        <v>5</v>
      </c>
      <c r="G129" s="68">
        <v>5</v>
      </c>
      <c r="H129" t="s">
        <v>90</v>
      </c>
    </row>
    <row r="130" spans="1:8" x14ac:dyDescent="0.3">
      <c r="A130" t="s">
        <v>539</v>
      </c>
      <c r="B130" t="s">
        <v>27</v>
      </c>
      <c r="C130" t="s">
        <v>29</v>
      </c>
      <c r="D130" t="s">
        <v>19</v>
      </c>
      <c r="E130" s="68"/>
      <c r="F130" s="68">
        <v>1</v>
      </c>
      <c r="G130" s="68">
        <v>1</v>
      </c>
      <c r="H130" t="s">
        <v>90</v>
      </c>
    </row>
    <row r="131" spans="1:8" x14ac:dyDescent="0.3">
      <c r="A131" t="s">
        <v>539</v>
      </c>
      <c r="B131" t="s">
        <v>27</v>
      </c>
      <c r="C131" t="s">
        <v>29</v>
      </c>
      <c r="D131" t="s">
        <v>21</v>
      </c>
      <c r="E131" s="68"/>
      <c r="F131" s="68">
        <v>1</v>
      </c>
      <c r="G131" s="68">
        <v>1</v>
      </c>
      <c r="H131" t="s">
        <v>90</v>
      </c>
    </row>
    <row r="132" spans="1:8" x14ac:dyDescent="0.3">
      <c r="A132" t="s">
        <v>551</v>
      </c>
      <c r="B132" t="s">
        <v>30</v>
      </c>
      <c r="C132" t="s">
        <v>6</v>
      </c>
      <c r="D132" t="s">
        <v>10</v>
      </c>
      <c r="E132" s="68">
        <v>1</v>
      </c>
      <c r="F132" s="68"/>
      <c r="G132" s="68">
        <v>1</v>
      </c>
      <c r="H132" t="s">
        <v>90</v>
      </c>
    </row>
    <row r="133" spans="1:8" x14ac:dyDescent="0.3">
      <c r="A133" t="s">
        <v>551</v>
      </c>
      <c r="B133" t="s">
        <v>30</v>
      </c>
      <c r="C133" t="s">
        <v>6</v>
      </c>
      <c r="D133" t="s">
        <v>16</v>
      </c>
      <c r="E133" s="68"/>
      <c r="F133" s="68">
        <v>1</v>
      </c>
      <c r="G133" s="68">
        <v>1</v>
      </c>
      <c r="H133" t="s">
        <v>90</v>
      </c>
    </row>
    <row r="134" spans="1:8" x14ac:dyDescent="0.3">
      <c r="A134" t="s">
        <v>551</v>
      </c>
      <c r="B134" t="s">
        <v>30</v>
      </c>
      <c r="C134" t="s">
        <v>6</v>
      </c>
      <c r="D134" t="s">
        <v>21</v>
      </c>
      <c r="E134" s="68"/>
      <c r="F134" s="68">
        <v>1</v>
      </c>
      <c r="G134" s="68">
        <v>1</v>
      </c>
      <c r="H134" t="s">
        <v>90</v>
      </c>
    </row>
    <row r="135" spans="1:8" x14ac:dyDescent="0.3">
      <c r="A135" t="s">
        <v>551</v>
      </c>
      <c r="B135" t="s">
        <v>30</v>
      </c>
      <c r="C135" t="s">
        <v>24</v>
      </c>
      <c r="D135" t="s">
        <v>7</v>
      </c>
      <c r="E135" s="68">
        <v>1</v>
      </c>
      <c r="F135" s="68">
        <v>2</v>
      </c>
      <c r="G135" s="68">
        <v>3</v>
      </c>
      <c r="H135" t="s">
        <v>90</v>
      </c>
    </row>
    <row r="136" spans="1:8" x14ac:dyDescent="0.3">
      <c r="A136" t="s">
        <v>551</v>
      </c>
      <c r="B136" t="s">
        <v>30</v>
      </c>
      <c r="C136" t="s">
        <v>24</v>
      </c>
      <c r="D136" t="s">
        <v>8</v>
      </c>
      <c r="E136" s="68">
        <v>2</v>
      </c>
      <c r="F136" s="68">
        <v>1</v>
      </c>
      <c r="G136" s="68">
        <v>3</v>
      </c>
      <c r="H136" t="s">
        <v>90</v>
      </c>
    </row>
    <row r="137" spans="1:8" x14ac:dyDescent="0.3">
      <c r="A137" t="s">
        <v>551</v>
      </c>
      <c r="B137" t="s">
        <v>30</v>
      </c>
      <c r="C137" t="s">
        <v>24</v>
      </c>
      <c r="D137" t="s">
        <v>9</v>
      </c>
      <c r="E137" s="68">
        <v>1</v>
      </c>
      <c r="F137" s="68"/>
      <c r="G137" s="68">
        <v>1</v>
      </c>
      <c r="H137" t="s">
        <v>90</v>
      </c>
    </row>
    <row r="138" spans="1:8" x14ac:dyDescent="0.3">
      <c r="A138" t="s">
        <v>551</v>
      </c>
      <c r="B138" t="s">
        <v>30</v>
      </c>
      <c r="C138" t="s">
        <v>24</v>
      </c>
      <c r="D138" t="s">
        <v>20</v>
      </c>
      <c r="E138" s="68"/>
      <c r="F138" s="68">
        <v>1</v>
      </c>
      <c r="G138" s="68">
        <v>1</v>
      </c>
      <c r="H138" t="s">
        <v>90</v>
      </c>
    </row>
    <row r="139" spans="1:8" x14ac:dyDescent="0.3">
      <c r="A139" t="s">
        <v>551</v>
      </c>
      <c r="B139" t="s">
        <v>30</v>
      </c>
      <c r="C139" t="s">
        <v>24</v>
      </c>
      <c r="D139" t="s">
        <v>21</v>
      </c>
      <c r="E139" s="68">
        <v>1</v>
      </c>
      <c r="F139" s="68"/>
      <c r="G139" s="68">
        <v>1</v>
      </c>
      <c r="H139" t="s">
        <v>90</v>
      </c>
    </row>
    <row r="140" spans="1:8" x14ac:dyDescent="0.3">
      <c r="A140" t="s">
        <v>551</v>
      </c>
      <c r="B140" t="s">
        <v>587</v>
      </c>
      <c r="C140" t="s">
        <v>6</v>
      </c>
      <c r="D140" t="s">
        <v>14</v>
      </c>
      <c r="E140" s="68"/>
      <c r="F140" s="68">
        <v>1</v>
      </c>
      <c r="G140" s="68">
        <v>1</v>
      </c>
      <c r="H140" t="s">
        <v>90</v>
      </c>
    </row>
    <row r="141" spans="1:8" x14ac:dyDescent="0.3">
      <c r="A141" t="s">
        <v>551</v>
      </c>
      <c r="B141" t="s">
        <v>587</v>
      </c>
      <c r="C141" t="s">
        <v>24</v>
      </c>
      <c r="D141" t="s">
        <v>8</v>
      </c>
      <c r="E141" s="68">
        <v>1</v>
      </c>
      <c r="F141" s="68"/>
      <c r="G141" s="68">
        <v>1</v>
      </c>
      <c r="H141" t="s">
        <v>90</v>
      </c>
    </row>
    <row r="142" spans="1:8" x14ac:dyDescent="0.3">
      <c r="A142" t="s">
        <v>551</v>
      </c>
      <c r="B142" t="s">
        <v>536</v>
      </c>
      <c r="C142" t="s">
        <v>6</v>
      </c>
      <c r="D142" t="s">
        <v>12</v>
      </c>
      <c r="E142" s="68">
        <v>1</v>
      </c>
      <c r="F142" s="68"/>
      <c r="G142" s="68">
        <v>1</v>
      </c>
      <c r="H142" t="s">
        <v>90</v>
      </c>
    </row>
    <row r="143" spans="1:8" x14ac:dyDescent="0.3">
      <c r="A143" t="s">
        <v>551</v>
      </c>
      <c r="B143" t="s">
        <v>31</v>
      </c>
      <c r="C143" t="s">
        <v>6</v>
      </c>
      <c r="D143" t="s">
        <v>7</v>
      </c>
      <c r="E143" s="68">
        <v>1210</v>
      </c>
      <c r="F143" s="68">
        <v>1293</v>
      </c>
      <c r="G143" s="68">
        <v>2503</v>
      </c>
      <c r="H143" t="s">
        <v>90</v>
      </c>
    </row>
    <row r="144" spans="1:8" x14ac:dyDescent="0.3">
      <c r="A144" t="s">
        <v>551</v>
      </c>
      <c r="B144" t="s">
        <v>31</v>
      </c>
      <c r="C144" t="s">
        <v>6</v>
      </c>
      <c r="D144" t="s">
        <v>8</v>
      </c>
      <c r="E144" s="68">
        <v>1248</v>
      </c>
      <c r="F144" s="68">
        <v>1314</v>
      </c>
      <c r="G144" s="68">
        <v>2562</v>
      </c>
      <c r="H144" t="s">
        <v>90</v>
      </c>
    </row>
    <row r="145" spans="1:8" x14ac:dyDescent="0.3">
      <c r="A145" t="s">
        <v>551</v>
      </c>
      <c r="B145" t="s">
        <v>31</v>
      </c>
      <c r="C145" t="s">
        <v>6</v>
      </c>
      <c r="D145" t="s">
        <v>9</v>
      </c>
      <c r="E145" s="68">
        <v>1164</v>
      </c>
      <c r="F145" s="68">
        <v>1225</v>
      </c>
      <c r="G145" s="68">
        <v>2389</v>
      </c>
      <c r="H145" t="s">
        <v>90</v>
      </c>
    </row>
    <row r="146" spans="1:8" x14ac:dyDescent="0.3">
      <c r="A146" t="s">
        <v>551</v>
      </c>
      <c r="B146" t="s">
        <v>31</v>
      </c>
      <c r="C146" t="s">
        <v>6</v>
      </c>
      <c r="D146" t="s">
        <v>10</v>
      </c>
      <c r="E146" s="68">
        <v>1817</v>
      </c>
      <c r="F146" s="68">
        <v>2075</v>
      </c>
      <c r="G146" s="68">
        <v>3892</v>
      </c>
      <c r="H146" t="s">
        <v>90</v>
      </c>
    </row>
    <row r="147" spans="1:8" x14ac:dyDescent="0.3">
      <c r="A147" t="s">
        <v>551</v>
      </c>
      <c r="B147" t="s">
        <v>31</v>
      </c>
      <c r="C147" t="s">
        <v>6</v>
      </c>
      <c r="D147" t="s">
        <v>11</v>
      </c>
      <c r="E147" s="68">
        <v>3495</v>
      </c>
      <c r="F147" s="68">
        <v>4578</v>
      </c>
      <c r="G147" s="68">
        <v>8073</v>
      </c>
      <c r="H147" t="s">
        <v>90</v>
      </c>
    </row>
    <row r="148" spans="1:8" x14ac:dyDescent="0.3">
      <c r="A148" t="s">
        <v>551</v>
      </c>
      <c r="B148" t="s">
        <v>31</v>
      </c>
      <c r="C148" t="s">
        <v>6</v>
      </c>
      <c r="D148" t="s">
        <v>12</v>
      </c>
      <c r="E148" s="68">
        <v>3507</v>
      </c>
      <c r="F148" s="68">
        <v>3870</v>
      </c>
      <c r="G148" s="68">
        <v>7377</v>
      </c>
      <c r="H148" t="s">
        <v>90</v>
      </c>
    </row>
    <row r="149" spans="1:8" x14ac:dyDescent="0.3">
      <c r="A149" t="s">
        <v>551</v>
      </c>
      <c r="B149" t="s">
        <v>31</v>
      </c>
      <c r="C149" t="s">
        <v>6</v>
      </c>
      <c r="D149" t="s">
        <v>13</v>
      </c>
      <c r="E149" s="68">
        <v>3104</v>
      </c>
      <c r="F149" s="68">
        <v>3273</v>
      </c>
      <c r="G149" s="68">
        <v>6377</v>
      </c>
      <c r="H149" t="s">
        <v>90</v>
      </c>
    </row>
    <row r="150" spans="1:8" x14ac:dyDescent="0.3">
      <c r="A150" t="s">
        <v>551</v>
      </c>
      <c r="B150" t="s">
        <v>31</v>
      </c>
      <c r="C150" t="s">
        <v>6</v>
      </c>
      <c r="D150" t="s">
        <v>14</v>
      </c>
      <c r="E150" s="68">
        <v>2684</v>
      </c>
      <c r="F150" s="68">
        <v>2672</v>
      </c>
      <c r="G150" s="68">
        <v>5356</v>
      </c>
      <c r="H150" t="s">
        <v>90</v>
      </c>
    </row>
    <row r="151" spans="1:8" x14ac:dyDescent="0.3">
      <c r="A151" t="s">
        <v>551</v>
      </c>
      <c r="B151" t="s">
        <v>31</v>
      </c>
      <c r="C151" t="s">
        <v>6</v>
      </c>
      <c r="D151" t="s">
        <v>15</v>
      </c>
      <c r="E151" s="68">
        <v>2245</v>
      </c>
      <c r="F151" s="68">
        <v>2257</v>
      </c>
      <c r="G151" s="68">
        <v>4502</v>
      </c>
      <c r="H151" t="s">
        <v>90</v>
      </c>
    </row>
    <row r="152" spans="1:8" x14ac:dyDescent="0.3">
      <c r="A152" t="s">
        <v>551</v>
      </c>
      <c r="B152" t="s">
        <v>31</v>
      </c>
      <c r="C152" t="s">
        <v>6</v>
      </c>
      <c r="D152" t="s">
        <v>16</v>
      </c>
      <c r="E152" s="68">
        <v>1768</v>
      </c>
      <c r="F152" s="68">
        <v>1885</v>
      </c>
      <c r="G152" s="68">
        <v>3653</v>
      </c>
      <c r="H152" t="s">
        <v>90</v>
      </c>
    </row>
    <row r="153" spans="1:8" x14ac:dyDescent="0.3">
      <c r="A153" t="s">
        <v>551</v>
      </c>
      <c r="B153" t="s">
        <v>31</v>
      </c>
      <c r="C153" t="s">
        <v>6</v>
      </c>
      <c r="D153" t="s">
        <v>17</v>
      </c>
      <c r="E153" s="68">
        <v>1261</v>
      </c>
      <c r="F153" s="68">
        <v>1585</v>
      </c>
      <c r="G153" s="68">
        <v>2846</v>
      </c>
      <c r="H153" t="s">
        <v>90</v>
      </c>
    </row>
    <row r="154" spans="1:8" x14ac:dyDescent="0.3">
      <c r="A154" t="s">
        <v>551</v>
      </c>
      <c r="B154" t="s">
        <v>31</v>
      </c>
      <c r="C154" t="s">
        <v>6</v>
      </c>
      <c r="D154" t="s">
        <v>18</v>
      </c>
      <c r="E154" s="68">
        <v>1102</v>
      </c>
      <c r="F154" s="68">
        <v>1394</v>
      </c>
      <c r="G154" s="68">
        <v>2496</v>
      </c>
      <c r="H154" t="s">
        <v>90</v>
      </c>
    </row>
    <row r="155" spans="1:8" x14ac:dyDescent="0.3">
      <c r="A155" t="s">
        <v>551</v>
      </c>
      <c r="B155" t="s">
        <v>31</v>
      </c>
      <c r="C155" t="s">
        <v>6</v>
      </c>
      <c r="D155" t="s">
        <v>19</v>
      </c>
      <c r="E155" s="68">
        <v>905</v>
      </c>
      <c r="F155" s="68">
        <v>1250</v>
      </c>
      <c r="G155" s="68">
        <v>2155</v>
      </c>
      <c r="H155" t="s">
        <v>90</v>
      </c>
    </row>
    <row r="156" spans="1:8" x14ac:dyDescent="0.3">
      <c r="A156" t="s">
        <v>551</v>
      </c>
      <c r="B156" t="s">
        <v>31</v>
      </c>
      <c r="C156" t="s">
        <v>6</v>
      </c>
      <c r="D156" t="s">
        <v>20</v>
      </c>
      <c r="E156" s="68">
        <v>666</v>
      </c>
      <c r="F156" s="68">
        <v>809</v>
      </c>
      <c r="G156" s="68">
        <v>1475</v>
      </c>
      <c r="H156" t="s">
        <v>90</v>
      </c>
    </row>
    <row r="157" spans="1:8" x14ac:dyDescent="0.3">
      <c r="A157" t="s">
        <v>551</v>
      </c>
      <c r="B157" t="s">
        <v>31</v>
      </c>
      <c r="C157" t="s">
        <v>6</v>
      </c>
      <c r="D157" t="s">
        <v>21</v>
      </c>
      <c r="E157" s="68">
        <v>434</v>
      </c>
      <c r="F157" s="68">
        <v>496</v>
      </c>
      <c r="G157" s="68">
        <v>930</v>
      </c>
      <c r="H157" t="s">
        <v>90</v>
      </c>
    </row>
    <row r="158" spans="1:8" x14ac:dyDescent="0.3">
      <c r="A158" t="s">
        <v>551</v>
      </c>
      <c r="B158" t="s">
        <v>31</v>
      </c>
      <c r="C158" t="s">
        <v>6</v>
      </c>
      <c r="D158" t="s">
        <v>22</v>
      </c>
      <c r="E158" s="68">
        <v>284</v>
      </c>
      <c r="F158" s="68">
        <v>333</v>
      </c>
      <c r="G158" s="68">
        <v>617</v>
      </c>
      <c r="H158" t="s">
        <v>90</v>
      </c>
    </row>
    <row r="159" spans="1:8" x14ac:dyDescent="0.3">
      <c r="A159" t="s">
        <v>551</v>
      </c>
      <c r="B159" t="s">
        <v>31</v>
      </c>
      <c r="C159" t="s">
        <v>6</v>
      </c>
      <c r="D159" t="s">
        <v>23</v>
      </c>
      <c r="E159" s="68">
        <v>360</v>
      </c>
      <c r="F159" s="68">
        <v>283</v>
      </c>
      <c r="G159" s="68">
        <v>643</v>
      </c>
      <c r="H159" t="s">
        <v>90</v>
      </c>
    </row>
    <row r="160" spans="1:8" x14ac:dyDescent="0.3">
      <c r="A160" t="s">
        <v>551</v>
      </c>
      <c r="B160" t="s">
        <v>31</v>
      </c>
      <c r="C160" t="s">
        <v>24</v>
      </c>
      <c r="D160" t="s">
        <v>7</v>
      </c>
      <c r="E160" s="68">
        <v>13500</v>
      </c>
      <c r="F160" s="68">
        <v>14210</v>
      </c>
      <c r="G160" s="68">
        <v>27710</v>
      </c>
      <c r="H160" t="s">
        <v>90</v>
      </c>
    </row>
    <row r="161" spans="1:8" x14ac:dyDescent="0.3">
      <c r="A161" t="s">
        <v>551</v>
      </c>
      <c r="B161" t="s">
        <v>31</v>
      </c>
      <c r="C161" t="s">
        <v>24</v>
      </c>
      <c r="D161" t="s">
        <v>8</v>
      </c>
      <c r="E161" s="68">
        <v>16177</v>
      </c>
      <c r="F161" s="68">
        <v>17023</v>
      </c>
      <c r="G161" s="68">
        <v>33200</v>
      </c>
      <c r="H161" t="s">
        <v>90</v>
      </c>
    </row>
    <row r="162" spans="1:8" x14ac:dyDescent="0.3">
      <c r="A162" t="s">
        <v>551</v>
      </c>
      <c r="B162" t="s">
        <v>31</v>
      </c>
      <c r="C162" t="s">
        <v>24</v>
      </c>
      <c r="D162" t="s">
        <v>9</v>
      </c>
      <c r="E162" s="68">
        <v>17416</v>
      </c>
      <c r="F162" s="68">
        <v>18311</v>
      </c>
      <c r="G162" s="68">
        <v>35727</v>
      </c>
      <c r="H162" t="s">
        <v>90</v>
      </c>
    </row>
    <row r="163" spans="1:8" x14ac:dyDescent="0.3">
      <c r="A163" t="s">
        <v>551</v>
      </c>
      <c r="B163" t="s">
        <v>31</v>
      </c>
      <c r="C163" t="s">
        <v>24</v>
      </c>
      <c r="D163" t="s">
        <v>10</v>
      </c>
      <c r="E163" s="68">
        <v>19954</v>
      </c>
      <c r="F163" s="68">
        <v>20212</v>
      </c>
      <c r="G163" s="68">
        <v>40166</v>
      </c>
      <c r="H163" t="s">
        <v>90</v>
      </c>
    </row>
    <row r="164" spans="1:8" x14ac:dyDescent="0.3">
      <c r="A164" t="s">
        <v>551</v>
      </c>
      <c r="B164" t="s">
        <v>31</v>
      </c>
      <c r="C164" t="s">
        <v>24</v>
      </c>
      <c r="D164" t="s">
        <v>11</v>
      </c>
      <c r="E164" s="68">
        <v>18295</v>
      </c>
      <c r="F164" s="68">
        <v>15771</v>
      </c>
      <c r="G164" s="68">
        <v>34066</v>
      </c>
      <c r="H164" t="s">
        <v>90</v>
      </c>
    </row>
    <row r="165" spans="1:8" x14ac:dyDescent="0.3">
      <c r="A165" t="s">
        <v>551</v>
      </c>
      <c r="B165" t="s">
        <v>31</v>
      </c>
      <c r="C165" t="s">
        <v>24</v>
      </c>
      <c r="D165" t="s">
        <v>12</v>
      </c>
      <c r="E165" s="68">
        <v>16787</v>
      </c>
      <c r="F165" s="68">
        <v>13181</v>
      </c>
      <c r="G165" s="68">
        <v>29968</v>
      </c>
      <c r="H165" t="s">
        <v>90</v>
      </c>
    </row>
    <row r="166" spans="1:8" x14ac:dyDescent="0.3">
      <c r="A166" t="s">
        <v>551</v>
      </c>
      <c r="B166" t="s">
        <v>31</v>
      </c>
      <c r="C166" t="s">
        <v>24</v>
      </c>
      <c r="D166" t="s">
        <v>13</v>
      </c>
      <c r="E166" s="68">
        <v>15151</v>
      </c>
      <c r="F166" s="68">
        <v>12353</v>
      </c>
      <c r="G166" s="68">
        <v>27504</v>
      </c>
      <c r="H166" t="s">
        <v>90</v>
      </c>
    </row>
    <row r="167" spans="1:8" x14ac:dyDescent="0.3">
      <c r="A167" t="s">
        <v>551</v>
      </c>
      <c r="B167" t="s">
        <v>31</v>
      </c>
      <c r="C167" t="s">
        <v>24</v>
      </c>
      <c r="D167" t="s">
        <v>14</v>
      </c>
      <c r="E167" s="68">
        <v>14224</v>
      </c>
      <c r="F167" s="68">
        <v>11994</v>
      </c>
      <c r="G167" s="68">
        <v>26218</v>
      </c>
      <c r="H167" t="s">
        <v>90</v>
      </c>
    </row>
    <row r="168" spans="1:8" x14ac:dyDescent="0.3">
      <c r="A168" t="s">
        <v>551</v>
      </c>
      <c r="B168" t="s">
        <v>31</v>
      </c>
      <c r="C168" t="s">
        <v>24</v>
      </c>
      <c r="D168" t="s">
        <v>15</v>
      </c>
      <c r="E168" s="68">
        <v>12852</v>
      </c>
      <c r="F168" s="68">
        <v>11354</v>
      </c>
      <c r="G168" s="68">
        <v>24206</v>
      </c>
      <c r="H168" t="s">
        <v>90</v>
      </c>
    </row>
    <row r="169" spans="1:8" x14ac:dyDescent="0.3">
      <c r="A169" t="s">
        <v>551</v>
      </c>
      <c r="B169" t="s">
        <v>31</v>
      </c>
      <c r="C169" t="s">
        <v>24</v>
      </c>
      <c r="D169" t="s">
        <v>16</v>
      </c>
      <c r="E169" s="68">
        <v>11994</v>
      </c>
      <c r="F169" s="68">
        <v>10588</v>
      </c>
      <c r="G169" s="68">
        <v>22582</v>
      </c>
      <c r="H169" t="s">
        <v>90</v>
      </c>
    </row>
    <row r="170" spans="1:8" x14ac:dyDescent="0.3">
      <c r="A170" t="s">
        <v>551</v>
      </c>
      <c r="B170" t="s">
        <v>31</v>
      </c>
      <c r="C170" t="s">
        <v>24</v>
      </c>
      <c r="D170" t="s">
        <v>17</v>
      </c>
      <c r="E170" s="68">
        <v>10567</v>
      </c>
      <c r="F170" s="68">
        <v>9962</v>
      </c>
      <c r="G170" s="68">
        <v>20529</v>
      </c>
      <c r="H170" t="s">
        <v>90</v>
      </c>
    </row>
    <row r="171" spans="1:8" x14ac:dyDescent="0.3">
      <c r="A171" t="s">
        <v>551</v>
      </c>
      <c r="B171" t="s">
        <v>31</v>
      </c>
      <c r="C171" t="s">
        <v>24</v>
      </c>
      <c r="D171" t="s">
        <v>18</v>
      </c>
      <c r="E171" s="68">
        <v>10621</v>
      </c>
      <c r="F171" s="68">
        <v>10579</v>
      </c>
      <c r="G171" s="68">
        <v>21200</v>
      </c>
      <c r="H171" t="s">
        <v>90</v>
      </c>
    </row>
    <row r="172" spans="1:8" x14ac:dyDescent="0.3">
      <c r="A172" t="s">
        <v>551</v>
      </c>
      <c r="B172" t="s">
        <v>31</v>
      </c>
      <c r="C172" t="s">
        <v>24</v>
      </c>
      <c r="D172" t="s">
        <v>19</v>
      </c>
      <c r="E172" s="68">
        <v>9770</v>
      </c>
      <c r="F172" s="68">
        <v>10046</v>
      </c>
      <c r="G172" s="68">
        <v>19816</v>
      </c>
      <c r="H172" t="s">
        <v>90</v>
      </c>
    </row>
    <row r="173" spans="1:8" x14ac:dyDescent="0.3">
      <c r="A173" t="s">
        <v>551</v>
      </c>
      <c r="B173" t="s">
        <v>31</v>
      </c>
      <c r="C173" t="s">
        <v>24</v>
      </c>
      <c r="D173" t="s">
        <v>20</v>
      </c>
      <c r="E173" s="68">
        <v>7716</v>
      </c>
      <c r="F173" s="68">
        <v>8276</v>
      </c>
      <c r="G173" s="68">
        <v>15992</v>
      </c>
      <c r="H173" t="s">
        <v>90</v>
      </c>
    </row>
    <row r="174" spans="1:8" x14ac:dyDescent="0.3">
      <c r="A174" t="s">
        <v>551</v>
      </c>
      <c r="B174" t="s">
        <v>31</v>
      </c>
      <c r="C174" t="s">
        <v>24</v>
      </c>
      <c r="D174" t="s">
        <v>21</v>
      </c>
      <c r="E174" s="68">
        <v>5564</v>
      </c>
      <c r="F174" s="68">
        <v>6139</v>
      </c>
      <c r="G174" s="68">
        <v>11703</v>
      </c>
      <c r="H174" t="s">
        <v>90</v>
      </c>
    </row>
    <row r="175" spans="1:8" x14ac:dyDescent="0.3">
      <c r="A175" t="s">
        <v>551</v>
      </c>
      <c r="B175" t="s">
        <v>31</v>
      </c>
      <c r="C175" t="s">
        <v>24</v>
      </c>
      <c r="D175" t="s">
        <v>22</v>
      </c>
      <c r="E175" s="68">
        <v>3931</v>
      </c>
      <c r="F175" s="68">
        <v>4299</v>
      </c>
      <c r="G175" s="68">
        <v>8230</v>
      </c>
      <c r="H175" t="s">
        <v>90</v>
      </c>
    </row>
    <row r="176" spans="1:8" x14ac:dyDescent="0.3">
      <c r="A176" t="s">
        <v>551</v>
      </c>
      <c r="B176" t="s">
        <v>31</v>
      </c>
      <c r="C176" t="s">
        <v>24</v>
      </c>
      <c r="D176" t="s">
        <v>23</v>
      </c>
      <c r="E176" s="68">
        <v>5115</v>
      </c>
      <c r="F176" s="68">
        <v>5282</v>
      </c>
      <c r="G176" s="68">
        <v>10397</v>
      </c>
      <c r="H176" t="s">
        <v>90</v>
      </c>
    </row>
    <row r="177" spans="1:8" x14ac:dyDescent="0.3">
      <c r="A177" t="s">
        <v>551</v>
      </c>
      <c r="B177" t="s">
        <v>553</v>
      </c>
      <c r="C177" t="s">
        <v>6</v>
      </c>
      <c r="D177" t="s">
        <v>7</v>
      </c>
      <c r="E177" s="68">
        <v>4</v>
      </c>
      <c r="F177" s="68">
        <v>7</v>
      </c>
      <c r="G177" s="68">
        <v>11</v>
      </c>
      <c r="H177" t="s">
        <v>90</v>
      </c>
    </row>
    <row r="178" spans="1:8" x14ac:dyDescent="0.3">
      <c r="A178" t="s">
        <v>551</v>
      </c>
      <c r="B178" t="s">
        <v>553</v>
      </c>
      <c r="C178" t="s">
        <v>6</v>
      </c>
      <c r="D178" t="s">
        <v>8</v>
      </c>
      <c r="E178" s="68">
        <v>9</v>
      </c>
      <c r="F178" s="68">
        <v>13</v>
      </c>
      <c r="G178" s="68">
        <v>22</v>
      </c>
      <c r="H178" t="s">
        <v>90</v>
      </c>
    </row>
    <row r="179" spans="1:8" x14ac:dyDescent="0.3">
      <c r="A179" t="s">
        <v>551</v>
      </c>
      <c r="B179" t="s">
        <v>553</v>
      </c>
      <c r="C179" t="s">
        <v>6</v>
      </c>
      <c r="D179" t="s">
        <v>9</v>
      </c>
      <c r="E179" s="68">
        <v>31</v>
      </c>
      <c r="F179" s="68">
        <v>31</v>
      </c>
      <c r="G179" s="68">
        <v>62</v>
      </c>
      <c r="H179" t="s">
        <v>90</v>
      </c>
    </row>
    <row r="180" spans="1:8" x14ac:dyDescent="0.3">
      <c r="A180" t="s">
        <v>551</v>
      </c>
      <c r="B180" t="s">
        <v>553</v>
      </c>
      <c r="C180" t="s">
        <v>6</v>
      </c>
      <c r="D180" t="s">
        <v>10</v>
      </c>
      <c r="E180" s="68">
        <v>74</v>
      </c>
      <c r="F180" s="68">
        <v>81</v>
      </c>
      <c r="G180" s="68">
        <v>155</v>
      </c>
      <c r="H180" t="s">
        <v>90</v>
      </c>
    </row>
    <row r="181" spans="1:8" x14ac:dyDescent="0.3">
      <c r="A181" t="s">
        <v>551</v>
      </c>
      <c r="B181" t="s">
        <v>553</v>
      </c>
      <c r="C181" t="s">
        <v>6</v>
      </c>
      <c r="D181" t="s">
        <v>11</v>
      </c>
      <c r="E181" s="68">
        <v>128</v>
      </c>
      <c r="F181" s="68">
        <v>122</v>
      </c>
      <c r="G181" s="68">
        <v>250</v>
      </c>
      <c r="H181" t="s">
        <v>90</v>
      </c>
    </row>
    <row r="182" spans="1:8" x14ac:dyDescent="0.3">
      <c r="A182" t="s">
        <v>551</v>
      </c>
      <c r="B182" t="s">
        <v>553</v>
      </c>
      <c r="C182" t="s">
        <v>6</v>
      </c>
      <c r="D182" t="s">
        <v>12</v>
      </c>
      <c r="E182" s="68">
        <v>32</v>
      </c>
      <c r="F182" s="68">
        <v>66</v>
      </c>
      <c r="G182" s="68">
        <v>98</v>
      </c>
      <c r="H182" t="s">
        <v>90</v>
      </c>
    </row>
    <row r="183" spans="1:8" x14ac:dyDescent="0.3">
      <c r="A183" t="s">
        <v>551</v>
      </c>
      <c r="B183" t="s">
        <v>553</v>
      </c>
      <c r="C183" t="s">
        <v>6</v>
      </c>
      <c r="D183" t="s">
        <v>13</v>
      </c>
      <c r="E183" s="68">
        <v>30</v>
      </c>
      <c r="F183" s="68">
        <v>51</v>
      </c>
      <c r="G183" s="68">
        <v>81</v>
      </c>
      <c r="H183" t="s">
        <v>90</v>
      </c>
    </row>
    <row r="184" spans="1:8" x14ac:dyDescent="0.3">
      <c r="A184" t="s">
        <v>551</v>
      </c>
      <c r="B184" t="s">
        <v>553</v>
      </c>
      <c r="C184" t="s">
        <v>6</v>
      </c>
      <c r="D184" t="s">
        <v>14</v>
      </c>
      <c r="E184" s="68">
        <v>19</v>
      </c>
      <c r="F184" s="68">
        <v>32</v>
      </c>
      <c r="G184" s="68">
        <v>51</v>
      </c>
      <c r="H184" t="s">
        <v>90</v>
      </c>
    </row>
    <row r="185" spans="1:8" x14ac:dyDescent="0.3">
      <c r="A185" t="s">
        <v>551</v>
      </c>
      <c r="B185" t="s">
        <v>553</v>
      </c>
      <c r="C185" t="s">
        <v>6</v>
      </c>
      <c r="D185" t="s">
        <v>15</v>
      </c>
      <c r="E185" s="68">
        <v>30</v>
      </c>
      <c r="F185" s="68">
        <v>24</v>
      </c>
      <c r="G185" s="68">
        <v>54</v>
      </c>
      <c r="H185" t="s">
        <v>90</v>
      </c>
    </row>
    <row r="186" spans="1:8" x14ac:dyDescent="0.3">
      <c r="A186" t="s">
        <v>551</v>
      </c>
      <c r="B186" t="s">
        <v>553</v>
      </c>
      <c r="C186" t="s">
        <v>6</v>
      </c>
      <c r="D186" t="s">
        <v>16</v>
      </c>
      <c r="E186" s="68">
        <v>56</v>
      </c>
      <c r="F186" s="68">
        <v>8</v>
      </c>
      <c r="G186" s="68">
        <v>64</v>
      </c>
      <c r="H186" t="s">
        <v>90</v>
      </c>
    </row>
    <row r="187" spans="1:8" x14ac:dyDescent="0.3">
      <c r="A187" t="s">
        <v>551</v>
      </c>
      <c r="B187" t="s">
        <v>553</v>
      </c>
      <c r="C187" t="s">
        <v>6</v>
      </c>
      <c r="D187" t="s">
        <v>17</v>
      </c>
      <c r="E187" s="68">
        <v>153</v>
      </c>
      <c r="F187" s="68">
        <v>27</v>
      </c>
      <c r="G187" s="68">
        <v>180</v>
      </c>
      <c r="H187" t="s">
        <v>90</v>
      </c>
    </row>
    <row r="188" spans="1:8" x14ac:dyDescent="0.3">
      <c r="A188" t="s">
        <v>551</v>
      </c>
      <c r="B188" t="s">
        <v>553</v>
      </c>
      <c r="C188" t="s">
        <v>6</v>
      </c>
      <c r="D188" t="s">
        <v>18</v>
      </c>
      <c r="E188" s="68">
        <v>345</v>
      </c>
      <c r="F188" s="68">
        <v>258</v>
      </c>
      <c r="G188" s="68">
        <v>603</v>
      </c>
      <c r="H188" t="s">
        <v>90</v>
      </c>
    </row>
    <row r="189" spans="1:8" x14ac:dyDescent="0.3">
      <c r="A189" t="s">
        <v>551</v>
      </c>
      <c r="B189" t="s">
        <v>553</v>
      </c>
      <c r="C189" t="s">
        <v>6</v>
      </c>
      <c r="D189" t="s">
        <v>19</v>
      </c>
      <c r="E189" s="68">
        <v>616</v>
      </c>
      <c r="F189" s="68">
        <v>618</v>
      </c>
      <c r="G189" s="68">
        <v>1234</v>
      </c>
      <c r="H189" t="s">
        <v>90</v>
      </c>
    </row>
    <row r="190" spans="1:8" x14ac:dyDescent="0.3">
      <c r="A190" t="s">
        <v>551</v>
      </c>
      <c r="B190" t="s">
        <v>553</v>
      </c>
      <c r="C190" t="s">
        <v>6</v>
      </c>
      <c r="D190" t="s">
        <v>20</v>
      </c>
      <c r="E190" s="68">
        <v>606</v>
      </c>
      <c r="F190" s="68">
        <v>849</v>
      </c>
      <c r="G190" s="68">
        <v>1455</v>
      </c>
      <c r="H190" t="s">
        <v>90</v>
      </c>
    </row>
    <row r="191" spans="1:8" x14ac:dyDescent="0.3">
      <c r="A191" t="s">
        <v>551</v>
      </c>
      <c r="B191" t="s">
        <v>553</v>
      </c>
      <c r="C191" t="s">
        <v>6</v>
      </c>
      <c r="D191" t="s">
        <v>21</v>
      </c>
      <c r="E191" s="68">
        <v>463</v>
      </c>
      <c r="F191" s="68">
        <v>732</v>
      </c>
      <c r="G191" s="68">
        <v>1195</v>
      </c>
      <c r="H191" t="s">
        <v>90</v>
      </c>
    </row>
    <row r="192" spans="1:8" x14ac:dyDescent="0.3">
      <c r="A192" t="s">
        <v>551</v>
      </c>
      <c r="B192" t="s">
        <v>553</v>
      </c>
      <c r="C192" t="s">
        <v>6</v>
      </c>
      <c r="D192" t="s">
        <v>22</v>
      </c>
      <c r="E192" s="68">
        <v>271</v>
      </c>
      <c r="F192" s="68">
        <v>493</v>
      </c>
      <c r="G192" s="68">
        <v>764</v>
      </c>
      <c r="H192" t="s">
        <v>90</v>
      </c>
    </row>
    <row r="193" spans="1:8" x14ac:dyDescent="0.3">
      <c r="A193" t="s">
        <v>551</v>
      </c>
      <c r="B193" t="s">
        <v>553</v>
      </c>
      <c r="C193" t="s">
        <v>6</v>
      </c>
      <c r="D193" t="s">
        <v>23</v>
      </c>
      <c r="E193" s="68">
        <v>215</v>
      </c>
      <c r="F193" s="68">
        <v>363</v>
      </c>
      <c r="G193" s="68">
        <v>578</v>
      </c>
      <c r="H193" t="s">
        <v>90</v>
      </c>
    </row>
    <row r="194" spans="1:8" x14ac:dyDescent="0.3">
      <c r="A194" t="s">
        <v>551</v>
      </c>
      <c r="B194" t="s">
        <v>32</v>
      </c>
      <c r="C194" t="s">
        <v>6</v>
      </c>
      <c r="D194" t="s">
        <v>7</v>
      </c>
      <c r="E194" s="68">
        <v>3</v>
      </c>
      <c r="F194" s="68">
        <v>3</v>
      </c>
      <c r="G194" s="68">
        <v>6</v>
      </c>
      <c r="H194" t="s">
        <v>90</v>
      </c>
    </row>
    <row r="195" spans="1:8" x14ac:dyDescent="0.3">
      <c r="A195" t="s">
        <v>551</v>
      </c>
      <c r="B195" t="s">
        <v>32</v>
      </c>
      <c r="C195" t="s">
        <v>6</v>
      </c>
      <c r="D195" t="s">
        <v>8</v>
      </c>
      <c r="E195" s="68">
        <v>2</v>
      </c>
      <c r="F195" s="68">
        <v>1</v>
      </c>
      <c r="G195" s="68">
        <v>3</v>
      </c>
      <c r="H195" t="s">
        <v>90</v>
      </c>
    </row>
    <row r="196" spans="1:8" x14ac:dyDescent="0.3">
      <c r="A196" t="s">
        <v>551</v>
      </c>
      <c r="B196" t="s">
        <v>32</v>
      </c>
      <c r="C196" t="s">
        <v>6</v>
      </c>
      <c r="D196" t="s">
        <v>9</v>
      </c>
      <c r="E196" s="68">
        <v>1</v>
      </c>
      <c r="F196" s="68"/>
      <c r="G196" s="68">
        <v>1</v>
      </c>
      <c r="H196" t="s">
        <v>90</v>
      </c>
    </row>
    <row r="197" spans="1:8" x14ac:dyDescent="0.3">
      <c r="A197" t="s">
        <v>551</v>
      </c>
      <c r="B197" t="s">
        <v>32</v>
      </c>
      <c r="C197" t="s">
        <v>6</v>
      </c>
      <c r="D197" t="s">
        <v>10</v>
      </c>
      <c r="E197" s="68">
        <v>4</v>
      </c>
      <c r="F197" s="68">
        <v>14</v>
      </c>
      <c r="G197" s="68">
        <v>18</v>
      </c>
      <c r="H197" t="s">
        <v>90</v>
      </c>
    </row>
    <row r="198" spans="1:8" x14ac:dyDescent="0.3">
      <c r="A198" t="s">
        <v>551</v>
      </c>
      <c r="B198" t="s">
        <v>32</v>
      </c>
      <c r="C198" t="s">
        <v>6</v>
      </c>
      <c r="D198" t="s">
        <v>11</v>
      </c>
      <c r="E198" s="68">
        <v>24</v>
      </c>
      <c r="F198" s="68">
        <v>60</v>
      </c>
      <c r="G198" s="68">
        <v>84</v>
      </c>
      <c r="H198" t="s">
        <v>90</v>
      </c>
    </row>
    <row r="199" spans="1:8" x14ac:dyDescent="0.3">
      <c r="A199" t="s">
        <v>551</v>
      </c>
      <c r="B199" t="s">
        <v>32</v>
      </c>
      <c r="C199" t="s">
        <v>6</v>
      </c>
      <c r="D199" t="s">
        <v>12</v>
      </c>
      <c r="E199" s="68">
        <v>30</v>
      </c>
      <c r="F199" s="68">
        <v>55</v>
      </c>
      <c r="G199" s="68">
        <v>85</v>
      </c>
      <c r="H199" t="s">
        <v>90</v>
      </c>
    </row>
    <row r="200" spans="1:8" x14ac:dyDescent="0.3">
      <c r="A200" t="s">
        <v>551</v>
      </c>
      <c r="B200" t="s">
        <v>32</v>
      </c>
      <c r="C200" t="s">
        <v>6</v>
      </c>
      <c r="D200" t="s">
        <v>13</v>
      </c>
      <c r="E200" s="68">
        <v>22</v>
      </c>
      <c r="F200" s="68">
        <v>29</v>
      </c>
      <c r="G200" s="68">
        <v>51</v>
      </c>
      <c r="H200" t="s">
        <v>90</v>
      </c>
    </row>
    <row r="201" spans="1:8" x14ac:dyDescent="0.3">
      <c r="A201" t="s">
        <v>551</v>
      </c>
      <c r="B201" t="s">
        <v>32</v>
      </c>
      <c r="C201" t="s">
        <v>6</v>
      </c>
      <c r="D201" t="s">
        <v>14</v>
      </c>
      <c r="E201" s="68">
        <v>13</v>
      </c>
      <c r="F201" s="68">
        <v>24</v>
      </c>
      <c r="G201" s="68">
        <v>37</v>
      </c>
      <c r="H201" t="s">
        <v>90</v>
      </c>
    </row>
    <row r="202" spans="1:8" x14ac:dyDescent="0.3">
      <c r="A202" t="s">
        <v>551</v>
      </c>
      <c r="B202" t="s">
        <v>32</v>
      </c>
      <c r="C202" t="s">
        <v>6</v>
      </c>
      <c r="D202" t="s">
        <v>15</v>
      </c>
      <c r="E202" s="68">
        <v>9</v>
      </c>
      <c r="F202" s="68">
        <v>14</v>
      </c>
      <c r="G202" s="68">
        <v>23</v>
      </c>
      <c r="H202" t="s">
        <v>90</v>
      </c>
    </row>
    <row r="203" spans="1:8" x14ac:dyDescent="0.3">
      <c r="A203" t="s">
        <v>551</v>
      </c>
      <c r="B203" t="s">
        <v>32</v>
      </c>
      <c r="C203" t="s">
        <v>6</v>
      </c>
      <c r="D203" t="s">
        <v>16</v>
      </c>
      <c r="E203" s="68">
        <v>9</v>
      </c>
      <c r="F203" s="68">
        <v>14</v>
      </c>
      <c r="G203" s="68">
        <v>23</v>
      </c>
      <c r="H203" t="s">
        <v>90</v>
      </c>
    </row>
    <row r="204" spans="1:8" x14ac:dyDescent="0.3">
      <c r="A204" t="s">
        <v>551</v>
      </c>
      <c r="B204" t="s">
        <v>32</v>
      </c>
      <c r="C204" t="s">
        <v>6</v>
      </c>
      <c r="D204" t="s">
        <v>17</v>
      </c>
      <c r="E204" s="68">
        <v>4</v>
      </c>
      <c r="F204" s="68">
        <v>3</v>
      </c>
      <c r="G204" s="68">
        <v>7</v>
      </c>
      <c r="H204" t="s">
        <v>90</v>
      </c>
    </row>
    <row r="205" spans="1:8" x14ac:dyDescent="0.3">
      <c r="A205" t="s">
        <v>551</v>
      </c>
      <c r="B205" t="s">
        <v>32</v>
      </c>
      <c r="C205" t="s">
        <v>6</v>
      </c>
      <c r="D205" t="s">
        <v>18</v>
      </c>
      <c r="E205" s="68">
        <v>4</v>
      </c>
      <c r="F205" s="68">
        <v>4</v>
      </c>
      <c r="G205" s="68">
        <v>8</v>
      </c>
      <c r="H205" t="s">
        <v>90</v>
      </c>
    </row>
    <row r="206" spans="1:8" x14ac:dyDescent="0.3">
      <c r="A206" t="s">
        <v>551</v>
      </c>
      <c r="B206" t="s">
        <v>32</v>
      </c>
      <c r="C206" t="s">
        <v>6</v>
      </c>
      <c r="D206" t="s">
        <v>19</v>
      </c>
      <c r="E206" s="68">
        <v>1</v>
      </c>
      <c r="F206" s="68">
        <v>5</v>
      </c>
      <c r="G206" s="68">
        <v>6</v>
      </c>
      <c r="H206" t="s">
        <v>90</v>
      </c>
    </row>
    <row r="207" spans="1:8" x14ac:dyDescent="0.3">
      <c r="A207" t="s">
        <v>551</v>
      </c>
      <c r="B207" t="s">
        <v>32</v>
      </c>
      <c r="C207" t="s">
        <v>6</v>
      </c>
      <c r="D207" t="s">
        <v>20</v>
      </c>
      <c r="E207" s="68"/>
      <c r="F207" s="68">
        <v>1</v>
      </c>
      <c r="G207" s="68">
        <v>1</v>
      </c>
      <c r="H207" t="s">
        <v>90</v>
      </c>
    </row>
    <row r="208" spans="1:8" x14ac:dyDescent="0.3">
      <c r="A208" t="s">
        <v>551</v>
      </c>
      <c r="B208" t="s">
        <v>32</v>
      </c>
      <c r="C208" t="s">
        <v>6</v>
      </c>
      <c r="D208" t="s">
        <v>21</v>
      </c>
      <c r="E208" s="68"/>
      <c r="F208" s="68">
        <v>1</v>
      </c>
      <c r="G208" s="68">
        <v>1</v>
      </c>
      <c r="H208" t="s">
        <v>90</v>
      </c>
    </row>
    <row r="209" spans="1:8" x14ac:dyDescent="0.3">
      <c r="A209" t="s">
        <v>551</v>
      </c>
      <c r="B209" t="s">
        <v>32</v>
      </c>
      <c r="C209" t="s">
        <v>24</v>
      </c>
      <c r="D209" t="s">
        <v>7</v>
      </c>
      <c r="E209" s="68">
        <v>1195</v>
      </c>
      <c r="F209" s="68">
        <v>1232</v>
      </c>
      <c r="G209" s="68">
        <v>2427</v>
      </c>
      <c r="H209" t="s">
        <v>90</v>
      </c>
    </row>
    <row r="210" spans="1:8" x14ac:dyDescent="0.3">
      <c r="A210" t="s">
        <v>551</v>
      </c>
      <c r="B210" t="s">
        <v>32</v>
      </c>
      <c r="C210" t="s">
        <v>24</v>
      </c>
      <c r="D210" t="s">
        <v>8</v>
      </c>
      <c r="E210" s="68">
        <v>1490</v>
      </c>
      <c r="F210" s="68">
        <v>1500</v>
      </c>
      <c r="G210" s="68">
        <v>2990</v>
      </c>
      <c r="H210" t="s">
        <v>90</v>
      </c>
    </row>
    <row r="211" spans="1:8" x14ac:dyDescent="0.3">
      <c r="A211" t="s">
        <v>551</v>
      </c>
      <c r="B211" t="s">
        <v>32</v>
      </c>
      <c r="C211" t="s">
        <v>24</v>
      </c>
      <c r="D211" t="s">
        <v>9</v>
      </c>
      <c r="E211" s="68">
        <v>1385</v>
      </c>
      <c r="F211" s="68">
        <v>1532</v>
      </c>
      <c r="G211" s="68">
        <v>2917</v>
      </c>
      <c r="H211" t="s">
        <v>91</v>
      </c>
    </row>
    <row r="212" spans="1:8" x14ac:dyDescent="0.3">
      <c r="A212" t="s">
        <v>551</v>
      </c>
      <c r="B212" t="s">
        <v>32</v>
      </c>
      <c r="C212" t="s">
        <v>24</v>
      </c>
      <c r="D212" t="s">
        <v>10</v>
      </c>
      <c r="E212" s="68">
        <v>1415</v>
      </c>
      <c r="F212" s="68">
        <v>1382</v>
      </c>
      <c r="G212" s="68">
        <v>2797</v>
      </c>
      <c r="H212" t="s">
        <v>91</v>
      </c>
    </row>
    <row r="213" spans="1:8" x14ac:dyDescent="0.3">
      <c r="A213" t="s">
        <v>551</v>
      </c>
      <c r="B213" t="s">
        <v>32</v>
      </c>
      <c r="C213" t="s">
        <v>24</v>
      </c>
      <c r="D213" t="s">
        <v>11</v>
      </c>
      <c r="E213" s="68">
        <v>1176</v>
      </c>
      <c r="F213" s="68">
        <v>856</v>
      </c>
      <c r="G213" s="68">
        <v>2032</v>
      </c>
      <c r="H213" t="s">
        <v>91</v>
      </c>
    </row>
    <row r="214" spans="1:8" x14ac:dyDescent="0.3">
      <c r="A214" t="s">
        <v>551</v>
      </c>
      <c r="B214" t="s">
        <v>32</v>
      </c>
      <c r="C214" t="s">
        <v>24</v>
      </c>
      <c r="D214" t="s">
        <v>12</v>
      </c>
      <c r="E214" s="68">
        <v>874</v>
      </c>
      <c r="F214" s="68">
        <v>610</v>
      </c>
      <c r="G214" s="68">
        <v>1484</v>
      </c>
      <c r="H214" t="s">
        <v>91</v>
      </c>
    </row>
    <row r="215" spans="1:8" x14ac:dyDescent="0.3">
      <c r="A215" t="s">
        <v>551</v>
      </c>
      <c r="B215" t="s">
        <v>32</v>
      </c>
      <c r="C215" t="s">
        <v>24</v>
      </c>
      <c r="D215" t="s">
        <v>13</v>
      </c>
      <c r="E215" s="68">
        <v>726</v>
      </c>
      <c r="F215" s="68">
        <v>502</v>
      </c>
      <c r="G215" s="68">
        <v>1228</v>
      </c>
      <c r="H215" t="s">
        <v>91</v>
      </c>
    </row>
    <row r="216" spans="1:8" x14ac:dyDescent="0.3">
      <c r="A216" t="s">
        <v>551</v>
      </c>
      <c r="B216" t="s">
        <v>32</v>
      </c>
      <c r="C216" t="s">
        <v>24</v>
      </c>
      <c r="D216" t="s">
        <v>14</v>
      </c>
      <c r="E216" s="68">
        <v>583</v>
      </c>
      <c r="F216" s="68">
        <v>413</v>
      </c>
      <c r="G216" s="68">
        <v>996</v>
      </c>
      <c r="H216" t="s">
        <v>91</v>
      </c>
    </row>
    <row r="217" spans="1:8" x14ac:dyDescent="0.3">
      <c r="A217" t="s">
        <v>551</v>
      </c>
      <c r="B217" t="s">
        <v>32</v>
      </c>
      <c r="C217" t="s">
        <v>24</v>
      </c>
      <c r="D217" t="s">
        <v>15</v>
      </c>
      <c r="E217" s="68">
        <v>526</v>
      </c>
      <c r="F217" s="68">
        <v>391</v>
      </c>
      <c r="G217" s="68">
        <v>917</v>
      </c>
      <c r="H217" t="s">
        <v>91</v>
      </c>
    </row>
    <row r="218" spans="1:8" x14ac:dyDescent="0.3">
      <c r="A218" t="s">
        <v>551</v>
      </c>
      <c r="B218" t="s">
        <v>32</v>
      </c>
      <c r="C218" t="s">
        <v>24</v>
      </c>
      <c r="D218" t="s">
        <v>16</v>
      </c>
      <c r="E218" s="68">
        <v>461</v>
      </c>
      <c r="F218" s="68">
        <v>349</v>
      </c>
      <c r="G218" s="68">
        <v>810</v>
      </c>
      <c r="H218" t="s">
        <v>91</v>
      </c>
    </row>
    <row r="219" spans="1:8" x14ac:dyDescent="0.3">
      <c r="A219" t="s">
        <v>551</v>
      </c>
      <c r="B219" t="s">
        <v>32</v>
      </c>
      <c r="C219" t="s">
        <v>24</v>
      </c>
      <c r="D219" t="s">
        <v>17</v>
      </c>
      <c r="E219" s="68">
        <v>399</v>
      </c>
      <c r="F219" s="68">
        <v>347</v>
      </c>
      <c r="G219" s="68">
        <v>746</v>
      </c>
      <c r="H219" t="s">
        <v>91</v>
      </c>
    </row>
    <row r="220" spans="1:8" x14ac:dyDescent="0.3">
      <c r="A220" t="s">
        <v>551</v>
      </c>
      <c r="B220" t="s">
        <v>32</v>
      </c>
      <c r="C220" t="s">
        <v>24</v>
      </c>
      <c r="D220" t="s">
        <v>18</v>
      </c>
      <c r="E220" s="68">
        <v>330</v>
      </c>
      <c r="F220" s="68">
        <v>301</v>
      </c>
      <c r="G220" s="68">
        <v>631</v>
      </c>
      <c r="H220" t="s">
        <v>91</v>
      </c>
    </row>
    <row r="221" spans="1:8" x14ac:dyDescent="0.3">
      <c r="A221" t="s">
        <v>551</v>
      </c>
      <c r="B221" t="s">
        <v>32</v>
      </c>
      <c r="C221" t="s">
        <v>24</v>
      </c>
      <c r="D221" t="s">
        <v>19</v>
      </c>
      <c r="E221" s="68">
        <v>228</v>
      </c>
      <c r="F221" s="68">
        <v>226</v>
      </c>
      <c r="G221" s="68">
        <v>454</v>
      </c>
      <c r="H221" t="s">
        <v>91</v>
      </c>
    </row>
    <row r="222" spans="1:8" x14ac:dyDescent="0.3">
      <c r="A222" t="s">
        <v>551</v>
      </c>
      <c r="B222" t="s">
        <v>32</v>
      </c>
      <c r="C222" t="s">
        <v>24</v>
      </c>
      <c r="D222" t="s">
        <v>20</v>
      </c>
      <c r="E222" s="68">
        <v>228</v>
      </c>
      <c r="F222" s="68">
        <v>195</v>
      </c>
      <c r="G222" s="68">
        <v>423</v>
      </c>
      <c r="H222" t="s">
        <v>91</v>
      </c>
    </row>
    <row r="223" spans="1:8" x14ac:dyDescent="0.3">
      <c r="A223" t="s">
        <v>551</v>
      </c>
      <c r="B223" t="s">
        <v>32</v>
      </c>
      <c r="C223" t="s">
        <v>24</v>
      </c>
      <c r="D223" t="s">
        <v>21</v>
      </c>
      <c r="E223" s="68">
        <v>146</v>
      </c>
      <c r="F223" s="68">
        <v>170</v>
      </c>
      <c r="G223" s="68">
        <v>316</v>
      </c>
      <c r="H223" t="s">
        <v>91</v>
      </c>
    </row>
    <row r="224" spans="1:8" x14ac:dyDescent="0.3">
      <c r="A224" t="s">
        <v>551</v>
      </c>
      <c r="B224" t="s">
        <v>32</v>
      </c>
      <c r="C224" t="s">
        <v>24</v>
      </c>
      <c r="D224" t="s">
        <v>22</v>
      </c>
      <c r="E224" s="68">
        <v>110</v>
      </c>
      <c r="F224" s="68">
        <v>97</v>
      </c>
      <c r="G224" s="68">
        <v>207</v>
      </c>
      <c r="H224" t="s">
        <v>91</v>
      </c>
    </row>
    <row r="225" spans="1:8" x14ac:dyDescent="0.3">
      <c r="A225" t="s">
        <v>551</v>
      </c>
      <c r="B225" t="s">
        <v>32</v>
      </c>
      <c r="C225" t="s">
        <v>24</v>
      </c>
      <c r="D225" t="s">
        <v>23</v>
      </c>
      <c r="E225" s="68">
        <v>174</v>
      </c>
      <c r="F225" s="68">
        <v>170</v>
      </c>
      <c r="G225" s="68">
        <v>344</v>
      </c>
      <c r="H225" t="s">
        <v>91</v>
      </c>
    </row>
    <row r="226" spans="1:8" x14ac:dyDescent="0.3">
      <c r="A226" t="s">
        <v>551</v>
      </c>
      <c r="B226" t="s">
        <v>5</v>
      </c>
      <c r="C226" t="s">
        <v>6</v>
      </c>
      <c r="D226" t="s">
        <v>7</v>
      </c>
      <c r="E226" s="68">
        <v>1869</v>
      </c>
      <c r="F226" s="68">
        <v>1946</v>
      </c>
      <c r="G226" s="68">
        <v>3815</v>
      </c>
      <c r="H226" t="s">
        <v>91</v>
      </c>
    </row>
    <row r="227" spans="1:8" x14ac:dyDescent="0.3">
      <c r="A227" t="s">
        <v>551</v>
      </c>
      <c r="B227" t="s">
        <v>5</v>
      </c>
      <c r="C227" t="s">
        <v>6</v>
      </c>
      <c r="D227" t="s">
        <v>8</v>
      </c>
      <c r="E227" s="68">
        <v>2418</v>
      </c>
      <c r="F227" s="68">
        <v>2578</v>
      </c>
      <c r="G227" s="68">
        <v>4996</v>
      </c>
      <c r="H227" t="s">
        <v>91</v>
      </c>
    </row>
    <row r="228" spans="1:8" x14ac:dyDescent="0.3">
      <c r="A228" t="s">
        <v>551</v>
      </c>
      <c r="B228" t="s">
        <v>5</v>
      </c>
      <c r="C228" t="s">
        <v>6</v>
      </c>
      <c r="D228" t="s">
        <v>9</v>
      </c>
      <c r="E228" s="68">
        <v>3035</v>
      </c>
      <c r="F228" s="68">
        <v>3208</v>
      </c>
      <c r="G228" s="68">
        <v>6243</v>
      </c>
      <c r="H228" t="s">
        <v>91</v>
      </c>
    </row>
    <row r="229" spans="1:8" x14ac:dyDescent="0.3">
      <c r="A229" t="s">
        <v>551</v>
      </c>
      <c r="B229" t="s">
        <v>5</v>
      </c>
      <c r="C229" t="s">
        <v>6</v>
      </c>
      <c r="D229" t="s">
        <v>10</v>
      </c>
      <c r="E229" s="68">
        <v>4142</v>
      </c>
      <c r="F229" s="68">
        <v>4068</v>
      </c>
      <c r="G229" s="68">
        <v>8210</v>
      </c>
      <c r="H229" t="s">
        <v>91</v>
      </c>
    </row>
    <row r="230" spans="1:8" x14ac:dyDescent="0.3">
      <c r="A230" t="s">
        <v>551</v>
      </c>
      <c r="B230" t="s">
        <v>5</v>
      </c>
      <c r="C230" t="s">
        <v>6</v>
      </c>
      <c r="D230" t="s">
        <v>11</v>
      </c>
      <c r="E230" s="68">
        <v>5399</v>
      </c>
      <c r="F230" s="68">
        <v>5168</v>
      </c>
      <c r="G230" s="68">
        <v>10567</v>
      </c>
      <c r="H230" t="s">
        <v>91</v>
      </c>
    </row>
    <row r="231" spans="1:8" x14ac:dyDescent="0.3">
      <c r="A231" t="s">
        <v>551</v>
      </c>
      <c r="B231" t="s">
        <v>5</v>
      </c>
      <c r="C231" t="s">
        <v>6</v>
      </c>
      <c r="D231" t="s">
        <v>12</v>
      </c>
      <c r="E231" s="68">
        <v>5906</v>
      </c>
      <c r="F231" s="68">
        <v>5405</v>
      </c>
      <c r="G231" s="68">
        <v>11311</v>
      </c>
      <c r="H231" t="s">
        <v>91</v>
      </c>
    </row>
    <row r="232" spans="1:8" x14ac:dyDescent="0.3">
      <c r="A232" t="s">
        <v>551</v>
      </c>
      <c r="B232" t="s">
        <v>5</v>
      </c>
      <c r="C232" t="s">
        <v>6</v>
      </c>
      <c r="D232" t="s">
        <v>13</v>
      </c>
      <c r="E232" s="68">
        <v>6101</v>
      </c>
      <c r="F232" s="68">
        <v>5852</v>
      </c>
      <c r="G232" s="68">
        <v>11953</v>
      </c>
      <c r="H232" t="s">
        <v>91</v>
      </c>
    </row>
    <row r="233" spans="1:8" x14ac:dyDescent="0.3">
      <c r="A233" t="s">
        <v>551</v>
      </c>
      <c r="B233" t="s">
        <v>5</v>
      </c>
      <c r="C233" t="s">
        <v>6</v>
      </c>
      <c r="D233" t="s">
        <v>14</v>
      </c>
      <c r="E233" s="68">
        <v>5920</v>
      </c>
      <c r="F233" s="68">
        <v>5379</v>
      </c>
      <c r="G233" s="68">
        <v>11299</v>
      </c>
      <c r="H233" t="s">
        <v>91</v>
      </c>
    </row>
    <row r="234" spans="1:8" x14ac:dyDescent="0.3">
      <c r="A234" t="s">
        <v>551</v>
      </c>
      <c r="B234" t="s">
        <v>5</v>
      </c>
      <c r="C234" t="s">
        <v>6</v>
      </c>
      <c r="D234" t="s">
        <v>15</v>
      </c>
      <c r="E234" s="68">
        <v>5800</v>
      </c>
      <c r="F234" s="68">
        <v>5126</v>
      </c>
      <c r="G234" s="68">
        <v>10926</v>
      </c>
      <c r="H234" t="s">
        <v>91</v>
      </c>
    </row>
    <row r="235" spans="1:8" x14ac:dyDescent="0.3">
      <c r="A235" t="s">
        <v>551</v>
      </c>
      <c r="B235" t="s">
        <v>5</v>
      </c>
      <c r="C235" t="s">
        <v>6</v>
      </c>
      <c r="D235" t="s">
        <v>16</v>
      </c>
      <c r="E235" s="68">
        <v>5250</v>
      </c>
      <c r="F235" s="68">
        <v>4484</v>
      </c>
      <c r="G235" s="68">
        <v>9734</v>
      </c>
      <c r="H235" t="s">
        <v>91</v>
      </c>
    </row>
    <row r="236" spans="1:8" x14ac:dyDescent="0.3">
      <c r="A236" t="s">
        <v>551</v>
      </c>
      <c r="B236" t="s">
        <v>5</v>
      </c>
      <c r="C236" t="s">
        <v>6</v>
      </c>
      <c r="D236" t="s">
        <v>17</v>
      </c>
      <c r="E236" s="68">
        <v>4451</v>
      </c>
      <c r="F236" s="68">
        <v>3679</v>
      </c>
      <c r="G236" s="68">
        <v>8130</v>
      </c>
      <c r="H236" t="s">
        <v>91</v>
      </c>
    </row>
    <row r="237" spans="1:8" x14ac:dyDescent="0.3">
      <c r="A237" t="s">
        <v>551</v>
      </c>
      <c r="B237" t="s">
        <v>5</v>
      </c>
      <c r="C237" t="s">
        <v>6</v>
      </c>
      <c r="D237" t="s">
        <v>18</v>
      </c>
      <c r="E237" s="68">
        <v>4721</v>
      </c>
      <c r="F237" s="68">
        <v>3634</v>
      </c>
      <c r="G237" s="68">
        <v>8355</v>
      </c>
      <c r="H237" t="s">
        <v>91</v>
      </c>
    </row>
    <row r="238" spans="1:8" x14ac:dyDescent="0.3">
      <c r="A238" t="s">
        <v>551</v>
      </c>
      <c r="B238" t="s">
        <v>5</v>
      </c>
      <c r="C238" t="s">
        <v>6</v>
      </c>
      <c r="D238" t="s">
        <v>19</v>
      </c>
      <c r="E238" s="68">
        <v>4965</v>
      </c>
      <c r="F238" s="68">
        <v>3813</v>
      </c>
      <c r="G238" s="68">
        <v>8778</v>
      </c>
      <c r="H238" t="s">
        <v>91</v>
      </c>
    </row>
    <row r="239" spans="1:8" x14ac:dyDescent="0.3">
      <c r="A239" t="s">
        <v>551</v>
      </c>
      <c r="B239" t="s">
        <v>5</v>
      </c>
      <c r="C239" t="s">
        <v>6</v>
      </c>
      <c r="D239" t="s">
        <v>20</v>
      </c>
      <c r="E239" s="68">
        <v>4356</v>
      </c>
      <c r="F239" s="68">
        <v>3290</v>
      </c>
      <c r="G239" s="68">
        <v>7646</v>
      </c>
      <c r="H239" t="s">
        <v>91</v>
      </c>
    </row>
    <row r="240" spans="1:8" x14ac:dyDescent="0.3">
      <c r="A240" t="s">
        <v>551</v>
      </c>
      <c r="B240" t="s">
        <v>5</v>
      </c>
      <c r="C240" t="s">
        <v>6</v>
      </c>
      <c r="D240" t="s">
        <v>21</v>
      </c>
      <c r="E240" s="68">
        <v>3539</v>
      </c>
      <c r="F240" s="68">
        <v>2656</v>
      </c>
      <c r="G240" s="68">
        <v>6195</v>
      </c>
      <c r="H240" t="s">
        <v>91</v>
      </c>
    </row>
    <row r="241" spans="1:8" x14ac:dyDescent="0.3">
      <c r="A241" t="s">
        <v>551</v>
      </c>
      <c r="B241" t="s">
        <v>5</v>
      </c>
      <c r="C241" t="s">
        <v>6</v>
      </c>
      <c r="D241" t="s">
        <v>22</v>
      </c>
      <c r="E241" s="68">
        <v>2586</v>
      </c>
      <c r="F241" s="68">
        <v>1826</v>
      </c>
      <c r="G241" s="68">
        <v>4412</v>
      </c>
      <c r="H241" t="s">
        <v>91</v>
      </c>
    </row>
    <row r="242" spans="1:8" x14ac:dyDescent="0.3">
      <c r="A242" t="s">
        <v>551</v>
      </c>
      <c r="B242" t="s">
        <v>5</v>
      </c>
      <c r="C242" t="s">
        <v>6</v>
      </c>
      <c r="D242" t="s">
        <v>23</v>
      </c>
      <c r="E242" s="68">
        <v>3560</v>
      </c>
      <c r="F242" s="68">
        <v>2214</v>
      </c>
      <c r="G242" s="68">
        <v>5774</v>
      </c>
      <c r="H242" t="s">
        <v>91</v>
      </c>
    </row>
    <row r="243" spans="1:8" x14ac:dyDescent="0.3">
      <c r="A243" t="s">
        <v>551</v>
      </c>
      <c r="B243" t="s">
        <v>5</v>
      </c>
      <c r="C243" t="s">
        <v>24</v>
      </c>
      <c r="D243" t="s">
        <v>7</v>
      </c>
      <c r="E243" s="68">
        <v>385</v>
      </c>
      <c r="F243" s="68">
        <v>396</v>
      </c>
      <c r="G243" s="68">
        <v>781</v>
      </c>
      <c r="H243" t="s">
        <v>91</v>
      </c>
    </row>
    <row r="244" spans="1:8" x14ac:dyDescent="0.3">
      <c r="A244" t="s">
        <v>551</v>
      </c>
      <c r="B244" t="s">
        <v>5</v>
      </c>
      <c r="C244" t="s">
        <v>24</v>
      </c>
      <c r="D244" t="s">
        <v>8</v>
      </c>
      <c r="E244" s="68">
        <v>532</v>
      </c>
      <c r="F244" s="68">
        <v>613</v>
      </c>
      <c r="G244" s="68">
        <v>1145</v>
      </c>
      <c r="H244" t="s">
        <v>91</v>
      </c>
    </row>
    <row r="245" spans="1:8" x14ac:dyDescent="0.3">
      <c r="A245" t="s">
        <v>551</v>
      </c>
      <c r="B245" t="s">
        <v>5</v>
      </c>
      <c r="C245" t="s">
        <v>24</v>
      </c>
      <c r="D245" t="s">
        <v>9</v>
      </c>
      <c r="E245" s="68">
        <v>657</v>
      </c>
      <c r="F245" s="68">
        <v>673</v>
      </c>
      <c r="G245" s="68">
        <v>1330</v>
      </c>
      <c r="H245" t="s">
        <v>90</v>
      </c>
    </row>
    <row r="246" spans="1:8" x14ac:dyDescent="0.3">
      <c r="A246" t="s">
        <v>551</v>
      </c>
      <c r="B246" t="s">
        <v>5</v>
      </c>
      <c r="C246" t="s">
        <v>24</v>
      </c>
      <c r="D246" t="s">
        <v>10</v>
      </c>
      <c r="E246" s="68">
        <v>878</v>
      </c>
      <c r="F246" s="68">
        <v>855</v>
      </c>
      <c r="G246" s="68">
        <v>1733</v>
      </c>
      <c r="H246" t="s">
        <v>90</v>
      </c>
    </row>
    <row r="247" spans="1:8" x14ac:dyDescent="0.3">
      <c r="A247" t="s">
        <v>551</v>
      </c>
      <c r="B247" t="s">
        <v>5</v>
      </c>
      <c r="C247" t="s">
        <v>24</v>
      </c>
      <c r="D247" t="s">
        <v>11</v>
      </c>
      <c r="E247" s="68">
        <v>1226</v>
      </c>
      <c r="F247" s="68">
        <v>1073</v>
      </c>
      <c r="G247" s="68">
        <v>2299</v>
      </c>
      <c r="H247" t="s">
        <v>90</v>
      </c>
    </row>
    <row r="248" spans="1:8" x14ac:dyDescent="0.3">
      <c r="A248" t="s">
        <v>551</v>
      </c>
      <c r="B248" t="s">
        <v>5</v>
      </c>
      <c r="C248" t="s">
        <v>24</v>
      </c>
      <c r="D248" t="s">
        <v>12</v>
      </c>
      <c r="E248" s="68">
        <v>1304</v>
      </c>
      <c r="F248" s="68">
        <v>1252</v>
      </c>
      <c r="G248" s="68">
        <v>2556</v>
      </c>
      <c r="H248" t="s">
        <v>90</v>
      </c>
    </row>
    <row r="249" spans="1:8" x14ac:dyDescent="0.3">
      <c r="A249" t="s">
        <v>551</v>
      </c>
      <c r="B249" t="s">
        <v>5</v>
      </c>
      <c r="C249" t="s">
        <v>24</v>
      </c>
      <c r="D249" t="s">
        <v>13</v>
      </c>
      <c r="E249" s="68">
        <v>996</v>
      </c>
      <c r="F249" s="68">
        <v>1041</v>
      </c>
      <c r="G249" s="68">
        <v>2037</v>
      </c>
      <c r="H249" t="s">
        <v>90</v>
      </c>
    </row>
    <row r="250" spans="1:8" x14ac:dyDescent="0.3">
      <c r="A250" t="s">
        <v>551</v>
      </c>
      <c r="B250" t="s">
        <v>5</v>
      </c>
      <c r="C250" t="s">
        <v>24</v>
      </c>
      <c r="D250" t="s">
        <v>14</v>
      </c>
      <c r="E250" s="68">
        <v>879</v>
      </c>
      <c r="F250" s="68">
        <v>797</v>
      </c>
      <c r="G250" s="68">
        <v>1676</v>
      </c>
      <c r="H250" t="s">
        <v>90</v>
      </c>
    </row>
    <row r="251" spans="1:8" x14ac:dyDescent="0.3">
      <c r="A251" t="s">
        <v>551</v>
      </c>
      <c r="B251" t="s">
        <v>5</v>
      </c>
      <c r="C251" t="s">
        <v>24</v>
      </c>
      <c r="D251" t="s">
        <v>15</v>
      </c>
      <c r="E251" s="68">
        <v>801</v>
      </c>
      <c r="F251" s="68">
        <v>629</v>
      </c>
      <c r="G251" s="68">
        <v>1430</v>
      </c>
      <c r="H251" t="s">
        <v>90</v>
      </c>
    </row>
    <row r="252" spans="1:8" x14ac:dyDescent="0.3">
      <c r="A252" t="s">
        <v>551</v>
      </c>
      <c r="B252" t="s">
        <v>5</v>
      </c>
      <c r="C252" t="s">
        <v>24</v>
      </c>
      <c r="D252" t="s">
        <v>16</v>
      </c>
      <c r="E252" s="68">
        <v>678</v>
      </c>
      <c r="F252" s="68">
        <v>478</v>
      </c>
      <c r="G252" s="68">
        <v>1156</v>
      </c>
      <c r="H252" t="s">
        <v>90</v>
      </c>
    </row>
    <row r="253" spans="1:8" x14ac:dyDescent="0.3">
      <c r="A253" t="s">
        <v>551</v>
      </c>
      <c r="B253" t="s">
        <v>5</v>
      </c>
      <c r="C253" t="s">
        <v>24</v>
      </c>
      <c r="D253" t="s">
        <v>17</v>
      </c>
      <c r="E253" s="68">
        <v>506</v>
      </c>
      <c r="F253" s="68">
        <v>355</v>
      </c>
      <c r="G253" s="68">
        <v>861</v>
      </c>
      <c r="H253" t="s">
        <v>90</v>
      </c>
    </row>
    <row r="254" spans="1:8" x14ac:dyDescent="0.3">
      <c r="A254" t="s">
        <v>551</v>
      </c>
      <c r="B254" t="s">
        <v>5</v>
      </c>
      <c r="C254" t="s">
        <v>24</v>
      </c>
      <c r="D254" t="s">
        <v>18</v>
      </c>
      <c r="E254" s="68">
        <v>452</v>
      </c>
      <c r="F254" s="68">
        <v>350</v>
      </c>
      <c r="G254" s="68">
        <v>802</v>
      </c>
      <c r="H254" t="s">
        <v>90</v>
      </c>
    </row>
    <row r="255" spans="1:8" x14ac:dyDescent="0.3">
      <c r="A255" t="s">
        <v>551</v>
      </c>
      <c r="B255" t="s">
        <v>5</v>
      </c>
      <c r="C255" t="s">
        <v>24</v>
      </c>
      <c r="D255" t="s">
        <v>19</v>
      </c>
      <c r="E255" s="68">
        <v>350</v>
      </c>
      <c r="F255" s="68">
        <v>301</v>
      </c>
      <c r="G255" s="68">
        <v>651</v>
      </c>
      <c r="H255" t="s">
        <v>90</v>
      </c>
    </row>
    <row r="256" spans="1:8" x14ac:dyDescent="0.3">
      <c r="A256" t="s">
        <v>551</v>
      </c>
      <c r="B256" t="s">
        <v>5</v>
      </c>
      <c r="C256" t="s">
        <v>24</v>
      </c>
      <c r="D256" t="s">
        <v>20</v>
      </c>
      <c r="E256" s="68">
        <v>241</v>
      </c>
      <c r="F256" s="68">
        <v>172</v>
      </c>
      <c r="G256" s="68">
        <v>413</v>
      </c>
      <c r="H256" t="s">
        <v>90</v>
      </c>
    </row>
    <row r="257" spans="1:8" x14ac:dyDescent="0.3">
      <c r="A257" t="s">
        <v>551</v>
      </c>
      <c r="B257" t="s">
        <v>5</v>
      </c>
      <c r="C257" t="s">
        <v>24</v>
      </c>
      <c r="D257" t="s">
        <v>21</v>
      </c>
      <c r="E257" s="68">
        <v>150</v>
      </c>
      <c r="F257" s="68">
        <v>116</v>
      </c>
      <c r="G257" s="68">
        <v>266</v>
      </c>
      <c r="H257" t="s">
        <v>90</v>
      </c>
    </row>
    <row r="258" spans="1:8" x14ac:dyDescent="0.3">
      <c r="A258" t="s">
        <v>551</v>
      </c>
      <c r="B258" t="s">
        <v>5</v>
      </c>
      <c r="C258" t="s">
        <v>24</v>
      </c>
      <c r="D258" t="s">
        <v>22</v>
      </c>
      <c r="E258" s="68">
        <v>81</v>
      </c>
      <c r="F258" s="68">
        <v>54</v>
      </c>
      <c r="G258" s="68">
        <v>135</v>
      </c>
      <c r="H258" t="s">
        <v>90</v>
      </c>
    </row>
    <row r="259" spans="1:8" x14ac:dyDescent="0.3">
      <c r="A259" t="s">
        <v>551</v>
      </c>
      <c r="B259" t="s">
        <v>5</v>
      </c>
      <c r="C259" t="s">
        <v>24</v>
      </c>
      <c r="D259" t="s">
        <v>23</v>
      </c>
      <c r="E259" s="68">
        <v>108</v>
      </c>
      <c r="F259" s="68">
        <v>59</v>
      </c>
      <c r="G259" s="68">
        <v>167</v>
      </c>
      <c r="H259" t="s">
        <v>90</v>
      </c>
    </row>
    <row r="260" spans="1:8" x14ac:dyDescent="0.3">
      <c r="A260" t="s">
        <v>551</v>
      </c>
      <c r="B260" t="s">
        <v>33</v>
      </c>
      <c r="C260" t="s">
        <v>6</v>
      </c>
      <c r="D260" t="s">
        <v>13</v>
      </c>
      <c r="E260" s="68">
        <v>1</v>
      </c>
      <c r="F260" s="68"/>
      <c r="G260" s="68">
        <v>1</v>
      </c>
      <c r="H260" t="s">
        <v>90</v>
      </c>
    </row>
    <row r="261" spans="1:8" x14ac:dyDescent="0.3">
      <c r="A261" t="s">
        <v>551</v>
      </c>
      <c r="B261" t="s">
        <v>33</v>
      </c>
      <c r="C261" t="s">
        <v>6</v>
      </c>
      <c r="D261" t="s">
        <v>15</v>
      </c>
      <c r="E261" s="68"/>
      <c r="F261" s="68">
        <v>1</v>
      </c>
      <c r="G261" s="68">
        <v>1</v>
      </c>
      <c r="H261" t="s">
        <v>90</v>
      </c>
    </row>
    <row r="262" spans="1:8" x14ac:dyDescent="0.3">
      <c r="A262" t="s">
        <v>551</v>
      </c>
      <c r="B262" t="s">
        <v>33</v>
      </c>
      <c r="C262" t="s">
        <v>6</v>
      </c>
      <c r="D262" t="s">
        <v>20</v>
      </c>
      <c r="E262" s="68">
        <v>1</v>
      </c>
      <c r="F262" s="68"/>
      <c r="G262" s="68">
        <v>1</v>
      </c>
      <c r="H262" t="s">
        <v>90</v>
      </c>
    </row>
    <row r="263" spans="1:8" x14ac:dyDescent="0.3">
      <c r="A263" t="s">
        <v>551</v>
      </c>
      <c r="B263" t="s">
        <v>34</v>
      </c>
      <c r="C263" t="s">
        <v>6</v>
      </c>
      <c r="D263" t="s">
        <v>7</v>
      </c>
      <c r="E263" s="68">
        <v>42456</v>
      </c>
      <c r="F263" s="68">
        <v>44862</v>
      </c>
      <c r="G263" s="68">
        <v>87318</v>
      </c>
      <c r="H263" t="s">
        <v>90</v>
      </c>
    </row>
    <row r="264" spans="1:8" x14ac:dyDescent="0.3">
      <c r="A264" t="s">
        <v>551</v>
      </c>
      <c r="B264" t="s">
        <v>34</v>
      </c>
      <c r="C264" t="s">
        <v>6</v>
      </c>
      <c r="D264" t="s">
        <v>8</v>
      </c>
      <c r="E264" s="68">
        <v>60799</v>
      </c>
      <c r="F264" s="68">
        <v>63645</v>
      </c>
      <c r="G264" s="68">
        <v>124444</v>
      </c>
      <c r="H264" t="s">
        <v>90</v>
      </c>
    </row>
    <row r="265" spans="1:8" x14ac:dyDescent="0.3">
      <c r="A265" t="s">
        <v>551</v>
      </c>
      <c r="B265" t="s">
        <v>34</v>
      </c>
      <c r="C265" t="s">
        <v>6</v>
      </c>
      <c r="D265" t="s">
        <v>9</v>
      </c>
      <c r="E265" s="68">
        <v>68464</v>
      </c>
      <c r="F265" s="68">
        <v>71955</v>
      </c>
      <c r="G265" s="68">
        <v>140419</v>
      </c>
      <c r="H265" t="s">
        <v>90</v>
      </c>
    </row>
    <row r="266" spans="1:8" x14ac:dyDescent="0.3">
      <c r="A266" t="s">
        <v>551</v>
      </c>
      <c r="B266" t="s">
        <v>34</v>
      </c>
      <c r="C266" t="s">
        <v>6</v>
      </c>
      <c r="D266" t="s">
        <v>10</v>
      </c>
      <c r="E266" s="68">
        <v>77055</v>
      </c>
      <c r="F266" s="68">
        <v>78987</v>
      </c>
      <c r="G266" s="68">
        <v>156042</v>
      </c>
      <c r="H266" t="s">
        <v>90</v>
      </c>
    </row>
    <row r="267" spans="1:8" x14ac:dyDescent="0.3">
      <c r="A267" t="s">
        <v>551</v>
      </c>
      <c r="B267" t="s">
        <v>34</v>
      </c>
      <c r="C267" t="s">
        <v>6</v>
      </c>
      <c r="D267" t="s">
        <v>11</v>
      </c>
      <c r="E267" s="68">
        <v>97309</v>
      </c>
      <c r="F267" s="68">
        <v>94120</v>
      </c>
      <c r="G267" s="68">
        <v>191429</v>
      </c>
      <c r="H267" t="s">
        <v>90</v>
      </c>
    </row>
    <row r="268" spans="1:8" x14ac:dyDescent="0.3">
      <c r="A268" t="s">
        <v>551</v>
      </c>
      <c r="B268" t="s">
        <v>34</v>
      </c>
      <c r="C268" t="s">
        <v>6</v>
      </c>
      <c r="D268" t="s">
        <v>12</v>
      </c>
      <c r="E268" s="68">
        <v>116232</v>
      </c>
      <c r="F268" s="68">
        <v>101308</v>
      </c>
      <c r="G268" s="68">
        <v>217540</v>
      </c>
      <c r="H268" t="s">
        <v>90</v>
      </c>
    </row>
    <row r="269" spans="1:8" x14ac:dyDescent="0.3">
      <c r="A269" t="s">
        <v>551</v>
      </c>
      <c r="B269" t="s">
        <v>34</v>
      </c>
      <c r="C269" t="s">
        <v>6</v>
      </c>
      <c r="D269" t="s">
        <v>13</v>
      </c>
      <c r="E269" s="68">
        <v>136169</v>
      </c>
      <c r="F269" s="68">
        <v>121651</v>
      </c>
      <c r="G269" s="68">
        <v>257820</v>
      </c>
      <c r="H269" t="s">
        <v>90</v>
      </c>
    </row>
    <row r="270" spans="1:8" x14ac:dyDescent="0.3">
      <c r="A270" t="s">
        <v>551</v>
      </c>
      <c r="B270" t="s">
        <v>34</v>
      </c>
      <c r="C270" t="s">
        <v>6</v>
      </c>
      <c r="D270" t="s">
        <v>14</v>
      </c>
      <c r="E270" s="68">
        <v>128163</v>
      </c>
      <c r="F270" s="68">
        <v>117487</v>
      </c>
      <c r="G270" s="68">
        <v>245650</v>
      </c>
      <c r="H270" t="s">
        <v>90</v>
      </c>
    </row>
    <row r="271" spans="1:8" x14ac:dyDescent="0.3">
      <c r="A271" t="s">
        <v>551</v>
      </c>
      <c r="B271" t="s">
        <v>34</v>
      </c>
      <c r="C271" t="s">
        <v>6</v>
      </c>
      <c r="D271" t="s">
        <v>15</v>
      </c>
      <c r="E271" s="68">
        <v>116905</v>
      </c>
      <c r="F271" s="68">
        <v>105599</v>
      </c>
      <c r="G271" s="68">
        <v>222504</v>
      </c>
      <c r="H271" t="s">
        <v>90</v>
      </c>
    </row>
    <row r="272" spans="1:8" x14ac:dyDescent="0.3">
      <c r="A272" t="s">
        <v>551</v>
      </c>
      <c r="B272" t="s">
        <v>34</v>
      </c>
      <c r="C272" t="s">
        <v>6</v>
      </c>
      <c r="D272" t="s">
        <v>16</v>
      </c>
      <c r="E272" s="68">
        <v>102696</v>
      </c>
      <c r="F272" s="68">
        <v>90403</v>
      </c>
      <c r="G272" s="68">
        <v>193099</v>
      </c>
      <c r="H272" t="s">
        <v>90</v>
      </c>
    </row>
    <row r="273" spans="1:8" x14ac:dyDescent="0.3">
      <c r="A273" t="s">
        <v>551</v>
      </c>
      <c r="B273" t="s">
        <v>34</v>
      </c>
      <c r="C273" t="s">
        <v>6</v>
      </c>
      <c r="D273" t="s">
        <v>17</v>
      </c>
      <c r="E273" s="68">
        <v>86155</v>
      </c>
      <c r="F273" s="68">
        <v>72538</v>
      </c>
      <c r="G273" s="68">
        <v>158693</v>
      </c>
      <c r="H273" t="s">
        <v>90</v>
      </c>
    </row>
    <row r="274" spans="1:8" x14ac:dyDescent="0.3">
      <c r="A274" t="s">
        <v>551</v>
      </c>
      <c r="B274" t="s">
        <v>34</v>
      </c>
      <c r="C274" t="s">
        <v>6</v>
      </c>
      <c r="D274" t="s">
        <v>18</v>
      </c>
      <c r="E274" s="68">
        <v>91579</v>
      </c>
      <c r="F274" s="68">
        <v>74923</v>
      </c>
      <c r="G274" s="68">
        <v>166502</v>
      </c>
      <c r="H274" t="s">
        <v>90</v>
      </c>
    </row>
    <row r="275" spans="1:8" x14ac:dyDescent="0.3">
      <c r="A275" t="s">
        <v>551</v>
      </c>
      <c r="B275" t="s">
        <v>34</v>
      </c>
      <c r="C275" t="s">
        <v>6</v>
      </c>
      <c r="D275" t="s">
        <v>19</v>
      </c>
      <c r="E275" s="68">
        <v>90242</v>
      </c>
      <c r="F275" s="68">
        <v>71810</v>
      </c>
      <c r="G275" s="68">
        <v>162052</v>
      </c>
      <c r="H275" t="s">
        <v>90</v>
      </c>
    </row>
    <row r="276" spans="1:8" x14ac:dyDescent="0.3">
      <c r="A276" t="s">
        <v>551</v>
      </c>
      <c r="B276" t="s">
        <v>34</v>
      </c>
      <c r="C276" t="s">
        <v>6</v>
      </c>
      <c r="D276" t="s">
        <v>20</v>
      </c>
      <c r="E276" s="68">
        <v>70702</v>
      </c>
      <c r="F276" s="68">
        <v>54652</v>
      </c>
      <c r="G276" s="68">
        <v>125354</v>
      </c>
      <c r="H276" t="s">
        <v>90</v>
      </c>
    </row>
    <row r="277" spans="1:8" x14ac:dyDescent="0.3">
      <c r="A277" t="s">
        <v>551</v>
      </c>
      <c r="B277" t="s">
        <v>34</v>
      </c>
      <c r="C277" t="s">
        <v>6</v>
      </c>
      <c r="D277" t="s">
        <v>21</v>
      </c>
      <c r="E277" s="68">
        <v>50588</v>
      </c>
      <c r="F277" s="68">
        <v>37631</v>
      </c>
      <c r="G277" s="68">
        <v>88219</v>
      </c>
      <c r="H277" t="s">
        <v>90</v>
      </c>
    </row>
    <row r="278" spans="1:8" x14ac:dyDescent="0.3">
      <c r="A278" t="s">
        <v>551</v>
      </c>
      <c r="B278" t="s">
        <v>34</v>
      </c>
      <c r="C278" t="s">
        <v>6</v>
      </c>
      <c r="D278" t="s">
        <v>22</v>
      </c>
      <c r="E278" s="68">
        <v>32466</v>
      </c>
      <c r="F278" s="68">
        <v>24475</v>
      </c>
      <c r="G278" s="68">
        <v>56941</v>
      </c>
      <c r="H278" t="s">
        <v>90</v>
      </c>
    </row>
    <row r="279" spans="1:8" x14ac:dyDescent="0.3">
      <c r="A279" t="s">
        <v>551</v>
      </c>
      <c r="B279" t="s">
        <v>34</v>
      </c>
      <c r="C279" t="s">
        <v>6</v>
      </c>
      <c r="D279" t="s">
        <v>23</v>
      </c>
      <c r="E279" s="68">
        <v>37400</v>
      </c>
      <c r="F279" s="68">
        <v>22499</v>
      </c>
      <c r="G279" s="68">
        <v>59899</v>
      </c>
      <c r="H279" t="s">
        <v>91</v>
      </c>
    </row>
    <row r="280" spans="1:8" x14ac:dyDescent="0.3">
      <c r="A280" t="s">
        <v>551</v>
      </c>
      <c r="B280" t="s">
        <v>34</v>
      </c>
      <c r="C280" t="s">
        <v>24</v>
      </c>
      <c r="D280" t="s">
        <v>7</v>
      </c>
      <c r="E280" s="68">
        <v>9554</v>
      </c>
      <c r="F280" s="68">
        <v>10232</v>
      </c>
      <c r="G280" s="68">
        <v>19786</v>
      </c>
      <c r="H280" t="s">
        <v>91</v>
      </c>
    </row>
    <row r="281" spans="1:8" x14ac:dyDescent="0.3">
      <c r="A281" t="s">
        <v>551</v>
      </c>
      <c r="B281" t="s">
        <v>34</v>
      </c>
      <c r="C281" t="s">
        <v>24</v>
      </c>
      <c r="D281" t="s">
        <v>8</v>
      </c>
      <c r="E281" s="68">
        <v>15297</v>
      </c>
      <c r="F281" s="68">
        <v>16403</v>
      </c>
      <c r="G281" s="68">
        <v>31700</v>
      </c>
      <c r="H281" t="s">
        <v>91</v>
      </c>
    </row>
    <row r="282" spans="1:8" x14ac:dyDescent="0.3">
      <c r="A282" t="s">
        <v>551</v>
      </c>
      <c r="B282" t="s">
        <v>34</v>
      </c>
      <c r="C282" t="s">
        <v>24</v>
      </c>
      <c r="D282" t="s">
        <v>9</v>
      </c>
      <c r="E282" s="68">
        <v>15336</v>
      </c>
      <c r="F282" s="68">
        <v>16151</v>
      </c>
      <c r="G282" s="68">
        <v>31487</v>
      </c>
      <c r="H282" t="s">
        <v>91</v>
      </c>
    </row>
    <row r="283" spans="1:8" x14ac:dyDescent="0.3">
      <c r="A283" t="s">
        <v>551</v>
      </c>
      <c r="B283" t="s">
        <v>34</v>
      </c>
      <c r="C283" t="s">
        <v>24</v>
      </c>
      <c r="D283" t="s">
        <v>10</v>
      </c>
      <c r="E283" s="68">
        <v>14882</v>
      </c>
      <c r="F283" s="68">
        <v>15355</v>
      </c>
      <c r="G283" s="68">
        <v>30237</v>
      </c>
      <c r="H283" t="s">
        <v>91</v>
      </c>
    </row>
    <row r="284" spans="1:8" x14ac:dyDescent="0.3">
      <c r="A284" t="s">
        <v>551</v>
      </c>
      <c r="B284" t="s">
        <v>34</v>
      </c>
      <c r="C284" t="s">
        <v>24</v>
      </c>
      <c r="D284" t="s">
        <v>11</v>
      </c>
      <c r="E284" s="68">
        <v>14693</v>
      </c>
      <c r="F284" s="68">
        <v>13710</v>
      </c>
      <c r="G284" s="68">
        <v>28403</v>
      </c>
      <c r="H284" t="s">
        <v>91</v>
      </c>
    </row>
    <row r="285" spans="1:8" x14ac:dyDescent="0.3">
      <c r="A285" t="s">
        <v>551</v>
      </c>
      <c r="B285" t="s">
        <v>34</v>
      </c>
      <c r="C285" t="s">
        <v>24</v>
      </c>
      <c r="D285" t="s">
        <v>12</v>
      </c>
      <c r="E285" s="68">
        <v>28298</v>
      </c>
      <c r="F285" s="68">
        <v>27211</v>
      </c>
      <c r="G285" s="68">
        <v>55509</v>
      </c>
      <c r="H285" t="s">
        <v>91</v>
      </c>
    </row>
    <row r="286" spans="1:8" x14ac:dyDescent="0.3">
      <c r="A286" t="s">
        <v>551</v>
      </c>
      <c r="B286" t="s">
        <v>34</v>
      </c>
      <c r="C286" t="s">
        <v>24</v>
      </c>
      <c r="D286" t="s">
        <v>13</v>
      </c>
      <c r="E286" s="68">
        <v>25334</v>
      </c>
      <c r="F286" s="68">
        <v>24904</v>
      </c>
      <c r="G286" s="68">
        <v>50238</v>
      </c>
      <c r="H286" t="s">
        <v>91</v>
      </c>
    </row>
    <row r="287" spans="1:8" x14ac:dyDescent="0.3">
      <c r="A287" t="s">
        <v>551</v>
      </c>
      <c r="B287" t="s">
        <v>34</v>
      </c>
      <c r="C287" t="s">
        <v>24</v>
      </c>
      <c r="D287" t="s">
        <v>14</v>
      </c>
      <c r="E287" s="68">
        <v>20672</v>
      </c>
      <c r="F287" s="68">
        <v>20364</v>
      </c>
      <c r="G287" s="68">
        <v>41036</v>
      </c>
      <c r="H287" t="s">
        <v>91</v>
      </c>
    </row>
    <row r="288" spans="1:8" x14ac:dyDescent="0.3">
      <c r="A288" t="s">
        <v>551</v>
      </c>
      <c r="B288" t="s">
        <v>34</v>
      </c>
      <c r="C288" t="s">
        <v>24</v>
      </c>
      <c r="D288" t="s">
        <v>15</v>
      </c>
      <c r="E288" s="68">
        <v>17423</v>
      </c>
      <c r="F288" s="68">
        <v>15520</v>
      </c>
      <c r="G288" s="68">
        <v>32943</v>
      </c>
      <c r="H288" t="s">
        <v>91</v>
      </c>
    </row>
    <row r="289" spans="1:8" x14ac:dyDescent="0.3">
      <c r="A289" t="s">
        <v>551</v>
      </c>
      <c r="B289" t="s">
        <v>34</v>
      </c>
      <c r="C289" t="s">
        <v>24</v>
      </c>
      <c r="D289" t="s">
        <v>16</v>
      </c>
      <c r="E289" s="68">
        <v>15518</v>
      </c>
      <c r="F289" s="68">
        <v>12082</v>
      </c>
      <c r="G289" s="68">
        <v>27600</v>
      </c>
      <c r="H289" t="s">
        <v>91</v>
      </c>
    </row>
    <row r="290" spans="1:8" x14ac:dyDescent="0.3">
      <c r="A290" t="s">
        <v>551</v>
      </c>
      <c r="B290" t="s">
        <v>34</v>
      </c>
      <c r="C290" t="s">
        <v>24</v>
      </c>
      <c r="D290" t="s">
        <v>17</v>
      </c>
      <c r="E290" s="68">
        <v>13691</v>
      </c>
      <c r="F290" s="68">
        <v>9314</v>
      </c>
      <c r="G290" s="68">
        <v>23005</v>
      </c>
      <c r="H290" t="s">
        <v>91</v>
      </c>
    </row>
    <row r="291" spans="1:8" x14ac:dyDescent="0.3">
      <c r="A291" t="s">
        <v>551</v>
      </c>
      <c r="B291" t="s">
        <v>34</v>
      </c>
      <c r="C291" t="s">
        <v>24</v>
      </c>
      <c r="D291" t="s">
        <v>18</v>
      </c>
      <c r="E291" s="68">
        <v>13226</v>
      </c>
      <c r="F291" s="68">
        <v>9202</v>
      </c>
      <c r="G291" s="68">
        <v>22428</v>
      </c>
      <c r="H291" t="s">
        <v>91</v>
      </c>
    </row>
    <row r="292" spans="1:8" x14ac:dyDescent="0.3">
      <c r="A292" t="s">
        <v>551</v>
      </c>
      <c r="B292" t="s">
        <v>34</v>
      </c>
      <c r="C292" t="s">
        <v>24</v>
      </c>
      <c r="D292" t="s">
        <v>19</v>
      </c>
      <c r="E292" s="68">
        <v>10747</v>
      </c>
      <c r="F292" s="68">
        <v>7854</v>
      </c>
      <c r="G292" s="68">
        <v>18601</v>
      </c>
      <c r="H292" t="s">
        <v>91</v>
      </c>
    </row>
    <row r="293" spans="1:8" x14ac:dyDescent="0.3">
      <c r="A293" t="s">
        <v>551</v>
      </c>
      <c r="B293" t="s">
        <v>34</v>
      </c>
      <c r="C293" t="s">
        <v>24</v>
      </c>
      <c r="D293" t="s">
        <v>20</v>
      </c>
      <c r="E293" s="68">
        <v>6904</v>
      </c>
      <c r="F293" s="68">
        <v>5197</v>
      </c>
      <c r="G293" s="68">
        <v>12101</v>
      </c>
      <c r="H293" t="s">
        <v>91</v>
      </c>
    </row>
    <row r="294" spans="1:8" x14ac:dyDescent="0.3">
      <c r="A294" t="s">
        <v>551</v>
      </c>
      <c r="B294" t="s">
        <v>34</v>
      </c>
      <c r="C294" t="s">
        <v>24</v>
      </c>
      <c r="D294" t="s">
        <v>21</v>
      </c>
      <c r="E294" s="68">
        <v>3732</v>
      </c>
      <c r="F294" s="68">
        <v>3113</v>
      </c>
      <c r="G294" s="68">
        <v>6845</v>
      </c>
      <c r="H294" t="s">
        <v>91</v>
      </c>
    </row>
    <row r="295" spans="1:8" x14ac:dyDescent="0.3">
      <c r="A295" t="s">
        <v>551</v>
      </c>
      <c r="B295" t="s">
        <v>34</v>
      </c>
      <c r="C295" t="s">
        <v>24</v>
      </c>
      <c r="D295" t="s">
        <v>22</v>
      </c>
      <c r="E295" s="68">
        <v>2090</v>
      </c>
      <c r="F295" s="68">
        <v>1622</v>
      </c>
      <c r="G295" s="68">
        <v>3712</v>
      </c>
      <c r="H295" t="s">
        <v>91</v>
      </c>
    </row>
    <row r="296" spans="1:8" x14ac:dyDescent="0.3">
      <c r="A296" t="s">
        <v>551</v>
      </c>
      <c r="B296" t="s">
        <v>34</v>
      </c>
      <c r="C296" t="s">
        <v>24</v>
      </c>
      <c r="D296" t="s">
        <v>23</v>
      </c>
      <c r="E296" s="68">
        <v>1918</v>
      </c>
      <c r="F296" s="68">
        <v>1439</v>
      </c>
      <c r="G296" s="68">
        <v>3357</v>
      </c>
      <c r="H296" t="s">
        <v>91</v>
      </c>
    </row>
    <row r="297" spans="1:8" x14ac:dyDescent="0.3">
      <c r="A297" t="s">
        <v>551</v>
      </c>
      <c r="B297" t="s">
        <v>35</v>
      </c>
      <c r="C297" t="s">
        <v>6</v>
      </c>
      <c r="D297" t="s">
        <v>7</v>
      </c>
      <c r="E297" s="68"/>
      <c r="F297" s="68">
        <v>2</v>
      </c>
      <c r="G297" s="68">
        <v>2</v>
      </c>
      <c r="H297" t="s">
        <v>91</v>
      </c>
    </row>
    <row r="298" spans="1:8" x14ac:dyDescent="0.3">
      <c r="A298" t="s">
        <v>551</v>
      </c>
      <c r="B298" t="s">
        <v>35</v>
      </c>
      <c r="C298" t="s">
        <v>6</v>
      </c>
      <c r="D298" t="s">
        <v>8</v>
      </c>
      <c r="E298" s="68">
        <v>1</v>
      </c>
      <c r="F298" s="68">
        <v>1</v>
      </c>
      <c r="G298" s="68">
        <v>2</v>
      </c>
      <c r="H298" t="s">
        <v>91</v>
      </c>
    </row>
    <row r="299" spans="1:8" x14ac:dyDescent="0.3">
      <c r="A299" t="s">
        <v>551</v>
      </c>
      <c r="B299" t="s">
        <v>35</v>
      </c>
      <c r="C299" t="s">
        <v>6</v>
      </c>
      <c r="D299" t="s">
        <v>9</v>
      </c>
      <c r="E299" s="68">
        <v>3</v>
      </c>
      <c r="F299" s="68">
        <v>1</v>
      </c>
      <c r="G299" s="68">
        <v>4</v>
      </c>
      <c r="H299" t="s">
        <v>91</v>
      </c>
    </row>
    <row r="300" spans="1:8" x14ac:dyDescent="0.3">
      <c r="A300" t="s">
        <v>551</v>
      </c>
      <c r="B300" t="s">
        <v>35</v>
      </c>
      <c r="C300" t="s">
        <v>6</v>
      </c>
      <c r="D300" t="s">
        <v>10</v>
      </c>
      <c r="E300" s="68">
        <v>5</v>
      </c>
      <c r="F300" s="68">
        <v>9</v>
      </c>
      <c r="G300" s="68">
        <v>14</v>
      </c>
      <c r="H300" t="s">
        <v>91</v>
      </c>
    </row>
    <row r="301" spans="1:8" x14ac:dyDescent="0.3">
      <c r="A301" t="s">
        <v>551</v>
      </c>
      <c r="B301" t="s">
        <v>35</v>
      </c>
      <c r="C301" t="s">
        <v>6</v>
      </c>
      <c r="D301" t="s">
        <v>11</v>
      </c>
      <c r="E301" s="68">
        <v>5</v>
      </c>
      <c r="F301" s="68">
        <v>7</v>
      </c>
      <c r="G301" s="68">
        <v>12</v>
      </c>
      <c r="H301" t="s">
        <v>91</v>
      </c>
    </row>
    <row r="302" spans="1:8" x14ac:dyDescent="0.3">
      <c r="A302" t="s">
        <v>551</v>
      </c>
      <c r="B302" t="s">
        <v>35</v>
      </c>
      <c r="C302" t="s">
        <v>6</v>
      </c>
      <c r="D302" t="s">
        <v>12</v>
      </c>
      <c r="E302" s="68">
        <v>1</v>
      </c>
      <c r="F302" s="68">
        <v>3</v>
      </c>
      <c r="G302" s="68">
        <v>4</v>
      </c>
      <c r="H302" t="s">
        <v>91</v>
      </c>
    </row>
    <row r="303" spans="1:8" x14ac:dyDescent="0.3">
      <c r="A303" t="s">
        <v>551</v>
      </c>
      <c r="B303" t="s">
        <v>35</v>
      </c>
      <c r="C303" t="s">
        <v>6</v>
      </c>
      <c r="D303" t="s">
        <v>13</v>
      </c>
      <c r="E303" s="68">
        <v>1</v>
      </c>
      <c r="F303" s="68"/>
      <c r="G303" s="68">
        <v>1</v>
      </c>
      <c r="H303" t="s">
        <v>91</v>
      </c>
    </row>
    <row r="304" spans="1:8" x14ac:dyDescent="0.3">
      <c r="A304" t="s">
        <v>551</v>
      </c>
      <c r="B304" t="s">
        <v>35</v>
      </c>
      <c r="C304" t="s">
        <v>6</v>
      </c>
      <c r="D304" t="s">
        <v>14</v>
      </c>
      <c r="E304" s="68">
        <v>3</v>
      </c>
      <c r="F304" s="68"/>
      <c r="G304" s="68">
        <v>3</v>
      </c>
      <c r="H304" t="s">
        <v>91</v>
      </c>
    </row>
    <row r="305" spans="1:8" x14ac:dyDescent="0.3">
      <c r="A305" t="s">
        <v>551</v>
      </c>
      <c r="B305" t="s">
        <v>35</v>
      </c>
      <c r="C305" t="s">
        <v>6</v>
      </c>
      <c r="D305" t="s">
        <v>15</v>
      </c>
      <c r="E305" s="68">
        <v>7</v>
      </c>
      <c r="F305" s="68">
        <v>6</v>
      </c>
      <c r="G305" s="68">
        <v>13</v>
      </c>
      <c r="H305" t="s">
        <v>91</v>
      </c>
    </row>
    <row r="306" spans="1:8" x14ac:dyDescent="0.3">
      <c r="A306" t="s">
        <v>551</v>
      </c>
      <c r="B306" t="s">
        <v>35</v>
      </c>
      <c r="C306" t="s">
        <v>6</v>
      </c>
      <c r="D306" t="s">
        <v>16</v>
      </c>
      <c r="E306" s="68">
        <v>5</v>
      </c>
      <c r="F306" s="68">
        <v>5</v>
      </c>
      <c r="G306" s="68">
        <v>10</v>
      </c>
      <c r="H306" t="s">
        <v>91</v>
      </c>
    </row>
    <row r="307" spans="1:8" x14ac:dyDescent="0.3">
      <c r="A307" t="s">
        <v>551</v>
      </c>
      <c r="B307" t="s">
        <v>35</v>
      </c>
      <c r="C307" t="s">
        <v>6</v>
      </c>
      <c r="D307" t="s">
        <v>17</v>
      </c>
      <c r="E307" s="68">
        <v>31</v>
      </c>
      <c r="F307" s="68">
        <v>5</v>
      </c>
      <c r="G307" s="68">
        <v>36</v>
      </c>
      <c r="H307" t="s">
        <v>91</v>
      </c>
    </row>
    <row r="308" spans="1:8" x14ac:dyDescent="0.3">
      <c r="A308" t="s">
        <v>551</v>
      </c>
      <c r="B308" t="s">
        <v>35</v>
      </c>
      <c r="C308" t="s">
        <v>6</v>
      </c>
      <c r="D308" t="s">
        <v>18</v>
      </c>
      <c r="E308" s="68">
        <v>61</v>
      </c>
      <c r="F308" s="68">
        <v>13</v>
      </c>
      <c r="G308" s="68">
        <v>74</v>
      </c>
      <c r="H308" t="s">
        <v>91</v>
      </c>
    </row>
    <row r="309" spans="1:8" x14ac:dyDescent="0.3">
      <c r="A309" t="s">
        <v>551</v>
      </c>
      <c r="B309" t="s">
        <v>35</v>
      </c>
      <c r="C309" t="s">
        <v>6</v>
      </c>
      <c r="D309" t="s">
        <v>19</v>
      </c>
      <c r="E309" s="68">
        <v>99</v>
      </c>
      <c r="F309" s="68">
        <v>20</v>
      </c>
      <c r="G309" s="68">
        <v>119</v>
      </c>
      <c r="H309" t="s">
        <v>91</v>
      </c>
    </row>
    <row r="310" spans="1:8" x14ac:dyDescent="0.3">
      <c r="A310" t="s">
        <v>551</v>
      </c>
      <c r="B310" t="s">
        <v>35</v>
      </c>
      <c r="C310" t="s">
        <v>6</v>
      </c>
      <c r="D310" t="s">
        <v>20</v>
      </c>
      <c r="E310" s="68">
        <v>172</v>
      </c>
      <c r="F310" s="68">
        <v>53</v>
      </c>
      <c r="G310" s="68">
        <v>225</v>
      </c>
      <c r="H310" t="s">
        <v>91</v>
      </c>
    </row>
    <row r="311" spans="1:8" x14ac:dyDescent="0.3">
      <c r="A311" t="s">
        <v>551</v>
      </c>
      <c r="B311" t="s">
        <v>35</v>
      </c>
      <c r="C311" t="s">
        <v>6</v>
      </c>
      <c r="D311" t="s">
        <v>21</v>
      </c>
      <c r="E311" s="68">
        <v>213</v>
      </c>
      <c r="F311" s="68">
        <v>165</v>
      </c>
      <c r="G311" s="68">
        <v>378</v>
      </c>
      <c r="H311" t="s">
        <v>91</v>
      </c>
    </row>
    <row r="312" spans="1:8" x14ac:dyDescent="0.3">
      <c r="A312" t="s">
        <v>551</v>
      </c>
      <c r="B312" t="s">
        <v>35</v>
      </c>
      <c r="C312" t="s">
        <v>6</v>
      </c>
      <c r="D312" t="s">
        <v>22</v>
      </c>
      <c r="E312" s="68">
        <v>229</v>
      </c>
      <c r="F312" s="68">
        <v>188</v>
      </c>
      <c r="G312" s="68">
        <v>417</v>
      </c>
      <c r="H312" t="s">
        <v>91</v>
      </c>
    </row>
    <row r="313" spans="1:8" x14ac:dyDescent="0.3">
      <c r="A313" t="s">
        <v>551</v>
      </c>
      <c r="B313" t="s">
        <v>35</v>
      </c>
      <c r="C313" t="s">
        <v>6</v>
      </c>
      <c r="D313" t="s">
        <v>23</v>
      </c>
      <c r="E313" s="68">
        <v>401</v>
      </c>
      <c r="F313" s="68">
        <v>228</v>
      </c>
      <c r="G313" s="68">
        <v>629</v>
      </c>
      <c r="H313" t="s">
        <v>91</v>
      </c>
    </row>
    <row r="314" spans="1:8" x14ac:dyDescent="0.3">
      <c r="A314" t="s">
        <v>551</v>
      </c>
      <c r="B314" t="s">
        <v>588</v>
      </c>
      <c r="C314" t="s">
        <v>6</v>
      </c>
      <c r="D314" t="s">
        <v>13</v>
      </c>
      <c r="E314" s="68"/>
      <c r="F314" s="68">
        <v>2</v>
      </c>
      <c r="G314" s="68">
        <v>2</v>
      </c>
      <c r="H314" t="s">
        <v>91</v>
      </c>
    </row>
    <row r="315" spans="1:8" x14ac:dyDescent="0.3">
      <c r="A315" t="s">
        <v>551</v>
      </c>
      <c r="B315" t="s">
        <v>588</v>
      </c>
      <c r="C315" t="s">
        <v>24</v>
      </c>
      <c r="D315" t="s">
        <v>7</v>
      </c>
      <c r="E315" s="68">
        <v>1</v>
      </c>
      <c r="F315" s="68"/>
      <c r="G315" s="68">
        <v>1</v>
      </c>
      <c r="H315" t="s">
        <v>91</v>
      </c>
    </row>
    <row r="316" spans="1:8" x14ac:dyDescent="0.3">
      <c r="A316" t="s">
        <v>551</v>
      </c>
      <c r="B316" t="s">
        <v>26</v>
      </c>
      <c r="C316" t="s">
        <v>6</v>
      </c>
      <c r="D316" t="s">
        <v>7</v>
      </c>
      <c r="E316" s="68">
        <v>10844</v>
      </c>
      <c r="F316" s="68">
        <v>11272</v>
      </c>
      <c r="G316" s="68">
        <v>22116</v>
      </c>
      <c r="H316" t="s">
        <v>91</v>
      </c>
    </row>
    <row r="317" spans="1:8" x14ac:dyDescent="0.3">
      <c r="A317" t="s">
        <v>551</v>
      </c>
      <c r="B317" t="s">
        <v>26</v>
      </c>
      <c r="C317" t="s">
        <v>6</v>
      </c>
      <c r="D317" t="s">
        <v>8</v>
      </c>
      <c r="E317" s="68">
        <v>15445</v>
      </c>
      <c r="F317" s="68">
        <v>16162</v>
      </c>
      <c r="G317" s="68">
        <v>31607</v>
      </c>
      <c r="H317" t="s">
        <v>91</v>
      </c>
    </row>
    <row r="318" spans="1:8" x14ac:dyDescent="0.3">
      <c r="A318" t="s">
        <v>551</v>
      </c>
      <c r="B318" t="s">
        <v>26</v>
      </c>
      <c r="C318" t="s">
        <v>6</v>
      </c>
      <c r="D318" t="s">
        <v>9</v>
      </c>
      <c r="E318" s="68">
        <v>16717</v>
      </c>
      <c r="F318" s="68">
        <v>17482</v>
      </c>
      <c r="G318" s="68">
        <v>34199</v>
      </c>
      <c r="H318" t="s">
        <v>91</v>
      </c>
    </row>
    <row r="319" spans="1:8" x14ac:dyDescent="0.3">
      <c r="A319" t="s">
        <v>551</v>
      </c>
      <c r="B319" t="s">
        <v>26</v>
      </c>
      <c r="C319" t="s">
        <v>6</v>
      </c>
      <c r="D319" t="s">
        <v>10</v>
      </c>
      <c r="E319" s="68">
        <v>19816</v>
      </c>
      <c r="F319" s="68">
        <v>20699</v>
      </c>
      <c r="G319" s="68">
        <v>40515</v>
      </c>
      <c r="H319" t="s">
        <v>91</v>
      </c>
    </row>
    <row r="320" spans="1:8" x14ac:dyDescent="0.3">
      <c r="A320" t="s">
        <v>551</v>
      </c>
      <c r="B320" t="s">
        <v>26</v>
      </c>
      <c r="C320" t="s">
        <v>6</v>
      </c>
      <c r="D320" t="s">
        <v>11</v>
      </c>
      <c r="E320" s="68">
        <v>25366</v>
      </c>
      <c r="F320" s="68">
        <v>31256</v>
      </c>
      <c r="G320" s="68">
        <v>56622</v>
      </c>
      <c r="H320" t="s">
        <v>91</v>
      </c>
    </row>
    <row r="321" spans="1:8" x14ac:dyDescent="0.3">
      <c r="A321" t="s">
        <v>551</v>
      </c>
      <c r="B321" t="s">
        <v>26</v>
      </c>
      <c r="C321" t="s">
        <v>6</v>
      </c>
      <c r="D321" t="s">
        <v>12</v>
      </c>
      <c r="E321" s="68">
        <v>23988</v>
      </c>
      <c r="F321" s="68">
        <v>34044</v>
      </c>
      <c r="G321" s="68">
        <v>58032</v>
      </c>
      <c r="H321" t="s">
        <v>91</v>
      </c>
    </row>
    <row r="322" spans="1:8" x14ac:dyDescent="0.3">
      <c r="A322" t="s">
        <v>551</v>
      </c>
      <c r="B322" t="s">
        <v>26</v>
      </c>
      <c r="C322" t="s">
        <v>6</v>
      </c>
      <c r="D322" t="s">
        <v>13</v>
      </c>
      <c r="E322" s="68">
        <v>23773</v>
      </c>
      <c r="F322" s="68">
        <v>32513</v>
      </c>
      <c r="G322" s="68">
        <v>56286</v>
      </c>
      <c r="H322" t="s">
        <v>91</v>
      </c>
    </row>
    <row r="323" spans="1:8" x14ac:dyDescent="0.3">
      <c r="A323" t="s">
        <v>551</v>
      </c>
      <c r="B323" t="s">
        <v>26</v>
      </c>
      <c r="C323" t="s">
        <v>6</v>
      </c>
      <c r="D323" t="s">
        <v>14</v>
      </c>
      <c r="E323" s="68">
        <v>21361</v>
      </c>
      <c r="F323" s="68">
        <v>26990</v>
      </c>
      <c r="G323" s="68">
        <v>48351</v>
      </c>
      <c r="H323" t="s">
        <v>91</v>
      </c>
    </row>
    <row r="324" spans="1:8" x14ac:dyDescent="0.3">
      <c r="A324" t="s">
        <v>551</v>
      </c>
      <c r="B324" t="s">
        <v>26</v>
      </c>
      <c r="C324" t="s">
        <v>6</v>
      </c>
      <c r="D324" t="s">
        <v>15</v>
      </c>
      <c r="E324" s="68">
        <v>19657</v>
      </c>
      <c r="F324" s="68">
        <v>22627</v>
      </c>
      <c r="G324" s="68">
        <v>42284</v>
      </c>
      <c r="H324" t="s">
        <v>91</v>
      </c>
    </row>
    <row r="325" spans="1:8" x14ac:dyDescent="0.3">
      <c r="A325" t="s">
        <v>551</v>
      </c>
      <c r="B325" t="s">
        <v>26</v>
      </c>
      <c r="C325" t="s">
        <v>6</v>
      </c>
      <c r="D325" t="s">
        <v>16</v>
      </c>
      <c r="E325" s="68">
        <v>18506</v>
      </c>
      <c r="F325" s="68">
        <v>20089</v>
      </c>
      <c r="G325" s="68">
        <v>38595</v>
      </c>
      <c r="H325" t="s">
        <v>91</v>
      </c>
    </row>
    <row r="326" spans="1:8" x14ac:dyDescent="0.3">
      <c r="A326" t="s">
        <v>551</v>
      </c>
      <c r="B326" t="s">
        <v>26</v>
      </c>
      <c r="C326" t="s">
        <v>6</v>
      </c>
      <c r="D326" t="s">
        <v>17</v>
      </c>
      <c r="E326" s="68">
        <v>17634</v>
      </c>
      <c r="F326" s="68">
        <v>18417</v>
      </c>
      <c r="G326" s="68">
        <v>36051</v>
      </c>
      <c r="H326" t="s">
        <v>91</v>
      </c>
    </row>
    <row r="327" spans="1:8" x14ac:dyDescent="0.3">
      <c r="A327" t="s">
        <v>551</v>
      </c>
      <c r="B327" t="s">
        <v>26</v>
      </c>
      <c r="C327" t="s">
        <v>6</v>
      </c>
      <c r="D327" t="s">
        <v>18</v>
      </c>
      <c r="E327" s="68">
        <v>20554</v>
      </c>
      <c r="F327" s="68">
        <v>19730</v>
      </c>
      <c r="G327" s="68">
        <v>40284</v>
      </c>
      <c r="H327" t="s">
        <v>91</v>
      </c>
    </row>
    <row r="328" spans="1:8" x14ac:dyDescent="0.3">
      <c r="A328" t="s">
        <v>551</v>
      </c>
      <c r="B328" t="s">
        <v>26</v>
      </c>
      <c r="C328" t="s">
        <v>6</v>
      </c>
      <c r="D328" t="s">
        <v>19</v>
      </c>
      <c r="E328" s="68">
        <v>22319</v>
      </c>
      <c r="F328" s="68">
        <v>19711</v>
      </c>
      <c r="G328" s="68">
        <v>42030</v>
      </c>
      <c r="H328" t="s">
        <v>91</v>
      </c>
    </row>
    <row r="329" spans="1:8" x14ac:dyDescent="0.3">
      <c r="A329" t="s">
        <v>551</v>
      </c>
      <c r="B329" t="s">
        <v>26</v>
      </c>
      <c r="C329" t="s">
        <v>6</v>
      </c>
      <c r="D329" t="s">
        <v>20</v>
      </c>
      <c r="E329" s="68">
        <v>21684</v>
      </c>
      <c r="F329" s="68">
        <v>16694</v>
      </c>
      <c r="G329" s="68">
        <v>38378</v>
      </c>
      <c r="H329" t="s">
        <v>90</v>
      </c>
    </row>
    <row r="330" spans="1:8" x14ac:dyDescent="0.3">
      <c r="A330" t="s">
        <v>551</v>
      </c>
      <c r="B330" t="s">
        <v>26</v>
      </c>
      <c r="C330" t="s">
        <v>6</v>
      </c>
      <c r="D330" t="s">
        <v>21</v>
      </c>
      <c r="E330" s="68">
        <v>19120</v>
      </c>
      <c r="F330" s="68">
        <v>14017</v>
      </c>
      <c r="G330" s="68">
        <v>33137</v>
      </c>
      <c r="H330" t="s">
        <v>90</v>
      </c>
    </row>
    <row r="331" spans="1:8" x14ac:dyDescent="0.3">
      <c r="A331" t="s">
        <v>551</v>
      </c>
      <c r="B331" t="s">
        <v>26</v>
      </c>
      <c r="C331" t="s">
        <v>6</v>
      </c>
      <c r="D331" t="s">
        <v>22</v>
      </c>
      <c r="E331" s="68">
        <v>16142</v>
      </c>
      <c r="F331" s="68">
        <v>10749</v>
      </c>
      <c r="G331" s="68">
        <v>26891</v>
      </c>
      <c r="H331" t="s">
        <v>90</v>
      </c>
    </row>
    <row r="332" spans="1:8" x14ac:dyDescent="0.3">
      <c r="A332" t="s">
        <v>551</v>
      </c>
      <c r="B332" t="s">
        <v>26</v>
      </c>
      <c r="C332" t="s">
        <v>6</v>
      </c>
      <c r="D332" t="s">
        <v>23</v>
      </c>
      <c r="E332" s="68">
        <v>24540</v>
      </c>
      <c r="F332" s="68">
        <v>14932</v>
      </c>
      <c r="G332" s="68">
        <v>39472</v>
      </c>
      <c r="H332" t="s">
        <v>90</v>
      </c>
    </row>
    <row r="333" spans="1:8" x14ac:dyDescent="0.3">
      <c r="A333" t="s">
        <v>551</v>
      </c>
      <c r="B333" t="s">
        <v>26</v>
      </c>
      <c r="C333" t="s">
        <v>24</v>
      </c>
      <c r="D333" t="s">
        <v>7</v>
      </c>
      <c r="E333" s="68">
        <v>9330</v>
      </c>
      <c r="F333" s="68">
        <v>9858</v>
      </c>
      <c r="G333" s="68">
        <v>19188</v>
      </c>
      <c r="H333" t="s">
        <v>90</v>
      </c>
    </row>
    <row r="334" spans="1:8" x14ac:dyDescent="0.3">
      <c r="A334" t="s">
        <v>551</v>
      </c>
      <c r="B334" t="s">
        <v>26</v>
      </c>
      <c r="C334" t="s">
        <v>24</v>
      </c>
      <c r="D334" t="s">
        <v>8</v>
      </c>
      <c r="E334" s="68">
        <v>10497</v>
      </c>
      <c r="F334" s="68">
        <v>11037</v>
      </c>
      <c r="G334" s="68">
        <v>21534</v>
      </c>
      <c r="H334" t="s">
        <v>90</v>
      </c>
    </row>
    <row r="335" spans="1:8" x14ac:dyDescent="0.3">
      <c r="A335" t="s">
        <v>551</v>
      </c>
      <c r="B335" t="s">
        <v>26</v>
      </c>
      <c r="C335" t="s">
        <v>24</v>
      </c>
      <c r="D335" t="s">
        <v>9</v>
      </c>
      <c r="E335" s="68">
        <v>10280</v>
      </c>
      <c r="F335" s="68">
        <v>10401</v>
      </c>
      <c r="G335" s="68">
        <v>20681</v>
      </c>
      <c r="H335" t="s">
        <v>90</v>
      </c>
    </row>
    <row r="336" spans="1:8" x14ac:dyDescent="0.3">
      <c r="A336" t="s">
        <v>551</v>
      </c>
      <c r="B336" t="s">
        <v>26</v>
      </c>
      <c r="C336" t="s">
        <v>24</v>
      </c>
      <c r="D336" t="s">
        <v>10</v>
      </c>
      <c r="E336" s="68">
        <v>11382</v>
      </c>
      <c r="F336" s="68">
        <v>10948</v>
      </c>
      <c r="G336" s="68">
        <v>22330</v>
      </c>
      <c r="H336" t="s">
        <v>90</v>
      </c>
    </row>
    <row r="337" spans="1:8" x14ac:dyDescent="0.3">
      <c r="A337" t="s">
        <v>551</v>
      </c>
      <c r="B337" t="s">
        <v>26</v>
      </c>
      <c r="C337" t="s">
        <v>24</v>
      </c>
      <c r="D337" t="s">
        <v>11</v>
      </c>
      <c r="E337" s="68">
        <v>15701</v>
      </c>
      <c r="F337" s="68">
        <v>16213</v>
      </c>
      <c r="G337" s="68">
        <v>31914</v>
      </c>
      <c r="H337" t="s">
        <v>90</v>
      </c>
    </row>
    <row r="338" spans="1:8" x14ac:dyDescent="0.3">
      <c r="A338" t="s">
        <v>551</v>
      </c>
      <c r="B338" t="s">
        <v>26</v>
      </c>
      <c r="C338" t="s">
        <v>24</v>
      </c>
      <c r="D338" t="s">
        <v>12</v>
      </c>
      <c r="E338" s="68">
        <v>16812</v>
      </c>
      <c r="F338" s="68">
        <v>20869</v>
      </c>
      <c r="G338" s="68">
        <v>37681</v>
      </c>
      <c r="H338" t="s">
        <v>90</v>
      </c>
    </row>
    <row r="339" spans="1:8" x14ac:dyDescent="0.3">
      <c r="A339" t="s">
        <v>551</v>
      </c>
      <c r="B339" t="s">
        <v>26</v>
      </c>
      <c r="C339" t="s">
        <v>24</v>
      </c>
      <c r="D339" t="s">
        <v>13</v>
      </c>
      <c r="E339" s="68">
        <v>13280</v>
      </c>
      <c r="F339" s="68">
        <v>19333</v>
      </c>
      <c r="G339" s="68">
        <v>32613</v>
      </c>
      <c r="H339" t="s">
        <v>90</v>
      </c>
    </row>
    <row r="340" spans="1:8" x14ac:dyDescent="0.3">
      <c r="A340" t="s">
        <v>551</v>
      </c>
      <c r="B340" t="s">
        <v>26</v>
      </c>
      <c r="C340" t="s">
        <v>24</v>
      </c>
      <c r="D340" t="s">
        <v>14</v>
      </c>
      <c r="E340" s="68">
        <v>11105</v>
      </c>
      <c r="F340" s="68">
        <v>15435</v>
      </c>
      <c r="G340" s="68">
        <v>26540</v>
      </c>
      <c r="H340" t="s">
        <v>90</v>
      </c>
    </row>
    <row r="341" spans="1:8" x14ac:dyDescent="0.3">
      <c r="A341" t="s">
        <v>551</v>
      </c>
      <c r="B341" t="s">
        <v>26</v>
      </c>
      <c r="C341" t="s">
        <v>24</v>
      </c>
      <c r="D341" t="s">
        <v>15</v>
      </c>
      <c r="E341" s="68">
        <v>9997</v>
      </c>
      <c r="F341" s="68">
        <v>12645</v>
      </c>
      <c r="G341" s="68">
        <v>22642</v>
      </c>
      <c r="H341" t="s">
        <v>90</v>
      </c>
    </row>
    <row r="342" spans="1:8" x14ac:dyDescent="0.3">
      <c r="A342" t="s">
        <v>551</v>
      </c>
      <c r="B342" t="s">
        <v>26</v>
      </c>
      <c r="C342" t="s">
        <v>24</v>
      </c>
      <c r="D342" t="s">
        <v>16</v>
      </c>
      <c r="E342" s="68">
        <v>9021</v>
      </c>
      <c r="F342" s="68">
        <v>10805</v>
      </c>
      <c r="G342" s="68">
        <v>19826</v>
      </c>
      <c r="H342" t="s">
        <v>90</v>
      </c>
    </row>
    <row r="343" spans="1:8" x14ac:dyDescent="0.3">
      <c r="A343" t="s">
        <v>551</v>
      </c>
      <c r="B343" t="s">
        <v>26</v>
      </c>
      <c r="C343" t="s">
        <v>24</v>
      </c>
      <c r="D343" t="s">
        <v>17</v>
      </c>
      <c r="E343" s="68">
        <v>7719</v>
      </c>
      <c r="F343" s="68">
        <v>8993</v>
      </c>
      <c r="G343" s="68">
        <v>16712</v>
      </c>
      <c r="H343" t="s">
        <v>90</v>
      </c>
    </row>
    <row r="344" spans="1:8" x14ac:dyDescent="0.3">
      <c r="A344" t="s">
        <v>551</v>
      </c>
      <c r="B344" t="s">
        <v>26</v>
      </c>
      <c r="C344" t="s">
        <v>24</v>
      </c>
      <c r="D344" t="s">
        <v>18</v>
      </c>
      <c r="E344" s="68">
        <v>6989</v>
      </c>
      <c r="F344" s="68">
        <v>8425</v>
      </c>
      <c r="G344" s="68">
        <v>15414</v>
      </c>
      <c r="H344" t="s">
        <v>90</v>
      </c>
    </row>
    <row r="345" spans="1:8" x14ac:dyDescent="0.3">
      <c r="A345" t="s">
        <v>551</v>
      </c>
      <c r="B345" t="s">
        <v>26</v>
      </c>
      <c r="C345" t="s">
        <v>24</v>
      </c>
      <c r="D345" t="s">
        <v>19</v>
      </c>
      <c r="E345" s="68">
        <v>5523</v>
      </c>
      <c r="F345" s="68">
        <v>7307</v>
      </c>
      <c r="G345" s="68">
        <v>12830</v>
      </c>
      <c r="H345" t="s">
        <v>90</v>
      </c>
    </row>
    <row r="346" spans="1:8" x14ac:dyDescent="0.3">
      <c r="A346" t="s">
        <v>551</v>
      </c>
      <c r="B346" t="s">
        <v>26</v>
      </c>
      <c r="C346" t="s">
        <v>24</v>
      </c>
      <c r="D346" t="s">
        <v>20</v>
      </c>
      <c r="E346" s="68">
        <v>3948</v>
      </c>
      <c r="F346" s="68">
        <v>5007</v>
      </c>
      <c r="G346" s="68">
        <v>8955</v>
      </c>
      <c r="H346" t="s">
        <v>90</v>
      </c>
    </row>
    <row r="347" spans="1:8" x14ac:dyDescent="0.3">
      <c r="A347" t="s">
        <v>551</v>
      </c>
      <c r="B347" t="s">
        <v>26</v>
      </c>
      <c r="C347" t="s">
        <v>24</v>
      </c>
      <c r="D347" t="s">
        <v>21</v>
      </c>
      <c r="E347" s="68">
        <v>2506</v>
      </c>
      <c r="F347" s="68">
        <v>3244</v>
      </c>
      <c r="G347" s="68">
        <v>5750</v>
      </c>
      <c r="H347" t="s">
        <v>90</v>
      </c>
    </row>
    <row r="348" spans="1:8" x14ac:dyDescent="0.3">
      <c r="A348" t="s">
        <v>551</v>
      </c>
      <c r="B348" t="s">
        <v>26</v>
      </c>
      <c r="C348" t="s">
        <v>24</v>
      </c>
      <c r="D348" t="s">
        <v>22</v>
      </c>
      <c r="E348" s="68">
        <v>1461</v>
      </c>
      <c r="F348" s="68">
        <v>1763</v>
      </c>
      <c r="G348" s="68">
        <v>3224</v>
      </c>
      <c r="H348" t="s">
        <v>90</v>
      </c>
    </row>
    <row r="349" spans="1:8" x14ac:dyDescent="0.3">
      <c r="A349" t="s">
        <v>551</v>
      </c>
      <c r="B349" t="s">
        <v>26</v>
      </c>
      <c r="C349" t="s">
        <v>24</v>
      </c>
      <c r="D349" t="s">
        <v>23</v>
      </c>
      <c r="E349" s="68">
        <v>1924</v>
      </c>
      <c r="F349" s="68">
        <v>1813</v>
      </c>
      <c r="G349" s="68">
        <v>3737</v>
      </c>
      <c r="H349" t="s">
        <v>90</v>
      </c>
    </row>
    <row r="350" spans="1:8" x14ac:dyDescent="0.3">
      <c r="A350" t="s">
        <v>551</v>
      </c>
      <c r="B350" t="s">
        <v>27</v>
      </c>
      <c r="C350" t="s">
        <v>28</v>
      </c>
      <c r="D350" t="s">
        <v>7</v>
      </c>
      <c r="E350" s="68">
        <v>805</v>
      </c>
      <c r="F350" s="68">
        <v>886</v>
      </c>
      <c r="G350" s="68">
        <v>1691</v>
      </c>
      <c r="H350" t="s">
        <v>90</v>
      </c>
    </row>
    <row r="351" spans="1:8" x14ac:dyDescent="0.3">
      <c r="A351" t="s">
        <v>551</v>
      </c>
      <c r="B351" t="s">
        <v>27</v>
      </c>
      <c r="C351" t="s">
        <v>28</v>
      </c>
      <c r="D351" t="s">
        <v>8</v>
      </c>
      <c r="E351" s="68">
        <v>1876</v>
      </c>
      <c r="F351" s="68">
        <v>1844</v>
      </c>
      <c r="G351" s="68">
        <v>3720</v>
      </c>
      <c r="H351" t="s">
        <v>90</v>
      </c>
    </row>
    <row r="352" spans="1:8" x14ac:dyDescent="0.3">
      <c r="A352" t="s">
        <v>551</v>
      </c>
      <c r="B352" t="s">
        <v>27</v>
      </c>
      <c r="C352" t="s">
        <v>28</v>
      </c>
      <c r="D352" t="s">
        <v>9</v>
      </c>
      <c r="E352" s="68">
        <v>2281</v>
      </c>
      <c r="F352" s="68">
        <v>2480</v>
      </c>
      <c r="G352" s="68">
        <v>4761</v>
      </c>
      <c r="H352" t="s">
        <v>90</v>
      </c>
    </row>
    <row r="353" spans="1:8" x14ac:dyDescent="0.3">
      <c r="A353" t="s">
        <v>551</v>
      </c>
      <c r="B353" t="s">
        <v>27</v>
      </c>
      <c r="C353" t="s">
        <v>28</v>
      </c>
      <c r="D353" t="s">
        <v>10</v>
      </c>
      <c r="E353" s="68">
        <v>2918</v>
      </c>
      <c r="F353" s="68">
        <v>3033</v>
      </c>
      <c r="G353" s="68">
        <v>5951</v>
      </c>
      <c r="H353" t="s">
        <v>90</v>
      </c>
    </row>
    <row r="354" spans="1:8" x14ac:dyDescent="0.3">
      <c r="A354" t="s">
        <v>551</v>
      </c>
      <c r="B354" t="s">
        <v>27</v>
      </c>
      <c r="C354" t="s">
        <v>28</v>
      </c>
      <c r="D354" t="s">
        <v>11</v>
      </c>
      <c r="E354" s="68">
        <v>2236</v>
      </c>
      <c r="F354" s="68">
        <v>2284</v>
      </c>
      <c r="G354" s="68">
        <v>4520</v>
      </c>
      <c r="H354" t="s">
        <v>90</v>
      </c>
    </row>
    <row r="355" spans="1:8" x14ac:dyDescent="0.3">
      <c r="A355" t="s">
        <v>551</v>
      </c>
      <c r="B355" t="s">
        <v>27</v>
      </c>
      <c r="C355" t="s">
        <v>28</v>
      </c>
      <c r="D355" t="s">
        <v>12</v>
      </c>
      <c r="E355" s="68">
        <v>1277</v>
      </c>
      <c r="F355" s="68">
        <v>967</v>
      </c>
      <c r="G355" s="68">
        <v>2244</v>
      </c>
      <c r="H355" t="s">
        <v>90</v>
      </c>
    </row>
    <row r="356" spans="1:8" x14ac:dyDescent="0.3">
      <c r="A356" t="s">
        <v>551</v>
      </c>
      <c r="B356" t="s">
        <v>27</v>
      </c>
      <c r="C356" t="s">
        <v>28</v>
      </c>
      <c r="D356" t="s">
        <v>13</v>
      </c>
      <c r="E356" s="68">
        <v>2422</v>
      </c>
      <c r="F356" s="68">
        <v>1758</v>
      </c>
      <c r="G356" s="68">
        <v>4180</v>
      </c>
      <c r="H356" t="s">
        <v>90</v>
      </c>
    </row>
    <row r="357" spans="1:8" x14ac:dyDescent="0.3">
      <c r="A357" t="s">
        <v>551</v>
      </c>
      <c r="B357" t="s">
        <v>27</v>
      </c>
      <c r="C357" t="s">
        <v>28</v>
      </c>
      <c r="D357" t="s">
        <v>14</v>
      </c>
      <c r="E357" s="68">
        <v>3658</v>
      </c>
      <c r="F357" s="68">
        <v>2352</v>
      </c>
      <c r="G357" s="68">
        <v>6010</v>
      </c>
      <c r="H357" t="s">
        <v>90</v>
      </c>
    </row>
    <row r="358" spans="1:8" x14ac:dyDescent="0.3">
      <c r="A358" t="s">
        <v>551</v>
      </c>
      <c r="B358" t="s">
        <v>27</v>
      </c>
      <c r="C358" t="s">
        <v>28</v>
      </c>
      <c r="D358" t="s">
        <v>15</v>
      </c>
      <c r="E358" s="68">
        <v>4962</v>
      </c>
      <c r="F358" s="68">
        <v>3042</v>
      </c>
      <c r="G358" s="68">
        <v>8004</v>
      </c>
      <c r="H358" t="s">
        <v>90</v>
      </c>
    </row>
    <row r="359" spans="1:8" x14ac:dyDescent="0.3">
      <c r="A359" t="s">
        <v>551</v>
      </c>
      <c r="B359" t="s">
        <v>27</v>
      </c>
      <c r="C359" t="s">
        <v>28</v>
      </c>
      <c r="D359" t="s">
        <v>16</v>
      </c>
      <c r="E359" s="68">
        <v>5119</v>
      </c>
      <c r="F359" s="68">
        <v>3168</v>
      </c>
      <c r="G359" s="68">
        <v>8287</v>
      </c>
      <c r="H359" t="s">
        <v>90</v>
      </c>
    </row>
    <row r="360" spans="1:8" x14ac:dyDescent="0.3">
      <c r="A360" t="s">
        <v>551</v>
      </c>
      <c r="B360" t="s">
        <v>27</v>
      </c>
      <c r="C360" t="s">
        <v>28</v>
      </c>
      <c r="D360" t="s">
        <v>17</v>
      </c>
      <c r="E360" s="68">
        <v>4937</v>
      </c>
      <c r="F360" s="68">
        <v>2889</v>
      </c>
      <c r="G360" s="68">
        <v>7826</v>
      </c>
      <c r="H360" t="s">
        <v>90</v>
      </c>
    </row>
    <row r="361" spans="1:8" x14ac:dyDescent="0.3">
      <c r="A361" t="s">
        <v>551</v>
      </c>
      <c r="B361" t="s">
        <v>27</v>
      </c>
      <c r="C361" t="s">
        <v>28</v>
      </c>
      <c r="D361" t="s">
        <v>18</v>
      </c>
      <c r="E361" s="68">
        <v>5690</v>
      </c>
      <c r="F361" s="68">
        <v>3193</v>
      </c>
      <c r="G361" s="68">
        <v>8883</v>
      </c>
      <c r="H361" t="s">
        <v>90</v>
      </c>
    </row>
    <row r="362" spans="1:8" x14ac:dyDescent="0.3">
      <c r="A362" t="s">
        <v>551</v>
      </c>
      <c r="B362" t="s">
        <v>27</v>
      </c>
      <c r="C362" t="s">
        <v>28</v>
      </c>
      <c r="D362" t="s">
        <v>19</v>
      </c>
      <c r="E362" s="68">
        <v>5924</v>
      </c>
      <c r="F362" s="68">
        <v>3253</v>
      </c>
      <c r="G362" s="68">
        <v>9177</v>
      </c>
      <c r="H362" t="s">
        <v>90</v>
      </c>
    </row>
    <row r="363" spans="1:8" x14ac:dyDescent="0.3">
      <c r="A363" t="s">
        <v>551</v>
      </c>
      <c r="B363" t="s">
        <v>27</v>
      </c>
      <c r="C363" t="s">
        <v>28</v>
      </c>
      <c r="D363" t="s">
        <v>20</v>
      </c>
      <c r="E363" s="68">
        <v>5978</v>
      </c>
      <c r="F363" s="68">
        <v>3496</v>
      </c>
      <c r="G363" s="68">
        <v>9474</v>
      </c>
      <c r="H363" t="s">
        <v>91</v>
      </c>
    </row>
    <row r="364" spans="1:8" x14ac:dyDescent="0.3">
      <c r="A364" t="s">
        <v>551</v>
      </c>
      <c r="B364" t="s">
        <v>27</v>
      </c>
      <c r="C364" t="s">
        <v>28</v>
      </c>
      <c r="D364" t="s">
        <v>21</v>
      </c>
      <c r="E364" s="68">
        <v>6143</v>
      </c>
      <c r="F364" s="68">
        <v>3407</v>
      </c>
      <c r="G364" s="68">
        <v>9550</v>
      </c>
      <c r="H364" t="s">
        <v>91</v>
      </c>
    </row>
    <row r="365" spans="1:8" x14ac:dyDescent="0.3">
      <c r="A365" t="s">
        <v>551</v>
      </c>
      <c r="B365" t="s">
        <v>27</v>
      </c>
      <c r="C365" t="s">
        <v>28</v>
      </c>
      <c r="D365" t="s">
        <v>22</v>
      </c>
      <c r="E365" s="68">
        <v>4845</v>
      </c>
      <c r="F365" s="68">
        <v>2519</v>
      </c>
      <c r="G365" s="68">
        <v>7364</v>
      </c>
      <c r="H365" t="s">
        <v>91</v>
      </c>
    </row>
    <row r="366" spans="1:8" x14ac:dyDescent="0.3">
      <c r="A366" t="s">
        <v>551</v>
      </c>
      <c r="B366" t="s">
        <v>27</v>
      </c>
      <c r="C366" t="s">
        <v>28</v>
      </c>
      <c r="D366" t="s">
        <v>23</v>
      </c>
      <c r="E366" s="68">
        <v>3925</v>
      </c>
      <c r="F366" s="68">
        <v>2183</v>
      </c>
      <c r="G366" s="68">
        <v>6108</v>
      </c>
      <c r="H366" t="s">
        <v>91</v>
      </c>
    </row>
    <row r="367" spans="1:8" x14ac:dyDescent="0.3">
      <c r="A367" t="s">
        <v>551</v>
      </c>
      <c r="B367" t="s">
        <v>27</v>
      </c>
      <c r="C367" t="s">
        <v>29</v>
      </c>
      <c r="D367" t="s">
        <v>7</v>
      </c>
      <c r="E367" s="68"/>
      <c r="F367" s="68">
        <v>1</v>
      </c>
      <c r="G367" s="68">
        <v>1</v>
      </c>
      <c r="H367" t="s">
        <v>91</v>
      </c>
    </row>
    <row r="368" spans="1:8" x14ac:dyDescent="0.3">
      <c r="A368" t="s">
        <v>551</v>
      </c>
      <c r="B368" t="s">
        <v>27</v>
      </c>
      <c r="C368" t="s">
        <v>29</v>
      </c>
      <c r="D368" t="s">
        <v>10</v>
      </c>
      <c r="E368" s="68">
        <v>7</v>
      </c>
      <c r="F368" s="68">
        <v>48</v>
      </c>
      <c r="G368" s="68">
        <v>55</v>
      </c>
      <c r="H368" t="s">
        <v>91</v>
      </c>
    </row>
    <row r="369" spans="1:8" x14ac:dyDescent="0.3">
      <c r="A369" t="s">
        <v>551</v>
      </c>
      <c r="B369" t="s">
        <v>27</v>
      </c>
      <c r="C369" t="s">
        <v>29</v>
      </c>
      <c r="D369" t="s">
        <v>11</v>
      </c>
      <c r="E369" s="68">
        <v>78</v>
      </c>
      <c r="F369" s="68">
        <v>1082</v>
      </c>
      <c r="G369" s="68">
        <v>1160</v>
      </c>
      <c r="H369" t="s">
        <v>91</v>
      </c>
    </row>
    <row r="370" spans="1:8" x14ac:dyDescent="0.3">
      <c r="A370" t="s">
        <v>551</v>
      </c>
      <c r="B370" t="s">
        <v>27</v>
      </c>
      <c r="C370" t="s">
        <v>29</v>
      </c>
      <c r="D370" t="s">
        <v>12</v>
      </c>
      <c r="E370" s="68">
        <v>131</v>
      </c>
      <c r="F370" s="68">
        <v>2513</v>
      </c>
      <c r="G370" s="68">
        <v>2644</v>
      </c>
      <c r="H370" t="s">
        <v>91</v>
      </c>
    </row>
    <row r="371" spans="1:8" x14ac:dyDescent="0.3">
      <c r="A371" t="s">
        <v>551</v>
      </c>
      <c r="B371" t="s">
        <v>27</v>
      </c>
      <c r="C371" t="s">
        <v>29</v>
      </c>
      <c r="D371" t="s">
        <v>13</v>
      </c>
      <c r="E371" s="68">
        <v>145</v>
      </c>
      <c r="F371" s="68">
        <v>2661</v>
      </c>
      <c r="G371" s="68">
        <v>2806</v>
      </c>
      <c r="H371" t="s">
        <v>91</v>
      </c>
    </row>
    <row r="372" spans="1:8" x14ac:dyDescent="0.3">
      <c r="A372" t="s">
        <v>551</v>
      </c>
      <c r="B372" t="s">
        <v>27</v>
      </c>
      <c r="C372" t="s">
        <v>29</v>
      </c>
      <c r="D372" t="s">
        <v>14</v>
      </c>
      <c r="E372" s="68">
        <v>104</v>
      </c>
      <c r="F372" s="68">
        <v>1993</v>
      </c>
      <c r="G372" s="68">
        <v>2097</v>
      </c>
      <c r="H372" t="s">
        <v>91</v>
      </c>
    </row>
    <row r="373" spans="1:8" x14ac:dyDescent="0.3">
      <c r="A373" t="s">
        <v>551</v>
      </c>
      <c r="B373" t="s">
        <v>27</v>
      </c>
      <c r="C373" t="s">
        <v>29</v>
      </c>
      <c r="D373" t="s">
        <v>15</v>
      </c>
      <c r="E373" s="68">
        <v>82</v>
      </c>
      <c r="F373" s="68">
        <v>1496</v>
      </c>
      <c r="G373" s="68">
        <v>1578</v>
      </c>
      <c r="H373" t="s">
        <v>91</v>
      </c>
    </row>
    <row r="374" spans="1:8" x14ac:dyDescent="0.3">
      <c r="A374" t="s">
        <v>551</v>
      </c>
      <c r="B374" t="s">
        <v>27</v>
      </c>
      <c r="C374" t="s">
        <v>29</v>
      </c>
      <c r="D374" t="s">
        <v>16</v>
      </c>
      <c r="E374" s="68">
        <v>62</v>
      </c>
      <c r="F374" s="68">
        <v>939</v>
      </c>
      <c r="G374" s="68">
        <v>1001</v>
      </c>
      <c r="H374" t="s">
        <v>91</v>
      </c>
    </row>
    <row r="375" spans="1:8" x14ac:dyDescent="0.3">
      <c r="A375" t="s">
        <v>551</v>
      </c>
      <c r="B375" t="s">
        <v>27</v>
      </c>
      <c r="C375" t="s">
        <v>29</v>
      </c>
      <c r="D375" t="s">
        <v>17</v>
      </c>
      <c r="E375" s="68">
        <v>29</v>
      </c>
      <c r="F375" s="68">
        <v>545</v>
      </c>
      <c r="G375" s="68">
        <v>574</v>
      </c>
      <c r="H375" t="s">
        <v>91</v>
      </c>
    </row>
    <row r="376" spans="1:8" x14ac:dyDescent="0.3">
      <c r="A376" t="s">
        <v>551</v>
      </c>
      <c r="B376" t="s">
        <v>27</v>
      </c>
      <c r="C376" t="s">
        <v>29</v>
      </c>
      <c r="D376" t="s">
        <v>18</v>
      </c>
      <c r="E376" s="68">
        <v>20</v>
      </c>
      <c r="F376" s="68">
        <v>376</v>
      </c>
      <c r="G376" s="68">
        <v>396</v>
      </c>
      <c r="H376" t="s">
        <v>91</v>
      </c>
    </row>
    <row r="377" spans="1:8" x14ac:dyDescent="0.3">
      <c r="A377" t="s">
        <v>551</v>
      </c>
      <c r="B377" t="s">
        <v>27</v>
      </c>
      <c r="C377" t="s">
        <v>29</v>
      </c>
      <c r="D377" t="s">
        <v>19</v>
      </c>
      <c r="E377" s="68">
        <v>7</v>
      </c>
      <c r="F377" s="68">
        <v>269</v>
      </c>
      <c r="G377" s="68">
        <v>276</v>
      </c>
      <c r="H377" t="s">
        <v>91</v>
      </c>
    </row>
    <row r="378" spans="1:8" x14ac:dyDescent="0.3">
      <c r="A378" t="s">
        <v>551</v>
      </c>
      <c r="B378" t="s">
        <v>27</v>
      </c>
      <c r="C378" t="s">
        <v>29</v>
      </c>
      <c r="D378" t="s">
        <v>20</v>
      </c>
      <c r="E378" s="68">
        <v>6</v>
      </c>
      <c r="F378" s="68">
        <v>151</v>
      </c>
      <c r="G378" s="68">
        <v>157</v>
      </c>
      <c r="H378" t="s">
        <v>91</v>
      </c>
    </row>
    <row r="379" spans="1:8" x14ac:dyDescent="0.3">
      <c r="A379" t="s">
        <v>551</v>
      </c>
      <c r="B379" t="s">
        <v>27</v>
      </c>
      <c r="C379" t="s">
        <v>29</v>
      </c>
      <c r="D379" t="s">
        <v>21</v>
      </c>
      <c r="E379" s="68"/>
      <c r="F379" s="68">
        <v>87</v>
      </c>
      <c r="G379" s="68">
        <v>87</v>
      </c>
      <c r="H379" t="s">
        <v>91</v>
      </c>
    </row>
    <row r="380" spans="1:8" x14ac:dyDescent="0.3">
      <c r="A380" t="s">
        <v>551</v>
      </c>
      <c r="B380" t="s">
        <v>27</v>
      </c>
      <c r="C380" t="s">
        <v>29</v>
      </c>
      <c r="D380" t="s">
        <v>22</v>
      </c>
      <c r="E380" s="68"/>
      <c r="F380" s="68">
        <v>34</v>
      </c>
      <c r="G380" s="68">
        <v>34</v>
      </c>
      <c r="H380" t="s">
        <v>91</v>
      </c>
    </row>
    <row r="381" spans="1:8" x14ac:dyDescent="0.3">
      <c r="A381" t="s">
        <v>551</v>
      </c>
      <c r="B381" t="s">
        <v>27</v>
      </c>
      <c r="C381" t="s">
        <v>29</v>
      </c>
      <c r="D381" t="s">
        <v>23</v>
      </c>
      <c r="E381" s="68"/>
      <c r="F381" s="68">
        <v>10</v>
      </c>
      <c r="G381" s="68">
        <v>10</v>
      </c>
      <c r="H381" t="s">
        <v>91</v>
      </c>
    </row>
    <row r="382" spans="1:8" x14ac:dyDescent="0.3">
      <c r="A382" t="s">
        <v>551</v>
      </c>
      <c r="B382" t="s">
        <v>36</v>
      </c>
      <c r="C382" t="s">
        <v>6</v>
      </c>
      <c r="D382" t="s">
        <v>7</v>
      </c>
      <c r="E382" s="68">
        <v>7665</v>
      </c>
      <c r="F382" s="68">
        <v>8100</v>
      </c>
      <c r="G382" s="68">
        <v>15765</v>
      </c>
      <c r="H382" t="s">
        <v>91</v>
      </c>
    </row>
    <row r="383" spans="1:8" x14ac:dyDescent="0.3">
      <c r="A383" t="s">
        <v>551</v>
      </c>
      <c r="B383" t="s">
        <v>36</v>
      </c>
      <c r="C383" t="s">
        <v>6</v>
      </c>
      <c r="D383" t="s">
        <v>8</v>
      </c>
      <c r="E383" s="68">
        <v>12180</v>
      </c>
      <c r="F383" s="68">
        <v>12798</v>
      </c>
      <c r="G383" s="68">
        <v>24978</v>
      </c>
      <c r="H383" t="s">
        <v>91</v>
      </c>
    </row>
    <row r="384" spans="1:8" x14ac:dyDescent="0.3">
      <c r="A384" t="s">
        <v>551</v>
      </c>
      <c r="B384" t="s">
        <v>36</v>
      </c>
      <c r="C384" t="s">
        <v>6</v>
      </c>
      <c r="D384" t="s">
        <v>9</v>
      </c>
      <c r="E384" s="68">
        <v>14049</v>
      </c>
      <c r="F384" s="68">
        <v>14614</v>
      </c>
      <c r="G384" s="68">
        <v>28663</v>
      </c>
      <c r="H384" t="s">
        <v>91</v>
      </c>
    </row>
    <row r="385" spans="1:8" x14ac:dyDescent="0.3">
      <c r="A385" t="s">
        <v>551</v>
      </c>
      <c r="B385" t="s">
        <v>36</v>
      </c>
      <c r="C385" t="s">
        <v>6</v>
      </c>
      <c r="D385" t="s">
        <v>10</v>
      </c>
      <c r="E385" s="68">
        <v>16288</v>
      </c>
      <c r="F385" s="68">
        <v>16438</v>
      </c>
      <c r="G385" s="68">
        <v>32726</v>
      </c>
      <c r="H385" t="s">
        <v>91</v>
      </c>
    </row>
    <row r="386" spans="1:8" x14ac:dyDescent="0.3">
      <c r="A386" t="s">
        <v>551</v>
      </c>
      <c r="B386" t="s">
        <v>36</v>
      </c>
      <c r="C386" t="s">
        <v>6</v>
      </c>
      <c r="D386" t="s">
        <v>11</v>
      </c>
      <c r="E386" s="68">
        <v>20520</v>
      </c>
      <c r="F386" s="68">
        <v>22595</v>
      </c>
      <c r="G386" s="68">
        <v>43115</v>
      </c>
      <c r="H386" t="s">
        <v>91</v>
      </c>
    </row>
    <row r="387" spans="1:8" x14ac:dyDescent="0.3">
      <c r="A387" t="s">
        <v>551</v>
      </c>
      <c r="B387" t="s">
        <v>36</v>
      </c>
      <c r="C387" t="s">
        <v>6</v>
      </c>
      <c r="D387" t="s">
        <v>12</v>
      </c>
      <c r="E387" s="68">
        <v>20038</v>
      </c>
      <c r="F387" s="68">
        <v>25197</v>
      </c>
      <c r="G387" s="68">
        <v>45235</v>
      </c>
      <c r="H387" t="s">
        <v>91</v>
      </c>
    </row>
    <row r="388" spans="1:8" x14ac:dyDescent="0.3">
      <c r="A388" t="s">
        <v>551</v>
      </c>
      <c r="B388" t="s">
        <v>36</v>
      </c>
      <c r="C388" t="s">
        <v>6</v>
      </c>
      <c r="D388" t="s">
        <v>13</v>
      </c>
      <c r="E388" s="68">
        <v>19397</v>
      </c>
      <c r="F388" s="68">
        <v>24210</v>
      </c>
      <c r="G388" s="68">
        <v>43607</v>
      </c>
      <c r="H388" t="s">
        <v>91</v>
      </c>
    </row>
    <row r="389" spans="1:8" x14ac:dyDescent="0.3">
      <c r="A389" t="s">
        <v>551</v>
      </c>
      <c r="B389" t="s">
        <v>36</v>
      </c>
      <c r="C389" t="s">
        <v>6</v>
      </c>
      <c r="D389" t="s">
        <v>14</v>
      </c>
      <c r="E389" s="68">
        <v>17607</v>
      </c>
      <c r="F389" s="68">
        <v>20354</v>
      </c>
      <c r="G389" s="68">
        <v>37961</v>
      </c>
      <c r="H389" t="s">
        <v>91</v>
      </c>
    </row>
    <row r="390" spans="1:8" x14ac:dyDescent="0.3">
      <c r="A390" t="s">
        <v>551</v>
      </c>
      <c r="B390" t="s">
        <v>36</v>
      </c>
      <c r="C390" t="s">
        <v>6</v>
      </c>
      <c r="D390" t="s">
        <v>15</v>
      </c>
      <c r="E390" s="68">
        <v>16283</v>
      </c>
      <c r="F390" s="68">
        <v>17751</v>
      </c>
      <c r="G390" s="68">
        <v>34034</v>
      </c>
      <c r="H390" t="s">
        <v>91</v>
      </c>
    </row>
    <row r="391" spans="1:8" x14ac:dyDescent="0.3">
      <c r="A391" t="s">
        <v>551</v>
      </c>
      <c r="B391" t="s">
        <v>36</v>
      </c>
      <c r="C391" t="s">
        <v>6</v>
      </c>
      <c r="D391" t="s">
        <v>16</v>
      </c>
      <c r="E391" s="68">
        <v>14483</v>
      </c>
      <c r="F391" s="68">
        <v>15181</v>
      </c>
      <c r="G391" s="68">
        <v>29664</v>
      </c>
      <c r="H391" t="s">
        <v>91</v>
      </c>
    </row>
    <row r="392" spans="1:8" x14ac:dyDescent="0.3">
      <c r="A392" t="s">
        <v>551</v>
      </c>
      <c r="B392" t="s">
        <v>36</v>
      </c>
      <c r="C392" t="s">
        <v>6</v>
      </c>
      <c r="D392" t="s">
        <v>17</v>
      </c>
      <c r="E392" s="68">
        <v>11513</v>
      </c>
      <c r="F392" s="68">
        <v>11810</v>
      </c>
      <c r="G392" s="68">
        <v>23323</v>
      </c>
      <c r="H392" t="s">
        <v>91</v>
      </c>
    </row>
    <row r="393" spans="1:8" x14ac:dyDescent="0.3">
      <c r="A393" t="s">
        <v>551</v>
      </c>
      <c r="B393" t="s">
        <v>36</v>
      </c>
      <c r="C393" t="s">
        <v>6</v>
      </c>
      <c r="D393" t="s">
        <v>18</v>
      </c>
      <c r="E393" s="68">
        <v>10788</v>
      </c>
      <c r="F393" s="68">
        <v>11197</v>
      </c>
      <c r="G393" s="68">
        <v>21985</v>
      </c>
      <c r="H393" t="s">
        <v>91</v>
      </c>
    </row>
    <row r="394" spans="1:8" x14ac:dyDescent="0.3">
      <c r="A394" t="s">
        <v>551</v>
      </c>
      <c r="B394" t="s">
        <v>36</v>
      </c>
      <c r="C394" t="s">
        <v>6</v>
      </c>
      <c r="D394" t="s">
        <v>19</v>
      </c>
      <c r="E394" s="68">
        <v>9547</v>
      </c>
      <c r="F394" s="68">
        <v>9501</v>
      </c>
      <c r="G394" s="68">
        <v>19048</v>
      </c>
      <c r="H394" t="s">
        <v>91</v>
      </c>
    </row>
    <row r="395" spans="1:8" x14ac:dyDescent="0.3">
      <c r="A395" t="s">
        <v>551</v>
      </c>
      <c r="B395" t="s">
        <v>36</v>
      </c>
      <c r="C395" t="s">
        <v>6</v>
      </c>
      <c r="D395" t="s">
        <v>20</v>
      </c>
      <c r="E395" s="68">
        <v>7300</v>
      </c>
      <c r="F395" s="68">
        <v>6940</v>
      </c>
      <c r="G395" s="68">
        <v>14240</v>
      </c>
      <c r="H395" t="s">
        <v>91</v>
      </c>
    </row>
    <row r="396" spans="1:8" x14ac:dyDescent="0.3">
      <c r="A396" t="s">
        <v>551</v>
      </c>
      <c r="B396" t="s">
        <v>36</v>
      </c>
      <c r="C396" t="s">
        <v>6</v>
      </c>
      <c r="D396" t="s">
        <v>21</v>
      </c>
      <c r="E396" s="68">
        <v>4952</v>
      </c>
      <c r="F396" s="68">
        <v>4486</v>
      </c>
      <c r="G396" s="68">
        <v>9438</v>
      </c>
      <c r="H396" t="s">
        <v>91</v>
      </c>
    </row>
    <row r="397" spans="1:8" x14ac:dyDescent="0.3">
      <c r="A397" t="s">
        <v>551</v>
      </c>
      <c r="B397" t="s">
        <v>36</v>
      </c>
      <c r="C397" t="s">
        <v>6</v>
      </c>
      <c r="D397" t="s">
        <v>22</v>
      </c>
      <c r="E397" s="68">
        <v>2962</v>
      </c>
      <c r="F397" s="68">
        <v>2849</v>
      </c>
      <c r="G397" s="68">
        <v>5811</v>
      </c>
      <c r="H397" t="s">
        <v>91</v>
      </c>
    </row>
    <row r="398" spans="1:8" x14ac:dyDescent="0.3">
      <c r="A398" t="s">
        <v>551</v>
      </c>
      <c r="B398" t="s">
        <v>36</v>
      </c>
      <c r="C398" t="s">
        <v>6</v>
      </c>
      <c r="D398" t="s">
        <v>23</v>
      </c>
      <c r="E398" s="68">
        <v>3110</v>
      </c>
      <c r="F398" s="68">
        <v>2361</v>
      </c>
      <c r="G398" s="68">
        <v>5471</v>
      </c>
      <c r="H398" t="s">
        <v>91</v>
      </c>
    </row>
    <row r="399" spans="1:8" x14ac:dyDescent="0.3">
      <c r="A399" t="s">
        <v>551</v>
      </c>
      <c r="B399" t="s">
        <v>36</v>
      </c>
      <c r="C399" t="s">
        <v>24</v>
      </c>
      <c r="D399" t="s">
        <v>7</v>
      </c>
      <c r="E399" s="68">
        <v>2815</v>
      </c>
      <c r="F399" s="68">
        <v>3018</v>
      </c>
      <c r="G399" s="68">
        <v>5833</v>
      </c>
      <c r="H399" t="s">
        <v>91</v>
      </c>
    </row>
    <row r="400" spans="1:8" x14ac:dyDescent="0.3">
      <c r="A400" t="s">
        <v>551</v>
      </c>
      <c r="B400" t="s">
        <v>36</v>
      </c>
      <c r="C400" t="s">
        <v>24</v>
      </c>
      <c r="D400" t="s">
        <v>8</v>
      </c>
      <c r="E400" s="68">
        <v>4718</v>
      </c>
      <c r="F400" s="68">
        <v>4707</v>
      </c>
      <c r="G400" s="68">
        <v>9425</v>
      </c>
      <c r="H400" t="s">
        <v>91</v>
      </c>
    </row>
    <row r="401" spans="1:8" x14ac:dyDescent="0.3">
      <c r="A401" t="s">
        <v>551</v>
      </c>
      <c r="B401" t="s">
        <v>36</v>
      </c>
      <c r="C401" t="s">
        <v>24</v>
      </c>
      <c r="D401" t="s">
        <v>9</v>
      </c>
      <c r="E401" s="68">
        <v>4453</v>
      </c>
      <c r="F401" s="68">
        <v>4701</v>
      </c>
      <c r="G401" s="68">
        <v>9154</v>
      </c>
      <c r="H401" t="s">
        <v>91</v>
      </c>
    </row>
    <row r="402" spans="1:8" x14ac:dyDescent="0.3">
      <c r="A402" t="s">
        <v>551</v>
      </c>
      <c r="B402" t="s">
        <v>36</v>
      </c>
      <c r="C402" t="s">
        <v>24</v>
      </c>
      <c r="D402" t="s">
        <v>10</v>
      </c>
      <c r="E402" s="68">
        <v>4743</v>
      </c>
      <c r="F402" s="68">
        <v>4822</v>
      </c>
      <c r="G402" s="68">
        <v>9565</v>
      </c>
      <c r="H402" t="s">
        <v>91</v>
      </c>
    </row>
    <row r="403" spans="1:8" x14ac:dyDescent="0.3">
      <c r="A403" t="s">
        <v>551</v>
      </c>
      <c r="B403" t="s">
        <v>36</v>
      </c>
      <c r="C403" t="s">
        <v>24</v>
      </c>
      <c r="D403" t="s">
        <v>11</v>
      </c>
      <c r="E403" s="68">
        <v>6223</v>
      </c>
      <c r="F403" s="68">
        <v>7253</v>
      </c>
      <c r="G403" s="68">
        <v>13476</v>
      </c>
      <c r="H403" t="s">
        <v>91</v>
      </c>
    </row>
    <row r="404" spans="1:8" x14ac:dyDescent="0.3">
      <c r="A404" t="s">
        <v>551</v>
      </c>
      <c r="B404" t="s">
        <v>36</v>
      </c>
      <c r="C404" t="s">
        <v>24</v>
      </c>
      <c r="D404" t="s">
        <v>12</v>
      </c>
      <c r="E404" s="68">
        <v>7149</v>
      </c>
      <c r="F404" s="68">
        <v>9909</v>
      </c>
      <c r="G404" s="68">
        <v>17058</v>
      </c>
      <c r="H404" t="s">
        <v>91</v>
      </c>
    </row>
    <row r="405" spans="1:8" x14ac:dyDescent="0.3">
      <c r="A405" t="s">
        <v>551</v>
      </c>
      <c r="B405" t="s">
        <v>36</v>
      </c>
      <c r="C405" t="s">
        <v>24</v>
      </c>
      <c r="D405" t="s">
        <v>13</v>
      </c>
      <c r="E405" s="68">
        <v>5682</v>
      </c>
      <c r="F405" s="68">
        <v>8433</v>
      </c>
      <c r="G405" s="68">
        <v>14115</v>
      </c>
      <c r="H405" t="s">
        <v>91</v>
      </c>
    </row>
    <row r="406" spans="1:8" x14ac:dyDescent="0.3">
      <c r="A406" t="s">
        <v>551</v>
      </c>
      <c r="B406" t="s">
        <v>36</v>
      </c>
      <c r="C406" t="s">
        <v>24</v>
      </c>
      <c r="D406" t="s">
        <v>14</v>
      </c>
      <c r="E406" s="68">
        <v>4853</v>
      </c>
      <c r="F406" s="68">
        <v>6756</v>
      </c>
      <c r="G406" s="68">
        <v>11609</v>
      </c>
      <c r="H406" t="s">
        <v>91</v>
      </c>
    </row>
    <row r="407" spans="1:8" x14ac:dyDescent="0.3">
      <c r="A407" t="s">
        <v>551</v>
      </c>
      <c r="B407" t="s">
        <v>36</v>
      </c>
      <c r="C407" t="s">
        <v>24</v>
      </c>
      <c r="D407" t="s">
        <v>15</v>
      </c>
      <c r="E407" s="68">
        <v>4443</v>
      </c>
      <c r="F407" s="68">
        <v>5386</v>
      </c>
      <c r="G407" s="68">
        <v>9829</v>
      </c>
      <c r="H407" t="s">
        <v>91</v>
      </c>
    </row>
    <row r="408" spans="1:8" x14ac:dyDescent="0.3">
      <c r="A408" t="s">
        <v>551</v>
      </c>
      <c r="B408" t="s">
        <v>36</v>
      </c>
      <c r="C408" t="s">
        <v>24</v>
      </c>
      <c r="D408" t="s">
        <v>16</v>
      </c>
      <c r="E408" s="68">
        <v>4032</v>
      </c>
      <c r="F408" s="68">
        <v>4187</v>
      </c>
      <c r="G408" s="68">
        <v>8219</v>
      </c>
      <c r="H408" t="s">
        <v>91</v>
      </c>
    </row>
    <row r="409" spans="1:8" x14ac:dyDescent="0.3">
      <c r="A409" t="s">
        <v>551</v>
      </c>
      <c r="B409" t="s">
        <v>36</v>
      </c>
      <c r="C409" t="s">
        <v>24</v>
      </c>
      <c r="D409" t="s">
        <v>17</v>
      </c>
      <c r="E409" s="68">
        <v>3335</v>
      </c>
      <c r="F409" s="68">
        <v>3357</v>
      </c>
      <c r="G409" s="68">
        <v>6692</v>
      </c>
      <c r="H409" t="s">
        <v>91</v>
      </c>
    </row>
    <row r="410" spans="1:8" x14ac:dyDescent="0.3">
      <c r="A410" t="s">
        <v>551</v>
      </c>
      <c r="B410" t="s">
        <v>36</v>
      </c>
      <c r="C410" t="s">
        <v>24</v>
      </c>
      <c r="D410" t="s">
        <v>18</v>
      </c>
      <c r="E410" s="68">
        <v>2946</v>
      </c>
      <c r="F410" s="68">
        <v>3207</v>
      </c>
      <c r="G410" s="68">
        <v>6153</v>
      </c>
      <c r="H410" t="s">
        <v>91</v>
      </c>
    </row>
    <row r="411" spans="1:8" x14ac:dyDescent="0.3">
      <c r="A411" t="s">
        <v>551</v>
      </c>
      <c r="B411" t="s">
        <v>36</v>
      </c>
      <c r="C411" t="s">
        <v>24</v>
      </c>
      <c r="D411" t="s">
        <v>19</v>
      </c>
      <c r="E411" s="68">
        <v>2259</v>
      </c>
      <c r="F411" s="68">
        <v>2629</v>
      </c>
      <c r="G411" s="68">
        <v>4888</v>
      </c>
      <c r="H411" t="s">
        <v>91</v>
      </c>
    </row>
    <row r="412" spans="1:8" x14ac:dyDescent="0.3">
      <c r="A412" t="s">
        <v>551</v>
      </c>
      <c r="B412" t="s">
        <v>36</v>
      </c>
      <c r="C412" t="s">
        <v>24</v>
      </c>
      <c r="D412" t="s">
        <v>20</v>
      </c>
      <c r="E412" s="68">
        <v>1419</v>
      </c>
      <c r="F412" s="68">
        <v>1760</v>
      </c>
      <c r="G412" s="68">
        <v>3179</v>
      </c>
      <c r="H412" t="s">
        <v>91</v>
      </c>
    </row>
    <row r="413" spans="1:8" x14ac:dyDescent="0.3">
      <c r="A413" t="s">
        <v>551</v>
      </c>
      <c r="B413" t="s">
        <v>36</v>
      </c>
      <c r="C413" t="s">
        <v>24</v>
      </c>
      <c r="D413" t="s">
        <v>21</v>
      </c>
      <c r="E413" s="68">
        <v>747</v>
      </c>
      <c r="F413" s="68">
        <v>996</v>
      </c>
      <c r="G413" s="68">
        <v>1743</v>
      </c>
      <c r="H413" t="s">
        <v>91</v>
      </c>
    </row>
    <row r="414" spans="1:8" x14ac:dyDescent="0.3">
      <c r="A414" t="s">
        <v>551</v>
      </c>
      <c r="B414" t="s">
        <v>36</v>
      </c>
      <c r="C414" t="s">
        <v>24</v>
      </c>
      <c r="D414" t="s">
        <v>22</v>
      </c>
      <c r="E414" s="68">
        <v>438</v>
      </c>
      <c r="F414" s="68">
        <v>413</v>
      </c>
      <c r="G414" s="68">
        <v>851</v>
      </c>
      <c r="H414" t="s">
        <v>91</v>
      </c>
    </row>
    <row r="415" spans="1:8" x14ac:dyDescent="0.3">
      <c r="A415" t="s">
        <v>551</v>
      </c>
      <c r="B415" t="s">
        <v>36</v>
      </c>
      <c r="C415" t="s">
        <v>24</v>
      </c>
      <c r="D415" t="s">
        <v>23</v>
      </c>
      <c r="E415" s="68">
        <v>379</v>
      </c>
      <c r="F415" s="68">
        <v>306</v>
      </c>
      <c r="G415" s="68">
        <v>685</v>
      </c>
      <c r="H415" t="s">
        <v>91</v>
      </c>
    </row>
    <row r="416" spans="1:8" x14ac:dyDescent="0.3">
      <c r="A416" t="s">
        <v>551</v>
      </c>
      <c r="B416" t="s">
        <v>538</v>
      </c>
      <c r="C416" t="s">
        <v>6</v>
      </c>
      <c r="D416" t="s">
        <v>7</v>
      </c>
      <c r="E416" s="68">
        <v>2199</v>
      </c>
      <c r="F416" s="68">
        <v>2306</v>
      </c>
      <c r="G416" s="68">
        <v>4505</v>
      </c>
      <c r="H416" t="s">
        <v>91</v>
      </c>
    </row>
    <row r="417" spans="1:8" x14ac:dyDescent="0.3">
      <c r="A417" t="s">
        <v>551</v>
      </c>
      <c r="B417" t="s">
        <v>538</v>
      </c>
      <c r="C417" t="s">
        <v>6</v>
      </c>
      <c r="D417" t="s">
        <v>8</v>
      </c>
      <c r="E417" s="68">
        <v>2577</v>
      </c>
      <c r="F417" s="68">
        <v>2676</v>
      </c>
      <c r="G417" s="68">
        <v>5253</v>
      </c>
      <c r="H417" t="s">
        <v>91</v>
      </c>
    </row>
    <row r="418" spans="1:8" x14ac:dyDescent="0.3">
      <c r="A418" t="s">
        <v>551</v>
      </c>
      <c r="B418" t="s">
        <v>538</v>
      </c>
      <c r="C418" t="s">
        <v>6</v>
      </c>
      <c r="D418" t="s">
        <v>9</v>
      </c>
      <c r="E418" s="68">
        <v>2743</v>
      </c>
      <c r="F418" s="68">
        <v>2732</v>
      </c>
      <c r="G418" s="68">
        <v>5475</v>
      </c>
      <c r="H418" t="s">
        <v>91</v>
      </c>
    </row>
    <row r="419" spans="1:8" x14ac:dyDescent="0.3">
      <c r="A419" t="s">
        <v>551</v>
      </c>
      <c r="B419" t="s">
        <v>538</v>
      </c>
      <c r="C419" t="s">
        <v>6</v>
      </c>
      <c r="D419" t="s">
        <v>10</v>
      </c>
      <c r="E419" s="68">
        <v>5608</v>
      </c>
      <c r="F419" s="68">
        <v>6302</v>
      </c>
      <c r="G419" s="68">
        <v>11910</v>
      </c>
      <c r="H419" t="s">
        <v>91</v>
      </c>
    </row>
    <row r="420" spans="1:8" x14ac:dyDescent="0.3">
      <c r="A420" t="s">
        <v>551</v>
      </c>
      <c r="B420" t="s">
        <v>538</v>
      </c>
      <c r="C420" t="s">
        <v>6</v>
      </c>
      <c r="D420" t="s">
        <v>11</v>
      </c>
      <c r="E420" s="68">
        <v>13753</v>
      </c>
      <c r="F420" s="68">
        <v>17273</v>
      </c>
      <c r="G420" s="68">
        <v>31026</v>
      </c>
      <c r="H420" t="s">
        <v>91</v>
      </c>
    </row>
    <row r="421" spans="1:8" x14ac:dyDescent="0.3">
      <c r="A421" t="s">
        <v>551</v>
      </c>
      <c r="B421" t="s">
        <v>538</v>
      </c>
      <c r="C421" t="s">
        <v>6</v>
      </c>
      <c r="D421" t="s">
        <v>12</v>
      </c>
      <c r="E421" s="68">
        <v>11601</v>
      </c>
      <c r="F421" s="68">
        <v>12559</v>
      </c>
      <c r="G421" s="68">
        <v>24160</v>
      </c>
      <c r="H421" t="s">
        <v>91</v>
      </c>
    </row>
    <row r="422" spans="1:8" x14ac:dyDescent="0.3">
      <c r="A422" t="s">
        <v>551</v>
      </c>
      <c r="B422" t="s">
        <v>538</v>
      </c>
      <c r="C422" t="s">
        <v>6</v>
      </c>
      <c r="D422" t="s">
        <v>13</v>
      </c>
      <c r="E422" s="68">
        <v>9162</v>
      </c>
      <c r="F422" s="68">
        <v>8940</v>
      </c>
      <c r="G422" s="68">
        <v>18102</v>
      </c>
      <c r="H422" t="s">
        <v>91</v>
      </c>
    </row>
    <row r="423" spans="1:8" x14ac:dyDescent="0.3">
      <c r="A423" t="s">
        <v>551</v>
      </c>
      <c r="B423" t="s">
        <v>538</v>
      </c>
      <c r="C423" t="s">
        <v>6</v>
      </c>
      <c r="D423" t="s">
        <v>14</v>
      </c>
      <c r="E423" s="68">
        <v>7201</v>
      </c>
      <c r="F423" s="68">
        <v>6469</v>
      </c>
      <c r="G423" s="68">
        <v>13670</v>
      </c>
      <c r="H423" t="s">
        <v>91</v>
      </c>
    </row>
    <row r="424" spans="1:8" x14ac:dyDescent="0.3">
      <c r="A424" t="s">
        <v>551</v>
      </c>
      <c r="B424" t="s">
        <v>538</v>
      </c>
      <c r="C424" t="s">
        <v>6</v>
      </c>
      <c r="D424" t="s">
        <v>15</v>
      </c>
      <c r="E424" s="68">
        <v>5594</v>
      </c>
      <c r="F424" s="68">
        <v>5288</v>
      </c>
      <c r="G424" s="68">
        <v>10882</v>
      </c>
      <c r="H424" t="s">
        <v>91</v>
      </c>
    </row>
    <row r="425" spans="1:8" x14ac:dyDescent="0.3">
      <c r="A425" t="s">
        <v>551</v>
      </c>
      <c r="B425" t="s">
        <v>538</v>
      </c>
      <c r="C425" t="s">
        <v>6</v>
      </c>
      <c r="D425" t="s">
        <v>16</v>
      </c>
      <c r="E425" s="68">
        <v>4440</v>
      </c>
      <c r="F425" s="68">
        <v>4386</v>
      </c>
      <c r="G425" s="68">
        <v>8826</v>
      </c>
      <c r="H425" t="s">
        <v>91</v>
      </c>
    </row>
    <row r="426" spans="1:8" x14ac:dyDescent="0.3">
      <c r="A426" t="s">
        <v>551</v>
      </c>
      <c r="B426" t="s">
        <v>538</v>
      </c>
      <c r="C426" t="s">
        <v>6</v>
      </c>
      <c r="D426" t="s">
        <v>17</v>
      </c>
      <c r="E426" s="68">
        <v>2977</v>
      </c>
      <c r="F426" s="68">
        <v>3568</v>
      </c>
      <c r="G426" s="68">
        <v>6545</v>
      </c>
      <c r="H426" t="s">
        <v>91</v>
      </c>
    </row>
    <row r="427" spans="1:8" x14ac:dyDescent="0.3">
      <c r="A427" t="s">
        <v>551</v>
      </c>
      <c r="B427" t="s">
        <v>538</v>
      </c>
      <c r="C427" t="s">
        <v>6</v>
      </c>
      <c r="D427" t="s">
        <v>18</v>
      </c>
      <c r="E427" s="68">
        <v>2588</v>
      </c>
      <c r="F427" s="68">
        <v>3239</v>
      </c>
      <c r="G427" s="68">
        <v>5827</v>
      </c>
      <c r="H427" t="s">
        <v>91</v>
      </c>
    </row>
    <row r="428" spans="1:8" x14ac:dyDescent="0.3">
      <c r="A428" t="s">
        <v>551</v>
      </c>
      <c r="B428" t="s">
        <v>538</v>
      </c>
      <c r="C428" t="s">
        <v>6</v>
      </c>
      <c r="D428" t="s">
        <v>19</v>
      </c>
      <c r="E428" s="68">
        <v>2247</v>
      </c>
      <c r="F428" s="68">
        <v>2965</v>
      </c>
      <c r="G428" s="68">
        <v>5212</v>
      </c>
      <c r="H428" t="s">
        <v>91</v>
      </c>
    </row>
    <row r="429" spans="1:8" x14ac:dyDescent="0.3">
      <c r="A429" t="s">
        <v>551</v>
      </c>
      <c r="B429" t="s">
        <v>538</v>
      </c>
      <c r="C429" t="s">
        <v>6</v>
      </c>
      <c r="D429" t="s">
        <v>20</v>
      </c>
      <c r="E429" s="68">
        <v>1497</v>
      </c>
      <c r="F429" s="68">
        <v>2348</v>
      </c>
      <c r="G429" s="68">
        <v>3845</v>
      </c>
      <c r="H429" t="s">
        <v>91</v>
      </c>
    </row>
    <row r="430" spans="1:8" x14ac:dyDescent="0.3">
      <c r="A430" t="s">
        <v>551</v>
      </c>
      <c r="B430" t="s">
        <v>538</v>
      </c>
      <c r="C430" t="s">
        <v>6</v>
      </c>
      <c r="D430" t="s">
        <v>21</v>
      </c>
      <c r="E430" s="68">
        <v>772</v>
      </c>
      <c r="F430" s="68">
        <v>1136</v>
      </c>
      <c r="G430" s="68">
        <v>1908</v>
      </c>
      <c r="H430" t="s">
        <v>91</v>
      </c>
    </row>
    <row r="431" spans="1:8" x14ac:dyDescent="0.3">
      <c r="A431" t="s">
        <v>551</v>
      </c>
      <c r="B431" t="s">
        <v>538</v>
      </c>
      <c r="C431" t="s">
        <v>6</v>
      </c>
      <c r="D431" t="s">
        <v>22</v>
      </c>
      <c r="E431" s="68">
        <v>408</v>
      </c>
      <c r="F431" s="68">
        <v>374</v>
      </c>
      <c r="G431" s="68">
        <v>782</v>
      </c>
      <c r="H431" t="s">
        <v>91</v>
      </c>
    </row>
    <row r="432" spans="1:8" x14ac:dyDescent="0.3">
      <c r="A432" t="s">
        <v>551</v>
      </c>
      <c r="B432" t="s">
        <v>538</v>
      </c>
      <c r="C432" t="s">
        <v>6</v>
      </c>
      <c r="D432" t="s">
        <v>23</v>
      </c>
      <c r="E432" s="68">
        <v>514</v>
      </c>
      <c r="F432" s="68">
        <v>250</v>
      </c>
      <c r="G432" s="68">
        <v>764</v>
      </c>
      <c r="H432" t="s">
        <v>91</v>
      </c>
    </row>
    <row r="433" spans="1:8" x14ac:dyDescent="0.3">
      <c r="A433" t="s">
        <v>551</v>
      </c>
      <c r="B433" t="s">
        <v>538</v>
      </c>
      <c r="C433" t="s">
        <v>24</v>
      </c>
      <c r="D433" t="s">
        <v>7</v>
      </c>
      <c r="E433" s="68">
        <v>38390</v>
      </c>
      <c r="F433" s="68">
        <v>40291</v>
      </c>
      <c r="G433" s="68">
        <v>78681</v>
      </c>
      <c r="H433" t="s">
        <v>91</v>
      </c>
    </row>
    <row r="434" spans="1:8" x14ac:dyDescent="0.3">
      <c r="A434" t="s">
        <v>551</v>
      </c>
      <c r="B434" t="s">
        <v>538</v>
      </c>
      <c r="C434" t="s">
        <v>24</v>
      </c>
      <c r="D434" t="s">
        <v>8</v>
      </c>
      <c r="E434" s="68">
        <v>53335</v>
      </c>
      <c r="F434" s="68">
        <v>56172</v>
      </c>
      <c r="G434" s="68">
        <v>109507</v>
      </c>
      <c r="H434" t="s">
        <v>91</v>
      </c>
    </row>
    <row r="435" spans="1:8" x14ac:dyDescent="0.3">
      <c r="A435" t="s">
        <v>551</v>
      </c>
      <c r="B435" t="s">
        <v>538</v>
      </c>
      <c r="C435" t="s">
        <v>24</v>
      </c>
      <c r="D435" t="s">
        <v>9</v>
      </c>
      <c r="E435" s="68">
        <v>56323</v>
      </c>
      <c r="F435" s="68">
        <v>59208</v>
      </c>
      <c r="G435" s="68">
        <v>115531</v>
      </c>
      <c r="H435" t="s">
        <v>91</v>
      </c>
    </row>
    <row r="436" spans="1:8" x14ac:dyDescent="0.3">
      <c r="A436" t="s">
        <v>551</v>
      </c>
      <c r="B436" t="s">
        <v>538</v>
      </c>
      <c r="C436" t="s">
        <v>24</v>
      </c>
      <c r="D436" t="s">
        <v>10</v>
      </c>
      <c r="E436" s="68">
        <v>63924</v>
      </c>
      <c r="F436" s="68">
        <v>65469</v>
      </c>
      <c r="G436" s="68">
        <v>129393</v>
      </c>
      <c r="H436" t="s">
        <v>91</v>
      </c>
    </row>
    <row r="437" spans="1:8" x14ac:dyDescent="0.3">
      <c r="A437" t="s">
        <v>551</v>
      </c>
      <c r="B437" t="s">
        <v>538</v>
      </c>
      <c r="C437" t="s">
        <v>24</v>
      </c>
      <c r="D437" t="s">
        <v>11</v>
      </c>
      <c r="E437" s="68">
        <v>56083</v>
      </c>
      <c r="F437" s="68">
        <v>51514</v>
      </c>
      <c r="G437" s="68">
        <v>107597</v>
      </c>
      <c r="H437" t="s">
        <v>91</v>
      </c>
    </row>
    <row r="438" spans="1:8" x14ac:dyDescent="0.3">
      <c r="A438" t="s">
        <v>551</v>
      </c>
      <c r="B438" t="s">
        <v>538</v>
      </c>
      <c r="C438" t="s">
        <v>24</v>
      </c>
      <c r="D438" t="s">
        <v>12</v>
      </c>
      <c r="E438" s="68">
        <v>54647</v>
      </c>
      <c r="F438" s="68">
        <v>49857</v>
      </c>
      <c r="G438" s="68">
        <v>104504</v>
      </c>
      <c r="H438" t="s">
        <v>91</v>
      </c>
    </row>
    <row r="439" spans="1:8" x14ac:dyDescent="0.3">
      <c r="A439" t="s">
        <v>551</v>
      </c>
      <c r="B439" t="s">
        <v>538</v>
      </c>
      <c r="C439" t="s">
        <v>24</v>
      </c>
      <c r="D439" t="s">
        <v>13</v>
      </c>
      <c r="E439" s="68">
        <v>53226</v>
      </c>
      <c r="F439" s="68">
        <v>49666</v>
      </c>
      <c r="G439" s="68">
        <v>102892</v>
      </c>
      <c r="H439" t="s">
        <v>91</v>
      </c>
    </row>
    <row r="440" spans="1:8" x14ac:dyDescent="0.3">
      <c r="A440" t="s">
        <v>551</v>
      </c>
      <c r="B440" t="s">
        <v>538</v>
      </c>
      <c r="C440" t="s">
        <v>24</v>
      </c>
      <c r="D440" t="s">
        <v>14</v>
      </c>
      <c r="E440" s="68">
        <v>48844</v>
      </c>
      <c r="F440" s="68">
        <v>45927</v>
      </c>
      <c r="G440" s="68">
        <v>94771</v>
      </c>
      <c r="H440" t="s">
        <v>91</v>
      </c>
    </row>
    <row r="441" spans="1:8" x14ac:dyDescent="0.3">
      <c r="A441" t="s">
        <v>551</v>
      </c>
      <c r="B441" t="s">
        <v>538</v>
      </c>
      <c r="C441" t="s">
        <v>24</v>
      </c>
      <c r="D441" t="s">
        <v>15</v>
      </c>
      <c r="E441" s="68">
        <v>46904</v>
      </c>
      <c r="F441" s="68">
        <v>42995</v>
      </c>
      <c r="G441" s="68">
        <v>89899</v>
      </c>
      <c r="H441" t="s">
        <v>91</v>
      </c>
    </row>
    <row r="442" spans="1:8" x14ac:dyDescent="0.3">
      <c r="A442" t="s">
        <v>551</v>
      </c>
      <c r="B442" t="s">
        <v>538</v>
      </c>
      <c r="C442" t="s">
        <v>24</v>
      </c>
      <c r="D442" t="s">
        <v>16</v>
      </c>
      <c r="E442" s="68">
        <v>46276</v>
      </c>
      <c r="F442" s="68">
        <v>40475</v>
      </c>
      <c r="G442" s="68">
        <v>86751</v>
      </c>
      <c r="H442" t="s">
        <v>91</v>
      </c>
    </row>
    <row r="443" spans="1:8" x14ac:dyDescent="0.3">
      <c r="A443" t="s">
        <v>551</v>
      </c>
      <c r="B443" t="s">
        <v>538</v>
      </c>
      <c r="C443" t="s">
        <v>24</v>
      </c>
      <c r="D443" t="s">
        <v>17</v>
      </c>
      <c r="E443" s="68">
        <v>44518</v>
      </c>
      <c r="F443" s="68">
        <v>37519</v>
      </c>
      <c r="G443" s="68">
        <v>82037</v>
      </c>
      <c r="H443" t="s">
        <v>91</v>
      </c>
    </row>
    <row r="444" spans="1:8" x14ac:dyDescent="0.3">
      <c r="A444" t="s">
        <v>551</v>
      </c>
      <c r="B444" t="s">
        <v>538</v>
      </c>
      <c r="C444" t="s">
        <v>24</v>
      </c>
      <c r="D444" t="s">
        <v>18</v>
      </c>
      <c r="E444" s="68">
        <v>48186</v>
      </c>
      <c r="F444" s="68">
        <v>41144</v>
      </c>
      <c r="G444" s="68">
        <v>89330</v>
      </c>
      <c r="H444" t="s">
        <v>91</v>
      </c>
    </row>
    <row r="445" spans="1:8" x14ac:dyDescent="0.3">
      <c r="A445" t="s">
        <v>551</v>
      </c>
      <c r="B445" t="s">
        <v>538</v>
      </c>
      <c r="C445" t="s">
        <v>24</v>
      </c>
      <c r="D445" t="s">
        <v>19</v>
      </c>
      <c r="E445" s="68">
        <v>49016</v>
      </c>
      <c r="F445" s="68">
        <v>43050</v>
      </c>
      <c r="G445" s="68">
        <v>92066</v>
      </c>
      <c r="H445" t="s">
        <v>91</v>
      </c>
    </row>
    <row r="446" spans="1:8" x14ac:dyDescent="0.3">
      <c r="A446" t="s">
        <v>551</v>
      </c>
      <c r="B446" t="s">
        <v>538</v>
      </c>
      <c r="C446" t="s">
        <v>24</v>
      </c>
      <c r="D446" t="s">
        <v>20</v>
      </c>
      <c r="E446" s="68">
        <v>42496</v>
      </c>
      <c r="F446" s="68">
        <v>37099</v>
      </c>
      <c r="G446" s="68">
        <v>79595</v>
      </c>
      <c r="H446" t="s">
        <v>91</v>
      </c>
    </row>
    <row r="447" spans="1:8" x14ac:dyDescent="0.3">
      <c r="A447" t="s">
        <v>551</v>
      </c>
      <c r="B447" t="s">
        <v>538</v>
      </c>
      <c r="C447" t="s">
        <v>24</v>
      </c>
      <c r="D447" t="s">
        <v>21</v>
      </c>
      <c r="E447" s="68">
        <v>32682</v>
      </c>
      <c r="F447" s="68">
        <v>28663</v>
      </c>
      <c r="G447" s="68">
        <v>61345</v>
      </c>
      <c r="H447" t="s">
        <v>91</v>
      </c>
    </row>
    <row r="448" spans="1:8" x14ac:dyDescent="0.3">
      <c r="A448" t="s">
        <v>551</v>
      </c>
      <c r="B448" t="s">
        <v>538</v>
      </c>
      <c r="C448" t="s">
        <v>24</v>
      </c>
      <c r="D448" t="s">
        <v>22</v>
      </c>
      <c r="E448" s="68">
        <v>24027</v>
      </c>
      <c r="F448" s="68">
        <v>19313</v>
      </c>
      <c r="G448" s="68">
        <v>43340</v>
      </c>
      <c r="H448" t="s">
        <v>91</v>
      </c>
    </row>
    <row r="449" spans="1:8" x14ac:dyDescent="0.3">
      <c r="A449" t="s">
        <v>551</v>
      </c>
      <c r="B449" t="s">
        <v>538</v>
      </c>
      <c r="C449" t="s">
        <v>24</v>
      </c>
      <c r="D449" t="s">
        <v>23</v>
      </c>
      <c r="E449" s="68">
        <v>32956</v>
      </c>
      <c r="F449" s="68">
        <v>23520</v>
      </c>
      <c r="G449" s="68">
        <v>56476</v>
      </c>
      <c r="H449" t="s">
        <v>91</v>
      </c>
    </row>
    <row r="450" spans="1:8" x14ac:dyDescent="0.3">
      <c r="A450" t="s">
        <v>678</v>
      </c>
      <c r="B450" t="s">
        <v>30</v>
      </c>
      <c r="C450" t="s">
        <v>24</v>
      </c>
      <c r="D450" t="s">
        <v>10</v>
      </c>
      <c r="E450" s="68"/>
      <c r="F450" s="68">
        <v>1</v>
      </c>
      <c r="G450" s="68">
        <v>1</v>
      </c>
      <c r="H450" t="s">
        <v>91</v>
      </c>
    </row>
    <row r="451" spans="1:8" x14ac:dyDescent="0.3">
      <c r="A451" t="s">
        <v>678</v>
      </c>
      <c r="B451" t="s">
        <v>30</v>
      </c>
      <c r="C451" t="s">
        <v>24</v>
      </c>
      <c r="D451" t="s">
        <v>13</v>
      </c>
      <c r="E451" s="68"/>
      <c r="F451" s="68">
        <v>1</v>
      </c>
      <c r="G451" s="68">
        <v>1</v>
      </c>
      <c r="H451" t="s">
        <v>91</v>
      </c>
    </row>
    <row r="452" spans="1:8" x14ac:dyDescent="0.3">
      <c r="A452" t="s">
        <v>678</v>
      </c>
      <c r="B452" t="s">
        <v>536</v>
      </c>
      <c r="C452" t="s">
        <v>24</v>
      </c>
      <c r="D452" t="s">
        <v>8</v>
      </c>
      <c r="E452" s="68">
        <v>1</v>
      </c>
      <c r="F452" s="68"/>
      <c r="G452" s="68">
        <v>1</v>
      </c>
      <c r="H452" t="s">
        <v>91</v>
      </c>
    </row>
    <row r="453" spans="1:8" x14ac:dyDescent="0.3">
      <c r="A453" t="s">
        <v>678</v>
      </c>
      <c r="B453" t="s">
        <v>536</v>
      </c>
      <c r="C453" t="s">
        <v>24</v>
      </c>
      <c r="D453" t="s">
        <v>11</v>
      </c>
      <c r="E453" s="68"/>
      <c r="F453" s="68">
        <v>1</v>
      </c>
      <c r="G453" s="68">
        <v>1</v>
      </c>
      <c r="H453" t="s">
        <v>91</v>
      </c>
    </row>
    <row r="454" spans="1:8" x14ac:dyDescent="0.3">
      <c r="A454" t="s">
        <v>678</v>
      </c>
      <c r="B454" t="s">
        <v>536</v>
      </c>
      <c r="C454" t="s">
        <v>24</v>
      </c>
      <c r="D454" t="s">
        <v>14</v>
      </c>
      <c r="E454" s="68"/>
      <c r="F454" s="68">
        <v>1</v>
      </c>
      <c r="G454" s="68">
        <v>1</v>
      </c>
      <c r="H454" t="s">
        <v>91</v>
      </c>
    </row>
    <row r="455" spans="1:8" x14ac:dyDescent="0.3">
      <c r="A455" t="s">
        <v>678</v>
      </c>
      <c r="B455" t="s">
        <v>536</v>
      </c>
      <c r="C455" t="s">
        <v>24</v>
      </c>
      <c r="D455" t="s">
        <v>15</v>
      </c>
      <c r="E455" s="68">
        <v>1</v>
      </c>
      <c r="F455" s="68"/>
      <c r="G455" s="68">
        <v>1</v>
      </c>
      <c r="H455" t="s">
        <v>91</v>
      </c>
    </row>
    <row r="456" spans="1:8" x14ac:dyDescent="0.3">
      <c r="A456" t="s">
        <v>678</v>
      </c>
      <c r="B456" t="s">
        <v>31</v>
      </c>
      <c r="C456" t="s">
        <v>6</v>
      </c>
      <c r="D456" t="s">
        <v>7</v>
      </c>
      <c r="E456" s="68">
        <v>60</v>
      </c>
      <c r="F456" s="68">
        <v>61</v>
      </c>
      <c r="G456" s="68">
        <v>121</v>
      </c>
      <c r="H456" t="s">
        <v>91</v>
      </c>
    </row>
    <row r="457" spans="1:8" x14ac:dyDescent="0.3">
      <c r="A457" t="s">
        <v>678</v>
      </c>
      <c r="B457" t="s">
        <v>31</v>
      </c>
      <c r="C457" t="s">
        <v>6</v>
      </c>
      <c r="D457" t="s">
        <v>8</v>
      </c>
      <c r="E457" s="68">
        <v>90</v>
      </c>
      <c r="F457" s="68">
        <v>81</v>
      </c>
      <c r="G457" s="68">
        <v>171</v>
      </c>
      <c r="H457" t="s">
        <v>91</v>
      </c>
    </row>
    <row r="458" spans="1:8" x14ac:dyDescent="0.3">
      <c r="A458" t="s">
        <v>678</v>
      </c>
      <c r="B458" t="s">
        <v>31</v>
      </c>
      <c r="C458" t="s">
        <v>6</v>
      </c>
      <c r="D458" t="s">
        <v>9</v>
      </c>
      <c r="E458" s="68">
        <v>75</v>
      </c>
      <c r="F458" s="68">
        <v>76</v>
      </c>
      <c r="G458" s="68">
        <v>151</v>
      </c>
      <c r="H458" t="s">
        <v>91</v>
      </c>
    </row>
    <row r="459" spans="1:8" x14ac:dyDescent="0.3">
      <c r="A459" t="s">
        <v>678</v>
      </c>
      <c r="B459" t="s">
        <v>31</v>
      </c>
      <c r="C459" t="s">
        <v>6</v>
      </c>
      <c r="D459" t="s">
        <v>10</v>
      </c>
      <c r="E459" s="68">
        <v>77</v>
      </c>
      <c r="F459" s="68">
        <v>102</v>
      </c>
      <c r="G459" s="68">
        <v>179</v>
      </c>
      <c r="H459" t="s">
        <v>91</v>
      </c>
    </row>
    <row r="460" spans="1:8" x14ac:dyDescent="0.3">
      <c r="A460" t="s">
        <v>678</v>
      </c>
      <c r="B460" t="s">
        <v>31</v>
      </c>
      <c r="C460" t="s">
        <v>6</v>
      </c>
      <c r="D460" t="s">
        <v>11</v>
      </c>
      <c r="E460" s="68">
        <v>166</v>
      </c>
      <c r="F460" s="68">
        <v>266</v>
      </c>
      <c r="G460" s="68">
        <v>432</v>
      </c>
      <c r="H460" t="s">
        <v>91</v>
      </c>
    </row>
    <row r="461" spans="1:8" x14ac:dyDescent="0.3">
      <c r="A461" t="s">
        <v>678</v>
      </c>
      <c r="B461" t="s">
        <v>31</v>
      </c>
      <c r="C461" t="s">
        <v>6</v>
      </c>
      <c r="D461" t="s">
        <v>12</v>
      </c>
      <c r="E461" s="68">
        <v>193</v>
      </c>
      <c r="F461" s="68">
        <v>199</v>
      </c>
      <c r="G461" s="68">
        <v>392</v>
      </c>
      <c r="H461" t="s">
        <v>91</v>
      </c>
    </row>
    <row r="462" spans="1:8" x14ac:dyDescent="0.3">
      <c r="A462" t="s">
        <v>678</v>
      </c>
      <c r="B462" t="s">
        <v>31</v>
      </c>
      <c r="C462" t="s">
        <v>6</v>
      </c>
      <c r="D462" t="s">
        <v>13</v>
      </c>
      <c r="E462" s="68">
        <v>205</v>
      </c>
      <c r="F462" s="68">
        <v>210</v>
      </c>
      <c r="G462" s="68">
        <v>415</v>
      </c>
      <c r="H462" t="s">
        <v>91</v>
      </c>
    </row>
    <row r="463" spans="1:8" x14ac:dyDescent="0.3">
      <c r="A463" t="s">
        <v>678</v>
      </c>
      <c r="B463" t="s">
        <v>31</v>
      </c>
      <c r="C463" t="s">
        <v>6</v>
      </c>
      <c r="D463" t="s">
        <v>14</v>
      </c>
      <c r="E463" s="68">
        <v>165</v>
      </c>
      <c r="F463" s="68">
        <v>138</v>
      </c>
      <c r="G463" s="68">
        <v>303</v>
      </c>
      <c r="H463" t="s">
        <v>91</v>
      </c>
    </row>
    <row r="464" spans="1:8" x14ac:dyDescent="0.3">
      <c r="A464" t="s">
        <v>678</v>
      </c>
      <c r="B464" t="s">
        <v>31</v>
      </c>
      <c r="C464" t="s">
        <v>6</v>
      </c>
      <c r="D464" t="s">
        <v>15</v>
      </c>
      <c r="E464" s="68">
        <v>132</v>
      </c>
      <c r="F464" s="68">
        <v>136</v>
      </c>
      <c r="G464" s="68">
        <v>268</v>
      </c>
      <c r="H464" t="s">
        <v>91</v>
      </c>
    </row>
    <row r="465" spans="1:8" x14ac:dyDescent="0.3">
      <c r="A465" t="s">
        <v>678</v>
      </c>
      <c r="B465" t="s">
        <v>31</v>
      </c>
      <c r="C465" t="s">
        <v>6</v>
      </c>
      <c r="D465" t="s">
        <v>16</v>
      </c>
      <c r="E465" s="68">
        <v>94</v>
      </c>
      <c r="F465" s="68">
        <v>101</v>
      </c>
      <c r="G465" s="68">
        <v>195</v>
      </c>
      <c r="H465" t="s">
        <v>91</v>
      </c>
    </row>
    <row r="466" spans="1:8" x14ac:dyDescent="0.3">
      <c r="A466" t="s">
        <v>678</v>
      </c>
      <c r="B466" t="s">
        <v>31</v>
      </c>
      <c r="C466" t="s">
        <v>6</v>
      </c>
      <c r="D466" t="s">
        <v>17</v>
      </c>
      <c r="E466" s="68">
        <v>34</v>
      </c>
      <c r="F466" s="68">
        <v>74</v>
      </c>
      <c r="G466" s="68">
        <v>108</v>
      </c>
      <c r="H466" t="s">
        <v>91</v>
      </c>
    </row>
    <row r="467" spans="1:8" x14ac:dyDescent="0.3">
      <c r="A467" t="s">
        <v>678</v>
      </c>
      <c r="B467" t="s">
        <v>31</v>
      </c>
      <c r="C467" t="s">
        <v>6</v>
      </c>
      <c r="D467" t="s">
        <v>18</v>
      </c>
      <c r="E467" s="68">
        <v>27</v>
      </c>
      <c r="F467" s="68">
        <v>43</v>
      </c>
      <c r="G467" s="68">
        <v>70</v>
      </c>
      <c r="H467" t="s">
        <v>91</v>
      </c>
    </row>
    <row r="468" spans="1:8" x14ac:dyDescent="0.3">
      <c r="A468" t="s">
        <v>678</v>
      </c>
      <c r="B468" t="s">
        <v>31</v>
      </c>
      <c r="C468" t="s">
        <v>6</v>
      </c>
      <c r="D468" t="s">
        <v>19</v>
      </c>
      <c r="E468" s="68">
        <v>16</v>
      </c>
      <c r="F468" s="68">
        <v>43</v>
      </c>
      <c r="G468" s="68">
        <v>59</v>
      </c>
      <c r="H468" t="s">
        <v>91</v>
      </c>
    </row>
    <row r="469" spans="1:8" x14ac:dyDescent="0.3">
      <c r="A469" t="s">
        <v>678</v>
      </c>
      <c r="B469" t="s">
        <v>31</v>
      </c>
      <c r="C469" t="s">
        <v>6</v>
      </c>
      <c r="D469" t="s">
        <v>20</v>
      </c>
      <c r="E469" s="68">
        <v>16</v>
      </c>
      <c r="F469" s="68">
        <v>22</v>
      </c>
      <c r="G469" s="68">
        <v>38</v>
      </c>
      <c r="H469" t="s">
        <v>91</v>
      </c>
    </row>
    <row r="470" spans="1:8" x14ac:dyDescent="0.3">
      <c r="A470" t="s">
        <v>678</v>
      </c>
      <c r="B470" t="s">
        <v>31</v>
      </c>
      <c r="C470" t="s">
        <v>6</v>
      </c>
      <c r="D470" t="s">
        <v>21</v>
      </c>
      <c r="E470" s="68">
        <v>8</v>
      </c>
      <c r="F470" s="68">
        <v>11</v>
      </c>
      <c r="G470" s="68">
        <v>19</v>
      </c>
      <c r="H470" t="s">
        <v>91</v>
      </c>
    </row>
    <row r="471" spans="1:8" x14ac:dyDescent="0.3">
      <c r="A471" t="s">
        <v>678</v>
      </c>
      <c r="B471" t="s">
        <v>31</v>
      </c>
      <c r="C471" t="s">
        <v>6</v>
      </c>
      <c r="D471" t="s">
        <v>22</v>
      </c>
      <c r="E471" s="68">
        <v>6</v>
      </c>
      <c r="F471" s="68">
        <v>3</v>
      </c>
      <c r="G471" s="68">
        <v>9</v>
      </c>
      <c r="H471" t="s">
        <v>91</v>
      </c>
    </row>
    <row r="472" spans="1:8" x14ac:dyDescent="0.3">
      <c r="A472" t="s">
        <v>678</v>
      </c>
      <c r="B472" t="s">
        <v>31</v>
      </c>
      <c r="C472" t="s">
        <v>6</v>
      </c>
      <c r="D472" t="s">
        <v>23</v>
      </c>
      <c r="E472" s="68">
        <v>5</v>
      </c>
      <c r="F472" s="68">
        <v>7</v>
      </c>
      <c r="G472" s="68">
        <v>12</v>
      </c>
      <c r="H472" t="s">
        <v>91</v>
      </c>
    </row>
    <row r="473" spans="1:8" x14ac:dyDescent="0.3">
      <c r="A473" t="s">
        <v>678</v>
      </c>
      <c r="B473" t="s">
        <v>31</v>
      </c>
      <c r="C473" t="s">
        <v>24</v>
      </c>
      <c r="D473" t="s">
        <v>7</v>
      </c>
      <c r="E473" s="68">
        <v>1032</v>
      </c>
      <c r="F473" s="68">
        <v>1068</v>
      </c>
      <c r="G473" s="68">
        <v>2100</v>
      </c>
      <c r="H473" t="s">
        <v>91</v>
      </c>
    </row>
    <row r="474" spans="1:8" x14ac:dyDescent="0.3">
      <c r="A474" t="s">
        <v>678</v>
      </c>
      <c r="B474" t="s">
        <v>31</v>
      </c>
      <c r="C474" t="s">
        <v>24</v>
      </c>
      <c r="D474" t="s">
        <v>8</v>
      </c>
      <c r="E474" s="68">
        <v>1862</v>
      </c>
      <c r="F474" s="68">
        <v>1971</v>
      </c>
      <c r="G474" s="68">
        <v>3833</v>
      </c>
      <c r="H474" t="s">
        <v>91</v>
      </c>
    </row>
    <row r="475" spans="1:8" x14ac:dyDescent="0.3">
      <c r="A475" t="s">
        <v>678</v>
      </c>
      <c r="B475" t="s">
        <v>31</v>
      </c>
      <c r="C475" t="s">
        <v>24</v>
      </c>
      <c r="D475" t="s">
        <v>9</v>
      </c>
      <c r="E475" s="68">
        <v>2017</v>
      </c>
      <c r="F475" s="68">
        <v>2080</v>
      </c>
      <c r="G475" s="68">
        <v>4097</v>
      </c>
      <c r="H475" t="s">
        <v>91</v>
      </c>
    </row>
    <row r="476" spans="1:8" x14ac:dyDescent="0.3">
      <c r="A476" t="s">
        <v>678</v>
      </c>
      <c r="B476" t="s">
        <v>31</v>
      </c>
      <c r="C476" t="s">
        <v>24</v>
      </c>
      <c r="D476" t="s">
        <v>10</v>
      </c>
      <c r="E476" s="68">
        <v>2095</v>
      </c>
      <c r="F476" s="68">
        <v>2070</v>
      </c>
      <c r="G476" s="68">
        <v>4165</v>
      </c>
      <c r="H476" t="s">
        <v>91</v>
      </c>
    </row>
    <row r="477" spans="1:8" x14ac:dyDescent="0.3">
      <c r="A477" t="s">
        <v>678</v>
      </c>
      <c r="B477" t="s">
        <v>31</v>
      </c>
      <c r="C477" t="s">
        <v>24</v>
      </c>
      <c r="D477" t="s">
        <v>11</v>
      </c>
      <c r="E477" s="68">
        <v>1573</v>
      </c>
      <c r="F477" s="68">
        <v>1462</v>
      </c>
      <c r="G477" s="68">
        <v>3035</v>
      </c>
      <c r="H477" t="s">
        <v>91</v>
      </c>
    </row>
    <row r="478" spans="1:8" x14ac:dyDescent="0.3">
      <c r="A478" t="s">
        <v>678</v>
      </c>
      <c r="B478" t="s">
        <v>31</v>
      </c>
      <c r="C478" t="s">
        <v>24</v>
      </c>
      <c r="D478" t="s">
        <v>12</v>
      </c>
      <c r="E478" s="68">
        <v>1619</v>
      </c>
      <c r="F478" s="68">
        <v>1165</v>
      </c>
      <c r="G478" s="68">
        <v>2784</v>
      </c>
      <c r="H478" t="s">
        <v>91</v>
      </c>
    </row>
    <row r="479" spans="1:8" x14ac:dyDescent="0.3">
      <c r="A479" t="s">
        <v>678</v>
      </c>
      <c r="B479" t="s">
        <v>31</v>
      </c>
      <c r="C479" t="s">
        <v>24</v>
      </c>
      <c r="D479" t="s">
        <v>13</v>
      </c>
      <c r="E479" s="68">
        <v>1769</v>
      </c>
      <c r="F479" s="68">
        <v>1256</v>
      </c>
      <c r="G479" s="68">
        <v>3025</v>
      </c>
      <c r="H479" t="s">
        <v>91</v>
      </c>
    </row>
    <row r="480" spans="1:8" x14ac:dyDescent="0.3">
      <c r="A480" t="s">
        <v>678</v>
      </c>
      <c r="B480" t="s">
        <v>31</v>
      </c>
      <c r="C480" t="s">
        <v>24</v>
      </c>
      <c r="D480" t="s">
        <v>14</v>
      </c>
      <c r="E480" s="68">
        <v>1505</v>
      </c>
      <c r="F480" s="68">
        <v>1071</v>
      </c>
      <c r="G480" s="68">
        <v>2576</v>
      </c>
      <c r="H480" t="s">
        <v>91</v>
      </c>
    </row>
    <row r="481" spans="1:8" x14ac:dyDescent="0.3">
      <c r="A481" t="s">
        <v>678</v>
      </c>
      <c r="B481" t="s">
        <v>31</v>
      </c>
      <c r="C481" t="s">
        <v>24</v>
      </c>
      <c r="D481" t="s">
        <v>15</v>
      </c>
      <c r="E481" s="68">
        <v>1593</v>
      </c>
      <c r="F481" s="68">
        <v>1115</v>
      </c>
      <c r="G481" s="68">
        <v>2708</v>
      </c>
      <c r="H481" t="s">
        <v>91</v>
      </c>
    </row>
    <row r="482" spans="1:8" x14ac:dyDescent="0.3">
      <c r="A482" t="s">
        <v>678</v>
      </c>
      <c r="B482" t="s">
        <v>31</v>
      </c>
      <c r="C482" t="s">
        <v>24</v>
      </c>
      <c r="D482" t="s">
        <v>16</v>
      </c>
      <c r="E482" s="68">
        <v>1359</v>
      </c>
      <c r="F482" s="68">
        <v>968</v>
      </c>
      <c r="G482" s="68">
        <v>2327</v>
      </c>
      <c r="H482" t="s">
        <v>91</v>
      </c>
    </row>
    <row r="483" spans="1:8" x14ac:dyDescent="0.3">
      <c r="A483" t="s">
        <v>678</v>
      </c>
      <c r="B483" t="s">
        <v>31</v>
      </c>
      <c r="C483" t="s">
        <v>24</v>
      </c>
      <c r="D483" t="s">
        <v>17</v>
      </c>
      <c r="E483" s="68">
        <v>1097</v>
      </c>
      <c r="F483" s="68">
        <v>827</v>
      </c>
      <c r="G483" s="68">
        <v>1924</v>
      </c>
      <c r="H483" t="s">
        <v>91</v>
      </c>
    </row>
    <row r="484" spans="1:8" x14ac:dyDescent="0.3">
      <c r="A484" t="s">
        <v>678</v>
      </c>
      <c r="B484" t="s">
        <v>31</v>
      </c>
      <c r="C484" t="s">
        <v>24</v>
      </c>
      <c r="D484" t="s">
        <v>18</v>
      </c>
      <c r="E484" s="68">
        <v>962</v>
      </c>
      <c r="F484" s="68">
        <v>811</v>
      </c>
      <c r="G484" s="68">
        <v>1773</v>
      </c>
      <c r="H484" t="s">
        <v>91</v>
      </c>
    </row>
    <row r="485" spans="1:8" x14ac:dyDescent="0.3">
      <c r="A485" t="s">
        <v>678</v>
      </c>
      <c r="B485" t="s">
        <v>31</v>
      </c>
      <c r="C485" t="s">
        <v>24</v>
      </c>
      <c r="D485" t="s">
        <v>19</v>
      </c>
      <c r="E485" s="68">
        <v>849</v>
      </c>
      <c r="F485" s="68">
        <v>715</v>
      </c>
      <c r="G485" s="68">
        <v>1564</v>
      </c>
      <c r="H485" t="s">
        <v>91</v>
      </c>
    </row>
    <row r="486" spans="1:8" x14ac:dyDescent="0.3">
      <c r="A486" t="s">
        <v>678</v>
      </c>
      <c r="B486" t="s">
        <v>31</v>
      </c>
      <c r="C486" t="s">
        <v>24</v>
      </c>
      <c r="D486" t="s">
        <v>20</v>
      </c>
      <c r="E486" s="68">
        <v>564</v>
      </c>
      <c r="F486" s="68">
        <v>608</v>
      </c>
      <c r="G486" s="68">
        <v>1172</v>
      </c>
      <c r="H486" t="s">
        <v>91</v>
      </c>
    </row>
    <row r="487" spans="1:8" x14ac:dyDescent="0.3">
      <c r="A487" t="s">
        <v>678</v>
      </c>
      <c r="B487" t="s">
        <v>31</v>
      </c>
      <c r="C487" t="s">
        <v>24</v>
      </c>
      <c r="D487" t="s">
        <v>21</v>
      </c>
      <c r="E487" s="68">
        <v>377</v>
      </c>
      <c r="F487" s="68">
        <v>414</v>
      </c>
      <c r="G487" s="68">
        <v>791</v>
      </c>
      <c r="H487" t="s">
        <v>91</v>
      </c>
    </row>
    <row r="488" spans="1:8" x14ac:dyDescent="0.3">
      <c r="A488" t="s">
        <v>678</v>
      </c>
      <c r="B488" t="s">
        <v>31</v>
      </c>
      <c r="C488" t="s">
        <v>24</v>
      </c>
      <c r="D488" t="s">
        <v>22</v>
      </c>
      <c r="E488" s="68">
        <v>217</v>
      </c>
      <c r="F488" s="68">
        <v>250</v>
      </c>
      <c r="G488" s="68">
        <v>467</v>
      </c>
      <c r="H488" t="s">
        <v>91</v>
      </c>
    </row>
    <row r="489" spans="1:8" x14ac:dyDescent="0.3">
      <c r="A489" t="s">
        <v>678</v>
      </c>
      <c r="B489" t="s">
        <v>31</v>
      </c>
      <c r="C489" t="s">
        <v>24</v>
      </c>
      <c r="D489" t="s">
        <v>23</v>
      </c>
      <c r="E489" s="68">
        <v>236</v>
      </c>
      <c r="F489" s="68">
        <v>238</v>
      </c>
      <c r="G489" s="68">
        <v>474</v>
      </c>
      <c r="H489" t="s">
        <v>91</v>
      </c>
    </row>
    <row r="490" spans="1:8" x14ac:dyDescent="0.3">
      <c r="A490" t="s">
        <v>678</v>
      </c>
      <c r="B490" t="s">
        <v>5</v>
      </c>
      <c r="C490" t="s">
        <v>6</v>
      </c>
      <c r="D490" t="s">
        <v>7</v>
      </c>
      <c r="E490" s="68">
        <v>328</v>
      </c>
      <c r="F490" s="68">
        <v>344</v>
      </c>
      <c r="G490" s="68">
        <v>672</v>
      </c>
      <c r="H490" t="s">
        <v>91</v>
      </c>
    </row>
    <row r="491" spans="1:8" x14ac:dyDescent="0.3">
      <c r="A491" t="s">
        <v>678</v>
      </c>
      <c r="B491" t="s">
        <v>5</v>
      </c>
      <c r="C491" t="s">
        <v>6</v>
      </c>
      <c r="D491" t="s">
        <v>8</v>
      </c>
      <c r="E491" s="68">
        <v>540</v>
      </c>
      <c r="F491" s="68">
        <v>541</v>
      </c>
      <c r="G491" s="68">
        <v>1081</v>
      </c>
      <c r="H491" t="s">
        <v>91</v>
      </c>
    </row>
    <row r="492" spans="1:8" x14ac:dyDescent="0.3">
      <c r="A492" t="s">
        <v>678</v>
      </c>
      <c r="B492" t="s">
        <v>5</v>
      </c>
      <c r="C492" t="s">
        <v>6</v>
      </c>
      <c r="D492" t="s">
        <v>9</v>
      </c>
      <c r="E492" s="68">
        <v>534</v>
      </c>
      <c r="F492" s="68">
        <v>580</v>
      </c>
      <c r="G492" s="68">
        <v>1114</v>
      </c>
      <c r="H492" t="s">
        <v>91</v>
      </c>
    </row>
    <row r="493" spans="1:8" x14ac:dyDescent="0.3">
      <c r="A493" t="s">
        <v>678</v>
      </c>
      <c r="B493" t="s">
        <v>5</v>
      </c>
      <c r="C493" t="s">
        <v>6</v>
      </c>
      <c r="D493" t="s">
        <v>10</v>
      </c>
      <c r="E493" s="68">
        <v>474</v>
      </c>
      <c r="F493" s="68">
        <v>487</v>
      </c>
      <c r="G493" s="68">
        <v>961</v>
      </c>
      <c r="H493" t="s">
        <v>91</v>
      </c>
    </row>
    <row r="494" spans="1:8" x14ac:dyDescent="0.3">
      <c r="A494" t="s">
        <v>678</v>
      </c>
      <c r="B494" t="s">
        <v>5</v>
      </c>
      <c r="C494" t="s">
        <v>6</v>
      </c>
      <c r="D494" t="s">
        <v>11</v>
      </c>
      <c r="E494" s="68">
        <v>394</v>
      </c>
      <c r="F494" s="68">
        <v>379</v>
      </c>
      <c r="G494" s="68">
        <v>773</v>
      </c>
      <c r="H494" t="s">
        <v>91</v>
      </c>
    </row>
    <row r="495" spans="1:8" x14ac:dyDescent="0.3">
      <c r="A495" t="s">
        <v>678</v>
      </c>
      <c r="B495" t="s">
        <v>5</v>
      </c>
      <c r="C495" t="s">
        <v>6</v>
      </c>
      <c r="D495" t="s">
        <v>12</v>
      </c>
      <c r="E495" s="68">
        <v>636</v>
      </c>
      <c r="F495" s="68">
        <v>565</v>
      </c>
      <c r="G495" s="68">
        <v>1201</v>
      </c>
      <c r="H495" t="s">
        <v>91</v>
      </c>
    </row>
    <row r="496" spans="1:8" x14ac:dyDescent="0.3">
      <c r="A496" t="s">
        <v>678</v>
      </c>
      <c r="B496" t="s">
        <v>5</v>
      </c>
      <c r="C496" t="s">
        <v>6</v>
      </c>
      <c r="D496" t="s">
        <v>13</v>
      </c>
      <c r="E496" s="68">
        <v>834</v>
      </c>
      <c r="F496" s="68">
        <v>665</v>
      </c>
      <c r="G496" s="68">
        <v>1499</v>
      </c>
      <c r="H496" t="s">
        <v>91</v>
      </c>
    </row>
    <row r="497" spans="1:8" x14ac:dyDescent="0.3">
      <c r="A497" t="s">
        <v>678</v>
      </c>
      <c r="B497" t="s">
        <v>5</v>
      </c>
      <c r="C497" t="s">
        <v>6</v>
      </c>
      <c r="D497" t="s">
        <v>14</v>
      </c>
      <c r="E497" s="68">
        <v>734</v>
      </c>
      <c r="F497" s="68">
        <v>650</v>
      </c>
      <c r="G497" s="68">
        <v>1384</v>
      </c>
      <c r="H497" t="s">
        <v>91</v>
      </c>
    </row>
    <row r="498" spans="1:8" x14ac:dyDescent="0.3">
      <c r="A498" t="s">
        <v>678</v>
      </c>
      <c r="B498" t="s">
        <v>5</v>
      </c>
      <c r="C498" t="s">
        <v>6</v>
      </c>
      <c r="D498" t="s">
        <v>15</v>
      </c>
      <c r="E498" s="68">
        <v>653</v>
      </c>
      <c r="F498" s="68">
        <v>634</v>
      </c>
      <c r="G498" s="68">
        <v>1287</v>
      </c>
      <c r="H498" t="s">
        <v>91</v>
      </c>
    </row>
    <row r="499" spans="1:8" x14ac:dyDescent="0.3">
      <c r="A499" t="s">
        <v>678</v>
      </c>
      <c r="B499" t="s">
        <v>5</v>
      </c>
      <c r="C499" t="s">
        <v>6</v>
      </c>
      <c r="D499" t="s">
        <v>16</v>
      </c>
      <c r="E499" s="68">
        <v>464</v>
      </c>
      <c r="F499" s="68">
        <v>506</v>
      </c>
      <c r="G499" s="68">
        <v>970</v>
      </c>
      <c r="H499" t="s">
        <v>91</v>
      </c>
    </row>
    <row r="500" spans="1:8" x14ac:dyDescent="0.3">
      <c r="A500" t="s">
        <v>678</v>
      </c>
      <c r="B500" t="s">
        <v>5</v>
      </c>
      <c r="C500" t="s">
        <v>6</v>
      </c>
      <c r="D500" t="s">
        <v>17</v>
      </c>
      <c r="E500" s="68">
        <v>373</v>
      </c>
      <c r="F500" s="68">
        <v>358</v>
      </c>
      <c r="G500" s="68">
        <v>731</v>
      </c>
      <c r="H500" t="s">
        <v>91</v>
      </c>
    </row>
    <row r="501" spans="1:8" x14ac:dyDescent="0.3">
      <c r="A501" t="s">
        <v>678</v>
      </c>
      <c r="B501" t="s">
        <v>5</v>
      </c>
      <c r="C501" t="s">
        <v>6</v>
      </c>
      <c r="D501" t="s">
        <v>18</v>
      </c>
      <c r="E501" s="68">
        <v>298</v>
      </c>
      <c r="F501" s="68">
        <v>298</v>
      </c>
      <c r="G501" s="68">
        <v>596</v>
      </c>
      <c r="H501" t="s">
        <v>91</v>
      </c>
    </row>
    <row r="502" spans="1:8" x14ac:dyDescent="0.3">
      <c r="A502" t="s">
        <v>678</v>
      </c>
      <c r="B502" t="s">
        <v>5</v>
      </c>
      <c r="C502" t="s">
        <v>6</v>
      </c>
      <c r="D502" t="s">
        <v>19</v>
      </c>
      <c r="E502" s="68">
        <v>263</v>
      </c>
      <c r="F502" s="68">
        <v>265</v>
      </c>
      <c r="G502" s="68">
        <v>528</v>
      </c>
      <c r="H502" t="s">
        <v>91</v>
      </c>
    </row>
    <row r="503" spans="1:8" x14ac:dyDescent="0.3">
      <c r="A503" t="s">
        <v>678</v>
      </c>
      <c r="B503" t="s">
        <v>5</v>
      </c>
      <c r="C503" t="s">
        <v>6</v>
      </c>
      <c r="D503" t="s">
        <v>20</v>
      </c>
      <c r="E503" s="68">
        <v>197</v>
      </c>
      <c r="F503" s="68">
        <v>181</v>
      </c>
      <c r="G503" s="68">
        <v>378</v>
      </c>
      <c r="H503" t="s">
        <v>91</v>
      </c>
    </row>
    <row r="504" spans="1:8" x14ac:dyDescent="0.3">
      <c r="A504" t="s">
        <v>678</v>
      </c>
      <c r="B504" t="s">
        <v>5</v>
      </c>
      <c r="C504" t="s">
        <v>6</v>
      </c>
      <c r="D504" t="s">
        <v>21</v>
      </c>
      <c r="E504" s="68">
        <v>145</v>
      </c>
      <c r="F504" s="68">
        <v>131</v>
      </c>
      <c r="G504" s="68">
        <v>276</v>
      </c>
      <c r="H504" t="s">
        <v>91</v>
      </c>
    </row>
    <row r="505" spans="1:8" x14ac:dyDescent="0.3">
      <c r="A505" t="s">
        <v>678</v>
      </c>
      <c r="B505" t="s">
        <v>5</v>
      </c>
      <c r="C505" t="s">
        <v>6</v>
      </c>
      <c r="D505" t="s">
        <v>22</v>
      </c>
      <c r="E505" s="68">
        <v>76</v>
      </c>
      <c r="F505" s="68">
        <v>63</v>
      </c>
      <c r="G505" s="68">
        <v>139</v>
      </c>
      <c r="H505" t="s">
        <v>91</v>
      </c>
    </row>
    <row r="506" spans="1:8" x14ac:dyDescent="0.3">
      <c r="A506" t="s">
        <v>678</v>
      </c>
      <c r="B506" t="s">
        <v>5</v>
      </c>
      <c r="C506" t="s">
        <v>6</v>
      </c>
      <c r="D506" t="s">
        <v>23</v>
      </c>
      <c r="E506" s="68">
        <v>85</v>
      </c>
      <c r="F506" s="68">
        <v>55</v>
      </c>
      <c r="G506" s="68">
        <v>140</v>
      </c>
      <c r="H506" t="s">
        <v>91</v>
      </c>
    </row>
    <row r="507" spans="1:8" x14ac:dyDescent="0.3">
      <c r="A507" t="s">
        <v>678</v>
      </c>
      <c r="B507" t="s">
        <v>5</v>
      </c>
      <c r="C507" t="s">
        <v>24</v>
      </c>
      <c r="D507" t="s">
        <v>7</v>
      </c>
      <c r="E507" s="68">
        <v>1137</v>
      </c>
      <c r="F507" s="68">
        <v>1162</v>
      </c>
      <c r="G507" s="68">
        <v>2299</v>
      </c>
      <c r="H507" t="s">
        <v>91</v>
      </c>
    </row>
    <row r="508" spans="1:8" x14ac:dyDescent="0.3">
      <c r="A508" t="s">
        <v>678</v>
      </c>
      <c r="B508" t="s">
        <v>5</v>
      </c>
      <c r="C508" t="s">
        <v>24</v>
      </c>
      <c r="D508" t="s">
        <v>8</v>
      </c>
      <c r="E508" s="68">
        <v>1740</v>
      </c>
      <c r="F508" s="68">
        <v>1819</v>
      </c>
      <c r="G508" s="68">
        <v>3559</v>
      </c>
      <c r="H508" t="s">
        <v>91</v>
      </c>
    </row>
    <row r="509" spans="1:8" x14ac:dyDescent="0.3">
      <c r="A509" t="s">
        <v>678</v>
      </c>
      <c r="B509" t="s">
        <v>5</v>
      </c>
      <c r="C509" t="s">
        <v>24</v>
      </c>
      <c r="D509" t="s">
        <v>9</v>
      </c>
      <c r="E509" s="68">
        <v>2122</v>
      </c>
      <c r="F509" s="68">
        <v>2196</v>
      </c>
      <c r="G509" s="68">
        <v>4318</v>
      </c>
      <c r="H509" t="s">
        <v>91</v>
      </c>
    </row>
    <row r="510" spans="1:8" x14ac:dyDescent="0.3">
      <c r="A510" t="s">
        <v>678</v>
      </c>
      <c r="B510" t="s">
        <v>5</v>
      </c>
      <c r="C510" t="s">
        <v>24</v>
      </c>
      <c r="D510" t="s">
        <v>10</v>
      </c>
      <c r="E510" s="68">
        <v>2283</v>
      </c>
      <c r="F510" s="68">
        <v>2342</v>
      </c>
      <c r="G510" s="68">
        <v>4625</v>
      </c>
      <c r="H510" t="s">
        <v>91</v>
      </c>
    </row>
    <row r="511" spans="1:8" x14ac:dyDescent="0.3">
      <c r="A511" t="s">
        <v>678</v>
      </c>
      <c r="B511" t="s">
        <v>5</v>
      </c>
      <c r="C511" t="s">
        <v>24</v>
      </c>
      <c r="D511" t="s">
        <v>11</v>
      </c>
      <c r="E511" s="68">
        <v>1177</v>
      </c>
      <c r="F511" s="68">
        <v>1079</v>
      </c>
      <c r="G511" s="68">
        <v>2256</v>
      </c>
      <c r="H511" t="s">
        <v>91</v>
      </c>
    </row>
    <row r="512" spans="1:8" x14ac:dyDescent="0.3">
      <c r="A512" t="s">
        <v>678</v>
      </c>
      <c r="B512" t="s">
        <v>5</v>
      </c>
      <c r="C512" t="s">
        <v>24</v>
      </c>
      <c r="D512" t="s">
        <v>12</v>
      </c>
      <c r="E512" s="68">
        <v>1382</v>
      </c>
      <c r="F512" s="68">
        <v>1191</v>
      </c>
      <c r="G512" s="68">
        <v>2573</v>
      </c>
      <c r="H512" t="s">
        <v>91</v>
      </c>
    </row>
    <row r="513" spans="1:8" x14ac:dyDescent="0.3">
      <c r="A513" t="s">
        <v>678</v>
      </c>
      <c r="B513" t="s">
        <v>5</v>
      </c>
      <c r="C513" t="s">
        <v>24</v>
      </c>
      <c r="D513" t="s">
        <v>13</v>
      </c>
      <c r="E513" s="68">
        <v>1396</v>
      </c>
      <c r="F513" s="68">
        <v>1032</v>
      </c>
      <c r="G513" s="68">
        <v>2428</v>
      </c>
      <c r="H513" t="s">
        <v>91</v>
      </c>
    </row>
    <row r="514" spans="1:8" x14ac:dyDescent="0.3">
      <c r="A514" t="s">
        <v>678</v>
      </c>
      <c r="B514" t="s">
        <v>5</v>
      </c>
      <c r="C514" t="s">
        <v>24</v>
      </c>
      <c r="D514" t="s">
        <v>14</v>
      </c>
      <c r="E514" s="68">
        <v>1048</v>
      </c>
      <c r="F514" s="68">
        <v>784</v>
      </c>
      <c r="G514" s="68">
        <v>1832</v>
      </c>
      <c r="H514" t="s">
        <v>91</v>
      </c>
    </row>
    <row r="515" spans="1:8" x14ac:dyDescent="0.3">
      <c r="A515" t="s">
        <v>678</v>
      </c>
      <c r="B515" t="s">
        <v>5</v>
      </c>
      <c r="C515" t="s">
        <v>24</v>
      </c>
      <c r="D515" t="s">
        <v>15</v>
      </c>
      <c r="E515" s="68">
        <v>1401</v>
      </c>
      <c r="F515" s="68">
        <v>1001</v>
      </c>
      <c r="G515" s="68">
        <v>2402</v>
      </c>
      <c r="H515" t="s">
        <v>91</v>
      </c>
    </row>
    <row r="516" spans="1:8" x14ac:dyDescent="0.3">
      <c r="A516" t="s">
        <v>678</v>
      </c>
      <c r="B516" t="s">
        <v>5</v>
      </c>
      <c r="C516" t="s">
        <v>24</v>
      </c>
      <c r="D516" t="s">
        <v>16</v>
      </c>
      <c r="E516" s="68">
        <v>1169</v>
      </c>
      <c r="F516" s="68">
        <v>904</v>
      </c>
      <c r="G516" s="68">
        <v>2073</v>
      </c>
      <c r="H516" t="s">
        <v>91</v>
      </c>
    </row>
    <row r="517" spans="1:8" x14ac:dyDescent="0.3">
      <c r="A517" t="s">
        <v>678</v>
      </c>
      <c r="B517" t="s">
        <v>5</v>
      </c>
      <c r="C517" t="s">
        <v>24</v>
      </c>
      <c r="D517" t="s">
        <v>17</v>
      </c>
      <c r="E517" s="68">
        <v>814</v>
      </c>
      <c r="F517" s="68">
        <v>605</v>
      </c>
      <c r="G517" s="68">
        <v>1419</v>
      </c>
      <c r="H517" t="s">
        <v>91</v>
      </c>
    </row>
    <row r="518" spans="1:8" x14ac:dyDescent="0.3">
      <c r="A518" t="s">
        <v>678</v>
      </c>
      <c r="B518" t="s">
        <v>5</v>
      </c>
      <c r="C518" t="s">
        <v>24</v>
      </c>
      <c r="D518" t="s">
        <v>18</v>
      </c>
      <c r="E518" s="68">
        <v>717</v>
      </c>
      <c r="F518" s="68">
        <v>697</v>
      </c>
      <c r="G518" s="68">
        <v>1414</v>
      </c>
      <c r="H518" t="s">
        <v>91</v>
      </c>
    </row>
    <row r="519" spans="1:8" x14ac:dyDescent="0.3">
      <c r="A519" t="s">
        <v>678</v>
      </c>
      <c r="B519" t="s">
        <v>5</v>
      </c>
      <c r="C519" t="s">
        <v>24</v>
      </c>
      <c r="D519" t="s">
        <v>19</v>
      </c>
      <c r="E519" s="68">
        <v>833</v>
      </c>
      <c r="F519" s="68">
        <v>790</v>
      </c>
      <c r="G519" s="68">
        <v>1623</v>
      </c>
      <c r="H519" t="s">
        <v>91</v>
      </c>
    </row>
    <row r="520" spans="1:8" x14ac:dyDescent="0.3">
      <c r="A520" t="s">
        <v>678</v>
      </c>
      <c r="B520" t="s">
        <v>5</v>
      </c>
      <c r="C520" t="s">
        <v>24</v>
      </c>
      <c r="D520" t="s">
        <v>20</v>
      </c>
      <c r="E520" s="68">
        <v>610</v>
      </c>
      <c r="F520" s="68">
        <v>669</v>
      </c>
      <c r="G520" s="68">
        <v>1279</v>
      </c>
      <c r="H520" t="s">
        <v>91</v>
      </c>
    </row>
    <row r="521" spans="1:8" x14ac:dyDescent="0.3">
      <c r="A521" t="s">
        <v>678</v>
      </c>
      <c r="B521" t="s">
        <v>5</v>
      </c>
      <c r="C521" t="s">
        <v>24</v>
      </c>
      <c r="D521" t="s">
        <v>21</v>
      </c>
      <c r="E521" s="68">
        <v>398</v>
      </c>
      <c r="F521" s="68">
        <v>437</v>
      </c>
      <c r="G521" s="68">
        <v>835</v>
      </c>
      <c r="H521" t="s">
        <v>91</v>
      </c>
    </row>
    <row r="522" spans="1:8" x14ac:dyDescent="0.3">
      <c r="A522" t="s">
        <v>678</v>
      </c>
      <c r="B522" t="s">
        <v>5</v>
      </c>
      <c r="C522" t="s">
        <v>24</v>
      </c>
      <c r="D522" t="s">
        <v>22</v>
      </c>
      <c r="E522" s="68">
        <v>240</v>
      </c>
      <c r="F522" s="68">
        <v>282</v>
      </c>
      <c r="G522" s="68">
        <v>522</v>
      </c>
      <c r="H522" t="s">
        <v>91</v>
      </c>
    </row>
    <row r="523" spans="1:8" x14ac:dyDescent="0.3">
      <c r="A523" t="s">
        <v>678</v>
      </c>
      <c r="B523" t="s">
        <v>5</v>
      </c>
      <c r="C523" t="s">
        <v>24</v>
      </c>
      <c r="D523" t="s">
        <v>23</v>
      </c>
      <c r="E523" s="68">
        <v>287</v>
      </c>
      <c r="F523" s="68">
        <v>343</v>
      </c>
      <c r="G523" s="68">
        <v>630</v>
      </c>
      <c r="H523" t="s">
        <v>91</v>
      </c>
    </row>
    <row r="524" spans="1:8" x14ac:dyDescent="0.3">
      <c r="A524" t="s">
        <v>678</v>
      </c>
      <c r="B524" t="s">
        <v>588</v>
      </c>
      <c r="C524" t="s">
        <v>24</v>
      </c>
      <c r="D524" t="s">
        <v>8</v>
      </c>
      <c r="E524" s="68">
        <v>1</v>
      </c>
      <c r="F524" s="68"/>
      <c r="G524" s="68">
        <v>1</v>
      </c>
      <c r="H524" t="s">
        <v>91</v>
      </c>
    </row>
    <row r="525" spans="1:8" x14ac:dyDescent="0.3">
      <c r="A525" t="s">
        <v>678</v>
      </c>
      <c r="B525" t="s">
        <v>26</v>
      </c>
      <c r="C525" t="s">
        <v>6</v>
      </c>
      <c r="D525" t="s">
        <v>7</v>
      </c>
      <c r="E525" s="68">
        <v>911</v>
      </c>
      <c r="F525" s="68">
        <v>986</v>
      </c>
      <c r="G525" s="68">
        <v>1897</v>
      </c>
      <c r="H525" t="s">
        <v>91</v>
      </c>
    </row>
    <row r="526" spans="1:8" x14ac:dyDescent="0.3">
      <c r="A526" t="s">
        <v>678</v>
      </c>
      <c r="B526" t="s">
        <v>26</v>
      </c>
      <c r="C526" t="s">
        <v>6</v>
      </c>
      <c r="D526" t="s">
        <v>8</v>
      </c>
      <c r="E526" s="68">
        <v>1159</v>
      </c>
      <c r="F526" s="68">
        <v>1189</v>
      </c>
      <c r="G526" s="68">
        <v>2348</v>
      </c>
      <c r="H526" t="s">
        <v>91</v>
      </c>
    </row>
    <row r="527" spans="1:8" x14ac:dyDescent="0.3">
      <c r="A527" t="s">
        <v>678</v>
      </c>
      <c r="B527" t="s">
        <v>26</v>
      </c>
      <c r="C527" t="s">
        <v>6</v>
      </c>
      <c r="D527" t="s">
        <v>9</v>
      </c>
      <c r="E527" s="68">
        <v>1060</v>
      </c>
      <c r="F527" s="68">
        <v>1074</v>
      </c>
      <c r="G527" s="68">
        <v>2134</v>
      </c>
      <c r="H527" t="s">
        <v>91</v>
      </c>
    </row>
    <row r="528" spans="1:8" x14ac:dyDescent="0.3">
      <c r="A528" t="s">
        <v>678</v>
      </c>
      <c r="B528" t="s">
        <v>26</v>
      </c>
      <c r="C528" t="s">
        <v>6</v>
      </c>
      <c r="D528" t="s">
        <v>10</v>
      </c>
      <c r="E528" s="68">
        <v>969</v>
      </c>
      <c r="F528" s="68">
        <v>1150</v>
      </c>
      <c r="G528" s="68">
        <v>2119</v>
      </c>
      <c r="H528" t="s">
        <v>91</v>
      </c>
    </row>
    <row r="529" spans="1:8" x14ac:dyDescent="0.3">
      <c r="A529" t="s">
        <v>678</v>
      </c>
      <c r="B529" t="s">
        <v>26</v>
      </c>
      <c r="C529" t="s">
        <v>6</v>
      </c>
      <c r="D529" t="s">
        <v>11</v>
      </c>
      <c r="E529" s="68">
        <v>1344</v>
      </c>
      <c r="F529" s="68">
        <v>1641</v>
      </c>
      <c r="G529" s="68">
        <v>2985</v>
      </c>
      <c r="H529" t="s">
        <v>91</v>
      </c>
    </row>
    <row r="530" spans="1:8" x14ac:dyDescent="0.3">
      <c r="A530" t="s">
        <v>678</v>
      </c>
      <c r="B530" t="s">
        <v>26</v>
      </c>
      <c r="C530" t="s">
        <v>6</v>
      </c>
      <c r="D530" t="s">
        <v>12</v>
      </c>
      <c r="E530" s="68">
        <v>1867</v>
      </c>
      <c r="F530" s="68">
        <v>2027</v>
      </c>
      <c r="G530" s="68">
        <v>3894</v>
      </c>
      <c r="H530" t="s">
        <v>91</v>
      </c>
    </row>
    <row r="531" spans="1:8" x14ac:dyDescent="0.3">
      <c r="A531" t="s">
        <v>678</v>
      </c>
      <c r="B531" t="s">
        <v>26</v>
      </c>
      <c r="C531" t="s">
        <v>6</v>
      </c>
      <c r="D531" t="s">
        <v>13</v>
      </c>
      <c r="E531" s="68">
        <v>2148</v>
      </c>
      <c r="F531" s="68">
        <v>2629</v>
      </c>
      <c r="G531" s="68">
        <v>4777</v>
      </c>
      <c r="H531" t="s">
        <v>91</v>
      </c>
    </row>
    <row r="532" spans="1:8" x14ac:dyDescent="0.3">
      <c r="A532" t="s">
        <v>678</v>
      </c>
      <c r="B532" t="s">
        <v>26</v>
      </c>
      <c r="C532" t="s">
        <v>6</v>
      </c>
      <c r="D532" t="s">
        <v>14</v>
      </c>
      <c r="E532" s="68">
        <v>1873</v>
      </c>
      <c r="F532" s="68">
        <v>2413</v>
      </c>
      <c r="G532" s="68">
        <v>4286</v>
      </c>
      <c r="H532" t="s">
        <v>91</v>
      </c>
    </row>
    <row r="533" spans="1:8" x14ac:dyDescent="0.3">
      <c r="A533" t="s">
        <v>678</v>
      </c>
      <c r="B533" t="s">
        <v>26</v>
      </c>
      <c r="C533" t="s">
        <v>6</v>
      </c>
      <c r="D533" t="s">
        <v>15</v>
      </c>
      <c r="E533" s="68">
        <v>1501</v>
      </c>
      <c r="F533" s="68">
        <v>1962</v>
      </c>
      <c r="G533" s="68">
        <v>3463</v>
      </c>
      <c r="H533" t="s">
        <v>91</v>
      </c>
    </row>
    <row r="534" spans="1:8" x14ac:dyDescent="0.3">
      <c r="A534" t="s">
        <v>678</v>
      </c>
      <c r="B534" t="s">
        <v>26</v>
      </c>
      <c r="C534" t="s">
        <v>6</v>
      </c>
      <c r="D534" t="s">
        <v>16</v>
      </c>
      <c r="E534" s="68">
        <v>1235</v>
      </c>
      <c r="F534" s="68">
        <v>1556</v>
      </c>
      <c r="G534" s="68">
        <v>2791</v>
      </c>
      <c r="H534" t="s">
        <v>91</v>
      </c>
    </row>
    <row r="535" spans="1:8" x14ac:dyDescent="0.3">
      <c r="A535" t="s">
        <v>678</v>
      </c>
      <c r="B535" t="s">
        <v>26</v>
      </c>
      <c r="C535" t="s">
        <v>6</v>
      </c>
      <c r="D535" t="s">
        <v>17</v>
      </c>
      <c r="E535" s="68">
        <v>1001</v>
      </c>
      <c r="F535" s="68">
        <v>1169</v>
      </c>
      <c r="G535" s="68">
        <v>2170</v>
      </c>
      <c r="H535" t="s">
        <v>91</v>
      </c>
    </row>
    <row r="536" spans="1:8" x14ac:dyDescent="0.3">
      <c r="A536" t="s">
        <v>678</v>
      </c>
      <c r="B536" t="s">
        <v>26</v>
      </c>
      <c r="C536" t="s">
        <v>6</v>
      </c>
      <c r="D536" t="s">
        <v>18</v>
      </c>
      <c r="E536" s="68">
        <v>763</v>
      </c>
      <c r="F536" s="68">
        <v>954</v>
      </c>
      <c r="G536" s="68">
        <v>1717</v>
      </c>
      <c r="H536" t="s">
        <v>91</v>
      </c>
    </row>
    <row r="537" spans="1:8" x14ac:dyDescent="0.3">
      <c r="A537" t="s">
        <v>678</v>
      </c>
      <c r="B537" t="s">
        <v>26</v>
      </c>
      <c r="C537" t="s">
        <v>6</v>
      </c>
      <c r="D537" t="s">
        <v>19</v>
      </c>
      <c r="E537" s="68">
        <v>516</v>
      </c>
      <c r="F537" s="68">
        <v>717</v>
      </c>
      <c r="G537" s="68">
        <v>1233</v>
      </c>
      <c r="H537" t="s">
        <v>91</v>
      </c>
    </row>
    <row r="538" spans="1:8" x14ac:dyDescent="0.3">
      <c r="A538" t="s">
        <v>678</v>
      </c>
      <c r="B538" t="s">
        <v>26</v>
      </c>
      <c r="C538" t="s">
        <v>6</v>
      </c>
      <c r="D538" t="s">
        <v>20</v>
      </c>
      <c r="E538" s="68">
        <v>389</v>
      </c>
      <c r="F538" s="68">
        <v>470</v>
      </c>
      <c r="G538" s="68">
        <v>859</v>
      </c>
      <c r="H538" t="s">
        <v>91</v>
      </c>
    </row>
    <row r="539" spans="1:8" x14ac:dyDescent="0.3">
      <c r="A539" t="s">
        <v>678</v>
      </c>
      <c r="B539" t="s">
        <v>26</v>
      </c>
      <c r="C539" t="s">
        <v>6</v>
      </c>
      <c r="D539" t="s">
        <v>21</v>
      </c>
      <c r="E539" s="68">
        <v>265</v>
      </c>
      <c r="F539" s="68">
        <v>281</v>
      </c>
      <c r="G539" s="68">
        <v>546</v>
      </c>
      <c r="H539" t="s">
        <v>91</v>
      </c>
    </row>
    <row r="540" spans="1:8" x14ac:dyDescent="0.3">
      <c r="A540" t="s">
        <v>678</v>
      </c>
      <c r="B540" t="s">
        <v>26</v>
      </c>
      <c r="C540" t="s">
        <v>6</v>
      </c>
      <c r="D540" t="s">
        <v>22</v>
      </c>
      <c r="E540" s="68">
        <v>148</v>
      </c>
      <c r="F540" s="68">
        <v>172</v>
      </c>
      <c r="G540" s="68">
        <v>320</v>
      </c>
      <c r="H540" t="s">
        <v>91</v>
      </c>
    </row>
    <row r="541" spans="1:8" x14ac:dyDescent="0.3">
      <c r="A541" t="s">
        <v>678</v>
      </c>
      <c r="B541" t="s">
        <v>26</v>
      </c>
      <c r="C541" t="s">
        <v>6</v>
      </c>
      <c r="D541" t="s">
        <v>23</v>
      </c>
      <c r="E541" s="68">
        <v>151</v>
      </c>
      <c r="F541" s="68">
        <v>132</v>
      </c>
      <c r="G541" s="68">
        <v>283</v>
      </c>
      <c r="H541" t="s">
        <v>91</v>
      </c>
    </row>
    <row r="542" spans="1:8" x14ac:dyDescent="0.3">
      <c r="A542" t="s">
        <v>678</v>
      </c>
      <c r="B542" t="s">
        <v>26</v>
      </c>
      <c r="C542" t="s">
        <v>24</v>
      </c>
      <c r="D542" t="s">
        <v>7</v>
      </c>
      <c r="E542" s="68">
        <v>6471</v>
      </c>
      <c r="F542" s="68">
        <v>6688</v>
      </c>
      <c r="G542" s="68">
        <v>13159</v>
      </c>
      <c r="H542" t="s">
        <v>91</v>
      </c>
    </row>
    <row r="543" spans="1:8" x14ac:dyDescent="0.3">
      <c r="A543" t="s">
        <v>678</v>
      </c>
      <c r="B543" t="s">
        <v>26</v>
      </c>
      <c r="C543" t="s">
        <v>24</v>
      </c>
      <c r="D543" t="s">
        <v>8</v>
      </c>
      <c r="E543" s="68">
        <v>8854</v>
      </c>
      <c r="F543" s="68">
        <v>9329</v>
      </c>
      <c r="G543" s="68">
        <v>18183</v>
      </c>
      <c r="H543" t="s">
        <v>91</v>
      </c>
    </row>
    <row r="544" spans="1:8" x14ac:dyDescent="0.3">
      <c r="A544" t="s">
        <v>678</v>
      </c>
      <c r="B544" t="s">
        <v>26</v>
      </c>
      <c r="C544" t="s">
        <v>24</v>
      </c>
      <c r="D544" t="s">
        <v>9</v>
      </c>
      <c r="E544" s="68">
        <v>8103</v>
      </c>
      <c r="F544" s="68">
        <v>8423</v>
      </c>
      <c r="G544" s="68">
        <v>16526</v>
      </c>
      <c r="H544" t="s">
        <v>91</v>
      </c>
    </row>
    <row r="545" spans="1:8" x14ac:dyDescent="0.3">
      <c r="A545" t="s">
        <v>678</v>
      </c>
      <c r="B545" t="s">
        <v>26</v>
      </c>
      <c r="C545" t="s">
        <v>24</v>
      </c>
      <c r="D545" t="s">
        <v>10</v>
      </c>
      <c r="E545" s="68">
        <v>8457</v>
      </c>
      <c r="F545" s="68">
        <v>8159</v>
      </c>
      <c r="G545" s="68">
        <v>16616</v>
      </c>
      <c r="H545" t="s">
        <v>91</v>
      </c>
    </row>
    <row r="546" spans="1:8" x14ac:dyDescent="0.3">
      <c r="A546" t="s">
        <v>678</v>
      </c>
      <c r="B546" t="s">
        <v>26</v>
      </c>
      <c r="C546" t="s">
        <v>24</v>
      </c>
      <c r="D546" t="s">
        <v>11</v>
      </c>
      <c r="E546" s="68">
        <v>7961</v>
      </c>
      <c r="F546" s="68">
        <v>6601</v>
      </c>
      <c r="G546" s="68">
        <v>14562</v>
      </c>
      <c r="H546" t="s">
        <v>91</v>
      </c>
    </row>
    <row r="547" spans="1:8" x14ac:dyDescent="0.3">
      <c r="A547" t="s">
        <v>678</v>
      </c>
      <c r="B547" t="s">
        <v>26</v>
      </c>
      <c r="C547" t="s">
        <v>24</v>
      </c>
      <c r="D547" t="s">
        <v>12</v>
      </c>
      <c r="E547" s="68">
        <v>7567</v>
      </c>
      <c r="F547" s="68">
        <v>6168</v>
      </c>
      <c r="G547" s="68">
        <v>13735</v>
      </c>
      <c r="H547" t="s">
        <v>91</v>
      </c>
    </row>
    <row r="548" spans="1:8" x14ac:dyDescent="0.3">
      <c r="A548" t="s">
        <v>678</v>
      </c>
      <c r="B548" t="s">
        <v>26</v>
      </c>
      <c r="C548" t="s">
        <v>24</v>
      </c>
      <c r="D548" t="s">
        <v>13</v>
      </c>
      <c r="E548" s="68">
        <v>7675</v>
      </c>
      <c r="F548" s="68">
        <v>6697</v>
      </c>
      <c r="G548" s="68">
        <v>14372</v>
      </c>
      <c r="H548" t="s">
        <v>91</v>
      </c>
    </row>
    <row r="549" spans="1:8" x14ac:dyDescent="0.3">
      <c r="A549" t="s">
        <v>678</v>
      </c>
      <c r="B549" t="s">
        <v>26</v>
      </c>
      <c r="C549" t="s">
        <v>24</v>
      </c>
      <c r="D549" t="s">
        <v>14</v>
      </c>
      <c r="E549" s="68">
        <v>7013</v>
      </c>
      <c r="F549" s="68">
        <v>6436</v>
      </c>
      <c r="G549" s="68">
        <v>13449</v>
      </c>
      <c r="H549" t="s">
        <v>91</v>
      </c>
    </row>
    <row r="550" spans="1:8" x14ac:dyDescent="0.3">
      <c r="A550" t="s">
        <v>678</v>
      </c>
      <c r="B550" t="s">
        <v>26</v>
      </c>
      <c r="C550" t="s">
        <v>24</v>
      </c>
      <c r="D550" t="s">
        <v>15</v>
      </c>
      <c r="E550" s="68">
        <v>5907</v>
      </c>
      <c r="F550" s="68">
        <v>5762</v>
      </c>
      <c r="G550" s="68">
        <v>11669</v>
      </c>
      <c r="H550" t="s">
        <v>91</v>
      </c>
    </row>
    <row r="551" spans="1:8" x14ac:dyDescent="0.3">
      <c r="A551" t="s">
        <v>678</v>
      </c>
      <c r="B551" t="s">
        <v>26</v>
      </c>
      <c r="C551" t="s">
        <v>24</v>
      </c>
      <c r="D551" t="s">
        <v>16</v>
      </c>
      <c r="E551" s="68">
        <v>5591</v>
      </c>
      <c r="F551" s="68">
        <v>5384</v>
      </c>
      <c r="G551" s="68">
        <v>10975</v>
      </c>
      <c r="H551" t="s">
        <v>91</v>
      </c>
    </row>
    <row r="552" spans="1:8" x14ac:dyDescent="0.3">
      <c r="A552" t="s">
        <v>678</v>
      </c>
      <c r="B552" t="s">
        <v>26</v>
      </c>
      <c r="C552" t="s">
        <v>24</v>
      </c>
      <c r="D552" t="s">
        <v>17</v>
      </c>
      <c r="E552" s="68">
        <v>5388</v>
      </c>
      <c r="F552" s="68">
        <v>5001</v>
      </c>
      <c r="G552" s="68">
        <v>10389</v>
      </c>
      <c r="H552" t="s">
        <v>91</v>
      </c>
    </row>
    <row r="553" spans="1:8" x14ac:dyDescent="0.3">
      <c r="A553" t="s">
        <v>678</v>
      </c>
      <c r="B553" t="s">
        <v>26</v>
      </c>
      <c r="C553" t="s">
        <v>24</v>
      </c>
      <c r="D553" t="s">
        <v>18</v>
      </c>
      <c r="E553" s="68">
        <v>4836</v>
      </c>
      <c r="F553" s="68">
        <v>4654</v>
      </c>
      <c r="G553" s="68">
        <v>9490</v>
      </c>
      <c r="H553" t="s">
        <v>91</v>
      </c>
    </row>
    <row r="554" spans="1:8" x14ac:dyDescent="0.3">
      <c r="A554" t="s">
        <v>678</v>
      </c>
      <c r="B554" t="s">
        <v>26</v>
      </c>
      <c r="C554" t="s">
        <v>24</v>
      </c>
      <c r="D554" t="s">
        <v>19</v>
      </c>
      <c r="E554" s="68">
        <v>3739</v>
      </c>
      <c r="F554" s="68">
        <v>3975</v>
      </c>
      <c r="G554" s="68">
        <v>7714</v>
      </c>
      <c r="H554" t="s">
        <v>91</v>
      </c>
    </row>
    <row r="555" spans="1:8" x14ac:dyDescent="0.3">
      <c r="A555" t="s">
        <v>678</v>
      </c>
      <c r="B555" t="s">
        <v>26</v>
      </c>
      <c r="C555" t="s">
        <v>24</v>
      </c>
      <c r="D555" t="s">
        <v>20</v>
      </c>
      <c r="E555" s="68">
        <v>2988</v>
      </c>
      <c r="F555" s="68">
        <v>3300</v>
      </c>
      <c r="G555" s="68">
        <v>6288</v>
      </c>
      <c r="H555" t="s">
        <v>91</v>
      </c>
    </row>
    <row r="556" spans="1:8" x14ac:dyDescent="0.3">
      <c r="A556" t="s">
        <v>678</v>
      </c>
      <c r="B556" t="s">
        <v>26</v>
      </c>
      <c r="C556" t="s">
        <v>24</v>
      </c>
      <c r="D556" t="s">
        <v>21</v>
      </c>
      <c r="E556" s="68">
        <v>2089</v>
      </c>
      <c r="F556" s="68">
        <v>2522</v>
      </c>
      <c r="G556" s="68">
        <v>4611</v>
      </c>
      <c r="H556" t="s">
        <v>91</v>
      </c>
    </row>
    <row r="557" spans="1:8" x14ac:dyDescent="0.3">
      <c r="A557" t="s">
        <v>678</v>
      </c>
      <c r="B557" t="s">
        <v>26</v>
      </c>
      <c r="C557" t="s">
        <v>24</v>
      </c>
      <c r="D557" t="s">
        <v>22</v>
      </c>
      <c r="E557" s="68">
        <v>1520</v>
      </c>
      <c r="F557" s="68">
        <v>1822</v>
      </c>
      <c r="G557" s="68">
        <v>3342</v>
      </c>
      <c r="H557" t="s">
        <v>91</v>
      </c>
    </row>
    <row r="558" spans="1:8" x14ac:dyDescent="0.3">
      <c r="A558" t="s">
        <v>678</v>
      </c>
      <c r="B558" t="s">
        <v>26</v>
      </c>
      <c r="C558" t="s">
        <v>24</v>
      </c>
      <c r="D558" t="s">
        <v>23</v>
      </c>
      <c r="E558" s="68">
        <v>2003</v>
      </c>
      <c r="F558" s="68">
        <v>2432</v>
      </c>
      <c r="G558" s="68">
        <v>4435</v>
      </c>
      <c r="H558" t="s">
        <v>91</v>
      </c>
    </row>
    <row r="559" spans="1:8" x14ac:dyDescent="0.3">
      <c r="A559" t="s">
        <v>678</v>
      </c>
      <c r="B559" t="s">
        <v>27</v>
      </c>
      <c r="C559" t="s">
        <v>28</v>
      </c>
      <c r="D559" t="s">
        <v>7</v>
      </c>
      <c r="E559" s="68">
        <v>95</v>
      </c>
      <c r="F559" s="68">
        <v>116</v>
      </c>
      <c r="G559" s="68">
        <v>211</v>
      </c>
      <c r="H559" t="s">
        <v>91</v>
      </c>
    </row>
    <row r="560" spans="1:8" x14ac:dyDescent="0.3">
      <c r="A560" t="s">
        <v>678</v>
      </c>
      <c r="B560" t="s">
        <v>27</v>
      </c>
      <c r="C560" t="s">
        <v>28</v>
      </c>
      <c r="D560" t="s">
        <v>8</v>
      </c>
      <c r="E560" s="68">
        <v>113</v>
      </c>
      <c r="F560" s="68">
        <v>163</v>
      </c>
      <c r="G560" s="68">
        <v>276</v>
      </c>
      <c r="H560" t="s">
        <v>91</v>
      </c>
    </row>
    <row r="561" spans="1:8" x14ac:dyDescent="0.3">
      <c r="A561" t="s">
        <v>678</v>
      </c>
      <c r="B561" t="s">
        <v>27</v>
      </c>
      <c r="C561" t="s">
        <v>28</v>
      </c>
      <c r="D561" t="s">
        <v>9</v>
      </c>
      <c r="E561" s="68">
        <v>186</v>
      </c>
      <c r="F561" s="68">
        <v>197</v>
      </c>
      <c r="G561" s="68">
        <v>383</v>
      </c>
      <c r="H561" t="s">
        <v>91</v>
      </c>
    </row>
    <row r="562" spans="1:8" x14ac:dyDescent="0.3">
      <c r="A562" t="s">
        <v>678</v>
      </c>
      <c r="B562" t="s">
        <v>27</v>
      </c>
      <c r="C562" t="s">
        <v>28</v>
      </c>
      <c r="D562" t="s">
        <v>10</v>
      </c>
      <c r="E562" s="68">
        <v>217</v>
      </c>
      <c r="F562" s="68">
        <v>247</v>
      </c>
      <c r="G562" s="68">
        <v>464</v>
      </c>
      <c r="H562" t="s">
        <v>91</v>
      </c>
    </row>
    <row r="563" spans="1:8" x14ac:dyDescent="0.3">
      <c r="A563" t="s">
        <v>678</v>
      </c>
      <c r="B563" t="s">
        <v>27</v>
      </c>
      <c r="C563" t="s">
        <v>28</v>
      </c>
      <c r="D563" t="s">
        <v>11</v>
      </c>
      <c r="E563" s="68">
        <v>195</v>
      </c>
      <c r="F563" s="68">
        <v>169</v>
      </c>
      <c r="G563" s="68">
        <v>364</v>
      </c>
      <c r="H563" t="s">
        <v>91</v>
      </c>
    </row>
    <row r="564" spans="1:8" x14ac:dyDescent="0.3">
      <c r="A564" t="s">
        <v>678</v>
      </c>
      <c r="B564" t="s">
        <v>27</v>
      </c>
      <c r="C564" t="s">
        <v>28</v>
      </c>
      <c r="D564" t="s">
        <v>12</v>
      </c>
      <c r="E564" s="68">
        <v>146</v>
      </c>
      <c r="F564" s="68">
        <v>117</v>
      </c>
      <c r="G564" s="68">
        <v>263</v>
      </c>
      <c r="H564" t="s">
        <v>91</v>
      </c>
    </row>
    <row r="565" spans="1:8" x14ac:dyDescent="0.3">
      <c r="A565" t="s">
        <v>678</v>
      </c>
      <c r="B565" t="s">
        <v>27</v>
      </c>
      <c r="C565" t="s">
        <v>28</v>
      </c>
      <c r="D565" t="s">
        <v>13</v>
      </c>
      <c r="E565" s="68">
        <v>232</v>
      </c>
      <c r="F565" s="68">
        <v>129</v>
      </c>
      <c r="G565" s="68">
        <v>361</v>
      </c>
      <c r="H565" t="s">
        <v>91</v>
      </c>
    </row>
    <row r="566" spans="1:8" x14ac:dyDescent="0.3">
      <c r="A566" t="s">
        <v>678</v>
      </c>
      <c r="B566" t="s">
        <v>27</v>
      </c>
      <c r="C566" t="s">
        <v>28</v>
      </c>
      <c r="D566" t="s">
        <v>14</v>
      </c>
      <c r="E566" s="68">
        <v>244</v>
      </c>
      <c r="F566" s="68">
        <v>145</v>
      </c>
      <c r="G566" s="68">
        <v>389</v>
      </c>
      <c r="H566" t="s">
        <v>91</v>
      </c>
    </row>
    <row r="567" spans="1:8" x14ac:dyDescent="0.3">
      <c r="A567" t="s">
        <v>678</v>
      </c>
      <c r="B567" t="s">
        <v>27</v>
      </c>
      <c r="C567" t="s">
        <v>28</v>
      </c>
      <c r="D567" t="s">
        <v>15</v>
      </c>
      <c r="E567" s="68">
        <v>256</v>
      </c>
      <c r="F567" s="68">
        <v>168</v>
      </c>
      <c r="G567" s="68">
        <v>424</v>
      </c>
      <c r="H567" t="s">
        <v>91</v>
      </c>
    </row>
    <row r="568" spans="1:8" x14ac:dyDescent="0.3">
      <c r="A568" t="s">
        <v>678</v>
      </c>
      <c r="B568" t="s">
        <v>27</v>
      </c>
      <c r="C568" t="s">
        <v>28</v>
      </c>
      <c r="D568" t="s">
        <v>16</v>
      </c>
      <c r="E568" s="68">
        <v>232</v>
      </c>
      <c r="F568" s="68">
        <v>138</v>
      </c>
      <c r="G568" s="68">
        <v>370</v>
      </c>
      <c r="H568" t="s">
        <v>91</v>
      </c>
    </row>
    <row r="569" spans="1:8" x14ac:dyDescent="0.3">
      <c r="A569" t="s">
        <v>678</v>
      </c>
      <c r="B569" t="s">
        <v>27</v>
      </c>
      <c r="C569" t="s">
        <v>28</v>
      </c>
      <c r="D569" t="s">
        <v>17</v>
      </c>
      <c r="E569" s="68">
        <v>376</v>
      </c>
      <c r="F569" s="68">
        <v>216</v>
      </c>
      <c r="G569" s="68">
        <v>592</v>
      </c>
      <c r="H569" t="s">
        <v>91</v>
      </c>
    </row>
    <row r="570" spans="1:8" x14ac:dyDescent="0.3">
      <c r="A570" t="s">
        <v>678</v>
      </c>
      <c r="B570" t="s">
        <v>27</v>
      </c>
      <c r="C570" t="s">
        <v>28</v>
      </c>
      <c r="D570" t="s">
        <v>18</v>
      </c>
      <c r="E570" s="68">
        <v>502</v>
      </c>
      <c r="F570" s="68">
        <v>302</v>
      </c>
      <c r="G570" s="68">
        <v>804</v>
      </c>
      <c r="H570" t="s">
        <v>91</v>
      </c>
    </row>
    <row r="571" spans="1:8" x14ac:dyDescent="0.3">
      <c r="A571" t="s">
        <v>678</v>
      </c>
      <c r="B571" t="s">
        <v>27</v>
      </c>
      <c r="C571" t="s">
        <v>28</v>
      </c>
      <c r="D571" t="s">
        <v>19</v>
      </c>
      <c r="E571" s="68">
        <v>390</v>
      </c>
      <c r="F571" s="68">
        <v>271</v>
      </c>
      <c r="G571" s="68">
        <v>661</v>
      </c>
      <c r="H571" t="s">
        <v>91</v>
      </c>
    </row>
    <row r="572" spans="1:8" x14ac:dyDescent="0.3">
      <c r="A572" t="s">
        <v>678</v>
      </c>
      <c r="B572" t="s">
        <v>27</v>
      </c>
      <c r="C572" t="s">
        <v>28</v>
      </c>
      <c r="D572" t="s">
        <v>20</v>
      </c>
      <c r="E572" s="68">
        <v>287</v>
      </c>
      <c r="F572" s="68">
        <v>224</v>
      </c>
      <c r="G572" s="68">
        <v>511</v>
      </c>
      <c r="H572" t="s">
        <v>91</v>
      </c>
    </row>
    <row r="573" spans="1:8" x14ac:dyDescent="0.3">
      <c r="A573" t="s">
        <v>678</v>
      </c>
      <c r="B573" t="s">
        <v>27</v>
      </c>
      <c r="C573" t="s">
        <v>28</v>
      </c>
      <c r="D573" t="s">
        <v>21</v>
      </c>
      <c r="E573" s="68">
        <v>135</v>
      </c>
      <c r="F573" s="68">
        <v>143</v>
      </c>
      <c r="G573" s="68">
        <v>278</v>
      </c>
      <c r="H573" t="s">
        <v>91</v>
      </c>
    </row>
    <row r="574" spans="1:8" x14ac:dyDescent="0.3">
      <c r="A574" t="s">
        <v>678</v>
      </c>
      <c r="B574" t="s">
        <v>27</v>
      </c>
      <c r="C574" t="s">
        <v>28</v>
      </c>
      <c r="D574" t="s">
        <v>22</v>
      </c>
      <c r="E574" s="68">
        <v>80</v>
      </c>
      <c r="F574" s="68">
        <v>68</v>
      </c>
      <c r="G574" s="68">
        <v>148</v>
      </c>
      <c r="H574" t="s">
        <v>91</v>
      </c>
    </row>
    <row r="575" spans="1:8" x14ac:dyDescent="0.3">
      <c r="A575" t="s">
        <v>678</v>
      </c>
      <c r="B575" t="s">
        <v>27</v>
      </c>
      <c r="C575" t="s">
        <v>28</v>
      </c>
      <c r="D575" t="s">
        <v>23</v>
      </c>
      <c r="E575" s="68">
        <v>70</v>
      </c>
      <c r="F575" s="68">
        <v>46</v>
      </c>
      <c r="G575" s="68">
        <v>116</v>
      </c>
      <c r="H575" t="s">
        <v>91</v>
      </c>
    </row>
    <row r="576" spans="1:8" x14ac:dyDescent="0.3">
      <c r="A576" t="s">
        <v>678</v>
      </c>
      <c r="B576" t="s">
        <v>27</v>
      </c>
      <c r="C576" t="s">
        <v>29</v>
      </c>
      <c r="D576" t="s">
        <v>7</v>
      </c>
      <c r="E576" s="68"/>
      <c r="F576" s="68">
        <v>1</v>
      </c>
      <c r="G576" s="68">
        <v>1</v>
      </c>
      <c r="H576" t="s">
        <v>91</v>
      </c>
    </row>
    <row r="577" spans="1:8" x14ac:dyDescent="0.3">
      <c r="A577" t="s">
        <v>678</v>
      </c>
      <c r="B577" t="s">
        <v>27</v>
      </c>
      <c r="C577" t="s">
        <v>29</v>
      </c>
      <c r="D577" t="s">
        <v>11</v>
      </c>
      <c r="E577" s="68">
        <v>6</v>
      </c>
      <c r="F577" s="68">
        <v>34</v>
      </c>
      <c r="G577" s="68">
        <v>40</v>
      </c>
      <c r="H577" t="s">
        <v>91</v>
      </c>
    </row>
    <row r="578" spans="1:8" x14ac:dyDescent="0.3">
      <c r="A578" t="s">
        <v>678</v>
      </c>
      <c r="B578" t="s">
        <v>27</v>
      </c>
      <c r="C578" t="s">
        <v>29</v>
      </c>
      <c r="D578" t="s">
        <v>12</v>
      </c>
      <c r="E578" s="68">
        <v>8</v>
      </c>
      <c r="F578" s="68">
        <v>84</v>
      </c>
      <c r="G578" s="68">
        <v>92</v>
      </c>
      <c r="H578" t="s">
        <v>91</v>
      </c>
    </row>
    <row r="579" spans="1:8" x14ac:dyDescent="0.3">
      <c r="A579" t="s">
        <v>678</v>
      </c>
      <c r="B579" t="s">
        <v>27</v>
      </c>
      <c r="C579" t="s">
        <v>29</v>
      </c>
      <c r="D579" t="s">
        <v>13</v>
      </c>
      <c r="E579" s="68">
        <v>4</v>
      </c>
      <c r="F579" s="68">
        <v>75</v>
      </c>
      <c r="G579" s="68">
        <v>79</v>
      </c>
      <c r="H579" t="s">
        <v>91</v>
      </c>
    </row>
    <row r="580" spans="1:8" x14ac:dyDescent="0.3">
      <c r="A580" t="s">
        <v>678</v>
      </c>
      <c r="B580" t="s">
        <v>27</v>
      </c>
      <c r="C580" t="s">
        <v>29</v>
      </c>
      <c r="D580" t="s">
        <v>14</v>
      </c>
      <c r="E580" s="68">
        <v>4</v>
      </c>
      <c r="F580" s="68">
        <v>57</v>
      </c>
      <c r="G580" s="68">
        <v>61</v>
      </c>
      <c r="H580" t="s">
        <v>91</v>
      </c>
    </row>
    <row r="581" spans="1:8" x14ac:dyDescent="0.3">
      <c r="A581" t="s">
        <v>678</v>
      </c>
      <c r="B581" t="s">
        <v>27</v>
      </c>
      <c r="C581" t="s">
        <v>29</v>
      </c>
      <c r="D581" t="s">
        <v>15</v>
      </c>
      <c r="E581" s="68">
        <v>5</v>
      </c>
      <c r="F581" s="68">
        <v>46</v>
      </c>
      <c r="G581" s="68">
        <v>51</v>
      </c>
      <c r="H581" t="s">
        <v>91</v>
      </c>
    </row>
    <row r="582" spans="1:8" x14ac:dyDescent="0.3">
      <c r="A582" t="s">
        <v>678</v>
      </c>
      <c r="B582" t="s">
        <v>27</v>
      </c>
      <c r="C582" t="s">
        <v>29</v>
      </c>
      <c r="D582" t="s">
        <v>16</v>
      </c>
      <c r="E582" s="68">
        <v>1</v>
      </c>
      <c r="F582" s="68">
        <v>29</v>
      </c>
      <c r="G582" s="68">
        <v>30</v>
      </c>
      <c r="H582" t="s">
        <v>91</v>
      </c>
    </row>
    <row r="583" spans="1:8" x14ac:dyDescent="0.3">
      <c r="A583" t="s">
        <v>678</v>
      </c>
      <c r="B583" t="s">
        <v>27</v>
      </c>
      <c r="C583" t="s">
        <v>29</v>
      </c>
      <c r="D583" t="s">
        <v>17</v>
      </c>
      <c r="E583" s="68">
        <v>2</v>
      </c>
      <c r="F583" s="68">
        <v>16</v>
      </c>
      <c r="G583" s="68">
        <v>18</v>
      </c>
      <c r="H583" t="s">
        <v>91</v>
      </c>
    </row>
    <row r="584" spans="1:8" x14ac:dyDescent="0.3">
      <c r="A584" t="s">
        <v>678</v>
      </c>
      <c r="B584" t="s">
        <v>27</v>
      </c>
      <c r="C584" t="s">
        <v>29</v>
      </c>
      <c r="D584" t="s">
        <v>18</v>
      </c>
      <c r="E584" s="68">
        <v>3</v>
      </c>
      <c r="F584" s="68">
        <v>11</v>
      </c>
      <c r="G584" s="68">
        <v>14</v>
      </c>
      <c r="H584" t="s">
        <v>91</v>
      </c>
    </row>
    <row r="585" spans="1:8" x14ac:dyDescent="0.3">
      <c r="A585" t="s">
        <v>678</v>
      </c>
      <c r="B585" t="s">
        <v>27</v>
      </c>
      <c r="C585" t="s">
        <v>29</v>
      </c>
      <c r="D585" t="s">
        <v>19</v>
      </c>
      <c r="E585" s="68">
        <v>1</v>
      </c>
      <c r="F585" s="68">
        <v>15</v>
      </c>
      <c r="G585" s="68">
        <v>16</v>
      </c>
      <c r="H585" t="s">
        <v>91</v>
      </c>
    </row>
    <row r="586" spans="1:8" x14ac:dyDescent="0.3">
      <c r="A586" t="s">
        <v>678</v>
      </c>
      <c r="B586" t="s">
        <v>27</v>
      </c>
      <c r="C586" t="s">
        <v>29</v>
      </c>
      <c r="D586" t="s">
        <v>20</v>
      </c>
      <c r="E586" s="68"/>
      <c r="F586" s="68">
        <v>6</v>
      </c>
      <c r="G586" s="68">
        <v>6</v>
      </c>
      <c r="H586" t="s">
        <v>91</v>
      </c>
    </row>
    <row r="587" spans="1:8" x14ac:dyDescent="0.3">
      <c r="A587" t="s">
        <v>678</v>
      </c>
      <c r="B587" t="s">
        <v>27</v>
      </c>
      <c r="C587" t="s">
        <v>29</v>
      </c>
      <c r="D587" t="s">
        <v>21</v>
      </c>
      <c r="E587" s="68"/>
      <c r="F587" s="68">
        <v>4</v>
      </c>
      <c r="G587" s="68">
        <v>4</v>
      </c>
      <c r="H587" t="s">
        <v>91</v>
      </c>
    </row>
    <row r="588" spans="1:8" x14ac:dyDescent="0.3">
      <c r="A588" t="s">
        <v>678</v>
      </c>
      <c r="B588" t="s">
        <v>27</v>
      </c>
      <c r="C588" t="s">
        <v>29</v>
      </c>
      <c r="D588" t="s">
        <v>22</v>
      </c>
      <c r="E588" s="68"/>
      <c r="F588" s="68">
        <v>1</v>
      </c>
      <c r="G588" s="68">
        <v>1</v>
      </c>
      <c r="H588" t="s">
        <v>91</v>
      </c>
    </row>
    <row r="589" spans="1:8" x14ac:dyDescent="0.3">
      <c r="A589" t="s">
        <v>678</v>
      </c>
      <c r="B589" t="s">
        <v>36</v>
      </c>
      <c r="C589" t="s">
        <v>6</v>
      </c>
      <c r="D589" t="s">
        <v>7</v>
      </c>
      <c r="E589" s="68">
        <v>5</v>
      </c>
      <c r="F589" s="68">
        <v>5</v>
      </c>
      <c r="G589" s="68">
        <v>10</v>
      </c>
      <c r="H589" t="s">
        <v>91</v>
      </c>
    </row>
    <row r="590" spans="1:8" x14ac:dyDescent="0.3">
      <c r="A590" t="s">
        <v>678</v>
      </c>
      <c r="B590" t="s">
        <v>36</v>
      </c>
      <c r="C590" t="s">
        <v>6</v>
      </c>
      <c r="D590" t="s">
        <v>8</v>
      </c>
      <c r="E590" s="68">
        <v>9</v>
      </c>
      <c r="F590" s="68">
        <v>10</v>
      </c>
      <c r="G590" s="68">
        <v>19</v>
      </c>
      <c r="H590" t="s">
        <v>91</v>
      </c>
    </row>
    <row r="591" spans="1:8" x14ac:dyDescent="0.3">
      <c r="A591" t="s">
        <v>678</v>
      </c>
      <c r="B591" t="s">
        <v>36</v>
      </c>
      <c r="C591" t="s">
        <v>6</v>
      </c>
      <c r="D591" t="s">
        <v>9</v>
      </c>
      <c r="E591" s="68">
        <v>10</v>
      </c>
      <c r="F591" s="68">
        <v>9</v>
      </c>
      <c r="G591" s="68">
        <v>19</v>
      </c>
      <c r="H591" t="s">
        <v>91</v>
      </c>
    </row>
    <row r="592" spans="1:8" x14ac:dyDescent="0.3">
      <c r="A592" t="s">
        <v>678</v>
      </c>
      <c r="B592" t="s">
        <v>36</v>
      </c>
      <c r="C592" t="s">
        <v>6</v>
      </c>
      <c r="D592" t="s">
        <v>10</v>
      </c>
      <c r="E592" s="68">
        <v>8</v>
      </c>
      <c r="F592" s="68">
        <v>5</v>
      </c>
      <c r="G592" s="68">
        <v>13</v>
      </c>
      <c r="H592" t="s">
        <v>91</v>
      </c>
    </row>
    <row r="593" spans="1:8" x14ac:dyDescent="0.3">
      <c r="A593" t="s">
        <v>678</v>
      </c>
      <c r="B593" t="s">
        <v>36</v>
      </c>
      <c r="C593" t="s">
        <v>6</v>
      </c>
      <c r="D593" t="s">
        <v>11</v>
      </c>
      <c r="E593" s="68">
        <v>7</v>
      </c>
      <c r="F593" s="68">
        <v>10</v>
      </c>
      <c r="G593" s="68">
        <v>17</v>
      </c>
      <c r="H593" t="s">
        <v>91</v>
      </c>
    </row>
    <row r="594" spans="1:8" x14ac:dyDescent="0.3">
      <c r="A594" t="s">
        <v>678</v>
      </c>
      <c r="B594" t="s">
        <v>36</v>
      </c>
      <c r="C594" t="s">
        <v>6</v>
      </c>
      <c r="D594" t="s">
        <v>12</v>
      </c>
      <c r="E594" s="68">
        <v>9</v>
      </c>
      <c r="F594" s="68">
        <v>9</v>
      </c>
      <c r="G594" s="68">
        <v>18</v>
      </c>
      <c r="H594" t="s">
        <v>91</v>
      </c>
    </row>
    <row r="595" spans="1:8" x14ac:dyDescent="0.3">
      <c r="A595" t="s">
        <v>678</v>
      </c>
      <c r="B595" t="s">
        <v>36</v>
      </c>
      <c r="C595" t="s">
        <v>6</v>
      </c>
      <c r="D595" t="s">
        <v>13</v>
      </c>
      <c r="E595" s="68">
        <v>10</v>
      </c>
      <c r="F595" s="68">
        <v>14</v>
      </c>
      <c r="G595" s="68">
        <v>24</v>
      </c>
      <c r="H595" t="s">
        <v>91</v>
      </c>
    </row>
    <row r="596" spans="1:8" x14ac:dyDescent="0.3">
      <c r="A596" t="s">
        <v>678</v>
      </c>
      <c r="B596" t="s">
        <v>36</v>
      </c>
      <c r="C596" t="s">
        <v>6</v>
      </c>
      <c r="D596" t="s">
        <v>14</v>
      </c>
      <c r="E596" s="68">
        <v>5</v>
      </c>
      <c r="F596" s="68">
        <v>21</v>
      </c>
      <c r="G596" s="68">
        <v>26</v>
      </c>
      <c r="H596" t="s">
        <v>91</v>
      </c>
    </row>
    <row r="597" spans="1:8" x14ac:dyDescent="0.3">
      <c r="A597" t="s">
        <v>678</v>
      </c>
      <c r="B597" t="s">
        <v>36</v>
      </c>
      <c r="C597" t="s">
        <v>6</v>
      </c>
      <c r="D597" t="s">
        <v>15</v>
      </c>
      <c r="E597" s="68">
        <v>9</v>
      </c>
      <c r="F597" s="68">
        <v>9</v>
      </c>
      <c r="G597" s="68">
        <v>18</v>
      </c>
      <c r="H597" t="s">
        <v>91</v>
      </c>
    </row>
    <row r="598" spans="1:8" x14ac:dyDescent="0.3">
      <c r="A598" t="s">
        <v>678</v>
      </c>
      <c r="B598" t="s">
        <v>36</v>
      </c>
      <c r="C598" t="s">
        <v>6</v>
      </c>
      <c r="D598" t="s">
        <v>16</v>
      </c>
      <c r="E598" s="68">
        <v>4</v>
      </c>
      <c r="F598" s="68">
        <v>10</v>
      </c>
      <c r="G598" s="68">
        <v>14</v>
      </c>
      <c r="H598" t="s">
        <v>91</v>
      </c>
    </row>
    <row r="599" spans="1:8" x14ac:dyDescent="0.3">
      <c r="A599" t="s">
        <v>678</v>
      </c>
      <c r="B599" t="s">
        <v>36</v>
      </c>
      <c r="C599" t="s">
        <v>6</v>
      </c>
      <c r="D599" t="s">
        <v>17</v>
      </c>
      <c r="E599" s="68">
        <v>1</v>
      </c>
      <c r="F599" s="68">
        <v>7</v>
      </c>
      <c r="G599" s="68">
        <v>8</v>
      </c>
      <c r="H599" t="s">
        <v>91</v>
      </c>
    </row>
    <row r="600" spans="1:8" x14ac:dyDescent="0.3">
      <c r="A600" t="s">
        <v>678</v>
      </c>
      <c r="B600" t="s">
        <v>36</v>
      </c>
      <c r="C600" t="s">
        <v>6</v>
      </c>
      <c r="D600" t="s">
        <v>18</v>
      </c>
      <c r="E600" s="68">
        <v>6</v>
      </c>
      <c r="F600" s="68">
        <v>1</v>
      </c>
      <c r="G600" s="68">
        <v>7</v>
      </c>
      <c r="H600" t="s">
        <v>91</v>
      </c>
    </row>
    <row r="601" spans="1:8" x14ac:dyDescent="0.3">
      <c r="A601" t="s">
        <v>678</v>
      </c>
      <c r="B601" t="s">
        <v>36</v>
      </c>
      <c r="C601" t="s">
        <v>6</v>
      </c>
      <c r="D601" t="s">
        <v>20</v>
      </c>
      <c r="E601" s="68">
        <v>1</v>
      </c>
      <c r="F601" s="68">
        <v>3</v>
      </c>
      <c r="G601" s="68">
        <v>4</v>
      </c>
      <c r="H601" t="s">
        <v>91</v>
      </c>
    </row>
    <row r="602" spans="1:8" x14ac:dyDescent="0.3">
      <c r="A602" t="s">
        <v>678</v>
      </c>
      <c r="B602" t="s">
        <v>36</v>
      </c>
      <c r="C602" t="s">
        <v>6</v>
      </c>
      <c r="D602" t="s">
        <v>21</v>
      </c>
      <c r="E602" s="68"/>
      <c r="F602" s="68">
        <v>2</v>
      </c>
      <c r="G602" s="68">
        <v>2</v>
      </c>
      <c r="H602" t="s">
        <v>91</v>
      </c>
    </row>
    <row r="603" spans="1:8" x14ac:dyDescent="0.3">
      <c r="A603" t="s">
        <v>678</v>
      </c>
      <c r="B603" t="s">
        <v>36</v>
      </c>
      <c r="C603" t="s">
        <v>6</v>
      </c>
      <c r="D603" t="s">
        <v>22</v>
      </c>
      <c r="E603" s="68">
        <v>1</v>
      </c>
      <c r="F603" s="68">
        <v>1</v>
      </c>
      <c r="G603" s="68">
        <v>2</v>
      </c>
      <c r="H603" t="s">
        <v>91</v>
      </c>
    </row>
    <row r="604" spans="1:8" x14ac:dyDescent="0.3">
      <c r="A604" t="s">
        <v>678</v>
      </c>
      <c r="B604" t="s">
        <v>36</v>
      </c>
      <c r="C604" t="s">
        <v>24</v>
      </c>
      <c r="D604" t="s">
        <v>7</v>
      </c>
      <c r="E604" s="68">
        <v>9</v>
      </c>
      <c r="F604" s="68">
        <v>2</v>
      </c>
      <c r="G604" s="68">
        <v>11</v>
      </c>
      <c r="H604" t="s">
        <v>91</v>
      </c>
    </row>
    <row r="605" spans="1:8" x14ac:dyDescent="0.3">
      <c r="A605" t="s">
        <v>678</v>
      </c>
      <c r="B605" t="s">
        <v>36</v>
      </c>
      <c r="C605" t="s">
        <v>24</v>
      </c>
      <c r="D605" t="s">
        <v>8</v>
      </c>
      <c r="E605" s="68">
        <v>4</v>
      </c>
      <c r="F605" s="68">
        <v>10</v>
      </c>
      <c r="G605" s="68">
        <v>14</v>
      </c>
      <c r="H605" t="s">
        <v>91</v>
      </c>
    </row>
    <row r="606" spans="1:8" x14ac:dyDescent="0.3">
      <c r="A606" t="s">
        <v>678</v>
      </c>
      <c r="B606" t="s">
        <v>36</v>
      </c>
      <c r="C606" t="s">
        <v>24</v>
      </c>
      <c r="D606" t="s">
        <v>9</v>
      </c>
      <c r="E606" s="68">
        <v>6</v>
      </c>
      <c r="F606" s="68">
        <v>3</v>
      </c>
      <c r="G606" s="68">
        <v>9</v>
      </c>
      <c r="H606" t="s">
        <v>91</v>
      </c>
    </row>
    <row r="607" spans="1:8" x14ac:dyDescent="0.3">
      <c r="A607" t="s">
        <v>678</v>
      </c>
      <c r="B607" t="s">
        <v>36</v>
      </c>
      <c r="C607" t="s">
        <v>24</v>
      </c>
      <c r="D607" t="s">
        <v>10</v>
      </c>
      <c r="E607" s="68">
        <v>4</v>
      </c>
      <c r="F607" s="68">
        <v>1</v>
      </c>
      <c r="G607" s="68">
        <v>5</v>
      </c>
      <c r="H607" t="s">
        <v>91</v>
      </c>
    </row>
    <row r="608" spans="1:8" x14ac:dyDescent="0.3">
      <c r="A608" t="s">
        <v>678</v>
      </c>
      <c r="B608" t="s">
        <v>36</v>
      </c>
      <c r="C608" t="s">
        <v>24</v>
      </c>
      <c r="D608" t="s">
        <v>11</v>
      </c>
      <c r="E608" s="68">
        <v>5</v>
      </c>
      <c r="F608" s="68">
        <v>4</v>
      </c>
      <c r="G608" s="68">
        <v>9</v>
      </c>
      <c r="H608" t="s">
        <v>91</v>
      </c>
    </row>
    <row r="609" spans="1:8" x14ac:dyDescent="0.3">
      <c r="A609" t="s">
        <v>678</v>
      </c>
      <c r="B609" t="s">
        <v>36</v>
      </c>
      <c r="C609" t="s">
        <v>24</v>
      </c>
      <c r="D609" t="s">
        <v>12</v>
      </c>
      <c r="E609" s="68">
        <v>5</v>
      </c>
      <c r="F609" s="68">
        <v>5</v>
      </c>
      <c r="G609" s="68">
        <v>10</v>
      </c>
      <c r="H609" t="s">
        <v>91</v>
      </c>
    </row>
    <row r="610" spans="1:8" x14ac:dyDescent="0.3">
      <c r="A610" t="s">
        <v>678</v>
      </c>
      <c r="B610" t="s">
        <v>36</v>
      </c>
      <c r="C610" t="s">
        <v>24</v>
      </c>
      <c r="D610" t="s">
        <v>13</v>
      </c>
      <c r="E610" s="68">
        <v>4</v>
      </c>
      <c r="F610" s="68">
        <v>8</v>
      </c>
      <c r="G610" s="68">
        <v>12</v>
      </c>
      <c r="H610" t="s">
        <v>91</v>
      </c>
    </row>
    <row r="611" spans="1:8" x14ac:dyDescent="0.3">
      <c r="A611" t="s">
        <v>678</v>
      </c>
      <c r="B611" t="s">
        <v>36</v>
      </c>
      <c r="C611" t="s">
        <v>24</v>
      </c>
      <c r="D611" t="s">
        <v>14</v>
      </c>
      <c r="E611" s="68">
        <v>7</v>
      </c>
      <c r="F611" s="68">
        <v>5</v>
      </c>
      <c r="G611" s="68">
        <v>12</v>
      </c>
      <c r="H611" t="s">
        <v>91</v>
      </c>
    </row>
    <row r="612" spans="1:8" x14ac:dyDescent="0.3">
      <c r="A612" t="s">
        <v>678</v>
      </c>
      <c r="B612" t="s">
        <v>36</v>
      </c>
      <c r="C612" t="s">
        <v>24</v>
      </c>
      <c r="D612" t="s">
        <v>15</v>
      </c>
      <c r="E612" s="68">
        <v>3</v>
      </c>
      <c r="F612" s="68">
        <v>3</v>
      </c>
      <c r="G612" s="68">
        <v>6</v>
      </c>
      <c r="H612" t="s">
        <v>91</v>
      </c>
    </row>
    <row r="613" spans="1:8" x14ac:dyDescent="0.3">
      <c r="A613" t="s">
        <v>678</v>
      </c>
      <c r="B613" t="s">
        <v>36</v>
      </c>
      <c r="C613" t="s">
        <v>24</v>
      </c>
      <c r="D613" t="s">
        <v>16</v>
      </c>
      <c r="E613" s="68"/>
      <c r="F613" s="68">
        <v>2</v>
      </c>
      <c r="G613" s="68">
        <v>2</v>
      </c>
      <c r="H613" t="s">
        <v>91</v>
      </c>
    </row>
    <row r="614" spans="1:8" x14ac:dyDescent="0.3">
      <c r="A614" t="s">
        <v>678</v>
      </c>
      <c r="B614" t="s">
        <v>36</v>
      </c>
      <c r="C614" t="s">
        <v>24</v>
      </c>
      <c r="D614" t="s">
        <v>17</v>
      </c>
      <c r="E614" s="68"/>
      <c r="F614" s="68">
        <v>1</v>
      </c>
      <c r="G614" s="68">
        <v>1</v>
      </c>
      <c r="H614" t="s">
        <v>91</v>
      </c>
    </row>
    <row r="615" spans="1:8" x14ac:dyDescent="0.3">
      <c r="A615" t="s">
        <v>678</v>
      </c>
      <c r="B615" t="s">
        <v>36</v>
      </c>
      <c r="C615" t="s">
        <v>24</v>
      </c>
      <c r="D615" t="s">
        <v>19</v>
      </c>
      <c r="E615" s="68"/>
      <c r="F615" s="68">
        <v>2</v>
      </c>
      <c r="G615" s="68">
        <v>2</v>
      </c>
      <c r="H615" t="s">
        <v>91</v>
      </c>
    </row>
    <row r="616" spans="1:8" x14ac:dyDescent="0.3">
      <c r="A616" t="s">
        <v>678</v>
      </c>
      <c r="B616" t="s">
        <v>36</v>
      </c>
      <c r="C616" t="s">
        <v>24</v>
      </c>
      <c r="D616" t="s">
        <v>20</v>
      </c>
      <c r="E616" s="68">
        <v>1</v>
      </c>
      <c r="F616" s="68">
        <v>1</v>
      </c>
      <c r="G616" s="68">
        <v>2</v>
      </c>
      <c r="H616" t="s">
        <v>91</v>
      </c>
    </row>
    <row r="617" spans="1:8" x14ac:dyDescent="0.3">
      <c r="A617" t="s">
        <v>678</v>
      </c>
      <c r="B617" t="s">
        <v>36</v>
      </c>
      <c r="C617" t="s">
        <v>24</v>
      </c>
      <c r="D617" t="s">
        <v>21</v>
      </c>
      <c r="E617" s="68"/>
      <c r="F617" s="68">
        <v>1</v>
      </c>
      <c r="G617" s="68">
        <v>1</v>
      </c>
      <c r="H617" t="s">
        <v>91</v>
      </c>
    </row>
    <row r="618" spans="1:8" x14ac:dyDescent="0.3">
      <c r="A618" t="s">
        <v>678</v>
      </c>
      <c r="B618" t="s">
        <v>36</v>
      </c>
      <c r="C618" t="s">
        <v>24</v>
      </c>
      <c r="D618" t="s">
        <v>22</v>
      </c>
      <c r="E618" s="68">
        <v>1</v>
      </c>
      <c r="F618" s="68"/>
      <c r="G618" s="68">
        <v>1</v>
      </c>
      <c r="H618" t="s">
        <v>91</v>
      </c>
    </row>
    <row r="619" spans="1:8" x14ac:dyDescent="0.3">
      <c r="A619" t="s">
        <v>685</v>
      </c>
      <c r="B619" t="s">
        <v>5</v>
      </c>
      <c r="C619" t="s">
        <v>6</v>
      </c>
      <c r="D619" t="s">
        <v>7</v>
      </c>
      <c r="E619" s="68">
        <v>618</v>
      </c>
      <c r="F619" s="68">
        <v>598</v>
      </c>
      <c r="G619" s="68">
        <v>1216</v>
      </c>
      <c r="H619" t="s">
        <v>91</v>
      </c>
    </row>
    <row r="620" spans="1:8" x14ac:dyDescent="0.3">
      <c r="A620" t="s">
        <v>685</v>
      </c>
      <c r="B620" t="s">
        <v>5</v>
      </c>
      <c r="C620" t="s">
        <v>6</v>
      </c>
      <c r="D620" t="s">
        <v>8</v>
      </c>
      <c r="E620" s="68">
        <v>857</v>
      </c>
      <c r="F620" s="68">
        <v>947</v>
      </c>
      <c r="G620" s="68">
        <v>1804</v>
      </c>
      <c r="H620" t="s">
        <v>91</v>
      </c>
    </row>
    <row r="621" spans="1:8" x14ac:dyDescent="0.3">
      <c r="A621" t="s">
        <v>685</v>
      </c>
      <c r="B621" t="s">
        <v>5</v>
      </c>
      <c r="C621" t="s">
        <v>6</v>
      </c>
      <c r="D621" t="s">
        <v>9</v>
      </c>
      <c r="E621" s="68">
        <v>967</v>
      </c>
      <c r="F621" s="68">
        <v>1043</v>
      </c>
      <c r="G621" s="68">
        <v>2010</v>
      </c>
      <c r="H621" t="s">
        <v>91</v>
      </c>
    </row>
    <row r="622" spans="1:8" x14ac:dyDescent="0.3">
      <c r="A622" t="s">
        <v>685</v>
      </c>
      <c r="B622" t="s">
        <v>5</v>
      </c>
      <c r="C622" t="s">
        <v>6</v>
      </c>
      <c r="D622" t="s">
        <v>10</v>
      </c>
      <c r="E622" s="68">
        <v>800</v>
      </c>
      <c r="F622" s="68">
        <v>861</v>
      </c>
      <c r="G622" s="68">
        <v>1661</v>
      </c>
      <c r="H622" t="s">
        <v>91</v>
      </c>
    </row>
    <row r="623" spans="1:8" x14ac:dyDescent="0.3">
      <c r="A623" t="s">
        <v>685</v>
      </c>
      <c r="B623" t="s">
        <v>5</v>
      </c>
      <c r="C623" t="s">
        <v>6</v>
      </c>
      <c r="D623" t="s">
        <v>11</v>
      </c>
      <c r="E623" s="68">
        <v>596</v>
      </c>
      <c r="F623" s="68">
        <v>669</v>
      </c>
      <c r="G623" s="68">
        <v>1265</v>
      </c>
      <c r="H623" t="s">
        <v>91</v>
      </c>
    </row>
    <row r="624" spans="1:8" x14ac:dyDescent="0.3">
      <c r="A624" t="s">
        <v>685</v>
      </c>
      <c r="B624" t="s">
        <v>5</v>
      </c>
      <c r="C624" t="s">
        <v>6</v>
      </c>
      <c r="D624" t="s">
        <v>12</v>
      </c>
      <c r="E624" s="68">
        <v>907</v>
      </c>
      <c r="F624" s="68">
        <v>648</v>
      </c>
      <c r="G624" s="68">
        <v>1555</v>
      </c>
      <c r="H624" t="s">
        <v>91</v>
      </c>
    </row>
    <row r="625" spans="1:8" x14ac:dyDescent="0.3">
      <c r="A625" t="s">
        <v>685</v>
      </c>
      <c r="B625" t="s">
        <v>5</v>
      </c>
      <c r="C625" t="s">
        <v>6</v>
      </c>
      <c r="D625" t="s">
        <v>13</v>
      </c>
      <c r="E625" s="68">
        <v>1216</v>
      </c>
      <c r="F625" s="68">
        <v>832</v>
      </c>
      <c r="G625" s="68">
        <v>2048</v>
      </c>
      <c r="H625" t="s">
        <v>91</v>
      </c>
    </row>
    <row r="626" spans="1:8" x14ac:dyDescent="0.3">
      <c r="A626" t="s">
        <v>685</v>
      </c>
      <c r="B626" t="s">
        <v>5</v>
      </c>
      <c r="C626" t="s">
        <v>6</v>
      </c>
      <c r="D626" t="s">
        <v>14</v>
      </c>
      <c r="E626" s="68">
        <v>1235</v>
      </c>
      <c r="F626" s="68">
        <v>902</v>
      </c>
      <c r="G626" s="68">
        <v>2137</v>
      </c>
      <c r="H626" t="s">
        <v>91</v>
      </c>
    </row>
    <row r="627" spans="1:8" x14ac:dyDescent="0.3">
      <c r="A627" t="s">
        <v>685</v>
      </c>
      <c r="B627" t="s">
        <v>5</v>
      </c>
      <c r="C627" t="s">
        <v>6</v>
      </c>
      <c r="D627" t="s">
        <v>15</v>
      </c>
      <c r="E627" s="68">
        <v>1192</v>
      </c>
      <c r="F627" s="68">
        <v>869</v>
      </c>
      <c r="G627" s="68">
        <v>2061</v>
      </c>
      <c r="H627" t="s">
        <v>91</v>
      </c>
    </row>
    <row r="628" spans="1:8" x14ac:dyDescent="0.3">
      <c r="A628" t="s">
        <v>685</v>
      </c>
      <c r="B628" t="s">
        <v>5</v>
      </c>
      <c r="C628" t="s">
        <v>6</v>
      </c>
      <c r="D628" t="s">
        <v>16</v>
      </c>
      <c r="E628" s="68">
        <v>985</v>
      </c>
      <c r="F628" s="68">
        <v>767</v>
      </c>
      <c r="G628" s="68">
        <v>1752</v>
      </c>
      <c r="H628" t="s">
        <v>91</v>
      </c>
    </row>
    <row r="629" spans="1:8" x14ac:dyDescent="0.3">
      <c r="A629" t="s">
        <v>685</v>
      </c>
      <c r="B629" t="s">
        <v>5</v>
      </c>
      <c r="C629" t="s">
        <v>6</v>
      </c>
      <c r="D629" t="s">
        <v>17</v>
      </c>
      <c r="E629" s="68">
        <v>821</v>
      </c>
      <c r="F629" s="68">
        <v>681</v>
      </c>
      <c r="G629" s="68">
        <v>1502</v>
      </c>
      <c r="H629" t="s">
        <v>91</v>
      </c>
    </row>
    <row r="630" spans="1:8" x14ac:dyDescent="0.3">
      <c r="A630" t="s">
        <v>685</v>
      </c>
      <c r="B630" t="s">
        <v>5</v>
      </c>
      <c r="C630" t="s">
        <v>6</v>
      </c>
      <c r="D630" t="s">
        <v>18</v>
      </c>
      <c r="E630" s="68">
        <v>854</v>
      </c>
      <c r="F630" s="68">
        <v>710</v>
      </c>
      <c r="G630" s="68">
        <v>1564</v>
      </c>
      <c r="H630" t="s">
        <v>91</v>
      </c>
    </row>
    <row r="631" spans="1:8" x14ac:dyDescent="0.3">
      <c r="A631" t="s">
        <v>685</v>
      </c>
      <c r="B631" t="s">
        <v>5</v>
      </c>
      <c r="C631" t="s">
        <v>6</v>
      </c>
      <c r="D631" t="s">
        <v>19</v>
      </c>
      <c r="E631" s="68">
        <v>796</v>
      </c>
      <c r="F631" s="68">
        <v>628</v>
      </c>
      <c r="G631" s="68">
        <v>1424</v>
      </c>
      <c r="H631" t="s">
        <v>91</v>
      </c>
    </row>
    <row r="632" spans="1:8" x14ac:dyDescent="0.3">
      <c r="A632" t="s">
        <v>685</v>
      </c>
      <c r="B632" t="s">
        <v>5</v>
      </c>
      <c r="C632" t="s">
        <v>6</v>
      </c>
      <c r="D632" t="s">
        <v>20</v>
      </c>
      <c r="E632" s="68">
        <v>516</v>
      </c>
      <c r="F632" s="68">
        <v>401</v>
      </c>
      <c r="G632" s="68">
        <v>917</v>
      </c>
      <c r="H632" t="s">
        <v>91</v>
      </c>
    </row>
    <row r="633" spans="1:8" x14ac:dyDescent="0.3">
      <c r="A633" t="s">
        <v>685</v>
      </c>
      <c r="B633" t="s">
        <v>5</v>
      </c>
      <c r="C633" t="s">
        <v>6</v>
      </c>
      <c r="D633" t="s">
        <v>21</v>
      </c>
      <c r="E633" s="68">
        <v>336</v>
      </c>
      <c r="F633" s="68">
        <v>250</v>
      </c>
      <c r="G633" s="68">
        <v>586</v>
      </c>
      <c r="H633" t="s">
        <v>91</v>
      </c>
    </row>
    <row r="634" spans="1:8" x14ac:dyDescent="0.3">
      <c r="A634" t="s">
        <v>685</v>
      </c>
      <c r="B634" t="s">
        <v>5</v>
      </c>
      <c r="C634" t="s">
        <v>6</v>
      </c>
      <c r="D634" t="s">
        <v>22</v>
      </c>
      <c r="E634" s="68">
        <v>174</v>
      </c>
      <c r="F634" s="68">
        <v>153</v>
      </c>
      <c r="G634" s="68">
        <v>327</v>
      </c>
      <c r="H634" t="s">
        <v>91</v>
      </c>
    </row>
    <row r="635" spans="1:8" x14ac:dyDescent="0.3">
      <c r="A635" t="s">
        <v>685</v>
      </c>
      <c r="B635" t="s">
        <v>5</v>
      </c>
      <c r="C635" t="s">
        <v>6</v>
      </c>
      <c r="D635" t="s">
        <v>23</v>
      </c>
      <c r="E635" s="68">
        <v>218</v>
      </c>
      <c r="F635" s="68">
        <v>125</v>
      </c>
      <c r="G635" s="68">
        <v>343</v>
      </c>
      <c r="H635" t="s">
        <v>91</v>
      </c>
    </row>
    <row r="636" spans="1:8" x14ac:dyDescent="0.3">
      <c r="A636" t="s">
        <v>685</v>
      </c>
      <c r="B636" t="s">
        <v>5</v>
      </c>
      <c r="C636" t="s">
        <v>24</v>
      </c>
      <c r="D636" t="s">
        <v>7</v>
      </c>
      <c r="E636" s="68">
        <v>99</v>
      </c>
      <c r="F636" s="68">
        <v>123</v>
      </c>
      <c r="G636" s="68">
        <v>222</v>
      </c>
      <c r="H636" t="s">
        <v>91</v>
      </c>
    </row>
    <row r="637" spans="1:8" x14ac:dyDescent="0.3">
      <c r="A637" t="s">
        <v>685</v>
      </c>
      <c r="B637" t="s">
        <v>5</v>
      </c>
      <c r="C637" t="s">
        <v>24</v>
      </c>
      <c r="D637" t="s">
        <v>8</v>
      </c>
      <c r="E637" s="68">
        <v>148</v>
      </c>
      <c r="F637" s="68">
        <v>128</v>
      </c>
      <c r="G637" s="68">
        <v>276</v>
      </c>
      <c r="H637" t="s">
        <v>91</v>
      </c>
    </row>
    <row r="638" spans="1:8" x14ac:dyDescent="0.3">
      <c r="A638" t="s">
        <v>685</v>
      </c>
      <c r="B638" t="s">
        <v>5</v>
      </c>
      <c r="C638" t="s">
        <v>24</v>
      </c>
      <c r="D638" t="s">
        <v>9</v>
      </c>
      <c r="E638" s="68">
        <v>119</v>
      </c>
      <c r="F638" s="68">
        <v>121</v>
      </c>
      <c r="G638" s="68">
        <v>240</v>
      </c>
      <c r="H638" t="s">
        <v>91</v>
      </c>
    </row>
    <row r="639" spans="1:8" x14ac:dyDescent="0.3">
      <c r="A639" t="s">
        <v>685</v>
      </c>
      <c r="B639" t="s">
        <v>5</v>
      </c>
      <c r="C639" t="s">
        <v>24</v>
      </c>
      <c r="D639" t="s">
        <v>10</v>
      </c>
      <c r="E639" s="68">
        <v>114</v>
      </c>
      <c r="F639" s="68">
        <v>133</v>
      </c>
      <c r="G639" s="68">
        <v>247</v>
      </c>
      <c r="H639" t="s">
        <v>91</v>
      </c>
    </row>
    <row r="640" spans="1:8" x14ac:dyDescent="0.3">
      <c r="A640" t="s">
        <v>685</v>
      </c>
      <c r="B640" t="s">
        <v>5</v>
      </c>
      <c r="C640" t="s">
        <v>24</v>
      </c>
      <c r="D640" t="s">
        <v>11</v>
      </c>
      <c r="E640" s="68">
        <v>174</v>
      </c>
      <c r="F640" s="68">
        <v>189</v>
      </c>
      <c r="G640" s="68">
        <v>363</v>
      </c>
      <c r="H640" t="s">
        <v>91</v>
      </c>
    </row>
    <row r="641" spans="1:8" x14ac:dyDescent="0.3">
      <c r="A641" t="s">
        <v>685</v>
      </c>
      <c r="B641" t="s">
        <v>5</v>
      </c>
      <c r="C641" t="s">
        <v>24</v>
      </c>
      <c r="D641" t="s">
        <v>12</v>
      </c>
      <c r="E641" s="68">
        <v>173</v>
      </c>
      <c r="F641" s="68">
        <v>213</v>
      </c>
      <c r="G641" s="68">
        <v>386</v>
      </c>
      <c r="H641" t="s">
        <v>91</v>
      </c>
    </row>
    <row r="642" spans="1:8" x14ac:dyDescent="0.3">
      <c r="A642" t="s">
        <v>685</v>
      </c>
      <c r="B642" t="s">
        <v>5</v>
      </c>
      <c r="C642" t="s">
        <v>24</v>
      </c>
      <c r="D642" t="s">
        <v>13</v>
      </c>
      <c r="E642" s="68">
        <v>190</v>
      </c>
      <c r="F642" s="68">
        <v>169</v>
      </c>
      <c r="G642" s="68">
        <v>359</v>
      </c>
      <c r="H642" t="s">
        <v>91</v>
      </c>
    </row>
    <row r="643" spans="1:8" x14ac:dyDescent="0.3">
      <c r="A643" t="s">
        <v>685</v>
      </c>
      <c r="B643" t="s">
        <v>5</v>
      </c>
      <c r="C643" t="s">
        <v>24</v>
      </c>
      <c r="D643" t="s">
        <v>14</v>
      </c>
      <c r="E643" s="68">
        <v>177</v>
      </c>
      <c r="F643" s="68">
        <v>118</v>
      </c>
      <c r="G643" s="68">
        <v>295</v>
      </c>
      <c r="H643" t="s">
        <v>91</v>
      </c>
    </row>
    <row r="644" spans="1:8" x14ac:dyDescent="0.3">
      <c r="A644" t="s">
        <v>685</v>
      </c>
      <c r="B644" t="s">
        <v>5</v>
      </c>
      <c r="C644" t="s">
        <v>24</v>
      </c>
      <c r="D644" t="s">
        <v>15</v>
      </c>
      <c r="E644" s="68">
        <v>174</v>
      </c>
      <c r="F644" s="68">
        <v>116</v>
      </c>
      <c r="G644" s="68">
        <v>290</v>
      </c>
      <c r="H644" t="s">
        <v>91</v>
      </c>
    </row>
    <row r="645" spans="1:8" x14ac:dyDescent="0.3">
      <c r="A645" t="s">
        <v>685</v>
      </c>
      <c r="B645" t="s">
        <v>5</v>
      </c>
      <c r="C645" t="s">
        <v>24</v>
      </c>
      <c r="D645" t="s">
        <v>16</v>
      </c>
      <c r="E645" s="68">
        <v>127</v>
      </c>
      <c r="F645" s="68">
        <v>93</v>
      </c>
      <c r="G645" s="68">
        <v>220</v>
      </c>
      <c r="H645" t="s">
        <v>91</v>
      </c>
    </row>
    <row r="646" spans="1:8" x14ac:dyDescent="0.3">
      <c r="A646" t="s">
        <v>685</v>
      </c>
      <c r="B646" t="s">
        <v>5</v>
      </c>
      <c r="C646" t="s">
        <v>24</v>
      </c>
      <c r="D646" t="s">
        <v>17</v>
      </c>
      <c r="E646" s="68">
        <v>82</v>
      </c>
      <c r="F646" s="68">
        <v>51</v>
      </c>
      <c r="G646" s="68">
        <v>133</v>
      </c>
      <c r="H646" t="s">
        <v>91</v>
      </c>
    </row>
    <row r="647" spans="1:8" x14ac:dyDescent="0.3">
      <c r="A647" t="s">
        <v>685</v>
      </c>
      <c r="B647" t="s">
        <v>5</v>
      </c>
      <c r="C647" t="s">
        <v>24</v>
      </c>
      <c r="D647" t="s">
        <v>18</v>
      </c>
      <c r="E647" s="68">
        <v>87</v>
      </c>
      <c r="F647" s="68">
        <v>73</v>
      </c>
      <c r="G647" s="68">
        <v>160</v>
      </c>
      <c r="H647" t="s">
        <v>91</v>
      </c>
    </row>
    <row r="648" spans="1:8" x14ac:dyDescent="0.3">
      <c r="A648" t="s">
        <v>685</v>
      </c>
      <c r="B648" t="s">
        <v>5</v>
      </c>
      <c r="C648" t="s">
        <v>24</v>
      </c>
      <c r="D648" t="s">
        <v>19</v>
      </c>
      <c r="E648" s="68">
        <v>94</v>
      </c>
      <c r="F648" s="68">
        <v>62</v>
      </c>
      <c r="G648" s="68">
        <v>156</v>
      </c>
      <c r="H648" t="s">
        <v>91</v>
      </c>
    </row>
    <row r="649" spans="1:8" x14ac:dyDescent="0.3">
      <c r="A649" t="s">
        <v>685</v>
      </c>
      <c r="B649" t="s">
        <v>5</v>
      </c>
      <c r="C649" t="s">
        <v>24</v>
      </c>
      <c r="D649" t="s">
        <v>20</v>
      </c>
      <c r="E649" s="68">
        <v>56</v>
      </c>
      <c r="F649" s="68">
        <v>30</v>
      </c>
      <c r="G649" s="68">
        <v>86</v>
      </c>
      <c r="H649" t="s">
        <v>91</v>
      </c>
    </row>
    <row r="650" spans="1:8" x14ac:dyDescent="0.3">
      <c r="A650" t="s">
        <v>685</v>
      </c>
      <c r="B650" t="s">
        <v>5</v>
      </c>
      <c r="C650" t="s">
        <v>24</v>
      </c>
      <c r="D650" t="s">
        <v>21</v>
      </c>
      <c r="E650" s="68">
        <v>26</v>
      </c>
      <c r="F650" s="68">
        <v>24</v>
      </c>
      <c r="G650" s="68">
        <v>50</v>
      </c>
      <c r="H650" t="s">
        <v>91</v>
      </c>
    </row>
    <row r="651" spans="1:8" x14ac:dyDescent="0.3">
      <c r="A651" t="s">
        <v>685</v>
      </c>
      <c r="B651" t="s">
        <v>5</v>
      </c>
      <c r="C651" t="s">
        <v>24</v>
      </c>
      <c r="D651" t="s">
        <v>22</v>
      </c>
      <c r="E651" s="68">
        <v>16</v>
      </c>
      <c r="F651" s="68">
        <v>10</v>
      </c>
      <c r="G651" s="68">
        <v>26</v>
      </c>
      <c r="H651" t="s">
        <v>91</v>
      </c>
    </row>
    <row r="652" spans="1:8" x14ac:dyDescent="0.3">
      <c r="A652" t="s">
        <v>685</v>
      </c>
      <c r="B652" t="s">
        <v>5</v>
      </c>
      <c r="C652" t="s">
        <v>24</v>
      </c>
      <c r="D652" t="s">
        <v>23</v>
      </c>
      <c r="E652" s="68">
        <v>8</v>
      </c>
      <c r="F652" s="68">
        <v>15</v>
      </c>
      <c r="G652" s="68">
        <v>23</v>
      </c>
      <c r="H652" t="s">
        <v>91</v>
      </c>
    </row>
    <row r="653" spans="1:8" x14ac:dyDescent="0.3">
      <c r="A653" t="s">
        <v>685</v>
      </c>
      <c r="B653" t="s">
        <v>26</v>
      </c>
      <c r="C653" t="s">
        <v>6</v>
      </c>
      <c r="D653" t="s">
        <v>7</v>
      </c>
      <c r="E653" s="68">
        <v>452</v>
      </c>
      <c r="F653" s="68">
        <v>399</v>
      </c>
      <c r="G653" s="68">
        <v>851</v>
      </c>
      <c r="H653" t="s">
        <v>91</v>
      </c>
    </row>
    <row r="654" spans="1:8" x14ac:dyDescent="0.3">
      <c r="A654" t="s">
        <v>685</v>
      </c>
      <c r="B654" t="s">
        <v>26</v>
      </c>
      <c r="C654" t="s">
        <v>6</v>
      </c>
      <c r="D654" t="s">
        <v>8</v>
      </c>
      <c r="E654" s="68">
        <v>512</v>
      </c>
      <c r="F654" s="68">
        <v>564</v>
      </c>
      <c r="G654" s="68">
        <v>1076</v>
      </c>
      <c r="H654" t="s">
        <v>91</v>
      </c>
    </row>
    <row r="655" spans="1:8" x14ac:dyDescent="0.3">
      <c r="A655" t="s">
        <v>685</v>
      </c>
      <c r="B655" t="s">
        <v>26</v>
      </c>
      <c r="C655" t="s">
        <v>6</v>
      </c>
      <c r="D655" t="s">
        <v>9</v>
      </c>
      <c r="E655" s="68">
        <v>503</v>
      </c>
      <c r="F655" s="68">
        <v>533</v>
      </c>
      <c r="G655" s="68">
        <v>1036</v>
      </c>
      <c r="H655" t="s">
        <v>91</v>
      </c>
    </row>
    <row r="656" spans="1:8" x14ac:dyDescent="0.3">
      <c r="A656" t="s">
        <v>685</v>
      </c>
      <c r="B656" t="s">
        <v>26</v>
      </c>
      <c r="C656" t="s">
        <v>6</v>
      </c>
      <c r="D656" t="s">
        <v>10</v>
      </c>
      <c r="E656" s="68">
        <v>526</v>
      </c>
      <c r="F656" s="68">
        <v>589</v>
      </c>
      <c r="G656" s="68">
        <v>1115</v>
      </c>
      <c r="H656" t="s">
        <v>91</v>
      </c>
    </row>
    <row r="657" spans="1:8" x14ac:dyDescent="0.3">
      <c r="A657" t="s">
        <v>685</v>
      </c>
      <c r="B657" t="s">
        <v>26</v>
      </c>
      <c r="C657" t="s">
        <v>6</v>
      </c>
      <c r="D657" t="s">
        <v>11</v>
      </c>
      <c r="E657" s="68">
        <v>632</v>
      </c>
      <c r="F657" s="68">
        <v>661</v>
      </c>
      <c r="G657" s="68">
        <v>1293</v>
      </c>
      <c r="H657" t="s">
        <v>91</v>
      </c>
    </row>
    <row r="658" spans="1:8" x14ac:dyDescent="0.3">
      <c r="A658" t="s">
        <v>685</v>
      </c>
      <c r="B658" t="s">
        <v>26</v>
      </c>
      <c r="C658" t="s">
        <v>6</v>
      </c>
      <c r="D658" t="s">
        <v>12</v>
      </c>
      <c r="E658" s="68">
        <v>791</v>
      </c>
      <c r="F658" s="68">
        <v>682</v>
      </c>
      <c r="G658" s="68">
        <v>1473</v>
      </c>
      <c r="H658" t="s">
        <v>91</v>
      </c>
    </row>
    <row r="659" spans="1:8" x14ac:dyDescent="0.3">
      <c r="A659" t="s">
        <v>685</v>
      </c>
      <c r="B659" t="s">
        <v>26</v>
      </c>
      <c r="C659" t="s">
        <v>6</v>
      </c>
      <c r="D659" t="s">
        <v>13</v>
      </c>
      <c r="E659" s="68">
        <v>736</v>
      </c>
      <c r="F659" s="68">
        <v>695</v>
      </c>
      <c r="G659" s="68">
        <v>1431</v>
      </c>
      <c r="H659" t="s">
        <v>91</v>
      </c>
    </row>
    <row r="660" spans="1:8" x14ac:dyDescent="0.3">
      <c r="A660" t="s">
        <v>685</v>
      </c>
      <c r="B660" t="s">
        <v>26</v>
      </c>
      <c r="C660" t="s">
        <v>6</v>
      </c>
      <c r="D660" t="s">
        <v>14</v>
      </c>
      <c r="E660" s="68">
        <v>693</v>
      </c>
      <c r="F660" s="68">
        <v>575</v>
      </c>
      <c r="G660" s="68">
        <v>1268</v>
      </c>
      <c r="H660" t="s">
        <v>91</v>
      </c>
    </row>
    <row r="661" spans="1:8" x14ac:dyDescent="0.3">
      <c r="A661" t="s">
        <v>685</v>
      </c>
      <c r="B661" t="s">
        <v>26</v>
      </c>
      <c r="C661" t="s">
        <v>6</v>
      </c>
      <c r="D661" t="s">
        <v>15</v>
      </c>
      <c r="E661" s="68">
        <v>651</v>
      </c>
      <c r="F661" s="68">
        <v>563</v>
      </c>
      <c r="G661" s="68">
        <v>1214</v>
      </c>
      <c r="H661" t="s">
        <v>91</v>
      </c>
    </row>
    <row r="662" spans="1:8" x14ac:dyDescent="0.3">
      <c r="A662" t="s">
        <v>685</v>
      </c>
      <c r="B662" t="s">
        <v>26</v>
      </c>
      <c r="C662" t="s">
        <v>6</v>
      </c>
      <c r="D662" t="s">
        <v>16</v>
      </c>
      <c r="E662" s="68">
        <v>587</v>
      </c>
      <c r="F662" s="68">
        <v>512</v>
      </c>
      <c r="G662" s="68">
        <v>1099</v>
      </c>
      <c r="H662" t="s">
        <v>91</v>
      </c>
    </row>
    <row r="663" spans="1:8" x14ac:dyDescent="0.3">
      <c r="A663" t="s">
        <v>685</v>
      </c>
      <c r="B663" t="s">
        <v>26</v>
      </c>
      <c r="C663" t="s">
        <v>6</v>
      </c>
      <c r="D663" t="s">
        <v>17</v>
      </c>
      <c r="E663" s="68">
        <v>602</v>
      </c>
      <c r="F663" s="68">
        <v>523</v>
      </c>
      <c r="G663" s="68">
        <v>1125</v>
      </c>
      <c r="H663" t="s">
        <v>91</v>
      </c>
    </row>
    <row r="664" spans="1:8" x14ac:dyDescent="0.3">
      <c r="A664" t="s">
        <v>685</v>
      </c>
      <c r="B664" t="s">
        <v>26</v>
      </c>
      <c r="C664" t="s">
        <v>6</v>
      </c>
      <c r="D664" t="s">
        <v>18</v>
      </c>
      <c r="E664" s="68">
        <v>739</v>
      </c>
      <c r="F664" s="68">
        <v>675</v>
      </c>
      <c r="G664" s="68">
        <v>1414</v>
      </c>
      <c r="H664" t="s">
        <v>91</v>
      </c>
    </row>
    <row r="665" spans="1:8" x14ac:dyDescent="0.3">
      <c r="A665" t="s">
        <v>685</v>
      </c>
      <c r="B665" t="s">
        <v>26</v>
      </c>
      <c r="C665" t="s">
        <v>6</v>
      </c>
      <c r="D665" t="s">
        <v>19</v>
      </c>
      <c r="E665" s="68">
        <v>722</v>
      </c>
      <c r="F665" s="68">
        <v>696</v>
      </c>
      <c r="G665" s="68">
        <v>1418</v>
      </c>
      <c r="H665" t="s">
        <v>91</v>
      </c>
    </row>
    <row r="666" spans="1:8" x14ac:dyDescent="0.3">
      <c r="A666" t="s">
        <v>685</v>
      </c>
      <c r="B666" t="s">
        <v>26</v>
      </c>
      <c r="C666" t="s">
        <v>6</v>
      </c>
      <c r="D666" t="s">
        <v>20</v>
      </c>
      <c r="E666" s="68">
        <v>516</v>
      </c>
      <c r="F666" s="68">
        <v>474</v>
      </c>
      <c r="G666" s="68">
        <v>990</v>
      </c>
      <c r="H666" t="s">
        <v>91</v>
      </c>
    </row>
    <row r="667" spans="1:8" x14ac:dyDescent="0.3">
      <c r="A667" t="s">
        <v>685</v>
      </c>
      <c r="B667" t="s">
        <v>26</v>
      </c>
      <c r="C667" t="s">
        <v>6</v>
      </c>
      <c r="D667" t="s">
        <v>21</v>
      </c>
      <c r="E667" s="68">
        <v>333</v>
      </c>
      <c r="F667" s="68">
        <v>259</v>
      </c>
      <c r="G667" s="68">
        <v>592</v>
      </c>
      <c r="H667" t="s">
        <v>91</v>
      </c>
    </row>
    <row r="668" spans="1:8" x14ac:dyDescent="0.3">
      <c r="A668" t="s">
        <v>685</v>
      </c>
      <c r="B668" t="s">
        <v>26</v>
      </c>
      <c r="C668" t="s">
        <v>6</v>
      </c>
      <c r="D668" t="s">
        <v>22</v>
      </c>
      <c r="E668" s="68">
        <v>225</v>
      </c>
      <c r="F668" s="68">
        <v>171</v>
      </c>
      <c r="G668" s="68">
        <v>396</v>
      </c>
      <c r="H668" t="s">
        <v>91</v>
      </c>
    </row>
    <row r="669" spans="1:8" x14ac:dyDescent="0.3">
      <c r="A669" t="s">
        <v>685</v>
      </c>
      <c r="B669" t="s">
        <v>26</v>
      </c>
      <c r="C669" t="s">
        <v>6</v>
      </c>
      <c r="D669" t="s">
        <v>23</v>
      </c>
      <c r="E669" s="68">
        <v>235</v>
      </c>
      <c r="F669" s="68">
        <v>165</v>
      </c>
      <c r="G669" s="68">
        <v>400</v>
      </c>
      <c r="H669" t="s">
        <v>91</v>
      </c>
    </row>
    <row r="670" spans="1:8" x14ac:dyDescent="0.3">
      <c r="A670" t="s">
        <v>685</v>
      </c>
      <c r="B670" t="s">
        <v>26</v>
      </c>
      <c r="C670" t="s">
        <v>24</v>
      </c>
      <c r="D670" t="s">
        <v>7</v>
      </c>
      <c r="E670" s="68">
        <v>314</v>
      </c>
      <c r="F670" s="68">
        <v>314</v>
      </c>
      <c r="G670" s="68">
        <v>628</v>
      </c>
      <c r="H670" t="s">
        <v>91</v>
      </c>
    </row>
    <row r="671" spans="1:8" x14ac:dyDescent="0.3">
      <c r="A671" t="s">
        <v>685</v>
      </c>
      <c r="B671" t="s">
        <v>26</v>
      </c>
      <c r="C671" t="s">
        <v>24</v>
      </c>
      <c r="D671" t="s">
        <v>8</v>
      </c>
      <c r="E671" s="68">
        <v>395</v>
      </c>
      <c r="F671" s="68">
        <v>437</v>
      </c>
      <c r="G671" s="68">
        <v>832</v>
      </c>
      <c r="H671" t="s">
        <v>91</v>
      </c>
    </row>
    <row r="672" spans="1:8" x14ac:dyDescent="0.3">
      <c r="A672" t="s">
        <v>685</v>
      </c>
      <c r="B672" t="s">
        <v>26</v>
      </c>
      <c r="C672" t="s">
        <v>24</v>
      </c>
      <c r="D672" t="s">
        <v>9</v>
      </c>
      <c r="E672" s="68">
        <v>542</v>
      </c>
      <c r="F672" s="68">
        <v>540</v>
      </c>
      <c r="G672" s="68">
        <v>1082</v>
      </c>
      <c r="H672" t="s">
        <v>91</v>
      </c>
    </row>
    <row r="673" spans="1:8" x14ac:dyDescent="0.3">
      <c r="A673" t="s">
        <v>685</v>
      </c>
      <c r="B673" t="s">
        <v>26</v>
      </c>
      <c r="C673" t="s">
        <v>24</v>
      </c>
      <c r="D673" t="s">
        <v>10</v>
      </c>
      <c r="E673" s="68">
        <v>594</v>
      </c>
      <c r="F673" s="68">
        <v>607</v>
      </c>
      <c r="G673" s="68">
        <v>1201</v>
      </c>
      <c r="H673" t="s">
        <v>91</v>
      </c>
    </row>
    <row r="674" spans="1:8" x14ac:dyDescent="0.3">
      <c r="A674" t="s">
        <v>685</v>
      </c>
      <c r="B674" t="s">
        <v>26</v>
      </c>
      <c r="C674" t="s">
        <v>24</v>
      </c>
      <c r="D674" t="s">
        <v>11</v>
      </c>
      <c r="E674" s="68">
        <v>494</v>
      </c>
      <c r="F674" s="68">
        <v>508</v>
      </c>
      <c r="G674" s="68">
        <v>1002</v>
      </c>
      <c r="H674" t="s">
        <v>91</v>
      </c>
    </row>
    <row r="675" spans="1:8" x14ac:dyDescent="0.3">
      <c r="A675" t="s">
        <v>685</v>
      </c>
      <c r="B675" t="s">
        <v>26</v>
      </c>
      <c r="C675" t="s">
        <v>24</v>
      </c>
      <c r="D675" t="s">
        <v>12</v>
      </c>
      <c r="E675" s="68">
        <v>440</v>
      </c>
      <c r="F675" s="68">
        <v>669</v>
      </c>
      <c r="G675" s="68">
        <v>1109</v>
      </c>
      <c r="H675" t="s">
        <v>91</v>
      </c>
    </row>
    <row r="676" spans="1:8" x14ac:dyDescent="0.3">
      <c r="A676" t="s">
        <v>685</v>
      </c>
      <c r="B676" t="s">
        <v>26</v>
      </c>
      <c r="C676" t="s">
        <v>24</v>
      </c>
      <c r="D676" t="s">
        <v>13</v>
      </c>
      <c r="E676" s="68">
        <v>494</v>
      </c>
      <c r="F676" s="68">
        <v>716</v>
      </c>
      <c r="G676" s="68">
        <v>1210</v>
      </c>
      <c r="H676" t="s">
        <v>91</v>
      </c>
    </row>
    <row r="677" spans="1:8" x14ac:dyDescent="0.3">
      <c r="A677" t="s">
        <v>685</v>
      </c>
      <c r="B677" t="s">
        <v>26</v>
      </c>
      <c r="C677" t="s">
        <v>24</v>
      </c>
      <c r="D677" t="s">
        <v>14</v>
      </c>
      <c r="E677" s="68">
        <v>425</v>
      </c>
      <c r="F677" s="68">
        <v>691</v>
      </c>
      <c r="G677" s="68">
        <v>1116</v>
      </c>
      <c r="H677" t="s">
        <v>91</v>
      </c>
    </row>
    <row r="678" spans="1:8" x14ac:dyDescent="0.3">
      <c r="A678" t="s">
        <v>685</v>
      </c>
      <c r="B678" t="s">
        <v>26</v>
      </c>
      <c r="C678" t="s">
        <v>24</v>
      </c>
      <c r="D678" t="s">
        <v>15</v>
      </c>
      <c r="E678" s="68">
        <v>421</v>
      </c>
      <c r="F678" s="68">
        <v>604</v>
      </c>
      <c r="G678" s="68">
        <v>1025</v>
      </c>
      <c r="H678" t="s">
        <v>91</v>
      </c>
    </row>
    <row r="679" spans="1:8" x14ac:dyDescent="0.3">
      <c r="A679" t="s">
        <v>685</v>
      </c>
      <c r="B679" t="s">
        <v>26</v>
      </c>
      <c r="C679" t="s">
        <v>24</v>
      </c>
      <c r="D679" t="s">
        <v>16</v>
      </c>
      <c r="E679" s="68">
        <v>441</v>
      </c>
      <c r="F679" s="68">
        <v>537</v>
      </c>
      <c r="G679" s="68">
        <v>978</v>
      </c>
      <c r="H679" t="s">
        <v>91</v>
      </c>
    </row>
    <row r="680" spans="1:8" x14ac:dyDescent="0.3">
      <c r="A680" t="s">
        <v>685</v>
      </c>
      <c r="B680" t="s">
        <v>26</v>
      </c>
      <c r="C680" t="s">
        <v>24</v>
      </c>
      <c r="D680" t="s">
        <v>17</v>
      </c>
      <c r="E680" s="68">
        <v>383</v>
      </c>
      <c r="F680" s="68">
        <v>523</v>
      </c>
      <c r="G680" s="68">
        <v>906</v>
      </c>
      <c r="H680" t="s">
        <v>91</v>
      </c>
    </row>
    <row r="681" spans="1:8" x14ac:dyDescent="0.3">
      <c r="A681" t="s">
        <v>685</v>
      </c>
      <c r="B681" t="s">
        <v>26</v>
      </c>
      <c r="C681" t="s">
        <v>24</v>
      </c>
      <c r="D681" t="s">
        <v>18</v>
      </c>
      <c r="E681" s="68">
        <v>520</v>
      </c>
      <c r="F681" s="68">
        <v>565</v>
      </c>
      <c r="G681" s="68">
        <v>1085</v>
      </c>
      <c r="H681" t="s">
        <v>91</v>
      </c>
    </row>
    <row r="682" spans="1:8" x14ac:dyDescent="0.3">
      <c r="A682" t="s">
        <v>685</v>
      </c>
      <c r="B682" t="s">
        <v>26</v>
      </c>
      <c r="C682" t="s">
        <v>24</v>
      </c>
      <c r="D682" t="s">
        <v>19</v>
      </c>
      <c r="E682" s="68">
        <v>595</v>
      </c>
      <c r="F682" s="68">
        <v>658</v>
      </c>
      <c r="G682" s="68">
        <v>1253</v>
      </c>
      <c r="H682" t="s">
        <v>91</v>
      </c>
    </row>
    <row r="683" spans="1:8" x14ac:dyDescent="0.3">
      <c r="A683" t="s">
        <v>685</v>
      </c>
      <c r="B683" t="s">
        <v>26</v>
      </c>
      <c r="C683" t="s">
        <v>24</v>
      </c>
      <c r="D683" t="s">
        <v>20</v>
      </c>
      <c r="E683" s="68">
        <v>470</v>
      </c>
      <c r="F683" s="68">
        <v>480</v>
      </c>
      <c r="G683" s="68">
        <v>950</v>
      </c>
      <c r="H683" t="s">
        <v>91</v>
      </c>
    </row>
    <row r="684" spans="1:8" x14ac:dyDescent="0.3">
      <c r="A684" t="s">
        <v>685</v>
      </c>
      <c r="B684" t="s">
        <v>26</v>
      </c>
      <c r="C684" t="s">
        <v>24</v>
      </c>
      <c r="D684" t="s">
        <v>21</v>
      </c>
      <c r="E684" s="68">
        <v>326</v>
      </c>
      <c r="F684" s="68">
        <v>304</v>
      </c>
      <c r="G684" s="68">
        <v>630</v>
      </c>
      <c r="H684" t="s">
        <v>91</v>
      </c>
    </row>
    <row r="685" spans="1:8" x14ac:dyDescent="0.3">
      <c r="A685" t="s">
        <v>685</v>
      </c>
      <c r="B685" t="s">
        <v>26</v>
      </c>
      <c r="C685" t="s">
        <v>24</v>
      </c>
      <c r="D685" t="s">
        <v>22</v>
      </c>
      <c r="E685" s="68">
        <v>203</v>
      </c>
      <c r="F685" s="68">
        <v>195</v>
      </c>
      <c r="G685" s="68">
        <v>398</v>
      </c>
      <c r="H685" t="s">
        <v>91</v>
      </c>
    </row>
    <row r="686" spans="1:8" x14ac:dyDescent="0.3">
      <c r="A686" t="s">
        <v>685</v>
      </c>
      <c r="B686" t="s">
        <v>26</v>
      </c>
      <c r="C686" t="s">
        <v>24</v>
      </c>
      <c r="D686" t="s">
        <v>23</v>
      </c>
      <c r="E686" s="68">
        <v>272</v>
      </c>
      <c r="F686" s="68">
        <v>212</v>
      </c>
      <c r="G686" s="68">
        <v>484</v>
      </c>
      <c r="H686" t="s">
        <v>91</v>
      </c>
    </row>
    <row r="687" spans="1:8" x14ac:dyDescent="0.3">
      <c r="A687" t="s">
        <v>685</v>
      </c>
      <c r="B687" t="s">
        <v>27</v>
      </c>
      <c r="C687" t="s">
        <v>28</v>
      </c>
      <c r="D687" t="s">
        <v>7</v>
      </c>
      <c r="E687" s="68">
        <v>15</v>
      </c>
      <c r="F687" s="68">
        <v>14</v>
      </c>
      <c r="G687" s="68">
        <v>29</v>
      </c>
      <c r="H687" t="s">
        <v>91</v>
      </c>
    </row>
    <row r="688" spans="1:8" x14ac:dyDescent="0.3">
      <c r="A688" t="s">
        <v>685</v>
      </c>
      <c r="B688" t="s">
        <v>27</v>
      </c>
      <c r="C688" t="s">
        <v>28</v>
      </c>
      <c r="D688" t="s">
        <v>8</v>
      </c>
      <c r="E688" s="68">
        <v>10</v>
      </c>
      <c r="F688" s="68">
        <v>15</v>
      </c>
      <c r="G688" s="68">
        <v>25</v>
      </c>
      <c r="H688" t="s">
        <v>91</v>
      </c>
    </row>
    <row r="689" spans="1:8" x14ac:dyDescent="0.3">
      <c r="A689" t="s">
        <v>685</v>
      </c>
      <c r="B689" t="s">
        <v>27</v>
      </c>
      <c r="C689" t="s">
        <v>28</v>
      </c>
      <c r="D689" t="s">
        <v>9</v>
      </c>
      <c r="E689" s="68">
        <v>13</v>
      </c>
      <c r="F689" s="68">
        <v>21</v>
      </c>
      <c r="G689" s="68">
        <v>34</v>
      </c>
      <c r="H689" t="s">
        <v>91</v>
      </c>
    </row>
    <row r="690" spans="1:8" x14ac:dyDescent="0.3">
      <c r="A690" t="s">
        <v>685</v>
      </c>
      <c r="B690" t="s">
        <v>27</v>
      </c>
      <c r="C690" t="s">
        <v>28</v>
      </c>
      <c r="D690" t="s">
        <v>10</v>
      </c>
      <c r="E690" s="68">
        <v>17</v>
      </c>
      <c r="F690" s="68">
        <v>22</v>
      </c>
      <c r="G690" s="68">
        <v>39</v>
      </c>
      <c r="H690" t="s">
        <v>91</v>
      </c>
    </row>
    <row r="691" spans="1:8" x14ac:dyDescent="0.3">
      <c r="A691" t="s">
        <v>685</v>
      </c>
      <c r="B691" t="s">
        <v>27</v>
      </c>
      <c r="C691" t="s">
        <v>28</v>
      </c>
      <c r="D691" t="s">
        <v>11</v>
      </c>
      <c r="E691" s="68">
        <v>18</v>
      </c>
      <c r="F691" s="68">
        <v>11</v>
      </c>
      <c r="G691" s="68">
        <v>29</v>
      </c>
      <c r="H691" t="s">
        <v>91</v>
      </c>
    </row>
    <row r="692" spans="1:8" x14ac:dyDescent="0.3">
      <c r="A692" t="s">
        <v>685</v>
      </c>
      <c r="B692" t="s">
        <v>27</v>
      </c>
      <c r="C692" t="s">
        <v>28</v>
      </c>
      <c r="D692" t="s">
        <v>12</v>
      </c>
      <c r="E692" s="68">
        <v>16</v>
      </c>
      <c r="F692" s="68">
        <v>9</v>
      </c>
      <c r="G692" s="68">
        <v>25</v>
      </c>
      <c r="H692" t="s">
        <v>91</v>
      </c>
    </row>
    <row r="693" spans="1:8" x14ac:dyDescent="0.3">
      <c r="A693" t="s">
        <v>685</v>
      </c>
      <c r="B693" t="s">
        <v>27</v>
      </c>
      <c r="C693" t="s">
        <v>28</v>
      </c>
      <c r="D693" t="s">
        <v>13</v>
      </c>
      <c r="E693" s="68">
        <v>18</v>
      </c>
      <c r="F693" s="68">
        <v>5</v>
      </c>
      <c r="G693" s="68">
        <v>23</v>
      </c>
      <c r="H693" t="s">
        <v>91</v>
      </c>
    </row>
    <row r="694" spans="1:8" x14ac:dyDescent="0.3">
      <c r="A694" t="s">
        <v>685</v>
      </c>
      <c r="B694" t="s">
        <v>27</v>
      </c>
      <c r="C694" t="s">
        <v>28</v>
      </c>
      <c r="D694" t="s">
        <v>14</v>
      </c>
      <c r="E694" s="68">
        <v>39</v>
      </c>
      <c r="F694" s="68">
        <v>17</v>
      </c>
      <c r="G694" s="68">
        <v>56</v>
      </c>
      <c r="H694" t="s">
        <v>91</v>
      </c>
    </row>
    <row r="695" spans="1:8" x14ac:dyDescent="0.3">
      <c r="A695" t="s">
        <v>685</v>
      </c>
      <c r="B695" t="s">
        <v>27</v>
      </c>
      <c r="C695" t="s">
        <v>28</v>
      </c>
      <c r="D695" t="s">
        <v>15</v>
      </c>
      <c r="E695" s="68">
        <v>30</v>
      </c>
      <c r="F695" s="68">
        <v>8</v>
      </c>
      <c r="G695" s="68">
        <v>38</v>
      </c>
      <c r="H695" t="s">
        <v>91</v>
      </c>
    </row>
    <row r="696" spans="1:8" x14ac:dyDescent="0.3">
      <c r="A696" t="s">
        <v>685</v>
      </c>
      <c r="B696" t="s">
        <v>27</v>
      </c>
      <c r="C696" t="s">
        <v>28</v>
      </c>
      <c r="D696" t="s">
        <v>16</v>
      </c>
      <c r="E696" s="68">
        <v>30</v>
      </c>
      <c r="F696" s="68">
        <v>13</v>
      </c>
      <c r="G696" s="68">
        <v>43</v>
      </c>
      <c r="H696" t="s">
        <v>91</v>
      </c>
    </row>
    <row r="697" spans="1:8" x14ac:dyDescent="0.3">
      <c r="A697" t="s">
        <v>685</v>
      </c>
      <c r="B697" t="s">
        <v>27</v>
      </c>
      <c r="C697" t="s">
        <v>28</v>
      </c>
      <c r="D697" t="s">
        <v>17</v>
      </c>
      <c r="E697" s="68">
        <v>44</v>
      </c>
      <c r="F697" s="68">
        <v>12</v>
      </c>
      <c r="G697" s="68">
        <v>56</v>
      </c>
      <c r="H697" t="s">
        <v>91</v>
      </c>
    </row>
    <row r="698" spans="1:8" x14ac:dyDescent="0.3">
      <c r="A698" t="s">
        <v>685</v>
      </c>
      <c r="B698" t="s">
        <v>27</v>
      </c>
      <c r="C698" t="s">
        <v>28</v>
      </c>
      <c r="D698" t="s">
        <v>18</v>
      </c>
      <c r="E698" s="68">
        <v>57</v>
      </c>
      <c r="F698" s="68">
        <v>30</v>
      </c>
      <c r="G698" s="68">
        <v>87</v>
      </c>
      <c r="H698" t="s">
        <v>91</v>
      </c>
    </row>
    <row r="699" spans="1:8" x14ac:dyDescent="0.3">
      <c r="A699" t="s">
        <v>685</v>
      </c>
      <c r="B699" t="s">
        <v>27</v>
      </c>
      <c r="C699" t="s">
        <v>28</v>
      </c>
      <c r="D699" t="s">
        <v>19</v>
      </c>
      <c r="E699" s="68">
        <v>87</v>
      </c>
      <c r="F699" s="68">
        <v>28</v>
      </c>
      <c r="G699" s="68">
        <v>115</v>
      </c>
      <c r="H699" t="s">
        <v>91</v>
      </c>
    </row>
    <row r="700" spans="1:8" x14ac:dyDescent="0.3">
      <c r="A700" t="s">
        <v>685</v>
      </c>
      <c r="B700" t="s">
        <v>27</v>
      </c>
      <c r="C700" t="s">
        <v>28</v>
      </c>
      <c r="D700" t="s">
        <v>20</v>
      </c>
      <c r="E700" s="68">
        <v>78</v>
      </c>
      <c r="F700" s="68">
        <v>30</v>
      </c>
      <c r="G700" s="68">
        <v>108</v>
      </c>
      <c r="H700" t="s">
        <v>91</v>
      </c>
    </row>
    <row r="701" spans="1:8" x14ac:dyDescent="0.3">
      <c r="A701" t="s">
        <v>685</v>
      </c>
      <c r="B701" t="s">
        <v>27</v>
      </c>
      <c r="C701" t="s">
        <v>28</v>
      </c>
      <c r="D701" t="s">
        <v>21</v>
      </c>
      <c r="E701" s="68">
        <v>90</v>
      </c>
      <c r="F701" s="68">
        <v>41</v>
      </c>
      <c r="G701" s="68">
        <v>131</v>
      </c>
      <c r="H701" t="s">
        <v>91</v>
      </c>
    </row>
    <row r="702" spans="1:8" x14ac:dyDescent="0.3">
      <c r="A702" t="s">
        <v>685</v>
      </c>
      <c r="B702" t="s">
        <v>27</v>
      </c>
      <c r="C702" t="s">
        <v>28</v>
      </c>
      <c r="D702" t="s">
        <v>22</v>
      </c>
      <c r="E702" s="68">
        <v>50</v>
      </c>
      <c r="F702" s="68">
        <v>25</v>
      </c>
      <c r="G702" s="68">
        <v>75</v>
      </c>
      <c r="H702" t="s">
        <v>91</v>
      </c>
    </row>
    <row r="703" spans="1:8" x14ac:dyDescent="0.3">
      <c r="A703" t="s">
        <v>685</v>
      </c>
      <c r="B703" t="s">
        <v>27</v>
      </c>
      <c r="C703" t="s">
        <v>28</v>
      </c>
      <c r="D703" t="s">
        <v>23</v>
      </c>
      <c r="E703" s="68">
        <v>33</v>
      </c>
      <c r="F703" s="68">
        <v>17</v>
      </c>
      <c r="G703" s="68">
        <v>50</v>
      </c>
      <c r="H703" t="s">
        <v>91</v>
      </c>
    </row>
    <row r="704" spans="1:8" x14ac:dyDescent="0.3">
      <c r="A704" t="s">
        <v>685</v>
      </c>
      <c r="B704" t="s">
        <v>27</v>
      </c>
      <c r="C704" t="s">
        <v>29</v>
      </c>
      <c r="D704" t="s">
        <v>10</v>
      </c>
      <c r="E704" s="68"/>
      <c r="F704" s="68">
        <v>2</v>
      </c>
      <c r="G704" s="68">
        <v>2</v>
      </c>
      <c r="H704" t="s">
        <v>91</v>
      </c>
    </row>
    <row r="705" spans="1:8" x14ac:dyDescent="0.3">
      <c r="A705" t="s">
        <v>685</v>
      </c>
      <c r="B705" t="s">
        <v>27</v>
      </c>
      <c r="C705" t="s">
        <v>29</v>
      </c>
      <c r="D705" t="s">
        <v>11</v>
      </c>
      <c r="E705" s="68">
        <v>2</v>
      </c>
      <c r="F705" s="68">
        <v>28</v>
      </c>
      <c r="G705" s="68">
        <v>30</v>
      </c>
      <c r="H705" t="s">
        <v>91</v>
      </c>
    </row>
    <row r="706" spans="1:8" x14ac:dyDescent="0.3">
      <c r="A706" t="s">
        <v>685</v>
      </c>
      <c r="B706" t="s">
        <v>27</v>
      </c>
      <c r="C706" t="s">
        <v>29</v>
      </c>
      <c r="D706" t="s">
        <v>12</v>
      </c>
      <c r="E706" s="68">
        <v>1</v>
      </c>
      <c r="F706" s="68">
        <v>44</v>
      </c>
      <c r="G706" s="68">
        <v>45</v>
      </c>
      <c r="H706" t="s">
        <v>91</v>
      </c>
    </row>
    <row r="707" spans="1:8" x14ac:dyDescent="0.3">
      <c r="A707" t="s">
        <v>685</v>
      </c>
      <c r="B707" t="s">
        <v>27</v>
      </c>
      <c r="C707" t="s">
        <v>29</v>
      </c>
      <c r="D707" t="s">
        <v>13</v>
      </c>
      <c r="E707" s="68">
        <v>2</v>
      </c>
      <c r="F707" s="68">
        <v>32</v>
      </c>
      <c r="G707" s="68">
        <v>34</v>
      </c>
      <c r="H707" t="s">
        <v>91</v>
      </c>
    </row>
    <row r="708" spans="1:8" x14ac:dyDescent="0.3">
      <c r="A708" t="s">
        <v>685</v>
      </c>
      <c r="B708" t="s">
        <v>27</v>
      </c>
      <c r="C708" t="s">
        <v>29</v>
      </c>
      <c r="D708" t="s">
        <v>14</v>
      </c>
      <c r="E708" s="68">
        <v>2</v>
      </c>
      <c r="F708" s="68">
        <v>34</v>
      </c>
      <c r="G708" s="68">
        <v>36</v>
      </c>
      <c r="H708" t="s">
        <v>91</v>
      </c>
    </row>
    <row r="709" spans="1:8" x14ac:dyDescent="0.3">
      <c r="A709" t="s">
        <v>685</v>
      </c>
      <c r="B709" t="s">
        <v>27</v>
      </c>
      <c r="C709" t="s">
        <v>29</v>
      </c>
      <c r="D709" t="s">
        <v>15</v>
      </c>
      <c r="E709" s="68">
        <v>2</v>
      </c>
      <c r="F709" s="68">
        <v>18</v>
      </c>
      <c r="G709" s="68">
        <v>20</v>
      </c>
      <c r="H709" t="s">
        <v>91</v>
      </c>
    </row>
    <row r="710" spans="1:8" x14ac:dyDescent="0.3">
      <c r="A710" t="s">
        <v>685</v>
      </c>
      <c r="B710" t="s">
        <v>27</v>
      </c>
      <c r="C710" t="s">
        <v>29</v>
      </c>
      <c r="D710" t="s">
        <v>16</v>
      </c>
      <c r="E710" s="68"/>
      <c r="F710" s="68">
        <v>13</v>
      </c>
      <c r="G710" s="68">
        <v>13</v>
      </c>
      <c r="H710" t="s">
        <v>91</v>
      </c>
    </row>
    <row r="711" spans="1:8" x14ac:dyDescent="0.3">
      <c r="A711" t="s">
        <v>685</v>
      </c>
      <c r="B711" t="s">
        <v>27</v>
      </c>
      <c r="C711" t="s">
        <v>29</v>
      </c>
      <c r="D711" t="s">
        <v>17</v>
      </c>
      <c r="E711" s="68"/>
      <c r="F711" s="68">
        <v>8</v>
      </c>
      <c r="G711" s="68">
        <v>8</v>
      </c>
      <c r="H711" t="s">
        <v>91</v>
      </c>
    </row>
    <row r="712" spans="1:8" x14ac:dyDescent="0.3">
      <c r="A712" t="s">
        <v>685</v>
      </c>
      <c r="B712" t="s">
        <v>27</v>
      </c>
      <c r="C712" t="s">
        <v>29</v>
      </c>
      <c r="D712" t="s">
        <v>18</v>
      </c>
      <c r="E712" s="68"/>
      <c r="F712" s="68">
        <v>4</v>
      </c>
      <c r="G712" s="68">
        <v>4</v>
      </c>
      <c r="H712" t="s">
        <v>91</v>
      </c>
    </row>
    <row r="713" spans="1:8" x14ac:dyDescent="0.3">
      <c r="A713" t="s">
        <v>685</v>
      </c>
      <c r="B713" t="s">
        <v>27</v>
      </c>
      <c r="C713" t="s">
        <v>29</v>
      </c>
      <c r="D713" t="s">
        <v>19</v>
      </c>
      <c r="E713" s="68"/>
      <c r="F713" s="68">
        <v>3</v>
      </c>
      <c r="G713" s="68">
        <v>3</v>
      </c>
      <c r="H713" t="s">
        <v>91</v>
      </c>
    </row>
    <row r="714" spans="1:8" x14ac:dyDescent="0.3">
      <c r="A714" t="s">
        <v>685</v>
      </c>
      <c r="B714" t="s">
        <v>27</v>
      </c>
      <c r="C714" t="s">
        <v>29</v>
      </c>
      <c r="D714" t="s">
        <v>20</v>
      </c>
      <c r="E714" s="68"/>
      <c r="F714" s="68">
        <v>3</v>
      </c>
      <c r="G714" s="68">
        <v>3</v>
      </c>
      <c r="H714" t="s">
        <v>91</v>
      </c>
    </row>
    <row r="715" spans="1:8" x14ac:dyDescent="0.3">
      <c r="A715" t="s">
        <v>685</v>
      </c>
      <c r="B715" t="s">
        <v>27</v>
      </c>
      <c r="C715" t="s">
        <v>29</v>
      </c>
      <c r="D715" t="s">
        <v>21</v>
      </c>
      <c r="E715" s="68"/>
      <c r="F715" s="68">
        <v>1</v>
      </c>
      <c r="G715" s="68">
        <v>1</v>
      </c>
      <c r="H715" t="s">
        <v>91</v>
      </c>
    </row>
    <row r="716" spans="1:8" x14ac:dyDescent="0.3">
      <c r="A716" t="s">
        <v>688</v>
      </c>
      <c r="B716" t="s">
        <v>691</v>
      </c>
      <c r="C716" t="s">
        <v>6</v>
      </c>
      <c r="D716" t="s">
        <v>16</v>
      </c>
      <c r="E716" s="68"/>
      <c r="F716" s="68">
        <v>1</v>
      </c>
      <c r="G716" s="68">
        <v>1</v>
      </c>
      <c r="H716" t="s">
        <v>91</v>
      </c>
    </row>
    <row r="717" spans="1:8" x14ac:dyDescent="0.3">
      <c r="A717" t="s">
        <v>688</v>
      </c>
      <c r="B717" t="s">
        <v>691</v>
      </c>
      <c r="C717" t="s">
        <v>6</v>
      </c>
      <c r="D717" t="s">
        <v>21</v>
      </c>
      <c r="E717" s="68">
        <v>1</v>
      </c>
      <c r="F717" s="68"/>
      <c r="G717" s="68">
        <v>1</v>
      </c>
      <c r="H717" t="s">
        <v>91</v>
      </c>
    </row>
    <row r="718" spans="1:8" x14ac:dyDescent="0.3">
      <c r="A718" t="s">
        <v>688</v>
      </c>
      <c r="B718" t="s">
        <v>30</v>
      </c>
      <c r="C718" t="s">
        <v>6</v>
      </c>
      <c r="D718" t="s">
        <v>7</v>
      </c>
      <c r="E718" s="68">
        <v>98</v>
      </c>
      <c r="F718" s="68">
        <v>81</v>
      </c>
      <c r="G718" s="68">
        <v>179</v>
      </c>
      <c r="H718" t="s">
        <v>91</v>
      </c>
    </row>
    <row r="719" spans="1:8" x14ac:dyDescent="0.3">
      <c r="A719" t="s">
        <v>688</v>
      </c>
      <c r="B719" t="s">
        <v>30</v>
      </c>
      <c r="C719" t="s">
        <v>6</v>
      </c>
      <c r="D719" t="s">
        <v>8</v>
      </c>
      <c r="E719" s="68">
        <v>95</v>
      </c>
      <c r="F719" s="68">
        <v>90</v>
      </c>
      <c r="G719" s="68">
        <v>185</v>
      </c>
      <c r="H719" t="s">
        <v>91</v>
      </c>
    </row>
    <row r="720" spans="1:8" x14ac:dyDescent="0.3">
      <c r="A720" t="s">
        <v>688</v>
      </c>
      <c r="B720" t="s">
        <v>30</v>
      </c>
      <c r="C720" t="s">
        <v>6</v>
      </c>
      <c r="D720" t="s">
        <v>9</v>
      </c>
      <c r="E720" s="68">
        <v>106</v>
      </c>
      <c r="F720" s="68">
        <v>131</v>
      </c>
      <c r="G720" s="68">
        <v>237</v>
      </c>
      <c r="H720" t="s">
        <v>91</v>
      </c>
    </row>
    <row r="721" spans="1:8" x14ac:dyDescent="0.3">
      <c r="A721" t="s">
        <v>688</v>
      </c>
      <c r="B721" t="s">
        <v>30</v>
      </c>
      <c r="C721" t="s">
        <v>6</v>
      </c>
      <c r="D721" t="s">
        <v>10</v>
      </c>
      <c r="E721" s="68">
        <v>239</v>
      </c>
      <c r="F721" s="68">
        <v>277</v>
      </c>
      <c r="G721" s="68">
        <v>516</v>
      </c>
      <c r="H721" t="s">
        <v>91</v>
      </c>
    </row>
    <row r="722" spans="1:8" x14ac:dyDescent="0.3">
      <c r="A722" t="s">
        <v>688</v>
      </c>
      <c r="B722" t="s">
        <v>30</v>
      </c>
      <c r="C722" t="s">
        <v>6</v>
      </c>
      <c r="D722" t="s">
        <v>11</v>
      </c>
      <c r="E722" s="68">
        <v>700</v>
      </c>
      <c r="F722" s="68">
        <v>1125</v>
      </c>
      <c r="G722" s="68">
        <v>1825</v>
      </c>
      <c r="H722" t="s">
        <v>91</v>
      </c>
    </row>
    <row r="723" spans="1:8" x14ac:dyDescent="0.3">
      <c r="A723" t="s">
        <v>688</v>
      </c>
      <c r="B723" t="s">
        <v>30</v>
      </c>
      <c r="C723" t="s">
        <v>6</v>
      </c>
      <c r="D723" t="s">
        <v>12</v>
      </c>
      <c r="E723" s="68">
        <v>666</v>
      </c>
      <c r="F723" s="68">
        <v>1023</v>
      </c>
      <c r="G723" s="68">
        <v>1689</v>
      </c>
      <c r="H723" t="s">
        <v>91</v>
      </c>
    </row>
    <row r="724" spans="1:8" x14ac:dyDescent="0.3">
      <c r="A724" t="s">
        <v>688</v>
      </c>
      <c r="B724" t="s">
        <v>30</v>
      </c>
      <c r="C724" t="s">
        <v>6</v>
      </c>
      <c r="D724" t="s">
        <v>13</v>
      </c>
      <c r="E724" s="68">
        <v>473</v>
      </c>
      <c r="F724" s="68">
        <v>843</v>
      </c>
      <c r="G724" s="68">
        <v>1316</v>
      </c>
      <c r="H724" t="s">
        <v>91</v>
      </c>
    </row>
    <row r="725" spans="1:8" x14ac:dyDescent="0.3">
      <c r="A725" t="s">
        <v>688</v>
      </c>
      <c r="B725" t="s">
        <v>30</v>
      </c>
      <c r="C725" t="s">
        <v>6</v>
      </c>
      <c r="D725" t="s">
        <v>14</v>
      </c>
      <c r="E725" s="68">
        <v>371</v>
      </c>
      <c r="F725" s="68">
        <v>662</v>
      </c>
      <c r="G725" s="68">
        <v>1033</v>
      </c>
      <c r="H725" t="s">
        <v>91</v>
      </c>
    </row>
    <row r="726" spans="1:8" x14ac:dyDescent="0.3">
      <c r="A726" t="s">
        <v>688</v>
      </c>
      <c r="B726" t="s">
        <v>30</v>
      </c>
      <c r="C726" t="s">
        <v>6</v>
      </c>
      <c r="D726" t="s">
        <v>15</v>
      </c>
      <c r="E726" s="68">
        <v>334</v>
      </c>
      <c r="F726" s="68">
        <v>541</v>
      </c>
      <c r="G726" s="68">
        <v>875</v>
      </c>
      <c r="H726" t="s">
        <v>91</v>
      </c>
    </row>
    <row r="727" spans="1:8" x14ac:dyDescent="0.3">
      <c r="A727" t="s">
        <v>688</v>
      </c>
      <c r="B727" t="s">
        <v>30</v>
      </c>
      <c r="C727" t="s">
        <v>6</v>
      </c>
      <c r="D727" t="s">
        <v>16</v>
      </c>
      <c r="E727" s="68">
        <v>313</v>
      </c>
      <c r="F727" s="68">
        <v>511</v>
      </c>
      <c r="G727" s="68">
        <v>824</v>
      </c>
    </row>
    <row r="728" spans="1:8" x14ac:dyDescent="0.3">
      <c r="A728" t="s">
        <v>688</v>
      </c>
      <c r="B728" t="s">
        <v>30</v>
      </c>
      <c r="C728" t="s">
        <v>6</v>
      </c>
      <c r="D728" t="s">
        <v>17</v>
      </c>
      <c r="E728" s="68">
        <v>261</v>
      </c>
      <c r="F728" s="68">
        <v>424</v>
      </c>
      <c r="G728" s="68">
        <v>685</v>
      </c>
    </row>
    <row r="729" spans="1:8" x14ac:dyDescent="0.3">
      <c r="A729" t="s">
        <v>688</v>
      </c>
      <c r="B729" t="s">
        <v>30</v>
      </c>
      <c r="C729" t="s">
        <v>6</v>
      </c>
      <c r="D729" t="s">
        <v>18</v>
      </c>
      <c r="E729" s="68">
        <v>219</v>
      </c>
      <c r="F729" s="68">
        <v>367</v>
      </c>
      <c r="G729" s="68">
        <v>586</v>
      </c>
    </row>
    <row r="730" spans="1:8" x14ac:dyDescent="0.3">
      <c r="A730" t="s">
        <v>688</v>
      </c>
      <c r="B730" t="s">
        <v>30</v>
      </c>
      <c r="C730" t="s">
        <v>6</v>
      </c>
      <c r="D730" t="s">
        <v>19</v>
      </c>
      <c r="E730" s="68">
        <v>230</v>
      </c>
      <c r="F730" s="68">
        <v>337</v>
      </c>
      <c r="G730" s="68">
        <v>567</v>
      </c>
    </row>
    <row r="731" spans="1:8" x14ac:dyDescent="0.3">
      <c r="A731" t="s">
        <v>688</v>
      </c>
      <c r="B731" t="s">
        <v>30</v>
      </c>
      <c r="C731" t="s">
        <v>6</v>
      </c>
      <c r="D731" t="s">
        <v>20</v>
      </c>
      <c r="E731" s="68">
        <v>200</v>
      </c>
      <c r="F731" s="68">
        <v>297</v>
      </c>
      <c r="G731" s="68">
        <v>497</v>
      </c>
    </row>
    <row r="732" spans="1:8" x14ac:dyDescent="0.3">
      <c r="A732" t="s">
        <v>688</v>
      </c>
      <c r="B732" t="s">
        <v>30</v>
      </c>
      <c r="C732" t="s">
        <v>6</v>
      </c>
      <c r="D732" t="s">
        <v>21</v>
      </c>
      <c r="E732" s="68">
        <v>141</v>
      </c>
      <c r="F732" s="68">
        <v>200</v>
      </c>
      <c r="G732" s="68">
        <v>341</v>
      </c>
    </row>
    <row r="733" spans="1:8" x14ac:dyDescent="0.3">
      <c r="A733" t="s">
        <v>688</v>
      </c>
      <c r="B733" t="s">
        <v>30</v>
      </c>
      <c r="C733" t="s">
        <v>6</v>
      </c>
      <c r="D733" t="s">
        <v>22</v>
      </c>
      <c r="E733" s="68">
        <v>103</v>
      </c>
      <c r="F733" s="68">
        <v>105</v>
      </c>
      <c r="G733" s="68">
        <v>208</v>
      </c>
    </row>
    <row r="734" spans="1:8" x14ac:dyDescent="0.3">
      <c r="A734" t="s">
        <v>688</v>
      </c>
      <c r="B734" t="s">
        <v>30</v>
      </c>
      <c r="C734" t="s">
        <v>6</v>
      </c>
      <c r="D734" t="s">
        <v>23</v>
      </c>
      <c r="E734" s="68">
        <v>110</v>
      </c>
      <c r="F734" s="68">
        <v>85</v>
      </c>
      <c r="G734" s="68">
        <v>195</v>
      </c>
    </row>
    <row r="735" spans="1:8" x14ac:dyDescent="0.3">
      <c r="A735" t="s">
        <v>688</v>
      </c>
      <c r="B735" t="s">
        <v>30</v>
      </c>
      <c r="C735" t="s">
        <v>24</v>
      </c>
      <c r="D735" t="s">
        <v>7</v>
      </c>
      <c r="E735" s="68">
        <v>6283</v>
      </c>
      <c r="F735" s="68">
        <v>6773</v>
      </c>
      <c r="G735" s="68">
        <v>13056</v>
      </c>
    </row>
    <row r="736" spans="1:8" x14ac:dyDescent="0.3">
      <c r="A736" t="s">
        <v>688</v>
      </c>
      <c r="B736" t="s">
        <v>30</v>
      </c>
      <c r="C736" t="s">
        <v>24</v>
      </c>
      <c r="D736" t="s">
        <v>8</v>
      </c>
      <c r="E736" s="68">
        <v>12280</v>
      </c>
      <c r="F736" s="68">
        <v>12927</v>
      </c>
      <c r="G736" s="68">
        <v>25207</v>
      </c>
    </row>
    <row r="737" spans="1:7" x14ac:dyDescent="0.3">
      <c r="A737" t="s">
        <v>688</v>
      </c>
      <c r="B737" t="s">
        <v>30</v>
      </c>
      <c r="C737" t="s">
        <v>24</v>
      </c>
      <c r="D737" t="s">
        <v>9</v>
      </c>
      <c r="E737" s="68">
        <v>13231</v>
      </c>
      <c r="F737" s="68">
        <v>13665</v>
      </c>
      <c r="G737" s="68">
        <v>26896</v>
      </c>
    </row>
    <row r="738" spans="1:7" x14ac:dyDescent="0.3">
      <c r="A738" t="s">
        <v>688</v>
      </c>
      <c r="B738" t="s">
        <v>30</v>
      </c>
      <c r="C738" t="s">
        <v>24</v>
      </c>
      <c r="D738" t="s">
        <v>10</v>
      </c>
      <c r="E738" s="68">
        <v>10673</v>
      </c>
      <c r="F738" s="68">
        <v>10703</v>
      </c>
      <c r="G738" s="68">
        <v>21376</v>
      </c>
    </row>
    <row r="739" spans="1:7" x14ac:dyDescent="0.3">
      <c r="A739" t="s">
        <v>688</v>
      </c>
      <c r="B739" t="s">
        <v>30</v>
      </c>
      <c r="C739" t="s">
        <v>24</v>
      </c>
      <c r="D739" t="s">
        <v>11</v>
      </c>
      <c r="E739" s="68">
        <v>9238</v>
      </c>
      <c r="F739" s="68">
        <v>9006</v>
      </c>
      <c r="G739" s="68">
        <v>18244</v>
      </c>
    </row>
    <row r="740" spans="1:7" x14ac:dyDescent="0.3">
      <c r="A740" t="s">
        <v>688</v>
      </c>
      <c r="B740" t="s">
        <v>30</v>
      </c>
      <c r="C740" t="s">
        <v>24</v>
      </c>
      <c r="D740" t="s">
        <v>12</v>
      </c>
      <c r="E740" s="68">
        <v>8984</v>
      </c>
      <c r="F740" s="68">
        <v>8525</v>
      </c>
      <c r="G740" s="68">
        <v>17509</v>
      </c>
    </row>
    <row r="741" spans="1:7" x14ac:dyDescent="0.3">
      <c r="A741" t="s">
        <v>688</v>
      </c>
      <c r="B741" t="s">
        <v>30</v>
      </c>
      <c r="C741" t="s">
        <v>24</v>
      </c>
      <c r="D741" t="s">
        <v>13</v>
      </c>
      <c r="E741" s="68">
        <v>8598</v>
      </c>
      <c r="F741" s="68">
        <v>9133</v>
      </c>
      <c r="G741" s="68">
        <v>17731</v>
      </c>
    </row>
    <row r="742" spans="1:7" x14ac:dyDescent="0.3">
      <c r="A742" t="s">
        <v>688</v>
      </c>
      <c r="B742" t="s">
        <v>30</v>
      </c>
      <c r="C742" t="s">
        <v>24</v>
      </c>
      <c r="D742" t="s">
        <v>14</v>
      </c>
      <c r="E742" s="68">
        <v>8076</v>
      </c>
      <c r="F742" s="68">
        <v>8641</v>
      </c>
      <c r="G742" s="68">
        <v>16717</v>
      </c>
    </row>
    <row r="743" spans="1:7" x14ac:dyDescent="0.3">
      <c r="A743" t="s">
        <v>688</v>
      </c>
      <c r="B743" t="s">
        <v>30</v>
      </c>
      <c r="C743" t="s">
        <v>24</v>
      </c>
      <c r="D743" t="s">
        <v>15</v>
      </c>
      <c r="E743" s="68">
        <v>7994</v>
      </c>
      <c r="F743" s="68">
        <v>8097</v>
      </c>
      <c r="G743" s="68">
        <v>16091</v>
      </c>
    </row>
    <row r="744" spans="1:7" x14ac:dyDescent="0.3">
      <c r="A744" t="s">
        <v>688</v>
      </c>
      <c r="B744" t="s">
        <v>30</v>
      </c>
      <c r="C744" t="s">
        <v>24</v>
      </c>
      <c r="D744" t="s">
        <v>16</v>
      </c>
      <c r="E744" s="68">
        <v>7942</v>
      </c>
      <c r="F744" s="68">
        <v>7554</v>
      </c>
      <c r="G744" s="68">
        <v>15496</v>
      </c>
    </row>
    <row r="745" spans="1:7" x14ac:dyDescent="0.3">
      <c r="A745" t="s">
        <v>688</v>
      </c>
      <c r="B745" t="s">
        <v>30</v>
      </c>
      <c r="C745" t="s">
        <v>24</v>
      </c>
      <c r="D745" t="s">
        <v>17</v>
      </c>
      <c r="E745" s="68">
        <v>7107</v>
      </c>
      <c r="F745" s="68">
        <v>6678</v>
      </c>
      <c r="G745" s="68">
        <v>13785</v>
      </c>
    </row>
    <row r="746" spans="1:7" x14ac:dyDescent="0.3">
      <c r="A746" t="s">
        <v>688</v>
      </c>
      <c r="B746" t="s">
        <v>30</v>
      </c>
      <c r="C746" t="s">
        <v>24</v>
      </c>
      <c r="D746" t="s">
        <v>18</v>
      </c>
      <c r="E746" s="68">
        <v>7910</v>
      </c>
      <c r="F746" s="68">
        <v>7425</v>
      </c>
      <c r="G746" s="68">
        <v>15335</v>
      </c>
    </row>
    <row r="747" spans="1:7" x14ac:dyDescent="0.3">
      <c r="A747" t="s">
        <v>688</v>
      </c>
      <c r="B747" t="s">
        <v>30</v>
      </c>
      <c r="C747" t="s">
        <v>24</v>
      </c>
      <c r="D747" t="s">
        <v>19</v>
      </c>
      <c r="E747" s="68">
        <v>6574</v>
      </c>
      <c r="F747" s="68">
        <v>6366</v>
      </c>
      <c r="G747" s="68">
        <v>12940</v>
      </c>
    </row>
    <row r="748" spans="1:7" x14ac:dyDescent="0.3">
      <c r="A748" t="s">
        <v>688</v>
      </c>
      <c r="B748" t="s">
        <v>30</v>
      </c>
      <c r="C748" t="s">
        <v>24</v>
      </c>
      <c r="D748" t="s">
        <v>20</v>
      </c>
      <c r="E748" s="68">
        <v>4906</v>
      </c>
      <c r="F748" s="68">
        <v>4804</v>
      </c>
      <c r="G748" s="68">
        <v>9710</v>
      </c>
    </row>
    <row r="749" spans="1:7" x14ac:dyDescent="0.3">
      <c r="A749" t="s">
        <v>688</v>
      </c>
      <c r="B749" t="s">
        <v>30</v>
      </c>
      <c r="C749" t="s">
        <v>24</v>
      </c>
      <c r="D749" t="s">
        <v>21</v>
      </c>
      <c r="E749" s="68">
        <v>3404</v>
      </c>
      <c r="F749" s="68">
        <v>3159</v>
      </c>
      <c r="G749" s="68">
        <v>6563</v>
      </c>
    </row>
    <row r="750" spans="1:7" x14ac:dyDescent="0.3">
      <c r="A750" t="s">
        <v>688</v>
      </c>
      <c r="B750" t="s">
        <v>30</v>
      </c>
      <c r="C750" t="s">
        <v>24</v>
      </c>
      <c r="D750" t="s">
        <v>22</v>
      </c>
      <c r="E750" s="68">
        <v>2380</v>
      </c>
      <c r="F750" s="68">
        <v>1954</v>
      </c>
      <c r="G750" s="68">
        <v>4334</v>
      </c>
    </row>
    <row r="751" spans="1:7" x14ac:dyDescent="0.3">
      <c r="A751" t="s">
        <v>688</v>
      </c>
      <c r="B751" t="s">
        <v>30</v>
      </c>
      <c r="C751" t="s">
        <v>24</v>
      </c>
      <c r="D751" t="s">
        <v>23</v>
      </c>
      <c r="E751" s="68">
        <v>3587</v>
      </c>
      <c r="F751" s="68">
        <v>2408</v>
      </c>
      <c r="G751" s="68">
        <v>5995</v>
      </c>
    </row>
    <row r="752" spans="1:7" x14ac:dyDescent="0.3">
      <c r="A752" t="s">
        <v>688</v>
      </c>
      <c r="B752" t="s">
        <v>31</v>
      </c>
      <c r="C752" t="s">
        <v>6</v>
      </c>
      <c r="D752" t="s">
        <v>7</v>
      </c>
      <c r="E752" s="68">
        <v>490</v>
      </c>
      <c r="F752" s="68">
        <v>512</v>
      </c>
      <c r="G752" s="68">
        <v>1002</v>
      </c>
    </row>
    <row r="753" spans="1:7" x14ac:dyDescent="0.3">
      <c r="A753" t="s">
        <v>688</v>
      </c>
      <c r="B753" t="s">
        <v>31</v>
      </c>
      <c r="C753" t="s">
        <v>6</v>
      </c>
      <c r="D753" t="s">
        <v>8</v>
      </c>
      <c r="E753" s="68">
        <v>583</v>
      </c>
      <c r="F753" s="68">
        <v>623</v>
      </c>
      <c r="G753" s="68">
        <v>1206</v>
      </c>
    </row>
    <row r="754" spans="1:7" x14ac:dyDescent="0.3">
      <c r="A754" t="s">
        <v>688</v>
      </c>
      <c r="B754" t="s">
        <v>31</v>
      </c>
      <c r="C754" t="s">
        <v>6</v>
      </c>
      <c r="D754" t="s">
        <v>9</v>
      </c>
      <c r="E754" s="68">
        <v>391</v>
      </c>
      <c r="F754" s="68">
        <v>415</v>
      </c>
      <c r="G754" s="68">
        <v>806</v>
      </c>
    </row>
    <row r="755" spans="1:7" x14ac:dyDescent="0.3">
      <c r="A755" t="s">
        <v>688</v>
      </c>
      <c r="B755" t="s">
        <v>31</v>
      </c>
      <c r="C755" t="s">
        <v>6</v>
      </c>
      <c r="D755" t="s">
        <v>10</v>
      </c>
      <c r="E755" s="68">
        <v>586</v>
      </c>
      <c r="F755" s="68">
        <v>648</v>
      </c>
      <c r="G755" s="68">
        <v>1234</v>
      </c>
    </row>
    <row r="756" spans="1:7" x14ac:dyDescent="0.3">
      <c r="A756" t="s">
        <v>688</v>
      </c>
      <c r="B756" t="s">
        <v>31</v>
      </c>
      <c r="C756" t="s">
        <v>6</v>
      </c>
      <c r="D756" t="s">
        <v>11</v>
      </c>
      <c r="E756" s="68">
        <v>1494</v>
      </c>
      <c r="F756" s="68">
        <v>2331</v>
      </c>
      <c r="G756" s="68">
        <v>3825</v>
      </c>
    </row>
    <row r="757" spans="1:7" x14ac:dyDescent="0.3">
      <c r="A757" t="s">
        <v>688</v>
      </c>
      <c r="B757" t="s">
        <v>31</v>
      </c>
      <c r="C757" t="s">
        <v>6</v>
      </c>
      <c r="D757" t="s">
        <v>12</v>
      </c>
      <c r="E757" s="68">
        <v>1359</v>
      </c>
      <c r="F757" s="68">
        <v>2097</v>
      </c>
      <c r="G757" s="68">
        <v>3456</v>
      </c>
    </row>
    <row r="758" spans="1:7" x14ac:dyDescent="0.3">
      <c r="A758" t="s">
        <v>688</v>
      </c>
      <c r="B758" t="s">
        <v>31</v>
      </c>
      <c r="C758" t="s">
        <v>6</v>
      </c>
      <c r="D758" t="s">
        <v>13</v>
      </c>
      <c r="E758" s="68">
        <v>1116</v>
      </c>
      <c r="F758" s="68">
        <v>1632</v>
      </c>
      <c r="G758" s="68">
        <v>2748</v>
      </c>
    </row>
    <row r="759" spans="1:7" x14ac:dyDescent="0.3">
      <c r="A759" t="s">
        <v>688</v>
      </c>
      <c r="B759" t="s">
        <v>31</v>
      </c>
      <c r="C759" t="s">
        <v>6</v>
      </c>
      <c r="D759" t="s">
        <v>14</v>
      </c>
      <c r="E759" s="68">
        <v>941</v>
      </c>
      <c r="F759" s="68">
        <v>1086</v>
      </c>
      <c r="G759" s="68">
        <v>2027</v>
      </c>
    </row>
    <row r="760" spans="1:7" x14ac:dyDescent="0.3">
      <c r="A760" t="s">
        <v>688</v>
      </c>
      <c r="B760" t="s">
        <v>31</v>
      </c>
      <c r="C760" t="s">
        <v>6</v>
      </c>
      <c r="D760" t="s">
        <v>15</v>
      </c>
      <c r="E760" s="68">
        <v>791</v>
      </c>
      <c r="F760" s="68">
        <v>953</v>
      </c>
      <c r="G760" s="68">
        <v>1744</v>
      </c>
    </row>
    <row r="761" spans="1:7" x14ac:dyDescent="0.3">
      <c r="A761" t="s">
        <v>688</v>
      </c>
      <c r="B761" t="s">
        <v>31</v>
      </c>
      <c r="C761" t="s">
        <v>6</v>
      </c>
      <c r="D761" t="s">
        <v>16</v>
      </c>
      <c r="E761" s="68">
        <v>741</v>
      </c>
      <c r="F761" s="68">
        <v>819</v>
      </c>
      <c r="G761" s="68">
        <v>1560</v>
      </c>
    </row>
    <row r="762" spans="1:7" x14ac:dyDescent="0.3">
      <c r="A762" t="s">
        <v>688</v>
      </c>
      <c r="B762" t="s">
        <v>31</v>
      </c>
      <c r="C762" t="s">
        <v>6</v>
      </c>
      <c r="D762" t="s">
        <v>17</v>
      </c>
      <c r="E762" s="68">
        <v>509</v>
      </c>
      <c r="F762" s="68">
        <v>636</v>
      </c>
      <c r="G762" s="68">
        <v>1145</v>
      </c>
    </row>
    <row r="763" spans="1:7" x14ac:dyDescent="0.3">
      <c r="A763" t="s">
        <v>688</v>
      </c>
      <c r="B763" t="s">
        <v>31</v>
      </c>
      <c r="C763" t="s">
        <v>6</v>
      </c>
      <c r="D763" t="s">
        <v>18</v>
      </c>
      <c r="E763" s="68">
        <v>423</v>
      </c>
      <c r="F763" s="68">
        <v>601</v>
      </c>
      <c r="G763" s="68">
        <v>1024</v>
      </c>
    </row>
    <row r="764" spans="1:7" x14ac:dyDescent="0.3">
      <c r="A764" t="s">
        <v>688</v>
      </c>
      <c r="B764" t="s">
        <v>31</v>
      </c>
      <c r="C764" t="s">
        <v>6</v>
      </c>
      <c r="D764" t="s">
        <v>19</v>
      </c>
      <c r="E764" s="68">
        <v>405</v>
      </c>
      <c r="F764" s="68">
        <v>505</v>
      </c>
      <c r="G764" s="68">
        <v>910</v>
      </c>
    </row>
    <row r="765" spans="1:7" x14ac:dyDescent="0.3">
      <c r="A765" t="s">
        <v>688</v>
      </c>
      <c r="B765" t="s">
        <v>31</v>
      </c>
      <c r="C765" t="s">
        <v>6</v>
      </c>
      <c r="D765" t="s">
        <v>20</v>
      </c>
      <c r="E765" s="68">
        <v>365</v>
      </c>
      <c r="F765" s="68">
        <v>443</v>
      </c>
      <c r="G765" s="68">
        <v>808</v>
      </c>
    </row>
    <row r="766" spans="1:7" x14ac:dyDescent="0.3">
      <c r="A766" t="s">
        <v>688</v>
      </c>
      <c r="B766" t="s">
        <v>31</v>
      </c>
      <c r="C766" t="s">
        <v>6</v>
      </c>
      <c r="D766" t="s">
        <v>21</v>
      </c>
      <c r="E766" s="68">
        <v>258</v>
      </c>
      <c r="F766" s="68">
        <v>263</v>
      </c>
      <c r="G766" s="68">
        <v>521</v>
      </c>
    </row>
    <row r="767" spans="1:7" x14ac:dyDescent="0.3">
      <c r="A767" t="s">
        <v>688</v>
      </c>
      <c r="B767" t="s">
        <v>31</v>
      </c>
      <c r="C767" t="s">
        <v>6</v>
      </c>
      <c r="D767" t="s">
        <v>22</v>
      </c>
      <c r="E767" s="68">
        <v>191</v>
      </c>
      <c r="F767" s="68">
        <v>177</v>
      </c>
      <c r="G767" s="68">
        <v>368</v>
      </c>
    </row>
    <row r="768" spans="1:7" x14ac:dyDescent="0.3">
      <c r="A768" t="s">
        <v>688</v>
      </c>
      <c r="B768" t="s">
        <v>31</v>
      </c>
      <c r="C768" t="s">
        <v>6</v>
      </c>
      <c r="D768" t="s">
        <v>23</v>
      </c>
      <c r="E768" s="68">
        <v>304</v>
      </c>
      <c r="F768" s="68">
        <v>188</v>
      </c>
      <c r="G768" s="68">
        <v>492</v>
      </c>
    </row>
    <row r="769" spans="1:7" x14ac:dyDescent="0.3">
      <c r="A769" t="s">
        <v>688</v>
      </c>
      <c r="B769" t="s">
        <v>31</v>
      </c>
      <c r="C769" t="s">
        <v>24</v>
      </c>
      <c r="D769" t="s">
        <v>7</v>
      </c>
      <c r="E769" s="68">
        <v>8676</v>
      </c>
      <c r="F769" s="68">
        <v>9377</v>
      </c>
      <c r="G769" s="68">
        <v>18053</v>
      </c>
    </row>
    <row r="770" spans="1:7" x14ac:dyDescent="0.3">
      <c r="A770" t="s">
        <v>688</v>
      </c>
      <c r="B770" t="s">
        <v>31</v>
      </c>
      <c r="C770" t="s">
        <v>24</v>
      </c>
      <c r="D770" t="s">
        <v>8</v>
      </c>
      <c r="E770" s="68">
        <v>12810</v>
      </c>
      <c r="F770" s="68">
        <v>13553</v>
      </c>
      <c r="G770" s="68">
        <v>26363</v>
      </c>
    </row>
    <row r="771" spans="1:7" x14ac:dyDescent="0.3">
      <c r="A771" t="s">
        <v>688</v>
      </c>
      <c r="B771" t="s">
        <v>31</v>
      </c>
      <c r="C771" t="s">
        <v>24</v>
      </c>
      <c r="D771" t="s">
        <v>9</v>
      </c>
      <c r="E771" s="68">
        <v>13419</v>
      </c>
      <c r="F771" s="68">
        <v>14380</v>
      </c>
      <c r="G771" s="68">
        <v>27799</v>
      </c>
    </row>
    <row r="772" spans="1:7" x14ac:dyDescent="0.3">
      <c r="A772" t="s">
        <v>688</v>
      </c>
      <c r="B772" t="s">
        <v>31</v>
      </c>
      <c r="C772" t="s">
        <v>24</v>
      </c>
      <c r="D772" t="s">
        <v>10</v>
      </c>
      <c r="E772" s="68">
        <v>15647</v>
      </c>
      <c r="F772" s="68">
        <v>15510</v>
      </c>
      <c r="G772" s="68">
        <v>31157</v>
      </c>
    </row>
    <row r="773" spans="1:7" x14ac:dyDescent="0.3">
      <c r="A773" t="s">
        <v>688</v>
      </c>
      <c r="B773" t="s">
        <v>31</v>
      </c>
      <c r="C773" t="s">
        <v>24</v>
      </c>
      <c r="D773" t="s">
        <v>11</v>
      </c>
      <c r="E773" s="68">
        <v>13226</v>
      </c>
      <c r="F773" s="68">
        <v>10797</v>
      </c>
      <c r="G773" s="68">
        <v>24023</v>
      </c>
    </row>
    <row r="774" spans="1:7" x14ac:dyDescent="0.3">
      <c r="A774" t="s">
        <v>688</v>
      </c>
      <c r="B774" t="s">
        <v>31</v>
      </c>
      <c r="C774" t="s">
        <v>24</v>
      </c>
      <c r="D774" t="s">
        <v>12</v>
      </c>
      <c r="E774" s="68">
        <v>11727</v>
      </c>
      <c r="F774" s="68">
        <v>8691</v>
      </c>
      <c r="G774" s="68">
        <v>20418</v>
      </c>
    </row>
    <row r="775" spans="1:7" x14ac:dyDescent="0.3">
      <c r="A775" t="s">
        <v>688</v>
      </c>
      <c r="B775" t="s">
        <v>31</v>
      </c>
      <c r="C775" t="s">
        <v>24</v>
      </c>
      <c r="D775" t="s">
        <v>13</v>
      </c>
      <c r="E775" s="68">
        <v>11423</v>
      </c>
      <c r="F775" s="68">
        <v>8320</v>
      </c>
      <c r="G775" s="68">
        <v>19743</v>
      </c>
    </row>
    <row r="776" spans="1:7" x14ac:dyDescent="0.3">
      <c r="A776" t="s">
        <v>688</v>
      </c>
      <c r="B776" t="s">
        <v>31</v>
      </c>
      <c r="C776" t="s">
        <v>24</v>
      </c>
      <c r="D776" t="s">
        <v>14</v>
      </c>
      <c r="E776" s="68">
        <v>10115</v>
      </c>
      <c r="F776" s="68">
        <v>7409</v>
      </c>
      <c r="G776" s="68">
        <v>17524</v>
      </c>
    </row>
    <row r="777" spans="1:7" x14ac:dyDescent="0.3">
      <c r="A777" t="s">
        <v>688</v>
      </c>
      <c r="B777" t="s">
        <v>31</v>
      </c>
      <c r="C777" t="s">
        <v>24</v>
      </c>
      <c r="D777" t="s">
        <v>15</v>
      </c>
      <c r="E777" s="68">
        <v>10625</v>
      </c>
      <c r="F777" s="68">
        <v>7945</v>
      </c>
      <c r="G777" s="68">
        <v>18570</v>
      </c>
    </row>
    <row r="778" spans="1:7" x14ac:dyDescent="0.3">
      <c r="A778" t="s">
        <v>688</v>
      </c>
      <c r="B778" t="s">
        <v>31</v>
      </c>
      <c r="C778" t="s">
        <v>24</v>
      </c>
      <c r="D778" t="s">
        <v>16</v>
      </c>
      <c r="E778" s="68">
        <v>10881</v>
      </c>
      <c r="F778" s="68">
        <v>8274</v>
      </c>
      <c r="G778" s="68">
        <v>19155</v>
      </c>
    </row>
    <row r="779" spans="1:7" x14ac:dyDescent="0.3">
      <c r="A779" t="s">
        <v>688</v>
      </c>
      <c r="B779" t="s">
        <v>31</v>
      </c>
      <c r="C779" t="s">
        <v>24</v>
      </c>
      <c r="D779" t="s">
        <v>17</v>
      </c>
      <c r="E779" s="68">
        <v>9379</v>
      </c>
      <c r="F779" s="68">
        <v>7243</v>
      </c>
      <c r="G779" s="68">
        <v>16622</v>
      </c>
    </row>
    <row r="780" spans="1:7" x14ac:dyDescent="0.3">
      <c r="A780" t="s">
        <v>688</v>
      </c>
      <c r="B780" t="s">
        <v>31</v>
      </c>
      <c r="C780" t="s">
        <v>24</v>
      </c>
      <c r="D780" t="s">
        <v>18</v>
      </c>
      <c r="E780" s="68">
        <v>9485</v>
      </c>
      <c r="F780" s="68">
        <v>7641</v>
      </c>
      <c r="G780" s="68">
        <v>17126</v>
      </c>
    </row>
    <row r="781" spans="1:7" x14ac:dyDescent="0.3">
      <c r="A781" t="s">
        <v>688</v>
      </c>
      <c r="B781" t="s">
        <v>31</v>
      </c>
      <c r="C781" t="s">
        <v>24</v>
      </c>
      <c r="D781" t="s">
        <v>19</v>
      </c>
      <c r="E781" s="68">
        <v>9152</v>
      </c>
      <c r="F781" s="68">
        <v>7875</v>
      </c>
      <c r="G781" s="68">
        <v>17027</v>
      </c>
    </row>
    <row r="782" spans="1:7" x14ac:dyDescent="0.3">
      <c r="A782" t="s">
        <v>688</v>
      </c>
      <c r="B782" t="s">
        <v>31</v>
      </c>
      <c r="C782" t="s">
        <v>24</v>
      </c>
      <c r="D782" t="s">
        <v>20</v>
      </c>
      <c r="E782" s="68">
        <v>7941</v>
      </c>
      <c r="F782" s="68">
        <v>6905</v>
      </c>
      <c r="G782" s="68">
        <v>14846</v>
      </c>
    </row>
    <row r="783" spans="1:7" x14ac:dyDescent="0.3">
      <c r="A783" t="s">
        <v>688</v>
      </c>
      <c r="B783" t="s">
        <v>31</v>
      </c>
      <c r="C783" t="s">
        <v>24</v>
      </c>
      <c r="D783" t="s">
        <v>21</v>
      </c>
      <c r="E783" s="68">
        <v>5458</v>
      </c>
      <c r="F783" s="68">
        <v>4650</v>
      </c>
      <c r="G783" s="68">
        <v>10108</v>
      </c>
    </row>
    <row r="784" spans="1:7" x14ac:dyDescent="0.3">
      <c r="A784" t="s">
        <v>688</v>
      </c>
      <c r="B784" t="s">
        <v>31</v>
      </c>
      <c r="C784" t="s">
        <v>24</v>
      </c>
      <c r="D784" t="s">
        <v>22</v>
      </c>
      <c r="E784" s="68">
        <v>3662</v>
      </c>
      <c r="F784" s="68">
        <v>3021</v>
      </c>
      <c r="G784" s="68">
        <v>6683</v>
      </c>
    </row>
    <row r="785" spans="1:7" x14ac:dyDescent="0.3">
      <c r="A785" t="s">
        <v>688</v>
      </c>
      <c r="B785" t="s">
        <v>31</v>
      </c>
      <c r="C785" t="s">
        <v>24</v>
      </c>
      <c r="D785" t="s">
        <v>23</v>
      </c>
      <c r="E785" s="68">
        <v>5292</v>
      </c>
      <c r="F785" s="68">
        <v>3648</v>
      </c>
      <c r="G785" s="68">
        <v>8940</v>
      </c>
    </row>
    <row r="786" spans="1:7" x14ac:dyDescent="0.3">
      <c r="A786" t="s">
        <v>688</v>
      </c>
      <c r="B786" t="s">
        <v>32</v>
      </c>
      <c r="C786" t="s">
        <v>6</v>
      </c>
      <c r="D786" t="s">
        <v>7</v>
      </c>
      <c r="E786" s="68"/>
      <c r="F786" s="68">
        <v>1</v>
      </c>
      <c r="G786" s="68">
        <v>1</v>
      </c>
    </row>
    <row r="787" spans="1:7" x14ac:dyDescent="0.3">
      <c r="A787" t="s">
        <v>688</v>
      </c>
      <c r="B787" t="s">
        <v>32</v>
      </c>
      <c r="C787" t="s">
        <v>6</v>
      </c>
      <c r="D787" t="s">
        <v>9</v>
      </c>
      <c r="E787" s="68">
        <v>1</v>
      </c>
      <c r="F787" s="68">
        <v>1</v>
      </c>
      <c r="G787" s="68">
        <v>2</v>
      </c>
    </row>
    <row r="788" spans="1:7" x14ac:dyDescent="0.3">
      <c r="A788" t="s">
        <v>688</v>
      </c>
      <c r="B788" t="s">
        <v>32</v>
      </c>
      <c r="C788" t="s">
        <v>6</v>
      </c>
      <c r="D788" t="s">
        <v>10</v>
      </c>
      <c r="E788" s="68">
        <v>11</v>
      </c>
      <c r="F788" s="68">
        <v>10</v>
      </c>
      <c r="G788" s="68">
        <v>21</v>
      </c>
    </row>
    <row r="789" spans="1:7" x14ac:dyDescent="0.3">
      <c r="A789" t="s">
        <v>688</v>
      </c>
      <c r="B789" t="s">
        <v>32</v>
      </c>
      <c r="C789" t="s">
        <v>6</v>
      </c>
      <c r="D789" t="s">
        <v>11</v>
      </c>
      <c r="E789" s="68">
        <v>43</v>
      </c>
      <c r="F789" s="68">
        <v>70</v>
      </c>
      <c r="G789" s="68">
        <v>113</v>
      </c>
    </row>
    <row r="790" spans="1:7" x14ac:dyDescent="0.3">
      <c r="A790" t="s">
        <v>688</v>
      </c>
      <c r="B790" t="s">
        <v>32</v>
      </c>
      <c r="C790" t="s">
        <v>6</v>
      </c>
      <c r="D790" t="s">
        <v>12</v>
      </c>
      <c r="E790" s="68">
        <v>28</v>
      </c>
      <c r="F790" s="68">
        <v>59</v>
      </c>
      <c r="G790" s="68">
        <v>87</v>
      </c>
    </row>
    <row r="791" spans="1:7" x14ac:dyDescent="0.3">
      <c r="A791" t="s">
        <v>688</v>
      </c>
      <c r="B791" t="s">
        <v>32</v>
      </c>
      <c r="C791" t="s">
        <v>6</v>
      </c>
      <c r="D791" t="s">
        <v>13</v>
      </c>
      <c r="E791" s="68">
        <v>23</v>
      </c>
      <c r="F791" s="68">
        <v>41</v>
      </c>
      <c r="G791" s="68">
        <v>64</v>
      </c>
    </row>
    <row r="792" spans="1:7" x14ac:dyDescent="0.3">
      <c r="A792" t="s">
        <v>688</v>
      </c>
      <c r="B792" t="s">
        <v>32</v>
      </c>
      <c r="C792" t="s">
        <v>6</v>
      </c>
      <c r="D792" t="s">
        <v>14</v>
      </c>
      <c r="E792" s="68">
        <v>14</v>
      </c>
      <c r="F792" s="68">
        <v>25</v>
      </c>
      <c r="G792" s="68">
        <v>39</v>
      </c>
    </row>
    <row r="793" spans="1:7" x14ac:dyDescent="0.3">
      <c r="A793" t="s">
        <v>688</v>
      </c>
      <c r="B793" t="s">
        <v>32</v>
      </c>
      <c r="C793" t="s">
        <v>6</v>
      </c>
      <c r="D793" t="s">
        <v>15</v>
      </c>
      <c r="E793" s="68">
        <v>10</v>
      </c>
      <c r="F793" s="68">
        <v>31</v>
      </c>
      <c r="G793" s="68">
        <v>41</v>
      </c>
    </row>
    <row r="794" spans="1:7" x14ac:dyDescent="0.3">
      <c r="A794" t="s">
        <v>688</v>
      </c>
      <c r="B794" t="s">
        <v>32</v>
      </c>
      <c r="C794" t="s">
        <v>6</v>
      </c>
      <c r="D794" t="s">
        <v>16</v>
      </c>
      <c r="E794" s="68">
        <v>11</v>
      </c>
      <c r="F794" s="68">
        <v>19</v>
      </c>
      <c r="G794" s="68">
        <v>30</v>
      </c>
    </row>
    <row r="795" spans="1:7" x14ac:dyDescent="0.3">
      <c r="A795" t="s">
        <v>688</v>
      </c>
      <c r="B795" t="s">
        <v>32</v>
      </c>
      <c r="C795" t="s">
        <v>6</v>
      </c>
      <c r="D795" t="s">
        <v>17</v>
      </c>
      <c r="E795" s="68">
        <v>10</v>
      </c>
      <c r="F795" s="68">
        <v>18</v>
      </c>
      <c r="G795" s="68">
        <v>28</v>
      </c>
    </row>
    <row r="796" spans="1:7" x14ac:dyDescent="0.3">
      <c r="A796" t="s">
        <v>688</v>
      </c>
      <c r="B796" t="s">
        <v>32</v>
      </c>
      <c r="C796" t="s">
        <v>6</v>
      </c>
      <c r="D796" t="s">
        <v>18</v>
      </c>
      <c r="E796" s="68">
        <v>4</v>
      </c>
      <c r="F796" s="68">
        <v>6</v>
      </c>
      <c r="G796" s="68">
        <v>10</v>
      </c>
    </row>
    <row r="797" spans="1:7" x14ac:dyDescent="0.3">
      <c r="A797" t="s">
        <v>688</v>
      </c>
      <c r="B797" t="s">
        <v>32</v>
      </c>
      <c r="C797" t="s">
        <v>6</v>
      </c>
      <c r="D797" t="s">
        <v>19</v>
      </c>
      <c r="E797" s="68">
        <v>1</v>
      </c>
      <c r="F797" s="68">
        <v>4</v>
      </c>
      <c r="G797" s="68">
        <v>5</v>
      </c>
    </row>
    <row r="798" spans="1:7" x14ac:dyDescent="0.3">
      <c r="A798" t="s">
        <v>688</v>
      </c>
      <c r="B798" t="s">
        <v>32</v>
      </c>
      <c r="C798" t="s">
        <v>6</v>
      </c>
      <c r="D798" t="s">
        <v>20</v>
      </c>
      <c r="E798" s="68"/>
      <c r="F798" s="68">
        <v>1</v>
      </c>
      <c r="G798" s="68">
        <v>1</v>
      </c>
    </row>
    <row r="799" spans="1:7" x14ac:dyDescent="0.3">
      <c r="A799" t="s">
        <v>688</v>
      </c>
      <c r="B799" t="s">
        <v>32</v>
      </c>
      <c r="C799" t="s">
        <v>6</v>
      </c>
      <c r="D799" t="s">
        <v>21</v>
      </c>
      <c r="E799" s="68"/>
      <c r="F799" s="68">
        <v>2</v>
      </c>
      <c r="G799" s="68">
        <v>2</v>
      </c>
    </row>
    <row r="800" spans="1:7" x14ac:dyDescent="0.3">
      <c r="A800" t="s">
        <v>688</v>
      </c>
      <c r="B800" t="s">
        <v>32</v>
      </c>
      <c r="C800" t="s">
        <v>6</v>
      </c>
      <c r="D800" t="s">
        <v>23</v>
      </c>
      <c r="E800" s="68">
        <v>1</v>
      </c>
      <c r="F800" s="68"/>
      <c r="G800" s="68">
        <v>1</v>
      </c>
    </row>
    <row r="801" spans="1:7" x14ac:dyDescent="0.3">
      <c r="A801" t="s">
        <v>688</v>
      </c>
      <c r="B801" t="s">
        <v>32</v>
      </c>
      <c r="C801" t="s">
        <v>24</v>
      </c>
      <c r="D801" t="s">
        <v>7</v>
      </c>
      <c r="E801" s="68">
        <v>294</v>
      </c>
      <c r="F801" s="68">
        <v>333</v>
      </c>
      <c r="G801" s="68">
        <v>627</v>
      </c>
    </row>
    <row r="802" spans="1:7" x14ac:dyDescent="0.3">
      <c r="A802" t="s">
        <v>688</v>
      </c>
      <c r="B802" t="s">
        <v>32</v>
      </c>
      <c r="C802" t="s">
        <v>24</v>
      </c>
      <c r="D802" t="s">
        <v>8</v>
      </c>
      <c r="E802" s="68">
        <v>434</v>
      </c>
      <c r="F802" s="68">
        <v>513</v>
      </c>
      <c r="G802" s="68">
        <v>947</v>
      </c>
    </row>
    <row r="803" spans="1:7" x14ac:dyDescent="0.3">
      <c r="A803" t="s">
        <v>688</v>
      </c>
      <c r="B803" t="s">
        <v>32</v>
      </c>
      <c r="C803" t="s">
        <v>24</v>
      </c>
      <c r="D803" t="s">
        <v>9</v>
      </c>
      <c r="E803" s="68">
        <v>454</v>
      </c>
      <c r="F803" s="68">
        <v>529</v>
      </c>
      <c r="G803" s="68">
        <v>983</v>
      </c>
    </row>
    <row r="804" spans="1:7" x14ac:dyDescent="0.3">
      <c r="A804" t="s">
        <v>688</v>
      </c>
      <c r="B804" t="s">
        <v>32</v>
      </c>
      <c r="C804" t="s">
        <v>24</v>
      </c>
      <c r="D804" t="s">
        <v>10</v>
      </c>
      <c r="E804" s="68">
        <v>598</v>
      </c>
      <c r="F804" s="68">
        <v>572</v>
      </c>
      <c r="G804" s="68">
        <v>1170</v>
      </c>
    </row>
    <row r="805" spans="1:7" x14ac:dyDescent="0.3">
      <c r="A805" t="s">
        <v>688</v>
      </c>
      <c r="B805" t="s">
        <v>32</v>
      </c>
      <c r="C805" t="s">
        <v>24</v>
      </c>
      <c r="D805" t="s">
        <v>11</v>
      </c>
      <c r="E805" s="68">
        <v>451</v>
      </c>
      <c r="F805" s="68">
        <v>571</v>
      </c>
      <c r="G805" s="68">
        <v>1022</v>
      </c>
    </row>
    <row r="806" spans="1:7" x14ac:dyDescent="0.3">
      <c r="A806" t="s">
        <v>688</v>
      </c>
      <c r="B806" t="s">
        <v>32</v>
      </c>
      <c r="C806" t="s">
        <v>24</v>
      </c>
      <c r="D806" t="s">
        <v>12</v>
      </c>
      <c r="E806" s="68">
        <v>437</v>
      </c>
      <c r="F806" s="68">
        <v>520</v>
      </c>
      <c r="G806" s="68">
        <v>957</v>
      </c>
    </row>
    <row r="807" spans="1:7" x14ac:dyDescent="0.3">
      <c r="A807" t="s">
        <v>688</v>
      </c>
      <c r="B807" t="s">
        <v>32</v>
      </c>
      <c r="C807" t="s">
        <v>24</v>
      </c>
      <c r="D807" t="s">
        <v>13</v>
      </c>
      <c r="E807" s="68">
        <v>455</v>
      </c>
      <c r="F807" s="68">
        <v>511</v>
      </c>
      <c r="G807" s="68">
        <v>966</v>
      </c>
    </row>
    <row r="808" spans="1:7" x14ac:dyDescent="0.3">
      <c r="A808" t="s">
        <v>688</v>
      </c>
      <c r="B808" t="s">
        <v>32</v>
      </c>
      <c r="C808" t="s">
        <v>24</v>
      </c>
      <c r="D808" t="s">
        <v>14</v>
      </c>
      <c r="E808" s="68">
        <v>473</v>
      </c>
      <c r="F808" s="68">
        <v>438</v>
      </c>
      <c r="G808" s="68">
        <v>911</v>
      </c>
    </row>
    <row r="809" spans="1:7" x14ac:dyDescent="0.3">
      <c r="A809" t="s">
        <v>688</v>
      </c>
      <c r="B809" t="s">
        <v>32</v>
      </c>
      <c r="C809" t="s">
        <v>24</v>
      </c>
      <c r="D809" t="s">
        <v>15</v>
      </c>
      <c r="E809" s="68">
        <v>419</v>
      </c>
      <c r="F809" s="68">
        <v>455</v>
      </c>
      <c r="G809" s="68">
        <v>874</v>
      </c>
    </row>
    <row r="810" spans="1:7" x14ac:dyDescent="0.3">
      <c r="A810" t="s">
        <v>688</v>
      </c>
      <c r="B810" t="s">
        <v>32</v>
      </c>
      <c r="C810" t="s">
        <v>24</v>
      </c>
      <c r="D810" t="s">
        <v>16</v>
      </c>
      <c r="E810" s="68">
        <v>391</v>
      </c>
      <c r="F810" s="68">
        <v>358</v>
      </c>
      <c r="G810" s="68">
        <v>749</v>
      </c>
    </row>
    <row r="811" spans="1:7" x14ac:dyDescent="0.3">
      <c r="A811" t="s">
        <v>688</v>
      </c>
      <c r="B811" t="s">
        <v>32</v>
      </c>
      <c r="C811" t="s">
        <v>24</v>
      </c>
      <c r="D811" t="s">
        <v>17</v>
      </c>
      <c r="E811" s="68">
        <v>293</v>
      </c>
      <c r="F811" s="68">
        <v>305</v>
      </c>
      <c r="G811" s="68">
        <v>598</v>
      </c>
    </row>
    <row r="812" spans="1:7" x14ac:dyDescent="0.3">
      <c r="A812" t="s">
        <v>688</v>
      </c>
      <c r="B812" t="s">
        <v>32</v>
      </c>
      <c r="C812" t="s">
        <v>24</v>
      </c>
      <c r="D812" t="s">
        <v>18</v>
      </c>
      <c r="E812" s="68">
        <v>255</v>
      </c>
      <c r="F812" s="68">
        <v>240</v>
      </c>
      <c r="G812" s="68">
        <v>495</v>
      </c>
    </row>
    <row r="813" spans="1:7" x14ac:dyDescent="0.3">
      <c r="A813" t="s">
        <v>688</v>
      </c>
      <c r="B813" t="s">
        <v>32</v>
      </c>
      <c r="C813" t="s">
        <v>24</v>
      </c>
      <c r="D813" t="s">
        <v>19</v>
      </c>
      <c r="E813" s="68">
        <v>212</v>
      </c>
      <c r="F813" s="68">
        <v>234</v>
      </c>
      <c r="G813" s="68">
        <v>446</v>
      </c>
    </row>
    <row r="814" spans="1:7" x14ac:dyDescent="0.3">
      <c r="A814" t="s">
        <v>688</v>
      </c>
      <c r="B814" t="s">
        <v>32</v>
      </c>
      <c r="C814" t="s">
        <v>24</v>
      </c>
      <c r="D814" t="s">
        <v>20</v>
      </c>
      <c r="E814" s="68">
        <v>162</v>
      </c>
      <c r="F814" s="68">
        <v>165</v>
      </c>
      <c r="G814" s="68">
        <v>327</v>
      </c>
    </row>
    <row r="815" spans="1:7" x14ac:dyDescent="0.3">
      <c r="A815" t="s">
        <v>688</v>
      </c>
      <c r="B815" t="s">
        <v>32</v>
      </c>
      <c r="C815" t="s">
        <v>24</v>
      </c>
      <c r="D815" t="s">
        <v>21</v>
      </c>
      <c r="E815" s="68">
        <v>99</v>
      </c>
      <c r="F815" s="68">
        <v>82</v>
      </c>
      <c r="G815" s="68">
        <v>181</v>
      </c>
    </row>
    <row r="816" spans="1:7" x14ac:dyDescent="0.3">
      <c r="A816" t="s">
        <v>688</v>
      </c>
      <c r="B816" t="s">
        <v>32</v>
      </c>
      <c r="C816" t="s">
        <v>24</v>
      </c>
      <c r="D816" t="s">
        <v>22</v>
      </c>
      <c r="E816" s="68">
        <v>56</v>
      </c>
      <c r="F816" s="68">
        <v>39</v>
      </c>
      <c r="G816" s="68">
        <v>95</v>
      </c>
    </row>
    <row r="817" spans="1:7" x14ac:dyDescent="0.3">
      <c r="A817" t="s">
        <v>688</v>
      </c>
      <c r="B817" t="s">
        <v>32</v>
      </c>
      <c r="C817" t="s">
        <v>24</v>
      </c>
      <c r="D817" t="s">
        <v>23</v>
      </c>
      <c r="E817" s="68">
        <v>81</v>
      </c>
      <c r="F817" s="68">
        <v>60</v>
      </c>
      <c r="G817" s="68">
        <v>141</v>
      </c>
    </row>
    <row r="818" spans="1:7" x14ac:dyDescent="0.3">
      <c r="A818" t="s">
        <v>688</v>
      </c>
      <c r="B818" t="s">
        <v>5</v>
      </c>
      <c r="C818" t="s">
        <v>6</v>
      </c>
      <c r="D818" t="s">
        <v>7</v>
      </c>
      <c r="E818" s="68">
        <v>4398</v>
      </c>
      <c r="F818" s="68">
        <v>4607</v>
      </c>
      <c r="G818" s="68">
        <v>9005</v>
      </c>
    </row>
    <row r="819" spans="1:7" x14ac:dyDescent="0.3">
      <c r="A819" t="s">
        <v>688</v>
      </c>
      <c r="B819" t="s">
        <v>5</v>
      </c>
      <c r="C819" t="s">
        <v>6</v>
      </c>
      <c r="D819" t="s">
        <v>8</v>
      </c>
      <c r="E819" s="68">
        <v>5905</v>
      </c>
      <c r="F819" s="68">
        <v>6118</v>
      </c>
      <c r="G819" s="68">
        <v>12023</v>
      </c>
    </row>
    <row r="820" spans="1:7" x14ac:dyDescent="0.3">
      <c r="A820" t="s">
        <v>688</v>
      </c>
      <c r="B820" t="s">
        <v>5</v>
      </c>
      <c r="C820" t="s">
        <v>6</v>
      </c>
      <c r="D820" t="s">
        <v>9</v>
      </c>
      <c r="E820" s="68">
        <v>6403</v>
      </c>
      <c r="F820" s="68">
        <v>6593</v>
      </c>
      <c r="G820" s="68">
        <v>12996</v>
      </c>
    </row>
    <row r="821" spans="1:7" x14ac:dyDescent="0.3">
      <c r="A821" t="s">
        <v>688</v>
      </c>
      <c r="B821" t="s">
        <v>5</v>
      </c>
      <c r="C821" t="s">
        <v>6</v>
      </c>
      <c r="D821" t="s">
        <v>10</v>
      </c>
      <c r="E821" s="68">
        <v>6349</v>
      </c>
      <c r="F821" s="68">
        <v>6533</v>
      </c>
      <c r="G821" s="68">
        <v>12882</v>
      </c>
    </row>
    <row r="822" spans="1:7" x14ac:dyDescent="0.3">
      <c r="A822" t="s">
        <v>688</v>
      </c>
      <c r="B822" t="s">
        <v>5</v>
      </c>
      <c r="C822" t="s">
        <v>6</v>
      </c>
      <c r="D822" t="s">
        <v>11</v>
      </c>
      <c r="E822" s="68">
        <v>6583</v>
      </c>
      <c r="F822" s="68">
        <v>6076</v>
      </c>
      <c r="G822" s="68">
        <v>12659</v>
      </c>
    </row>
    <row r="823" spans="1:7" x14ac:dyDescent="0.3">
      <c r="A823" t="s">
        <v>688</v>
      </c>
      <c r="B823" t="s">
        <v>5</v>
      </c>
      <c r="C823" t="s">
        <v>6</v>
      </c>
      <c r="D823" t="s">
        <v>12</v>
      </c>
      <c r="E823" s="68">
        <v>7778</v>
      </c>
      <c r="F823" s="68">
        <v>6339</v>
      </c>
      <c r="G823" s="68">
        <v>14117</v>
      </c>
    </row>
    <row r="824" spans="1:7" x14ac:dyDescent="0.3">
      <c r="A824" t="s">
        <v>688</v>
      </c>
      <c r="B824" t="s">
        <v>5</v>
      </c>
      <c r="C824" t="s">
        <v>6</v>
      </c>
      <c r="D824" t="s">
        <v>13</v>
      </c>
      <c r="E824" s="68">
        <v>8913</v>
      </c>
      <c r="F824" s="68">
        <v>7182</v>
      </c>
      <c r="G824" s="68">
        <v>16095</v>
      </c>
    </row>
    <row r="825" spans="1:7" x14ac:dyDescent="0.3">
      <c r="A825" t="s">
        <v>688</v>
      </c>
      <c r="B825" t="s">
        <v>5</v>
      </c>
      <c r="C825" t="s">
        <v>6</v>
      </c>
      <c r="D825" t="s">
        <v>14</v>
      </c>
      <c r="E825" s="68">
        <v>8681</v>
      </c>
      <c r="F825" s="68">
        <v>7135</v>
      </c>
      <c r="G825" s="68">
        <v>15816</v>
      </c>
    </row>
    <row r="826" spans="1:7" x14ac:dyDescent="0.3">
      <c r="A826" t="s">
        <v>688</v>
      </c>
      <c r="B826" t="s">
        <v>5</v>
      </c>
      <c r="C826" t="s">
        <v>6</v>
      </c>
      <c r="D826" t="s">
        <v>15</v>
      </c>
      <c r="E826" s="68">
        <v>8625</v>
      </c>
      <c r="F826" s="68">
        <v>7361</v>
      </c>
      <c r="G826" s="68">
        <v>15986</v>
      </c>
    </row>
    <row r="827" spans="1:7" x14ac:dyDescent="0.3">
      <c r="A827" t="s">
        <v>688</v>
      </c>
      <c r="B827" t="s">
        <v>5</v>
      </c>
      <c r="C827" t="s">
        <v>6</v>
      </c>
      <c r="D827" t="s">
        <v>16</v>
      </c>
      <c r="E827" s="68">
        <v>7250</v>
      </c>
      <c r="F827" s="68">
        <v>6635</v>
      </c>
      <c r="G827" s="68">
        <v>13885</v>
      </c>
    </row>
    <row r="828" spans="1:7" x14ac:dyDescent="0.3">
      <c r="A828" t="s">
        <v>688</v>
      </c>
      <c r="B828" t="s">
        <v>5</v>
      </c>
      <c r="C828" t="s">
        <v>6</v>
      </c>
      <c r="D828" t="s">
        <v>17</v>
      </c>
      <c r="E828" s="68">
        <v>5635</v>
      </c>
      <c r="F828" s="68">
        <v>4910</v>
      </c>
      <c r="G828" s="68">
        <v>10545</v>
      </c>
    </row>
    <row r="829" spans="1:7" x14ac:dyDescent="0.3">
      <c r="A829" t="s">
        <v>688</v>
      </c>
      <c r="B829" t="s">
        <v>5</v>
      </c>
      <c r="C829" t="s">
        <v>6</v>
      </c>
      <c r="D829" t="s">
        <v>18</v>
      </c>
      <c r="E829" s="68">
        <v>5532</v>
      </c>
      <c r="F829" s="68">
        <v>4419</v>
      </c>
      <c r="G829" s="68">
        <v>9951</v>
      </c>
    </row>
    <row r="830" spans="1:7" x14ac:dyDescent="0.3">
      <c r="A830" t="s">
        <v>688</v>
      </c>
      <c r="B830" t="s">
        <v>5</v>
      </c>
      <c r="C830" t="s">
        <v>6</v>
      </c>
      <c r="D830" t="s">
        <v>19</v>
      </c>
      <c r="E830" s="68">
        <v>5736</v>
      </c>
      <c r="F830" s="68">
        <v>4423</v>
      </c>
      <c r="G830" s="68">
        <v>10159</v>
      </c>
    </row>
    <row r="831" spans="1:7" x14ac:dyDescent="0.3">
      <c r="A831" t="s">
        <v>688</v>
      </c>
      <c r="B831" t="s">
        <v>5</v>
      </c>
      <c r="C831" t="s">
        <v>6</v>
      </c>
      <c r="D831" t="s">
        <v>20</v>
      </c>
      <c r="E831" s="68">
        <v>4816</v>
      </c>
      <c r="F831" s="68">
        <v>3734</v>
      </c>
      <c r="G831" s="68">
        <v>8550</v>
      </c>
    </row>
    <row r="832" spans="1:7" x14ac:dyDescent="0.3">
      <c r="A832" t="s">
        <v>688</v>
      </c>
      <c r="B832" t="s">
        <v>5</v>
      </c>
      <c r="C832" t="s">
        <v>6</v>
      </c>
      <c r="D832" t="s">
        <v>21</v>
      </c>
      <c r="E832" s="68">
        <v>3553</v>
      </c>
      <c r="F832" s="68">
        <v>2681</v>
      </c>
      <c r="G832" s="68">
        <v>6234</v>
      </c>
    </row>
    <row r="833" spans="1:7" x14ac:dyDescent="0.3">
      <c r="A833" t="s">
        <v>688</v>
      </c>
      <c r="B833" t="s">
        <v>5</v>
      </c>
      <c r="C833" t="s">
        <v>6</v>
      </c>
      <c r="D833" t="s">
        <v>22</v>
      </c>
      <c r="E833" s="68">
        <v>2384</v>
      </c>
      <c r="F833" s="68">
        <v>1825</v>
      </c>
      <c r="G833" s="68">
        <v>4209</v>
      </c>
    </row>
    <row r="834" spans="1:7" x14ac:dyDescent="0.3">
      <c r="A834" t="s">
        <v>688</v>
      </c>
      <c r="B834" t="s">
        <v>5</v>
      </c>
      <c r="C834" t="s">
        <v>6</v>
      </c>
      <c r="D834" t="s">
        <v>23</v>
      </c>
      <c r="E834" s="68">
        <v>3277</v>
      </c>
      <c r="F834" s="68">
        <v>1861</v>
      </c>
      <c r="G834" s="68">
        <v>5138</v>
      </c>
    </row>
    <row r="835" spans="1:7" x14ac:dyDescent="0.3">
      <c r="A835" t="s">
        <v>688</v>
      </c>
      <c r="B835" t="s">
        <v>5</v>
      </c>
      <c r="C835" t="s">
        <v>24</v>
      </c>
      <c r="D835" t="s">
        <v>7</v>
      </c>
      <c r="E835" s="68">
        <v>735</v>
      </c>
      <c r="F835" s="68">
        <v>783</v>
      </c>
      <c r="G835" s="68">
        <v>1518</v>
      </c>
    </row>
    <row r="836" spans="1:7" x14ac:dyDescent="0.3">
      <c r="A836" t="s">
        <v>688</v>
      </c>
      <c r="B836" t="s">
        <v>5</v>
      </c>
      <c r="C836" t="s">
        <v>24</v>
      </c>
      <c r="D836" t="s">
        <v>8</v>
      </c>
      <c r="E836" s="68">
        <v>844</v>
      </c>
      <c r="F836" s="68">
        <v>920</v>
      </c>
      <c r="G836" s="68">
        <v>1764</v>
      </c>
    </row>
    <row r="837" spans="1:7" x14ac:dyDescent="0.3">
      <c r="A837" t="s">
        <v>688</v>
      </c>
      <c r="B837" t="s">
        <v>5</v>
      </c>
      <c r="C837" t="s">
        <v>24</v>
      </c>
      <c r="D837" t="s">
        <v>9</v>
      </c>
      <c r="E837" s="68">
        <v>905</v>
      </c>
      <c r="F837" s="68">
        <v>945</v>
      </c>
      <c r="G837" s="68">
        <v>1850</v>
      </c>
    </row>
    <row r="838" spans="1:7" x14ac:dyDescent="0.3">
      <c r="A838" t="s">
        <v>688</v>
      </c>
      <c r="B838" t="s">
        <v>5</v>
      </c>
      <c r="C838" t="s">
        <v>24</v>
      </c>
      <c r="D838" t="s">
        <v>10</v>
      </c>
      <c r="E838" s="68">
        <v>1676</v>
      </c>
      <c r="F838" s="68">
        <v>1752</v>
      </c>
      <c r="G838" s="68">
        <v>3428</v>
      </c>
    </row>
    <row r="839" spans="1:7" x14ac:dyDescent="0.3">
      <c r="A839" t="s">
        <v>688</v>
      </c>
      <c r="B839" t="s">
        <v>5</v>
      </c>
      <c r="C839" t="s">
        <v>24</v>
      </c>
      <c r="D839" t="s">
        <v>11</v>
      </c>
      <c r="E839" s="68">
        <v>1482</v>
      </c>
      <c r="F839" s="68">
        <v>1357</v>
      </c>
      <c r="G839" s="68">
        <v>2839</v>
      </c>
    </row>
    <row r="840" spans="1:7" x14ac:dyDescent="0.3">
      <c r="A840" t="s">
        <v>688</v>
      </c>
      <c r="B840" t="s">
        <v>5</v>
      </c>
      <c r="C840" t="s">
        <v>24</v>
      </c>
      <c r="D840" t="s">
        <v>12</v>
      </c>
      <c r="E840" s="68">
        <v>1723</v>
      </c>
      <c r="F840" s="68">
        <v>1529</v>
      </c>
      <c r="G840" s="68">
        <v>3252</v>
      </c>
    </row>
    <row r="841" spans="1:7" x14ac:dyDescent="0.3">
      <c r="A841" t="s">
        <v>688</v>
      </c>
      <c r="B841" t="s">
        <v>5</v>
      </c>
      <c r="C841" t="s">
        <v>24</v>
      </c>
      <c r="D841" t="s">
        <v>13</v>
      </c>
      <c r="E841" s="68">
        <v>1456</v>
      </c>
      <c r="F841" s="68">
        <v>1187</v>
      </c>
      <c r="G841" s="68">
        <v>2643</v>
      </c>
    </row>
    <row r="842" spans="1:7" x14ac:dyDescent="0.3">
      <c r="A842" t="s">
        <v>688</v>
      </c>
      <c r="B842" t="s">
        <v>5</v>
      </c>
      <c r="C842" t="s">
        <v>24</v>
      </c>
      <c r="D842" t="s">
        <v>14</v>
      </c>
      <c r="E842" s="68">
        <v>1173</v>
      </c>
      <c r="F842" s="68">
        <v>977</v>
      </c>
      <c r="G842" s="68">
        <v>2150</v>
      </c>
    </row>
    <row r="843" spans="1:7" x14ac:dyDescent="0.3">
      <c r="A843" t="s">
        <v>688</v>
      </c>
      <c r="B843" t="s">
        <v>5</v>
      </c>
      <c r="C843" t="s">
        <v>24</v>
      </c>
      <c r="D843" t="s">
        <v>15</v>
      </c>
      <c r="E843" s="68">
        <v>1181</v>
      </c>
      <c r="F843" s="68">
        <v>892</v>
      </c>
      <c r="G843" s="68">
        <v>2073</v>
      </c>
    </row>
    <row r="844" spans="1:7" x14ac:dyDescent="0.3">
      <c r="A844" t="s">
        <v>688</v>
      </c>
      <c r="B844" t="s">
        <v>5</v>
      </c>
      <c r="C844" t="s">
        <v>24</v>
      </c>
      <c r="D844" t="s">
        <v>16</v>
      </c>
      <c r="E844" s="68">
        <v>1088</v>
      </c>
      <c r="F844" s="68">
        <v>775</v>
      </c>
      <c r="G844" s="68">
        <v>1863</v>
      </c>
    </row>
    <row r="845" spans="1:7" x14ac:dyDescent="0.3">
      <c r="A845" t="s">
        <v>688</v>
      </c>
      <c r="B845" t="s">
        <v>5</v>
      </c>
      <c r="C845" t="s">
        <v>24</v>
      </c>
      <c r="D845" t="s">
        <v>17</v>
      </c>
      <c r="E845" s="68">
        <v>885</v>
      </c>
      <c r="F845" s="68">
        <v>659</v>
      </c>
      <c r="G845" s="68">
        <v>1544</v>
      </c>
    </row>
    <row r="846" spans="1:7" x14ac:dyDescent="0.3">
      <c r="A846" t="s">
        <v>688</v>
      </c>
      <c r="B846" t="s">
        <v>5</v>
      </c>
      <c r="C846" t="s">
        <v>24</v>
      </c>
      <c r="D846" t="s">
        <v>18</v>
      </c>
      <c r="E846" s="68">
        <v>771</v>
      </c>
      <c r="F846" s="68">
        <v>642</v>
      </c>
      <c r="G846" s="68">
        <v>1413</v>
      </c>
    </row>
    <row r="847" spans="1:7" x14ac:dyDescent="0.3">
      <c r="A847" t="s">
        <v>688</v>
      </c>
      <c r="B847" t="s">
        <v>5</v>
      </c>
      <c r="C847" t="s">
        <v>24</v>
      </c>
      <c r="D847" t="s">
        <v>19</v>
      </c>
      <c r="E847" s="68">
        <v>701</v>
      </c>
      <c r="F847" s="68">
        <v>662</v>
      </c>
      <c r="G847" s="68">
        <v>1363</v>
      </c>
    </row>
    <row r="848" spans="1:7" x14ac:dyDescent="0.3">
      <c r="A848" t="s">
        <v>688</v>
      </c>
      <c r="B848" t="s">
        <v>5</v>
      </c>
      <c r="C848" t="s">
        <v>24</v>
      </c>
      <c r="D848" t="s">
        <v>20</v>
      </c>
      <c r="E848" s="68">
        <v>586</v>
      </c>
      <c r="F848" s="68">
        <v>434</v>
      </c>
      <c r="G848" s="68">
        <v>1020</v>
      </c>
    </row>
    <row r="849" spans="1:7" x14ac:dyDescent="0.3">
      <c r="A849" t="s">
        <v>688</v>
      </c>
      <c r="B849" t="s">
        <v>5</v>
      </c>
      <c r="C849" t="s">
        <v>24</v>
      </c>
      <c r="D849" t="s">
        <v>21</v>
      </c>
      <c r="E849" s="68">
        <v>376</v>
      </c>
      <c r="F849" s="68">
        <v>368</v>
      </c>
      <c r="G849" s="68">
        <v>744</v>
      </c>
    </row>
    <row r="850" spans="1:7" x14ac:dyDescent="0.3">
      <c r="A850" t="s">
        <v>688</v>
      </c>
      <c r="B850" t="s">
        <v>5</v>
      </c>
      <c r="C850" t="s">
        <v>24</v>
      </c>
      <c r="D850" t="s">
        <v>22</v>
      </c>
      <c r="E850" s="68">
        <v>271</v>
      </c>
      <c r="F850" s="68">
        <v>218</v>
      </c>
      <c r="G850" s="68">
        <v>489</v>
      </c>
    </row>
    <row r="851" spans="1:7" x14ac:dyDescent="0.3">
      <c r="A851" t="s">
        <v>688</v>
      </c>
      <c r="B851" t="s">
        <v>5</v>
      </c>
      <c r="C851" t="s">
        <v>24</v>
      </c>
      <c r="D851" t="s">
        <v>23</v>
      </c>
      <c r="E851" s="68">
        <v>355</v>
      </c>
      <c r="F851" s="68">
        <v>209</v>
      </c>
      <c r="G851" s="68">
        <v>564</v>
      </c>
    </row>
    <row r="852" spans="1:7" x14ac:dyDescent="0.3">
      <c r="A852" t="s">
        <v>688</v>
      </c>
      <c r="B852" t="s">
        <v>34</v>
      </c>
      <c r="C852" t="s">
        <v>6</v>
      </c>
      <c r="D852" t="s">
        <v>7</v>
      </c>
      <c r="E852" s="68">
        <v>9903</v>
      </c>
      <c r="F852" s="68">
        <v>10261</v>
      </c>
      <c r="G852" s="68">
        <v>20164</v>
      </c>
    </row>
    <row r="853" spans="1:7" x14ac:dyDescent="0.3">
      <c r="A853" t="s">
        <v>688</v>
      </c>
      <c r="B853" t="s">
        <v>34</v>
      </c>
      <c r="C853" t="s">
        <v>6</v>
      </c>
      <c r="D853" t="s">
        <v>8</v>
      </c>
      <c r="E853" s="68">
        <v>13121</v>
      </c>
      <c r="F853" s="68">
        <v>13578</v>
      </c>
      <c r="G853" s="68">
        <v>26699</v>
      </c>
    </row>
    <row r="854" spans="1:7" x14ac:dyDescent="0.3">
      <c r="A854" t="s">
        <v>688</v>
      </c>
      <c r="B854" t="s">
        <v>34</v>
      </c>
      <c r="C854" t="s">
        <v>6</v>
      </c>
      <c r="D854" t="s">
        <v>9</v>
      </c>
      <c r="E854" s="68">
        <v>14379</v>
      </c>
      <c r="F854" s="68">
        <v>14455</v>
      </c>
      <c r="G854" s="68">
        <v>28834</v>
      </c>
    </row>
    <row r="855" spans="1:7" x14ac:dyDescent="0.3">
      <c r="A855" t="s">
        <v>688</v>
      </c>
      <c r="B855" t="s">
        <v>34</v>
      </c>
      <c r="C855" t="s">
        <v>6</v>
      </c>
      <c r="D855" t="s">
        <v>10</v>
      </c>
      <c r="E855" s="68">
        <v>12892</v>
      </c>
      <c r="F855" s="68">
        <v>13011</v>
      </c>
      <c r="G855" s="68">
        <v>25903</v>
      </c>
    </row>
    <row r="856" spans="1:7" x14ac:dyDescent="0.3">
      <c r="A856" t="s">
        <v>688</v>
      </c>
      <c r="B856" t="s">
        <v>34</v>
      </c>
      <c r="C856" t="s">
        <v>6</v>
      </c>
      <c r="D856" t="s">
        <v>11</v>
      </c>
      <c r="E856" s="68">
        <v>14354</v>
      </c>
      <c r="F856" s="68">
        <v>14065</v>
      </c>
      <c r="G856" s="68">
        <v>28419</v>
      </c>
    </row>
    <row r="857" spans="1:7" x14ac:dyDescent="0.3">
      <c r="A857" t="s">
        <v>688</v>
      </c>
      <c r="B857" t="s">
        <v>34</v>
      </c>
      <c r="C857" t="s">
        <v>6</v>
      </c>
      <c r="D857" t="s">
        <v>12</v>
      </c>
      <c r="E857" s="68">
        <v>17246</v>
      </c>
      <c r="F857" s="68">
        <v>16214</v>
      </c>
      <c r="G857" s="68">
        <v>33460</v>
      </c>
    </row>
    <row r="858" spans="1:7" x14ac:dyDescent="0.3">
      <c r="A858" t="s">
        <v>688</v>
      </c>
      <c r="B858" t="s">
        <v>34</v>
      </c>
      <c r="C858" t="s">
        <v>6</v>
      </c>
      <c r="D858" t="s">
        <v>13</v>
      </c>
      <c r="E858" s="68">
        <v>19547</v>
      </c>
      <c r="F858" s="68">
        <v>18152</v>
      </c>
      <c r="G858" s="68">
        <v>37699</v>
      </c>
    </row>
    <row r="859" spans="1:7" x14ac:dyDescent="0.3">
      <c r="A859" t="s">
        <v>688</v>
      </c>
      <c r="B859" t="s">
        <v>34</v>
      </c>
      <c r="C859" t="s">
        <v>6</v>
      </c>
      <c r="D859" t="s">
        <v>14</v>
      </c>
      <c r="E859" s="68">
        <v>18589</v>
      </c>
      <c r="F859" s="68">
        <v>17240</v>
      </c>
      <c r="G859" s="68">
        <v>35829</v>
      </c>
    </row>
    <row r="860" spans="1:7" x14ac:dyDescent="0.3">
      <c r="A860" t="s">
        <v>688</v>
      </c>
      <c r="B860" t="s">
        <v>34</v>
      </c>
      <c r="C860" t="s">
        <v>6</v>
      </c>
      <c r="D860" t="s">
        <v>15</v>
      </c>
      <c r="E860" s="68">
        <v>17081</v>
      </c>
      <c r="F860" s="68">
        <v>16158</v>
      </c>
      <c r="G860" s="68">
        <v>33239</v>
      </c>
    </row>
    <row r="861" spans="1:7" x14ac:dyDescent="0.3">
      <c r="A861" t="s">
        <v>688</v>
      </c>
      <c r="B861" t="s">
        <v>34</v>
      </c>
      <c r="C861" t="s">
        <v>6</v>
      </c>
      <c r="D861" t="s">
        <v>16</v>
      </c>
      <c r="E861" s="68">
        <v>13767</v>
      </c>
      <c r="F861" s="68">
        <v>13465</v>
      </c>
      <c r="G861" s="68">
        <v>27232</v>
      </c>
    </row>
    <row r="862" spans="1:7" x14ac:dyDescent="0.3">
      <c r="A862" t="s">
        <v>688</v>
      </c>
      <c r="B862" t="s">
        <v>34</v>
      </c>
      <c r="C862" t="s">
        <v>6</v>
      </c>
      <c r="D862" t="s">
        <v>17</v>
      </c>
      <c r="E862" s="68">
        <v>10532</v>
      </c>
      <c r="F862" s="68">
        <v>9924</v>
      </c>
      <c r="G862" s="68">
        <v>20456</v>
      </c>
    </row>
    <row r="863" spans="1:7" x14ac:dyDescent="0.3">
      <c r="A863" t="s">
        <v>688</v>
      </c>
      <c r="B863" t="s">
        <v>34</v>
      </c>
      <c r="C863" t="s">
        <v>6</v>
      </c>
      <c r="D863" t="s">
        <v>18</v>
      </c>
      <c r="E863" s="68">
        <v>9786</v>
      </c>
      <c r="F863" s="68">
        <v>8690</v>
      </c>
      <c r="G863" s="68">
        <v>18476</v>
      </c>
    </row>
    <row r="864" spans="1:7" x14ac:dyDescent="0.3">
      <c r="A864" t="s">
        <v>688</v>
      </c>
      <c r="B864" t="s">
        <v>34</v>
      </c>
      <c r="C864" t="s">
        <v>6</v>
      </c>
      <c r="D864" t="s">
        <v>19</v>
      </c>
      <c r="E864" s="68">
        <v>9508</v>
      </c>
      <c r="F864" s="68">
        <v>8034</v>
      </c>
      <c r="G864" s="68">
        <v>17542</v>
      </c>
    </row>
    <row r="865" spans="1:7" x14ac:dyDescent="0.3">
      <c r="A865" t="s">
        <v>688</v>
      </c>
      <c r="B865" t="s">
        <v>34</v>
      </c>
      <c r="C865" t="s">
        <v>6</v>
      </c>
      <c r="D865" t="s">
        <v>20</v>
      </c>
      <c r="E865" s="68">
        <v>7294</v>
      </c>
      <c r="F865" s="68">
        <v>5898</v>
      </c>
      <c r="G865" s="68">
        <v>13192</v>
      </c>
    </row>
    <row r="866" spans="1:7" x14ac:dyDescent="0.3">
      <c r="A866" t="s">
        <v>688</v>
      </c>
      <c r="B866" t="s">
        <v>34</v>
      </c>
      <c r="C866" t="s">
        <v>6</v>
      </c>
      <c r="D866" t="s">
        <v>21</v>
      </c>
      <c r="E866" s="68">
        <v>4775</v>
      </c>
      <c r="F866" s="68">
        <v>3813</v>
      </c>
      <c r="G866" s="68">
        <v>8588</v>
      </c>
    </row>
    <row r="867" spans="1:7" x14ac:dyDescent="0.3">
      <c r="A867" t="s">
        <v>688</v>
      </c>
      <c r="B867" t="s">
        <v>34</v>
      </c>
      <c r="C867" t="s">
        <v>6</v>
      </c>
      <c r="D867" t="s">
        <v>22</v>
      </c>
      <c r="E867" s="68">
        <v>3070</v>
      </c>
      <c r="F867" s="68">
        <v>2340</v>
      </c>
      <c r="G867" s="68">
        <v>5410</v>
      </c>
    </row>
    <row r="868" spans="1:7" x14ac:dyDescent="0.3">
      <c r="A868" t="s">
        <v>688</v>
      </c>
      <c r="B868" t="s">
        <v>34</v>
      </c>
      <c r="C868" t="s">
        <v>6</v>
      </c>
      <c r="D868" t="s">
        <v>23</v>
      </c>
      <c r="E868" s="68">
        <v>3713</v>
      </c>
      <c r="F868" s="68">
        <v>2213</v>
      </c>
      <c r="G868" s="68">
        <v>5926</v>
      </c>
    </row>
    <row r="869" spans="1:7" x14ac:dyDescent="0.3">
      <c r="A869" t="s">
        <v>688</v>
      </c>
      <c r="B869" t="s">
        <v>34</v>
      </c>
      <c r="C869" t="s">
        <v>24</v>
      </c>
      <c r="D869" t="s">
        <v>7</v>
      </c>
      <c r="E869" s="68">
        <v>2932</v>
      </c>
      <c r="F869" s="68">
        <v>2951</v>
      </c>
      <c r="G869" s="68">
        <v>5883</v>
      </c>
    </row>
    <row r="870" spans="1:7" x14ac:dyDescent="0.3">
      <c r="A870" t="s">
        <v>688</v>
      </c>
      <c r="B870" t="s">
        <v>34</v>
      </c>
      <c r="C870" t="s">
        <v>24</v>
      </c>
      <c r="D870" t="s">
        <v>8</v>
      </c>
      <c r="E870" s="68">
        <v>3717</v>
      </c>
      <c r="F870" s="68">
        <v>4058</v>
      </c>
      <c r="G870" s="68">
        <v>7775</v>
      </c>
    </row>
    <row r="871" spans="1:7" x14ac:dyDescent="0.3">
      <c r="A871" t="s">
        <v>688</v>
      </c>
      <c r="B871" t="s">
        <v>34</v>
      </c>
      <c r="C871" t="s">
        <v>24</v>
      </c>
      <c r="D871" t="s">
        <v>9</v>
      </c>
      <c r="E871" s="68">
        <v>3627</v>
      </c>
      <c r="F871" s="68">
        <v>3896</v>
      </c>
      <c r="G871" s="68">
        <v>7523</v>
      </c>
    </row>
    <row r="872" spans="1:7" x14ac:dyDescent="0.3">
      <c r="A872" t="s">
        <v>688</v>
      </c>
      <c r="B872" t="s">
        <v>34</v>
      </c>
      <c r="C872" t="s">
        <v>24</v>
      </c>
      <c r="D872" t="s">
        <v>10</v>
      </c>
      <c r="E872" s="68">
        <v>4012</v>
      </c>
      <c r="F872" s="68">
        <v>4090</v>
      </c>
      <c r="G872" s="68">
        <v>8102</v>
      </c>
    </row>
    <row r="873" spans="1:7" x14ac:dyDescent="0.3">
      <c r="A873" t="s">
        <v>688</v>
      </c>
      <c r="B873" t="s">
        <v>34</v>
      </c>
      <c r="C873" t="s">
        <v>24</v>
      </c>
      <c r="D873" t="s">
        <v>11</v>
      </c>
      <c r="E873" s="68">
        <v>4188</v>
      </c>
      <c r="F873" s="68">
        <v>3444</v>
      </c>
      <c r="G873" s="68">
        <v>7632</v>
      </c>
    </row>
    <row r="874" spans="1:7" x14ac:dyDescent="0.3">
      <c r="A874" t="s">
        <v>688</v>
      </c>
      <c r="B874" t="s">
        <v>34</v>
      </c>
      <c r="C874" t="s">
        <v>24</v>
      </c>
      <c r="D874" t="s">
        <v>12</v>
      </c>
      <c r="E874" s="68">
        <v>5934</v>
      </c>
      <c r="F874" s="68">
        <v>5041</v>
      </c>
      <c r="G874" s="68">
        <v>10975</v>
      </c>
    </row>
    <row r="875" spans="1:7" x14ac:dyDescent="0.3">
      <c r="A875" t="s">
        <v>688</v>
      </c>
      <c r="B875" t="s">
        <v>34</v>
      </c>
      <c r="C875" t="s">
        <v>24</v>
      </c>
      <c r="D875" t="s">
        <v>13</v>
      </c>
      <c r="E875" s="68">
        <v>4947</v>
      </c>
      <c r="F875" s="68">
        <v>3899</v>
      </c>
      <c r="G875" s="68">
        <v>8846</v>
      </c>
    </row>
    <row r="876" spans="1:7" x14ac:dyDescent="0.3">
      <c r="A876" t="s">
        <v>688</v>
      </c>
      <c r="B876" t="s">
        <v>34</v>
      </c>
      <c r="C876" t="s">
        <v>24</v>
      </c>
      <c r="D876" t="s">
        <v>14</v>
      </c>
      <c r="E876" s="68">
        <v>4087</v>
      </c>
      <c r="F876" s="68">
        <v>3140</v>
      </c>
      <c r="G876" s="68">
        <v>7227</v>
      </c>
    </row>
    <row r="877" spans="1:7" x14ac:dyDescent="0.3">
      <c r="A877" t="s">
        <v>688</v>
      </c>
      <c r="B877" t="s">
        <v>34</v>
      </c>
      <c r="C877" t="s">
        <v>24</v>
      </c>
      <c r="D877" t="s">
        <v>15</v>
      </c>
      <c r="E877" s="68">
        <v>3734</v>
      </c>
      <c r="F877" s="68">
        <v>2978</v>
      </c>
      <c r="G877" s="68">
        <v>6712</v>
      </c>
    </row>
    <row r="878" spans="1:7" x14ac:dyDescent="0.3">
      <c r="A878" t="s">
        <v>688</v>
      </c>
      <c r="B878" t="s">
        <v>34</v>
      </c>
      <c r="C878" t="s">
        <v>24</v>
      </c>
      <c r="D878" t="s">
        <v>16</v>
      </c>
      <c r="E878" s="68">
        <v>3226</v>
      </c>
      <c r="F878" s="68">
        <v>2547</v>
      </c>
      <c r="G878" s="68">
        <v>5773</v>
      </c>
    </row>
    <row r="879" spans="1:7" x14ac:dyDescent="0.3">
      <c r="A879" t="s">
        <v>688</v>
      </c>
      <c r="B879" t="s">
        <v>34</v>
      </c>
      <c r="C879" t="s">
        <v>24</v>
      </c>
      <c r="D879" t="s">
        <v>17</v>
      </c>
      <c r="E879" s="68">
        <v>2881</v>
      </c>
      <c r="F879" s="68">
        <v>2036</v>
      </c>
      <c r="G879" s="68">
        <v>4917</v>
      </c>
    </row>
    <row r="880" spans="1:7" x14ac:dyDescent="0.3">
      <c r="A880" t="s">
        <v>688</v>
      </c>
      <c r="B880" t="s">
        <v>34</v>
      </c>
      <c r="C880" t="s">
        <v>24</v>
      </c>
      <c r="D880" t="s">
        <v>18</v>
      </c>
      <c r="E880" s="68">
        <v>2813</v>
      </c>
      <c r="F880" s="68">
        <v>2108</v>
      </c>
      <c r="G880" s="68">
        <v>4921</v>
      </c>
    </row>
    <row r="881" spans="1:7" x14ac:dyDescent="0.3">
      <c r="A881" t="s">
        <v>688</v>
      </c>
      <c r="B881" t="s">
        <v>34</v>
      </c>
      <c r="C881" t="s">
        <v>24</v>
      </c>
      <c r="D881" t="s">
        <v>19</v>
      </c>
      <c r="E881" s="68">
        <v>2778</v>
      </c>
      <c r="F881" s="68">
        <v>2085</v>
      </c>
      <c r="G881" s="68">
        <v>4863</v>
      </c>
    </row>
    <row r="882" spans="1:7" x14ac:dyDescent="0.3">
      <c r="A882" t="s">
        <v>688</v>
      </c>
      <c r="B882" t="s">
        <v>34</v>
      </c>
      <c r="C882" t="s">
        <v>24</v>
      </c>
      <c r="D882" t="s">
        <v>20</v>
      </c>
      <c r="E882" s="68">
        <v>1906</v>
      </c>
      <c r="F882" s="68">
        <v>1604</v>
      </c>
      <c r="G882" s="68">
        <v>3510</v>
      </c>
    </row>
    <row r="883" spans="1:7" x14ac:dyDescent="0.3">
      <c r="A883" t="s">
        <v>688</v>
      </c>
      <c r="B883" t="s">
        <v>34</v>
      </c>
      <c r="C883" t="s">
        <v>24</v>
      </c>
      <c r="D883" t="s">
        <v>21</v>
      </c>
      <c r="E883" s="68">
        <v>1218</v>
      </c>
      <c r="F883" s="68">
        <v>944</v>
      </c>
      <c r="G883" s="68">
        <v>2162</v>
      </c>
    </row>
    <row r="884" spans="1:7" x14ac:dyDescent="0.3">
      <c r="A884" t="s">
        <v>688</v>
      </c>
      <c r="B884" t="s">
        <v>34</v>
      </c>
      <c r="C884" t="s">
        <v>24</v>
      </c>
      <c r="D884" t="s">
        <v>22</v>
      </c>
      <c r="E884" s="68">
        <v>746</v>
      </c>
      <c r="F884" s="68">
        <v>609</v>
      </c>
      <c r="G884" s="68">
        <v>1355</v>
      </c>
    </row>
    <row r="885" spans="1:7" x14ac:dyDescent="0.3">
      <c r="A885" t="s">
        <v>688</v>
      </c>
      <c r="B885" t="s">
        <v>34</v>
      </c>
      <c r="C885" t="s">
        <v>24</v>
      </c>
      <c r="D885" t="s">
        <v>23</v>
      </c>
      <c r="E885" s="68">
        <v>1026</v>
      </c>
      <c r="F885" s="68">
        <v>627</v>
      </c>
      <c r="G885" s="68">
        <v>1653</v>
      </c>
    </row>
    <row r="886" spans="1:7" x14ac:dyDescent="0.3">
      <c r="A886" t="s">
        <v>688</v>
      </c>
      <c r="B886" t="s">
        <v>37</v>
      </c>
      <c r="C886" t="s">
        <v>6</v>
      </c>
      <c r="D886" t="s">
        <v>7</v>
      </c>
      <c r="E886" s="68">
        <v>196</v>
      </c>
      <c r="F886" s="68">
        <v>211</v>
      </c>
      <c r="G886" s="68">
        <v>407</v>
      </c>
    </row>
    <row r="887" spans="1:7" x14ac:dyDescent="0.3">
      <c r="A887" t="s">
        <v>688</v>
      </c>
      <c r="B887" t="s">
        <v>37</v>
      </c>
      <c r="C887" t="s">
        <v>6</v>
      </c>
      <c r="D887" t="s">
        <v>8</v>
      </c>
      <c r="E887" s="68">
        <v>346</v>
      </c>
      <c r="F887" s="68">
        <v>387</v>
      </c>
      <c r="G887" s="68">
        <v>733</v>
      </c>
    </row>
    <row r="888" spans="1:7" x14ac:dyDescent="0.3">
      <c r="A888" t="s">
        <v>688</v>
      </c>
      <c r="B888" t="s">
        <v>37</v>
      </c>
      <c r="C888" t="s">
        <v>6</v>
      </c>
      <c r="D888" t="s">
        <v>9</v>
      </c>
      <c r="E888" s="68">
        <v>445</v>
      </c>
      <c r="F888" s="68">
        <v>468</v>
      </c>
      <c r="G888" s="68">
        <v>913</v>
      </c>
    </row>
    <row r="889" spans="1:7" x14ac:dyDescent="0.3">
      <c r="A889" t="s">
        <v>688</v>
      </c>
      <c r="B889" t="s">
        <v>37</v>
      </c>
      <c r="C889" t="s">
        <v>6</v>
      </c>
      <c r="D889" t="s">
        <v>10</v>
      </c>
      <c r="E889" s="68">
        <v>535</v>
      </c>
      <c r="F889" s="68">
        <v>584</v>
      </c>
      <c r="G889" s="68">
        <v>1119</v>
      </c>
    </row>
    <row r="890" spans="1:7" x14ac:dyDescent="0.3">
      <c r="A890" t="s">
        <v>688</v>
      </c>
      <c r="B890" t="s">
        <v>37</v>
      </c>
      <c r="C890" t="s">
        <v>6</v>
      </c>
      <c r="D890" t="s">
        <v>11</v>
      </c>
      <c r="E890" s="68">
        <v>519</v>
      </c>
      <c r="F890" s="68">
        <v>597</v>
      </c>
      <c r="G890" s="68">
        <v>1116</v>
      </c>
    </row>
    <row r="891" spans="1:7" x14ac:dyDescent="0.3">
      <c r="A891" t="s">
        <v>688</v>
      </c>
      <c r="B891" t="s">
        <v>37</v>
      </c>
      <c r="C891" t="s">
        <v>6</v>
      </c>
      <c r="D891" t="s">
        <v>12</v>
      </c>
      <c r="E891" s="68">
        <v>336</v>
      </c>
      <c r="F891" s="68">
        <v>444</v>
      </c>
      <c r="G891" s="68">
        <v>780</v>
      </c>
    </row>
    <row r="892" spans="1:7" x14ac:dyDescent="0.3">
      <c r="A892" t="s">
        <v>688</v>
      </c>
      <c r="B892" t="s">
        <v>37</v>
      </c>
      <c r="C892" t="s">
        <v>6</v>
      </c>
      <c r="D892" t="s">
        <v>13</v>
      </c>
      <c r="E892" s="68">
        <v>347</v>
      </c>
      <c r="F892" s="68">
        <v>478</v>
      </c>
      <c r="G892" s="68">
        <v>825</v>
      </c>
    </row>
    <row r="893" spans="1:7" x14ac:dyDescent="0.3">
      <c r="A893" t="s">
        <v>688</v>
      </c>
      <c r="B893" t="s">
        <v>37</v>
      </c>
      <c r="C893" t="s">
        <v>6</v>
      </c>
      <c r="D893" t="s">
        <v>14</v>
      </c>
      <c r="E893" s="68">
        <v>397</v>
      </c>
      <c r="F893" s="68">
        <v>499</v>
      </c>
      <c r="G893" s="68">
        <v>896</v>
      </c>
    </row>
    <row r="894" spans="1:7" x14ac:dyDescent="0.3">
      <c r="A894" t="s">
        <v>688</v>
      </c>
      <c r="B894" t="s">
        <v>37</v>
      </c>
      <c r="C894" t="s">
        <v>6</v>
      </c>
      <c r="D894" t="s">
        <v>15</v>
      </c>
      <c r="E894" s="68">
        <v>544</v>
      </c>
      <c r="F894" s="68">
        <v>577</v>
      </c>
      <c r="G894" s="68">
        <v>1121</v>
      </c>
    </row>
    <row r="895" spans="1:7" x14ac:dyDescent="0.3">
      <c r="A895" t="s">
        <v>688</v>
      </c>
      <c r="B895" t="s">
        <v>37</v>
      </c>
      <c r="C895" t="s">
        <v>6</v>
      </c>
      <c r="D895" t="s">
        <v>16</v>
      </c>
      <c r="E895" s="68">
        <v>515</v>
      </c>
      <c r="F895" s="68">
        <v>580</v>
      </c>
      <c r="G895" s="68">
        <v>1095</v>
      </c>
    </row>
    <row r="896" spans="1:7" x14ac:dyDescent="0.3">
      <c r="A896" t="s">
        <v>688</v>
      </c>
      <c r="B896" t="s">
        <v>37</v>
      </c>
      <c r="C896" t="s">
        <v>6</v>
      </c>
      <c r="D896" t="s">
        <v>17</v>
      </c>
      <c r="E896" s="68">
        <v>425</v>
      </c>
      <c r="F896" s="68">
        <v>498</v>
      </c>
      <c r="G896" s="68">
        <v>923</v>
      </c>
    </row>
    <row r="897" spans="1:7" x14ac:dyDescent="0.3">
      <c r="A897" t="s">
        <v>688</v>
      </c>
      <c r="B897" t="s">
        <v>37</v>
      </c>
      <c r="C897" t="s">
        <v>6</v>
      </c>
      <c r="D897" t="s">
        <v>18</v>
      </c>
      <c r="E897" s="68">
        <v>453</v>
      </c>
      <c r="F897" s="68">
        <v>477</v>
      </c>
      <c r="G897" s="68">
        <v>930</v>
      </c>
    </row>
    <row r="898" spans="1:7" x14ac:dyDescent="0.3">
      <c r="A898" t="s">
        <v>688</v>
      </c>
      <c r="B898" t="s">
        <v>37</v>
      </c>
      <c r="C898" t="s">
        <v>6</v>
      </c>
      <c r="D898" t="s">
        <v>19</v>
      </c>
      <c r="E898" s="68">
        <v>431</v>
      </c>
      <c r="F898" s="68">
        <v>384</v>
      </c>
      <c r="G898" s="68">
        <v>815</v>
      </c>
    </row>
    <row r="899" spans="1:7" x14ac:dyDescent="0.3">
      <c r="A899" t="s">
        <v>688</v>
      </c>
      <c r="B899" t="s">
        <v>37</v>
      </c>
      <c r="C899" t="s">
        <v>6</v>
      </c>
      <c r="D899" t="s">
        <v>20</v>
      </c>
      <c r="E899" s="68">
        <v>398</v>
      </c>
      <c r="F899" s="68">
        <v>356</v>
      </c>
      <c r="G899" s="68">
        <v>754</v>
      </c>
    </row>
    <row r="900" spans="1:7" x14ac:dyDescent="0.3">
      <c r="A900" t="s">
        <v>688</v>
      </c>
      <c r="B900" t="s">
        <v>37</v>
      </c>
      <c r="C900" t="s">
        <v>6</v>
      </c>
      <c r="D900" t="s">
        <v>21</v>
      </c>
      <c r="E900" s="68">
        <v>324</v>
      </c>
      <c r="F900" s="68">
        <v>238</v>
      </c>
      <c r="G900" s="68">
        <v>562</v>
      </c>
    </row>
    <row r="901" spans="1:7" x14ac:dyDescent="0.3">
      <c r="A901" t="s">
        <v>688</v>
      </c>
      <c r="B901" t="s">
        <v>37</v>
      </c>
      <c r="C901" t="s">
        <v>6</v>
      </c>
      <c r="D901" t="s">
        <v>22</v>
      </c>
      <c r="E901" s="68">
        <v>254</v>
      </c>
      <c r="F901" s="68">
        <v>245</v>
      </c>
      <c r="G901" s="68">
        <v>499</v>
      </c>
    </row>
    <row r="902" spans="1:7" x14ac:dyDescent="0.3">
      <c r="A902" t="s">
        <v>688</v>
      </c>
      <c r="B902" t="s">
        <v>37</v>
      </c>
      <c r="C902" t="s">
        <v>6</v>
      </c>
      <c r="D902" t="s">
        <v>23</v>
      </c>
      <c r="E902" s="68">
        <v>369</v>
      </c>
      <c r="F902" s="68">
        <v>244</v>
      </c>
      <c r="G902" s="68">
        <v>613</v>
      </c>
    </row>
    <row r="903" spans="1:7" x14ac:dyDescent="0.3">
      <c r="A903" t="s">
        <v>688</v>
      </c>
      <c r="B903" t="s">
        <v>37</v>
      </c>
      <c r="C903" t="s">
        <v>24</v>
      </c>
      <c r="D903" t="s">
        <v>7</v>
      </c>
      <c r="E903" s="68">
        <v>392</v>
      </c>
      <c r="F903" s="68">
        <v>424</v>
      </c>
      <c r="G903" s="68">
        <v>816</v>
      </c>
    </row>
    <row r="904" spans="1:7" x14ac:dyDescent="0.3">
      <c r="A904" t="s">
        <v>688</v>
      </c>
      <c r="B904" t="s">
        <v>37</v>
      </c>
      <c r="C904" t="s">
        <v>24</v>
      </c>
      <c r="D904" t="s">
        <v>8</v>
      </c>
      <c r="E904" s="68">
        <v>788</v>
      </c>
      <c r="F904" s="68">
        <v>710</v>
      </c>
      <c r="G904" s="68">
        <v>1498</v>
      </c>
    </row>
    <row r="905" spans="1:7" x14ac:dyDescent="0.3">
      <c r="A905" t="s">
        <v>688</v>
      </c>
      <c r="B905" t="s">
        <v>37</v>
      </c>
      <c r="C905" t="s">
        <v>24</v>
      </c>
      <c r="D905" t="s">
        <v>9</v>
      </c>
      <c r="E905" s="68">
        <v>749</v>
      </c>
      <c r="F905" s="68">
        <v>884</v>
      </c>
      <c r="G905" s="68">
        <v>1633</v>
      </c>
    </row>
    <row r="906" spans="1:7" x14ac:dyDescent="0.3">
      <c r="A906" t="s">
        <v>688</v>
      </c>
      <c r="B906" t="s">
        <v>37</v>
      </c>
      <c r="C906" t="s">
        <v>24</v>
      </c>
      <c r="D906" t="s">
        <v>10</v>
      </c>
      <c r="E906" s="68">
        <v>870</v>
      </c>
      <c r="F906" s="68">
        <v>917</v>
      </c>
      <c r="G906" s="68">
        <v>1787</v>
      </c>
    </row>
    <row r="907" spans="1:7" x14ac:dyDescent="0.3">
      <c r="A907" t="s">
        <v>688</v>
      </c>
      <c r="B907" t="s">
        <v>37</v>
      </c>
      <c r="C907" t="s">
        <v>24</v>
      </c>
      <c r="D907" t="s">
        <v>11</v>
      </c>
      <c r="E907" s="68">
        <v>682</v>
      </c>
      <c r="F907" s="68">
        <v>670</v>
      </c>
      <c r="G907" s="68">
        <v>1352</v>
      </c>
    </row>
    <row r="908" spans="1:7" x14ac:dyDescent="0.3">
      <c r="A908" t="s">
        <v>688</v>
      </c>
      <c r="B908" t="s">
        <v>37</v>
      </c>
      <c r="C908" t="s">
        <v>24</v>
      </c>
      <c r="D908" t="s">
        <v>12</v>
      </c>
      <c r="E908" s="68">
        <v>690</v>
      </c>
      <c r="F908" s="68">
        <v>726</v>
      </c>
      <c r="G908" s="68">
        <v>1416</v>
      </c>
    </row>
    <row r="909" spans="1:7" x14ac:dyDescent="0.3">
      <c r="A909" t="s">
        <v>688</v>
      </c>
      <c r="B909" t="s">
        <v>37</v>
      </c>
      <c r="C909" t="s">
        <v>24</v>
      </c>
      <c r="D909" t="s">
        <v>13</v>
      </c>
      <c r="E909" s="68">
        <v>656</v>
      </c>
      <c r="F909" s="68">
        <v>625</v>
      </c>
      <c r="G909" s="68">
        <v>1281</v>
      </c>
    </row>
    <row r="910" spans="1:7" x14ac:dyDescent="0.3">
      <c r="A910" t="s">
        <v>688</v>
      </c>
      <c r="B910" t="s">
        <v>37</v>
      </c>
      <c r="C910" t="s">
        <v>24</v>
      </c>
      <c r="D910" t="s">
        <v>14</v>
      </c>
      <c r="E910" s="68">
        <v>611</v>
      </c>
      <c r="F910" s="68">
        <v>620</v>
      </c>
      <c r="G910" s="68">
        <v>1231</v>
      </c>
    </row>
    <row r="911" spans="1:7" x14ac:dyDescent="0.3">
      <c r="A911" t="s">
        <v>688</v>
      </c>
      <c r="B911" t="s">
        <v>37</v>
      </c>
      <c r="C911" t="s">
        <v>24</v>
      </c>
      <c r="D911" t="s">
        <v>15</v>
      </c>
      <c r="E911" s="68">
        <v>667</v>
      </c>
      <c r="F911" s="68">
        <v>689</v>
      </c>
      <c r="G911" s="68">
        <v>1356</v>
      </c>
    </row>
    <row r="912" spans="1:7" x14ac:dyDescent="0.3">
      <c r="A912" t="s">
        <v>688</v>
      </c>
      <c r="B912" t="s">
        <v>37</v>
      </c>
      <c r="C912" t="s">
        <v>24</v>
      </c>
      <c r="D912" t="s">
        <v>16</v>
      </c>
      <c r="E912" s="68">
        <v>629</v>
      </c>
      <c r="F912" s="68">
        <v>631</v>
      </c>
      <c r="G912" s="68">
        <v>1260</v>
      </c>
    </row>
    <row r="913" spans="1:7" x14ac:dyDescent="0.3">
      <c r="A913" t="s">
        <v>688</v>
      </c>
      <c r="B913" t="s">
        <v>37</v>
      </c>
      <c r="C913" t="s">
        <v>24</v>
      </c>
      <c r="D913" t="s">
        <v>17</v>
      </c>
      <c r="E913" s="68">
        <v>559</v>
      </c>
      <c r="F913" s="68">
        <v>521</v>
      </c>
      <c r="G913" s="68">
        <v>1080</v>
      </c>
    </row>
    <row r="914" spans="1:7" x14ac:dyDescent="0.3">
      <c r="A914" t="s">
        <v>688</v>
      </c>
      <c r="B914" t="s">
        <v>37</v>
      </c>
      <c r="C914" t="s">
        <v>24</v>
      </c>
      <c r="D914" t="s">
        <v>18</v>
      </c>
      <c r="E914" s="68">
        <v>492</v>
      </c>
      <c r="F914" s="68">
        <v>565</v>
      </c>
      <c r="G914" s="68">
        <v>1057</v>
      </c>
    </row>
    <row r="915" spans="1:7" x14ac:dyDescent="0.3">
      <c r="A915" t="s">
        <v>688</v>
      </c>
      <c r="B915" t="s">
        <v>37</v>
      </c>
      <c r="C915" t="s">
        <v>24</v>
      </c>
      <c r="D915" t="s">
        <v>19</v>
      </c>
      <c r="E915" s="68">
        <v>435</v>
      </c>
      <c r="F915" s="68">
        <v>453</v>
      </c>
      <c r="G915" s="68">
        <v>888</v>
      </c>
    </row>
    <row r="916" spans="1:7" x14ac:dyDescent="0.3">
      <c r="A916" t="s">
        <v>688</v>
      </c>
      <c r="B916" t="s">
        <v>37</v>
      </c>
      <c r="C916" t="s">
        <v>24</v>
      </c>
      <c r="D916" t="s">
        <v>20</v>
      </c>
      <c r="E916" s="68">
        <v>289</v>
      </c>
      <c r="F916" s="68">
        <v>352</v>
      </c>
      <c r="G916" s="68">
        <v>641</v>
      </c>
    </row>
    <row r="917" spans="1:7" x14ac:dyDescent="0.3">
      <c r="A917" t="s">
        <v>688</v>
      </c>
      <c r="B917" t="s">
        <v>37</v>
      </c>
      <c r="C917" t="s">
        <v>24</v>
      </c>
      <c r="D917" t="s">
        <v>21</v>
      </c>
      <c r="E917" s="68">
        <v>202</v>
      </c>
      <c r="F917" s="68">
        <v>195</v>
      </c>
      <c r="G917" s="68">
        <v>397</v>
      </c>
    </row>
    <row r="918" spans="1:7" x14ac:dyDescent="0.3">
      <c r="A918" t="s">
        <v>688</v>
      </c>
      <c r="B918" t="s">
        <v>37</v>
      </c>
      <c r="C918" t="s">
        <v>24</v>
      </c>
      <c r="D918" t="s">
        <v>22</v>
      </c>
      <c r="E918" s="68">
        <v>126</v>
      </c>
      <c r="F918" s="68">
        <v>104</v>
      </c>
      <c r="G918" s="68">
        <v>230</v>
      </c>
    </row>
    <row r="919" spans="1:7" x14ac:dyDescent="0.3">
      <c r="A919" t="s">
        <v>688</v>
      </c>
      <c r="B919" t="s">
        <v>37</v>
      </c>
      <c r="C919" t="s">
        <v>24</v>
      </c>
      <c r="D919" t="s">
        <v>23</v>
      </c>
      <c r="E919" s="68">
        <v>180</v>
      </c>
      <c r="F919" s="68">
        <v>127</v>
      </c>
      <c r="G919" s="68">
        <v>307</v>
      </c>
    </row>
    <row r="920" spans="1:7" x14ac:dyDescent="0.3">
      <c r="A920" t="s">
        <v>688</v>
      </c>
      <c r="B920" t="s">
        <v>35</v>
      </c>
      <c r="C920" t="s">
        <v>6</v>
      </c>
      <c r="D920" t="s">
        <v>7</v>
      </c>
      <c r="E920" s="68">
        <v>2</v>
      </c>
      <c r="F920" s="68">
        <v>1</v>
      </c>
      <c r="G920" s="68">
        <v>3</v>
      </c>
    </row>
    <row r="921" spans="1:7" x14ac:dyDescent="0.3">
      <c r="A921" t="s">
        <v>688</v>
      </c>
      <c r="B921" t="s">
        <v>35</v>
      </c>
      <c r="C921" t="s">
        <v>6</v>
      </c>
      <c r="D921" t="s">
        <v>8</v>
      </c>
      <c r="E921" s="68">
        <v>7</v>
      </c>
      <c r="F921" s="68">
        <v>14</v>
      </c>
      <c r="G921" s="68">
        <v>21</v>
      </c>
    </row>
    <row r="922" spans="1:7" x14ac:dyDescent="0.3">
      <c r="A922" t="s">
        <v>688</v>
      </c>
      <c r="B922" t="s">
        <v>35</v>
      </c>
      <c r="C922" t="s">
        <v>6</v>
      </c>
      <c r="D922" t="s">
        <v>9</v>
      </c>
      <c r="E922" s="68">
        <v>17</v>
      </c>
      <c r="F922" s="68">
        <v>15</v>
      </c>
      <c r="G922" s="68">
        <v>32</v>
      </c>
    </row>
    <row r="923" spans="1:7" x14ac:dyDescent="0.3">
      <c r="A923" t="s">
        <v>688</v>
      </c>
      <c r="B923" t="s">
        <v>35</v>
      </c>
      <c r="C923" t="s">
        <v>6</v>
      </c>
      <c r="D923" t="s">
        <v>10</v>
      </c>
      <c r="E923" s="68">
        <v>47</v>
      </c>
      <c r="F923" s="68">
        <v>45</v>
      </c>
      <c r="G923" s="68">
        <v>92</v>
      </c>
    </row>
    <row r="924" spans="1:7" x14ac:dyDescent="0.3">
      <c r="A924" t="s">
        <v>688</v>
      </c>
      <c r="B924" t="s">
        <v>35</v>
      </c>
      <c r="C924" t="s">
        <v>6</v>
      </c>
      <c r="D924" t="s">
        <v>11</v>
      </c>
      <c r="E924" s="68">
        <v>53</v>
      </c>
      <c r="F924" s="68">
        <v>49</v>
      </c>
      <c r="G924" s="68">
        <v>102</v>
      </c>
    </row>
    <row r="925" spans="1:7" x14ac:dyDescent="0.3">
      <c r="A925" t="s">
        <v>688</v>
      </c>
      <c r="B925" t="s">
        <v>35</v>
      </c>
      <c r="C925" t="s">
        <v>6</v>
      </c>
      <c r="D925" t="s">
        <v>12</v>
      </c>
      <c r="E925" s="68">
        <v>12</v>
      </c>
      <c r="F925" s="68">
        <v>5</v>
      </c>
      <c r="G925" s="68">
        <v>17</v>
      </c>
    </row>
    <row r="926" spans="1:7" x14ac:dyDescent="0.3">
      <c r="A926" t="s">
        <v>688</v>
      </c>
      <c r="B926" t="s">
        <v>35</v>
      </c>
      <c r="C926" t="s">
        <v>6</v>
      </c>
      <c r="D926" t="s">
        <v>13</v>
      </c>
      <c r="E926" s="68">
        <v>6</v>
      </c>
      <c r="F926" s="68">
        <v>7</v>
      </c>
      <c r="G926" s="68">
        <v>13</v>
      </c>
    </row>
    <row r="927" spans="1:7" x14ac:dyDescent="0.3">
      <c r="A927" t="s">
        <v>688</v>
      </c>
      <c r="B927" t="s">
        <v>35</v>
      </c>
      <c r="C927" t="s">
        <v>6</v>
      </c>
      <c r="D927" t="s">
        <v>14</v>
      </c>
      <c r="E927" s="68">
        <v>15</v>
      </c>
      <c r="F927" s="68">
        <v>9</v>
      </c>
      <c r="G927" s="68">
        <v>24</v>
      </c>
    </row>
    <row r="928" spans="1:7" x14ac:dyDescent="0.3">
      <c r="A928" t="s">
        <v>688</v>
      </c>
      <c r="B928" t="s">
        <v>35</v>
      </c>
      <c r="C928" t="s">
        <v>6</v>
      </c>
      <c r="D928" t="s">
        <v>15</v>
      </c>
      <c r="E928" s="68">
        <v>23</v>
      </c>
      <c r="F928" s="68">
        <v>10</v>
      </c>
      <c r="G928" s="68">
        <v>33</v>
      </c>
    </row>
    <row r="929" spans="1:7" x14ac:dyDescent="0.3">
      <c r="A929" t="s">
        <v>688</v>
      </c>
      <c r="B929" t="s">
        <v>35</v>
      </c>
      <c r="C929" t="s">
        <v>6</v>
      </c>
      <c r="D929" t="s">
        <v>16</v>
      </c>
      <c r="E929" s="68">
        <v>32</v>
      </c>
      <c r="F929" s="68">
        <v>16</v>
      </c>
      <c r="G929" s="68">
        <v>48</v>
      </c>
    </row>
    <row r="930" spans="1:7" x14ac:dyDescent="0.3">
      <c r="A930" t="s">
        <v>688</v>
      </c>
      <c r="B930" t="s">
        <v>35</v>
      </c>
      <c r="C930" t="s">
        <v>6</v>
      </c>
      <c r="D930" t="s">
        <v>17</v>
      </c>
      <c r="E930" s="68">
        <v>54</v>
      </c>
      <c r="F930" s="68">
        <v>13</v>
      </c>
      <c r="G930" s="68">
        <v>67</v>
      </c>
    </row>
    <row r="931" spans="1:7" x14ac:dyDescent="0.3">
      <c r="A931" t="s">
        <v>688</v>
      </c>
      <c r="B931" t="s">
        <v>35</v>
      </c>
      <c r="C931" t="s">
        <v>6</v>
      </c>
      <c r="D931" t="s">
        <v>18</v>
      </c>
      <c r="E931" s="68">
        <v>107</v>
      </c>
      <c r="F931" s="68">
        <v>26</v>
      </c>
      <c r="G931" s="68">
        <v>133</v>
      </c>
    </row>
    <row r="932" spans="1:7" x14ac:dyDescent="0.3">
      <c r="A932" t="s">
        <v>688</v>
      </c>
      <c r="B932" t="s">
        <v>35</v>
      </c>
      <c r="C932" t="s">
        <v>6</v>
      </c>
      <c r="D932" t="s">
        <v>19</v>
      </c>
      <c r="E932" s="68">
        <v>186</v>
      </c>
      <c r="F932" s="68">
        <v>31</v>
      </c>
      <c r="G932" s="68">
        <v>217</v>
      </c>
    </row>
    <row r="933" spans="1:7" x14ac:dyDescent="0.3">
      <c r="A933" t="s">
        <v>688</v>
      </c>
      <c r="B933" t="s">
        <v>35</v>
      </c>
      <c r="C933" t="s">
        <v>6</v>
      </c>
      <c r="D933" t="s">
        <v>20</v>
      </c>
      <c r="E933" s="68">
        <v>347</v>
      </c>
      <c r="F933" s="68">
        <v>124</v>
      </c>
      <c r="G933" s="68">
        <v>471</v>
      </c>
    </row>
    <row r="934" spans="1:7" x14ac:dyDescent="0.3">
      <c r="A934" t="s">
        <v>688</v>
      </c>
      <c r="B934" t="s">
        <v>35</v>
      </c>
      <c r="C934" t="s">
        <v>6</v>
      </c>
      <c r="D934" t="s">
        <v>21</v>
      </c>
      <c r="E934" s="68">
        <v>420</v>
      </c>
      <c r="F934" s="68">
        <v>282</v>
      </c>
      <c r="G934" s="68">
        <v>702</v>
      </c>
    </row>
    <row r="935" spans="1:7" x14ac:dyDescent="0.3">
      <c r="A935" t="s">
        <v>688</v>
      </c>
      <c r="B935" t="s">
        <v>35</v>
      </c>
      <c r="C935" t="s">
        <v>6</v>
      </c>
      <c r="D935" t="s">
        <v>22</v>
      </c>
      <c r="E935" s="68">
        <v>435</v>
      </c>
      <c r="F935" s="68">
        <v>407</v>
      </c>
      <c r="G935" s="68">
        <v>842</v>
      </c>
    </row>
    <row r="936" spans="1:7" x14ac:dyDescent="0.3">
      <c r="A936" t="s">
        <v>688</v>
      </c>
      <c r="B936" t="s">
        <v>35</v>
      </c>
      <c r="C936" t="s">
        <v>6</v>
      </c>
      <c r="D936" t="s">
        <v>23</v>
      </c>
      <c r="E936" s="68">
        <v>725</v>
      </c>
      <c r="F936" s="68">
        <v>456</v>
      </c>
      <c r="G936" s="68">
        <v>1181</v>
      </c>
    </row>
    <row r="937" spans="1:7" x14ac:dyDescent="0.3">
      <c r="A937" t="s">
        <v>688</v>
      </c>
      <c r="B937" t="s">
        <v>588</v>
      </c>
      <c r="C937" t="s">
        <v>6</v>
      </c>
      <c r="D937" t="s">
        <v>7</v>
      </c>
      <c r="E937" s="68">
        <v>1545</v>
      </c>
      <c r="F937" s="68">
        <v>1599</v>
      </c>
      <c r="G937" s="68">
        <v>3144</v>
      </c>
    </row>
    <row r="938" spans="1:7" x14ac:dyDescent="0.3">
      <c r="A938" t="s">
        <v>688</v>
      </c>
      <c r="B938" t="s">
        <v>588</v>
      </c>
      <c r="C938" t="s">
        <v>6</v>
      </c>
      <c r="D938" t="s">
        <v>8</v>
      </c>
      <c r="E938" s="68">
        <v>1999</v>
      </c>
      <c r="F938" s="68">
        <v>2281</v>
      </c>
      <c r="G938" s="68">
        <v>4280</v>
      </c>
    </row>
    <row r="939" spans="1:7" x14ac:dyDescent="0.3">
      <c r="A939" t="s">
        <v>688</v>
      </c>
      <c r="B939" t="s">
        <v>588</v>
      </c>
      <c r="C939" t="s">
        <v>6</v>
      </c>
      <c r="D939" t="s">
        <v>9</v>
      </c>
      <c r="E939" s="68">
        <v>1973</v>
      </c>
      <c r="F939" s="68">
        <v>2095</v>
      </c>
      <c r="G939" s="68">
        <v>4068</v>
      </c>
    </row>
    <row r="940" spans="1:7" x14ac:dyDescent="0.3">
      <c r="A940" t="s">
        <v>688</v>
      </c>
      <c r="B940" t="s">
        <v>588</v>
      </c>
      <c r="C940" t="s">
        <v>6</v>
      </c>
      <c r="D940" t="s">
        <v>10</v>
      </c>
      <c r="E940" s="68">
        <v>2272</v>
      </c>
      <c r="F940" s="68">
        <v>2422</v>
      </c>
      <c r="G940" s="68">
        <v>4694</v>
      </c>
    </row>
    <row r="941" spans="1:7" x14ac:dyDescent="0.3">
      <c r="A941" t="s">
        <v>688</v>
      </c>
      <c r="B941" t="s">
        <v>588</v>
      </c>
      <c r="C941" t="s">
        <v>6</v>
      </c>
      <c r="D941" t="s">
        <v>11</v>
      </c>
      <c r="E941" s="68">
        <v>3572</v>
      </c>
      <c r="F941" s="68">
        <v>4601</v>
      </c>
      <c r="G941" s="68">
        <v>8173</v>
      </c>
    </row>
    <row r="942" spans="1:7" x14ac:dyDescent="0.3">
      <c r="A942" t="s">
        <v>688</v>
      </c>
      <c r="B942" t="s">
        <v>588</v>
      </c>
      <c r="C942" t="s">
        <v>6</v>
      </c>
      <c r="D942" t="s">
        <v>12</v>
      </c>
      <c r="E942" s="68">
        <v>3931</v>
      </c>
      <c r="F942" s="68">
        <v>4632</v>
      </c>
      <c r="G942" s="68">
        <v>8563</v>
      </c>
    </row>
    <row r="943" spans="1:7" x14ac:dyDescent="0.3">
      <c r="A943" t="s">
        <v>688</v>
      </c>
      <c r="B943" t="s">
        <v>588</v>
      </c>
      <c r="C943" t="s">
        <v>6</v>
      </c>
      <c r="D943" t="s">
        <v>13</v>
      </c>
      <c r="E943" s="68">
        <v>3117</v>
      </c>
      <c r="F943" s="68">
        <v>3766</v>
      </c>
      <c r="G943" s="68">
        <v>6883</v>
      </c>
    </row>
    <row r="944" spans="1:7" x14ac:dyDescent="0.3">
      <c r="A944" t="s">
        <v>688</v>
      </c>
      <c r="B944" t="s">
        <v>588</v>
      </c>
      <c r="C944" t="s">
        <v>6</v>
      </c>
      <c r="D944" t="s">
        <v>14</v>
      </c>
      <c r="E944" s="68">
        <v>2854</v>
      </c>
      <c r="F944" s="68">
        <v>3252</v>
      </c>
      <c r="G944" s="68">
        <v>6106</v>
      </c>
    </row>
    <row r="945" spans="1:7" x14ac:dyDescent="0.3">
      <c r="A945" t="s">
        <v>688</v>
      </c>
      <c r="B945" t="s">
        <v>588</v>
      </c>
      <c r="C945" t="s">
        <v>6</v>
      </c>
      <c r="D945" t="s">
        <v>15</v>
      </c>
      <c r="E945" s="68">
        <v>2698</v>
      </c>
      <c r="F945" s="68">
        <v>2799</v>
      </c>
      <c r="G945" s="68">
        <v>5497</v>
      </c>
    </row>
    <row r="946" spans="1:7" x14ac:dyDescent="0.3">
      <c r="A946" t="s">
        <v>688</v>
      </c>
      <c r="B946" t="s">
        <v>588</v>
      </c>
      <c r="C946" t="s">
        <v>6</v>
      </c>
      <c r="D946" t="s">
        <v>16</v>
      </c>
      <c r="E946" s="68">
        <v>2195</v>
      </c>
      <c r="F946" s="68">
        <v>2413</v>
      </c>
      <c r="G946" s="68">
        <v>4608</v>
      </c>
    </row>
    <row r="947" spans="1:7" x14ac:dyDescent="0.3">
      <c r="A947" t="s">
        <v>688</v>
      </c>
      <c r="B947" t="s">
        <v>588</v>
      </c>
      <c r="C947" t="s">
        <v>6</v>
      </c>
      <c r="D947" t="s">
        <v>17</v>
      </c>
      <c r="E947" s="68">
        <v>1547</v>
      </c>
      <c r="F947" s="68">
        <v>1847</v>
      </c>
      <c r="G947" s="68">
        <v>3394</v>
      </c>
    </row>
    <row r="948" spans="1:7" x14ac:dyDescent="0.3">
      <c r="A948" t="s">
        <v>688</v>
      </c>
      <c r="B948" t="s">
        <v>588</v>
      </c>
      <c r="C948" t="s">
        <v>6</v>
      </c>
      <c r="D948" t="s">
        <v>18</v>
      </c>
      <c r="E948" s="68">
        <v>1445</v>
      </c>
      <c r="F948" s="68">
        <v>1523</v>
      </c>
      <c r="G948" s="68">
        <v>2968</v>
      </c>
    </row>
    <row r="949" spans="1:7" x14ac:dyDescent="0.3">
      <c r="A949" t="s">
        <v>688</v>
      </c>
      <c r="B949" t="s">
        <v>588</v>
      </c>
      <c r="C949" t="s">
        <v>6</v>
      </c>
      <c r="D949" t="s">
        <v>19</v>
      </c>
      <c r="E949" s="68">
        <v>1345</v>
      </c>
      <c r="F949" s="68">
        <v>1402</v>
      </c>
      <c r="G949" s="68">
        <v>2747</v>
      </c>
    </row>
    <row r="950" spans="1:7" x14ac:dyDescent="0.3">
      <c r="A950" t="s">
        <v>688</v>
      </c>
      <c r="B950" t="s">
        <v>588</v>
      </c>
      <c r="C950" t="s">
        <v>6</v>
      </c>
      <c r="D950" t="s">
        <v>20</v>
      </c>
      <c r="E950" s="68">
        <v>1049</v>
      </c>
      <c r="F950" s="68">
        <v>1108</v>
      </c>
      <c r="G950" s="68">
        <v>2157</v>
      </c>
    </row>
    <row r="951" spans="1:7" x14ac:dyDescent="0.3">
      <c r="A951" t="s">
        <v>688</v>
      </c>
      <c r="B951" t="s">
        <v>588</v>
      </c>
      <c r="C951" t="s">
        <v>6</v>
      </c>
      <c r="D951" t="s">
        <v>21</v>
      </c>
      <c r="E951" s="68">
        <v>757</v>
      </c>
      <c r="F951" s="68">
        <v>737</v>
      </c>
      <c r="G951" s="68">
        <v>1494</v>
      </c>
    </row>
    <row r="952" spans="1:7" x14ac:dyDescent="0.3">
      <c r="A952" t="s">
        <v>688</v>
      </c>
      <c r="B952" t="s">
        <v>588</v>
      </c>
      <c r="C952" t="s">
        <v>6</v>
      </c>
      <c r="D952" t="s">
        <v>22</v>
      </c>
      <c r="E952" s="68">
        <v>521</v>
      </c>
      <c r="F952" s="68">
        <v>408</v>
      </c>
      <c r="G952" s="68">
        <v>929</v>
      </c>
    </row>
    <row r="953" spans="1:7" x14ac:dyDescent="0.3">
      <c r="A953" t="s">
        <v>688</v>
      </c>
      <c r="B953" t="s">
        <v>588</v>
      </c>
      <c r="C953" t="s">
        <v>6</v>
      </c>
      <c r="D953" t="s">
        <v>23</v>
      </c>
      <c r="E953" s="68">
        <v>722</v>
      </c>
      <c r="F953" s="68">
        <v>379</v>
      </c>
      <c r="G953" s="68">
        <v>1101</v>
      </c>
    </row>
    <row r="954" spans="1:7" x14ac:dyDescent="0.3">
      <c r="A954" t="s">
        <v>688</v>
      </c>
      <c r="B954" t="s">
        <v>588</v>
      </c>
      <c r="C954" t="s">
        <v>24</v>
      </c>
      <c r="D954" t="s">
        <v>7</v>
      </c>
      <c r="E954" s="68">
        <v>13470</v>
      </c>
      <c r="F954" s="68">
        <v>14125</v>
      </c>
      <c r="G954" s="68">
        <v>27595</v>
      </c>
    </row>
    <row r="955" spans="1:7" x14ac:dyDescent="0.3">
      <c r="A955" t="s">
        <v>688</v>
      </c>
      <c r="B955" t="s">
        <v>588</v>
      </c>
      <c r="C955" t="s">
        <v>24</v>
      </c>
      <c r="D955" t="s">
        <v>8</v>
      </c>
      <c r="E955" s="68">
        <v>18760</v>
      </c>
      <c r="F955" s="68">
        <v>19632</v>
      </c>
      <c r="G955" s="68">
        <v>38392</v>
      </c>
    </row>
    <row r="956" spans="1:7" x14ac:dyDescent="0.3">
      <c r="A956" t="s">
        <v>688</v>
      </c>
      <c r="B956" t="s">
        <v>588</v>
      </c>
      <c r="C956" t="s">
        <v>24</v>
      </c>
      <c r="D956" t="s">
        <v>9</v>
      </c>
      <c r="E956" s="68">
        <v>20662</v>
      </c>
      <c r="F956" s="68">
        <v>21806</v>
      </c>
      <c r="G956" s="68">
        <v>42468</v>
      </c>
    </row>
    <row r="957" spans="1:7" x14ac:dyDescent="0.3">
      <c r="A957" t="s">
        <v>688</v>
      </c>
      <c r="B957" t="s">
        <v>588</v>
      </c>
      <c r="C957" t="s">
        <v>24</v>
      </c>
      <c r="D957" t="s">
        <v>10</v>
      </c>
      <c r="E957" s="68">
        <v>21608</v>
      </c>
      <c r="F957" s="68">
        <v>21478</v>
      </c>
      <c r="G957" s="68">
        <v>43086</v>
      </c>
    </row>
    <row r="958" spans="1:7" x14ac:dyDescent="0.3">
      <c r="A958" t="s">
        <v>688</v>
      </c>
      <c r="B958" t="s">
        <v>588</v>
      </c>
      <c r="C958" t="s">
        <v>24</v>
      </c>
      <c r="D958" t="s">
        <v>11</v>
      </c>
      <c r="E958" s="68">
        <v>19554</v>
      </c>
      <c r="F958" s="68">
        <v>15183</v>
      </c>
      <c r="G958" s="68">
        <v>34737</v>
      </c>
    </row>
    <row r="959" spans="1:7" x14ac:dyDescent="0.3">
      <c r="A959" t="s">
        <v>688</v>
      </c>
      <c r="B959" t="s">
        <v>588</v>
      </c>
      <c r="C959" t="s">
        <v>24</v>
      </c>
      <c r="D959" t="s">
        <v>12</v>
      </c>
      <c r="E959" s="68">
        <v>20119</v>
      </c>
      <c r="F959" s="68">
        <v>13472</v>
      </c>
      <c r="G959" s="68">
        <v>33591</v>
      </c>
    </row>
    <row r="960" spans="1:7" x14ac:dyDescent="0.3">
      <c r="A960" t="s">
        <v>688</v>
      </c>
      <c r="B960" t="s">
        <v>588</v>
      </c>
      <c r="C960" t="s">
        <v>24</v>
      </c>
      <c r="D960" t="s">
        <v>13</v>
      </c>
      <c r="E960" s="68">
        <v>18668</v>
      </c>
      <c r="F960" s="68">
        <v>13062</v>
      </c>
      <c r="G960" s="68">
        <v>31730</v>
      </c>
    </row>
    <row r="961" spans="1:7" x14ac:dyDescent="0.3">
      <c r="A961" t="s">
        <v>688</v>
      </c>
      <c r="B961" t="s">
        <v>588</v>
      </c>
      <c r="C961" t="s">
        <v>24</v>
      </c>
      <c r="D961" t="s">
        <v>14</v>
      </c>
      <c r="E961" s="68">
        <v>18006</v>
      </c>
      <c r="F961" s="68">
        <v>12922</v>
      </c>
      <c r="G961" s="68">
        <v>30928</v>
      </c>
    </row>
    <row r="962" spans="1:7" x14ac:dyDescent="0.3">
      <c r="A962" t="s">
        <v>688</v>
      </c>
      <c r="B962" t="s">
        <v>588</v>
      </c>
      <c r="C962" t="s">
        <v>24</v>
      </c>
      <c r="D962" t="s">
        <v>15</v>
      </c>
      <c r="E962" s="68">
        <v>19344</v>
      </c>
      <c r="F962" s="68">
        <v>13870</v>
      </c>
      <c r="G962" s="68">
        <v>33214</v>
      </c>
    </row>
    <row r="963" spans="1:7" x14ac:dyDescent="0.3">
      <c r="A963" t="s">
        <v>688</v>
      </c>
      <c r="B963" t="s">
        <v>588</v>
      </c>
      <c r="C963" t="s">
        <v>24</v>
      </c>
      <c r="D963" t="s">
        <v>16</v>
      </c>
      <c r="E963" s="68">
        <v>17478</v>
      </c>
      <c r="F963" s="68">
        <v>12681</v>
      </c>
      <c r="G963" s="68">
        <v>30159</v>
      </c>
    </row>
    <row r="964" spans="1:7" x14ac:dyDescent="0.3">
      <c r="A964" t="s">
        <v>688</v>
      </c>
      <c r="B964" t="s">
        <v>588</v>
      </c>
      <c r="C964" t="s">
        <v>24</v>
      </c>
      <c r="D964" t="s">
        <v>17</v>
      </c>
      <c r="E964" s="68">
        <v>16057</v>
      </c>
      <c r="F964" s="68">
        <v>11928</v>
      </c>
      <c r="G964" s="68">
        <v>27985</v>
      </c>
    </row>
    <row r="965" spans="1:7" x14ac:dyDescent="0.3">
      <c r="A965" t="s">
        <v>688</v>
      </c>
      <c r="B965" t="s">
        <v>588</v>
      </c>
      <c r="C965" t="s">
        <v>24</v>
      </c>
      <c r="D965" t="s">
        <v>18</v>
      </c>
      <c r="E965" s="68">
        <v>16999</v>
      </c>
      <c r="F965" s="68">
        <v>12980</v>
      </c>
      <c r="G965" s="68">
        <v>29979</v>
      </c>
    </row>
    <row r="966" spans="1:7" x14ac:dyDescent="0.3">
      <c r="A966" t="s">
        <v>688</v>
      </c>
      <c r="B966" t="s">
        <v>588</v>
      </c>
      <c r="C966" t="s">
        <v>24</v>
      </c>
      <c r="D966" t="s">
        <v>19</v>
      </c>
      <c r="E966" s="68">
        <v>17412</v>
      </c>
      <c r="F966" s="68">
        <v>14036</v>
      </c>
      <c r="G966" s="68">
        <v>31448</v>
      </c>
    </row>
    <row r="967" spans="1:7" x14ac:dyDescent="0.3">
      <c r="A967" t="s">
        <v>688</v>
      </c>
      <c r="B967" t="s">
        <v>588</v>
      </c>
      <c r="C967" t="s">
        <v>24</v>
      </c>
      <c r="D967" t="s">
        <v>20</v>
      </c>
      <c r="E967" s="68">
        <v>12607</v>
      </c>
      <c r="F967" s="68">
        <v>10332</v>
      </c>
      <c r="G967" s="68">
        <v>22939</v>
      </c>
    </row>
    <row r="968" spans="1:7" x14ac:dyDescent="0.3">
      <c r="A968" t="s">
        <v>688</v>
      </c>
      <c r="B968" t="s">
        <v>588</v>
      </c>
      <c r="C968" t="s">
        <v>24</v>
      </c>
      <c r="D968" t="s">
        <v>21</v>
      </c>
      <c r="E968" s="68">
        <v>8879</v>
      </c>
      <c r="F968" s="68">
        <v>7147</v>
      </c>
      <c r="G968" s="68">
        <v>16026</v>
      </c>
    </row>
    <row r="969" spans="1:7" x14ac:dyDescent="0.3">
      <c r="A969" t="s">
        <v>688</v>
      </c>
      <c r="B969" t="s">
        <v>588</v>
      </c>
      <c r="C969" t="s">
        <v>24</v>
      </c>
      <c r="D969" t="s">
        <v>22</v>
      </c>
      <c r="E969" s="68">
        <v>6029</v>
      </c>
      <c r="F969" s="68">
        <v>4630</v>
      </c>
      <c r="G969" s="68">
        <v>10659</v>
      </c>
    </row>
    <row r="970" spans="1:7" x14ac:dyDescent="0.3">
      <c r="A970" t="s">
        <v>688</v>
      </c>
      <c r="B970" t="s">
        <v>588</v>
      </c>
      <c r="C970" t="s">
        <v>24</v>
      </c>
      <c r="D970" t="s">
        <v>23</v>
      </c>
      <c r="E970" s="68">
        <v>7854</v>
      </c>
      <c r="F970" s="68">
        <v>5058</v>
      </c>
      <c r="G970" s="68">
        <v>12912</v>
      </c>
    </row>
    <row r="971" spans="1:7" x14ac:dyDescent="0.3">
      <c r="A971" t="s">
        <v>688</v>
      </c>
      <c r="B971" t="s">
        <v>26</v>
      </c>
      <c r="C971" t="s">
        <v>6</v>
      </c>
      <c r="D971" t="s">
        <v>7</v>
      </c>
      <c r="E971" s="68">
        <v>3005</v>
      </c>
      <c r="F971" s="68">
        <v>3047</v>
      </c>
      <c r="G971" s="68">
        <v>6052</v>
      </c>
    </row>
    <row r="972" spans="1:7" x14ac:dyDescent="0.3">
      <c r="A972" t="s">
        <v>688</v>
      </c>
      <c r="B972" t="s">
        <v>26</v>
      </c>
      <c r="C972" t="s">
        <v>6</v>
      </c>
      <c r="D972" t="s">
        <v>8</v>
      </c>
      <c r="E972" s="68">
        <v>4204</v>
      </c>
      <c r="F972" s="68">
        <v>4229</v>
      </c>
      <c r="G972" s="68">
        <v>8433</v>
      </c>
    </row>
    <row r="973" spans="1:7" x14ac:dyDescent="0.3">
      <c r="A973" t="s">
        <v>688</v>
      </c>
      <c r="B973" t="s">
        <v>26</v>
      </c>
      <c r="C973" t="s">
        <v>6</v>
      </c>
      <c r="D973" t="s">
        <v>9</v>
      </c>
      <c r="E973" s="68">
        <v>4132</v>
      </c>
      <c r="F973" s="68">
        <v>4367</v>
      </c>
      <c r="G973" s="68">
        <v>8499</v>
      </c>
    </row>
    <row r="974" spans="1:7" x14ac:dyDescent="0.3">
      <c r="A974" t="s">
        <v>688</v>
      </c>
      <c r="B974" t="s">
        <v>26</v>
      </c>
      <c r="C974" t="s">
        <v>6</v>
      </c>
      <c r="D974" t="s">
        <v>10</v>
      </c>
      <c r="E974" s="68">
        <v>4934</v>
      </c>
      <c r="F974" s="68">
        <v>5129</v>
      </c>
      <c r="G974" s="68">
        <v>10063</v>
      </c>
    </row>
    <row r="975" spans="1:7" x14ac:dyDescent="0.3">
      <c r="A975" t="s">
        <v>688</v>
      </c>
      <c r="B975" t="s">
        <v>26</v>
      </c>
      <c r="C975" t="s">
        <v>6</v>
      </c>
      <c r="D975" t="s">
        <v>11</v>
      </c>
      <c r="E975" s="68">
        <v>6364</v>
      </c>
      <c r="F975" s="68">
        <v>8810</v>
      </c>
      <c r="G975" s="68">
        <v>15174</v>
      </c>
    </row>
    <row r="976" spans="1:7" x14ac:dyDescent="0.3">
      <c r="A976" t="s">
        <v>688</v>
      </c>
      <c r="B976" t="s">
        <v>26</v>
      </c>
      <c r="C976" t="s">
        <v>6</v>
      </c>
      <c r="D976" t="s">
        <v>12</v>
      </c>
      <c r="E976" s="68">
        <v>5358</v>
      </c>
      <c r="F976" s="68">
        <v>8642</v>
      </c>
      <c r="G976" s="68">
        <v>14000</v>
      </c>
    </row>
    <row r="977" spans="1:7" x14ac:dyDescent="0.3">
      <c r="A977" t="s">
        <v>688</v>
      </c>
      <c r="B977" t="s">
        <v>26</v>
      </c>
      <c r="C977" t="s">
        <v>6</v>
      </c>
      <c r="D977" t="s">
        <v>13</v>
      </c>
      <c r="E977" s="68">
        <v>5045</v>
      </c>
      <c r="F977" s="68">
        <v>7787</v>
      </c>
      <c r="G977" s="68">
        <v>12832</v>
      </c>
    </row>
    <row r="978" spans="1:7" x14ac:dyDescent="0.3">
      <c r="A978" t="s">
        <v>688</v>
      </c>
      <c r="B978" t="s">
        <v>26</v>
      </c>
      <c r="C978" t="s">
        <v>6</v>
      </c>
      <c r="D978" t="s">
        <v>14</v>
      </c>
      <c r="E978" s="68">
        <v>4523</v>
      </c>
      <c r="F978" s="68">
        <v>6509</v>
      </c>
      <c r="G978" s="68">
        <v>11032</v>
      </c>
    </row>
    <row r="979" spans="1:7" x14ac:dyDescent="0.3">
      <c r="A979" t="s">
        <v>688</v>
      </c>
      <c r="B979" t="s">
        <v>26</v>
      </c>
      <c r="C979" t="s">
        <v>6</v>
      </c>
      <c r="D979" t="s">
        <v>15</v>
      </c>
      <c r="E979" s="68">
        <v>4251</v>
      </c>
      <c r="F979" s="68">
        <v>5581</v>
      </c>
      <c r="G979" s="68">
        <v>9832</v>
      </c>
    </row>
    <row r="980" spans="1:7" x14ac:dyDescent="0.3">
      <c r="A980" t="s">
        <v>688</v>
      </c>
      <c r="B980" t="s">
        <v>26</v>
      </c>
      <c r="C980" t="s">
        <v>6</v>
      </c>
      <c r="D980" t="s">
        <v>16</v>
      </c>
      <c r="E980" s="68">
        <v>4399</v>
      </c>
      <c r="F980" s="68">
        <v>5068</v>
      </c>
      <c r="G980" s="68">
        <v>9467</v>
      </c>
    </row>
    <row r="981" spans="1:7" x14ac:dyDescent="0.3">
      <c r="A981" t="s">
        <v>688</v>
      </c>
      <c r="B981" t="s">
        <v>26</v>
      </c>
      <c r="C981" t="s">
        <v>6</v>
      </c>
      <c r="D981" t="s">
        <v>17</v>
      </c>
      <c r="E981" s="68">
        <v>4675</v>
      </c>
      <c r="F981" s="68">
        <v>4792</v>
      </c>
      <c r="G981" s="68">
        <v>9467</v>
      </c>
    </row>
    <row r="982" spans="1:7" x14ac:dyDescent="0.3">
      <c r="A982" t="s">
        <v>688</v>
      </c>
      <c r="B982" t="s">
        <v>26</v>
      </c>
      <c r="C982" t="s">
        <v>6</v>
      </c>
      <c r="D982" t="s">
        <v>18</v>
      </c>
      <c r="E982" s="68">
        <v>5673</v>
      </c>
      <c r="F982" s="68">
        <v>5050</v>
      </c>
      <c r="G982" s="68">
        <v>10723</v>
      </c>
    </row>
    <row r="983" spans="1:7" x14ac:dyDescent="0.3">
      <c r="A983" t="s">
        <v>688</v>
      </c>
      <c r="B983" t="s">
        <v>26</v>
      </c>
      <c r="C983" t="s">
        <v>6</v>
      </c>
      <c r="D983" t="s">
        <v>19</v>
      </c>
      <c r="E983" s="68">
        <v>6387</v>
      </c>
      <c r="F983" s="68">
        <v>5245</v>
      </c>
      <c r="G983" s="68">
        <v>11632</v>
      </c>
    </row>
    <row r="984" spans="1:7" x14ac:dyDescent="0.3">
      <c r="A984" t="s">
        <v>688</v>
      </c>
      <c r="B984" t="s">
        <v>26</v>
      </c>
      <c r="C984" t="s">
        <v>6</v>
      </c>
      <c r="D984" t="s">
        <v>20</v>
      </c>
      <c r="E984" s="68">
        <v>6581</v>
      </c>
      <c r="F984" s="68">
        <v>4949</v>
      </c>
      <c r="G984" s="68">
        <v>11530</v>
      </c>
    </row>
    <row r="985" spans="1:7" x14ac:dyDescent="0.3">
      <c r="A985" t="s">
        <v>688</v>
      </c>
      <c r="B985" t="s">
        <v>26</v>
      </c>
      <c r="C985" t="s">
        <v>6</v>
      </c>
      <c r="D985" t="s">
        <v>21</v>
      </c>
      <c r="E985" s="68">
        <v>6133</v>
      </c>
      <c r="F985" s="68">
        <v>4696</v>
      </c>
      <c r="G985" s="68">
        <v>10829</v>
      </c>
    </row>
    <row r="986" spans="1:7" x14ac:dyDescent="0.3">
      <c r="A986" t="s">
        <v>688</v>
      </c>
      <c r="B986" t="s">
        <v>26</v>
      </c>
      <c r="C986" t="s">
        <v>6</v>
      </c>
      <c r="D986" t="s">
        <v>22</v>
      </c>
      <c r="E986" s="68">
        <v>4895</v>
      </c>
      <c r="F986" s="68">
        <v>3763</v>
      </c>
      <c r="G986" s="68">
        <v>8658</v>
      </c>
    </row>
    <row r="987" spans="1:7" x14ac:dyDescent="0.3">
      <c r="A987" t="s">
        <v>688</v>
      </c>
      <c r="B987" t="s">
        <v>26</v>
      </c>
      <c r="C987" t="s">
        <v>6</v>
      </c>
      <c r="D987" t="s">
        <v>23</v>
      </c>
      <c r="E987" s="68">
        <v>7764</v>
      </c>
      <c r="F987" s="68">
        <v>4838</v>
      </c>
      <c r="G987" s="68">
        <v>12602</v>
      </c>
    </row>
    <row r="988" spans="1:7" x14ac:dyDescent="0.3">
      <c r="A988" t="s">
        <v>688</v>
      </c>
      <c r="B988" t="s">
        <v>26</v>
      </c>
      <c r="C988" t="s">
        <v>24</v>
      </c>
      <c r="D988" t="s">
        <v>7</v>
      </c>
      <c r="E988" s="68">
        <v>7939</v>
      </c>
      <c r="F988" s="68">
        <v>8509</v>
      </c>
      <c r="G988" s="68">
        <v>16448</v>
      </c>
    </row>
    <row r="989" spans="1:7" x14ac:dyDescent="0.3">
      <c r="A989" t="s">
        <v>688</v>
      </c>
      <c r="B989" t="s">
        <v>26</v>
      </c>
      <c r="C989" t="s">
        <v>24</v>
      </c>
      <c r="D989" t="s">
        <v>8</v>
      </c>
      <c r="E989" s="68">
        <v>9498</v>
      </c>
      <c r="F989" s="68">
        <v>9950</v>
      </c>
      <c r="G989" s="68">
        <v>19448</v>
      </c>
    </row>
    <row r="990" spans="1:7" x14ac:dyDescent="0.3">
      <c r="A990" t="s">
        <v>688</v>
      </c>
      <c r="B990" t="s">
        <v>26</v>
      </c>
      <c r="C990" t="s">
        <v>24</v>
      </c>
      <c r="D990" t="s">
        <v>9</v>
      </c>
      <c r="E990" s="68">
        <v>8438</v>
      </c>
      <c r="F990" s="68">
        <v>8725</v>
      </c>
      <c r="G990" s="68">
        <v>17163</v>
      </c>
    </row>
    <row r="991" spans="1:7" x14ac:dyDescent="0.3">
      <c r="A991" t="s">
        <v>688</v>
      </c>
      <c r="B991" t="s">
        <v>26</v>
      </c>
      <c r="C991" t="s">
        <v>24</v>
      </c>
      <c r="D991" t="s">
        <v>10</v>
      </c>
      <c r="E991" s="68">
        <v>11006</v>
      </c>
      <c r="F991" s="68">
        <v>10356</v>
      </c>
      <c r="G991" s="68">
        <v>21362</v>
      </c>
    </row>
    <row r="992" spans="1:7" x14ac:dyDescent="0.3">
      <c r="A992" t="s">
        <v>688</v>
      </c>
      <c r="B992" t="s">
        <v>26</v>
      </c>
      <c r="C992" t="s">
        <v>24</v>
      </c>
      <c r="D992" t="s">
        <v>11</v>
      </c>
      <c r="E992" s="68">
        <v>13366</v>
      </c>
      <c r="F992" s="68">
        <v>10051</v>
      </c>
      <c r="G992" s="68">
        <v>23417</v>
      </c>
    </row>
    <row r="993" spans="1:7" x14ac:dyDescent="0.3">
      <c r="A993" t="s">
        <v>688</v>
      </c>
      <c r="B993" t="s">
        <v>26</v>
      </c>
      <c r="C993" t="s">
        <v>24</v>
      </c>
      <c r="D993" t="s">
        <v>12</v>
      </c>
      <c r="E993" s="68">
        <v>10924</v>
      </c>
      <c r="F993" s="68">
        <v>8921</v>
      </c>
      <c r="G993" s="68">
        <v>19845</v>
      </c>
    </row>
    <row r="994" spans="1:7" x14ac:dyDescent="0.3">
      <c r="A994" t="s">
        <v>688</v>
      </c>
      <c r="B994" t="s">
        <v>26</v>
      </c>
      <c r="C994" t="s">
        <v>24</v>
      </c>
      <c r="D994" t="s">
        <v>13</v>
      </c>
      <c r="E994" s="68">
        <v>9975</v>
      </c>
      <c r="F994" s="68">
        <v>8069</v>
      </c>
      <c r="G994" s="68">
        <v>18044</v>
      </c>
    </row>
    <row r="995" spans="1:7" x14ac:dyDescent="0.3">
      <c r="A995" t="s">
        <v>688</v>
      </c>
      <c r="B995" t="s">
        <v>26</v>
      </c>
      <c r="C995" t="s">
        <v>24</v>
      </c>
      <c r="D995" t="s">
        <v>14</v>
      </c>
      <c r="E995" s="68">
        <v>9472</v>
      </c>
      <c r="F995" s="68">
        <v>7622</v>
      </c>
      <c r="G995" s="68">
        <v>17094</v>
      </c>
    </row>
    <row r="996" spans="1:7" x14ac:dyDescent="0.3">
      <c r="A996" t="s">
        <v>688</v>
      </c>
      <c r="B996" t="s">
        <v>26</v>
      </c>
      <c r="C996" t="s">
        <v>24</v>
      </c>
      <c r="D996" t="s">
        <v>15</v>
      </c>
      <c r="E996" s="68">
        <v>7634</v>
      </c>
      <c r="F996" s="68">
        <v>6500</v>
      </c>
      <c r="G996" s="68">
        <v>14134</v>
      </c>
    </row>
    <row r="997" spans="1:7" x14ac:dyDescent="0.3">
      <c r="A997" t="s">
        <v>688</v>
      </c>
      <c r="B997" t="s">
        <v>26</v>
      </c>
      <c r="C997" t="s">
        <v>24</v>
      </c>
      <c r="D997" t="s">
        <v>16</v>
      </c>
      <c r="E997" s="68">
        <v>8663</v>
      </c>
      <c r="F997" s="68">
        <v>7227</v>
      </c>
      <c r="G997" s="68">
        <v>15890</v>
      </c>
    </row>
    <row r="998" spans="1:7" x14ac:dyDescent="0.3">
      <c r="A998" t="s">
        <v>688</v>
      </c>
      <c r="B998" t="s">
        <v>26</v>
      </c>
      <c r="C998" t="s">
        <v>24</v>
      </c>
      <c r="D998" t="s">
        <v>17</v>
      </c>
      <c r="E998" s="68">
        <v>9280</v>
      </c>
      <c r="F998" s="68">
        <v>7515</v>
      </c>
      <c r="G998" s="68">
        <v>16795</v>
      </c>
    </row>
    <row r="999" spans="1:7" x14ac:dyDescent="0.3">
      <c r="A999" t="s">
        <v>688</v>
      </c>
      <c r="B999" t="s">
        <v>26</v>
      </c>
      <c r="C999" t="s">
        <v>24</v>
      </c>
      <c r="D999" t="s">
        <v>18</v>
      </c>
      <c r="E999" s="68">
        <v>7521</v>
      </c>
      <c r="F999" s="68">
        <v>6757</v>
      </c>
      <c r="G999" s="68">
        <v>14278</v>
      </c>
    </row>
    <row r="1000" spans="1:7" x14ac:dyDescent="0.3">
      <c r="A1000" t="s">
        <v>688</v>
      </c>
      <c r="B1000" t="s">
        <v>26</v>
      </c>
      <c r="C1000" t="s">
        <v>24</v>
      </c>
      <c r="D1000" t="s">
        <v>19</v>
      </c>
      <c r="E1000" s="68">
        <v>6142</v>
      </c>
      <c r="F1000" s="68">
        <v>5696</v>
      </c>
      <c r="G1000" s="68">
        <v>11838</v>
      </c>
    </row>
    <row r="1001" spans="1:7" x14ac:dyDescent="0.3">
      <c r="A1001" t="s">
        <v>688</v>
      </c>
      <c r="B1001" t="s">
        <v>26</v>
      </c>
      <c r="C1001" t="s">
        <v>24</v>
      </c>
      <c r="D1001" t="s">
        <v>20</v>
      </c>
      <c r="E1001" s="68">
        <v>5190</v>
      </c>
      <c r="F1001" s="68">
        <v>4769</v>
      </c>
      <c r="G1001" s="68">
        <v>9959</v>
      </c>
    </row>
    <row r="1002" spans="1:7" x14ac:dyDescent="0.3">
      <c r="A1002" t="s">
        <v>688</v>
      </c>
      <c r="B1002" t="s">
        <v>26</v>
      </c>
      <c r="C1002" t="s">
        <v>24</v>
      </c>
      <c r="D1002" t="s">
        <v>21</v>
      </c>
      <c r="E1002" s="68">
        <v>4525</v>
      </c>
      <c r="F1002" s="68">
        <v>4037</v>
      </c>
      <c r="G1002" s="68">
        <v>8562</v>
      </c>
    </row>
    <row r="1003" spans="1:7" x14ac:dyDescent="0.3">
      <c r="A1003" t="s">
        <v>688</v>
      </c>
      <c r="B1003" t="s">
        <v>26</v>
      </c>
      <c r="C1003" t="s">
        <v>24</v>
      </c>
      <c r="D1003" t="s">
        <v>22</v>
      </c>
      <c r="E1003" s="68">
        <v>3389</v>
      </c>
      <c r="F1003" s="68">
        <v>2892</v>
      </c>
      <c r="G1003" s="68">
        <v>6281</v>
      </c>
    </row>
    <row r="1004" spans="1:7" x14ac:dyDescent="0.3">
      <c r="A1004" t="s">
        <v>688</v>
      </c>
      <c r="B1004" t="s">
        <v>26</v>
      </c>
      <c r="C1004" t="s">
        <v>24</v>
      </c>
      <c r="D1004" t="s">
        <v>23</v>
      </c>
      <c r="E1004" s="68">
        <v>4173</v>
      </c>
      <c r="F1004" s="68">
        <v>3356</v>
      </c>
      <c r="G1004" s="68">
        <v>7529</v>
      </c>
    </row>
    <row r="1005" spans="1:7" x14ac:dyDescent="0.3">
      <c r="A1005" t="s">
        <v>688</v>
      </c>
      <c r="B1005" t="s">
        <v>27</v>
      </c>
      <c r="C1005" t="s">
        <v>28</v>
      </c>
      <c r="D1005" t="s">
        <v>7</v>
      </c>
      <c r="E1005" s="68">
        <v>457</v>
      </c>
      <c r="F1005" s="68">
        <v>446</v>
      </c>
      <c r="G1005" s="68">
        <v>903</v>
      </c>
    </row>
    <row r="1006" spans="1:7" x14ac:dyDescent="0.3">
      <c r="A1006" t="s">
        <v>688</v>
      </c>
      <c r="B1006" t="s">
        <v>27</v>
      </c>
      <c r="C1006" t="s">
        <v>28</v>
      </c>
      <c r="D1006" t="s">
        <v>8</v>
      </c>
      <c r="E1006" s="68">
        <v>641</v>
      </c>
      <c r="F1006" s="68">
        <v>638</v>
      </c>
      <c r="G1006" s="68">
        <v>1279</v>
      </c>
    </row>
    <row r="1007" spans="1:7" x14ac:dyDescent="0.3">
      <c r="A1007" t="s">
        <v>688</v>
      </c>
      <c r="B1007" t="s">
        <v>27</v>
      </c>
      <c r="C1007" t="s">
        <v>28</v>
      </c>
      <c r="D1007" t="s">
        <v>9</v>
      </c>
      <c r="E1007" s="68">
        <v>992</v>
      </c>
      <c r="F1007" s="68">
        <v>1026</v>
      </c>
      <c r="G1007" s="68">
        <v>2018</v>
      </c>
    </row>
    <row r="1008" spans="1:7" x14ac:dyDescent="0.3">
      <c r="A1008" t="s">
        <v>688</v>
      </c>
      <c r="B1008" t="s">
        <v>27</v>
      </c>
      <c r="C1008" t="s">
        <v>28</v>
      </c>
      <c r="D1008" t="s">
        <v>10</v>
      </c>
      <c r="E1008" s="68">
        <v>1324</v>
      </c>
      <c r="F1008" s="68">
        <v>1407</v>
      </c>
      <c r="G1008" s="68">
        <v>2731</v>
      </c>
    </row>
    <row r="1009" spans="1:7" x14ac:dyDescent="0.3">
      <c r="A1009" t="s">
        <v>688</v>
      </c>
      <c r="B1009" t="s">
        <v>27</v>
      </c>
      <c r="C1009" t="s">
        <v>28</v>
      </c>
      <c r="D1009" t="s">
        <v>11</v>
      </c>
      <c r="E1009" s="68">
        <v>1339</v>
      </c>
      <c r="F1009" s="68">
        <v>1351</v>
      </c>
      <c r="G1009" s="68">
        <v>2690</v>
      </c>
    </row>
    <row r="1010" spans="1:7" x14ac:dyDescent="0.3">
      <c r="A1010" t="s">
        <v>688</v>
      </c>
      <c r="B1010" t="s">
        <v>27</v>
      </c>
      <c r="C1010" t="s">
        <v>28</v>
      </c>
      <c r="D1010" t="s">
        <v>12</v>
      </c>
      <c r="E1010" s="68">
        <v>691</v>
      </c>
      <c r="F1010" s="68">
        <v>419</v>
      </c>
      <c r="G1010" s="68">
        <v>1110</v>
      </c>
    </row>
    <row r="1011" spans="1:7" x14ac:dyDescent="0.3">
      <c r="A1011" t="s">
        <v>688</v>
      </c>
      <c r="B1011" t="s">
        <v>27</v>
      </c>
      <c r="C1011" t="s">
        <v>28</v>
      </c>
      <c r="D1011" t="s">
        <v>13</v>
      </c>
      <c r="E1011" s="68">
        <v>827</v>
      </c>
      <c r="F1011" s="68">
        <v>481</v>
      </c>
      <c r="G1011" s="68">
        <v>1308</v>
      </c>
    </row>
    <row r="1012" spans="1:7" x14ac:dyDescent="0.3">
      <c r="A1012" t="s">
        <v>688</v>
      </c>
      <c r="B1012" t="s">
        <v>27</v>
      </c>
      <c r="C1012" t="s">
        <v>28</v>
      </c>
      <c r="D1012" t="s">
        <v>14</v>
      </c>
      <c r="E1012" s="68">
        <v>1080</v>
      </c>
      <c r="F1012" s="68">
        <v>557</v>
      </c>
      <c r="G1012" s="68">
        <v>1637</v>
      </c>
    </row>
    <row r="1013" spans="1:7" x14ac:dyDescent="0.3">
      <c r="A1013" t="s">
        <v>688</v>
      </c>
      <c r="B1013" t="s">
        <v>27</v>
      </c>
      <c r="C1013" t="s">
        <v>28</v>
      </c>
      <c r="D1013" t="s">
        <v>15</v>
      </c>
      <c r="E1013" s="68">
        <v>1235</v>
      </c>
      <c r="F1013" s="68">
        <v>647</v>
      </c>
      <c r="G1013" s="68">
        <v>1882</v>
      </c>
    </row>
    <row r="1014" spans="1:7" x14ac:dyDescent="0.3">
      <c r="A1014" t="s">
        <v>688</v>
      </c>
      <c r="B1014" t="s">
        <v>27</v>
      </c>
      <c r="C1014" t="s">
        <v>28</v>
      </c>
      <c r="D1014" t="s">
        <v>16</v>
      </c>
      <c r="E1014" s="68">
        <v>1702</v>
      </c>
      <c r="F1014" s="68">
        <v>777</v>
      </c>
      <c r="G1014" s="68">
        <v>2479</v>
      </c>
    </row>
    <row r="1015" spans="1:7" x14ac:dyDescent="0.3">
      <c r="A1015" t="s">
        <v>688</v>
      </c>
      <c r="B1015" t="s">
        <v>27</v>
      </c>
      <c r="C1015" t="s">
        <v>28</v>
      </c>
      <c r="D1015" t="s">
        <v>17</v>
      </c>
      <c r="E1015" s="68">
        <v>1932</v>
      </c>
      <c r="F1015" s="68">
        <v>968</v>
      </c>
      <c r="G1015" s="68">
        <v>2900</v>
      </c>
    </row>
    <row r="1016" spans="1:7" x14ac:dyDescent="0.3">
      <c r="A1016" t="s">
        <v>688</v>
      </c>
      <c r="B1016" t="s">
        <v>27</v>
      </c>
      <c r="C1016" t="s">
        <v>28</v>
      </c>
      <c r="D1016" t="s">
        <v>18</v>
      </c>
      <c r="E1016" s="68">
        <v>2337</v>
      </c>
      <c r="F1016" s="68">
        <v>1270</v>
      </c>
      <c r="G1016" s="68">
        <v>3607</v>
      </c>
    </row>
    <row r="1017" spans="1:7" x14ac:dyDescent="0.3">
      <c r="A1017" t="s">
        <v>688</v>
      </c>
      <c r="B1017" t="s">
        <v>27</v>
      </c>
      <c r="C1017" t="s">
        <v>28</v>
      </c>
      <c r="D1017" t="s">
        <v>19</v>
      </c>
      <c r="E1017" s="68">
        <v>2221</v>
      </c>
      <c r="F1017" s="68">
        <v>1362</v>
      </c>
      <c r="G1017" s="68">
        <v>3583</v>
      </c>
    </row>
    <row r="1018" spans="1:7" x14ac:dyDescent="0.3">
      <c r="A1018" t="s">
        <v>688</v>
      </c>
      <c r="B1018" t="s">
        <v>27</v>
      </c>
      <c r="C1018" t="s">
        <v>28</v>
      </c>
      <c r="D1018" t="s">
        <v>20</v>
      </c>
      <c r="E1018" s="68">
        <v>2143</v>
      </c>
      <c r="F1018" s="68">
        <v>1251</v>
      </c>
      <c r="G1018" s="68">
        <v>3394</v>
      </c>
    </row>
    <row r="1019" spans="1:7" x14ac:dyDescent="0.3">
      <c r="A1019" t="s">
        <v>688</v>
      </c>
      <c r="B1019" t="s">
        <v>27</v>
      </c>
      <c r="C1019" t="s">
        <v>28</v>
      </c>
      <c r="D1019" t="s">
        <v>21</v>
      </c>
      <c r="E1019" s="68">
        <v>2295</v>
      </c>
      <c r="F1019" s="68">
        <v>1239</v>
      </c>
      <c r="G1019" s="68">
        <v>3534</v>
      </c>
    </row>
    <row r="1020" spans="1:7" x14ac:dyDescent="0.3">
      <c r="A1020" t="s">
        <v>688</v>
      </c>
      <c r="B1020" t="s">
        <v>27</v>
      </c>
      <c r="C1020" t="s">
        <v>28</v>
      </c>
      <c r="D1020" t="s">
        <v>22</v>
      </c>
      <c r="E1020" s="68">
        <v>1547</v>
      </c>
      <c r="F1020" s="68">
        <v>885</v>
      </c>
      <c r="G1020" s="68">
        <v>2432</v>
      </c>
    </row>
    <row r="1021" spans="1:7" x14ac:dyDescent="0.3">
      <c r="A1021" t="s">
        <v>688</v>
      </c>
      <c r="B1021" t="s">
        <v>27</v>
      </c>
      <c r="C1021" t="s">
        <v>28</v>
      </c>
      <c r="D1021" t="s">
        <v>23</v>
      </c>
      <c r="E1021" s="68">
        <v>1371</v>
      </c>
      <c r="F1021" s="68">
        <v>756</v>
      </c>
      <c r="G1021" s="68">
        <v>2127</v>
      </c>
    </row>
    <row r="1022" spans="1:7" x14ac:dyDescent="0.3">
      <c r="A1022" t="s">
        <v>688</v>
      </c>
      <c r="B1022" t="s">
        <v>27</v>
      </c>
      <c r="C1022" t="s">
        <v>29</v>
      </c>
      <c r="D1022" t="s">
        <v>10</v>
      </c>
      <c r="E1022" s="68"/>
      <c r="F1022" s="68">
        <v>9</v>
      </c>
      <c r="G1022" s="68">
        <v>9</v>
      </c>
    </row>
    <row r="1023" spans="1:7" x14ac:dyDescent="0.3">
      <c r="A1023" t="s">
        <v>688</v>
      </c>
      <c r="B1023" t="s">
        <v>27</v>
      </c>
      <c r="C1023" t="s">
        <v>29</v>
      </c>
      <c r="D1023" t="s">
        <v>11</v>
      </c>
      <c r="E1023" s="68">
        <v>5</v>
      </c>
      <c r="F1023" s="68">
        <v>172</v>
      </c>
      <c r="G1023" s="68">
        <v>177</v>
      </c>
    </row>
    <row r="1024" spans="1:7" x14ac:dyDescent="0.3">
      <c r="A1024" t="s">
        <v>688</v>
      </c>
      <c r="B1024" t="s">
        <v>27</v>
      </c>
      <c r="C1024" t="s">
        <v>29</v>
      </c>
      <c r="D1024" t="s">
        <v>12</v>
      </c>
      <c r="E1024" s="68">
        <v>14</v>
      </c>
      <c r="F1024" s="68">
        <v>433</v>
      </c>
      <c r="G1024" s="68">
        <v>447</v>
      </c>
    </row>
    <row r="1025" spans="1:7" x14ac:dyDescent="0.3">
      <c r="A1025" t="s">
        <v>688</v>
      </c>
      <c r="B1025" t="s">
        <v>27</v>
      </c>
      <c r="C1025" t="s">
        <v>29</v>
      </c>
      <c r="D1025" t="s">
        <v>13</v>
      </c>
      <c r="E1025" s="68">
        <v>8</v>
      </c>
      <c r="F1025" s="68">
        <v>459</v>
      </c>
      <c r="G1025" s="68">
        <v>467</v>
      </c>
    </row>
    <row r="1026" spans="1:7" x14ac:dyDescent="0.3">
      <c r="A1026" t="s">
        <v>688</v>
      </c>
      <c r="B1026" t="s">
        <v>27</v>
      </c>
      <c r="C1026" t="s">
        <v>29</v>
      </c>
      <c r="D1026" t="s">
        <v>14</v>
      </c>
      <c r="E1026" s="68">
        <v>11</v>
      </c>
      <c r="F1026" s="68">
        <v>361</v>
      </c>
      <c r="G1026" s="68">
        <v>372</v>
      </c>
    </row>
    <row r="1027" spans="1:7" x14ac:dyDescent="0.3">
      <c r="A1027" t="s">
        <v>688</v>
      </c>
      <c r="B1027" t="s">
        <v>27</v>
      </c>
      <c r="C1027" t="s">
        <v>29</v>
      </c>
      <c r="D1027" t="s">
        <v>15</v>
      </c>
      <c r="E1027" s="68">
        <v>8</v>
      </c>
      <c r="F1027" s="68">
        <v>233</v>
      </c>
      <c r="G1027" s="68">
        <v>241</v>
      </c>
    </row>
    <row r="1028" spans="1:7" x14ac:dyDescent="0.3">
      <c r="A1028" t="s">
        <v>688</v>
      </c>
      <c r="B1028" t="s">
        <v>27</v>
      </c>
      <c r="C1028" t="s">
        <v>29</v>
      </c>
      <c r="D1028" t="s">
        <v>16</v>
      </c>
      <c r="E1028" s="68">
        <v>8</v>
      </c>
      <c r="F1028" s="68">
        <v>131</v>
      </c>
      <c r="G1028" s="68">
        <v>139</v>
      </c>
    </row>
    <row r="1029" spans="1:7" x14ac:dyDescent="0.3">
      <c r="A1029" t="s">
        <v>688</v>
      </c>
      <c r="B1029" t="s">
        <v>27</v>
      </c>
      <c r="C1029" t="s">
        <v>29</v>
      </c>
      <c r="D1029" t="s">
        <v>17</v>
      </c>
      <c r="E1029" s="68">
        <v>3</v>
      </c>
      <c r="F1029" s="68">
        <v>72</v>
      </c>
      <c r="G1029" s="68">
        <v>75</v>
      </c>
    </row>
    <row r="1030" spans="1:7" x14ac:dyDescent="0.3">
      <c r="A1030" t="s">
        <v>688</v>
      </c>
      <c r="B1030" t="s">
        <v>27</v>
      </c>
      <c r="C1030" t="s">
        <v>29</v>
      </c>
      <c r="D1030" t="s">
        <v>18</v>
      </c>
      <c r="E1030" s="68">
        <v>4</v>
      </c>
      <c r="F1030" s="68">
        <v>61</v>
      </c>
      <c r="G1030" s="68">
        <v>65</v>
      </c>
    </row>
    <row r="1031" spans="1:7" x14ac:dyDescent="0.3">
      <c r="A1031" t="s">
        <v>688</v>
      </c>
      <c r="B1031" t="s">
        <v>27</v>
      </c>
      <c r="C1031" t="s">
        <v>29</v>
      </c>
      <c r="D1031" t="s">
        <v>19</v>
      </c>
      <c r="E1031" s="68">
        <v>1</v>
      </c>
      <c r="F1031" s="68">
        <v>35</v>
      </c>
      <c r="G1031" s="68">
        <v>36</v>
      </c>
    </row>
    <row r="1032" spans="1:7" x14ac:dyDescent="0.3">
      <c r="A1032" t="s">
        <v>688</v>
      </c>
      <c r="B1032" t="s">
        <v>27</v>
      </c>
      <c r="C1032" t="s">
        <v>29</v>
      </c>
      <c r="D1032" t="s">
        <v>20</v>
      </c>
      <c r="E1032" s="68">
        <v>1</v>
      </c>
      <c r="F1032" s="68">
        <v>18</v>
      </c>
      <c r="G1032" s="68">
        <v>19</v>
      </c>
    </row>
    <row r="1033" spans="1:7" x14ac:dyDescent="0.3">
      <c r="A1033" t="s">
        <v>688</v>
      </c>
      <c r="B1033" t="s">
        <v>27</v>
      </c>
      <c r="C1033" t="s">
        <v>29</v>
      </c>
      <c r="D1033" t="s">
        <v>21</v>
      </c>
      <c r="E1033" s="68"/>
      <c r="F1033" s="68">
        <v>4</v>
      </c>
      <c r="G1033" s="68">
        <v>4</v>
      </c>
    </row>
    <row r="1034" spans="1:7" x14ac:dyDescent="0.3">
      <c r="A1034" t="s">
        <v>688</v>
      </c>
      <c r="B1034" t="s">
        <v>27</v>
      </c>
      <c r="C1034" t="s">
        <v>29</v>
      </c>
      <c r="D1034" t="s">
        <v>22</v>
      </c>
      <c r="E1034" s="68"/>
      <c r="F1034" s="68">
        <v>6</v>
      </c>
      <c r="G1034" s="68">
        <v>6</v>
      </c>
    </row>
    <row r="1035" spans="1:7" x14ac:dyDescent="0.3">
      <c r="A1035" t="s">
        <v>688</v>
      </c>
      <c r="B1035" t="s">
        <v>27</v>
      </c>
      <c r="C1035" t="s">
        <v>29</v>
      </c>
      <c r="D1035" t="s">
        <v>23</v>
      </c>
      <c r="E1035" s="68"/>
      <c r="F1035" s="68">
        <v>1</v>
      </c>
      <c r="G1035" s="68">
        <v>1</v>
      </c>
    </row>
    <row r="1036" spans="1:7" x14ac:dyDescent="0.3">
      <c r="A1036" t="s">
        <v>688</v>
      </c>
      <c r="B1036" t="s">
        <v>36</v>
      </c>
      <c r="C1036" t="s">
        <v>6</v>
      </c>
      <c r="D1036" t="s">
        <v>7</v>
      </c>
      <c r="E1036" s="68">
        <v>7591</v>
      </c>
      <c r="F1036" s="68">
        <v>8069</v>
      </c>
      <c r="G1036" s="68">
        <v>15660</v>
      </c>
    </row>
    <row r="1037" spans="1:7" x14ac:dyDescent="0.3">
      <c r="A1037" t="s">
        <v>688</v>
      </c>
      <c r="B1037" t="s">
        <v>36</v>
      </c>
      <c r="C1037" t="s">
        <v>6</v>
      </c>
      <c r="D1037" t="s">
        <v>8</v>
      </c>
      <c r="E1037" s="68">
        <v>11495</v>
      </c>
      <c r="F1037" s="68">
        <v>12074</v>
      </c>
      <c r="G1037" s="68">
        <v>23569</v>
      </c>
    </row>
    <row r="1038" spans="1:7" x14ac:dyDescent="0.3">
      <c r="A1038" t="s">
        <v>688</v>
      </c>
      <c r="B1038" t="s">
        <v>36</v>
      </c>
      <c r="C1038" t="s">
        <v>6</v>
      </c>
      <c r="D1038" t="s">
        <v>9</v>
      </c>
      <c r="E1038" s="68">
        <v>13338</v>
      </c>
      <c r="F1038" s="68">
        <v>13827</v>
      </c>
      <c r="G1038" s="68">
        <v>27165</v>
      </c>
    </row>
    <row r="1039" spans="1:7" x14ac:dyDescent="0.3">
      <c r="A1039" t="s">
        <v>688</v>
      </c>
      <c r="B1039" t="s">
        <v>36</v>
      </c>
      <c r="C1039" t="s">
        <v>6</v>
      </c>
      <c r="D1039" t="s">
        <v>10</v>
      </c>
      <c r="E1039" s="68">
        <v>13002</v>
      </c>
      <c r="F1039" s="68">
        <v>13324</v>
      </c>
      <c r="G1039" s="68">
        <v>26326</v>
      </c>
    </row>
    <row r="1040" spans="1:7" x14ac:dyDescent="0.3">
      <c r="A1040" t="s">
        <v>688</v>
      </c>
      <c r="B1040" t="s">
        <v>36</v>
      </c>
      <c r="C1040" t="s">
        <v>6</v>
      </c>
      <c r="D1040" t="s">
        <v>11</v>
      </c>
      <c r="E1040" s="68">
        <v>12515</v>
      </c>
      <c r="F1040" s="68">
        <v>13958</v>
      </c>
      <c r="G1040" s="68">
        <v>26473</v>
      </c>
    </row>
    <row r="1041" spans="1:7" x14ac:dyDescent="0.3">
      <c r="A1041" t="s">
        <v>688</v>
      </c>
      <c r="B1041" t="s">
        <v>36</v>
      </c>
      <c r="C1041" t="s">
        <v>6</v>
      </c>
      <c r="D1041" t="s">
        <v>12</v>
      </c>
      <c r="E1041" s="68">
        <v>11800</v>
      </c>
      <c r="F1041" s="68">
        <v>14828</v>
      </c>
      <c r="G1041" s="68">
        <v>26628</v>
      </c>
    </row>
    <row r="1042" spans="1:7" x14ac:dyDescent="0.3">
      <c r="A1042" t="s">
        <v>688</v>
      </c>
      <c r="B1042" t="s">
        <v>36</v>
      </c>
      <c r="C1042" t="s">
        <v>6</v>
      </c>
      <c r="D1042" t="s">
        <v>13</v>
      </c>
      <c r="E1042" s="68">
        <v>13185</v>
      </c>
      <c r="F1042" s="68">
        <v>15922</v>
      </c>
      <c r="G1042" s="68">
        <v>29107</v>
      </c>
    </row>
    <row r="1043" spans="1:7" x14ac:dyDescent="0.3">
      <c r="A1043" t="s">
        <v>688</v>
      </c>
      <c r="B1043" t="s">
        <v>36</v>
      </c>
      <c r="C1043" t="s">
        <v>6</v>
      </c>
      <c r="D1043" t="s">
        <v>14</v>
      </c>
      <c r="E1043" s="68">
        <v>13080</v>
      </c>
      <c r="F1043" s="68">
        <v>15444</v>
      </c>
      <c r="G1043" s="68">
        <v>28524</v>
      </c>
    </row>
    <row r="1044" spans="1:7" x14ac:dyDescent="0.3">
      <c r="A1044" t="s">
        <v>688</v>
      </c>
      <c r="B1044" t="s">
        <v>36</v>
      </c>
      <c r="C1044" t="s">
        <v>6</v>
      </c>
      <c r="D1044" t="s">
        <v>15</v>
      </c>
      <c r="E1044" s="68">
        <v>12914</v>
      </c>
      <c r="F1044" s="68">
        <v>15034</v>
      </c>
      <c r="G1044" s="68">
        <v>27948</v>
      </c>
    </row>
    <row r="1045" spans="1:7" x14ac:dyDescent="0.3">
      <c r="A1045" t="s">
        <v>688</v>
      </c>
      <c r="B1045" t="s">
        <v>36</v>
      </c>
      <c r="C1045" t="s">
        <v>6</v>
      </c>
      <c r="D1045" t="s">
        <v>16</v>
      </c>
      <c r="E1045" s="68">
        <v>10893</v>
      </c>
      <c r="F1045" s="68">
        <v>12751</v>
      </c>
      <c r="G1045" s="68">
        <v>23644</v>
      </c>
    </row>
    <row r="1046" spans="1:7" x14ac:dyDescent="0.3">
      <c r="A1046" t="s">
        <v>688</v>
      </c>
      <c r="B1046" t="s">
        <v>36</v>
      </c>
      <c r="C1046" t="s">
        <v>6</v>
      </c>
      <c r="D1046" t="s">
        <v>17</v>
      </c>
      <c r="E1046" s="68">
        <v>8078</v>
      </c>
      <c r="F1046" s="68">
        <v>9556</v>
      </c>
      <c r="G1046" s="68">
        <v>17634</v>
      </c>
    </row>
    <row r="1047" spans="1:7" x14ac:dyDescent="0.3">
      <c r="A1047" t="s">
        <v>688</v>
      </c>
      <c r="B1047" t="s">
        <v>36</v>
      </c>
      <c r="C1047" t="s">
        <v>6</v>
      </c>
      <c r="D1047" t="s">
        <v>18</v>
      </c>
      <c r="E1047" s="68">
        <v>7001</v>
      </c>
      <c r="F1047" s="68">
        <v>7755</v>
      </c>
      <c r="G1047" s="68">
        <v>14756</v>
      </c>
    </row>
    <row r="1048" spans="1:7" x14ac:dyDescent="0.3">
      <c r="A1048" t="s">
        <v>688</v>
      </c>
      <c r="B1048" t="s">
        <v>36</v>
      </c>
      <c r="C1048" t="s">
        <v>6</v>
      </c>
      <c r="D1048" t="s">
        <v>19</v>
      </c>
      <c r="E1048" s="68">
        <v>6130</v>
      </c>
      <c r="F1048" s="68">
        <v>6192</v>
      </c>
      <c r="G1048" s="68">
        <v>12322</v>
      </c>
    </row>
    <row r="1049" spans="1:7" x14ac:dyDescent="0.3">
      <c r="A1049" t="s">
        <v>688</v>
      </c>
      <c r="B1049" t="s">
        <v>36</v>
      </c>
      <c r="C1049" t="s">
        <v>6</v>
      </c>
      <c r="D1049" t="s">
        <v>20</v>
      </c>
      <c r="E1049" s="68">
        <v>4721</v>
      </c>
      <c r="F1049" s="68">
        <v>4401</v>
      </c>
      <c r="G1049" s="68">
        <v>9122</v>
      </c>
    </row>
    <row r="1050" spans="1:7" x14ac:dyDescent="0.3">
      <c r="A1050" t="s">
        <v>688</v>
      </c>
      <c r="B1050" t="s">
        <v>36</v>
      </c>
      <c r="C1050" t="s">
        <v>6</v>
      </c>
      <c r="D1050" t="s">
        <v>21</v>
      </c>
      <c r="E1050" s="68">
        <v>3502</v>
      </c>
      <c r="F1050" s="68">
        <v>2948</v>
      </c>
      <c r="G1050" s="68">
        <v>6450</v>
      </c>
    </row>
    <row r="1051" spans="1:7" x14ac:dyDescent="0.3">
      <c r="A1051" t="s">
        <v>688</v>
      </c>
      <c r="B1051" t="s">
        <v>36</v>
      </c>
      <c r="C1051" t="s">
        <v>6</v>
      </c>
      <c r="D1051" t="s">
        <v>22</v>
      </c>
      <c r="E1051" s="68">
        <v>2303</v>
      </c>
      <c r="F1051" s="68">
        <v>2030</v>
      </c>
      <c r="G1051" s="68">
        <v>4333</v>
      </c>
    </row>
    <row r="1052" spans="1:7" x14ac:dyDescent="0.3">
      <c r="A1052" t="s">
        <v>688</v>
      </c>
      <c r="B1052" t="s">
        <v>36</v>
      </c>
      <c r="C1052" t="s">
        <v>6</v>
      </c>
      <c r="D1052" t="s">
        <v>23</v>
      </c>
      <c r="E1052" s="68">
        <v>2769</v>
      </c>
      <c r="F1052" s="68">
        <v>1846</v>
      </c>
      <c r="G1052" s="68">
        <v>4615</v>
      </c>
    </row>
    <row r="1053" spans="1:7" x14ac:dyDescent="0.3">
      <c r="A1053" t="s">
        <v>688</v>
      </c>
      <c r="B1053" t="s">
        <v>36</v>
      </c>
      <c r="C1053" t="s">
        <v>24</v>
      </c>
      <c r="D1053" t="s">
        <v>7</v>
      </c>
      <c r="E1053" s="68">
        <v>2993</v>
      </c>
      <c r="F1053" s="68">
        <v>3223</v>
      </c>
      <c r="G1053" s="68">
        <v>6216</v>
      </c>
    </row>
    <row r="1054" spans="1:7" x14ac:dyDescent="0.3">
      <c r="A1054" t="s">
        <v>688</v>
      </c>
      <c r="B1054" t="s">
        <v>36</v>
      </c>
      <c r="C1054" t="s">
        <v>24</v>
      </c>
      <c r="D1054" t="s">
        <v>8</v>
      </c>
      <c r="E1054" s="68">
        <v>3818</v>
      </c>
      <c r="F1054" s="68">
        <v>3864</v>
      </c>
      <c r="G1054" s="68">
        <v>7682</v>
      </c>
    </row>
    <row r="1055" spans="1:7" x14ac:dyDescent="0.3">
      <c r="A1055" t="s">
        <v>688</v>
      </c>
      <c r="B1055" t="s">
        <v>36</v>
      </c>
      <c r="C1055" t="s">
        <v>24</v>
      </c>
      <c r="D1055" t="s">
        <v>9</v>
      </c>
      <c r="E1055" s="68">
        <v>5207</v>
      </c>
      <c r="F1055" s="68">
        <v>5425</v>
      </c>
      <c r="G1055" s="68">
        <v>10632</v>
      </c>
    </row>
    <row r="1056" spans="1:7" x14ac:dyDescent="0.3">
      <c r="A1056" t="s">
        <v>688</v>
      </c>
      <c r="B1056" t="s">
        <v>36</v>
      </c>
      <c r="C1056" t="s">
        <v>24</v>
      </c>
      <c r="D1056" t="s">
        <v>10</v>
      </c>
      <c r="E1056" s="68">
        <v>5108</v>
      </c>
      <c r="F1056" s="68">
        <v>5125</v>
      </c>
      <c r="G1056" s="68">
        <v>10233</v>
      </c>
    </row>
    <row r="1057" spans="1:7" x14ac:dyDescent="0.3">
      <c r="A1057" t="s">
        <v>688</v>
      </c>
      <c r="B1057" t="s">
        <v>36</v>
      </c>
      <c r="C1057" t="s">
        <v>24</v>
      </c>
      <c r="D1057" t="s">
        <v>11</v>
      </c>
      <c r="E1057" s="68">
        <v>5618</v>
      </c>
      <c r="F1057" s="68">
        <v>5156</v>
      </c>
      <c r="G1057" s="68">
        <v>10774</v>
      </c>
    </row>
    <row r="1058" spans="1:7" x14ac:dyDescent="0.3">
      <c r="A1058" t="s">
        <v>688</v>
      </c>
      <c r="B1058" t="s">
        <v>36</v>
      </c>
      <c r="C1058" t="s">
        <v>24</v>
      </c>
      <c r="D1058" t="s">
        <v>12</v>
      </c>
      <c r="E1058" s="68">
        <v>5987</v>
      </c>
      <c r="F1058" s="68">
        <v>5928</v>
      </c>
      <c r="G1058" s="68">
        <v>11915</v>
      </c>
    </row>
    <row r="1059" spans="1:7" x14ac:dyDescent="0.3">
      <c r="A1059" t="s">
        <v>688</v>
      </c>
      <c r="B1059" t="s">
        <v>36</v>
      </c>
      <c r="C1059" t="s">
        <v>24</v>
      </c>
      <c r="D1059" t="s">
        <v>13</v>
      </c>
      <c r="E1059" s="68">
        <v>4518</v>
      </c>
      <c r="F1059" s="68">
        <v>5006</v>
      </c>
      <c r="G1059" s="68">
        <v>9524</v>
      </c>
    </row>
    <row r="1060" spans="1:7" x14ac:dyDescent="0.3">
      <c r="A1060" t="s">
        <v>688</v>
      </c>
      <c r="B1060" t="s">
        <v>36</v>
      </c>
      <c r="C1060" t="s">
        <v>24</v>
      </c>
      <c r="D1060" t="s">
        <v>14</v>
      </c>
      <c r="E1060" s="68">
        <v>3884</v>
      </c>
      <c r="F1060" s="68">
        <v>4208</v>
      </c>
      <c r="G1060" s="68">
        <v>8092</v>
      </c>
    </row>
    <row r="1061" spans="1:7" x14ac:dyDescent="0.3">
      <c r="A1061" t="s">
        <v>688</v>
      </c>
      <c r="B1061" t="s">
        <v>36</v>
      </c>
      <c r="C1061" t="s">
        <v>24</v>
      </c>
      <c r="D1061" t="s">
        <v>15</v>
      </c>
      <c r="E1061" s="68">
        <v>3906</v>
      </c>
      <c r="F1061" s="68">
        <v>3890</v>
      </c>
      <c r="G1061" s="68">
        <v>7796</v>
      </c>
    </row>
    <row r="1062" spans="1:7" x14ac:dyDescent="0.3">
      <c r="A1062" t="s">
        <v>688</v>
      </c>
      <c r="B1062" t="s">
        <v>36</v>
      </c>
      <c r="C1062" t="s">
        <v>24</v>
      </c>
      <c r="D1062" t="s">
        <v>16</v>
      </c>
      <c r="E1062" s="68">
        <v>3564</v>
      </c>
      <c r="F1062" s="68">
        <v>3661</v>
      </c>
      <c r="G1062" s="68">
        <v>7225</v>
      </c>
    </row>
    <row r="1063" spans="1:7" x14ac:dyDescent="0.3">
      <c r="A1063" t="s">
        <v>688</v>
      </c>
      <c r="B1063" t="s">
        <v>36</v>
      </c>
      <c r="C1063" t="s">
        <v>24</v>
      </c>
      <c r="D1063" t="s">
        <v>17</v>
      </c>
      <c r="E1063" s="68">
        <v>2893</v>
      </c>
      <c r="F1063" s="68">
        <v>2956</v>
      </c>
      <c r="G1063" s="68">
        <v>5849</v>
      </c>
    </row>
    <row r="1064" spans="1:7" x14ac:dyDescent="0.3">
      <c r="A1064" t="s">
        <v>688</v>
      </c>
      <c r="B1064" t="s">
        <v>36</v>
      </c>
      <c r="C1064" t="s">
        <v>24</v>
      </c>
      <c r="D1064" t="s">
        <v>18</v>
      </c>
      <c r="E1064" s="68">
        <v>2870</v>
      </c>
      <c r="F1064" s="68">
        <v>2966</v>
      </c>
      <c r="G1064" s="68">
        <v>5836</v>
      </c>
    </row>
    <row r="1065" spans="1:7" x14ac:dyDescent="0.3">
      <c r="A1065" t="s">
        <v>688</v>
      </c>
      <c r="B1065" t="s">
        <v>36</v>
      </c>
      <c r="C1065" t="s">
        <v>24</v>
      </c>
      <c r="D1065" t="s">
        <v>19</v>
      </c>
      <c r="E1065" s="68">
        <v>2689</v>
      </c>
      <c r="F1065" s="68">
        <v>2769</v>
      </c>
      <c r="G1065" s="68">
        <v>5458</v>
      </c>
    </row>
    <row r="1066" spans="1:7" x14ac:dyDescent="0.3">
      <c r="A1066" t="s">
        <v>688</v>
      </c>
      <c r="B1066" t="s">
        <v>36</v>
      </c>
      <c r="C1066" t="s">
        <v>24</v>
      </c>
      <c r="D1066" t="s">
        <v>20</v>
      </c>
      <c r="E1066" s="68">
        <v>2001</v>
      </c>
      <c r="F1066" s="68">
        <v>1871</v>
      </c>
      <c r="G1066" s="68">
        <v>3872</v>
      </c>
    </row>
    <row r="1067" spans="1:7" x14ac:dyDescent="0.3">
      <c r="A1067" t="s">
        <v>688</v>
      </c>
      <c r="B1067" t="s">
        <v>36</v>
      </c>
      <c r="C1067" t="s">
        <v>24</v>
      </c>
      <c r="D1067" t="s">
        <v>21</v>
      </c>
      <c r="E1067" s="68">
        <v>1294</v>
      </c>
      <c r="F1067" s="68">
        <v>1114</v>
      </c>
      <c r="G1067" s="68">
        <v>2408</v>
      </c>
    </row>
    <row r="1068" spans="1:7" x14ac:dyDescent="0.3">
      <c r="A1068" t="s">
        <v>688</v>
      </c>
      <c r="B1068" t="s">
        <v>36</v>
      </c>
      <c r="C1068" t="s">
        <v>24</v>
      </c>
      <c r="D1068" t="s">
        <v>22</v>
      </c>
      <c r="E1068" s="68">
        <v>893</v>
      </c>
      <c r="F1068" s="68">
        <v>669</v>
      </c>
      <c r="G1068" s="68">
        <v>1562</v>
      </c>
    </row>
    <row r="1069" spans="1:7" x14ac:dyDescent="0.3">
      <c r="A1069" t="s">
        <v>688</v>
      </c>
      <c r="B1069" t="s">
        <v>36</v>
      </c>
      <c r="C1069" t="s">
        <v>24</v>
      </c>
      <c r="D1069" t="s">
        <v>23</v>
      </c>
      <c r="E1069" s="68">
        <v>1150</v>
      </c>
      <c r="F1069" s="68">
        <v>673</v>
      </c>
      <c r="G1069" s="68">
        <v>1823</v>
      </c>
    </row>
    <row r="1070" spans="1:7" x14ac:dyDescent="0.3">
      <c r="A1070" t="s">
        <v>711</v>
      </c>
      <c r="B1070" t="s">
        <v>691</v>
      </c>
      <c r="C1070" t="s">
        <v>6</v>
      </c>
      <c r="D1070" t="s">
        <v>7</v>
      </c>
      <c r="E1070" s="68">
        <v>3644</v>
      </c>
      <c r="F1070" s="68">
        <v>3823</v>
      </c>
      <c r="G1070" s="68">
        <v>7467</v>
      </c>
    </row>
    <row r="1071" spans="1:7" x14ac:dyDescent="0.3">
      <c r="A1071" t="s">
        <v>711</v>
      </c>
      <c r="B1071" t="s">
        <v>691</v>
      </c>
      <c r="C1071" t="s">
        <v>6</v>
      </c>
      <c r="D1071" t="s">
        <v>8</v>
      </c>
      <c r="E1071" s="68">
        <v>5163</v>
      </c>
      <c r="F1071" s="68">
        <v>5481</v>
      </c>
      <c r="G1071" s="68">
        <v>10644</v>
      </c>
    </row>
    <row r="1072" spans="1:7" x14ac:dyDescent="0.3">
      <c r="A1072" t="s">
        <v>711</v>
      </c>
      <c r="B1072" t="s">
        <v>691</v>
      </c>
      <c r="C1072" t="s">
        <v>6</v>
      </c>
      <c r="D1072" t="s">
        <v>9</v>
      </c>
      <c r="E1072" s="68">
        <v>6476</v>
      </c>
      <c r="F1072" s="68">
        <v>6768</v>
      </c>
      <c r="G1072" s="68">
        <v>13244</v>
      </c>
    </row>
    <row r="1073" spans="1:7" x14ac:dyDescent="0.3">
      <c r="A1073" t="s">
        <v>711</v>
      </c>
      <c r="B1073" t="s">
        <v>691</v>
      </c>
      <c r="C1073" t="s">
        <v>6</v>
      </c>
      <c r="D1073" t="s">
        <v>10</v>
      </c>
      <c r="E1073" s="68">
        <v>7074</v>
      </c>
      <c r="F1073" s="68">
        <v>7237</v>
      </c>
      <c r="G1073" s="68">
        <v>14311</v>
      </c>
    </row>
    <row r="1074" spans="1:7" x14ac:dyDescent="0.3">
      <c r="A1074" t="s">
        <v>711</v>
      </c>
      <c r="B1074" t="s">
        <v>691</v>
      </c>
      <c r="C1074" t="s">
        <v>6</v>
      </c>
      <c r="D1074" t="s">
        <v>11</v>
      </c>
      <c r="E1074" s="68">
        <v>7059</v>
      </c>
      <c r="F1074" s="68">
        <v>7058</v>
      </c>
      <c r="G1074" s="68">
        <v>14117</v>
      </c>
    </row>
    <row r="1075" spans="1:7" x14ac:dyDescent="0.3">
      <c r="A1075" t="s">
        <v>711</v>
      </c>
      <c r="B1075" t="s">
        <v>691</v>
      </c>
      <c r="C1075" t="s">
        <v>6</v>
      </c>
      <c r="D1075" t="s">
        <v>12</v>
      </c>
      <c r="E1075" s="68">
        <v>7909</v>
      </c>
      <c r="F1075" s="68">
        <v>7567</v>
      </c>
      <c r="G1075" s="68">
        <v>15476</v>
      </c>
    </row>
    <row r="1076" spans="1:7" x14ac:dyDescent="0.3">
      <c r="A1076" t="s">
        <v>711</v>
      </c>
      <c r="B1076" t="s">
        <v>691</v>
      </c>
      <c r="C1076" t="s">
        <v>6</v>
      </c>
      <c r="D1076" t="s">
        <v>13</v>
      </c>
      <c r="E1076" s="68">
        <v>9731</v>
      </c>
      <c r="F1076" s="68">
        <v>8445</v>
      </c>
      <c r="G1076" s="68">
        <v>18176</v>
      </c>
    </row>
    <row r="1077" spans="1:7" x14ac:dyDescent="0.3">
      <c r="A1077" t="s">
        <v>711</v>
      </c>
      <c r="B1077" t="s">
        <v>691</v>
      </c>
      <c r="C1077" t="s">
        <v>6</v>
      </c>
      <c r="D1077" t="s">
        <v>14</v>
      </c>
      <c r="E1077" s="68">
        <v>10749</v>
      </c>
      <c r="F1077" s="68">
        <v>9045</v>
      </c>
      <c r="G1077" s="68">
        <v>19794</v>
      </c>
    </row>
    <row r="1078" spans="1:7" x14ac:dyDescent="0.3">
      <c r="A1078" t="s">
        <v>711</v>
      </c>
      <c r="B1078" t="s">
        <v>691</v>
      </c>
      <c r="C1078" t="s">
        <v>6</v>
      </c>
      <c r="D1078" t="s">
        <v>15</v>
      </c>
      <c r="E1078" s="68">
        <v>12191</v>
      </c>
      <c r="F1078" s="68">
        <v>9946</v>
      </c>
      <c r="G1078" s="68">
        <v>22137</v>
      </c>
    </row>
    <row r="1079" spans="1:7" x14ac:dyDescent="0.3">
      <c r="A1079" t="s">
        <v>711</v>
      </c>
      <c r="B1079" t="s">
        <v>691</v>
      </c>
      <c r="C1079" t="s">
        <v>6</v>
      </c>
      <c r="D1079" t="s">
        <v>16</v>
      </c>
      <c r="E1079" s="68">
        <v>11729</v>
      </c>
      <c r="F1079" s="68">
        <v>9972</v>
      </c>
      <c r="G1079" s="68">
        <v>21701</v>
      </c>
    </row>
    <row r="1080" spans="1:7" x14ac:dyDescent="0.3">
      <c r="A1080" t="s">
        <v>711</v>
      </c>
      <c r="B1080" t="s">
        <v>691</v>
      </c>
      <c r="C1080" t="s">
        <v>6</v>
      </c>
      <c r="D1080" t="s">
        <v>17</v>
      </c>
      <c r="E1080" s="68">
        <v>10092</v>
      </c>
      <c r="F1080" s="68">
        <v>8699</v>
      </c>
      <c r="G1080" s="68">
        <v>18791</v>
      </c>
    </row>
    <row r="1081" spans="1:7" x14ac:dyDescent="0.3">
      <c r="A1081" t="s">
        <v>711</v>
      </c>
      <c r="B1081" t="s">
        <v>691</v>
      </c>
      <c r="C1081" t="s">
        <v>6</v>
      </c>
      <c r="D1081" t="s">
        <v>18</v>
      </c>
      <c r="E1081" s="68">
        <v>9438</v>
      </c>
      <c r="F1081" s="68">
        <v>7935</v>
      </c>
      <c r="G1081" s="68">
        <v>17373</v>
      </c>
    </row>
    <row r="1082" spans="1:7" x14ac:dyDescent="0.3">
      <c r="A1082" t="s">
        <v>711</v>
      </c>
      <c r="B1082" t="s">
        <v>691</v>
      </c>
      <c r="C1082" t="s">
        <v>6</v>
      </c>
      <c r="D1082" t="s">
        <v>19</v>
      </c>
      <c r="E1082" s="68">
        <v>9326</v>
      </c>
      <c r="F1082" s="68">
        <v>7696</v>
      </c>
      <c r="G1082" s="68">
        <v>17022</v>
      </c>
    </row>
    <row r="1083" spans="1:7" x14ac:dyDescent="0.3">
      <c r="A1083" t="s">
        <v>711</v>
      </c>
      <c r="B1083" t="s">
        <v>691</v>
      </c>
      <c r="C1083" t="s">
        <v>6</v>
      </c>
      <c r="D1083" t="s">
        <v>20</v>
      </c>
      <c r="E1083" s="68">
        <v>7870</v>
      </c>
      <c r="F1083" s="68">
        <v>6173</v>
      </c>
      <c r="G1083" s="68">
        <v>14043</v>
      </c>
    </row>
    <row r="1084" spans="1:7" x14ac:dyDescent="0.3">
      <c r="A1084" t="s">
        <v>711</v>
      </c>
      <c r="B1084" t="s">
        <v>691</v>
      </c>
      <c r="C1084" t="s">
        <v>6</v>
      </c>
      <c r="D1084" t="s">
        <v>21</v>
      </c>
      <c r="E1084" s="68">
        <v>5967</v>
      </c>
      <c r="F1084" s="68">
        <v>4423</v>
      </c>
      <c r="G1084" s="68">
        <v>10390</v>
      </c>
    </row>
    <row r="1085" spans="1:7" x14ac:dyDescent="0.3">
      <c r="A1085" t="s">
        <v>711</v>
      </c>
      <c r="B1085" t="s">
        <v>691</v>
      </c>
      <c r="C1085" t="s">
        <v>6</v>
      </c>
      <c r="D1085" t="s">
        <v>22</v>
      </c>
      <c r="E1085" s="68">
        <v>4181</v>
      </c>
      <c r="F1085" s="68">
        <v>3124</v>
      </c>
      <c r="G1085" s="68">
        <v>7305</v>
      </c>
    </row>
    <row r="1086" spans="1:7" x14ac:dyDescent="0.3">
      <c r="A1086" t="s">
        <v>711</v>
      </c>
      <c r="B1086" t="s">
        <v>691</v>
      </c>
      <c r="C1086" t="s">
        <v>6</v>
      </c>
      <c r="D1086" t="s">
        <v>23</v>
      </c>
      <c r="E1086" s="68">
        <v>5280</v>
      </c>
      <c r="F1086" s="68">
        <v>3227</v>
      </c>
      <c r="G1086" s="68">
        <v>8507</v>
      </c>
    </row>
    <row r="1087" spans="1:7" x14ac:dyDescent="0.3">
      <c r="A1087" t="s">
        <v>711</v>
      </c>
      <c r="B1087" t="s">
        <v>691</v>
      </c>
      <c r="C1087" t="s">
        <v>24</v>
      </c>
      <c r="D1087" t="s">
        <v>7</v>
      </c>
      <c r="E1087" s="68">
        <v>126</v>
      </c>
      <c r="F1087" s="68">
        <v>109</v>
      </c>
      <c r="G1087" s="68">
        <v>235</v>
      </c>
    </row>
    <row r="1088" spans="1:7" x14ac:dyDescent="0.3">
      <c r="A1088" t="s">
        <v>711</v>
      </c>
      <c r="B1088" t="s">
        <v>691</v>
      </c>
      <c r="C1088" t="s">
        <v>24</v>
      </c>
      <c r="D1088" t="s">
        <v>8</v>
      </c>
      <c r="E1088" s="68">
        <v>1014</v>
      </c>
      <c r="F1088" s="68">
        <v>1087</v>
      </c>
      <c r="G1088" s="68">
        <v>2101</v>
      </c>
    </row>
    <row r="1089" spans="1:7" x14ac:dyDescent="0.3">
      <c r="A1089" t="s">
        <v>711</v>
      </c>
      <c r="B1089" t="s">
        <v>691</v>
      </c>
      <c r="C1089" t="s">
        <v>24</v>
      </c>
      <c r="D1089" t="s">
        <v>9</v>
      </c>
      <c r="E1089" s="68">
        <v>338</v>
      </c>
      <c r="F1089" s="68">
        <v>327</v>
      </c>
      <c r="G1089" s="68">
        <v>665</v>
      </c>
    </row>
    <row r="1090" spans="1:7" x14ac:dyDescent="0.3">
      <c r="A1090" t="s">
        <v>711</v>
      </c>
      <c r="B1090" t="s">
        <v>691</v>
      </c>
      <c r="C1090" t="s">
        <v>24</v>
      </c>
      <c r="D1090" t="s">
        <v>10</v>
      </c>
      <c r="E1090" s="68">
        <v>318</v>
      </c>
      <c r="F1090" s="68">
        <v>397</v>
      </c>
      <c r="G1090" s="68">
        <v>715</v>
      </c>
    </row>
    <row r="1091" spans="1:7" x14ac:dyDescent="0.3">
      <c r="A1091" t="s">
        <v>711</v>
      </c>
      <c r="B1091" t="s">
        <v>691</v>
      </c>
      <c r="C1091" t="s">
        <v>24</v>
      </c>
      <c r="D1091" t="s">
        <v>11</v>
      </c>
      <c r="E1091" s="68">
        <v>113</v>
      </c>
      <c r="F1091" s="68">
        <v>139</v>
      </c>
      <c r="G1091" s="68">
        <v>252</v>
      </c>
    </row>
    <row r="1092" spans="1:7" x14ac:dyDescent="0.3">
      <c r="A1092" t="s">
        <v>711</v>
      </c>
      <c r="B1092" t="s">
        <v>691</v>
      </c>
      <c r="C1092" t="s">
        <v>24</v>
      </c>
      <c r="D1092" t="s">
        <v>12</v>
      </c>
      <c r="E1092" s="68">
        <v>129</v>
      </c>
      <c r="F1092" s="68">
        <v>93</v>
      </c>
      <c r="G1092" s="68">
        <v>222</v>
      </c>
    </row>
    <row r="1093" spans="1:7" x14ac:dyDescent="0.3">
      <c r="A1093" t="s">
        <v>711</v>
      </c>
      <c r="B1093" t="s">
        <v>691</v>
      </c>
      <c r="C1093" t="s">
        <v>24</v>
      </c>
      <c r="D1093" t="s">
        <v>13</v>
      </c>
      <c r="E1093" s="68">
        <v>149</v>
      </c>
      <c r="F1093" s="68">
        <v>107</v>
      </c>
      <c r="G1093" s="68">
        <v>256</v>
      </c>
    </row>
    <row r="1094" spans="1:7" x14ac:dyDescent="0.3">
      <c r="A1094" t="s">
        <v>711</v>
      </c>
      <c r="B1094" t="s">
        <v>691</v>
      </c>
      <c r="C1094" t="s">
        <v>24</v>
      </c>
      <c r="D1094" t="s">
        <v>14</v>
      </c>
      <c r="E1094" s="68">
        <v>189</v>
      </c>
      <c r="F1094" s="68">
        <v>109</v>
      </c>
      <c r="G1094" s="68">
        <v>298</v>
      </c>
    </row>
    <row r="1095" spans="1:7" x14ac:dyDescent="0.3">
      <c r="A1095" t="s">
        <v>711</v>
      </c>
      <c r="B1095" t="s">
        <v>691</v>
      </c>
      <c r="C1095" t="s">
        <v>24</v>
      </c>
      <c r="D1095" t="s">
        <v>15</v>
      </c>
      <c r="E1095" s="68">
        <v>232</v>
      </c>
      <c r="F1095" s="68">
        <v>126</v>
      </c>
      <c r="G1095" s="68">
        <v>358</v>
      </c>
    </row>
    <row r="1096" spans="1:7" x14ac:dyDescent="0.3">
      <c r="A1096" t="s">
        <v>711</v>
      </c>
      <c r="B1096" t="s">
        <v>691</v>
      </c>
      <c r="C1096" t="s">
        <v>24</v>
      </c>
      <c r="D1096" t="s">
        <v>16</v>
      </c>
      <c r="E1096" s="68">
        <v>254</v>
      </c>
      <c r="F1096" s="68">
        <v>123</v>
      </c>
      <c r="G1096" s="68">
        <v>377</v>
      </c>
    </row>
    <row r="1097" spans="1:7" x14ac:dyDescent="0.3">
      <c r="A1097" t="s">
        <v>711</v>
      </c>
      <c r="B1097" t="s">
        <v>691</v>
      </c>
      <c r="C1097" t="s">
        <v>24</v>
      </c>
      <c r="D1097" t="s">
        <v>17</v>
      </c>
      <c r="E1097" s="68">
        <v>252</v>
      </c>
      <c r="F1097" s="68">
        <v>132</v>
      </c>
      <c r="G1097" s="68">
        <v>384</v>
      </c>
    </row>
    <row r="1098" spans="1:7" x14ac:dyDescent="0.3">
      <c r="A1098" t="s">
        <v>711</v>
      </c>
      <c r="B1098" t="s">
        <v>691</v>
      </c>
      <c r="C1098" t="s">
        <v>24</v>
      </c>
      <c r="D1098" t="s">
        <v>18</v>
      </c>
      <c r="E1098" s="68">
        <v>249</v>
      </c>
      <c r="F1098" s="68">
        <v>132</v>
      </c>
      <c r="G1098" s="68">
        <v>381</v>
      </c>
    </row>
    <row r="1099" spans="1:7" x14ac:dyDescent="0.3">
      <c r="A1099" t="s">
        <v>711</v>
      </c>
      <c r="B1099" t="s">
        <v>691</v>
      </c>
      <c r="C1099" t="s">
        <v>24</v>
      </c>
      <c r="D1099" t="s">
        <v>19</v>
      </c>
      <c r="E1099" s="68">
        <v>221</v>
      </c>
      <c r="F1099" s="68">
        <v>187</v>
      </c>
      <c r="G1099" s="68">
        <v>408</v>
      </c>
    </row>
    <row r="1100" spans="1:7" x14ac:dyDescent="0.3">
      <c r="A1100" t="s">
        <v>711</v>
      </c>
      <c r="B1100" t="s">
        <v>691</v>
      </c>
      <c r="C1100" t="s">
        <v>24</v>
      </c>
      <c r="D1100" t="s">
        <v>20</v>
      </c>
      <c r="E1100" s="68">
        <v>152</v>
      </c>
      <c r="F1100" s="68">
        <v>109</v>
      </c>
      <c r="G1100" s="68">
        <v>261</v>
      </c>
    </row>
    <row r="1101" spans="1:7" x14ac:dyDescent="0.3">
      <c r="A1101" t="s">
        <v>711</v>
      </c>
      <c r="B1101" t="s">
        <v>691</v>
      </c>
      <c r="C1101" t="s">
        <v>24</v>
      </c>
      <c r="D1101" t="s">
        <v>21</v>
      </c>
      <c r="E1101" s="68">
        <v>127</v>
      </c>
      <c r="F1101" s="68">
        <v>101</v>
      </c>
      <c r="G1101" s="68">
        <v>228</v>
      </c>
    </row>
    <row r="1102" spans="1:7" x14ac:dyDescent="0.3">
      <c r="A1102" t="s">
        <v>711</v>
      </c>
      <c r="B1102" t="s">
        <v>691</v>
      </c>
      <c r="C1102" t="s">
        <v>24</v>
      </c>
      <c r="D1102" t="s">
        <v>22</v>
      </c>
      <c r="E1102" s="68">
        <v>93</v>
      </c>
      <c r="F1102" s="68">
        <v>62</v>
      </c>
      <c r="G1102" s="68">
        <v>155</v>
      </c>
    </row>
    <row r="1103" spans="1:7" x14ac:dyDescent="0.3">
      <c r="A1103" t="s">
        <v>711</v>
      </c>
      <c r="B1103" t="s">
        <v>691</v>
      </c>
      <c r="C1103" t="s">
        <v>24</v>
      </c>
      <c r="D1103" t="s">
        <v>23</v>
      </c>
      <c r="E1103" s="68">
        <v>106</v>
      </c>
      <c r="F1103" s="68">
        <v>61</v>
      </c>
      <c r="G1103" s="68">
        <v>167</v>
      </c>
    </row>
    <row r="1104" spans="1:7" x14ac:dyDescent="0.3">
      <c r="A1104" t="s">
        <v>711</v>
      </c>
      <c r="B1104" t="s">
        <v>38</v>
      </c>
      <c r="C1104" t="s">
        <v>6</v>
      </c>
      <c r="D1104" t="s">
        <v>12</v>
      </c>
      <c r="E1104" s="68"/>
      <c r="F1104" s="68">
        <v>1</v>
      </c>
      <c r="G1104" s="68">
        <v>1</v>
      </c>
    </row>
    <row r="1105" spans="1:7" x14ac:dyDescent="0.3">
      <c r="A1105" t="s">
        <v>711</v>
      </c>
      <c r="B1105" t="s">
        <v>38</v>
      </c>
      <c r="C1105" t="s">
        <v>6</v>
      </c>
      <c r="D1105" t="s">
        <v>17</v>
      </c>
      <c r="E1105" s="68">
        <v>1</v>
      </c>
      <c r="F1105" s="68"/>
      <c r="G1105" s="68">
        <v>1</v>
      </c>
    </row>
    <row r="1106" spans="1:7" x14ac:dyDescent="0.3">
      <c r="A1106" t="s">
        <v>711</v>
      </c>
      <c r="B1106" t="s">
        <v>30</v>
      </c>
      <c r="C1106" t="s">
        <v>6</v>
      </c>
      <c r="D1106" t="s">
        <v>12</v>
      </c>
      <c r="E1106" s="68">
        <v>1</v>
      </c>
      <c r="F1106" s="68"/>
      <c r="G1106" s="68">
        <v>1</v>
      </c>
    </row>
    <row r="1107" spans="1:7" x14ac:dyDescent="0.3">
      <c r="A1107" t="s">
        <v>711</v>
      </c>
      <c r="B1107" t="s">
        <v>30</v>
      </c>
      <c r="C1107" t="s">
        <v>24</v>
      </c>
      <c r="D1107" t="s">
        <v>7</v>
      </c>
      <c r="E1107" s="68">
        <v>1</v>
      </c>
      <c r="F1107" s="68"/>
      <c r="G1107" s="68">
        <v>1</v>
      </c>
    </row>
    <row r="1108" spans="1:7" x14ac:dyDescent="0.3">
      <c r="A1108" t="s">
        <v>711</v>
      </c>
      <c r="B1108" t="s">
        <v>587</v>
      </c>
      <c r="C1108" t="s">
        <v>6</v>
      </c>
      <c r="D1108" t="s">
        <v>7</v>
      </c>
      <c r="E1108" s="68">
        <v>1119</v>
      </c>
      <c r="F1108" s="68">
        <v>1223</v>
      </c>
      <c r="G1108" s="68">
        <v>2342</v>
      </c>
    </row>
    <row r="1109" spans="1:7" x14ac:dyDescent="0.3">
      <c r="A1109" t="s">
        <v>711</v>
      </c>
      <c r="B1109" t="s">
        <v>587</v>
      </c>
      <c r="C1109" t="s">
        <v>6</v>
      </c>
      <c r="D1109" t="s">
        <v>8</v>
      </c>
      <c r="E1109" s="68">
        <v>1585</v>
      </c>
      <c r="F1109" s="68">
        <v>1650</v>
      </c>
      <c r="G1109" s="68">
        <v>3235</v>
      </c>
    </row>
    <row r="1110" spans="1:7" x14ac:dyDescent="0.3">
      <c r="A1110" t="s">
        <v>711</v>
      </c>
      <c r="B1110" t="s">
        <v>587</v>
      </c>
      <c r="C1110" t="s">
        <v>6</v>
      </c>
      <c r="D1110" t="s">
        <v>9</v>
      </c>
      <c r="E1110" s="68">
        <v>1537</v>
      </c>
      <c r="F1110" s="68">
        <v>1531</v>
      </c>
      <c r="G1110" s="68">
        <v>3068</v>
      </c>
    </row>
    <row r="1111" spans="1:7" x14ac:dyDescent="0.3">
      <c r="A1111" t="s">
        <v>711</v>
      </c>
      <c r="B1111" t="s">
        <v>587</v>
      </c>
      <c r="C1111" t="s">
        <v>6</v>
      </c>
      <c r="D1111" t="s">
        <v>10</v>
      </c>
      <c r="E1111" s="68">
        <v>2851</v>
      </c>
      <c r="F1111" s="68">
        <v>2752</v>
      </c>
      <c r="G1111" s="68">
        <v>5603</v>
      </c>
    </row>
    <row r="1112" spans="1:7" x14ac:dyDescent="0.3">
      <c r="A1112" t="s">
        <v>711</v>
      </c>
      <c r="B1112" t="s">
        <v>587</v>
      </c>
      <c r="C1112" t="s">
        <v>6</v>
      </c>
      <c r="D1112" t="s">
        <v>11</v>
      </c>
      <c r="E1112" s="68">
        <v>5663</v>
      </c>
      <c r="F1112" s="68">
        <v>6475</v>
      </c>
      <c r="G1112" s="68">
        <v>12138</v>
      </c>
    </row>
    <row r="1113" spans="1:7" x14ac:dyDescent="0.3">
      <c r="A1113" t="s">
        <v>711</v>
      </c>
      <c r="B1113" t="s">
        <v>587</v>
      </c>
      <c r="C1113" t="s">
        <v>6</v>
      </c>
      <c r="D1113" t="s">
        <v>12</v>
      </c>
      <c r="E1113" s="68">
        <v>4656</v>
      </c>
      <c r="F1113" s="68">
        <v>5082</v>
      </c>
      <c r="G1113" s="68">
        <v>9738</v>
      </c>
    </row>
    <row r="1114" spans="1:7" x14ac:dyDescent="0.3">
      <c r="A1114" t="s">
        <v>711</v>
      </c>
      <c r="B1114" t="s">
        <v>587</v>
      </c>
      <c r="C1114" t="s">
        <v>6</v>
      </c>
      <c r="D1114" t="s">
        <v>13</v>
      </c>
      <c r="E1114" s="68">
        <v>3099</v>
      </c>
      <c r="F1114" s="68">
        <v>3126</v>
      </c>
      <c r="G1114" s="68">
        <v>6225</v>
      </c>
    </row>
    <row r="1115" spans="1:7" x14ac:dyDescent="0.3">
      <c r="A1115" t="s">
        <v>711</v>
      </c>
      <c r="B1115" t="s">
        <v>587</v>
      </c>
      <c r="C1115" t="s">
        <v>6</v>
      </c>
      <c r="D1115" t="s">
        <v>14</v>
      </c>
      <c r="E1115" s="68">
        <v>2203</v>
      </c>
      <c r="F1115" s="68">
        <v>1962</v>
      </c>
      <c r="G1115" s="68">
        <v>4165</v>
      </c>
    </row>
    <row r="1116" spans="1:7" x14ac:dyDescent="0.3">
      <c r="A1116" t="s">
        <v>711</v>
      </c>
      <c r="B1116" t="s">
        <v>587</v>
      </c>
      <c r="C1116" t="s">
        <v>6</v>
      </c>
      <c r="D1116" t="s">
        <v>15</v>
      </c>
      <c r="E1116" s="68">
        <v>1972</v>
      </c>
      <c r="F1116" s="68">
        <v>1610</v>
      </c>
      <c r="G1116" s="68">
        <v>3582</v>
      </c>
    </row>
    <row r="1117" spans="1:7" x14ac:dyDescent="0.3">
      <c r="A1117" t="s">
        <v>711</v>
      </c>
      <c r="B1117" t="s">
        <v>587</v>
      </c>
      <c r="C1117" t="s">
        <v>6</v>
      </c>
      <c r="D1117" t="s">
        <v>16</v>
      </c>
      <c r="E1117" s="68">
        <v>1616</v>
      </c>
      <c r="F1117" s="68">
        <v>1330</v>
      </c>
      <c r="G1117" s="68">
        <v>2946</v>
      </c>
    </row>
    <row r="1118" spans="1:7" x14ac:dyDescent="0.3">
      <c r="A1118" t="s">
        <v>711</v>
      </c>
      <c r="B1118" t="s">
        <v>587</v>
      </c>
      <c r="C1118" t="s">
        <v>6</v>
      </c>
      <c r="D1118" t="s">
        <v>17</v>
      </c>
      <c r="E1118" s="68">
        <v>1207</v>
      </c>
      <c r="F1118" s="68">
        <v>1095</v>
      </c>
      <c r="G1118" s="68">
        <v>2302</v>
      </c>
    </row>
    <row r="1119" spans="1:7" x14ac:dyDescent="0.3">
      <c r="A1119" t="s">
        <v>711</v>
      </c>
      <c r="B1119" t="s">
        <v>587</v>
      </c>
      <c r="C1119" t="s">
        <v>6</v>
      </c>
      <c r="D1119" t="s">
        <v>18</v>
      </c>
      <c r="E1119" s="68">
        <v>989</v>
      </c>
      <c r="F1119" s="68">
        <v>1029</v>
      </c>
      <c r="G1119" s="68">
        <v>2018</v>
      </c>
    </row>
    <row r="1120" spans="1:7" x14ac:dyDescent="0.3">
      <c r="A1120" t="s">
        <v>711</v>
      </c>
      <c r="B1120" t="s">
        <v>587</v>
      </c>
      <c r="C1120" t="s">
        <v>6</v>
      </c>
      <c r="D1120" t="s">
        <v>19</v>
      </c>
      <c r="E1120" s="68">
        <v>812</v>
      </c>
      <c r="F1120" s="68">
        <v>1002</v>
      </c>
      <c r="G1120" s="68">
        <v>1814</v>
      </c>
    </row>
    <row r="1121" spans="1:7" x14ac:dyDescent="0.3">
      <c r="A1121" t="s">
        <v>711</v>
      </c>
      <c r="B1121" t="s">
        <v>587</v>
      </c>
      <c r="C1121" t="s">
        <v>6</v>
      </c>
      <c r="D1121" t="s">
        <v>20</v>
      </c>
      <c r="E1121" s="68">
        <v>568</v>
      </c>
      <c r="F1121" s="68">
        <v>878</v>
      </c>
      <c r="G1121" s="68">
        <v>1446</v>
      </c>
    </row>
    <row r="1122" spans="1:7" x14ac:dyDescent="0.3">
      <c r="A1122" t="s">
        <v>711</v>
      </c>
      <c r="B1122" t="s">
        <v>587</v>
      </c>
      <c r="C1122" t="s">
        <v>6</v>
      </c>
      <c r="D1122" t="s">
        <v>21</v>
      </c>
      <c r="E1122" s="68">
        <v>227</v>
      </c>
      <c r="F1122" s="68">
        <v>326</v>
      </c>
      <c r="G1122" s="68">
        <v>553</v>
      </c>
    </row>
    <row r="1123" spans="1:7" x14ac:dyDescent="0.3">
      <c r="A1123" t="s">
        <v>711</v>
      </c>
      <c r="B1123" t="s">
        <v>587</v>
      </c>
      <c r="C1123" t="s">
        <v>6</v>
      </c>
      <c r="D1123" t="s">
        <v>22</v>
      </c>
      <c r="E1123" s="68">
        <v>105</v>
      </c>
      <c r="F1123" s="68">
        <v>105</v>
      </c>
      <c r="G1123" s="68">
        <v>210</v>
      </c>
    </row>
    <row r="1124" spans="1:7" x14ac:dyDescent="0.3">
      <c r="A1124" t="s">
        <v>711</v>
      </c>
      <c r="B1124" t="s">
        <v>587</v>
      </c>
      <c r="C1124" t="s">
        <v>6</v>
      </c>
      <c r="D1124" t="s">
        <v>23</v>
      </c>
      <c r="E1124" s="68">
        <v>133</v>
      </c>
      <c r="F1124" s="68">
        <v>77</v>
      </c>
      <c r="G1124" s="68">
        <v>210</v>
      </c>
    </row>
    <row r="1125" spans="1:7" x14ac:dyDescent="0.3">
      <c r="A1125" t="s">
        <v>711</v>
      </c>
      <c r="B1125" t="s">
        <v>587</v>
      </c>
      <c r="C1125" t="s">
        <v>24</v>
      </c>
      <c r="D1125" t="s">
        <v>7</v>
      </c>
      <c r="E1125" s="68">
        <v>21939</v>
      </c>
      <c r="F1125" s="68">
        <v>22991</v>
      </c>
      <c r="G1125" s="68">
        <v>44930</v>
      </c>
    </row>
    <row r="1126" spans="1:7" x14ac:dyDescent="0.3">
      <c r="A1126" t="s">
        <v>711</v>
      </c>
      <c r="B1126" t="s">
        <v>587</v>
      </c>
      <c r="C1126" t="s">
        <v>24</v>
      </c>
      <c r="D1126" t="s">
        <v>8</v>
      </c>
      <c r="E1126" s="68">
        <v>32178</v>
      </c>
      <c r="F1126" s="68">
        <v>33737</v>
      </c>
      <c r="G1126" s="68">
        <v>65915</v>
      </c>
    </row>
    <row r="1127" spans="1:7" x14ac:dyDescent="0.3">
      <c r="A1127" t="s">
        <v>711</v>
      </c>
      <c r="B1127" t="s">
        <v>587</v>
      </c>
      <c r="C1127" t="s">
        <v>24</v>
      </c>
      <c r="D1127" t="s">
        <v>9</v>
      </c>
      <c r="E1127" s="68">
        <v>29907</v>
      </c>
      <c r="F1127" s="68">
        <v>31164</v>
      </c>
      <c r="G1127" s="68">
        <v>61071</v>
      </c>
    </row>
    <row r="1128" spans="1:7" x14ac:dyDescent="0.3">
      <c r="A1128" t="s">
        <v>711</v>
      </c>
      <c r="B1128" t="s">
        <v>587</v>
      </c>
      <c r="C1128" t="s">
        <v>24</v>
      </c>
      <c r="D1128" t="s">
        <v>10</v>
      </c>
      <c r="E1128" s="68">
        <v>31557</v>
      </c>
      <c r="F1128" s="68">
        <v>31644</v>
      </c>
      <c r="G1128" s="68">
        <v>63201</v>
      </c>
    </row>
    <row r="1129" spans="1:7" x14ac:dyDescent="0.3">
      <c r="A1129" t="s">
        <v>711</v>
      </c>
      <c r="B1129" t="s">
        <v>587</v>
      </c>
      <c r="C1129" t="s">
        <v>24</v>
      </c>
      <c r="D1129" t="s">
        <v>11</v>
      </c>
      <c r="E1129" s="68">
        <v>23918</v>
      </c>
      <c r="F1129" s="68">
        <v>21968</v>
      </c>
      <c r="G1129" s="68">
        <v>45886</v>
      </c>
    </row>
    <row r="1130" spans="1:7" x14ac:dyDescent="0.3">
      <c r="A1130" t="s">
        <v>711</v>
      </c>
      <c r="B1130" t="s">
        <v>587</v>
      </c>
      <c r="C1130" t="s">
        <v>24</v>
      </c>
      <c r="D1130" t="s">
        <v>12</v>
      </c>
      <c r="E1130" s="68">
        <v>26615</v>
      </c>
      <c r="F1130" s="68">
        <v>24378</v>
      </c>
      <c r="G1130" s="68">
        <v>50993</v>
      </c>
    </row>
    <row r="1131" spans="1:7" x14ac:dyDescent="0.3">
      <c r="A1131" t="s">
        <v>711</v>
      </c>
      <c r="B1131" t="s">
        <v>587</v>
      </c>
      <c r="C1131" t="s">
        <v>24</v>
      </c>
      <c r="D1131" t="s">
        <v>13</v>
      </c>
      <c r="E1131" s="68">
        <v>26149</v>
      </c>
      <c r="F1131" s="68">
        <v>24295</v>
      </c>
      <c r="G1131" s="68">
        <v>50444</v>
      </c>
    </row>
    <row r="1132" spans="1:7" x14ac:dyDescent="0.3">
      <c r="A1132" t="s">
        <v>711</v>
      </c>
      <c r="B1132" t="s">
        <v>587</v>
      </c>
      <c r="C1132" t="s">
        <v>24</v>
      </c>
      <c r="D1132" t="s">
        <v>14</v>
      </c>
      <c r="E1132" s="68">
        <v>24007</v>
      </c>
      <c r="F1132" s="68">
        <v>22240</v>
      </c>
      <c r="G1132" s="68">
        <v>46247</v>
      </c>
    </row>
    <row r="1133" spans="1:7" x14ac:dyDescent="0.3">
      <c r="A1133" t="s">
        <v>711</v>
      </c>
      <c r="B1133" t="s">
        <v>587</v>
      </c>
      <c r="C1133" t="s">
        <v>24</v>
      </c>
      <c r="D1133" t="s">
        <v>15</v>
      </c>
      <c r="E1133" s="68">
        <v>25236</v>
      </c>
      <c r="F1133" s="68">
        <v>22474</v>
      </c>
      <c r="G1133" s="68">
        <v>47710</v>
      </c>
    </row>
    <row r="1134" spans="1:7" x14ac:dyDescent="0.3">
      <c r="A1134" t="s">
        <v>711</v>
      </c>
      <c r="B1134" t="s">
        <v>587</v>
      </c>
      <c r="C1134" t="s">
        <v>24</v>
      </c>
      <c r="D1134" t="s">
        <v>16</v>
      </c>
      <c r="E1134" s="68">
        <v>26489</v>
      </c>
      <c r="F1134" s="68">
        <v>22203</v>
      </c>
      <c r="G1134" s="68">
        <v>48692</v>
      </c>
    </row>
    <row r="1135" spans="1:7" x14ac:dyDescent="0.3">
      <c r="A1135" t="s">
        <v>711</v>
      </c>
      <c r="B1135" t="s">
        <v>587</v>
      </c>
      <c r="C1135" t="s">
        <v>24</v>
      </c>
      <c r="D1135" t="s">
        <v>17</v>
      </c>
      <c r="E1135" s="68">
        <v>27491</v>
      </c>
      <c r="F1135" s="68">
        <v>22269</v>
      </c>
      <c r="G1135" s="68">
        <v>49760</v>
      </c>
    </row>
    <row r="1136" spans="1:7" x14ac:dyDescent="0.3">
      <c r="A1136" t="s">
        <v>711</v>
      </c>
      <c r="B1136" t="s">
        <v>587</v>
      </c>
      <c r="C1136" t="s">
        <v>24</v>
      </c>
      <c r="D1136" t="s">
        <v>18</v>
      </c>
      <c r="E1136" s="68">
        <v>28571</v>
      </c>
      <c r="F1136" s="68">
        <v>23606</v>
      </c>
      <c r="G1136" s="68">
        <v>52177</v>
      </c>
    </row>
    <row r="1137" spans="1:7" x14ac:dyDescent="0.3">
      <c r="A1137" t="s">
        <v>711</v>
      </c>
      <c r="B1137" t="s">
        <v>587</v>
      </c>
      <c r="C1137" t="s">
        <v>24</v>
      </c>
      <c r="D1137" t="s">
        <v>19</v>
      </c>
      <c r="E1137" s="68">
        <v>30066</v>
      </c>
      <c r="F1137" s="68">
        <v>25550</v>
      </c>
      <c r="G1137" s="68">
        <v>55616</v>
      </c>
    </row>
    <row r="1138" spans="1:7" x14ac:dyDescent="0.3">
      <c r="A1138" t="s">
        <v>711</v>
      </c>
      <c r="B1138" t="s">
        <v>587</v>
      </c>
      <c r="C1138" t="s">
        <v>24</v>
      </c>
      <c r="D1138" t="s">
        <v>20</v>
      </c>
      <c r="E1138" s="68">
        <v>26223</v>
      </c>
      <c r="F1138" s="68">
        <v>21352</v>
      </c>
      <c r="G1138" s="68">
        <v>47575</v>
      </c>
    </row>
    <row r="1139" spans="1:7" x14ac:dyDescent="0.3">
      <c r="A1139" t="s">
        <v>711</v>
      </c>
      <c r="B1139" t="s">
        <v>587</v>
      </c>
      <c r="C1139" t="s">
        <v>24</v>
      </c>
      <c r="D1139" t="s">
        <v>21</v>
      </c>
      <c r="E1139" s="68">
        <v>20040</v>
      </c>
      <c r="F1139" s="68">
        <v>16230</v>
      </c>
      <c r="G1139" s="68">
        <v>36270</v>
      </c>
    </row>
    <row r="1140" spans="1:7" x14ac:dyDescent="0.3">
      <c r="A1140" t="s">
        <v>711</v>
      </c>
      <c r="B1140" t="s">
        <v>587</v>
      </c>
      <c r="C1140" t="s">
        <v>24</v>
      </c>
      <c r="D1140" t="s">
        <v>22</v>
      </c>
      <c r="E1140" s="68">
        <v>14162</v>
      </c>
      <c r="F1140" s="68">
        <v>10228</v>
      </c>
      <c r="G1140" s="68">
        <v>24390</v>
      </c>
    </row>
    <row r="1141" spans="1:7" x14ac:dyDescent="0.3">
      <c r="A1141" t="s">
        <v>711</v>
      </c>
      <c r="B1141" t="s">
        <v>587</v>
      </c>
      <c r="C1141" t="s">
        <v>24</v>
      </c>
      <c r="D1141" t="s">
        <v>23</v>
      </c>
      <c r="E1141" s="68">
        <v>19372</v>
      </c>
      <c r="F1141" s="68">
        <v>10092</v>
      </c>
      <c r="G1141" s="68">
        <v>29464</v>
      </c>
    </row>
    <row r="1142" spans="1:7" x14ac:dyDescent="0.3">
      <c r="A1142" t="s">
        <v>711</v>
      </c>
      <c r="B1142" t="s">
        <v>712</v>
      </c>
      <c r="C1142" t="s">
        <v>6</v>
      </c>
      <c r="D1142" t="s">
        <v>7</v>
      </c>
      <c r="E1142" s="68">
        <v>20806</v>
      </c>
      <c r="F1142" s="68">
        <v>21550</v>
      </c>
      <c r="G1142" s="68">
        <v>42356</v>
      </c>
    </row>
    <row r="1143" spans="1:7" x14ac:dyDescent="0.3">
      <c r="A1143" t="s">
        <v>711</v>
      </c>
      <c r="B1143" t="s">
        <v>712</v>
      </c>
      <c r="C1143" t="s">
        <v>6</v>
      </c>
      <c r="D1143" t="s">
        <v>8</v>
      </c>
      <c r="E1143" s="68">
        <v>29027</v>
      </c>
      <c r="F1143" s="68">
        <v>30363</v>
      </c>
      <c r="G1143" s="68">
        <v>59390</v>
      </c>
    </row>
    <row r="1144" spans="1:7" x14ac:dyDescent="0.3">
      <c r="A1144" t="s">
        <v>711</v>
      </c>
      <c r="B1144" t="s">
        <v>712</v>
      </c>
      <c r="C1144" t="s">
        <v>6</v>
      </c>
      <c r="D1144" t="s">
        <v>9</v>
      </c>
      <c r="E1144" s="68">
        <v>37650</v>
      </c>
      <c r="F1144" s="68">
        <v>39061</v>
      </c>
      <c r="G1144" s="68">
        <v>76711</v>
      </c>
    </row>
    <row r="1145" spans="1:7" x14ac:dyDescent="0.3">
      <c r="A1145" t="s">
        <v>711</v>
      </c>
      <c r="B1145" t="s">
        <v>712</v>
      </c>
      <c r="C1145" t="s">
        <v>6</v>
      </c>
      <c r="D1145" t="s">
        <v>10</v>
      </c>
      <c r="E1145" s="68">
        <v>41042</v>
      </c>
      <c r="F1145" s="68">
        <v>42249</v>
      </c>
      <c r="G1145" s="68">
        <v>83291</v>
      </c>
    </row>
    <row r="1146" spans="1:7" x14ac:dyDescent="0.3">
      <c r="A1146" t="s">
        <v>711</v>
      </c>
      <c r="B1146" t="s">
        <v>712</v>
      </c>
      <c r="C1146" t="s">
        <v>6</v>
      </c>
      <c r="D1146" t="s">
        <v>11</v>
      </c>
      <c r="E1146" s="68">
        <v>43951</v>
      </c>
      <c r="F1146" s="68">
        <v>43379</v>
      </c>
      <c r="G1146" s="68">
        <v>87330</v>
      </c>
    </row>
    <row r="1147" spans="1:7" x14ac:dyDescent="0.3">
      <c r="A1147" t="s">
        <v>711</v>
      </c>
      <c r="B1147" t="s">
        <v>712</v>
      </c>
      <c r="C1147" t="s">
        <v>6</v>
      </c>
      <c r="D1147" t="s">
        <v>12</v>
      </c>
      <c r="E1147" s="68">
        <v>53635</v>
      </c>
      <c r="F1147" s="68">
        <v>50304</v>
      </c>
      <c r="G1147" s="68">
        <v>103939</v>
      </c>
    </row>
    <row r="1148" spans="1:7" x14ac:dyDescent="0.3">
      <c r="A1148" t="s">
        <v>711</v>
      </c>
      <c r="B1148" t="s">
        <v>712</v>
      </c>
      <c r="C1148" t="s">
        <v>6</v>
      </c>
      <c r="D1148" t="s">
        <v>13</v>
      </c>
      <c r="E1148" s="68">
        <v>60230</v>
      </c>
      <c r="F1148" s="68">
        <v>55969</v>
      </c>
      <c r="G1148" s="68">
        <v>116199</v>
      </c>
    </row>
    <row r="1149" spans="1:7" x14ac:dyDescent="0.3">
      <c r="A1149" t="s">
        <v>711</v>
      </c>
      <c r="B1149" t="s">
        <v>712</v>
      </c>
      <c r="C1149" t="s">
        <v>6</v>
      </c>
      <c r="D1149" t="s">
        <v>14</v>
      </c>
      <c r="E1149" s="68">
        <v>56412</v>
      </c>
      <c r="F1149" s="68">
        <v>50759</v>
      </c>
      <c r="G1149" s="68">
        <v>107171</v>
      </c>
    </row>
    <row r="1150" spans="1:7" x14ac:dyDescent="0.3">
      <c r="A1150" t="s">
        <v>711</v>
      </c>
      <c r="B1150" t="s">
        <v>712</v>
      </c>
      <c r="C1150" t="s">
        <v>6</v>
      </c>
      <c r="D1150" t="s">
        <v>15</v>
      </c>
      <c r="E1150" s="68">
        <v>56422</v>
      </c>
      <c r="F1150" s="68">
        <v>49707</v>
      </c>
      <c r="G1150" s="68">
        <v>106129</v>
      </c>
    </row>
    <row r="1151" spans="1:7" x14ac:dyDescent="0.3">
      <c r="A1151" t="s">
        <v>711</v>
      </c>
      <c r="B1151" t="s">
        <v>712</v>
      </c>
      <c r="C1151" t="s">
        <v>6</v>
      </c>
      <c r="D1151" t="s">
        <v>16</v>
      </c>
      <c r="E1151" s="68">
        <v>53528</v>
      </c>
      <c r="F1151" s="68">
        <v>45669</v>
      </c>
      <c r="G1151" s="68">
        <v>99197</v>
      </c>
    </row>
    <row r="1152" spans="1:7" x14ac:dyDescent="0.3">
      <c r="A1152" t="s">
        <v>711</v>
      </c>
      <c r="B1152" t="s">
        <v>712</v>
      </c>
      <c r="C1152" t="s">
        <v>6</v>
      </c>
      <c r="D1152" t="s">
        <v>17</v>
      </c>
      <c r="E1152" s="68">
        <v>47073</v>
      </c>
      <c r="F1152" s="68">
        <v>39162</v>
      </c>
      <c r="G1152" s="68">
        <v>86235</v>
      </c>
    </row>
    <row r="1153" spans="1:7" x14ac:dyDescent="0.3">
      <c r="A1153" t="s">
        <v>711</v>
      </c>
      <c r="B1153" t="s">
        <v>712</v>
      </c>
      <c r="C1153" t="s">
        <v>6</v>
      </c>
      <c r="D1153" t="s">
        <v>18</v>
      </c>
      <c r="E1153" s="68">
        <v>46897</v>
      </c>
      <c r="F1153" s="68">
        <v>38304</v>
      </c>
      <c r="G1153" s="68">
        <v>85201</v>
      </c>
    </row>
    <row r="1154" spans="1:7" x14ac:dyDescent="0.3">
      <c r="A1154" t="s">
        <v>711</v>
      </c>
      <c r="B1154" t="s">
        <v>712</v>
      </c>
      <c r="C1154" t="s">
        <v>6</v>
      </c>
      <c r="D1154" t="s">
        <v>19</v>
      </c>
      <c r="E1154" s="68">
        <v>46916</v>
      </c>
      <c r="F1154" s="68">
        <v>36722</v>
      </c>
      <c r="G1154" s="68">
        <v>83638</v>
      </c>
    </row>
    <row r="1155" spans="1:7" x14ac:dyDescent="0.3">
      <c r="A1155" t="s">
        <v>711</v>
      </c>
      <c r="B1155" t="s">
        <v>712</v>
      </c>
      <c r="C1155" t="s">
        <v>6</v>
      </c>
      <c r="D1155" t="s">
        <v>20</v>
      </c>
      <c r="E1155" s="68">
        <v>39083</v>
      </c>
      <c r="F1155" s="68">
        <v>29495</v>
      </c>
      <c r="G1155" s="68">
        <v>68578</v>
      </c>
    </row>
    <row r="1156" spans="1:7" x14ac:dyDescent="0.3">
      <c r="A1156" t="s">
        <v>711</v>
      </c>
      <c r="B1156" t="s">
        <v>712</v>
      </c>
      <c r="C1156" t="s">
        <v>6</v>
      </c>
      <c r="D1156" t="s">
        <v>21</v>
      </c>
      <c r="E1156" s="68">
        <v>28737</v>
      </c>
      <c r="F1156" s="68">
        <v>21384</v>
      </c>
      <c r="G1156" s="68">
        <v>50121</v>
      </c>
    </row>
    <row r="1157" spans="1:7" x14ac:dyDescent="0.3">
      <c r="A1157" t="s">
        <v>711</v>
      </c>
      <c r="B1157" t="s">
        <v>712</v>
      </c>
      <c r="C1157" t="s">
        <v>6</v>
      </c>
      <c r="D1157" t="s">
        <v>22</v>
      </c>
      <c r="E1157" s="68">
        <v>18811</v>
      </c>
      <c r="F1157" s="68">
        <v>14359</v>
      </c>
      <c r="G1157" s="68">
        <v>33170</v>
      </c>
    </row>
    <row r="1158" spans="1:7" x14ac:dyDescent="0.3">
      <c r="A1158" t="s">
        <v>711</v>
      </c>
      <c r="B1158" t="s">
        <v>712</v>
      </c>
      <c r="C1158" t="s">
        <v>6</v>
      </c>
      <c r="D1158" t="s">
        <v>23</v>
      </c>
      <c r="E1158" s="68">
        <v>21430</v>
      </c>
      <c r="F1158" s="68">
        <v>12924</v>
      </c>
      <c r="G1158" s="68">
        <v>34354</v>
      </c>
    </row>
    <row r="1159" spans="1:7" x14ac:dyDescent="0.3">
      <c r="A1159" t="s">
        <v>711</v>
      </c>
      <c r="B1159" t="s">
        <v>712</v>
      </c>
      <c r="C1159" t="s">
        <v>24</v>
      </c>
      <c r="D1159" t="s">
        <v>7</v>
      </c>
      <c r="E1159" s="68">
        <v>3781</v>
      </c>
      <c r="F1159" s="68">
        <v>3968</v>
      </c>
      <c r="G1159" s="68">
        <v>7749</v>
      </c>
    </row>
    <row r="1160" spans="1:7" x14ac:dyDescent="0.3">
      <c r="A1160" t="s">
        <v>711</v>
      </c>
      <c r="B1160" t="s">
        <v>712</v>
      </c>
      <c r="C1160" t="s">
        <v>24</v>
      </c>
      <c r="D1160" t="s">
        <v>8</v>
      </c>
      <c r="E1160" s="68">
        <v>5652</v>
      </c>
      <c r="F1160" s="68">
        <v>6022</v>
      </c>
      <c r="G1160" s="68">
        <v>11674</v>
      </c>
    </row>
    <row r="1161" spans="1:7" x14ac:dyDescent="0.3">
      <c r="A1161" t="s">
        <v>711</v>
      </c>
      <c r="B1161" t="s">
        <v>712</v>
      </c>
      <c r="C1161" t="s">
        <v>24</v>
      </c>
      <c r="D1161" t="s">
        <v>9</v>
      </c>
      <c r="E1161" s="68">
        <v>6146</v>
      </c>
      <c r="F1161" s="68">
        <v>6389</v>
      </c>
      <c r="G1161" s="68">
        <v>12535</v>
      </c>
    </row>
    <row r="1162" spans="1:7" x14ac:dyDescent="0.3">
      <c r="A1162" t="s">
        <v>711</v>
      </c>
      <c r="B1162" t="s">
        <v>712</v>
      </c>
      <c r="C1162" t="s">
        <v>24</v>
      </c>
      <c r="D1162" t="s">
        <v>10</v>
      </c>
      <c r="E1162" s="68">
        <v>6437</v>
      </c>
      <c r="F1162" s="68">
        <v>6748</v>
      </c>
      <c r="G1162" s="68">
        <v>13185</v>
      </c>
    </row>
    <row r="1163" spans="1:7" x14ac:dyDescent="0.3">
      <c r="A1163" t="s">
        <v>711</v>
      </c>
      <c r="B1163" t="s">
        <v>712</v>
      </c>
      <c r="C1163" t="s">
        <v>24</v>
      </c>
      <c r="D1163" t="s">
        <v>11</v>
      </c>
      <c r="E1163" s="68">
        <v>8189</v>
      </c>
      <c r="F1163" s="68">
        <v>8690</v>
      </c>
      <c r="G1163" s="68">
        <v>16879</v>
      </c>
    </row>
    <row r="1164" spans="1:7" x14ac:dyDescent="0.3">
      <c r="A1164" t="s">
        <v>711</v>
      </c>
      <c r="B1164" t="s">
        <v>712</v>
      </c>
      <c r="C1164" t="s">
        <v>24</v>
      </c>
      <c r="D1164" t="s">
        <v>12</v>
      </c>
      <c r="E1164" s="68">
        <v>10445</v>
      </c>
      <c r="F1164" s="68">
        <v>10509</v>
      </c>
      <c r="G1164" s="68">
        <v>20954</v>
      </c>
    </row>
    <row r="1165" spans="1:7" x14ac:dyDescent="0.3">
      <c r="A1165" t="s">
        <v>711</v>
      </c>
      <c r="B1165" t="s">
        <v>712</v>
      </c>
      <c r="C1165" t="s">
        <v>24</v>
      </c>
      <c r="D1165" t="s">
        <v>13</v>
      </c>
      <c r="E1165" s="68">
        <v>9073</v>
      </c>
      <c r="F1165" s="68">
        <v>8732</v>
      </c>
      <c r="G1165" s="68">
        <v>17805</v>
      </c>
    </row>
    <row r="1166" spans="1:7" x14ac:dyDescent="0.3">
      <c r="A1166" t="s">
        <v>711</v>
      </c>
      <c r="B1166" t="s">
        <v>712</v>
      </c>
      <c r="C1166" t="s">
        <v>24</v>
      </c>
      <c r="D1166" t="s">
        <v>14</v>
      </c>
      <c r="E1166" s="68">
        <v>7556</v>
      </c>
      <c r="F1166" s="68">
        <v>6766</v>
      </c>
      <c r="G1166" s="68">
        <v>14322</v>
      </c>
    </row>
    <row r="1167" spans="1:7" x14ac:dyDescent="0.3">
      <c r="A1167" t="s">
        <v>711</v>
      </c>
      <c r="B1167" t="s">
        <v>712</v>
      </c>
      <c r="C1167" t="s">
        <v>24</v>
      </c>
      <c r="D1167" t="s">
        <v>15</v>
      </c>
      <c r="E1167" s="68">
        <v>7355</v>
      </c>
      <c r="F1167" s="68">
        <v>6074</v>
      </c>
      <c r="G1167" s="68">
        <v>13429</v>
      </c>
    </row>
    <row r="1168" spans="1:7" x14ac:dyDescent="0.3">
      <c r="A1168" t="s">
        <v>711</v>
      </c>
      <c r="B1168" t="s">
        <v>712</v>
      </c>
      <c r="C1168" t="s">
        <v>24</v>
      </c>
      <c r="D1168" t="s">
        <v>16</v>
      </c>
      <c r="E1168" s="68">
        <v>6789</v>
      </c>
      <c r="F1168" s="68">
        <v>5343</v>
      </c>
      <c r="G1168" s="68">
        <v>12132</v>
      </c>
    </row>
    <row r="1169" spans="1:7" x14ac:dyDescent="0.3">
      <c r="A1169" t="s">
        <v>711</v>
      </c>
      <c r="B1169" t="s">
        <v>712</v>
      </c>
      <c r="C1169" t="s">
        <v>24</v>
      </c>
      <c r="D1169" t="s">
        <v>17</v>
      </c>
      <c r="E1169" s="68">
        <v>6026</v>
      </c>
      <c r="F1169" s="68">
        <v>4513</v>
      </c>
      <c r="G1169" s="68">
        <v>10539</v>
      </c>
    </row>
    <row r="1170" spans="1:7" x14ac:dyDescent="0.3">
      <c r="A1170" t="s">
        <v>711</v>
      </c>
      <c r="B1170" t="s">
        <v>712</v>
      </c>
      <c r="C1170" t="s">
        <v>24</v>
      </c>
      <c r="D1170" t="s">
        <v>18</v>
      </c>
      <c r="E1170" s="68">
        <v>6066</v>
      </c>
      <c r="F1170" s="68">
        <v>4554</v>
      </c>
      <c r="G1170" s="68">
        <v>10620</v>
      </c>
    </row>
    <row r="1171" spans="1:7" x14ac:dyDescent="0.3">
      <c r="A1171" t="s">
        <v>711</v>
      </c>
      <c r="B1171" t="s">
        <v>712</v>
      </c>
      <c r="C1171" t="s">
        <v>24</v>
      </c>
      <c r="D1171" t="s">
        <v>19</v>
      </c>
      <c r="E1171" s="68">
        <v>5224</v>
      </c>
      <c r="F1171" s="68">
        <v>4062</v>
      </c>
      <c r="G1171" s="68">
        <v>9286</v>
      </c>
    </row>
    <row r="1172" spans="1:7" x14ac:dyDescent="0.3">
      <c r="A1172" t="s">
        <v>711</v>
      </c>
      <c r="B1172" t="s">
        <v>712</v>
      </c>
      <c r="C1172" t="s">
        <v>24</v>
      </c>
      <c r="D1172" t="s">
        <v>20</v>
      </c>
      <c r="E1172" s="68">
        <v>3917</v>
      </c>
      <c r="F1172" s="68">
        <v>2944</v>
      </c>
      <c r="G1172" s="68">
        <v>6861</v>
      </c>
    </row>
    <row r="1173" spans="1:7" x14ac:dyDescent="0.3">
      <c r="A1173" t="s">
        <v>711</v>
      </c>
      <c r="B1173" t="s">
        <v>712</v>
      </c>
      <c r="C1173" t="s">
        <v>24</v>
      </c>
      <c r="D1173" t="s">
        <v>21</v>
      </c>
      <c r="E1173" s="68">
        <v>2357</v>
      </c>
      <c r="F1173" s="68">
        <v>1851</v>
      </c>
      <c r="G1173" s="68">
        <v>4208</v>
      </c>
    </row>
    <row r="1174" spans="1:7" x14ac:dyDescent="0.3">
      <c r="A1174" t="s">
        <v>711</v>
      </c>
      <c r="B1174" t="s">
        <v>712</v>
      </c>
      <c r="C1174" t="s">
        <v>24</v>
      </c>
      <c r="D1174" t="s">
        <v>22</v>
      </c>
      <c r="E1174" s="68">
        <v>1341</v>
      </c>
      <c r="F1174" s="68">
        <v>982</v>
      </c>
      <c r="G1174" s="68">
        <v>2323</v>
      </c>
    </row>
    <row r="1175" spans="1:7" x14ac:dyDescent="0.3">
      <c r="A1175" t="s">
        <v>711</v>
      </c>
      <c r="B1175" t="s">
        <v>712</v>
      </c>
      <c r="C1175" t="s">
        <v>24</v>
      </c>
      <c r="D1175" t="s">
        <v>23</v>
      </c>
      <c r="E1175" s="68">
        <v>1266</v>
      </c>
      <c r="F1175" s="68">
        <v>719</v>
      </c>
      <c r="G1175" s="68">
        <v>1985</v>
      </c>
    </row>
    <row r="1176" spans="1:7" x14ac:dyDescent="0.3">
      <c r="A1176" t="s">
        <v>711</v>
      </c>
      <c r="B1176" t="s">
        <v>31</v>
      </c>
      <c r="C1176" t="s">
        <v>6</v>
      </c>
      <c r="D1176" t="s">
        <v>7</v>
      </c>
      <c r="E1176" s="68">
        <v>105</v>
      </c>
      <c r="F1176" s="68">
        <v>105</v>
      </c>
      <c r="G1176" s="68">
        <v>210</v>
      </c>
    </row>
    <row r="1177" spans="1:7" x14ac:dyDescent="0.3">
      <c r="A1177" t="s">
        <v>711</v>
      </c>
      <c r="B1177" t="s">
        <v>31</v>
      </c>
      <c r="C1177" t="s">
        <v>6</v>
      </c>
      <c r="D1177" t="s">
        <v>8</v>
      </c>
      <c r="E1177" s="68">
        <v>107</v>
      </c>
      <c r="F1177" s="68">
        <v>130</v>
      </c>
      <c r="G1177" s="68">
        <v>237</v>
      </c>
    </row>
    <row r="1178" spans="1:7" x14ac:dyDescent="0.3">
      <c r="A1178" t="s">
        <v>711</v>
      </c>
      <c r="B1178" t="s">
        <v>31</v>
      </c>
      <c r="C1178" t="s">
        <v>6</v>
      </c>
      <c r="D1178" t="s">
        <v>9</v>
      </c>
      <c r="E1178" s="68">
        <v>137</v>
      </c>
      <c r="F1178" s="68">
        <v>163</v>
      </c>
      <c r="G1178" s="68">
        <v>300</v>
      </c>
    </row>
    <row r="1179" spans="1:7" x14ac:dyDescent="0.3">
      <c r="A1179" t="s">
        <v>711</v>
      </c>
      <c r="B1179" t="s">
        <v>31</v>
      </c>
      <c r="C1179" t="s">
        <v>6</v>
      </c>
      <c r="D1179" t="s">
        <v>10</v>
      </c>
      <c r="E1179" s="68">
        <v>227</v>
      </c>
      <c r="F1179" s="68">
        <v>250</v>
      </c>
      <c r="G1179" s="68">
        <v>477</v>
      </c>
    </row>
    <row r="1180" spans="1:7" x14ac:dyDescent="0.3">
      <c r="A1180" t="s">
        <v>711</v>
      </c>
      <c r="B1180" t="s">
        <v>31</v>
      </c>
      <c r="C1180" t="s">
        <v>6</v>
      </c>
      <c r="D1180" t="s">
        <v>11</v>
      </c>
      <c r="E1180" s="68">
        <v>490</v>
      </c>
      <c r="F1180" s="68">
        <v>699</v>
      </c>
      <c r="G1180" s="68">
        <v>1189</v>
      </c>
    </row>
    <row r="1181" spans="1:7" x14ac:dyDescent="0.3">
      <c r="A1181" t="s">
        <v>711</v>
      </c>
      <c r="B1181" t="s">
        <v>31</v>
      </c>
      <c r="C1181" t="s">
        <v>6</v>
      </c>
      <c r="D1181" t="s">
        <v>12</v>
      </c>
      <c r="E1181" s="68">
        <v>497</v>
      </c>
      <c r="F1181" s="68">
        <v>716</v>
      </c>
      <c r="G1181" s="68">
        <v>1213</v>
      </c>
    </row>
    <row r="1182" spans="1:7" x14ac:dyDescent="0.3">
      <c r="A1182" t="s">
        <v>711</v>
      </c>
      <c r="B1182" t="s">
        <v>31</v>
      </c>
      <c r="C1182" t="s">
        <v>6</v>
      </c>
      <c r="D1182" t="s">
        <v>13</v>
      </c>
      <c r="E1182" s="68">
        <v>388</v>
      </c>
      <c r="F1182" s="68">
        <v>473</v>
      </c>
      <c r="G1182" s="68">
        <v>861</v>
      </c>
    </row>
    <row r="1183" spans="1:7" x14ac:dyDescent="0.3">
      <c r="A1183" t="s">
        <v>711</v>
      </c>
      <c r="B1183" t="s">
        <v>31</v>
      </c>
      <c r="C1183" t="s">
        <v>6</v>
      </c>
      <c r="D1183" t="s">
        <v>14</v>
      </c>
      <c r="E1183" s="68">
        <v>306</v>
      </c>
      <c r="F1183" s="68">
        <v>249</v>
      </c>
      <c r="G1183" s="68">
        <v>555</v>
      </c>
    </row>
    <row r="1184" spans="1:7" x14ac:dyDescent="0.3">
      <c r="A1184" t="s">
        <v>711</v>
      </c>
      <c r="B1184" t="s">
        <v>31</v>
      </c>
      <c r="C1184" t="s">
        <v>6</v>
      </c>
      <c r="D1184" t="s">
        <v>15</v>
      </c>
      <c r="E1184" s="68">
        <v>255</v>
      </c>
      <c r="F1184" s="68">
        <v>238</v>
      </c>
      <c r="G1184" s="68">
        <v>493</v>
      </c>
    </row>
    <row r="1185" spans="1:7" x14ac:dyDescent="0.3">
      <c r="A1185" t="s">
        <v>711</v>
      </c>
      <c r="B1185" t="s">
        <v>31</v>
      </c>
      <c r="C1185" t="s">
        <v>6</v>
      </c>
      <c r="D1185" t="s">
        <v>16</v>
      </c>
      <c r="E1185" s="68">
        <v>208</v>
      </c>
      <c r="F1185" s="68">
        <v>219</v>
      </c>
      <c r="G1185" s="68">
        <v>427</v>
      </c>
    </row>
    <row r="1186" spans="1:7" x14ac:dyDescent="0.3">
      <c r="A1186" t="s">
        <v>711</v>
      </c>
      <c r="B1186" t="s">
        <v>31</v>
      </c>
      <c r="C1186" t="s">
        <v>6</v>
      </c>
      <c r="D1186" t="s">
        <v>17</v>
      </c>
      <c r="E1186" s="68">
        <v>166</v>
      </c>
      <c r="F1186" s="68">
        <v>160</v>
      </c>
      <c r="G1186" s="68">
        <v>326</v>
      </c>
    </row>
    <row r="1187" spans="1:7" x14ac:dyDescent="0.3">
      <c r="A1187" t="s">
        <v>711</v>
      </c>
      <c r="B1187" t="s">
        <v>31</v>
      </c>
      <c r="C1187" t="s">
        <v>6</v>
      </c>
      <c r="D1187" t="s">
        <v>18</v>
      </c>
      <c r="E1187" s="68">
        <v>108</v>
      </c>
      <c r="F1187" s="68">
        <v>130</v>
      </c>
      <c r="G1187" s="68">
        <v>238</v>
      </c>
    </row>
    <row r="1188" spans="1:7" x14ac:dyDescent="0.3">
      <c r="A1188" t="s">
        <v>711</v>
      </c>
      <c r="B1188" t="s">
        <v>31</v>
      </c>
      <c r="C1188" t="s">
        <v>6</v>
      </c>
      <c r="D1188" t="s">
        <v>19</v>
      </c>
      <c r="E1188" s="68">
        <v>98</v>
      </c>
      <c r="F1188" s="68">
        <v>103</v>
      </c>
      <c r="G1188" s="68">
        <v>201</v>
      </c>
    </row>
    <row r="1189" spans="1:7" x14ac:dyDescent="0.3">
      <c r="A1189" t="s">
        <v>711</v>
      </c>
      <c r="B1189" t="s">
        <v>31</v>
      </c>
      <c r="C1189" t="s">
        <v>6</v>
      </c>
      <c r="D1189" t="s">
        <v>20</v>
      </c>
      <c r="E1189" s="68">
        <v>42</v>
      </c>
      <c r="F1189" s="68">
        <v>69</v>
      </c>
      <c r="G1189" s="68">
        <v>111</v>
      </c>
    </row>
    <row r="1190" spans="1:7" x14ac:dyDescent="0.3">
      <c r="A1190" t="s">
        <v>711</v>
      </c>
      <c r="B1190" t="s">
        <v>31</v>
      </c>
      <c r="C1190" t="s">
        <v>6</v>
      </c>
      <c r="D1190" t="s">
        <v>21</v>
      </c>
      <c r="E1190" s="68">
        <v>29</v>
      </c>
      <c r="F1190" s="68">
        <v>42</v>
      </c>
      <c r="G1190" s="68">
        <v>71</v>
      </c>
    </row>
    <row r="1191" spans="1:7" x14ac:dyDescent="0.3">
      <c r="A1191" t="s">
        <v>711</v>
      </c>
      <c r="B1191" t="s">
        <v>31</v>
      </c>
      <c r="C1191" t="s">
        <v>6</v>
      </c>
      <c r="D1191" t="s">
        <v>22</v>
      </c>
      <c r="E1191" s="68">
        <v>18</v>
      </c>
      <c r="F1191" s="68">
        <v>18</v>
      </c>
      <c r="G1191" s="68">
        <v>36</v>
      </c>
    </row>
    <row r="1192" spans="1:7" x14ac:dyDescent="0.3">
      <c r="A1192" t="s">
        <v>711</v>
      </c>
      <c r="B1192" t="s">
        <v>31</v>
      </c>
      <c r="C1192" t="s">
        <v>6</v>
      </c>
      <c r="D1192" t="s">
        <v>23</v>
      </c>
      <c r="E1192" s="68">
        <v>20</v>
      </c>
      <c r="F1192" s="68">
        <v>13</v>
      </c>
      <c r="G1192" s="68">
        <v>33</v>
      </c>
    </row>
    <row r="1193" spans="1:7" x14ac:dyDescent="0.3">
      <c r="A1193" t="s">
        <v>711</v>
      </c>
      <c r="B1193" t="s">
        <v>31</v>
      </c>
      <c r="C1193" t="s">
        <v>24</v>
      </c>
      <c r="D1193" t="s">
        <v>7</v>
      </c>
      <c r="E1193" s="68">
        <v>833</v>
      </c>
      <c r="F1193" s="68">
        <v>875</v>
      </c>
      <c r="G1193" s="68">
        <v>1708</v>
      </c>
    </row>
    <row r="1194" spans="1:7" x14ac:dyDescent="0.3">
      <c r="A1194" t="s">
        <v>711</v>
      </c>
      <c r="B1194" t="s">
        <v>31</v>
      </c>
      <c r="C1194" t="s">
        <v>24</v>
      </c>
      <c r="D1194" t="s">
        <v>8</v>
      </c>
      <c r="E1194" s="68">
        <v>1174</v>
      </c>
      <c r="F1194" s="68">
        <v>1226</v>
      </c>
      <c r="G1194" s="68">
        <v>2400</v>
      </c>
    </row>
    <row r="1195" spans="1:7" x14ac:dyDescent="0.3">
      <c r="A1195" t="s">
        <v>711</v>
      </c>
      <c r="B1195" t="s">
        <v>31</v>
      </c>
      <c r="C1195" t="s">
        <v>24</v>
      </c>
      <c r="D1195" t="s">
        <v>9</v>
      </c>
      <c r="E1195" s="68">
        <v>1284</v>
      </c>
      <c r="F1195" s="68">
        <v>1217</v>
      </c>
      <c r="G1195" s="68">
        <v>2501</v>
      </c>
    </row>
    <row r="1196" spans="1:7" x14ac:dyDescent="0.3">
      <c r="A1196" t="s">
        <v>711</v>
      </c>
      <c r="B1196" t="s">
        <v>31</v>
      </c>
      <c r="C1196" t="s">
        <v>24</v>
      </c>
      <c r="D1196" t="s">
        <v>10</v>
      </c>
      <c r="E1196" s="68">
        <v>1287</v>
      </c>
      <c r="F1196" s="68">
        <v>1257</v>
      </c>
      <c r="G1196" s="68">
        <v>2544</v>
      </c>
    </row>
    <row r="1197" spans="1:7" x14ac:dyDescent="0.3">
      <c r="A1197" t="s">
        <v>711</v>
      </c>
      <c r="B1197" t="s">
        <v>31</v>
      </c>
      <c r="C1197" t="s">
        <v>24</v>
      </c>
      <c r="D1197" t="s">
        <v>11</v>
      </c>
      <c r="E1197" s="68">
        <v>1158</v>
      </c>
      <c r="F1197" s="68">
        <v>959</v>
      </c>
      <c r="G1197" s="68">
        <v>2117</v>
      </c>
    </row>
    <row r="1198" spans="1:7" x14ac:dyDescent="0.3">
      <c r="A1198" t="s">
        <v>711</v>
      </c>
      <c r="B1198" t="s">
        <v>31</v>
      </c>
      <c r="C1198" t="s">
        <v>24</v>
      </c>
      <c r="D1198" t="s">
        <v>12</v>
      </c>
      <c r="E1198" s="68">
        <v>1312</v>
      </c>
      <c r="F1198" s="68">
        <v>1242</v>
      </c>
      <c r="G1198" s="68">
        <v>2554</v>
      </c>
    </row>
    <row r="1199" spans="1:7" x14ac:dyDescent="0.3">
      <c r="A1199" t="s">
        <v>711</v>
      </c>
      <c r="B1199" t="s">
        <v>31</v>
      </c>
      <c r="C1199" t="s">
        <v>24</v>
      </c>
      <c r="D1199" t="s">
        <v>13</v>
      </c>
      <c r="E1199" s="68">
        <v>1256</v>
      </c>
      <c r="F1199" s="68">
        <v>1112</v>
      </c>
      <c r="G1199" s="68">
        <v>2368</v>
      </c>
    </row>
    <row r="1200" spans="1:7" x14ac:dyDescent="0.3">
      <c r="A1200" t="s">
        <v>711</v>
      </c>
      <c r="B1200" t="s">
        <v>31</v>
      </c>
      <c r="C1200" t="s">
        <v>24</v>
      </c>
      <c r="D1200" t="s">
        <v>14</v>
      </c>
      <c r="E1200" s="68">
        <v>1028</v>
      </c>
      <c r="F1200" s="68">
        <v>826</v>
      </c>
      <c r="G1200" s="68">
        <v>1854</v>
      </c>
    </row>
    <row r="1201" spans="1:7" x14ac:dyDescent="0.3">
      <c r="A1201" t="s">
        <v>711</v>
      </c>
      <c r="B1201" t="s">
        <v>31</v>
      </c>
      <c r="C1201" t="s">
        <v>24</v>
      </c>
      <c r="D1201" t="s">
        <v>15</v>
      </c>
      <c r="E1201" s="68">
        <v>881</v>
      </c>
      <c r="F1201" s="68">
        <v>687</v>
      </c>
      <c r="G1201" s="68">
        <v>1568</v>
      </c>
    </row>
    <row r="1202" spans="1:7" x14ac:dyDescent="0.3">
      <c r="A1202" t="s">
        <v>711</v>
      </c>
      <c r="B1202" t="s">
        <v>31</v>
      </c>
      <c r="C1202" t="s">
        <v>24</v>
      </c>
      <c r="D1202" t="s">
        <v>16</v>
      </c>
      <c r="E1202" s="68">
        <v>735</v>
      </c>
      <c r="F1202" s="68">
        <v>576</v>
      </c>
      <c r="G1202" s="68">
        <v>1311</v>
      </c>
    </row>
    <row r="1203" spans="1:7" x14ac:dyDescent="0.3">
      <c r="A1203" t="s">
        <v>711</v>
      </c>
      <c r="B1203" t="s">
        <v>31</v>
      </c>
      <c r="C1203" t="s">
        <v>24</v>
      </c>
      <c r="D1203" t="s">
        <v>17</v>
      </c>
      <c r="E1203" s="68">
        <v>670</v>
      </c>
      <c r="F1203" s="68">
        <v>497</v>
      </c>
      <c r="G1203" s="68">
        <v>1167</v>
      </c>
    </row>
    <row r="1204" spans="1:7" x14ac:dyDescent="0.3">
      <c r="A1204" t="s">
        <v>711</v>
      </c>
      <c r="B1204" t="s">
        <v>31</v>
      </c>
      <c r="C1204" t="s">
        <v>24</v>
      </c>
      <c r="D1204" t="s">
        <v>18</v>
      </c>
      <c r="E1204" s="68">
        <v>620</v>
      </c>
      <c r="F1204" s="68">
        <v>469</v>
      </c>
      <c r="G1204" s="68">
        <v>1089</v>
      </c>
    </row>
    <row r="1205" spans="1:7" x14ac:dyDescent="0.3">
      <c r="A1205" t="s">
        <v>711</v>
      </c>
      <c r="B1205" t="s">
        <v>31</v>
      </c>
      <c r="C1205" t="s">
        <v>24</v>
      </c>
      <c r="D1205" t="s">
        <v>19</v>
      </c>
      <c r="E1205" s="68">
        <v>555</v>
      </c>
      <c r="F1205" s="68">
        <v>450</v>
      </c>
      <c r="G1205" s="68">
        <v>1005</v>
      </c>
    </row>
    <row r="1206" spans="1:7" x14ac:dyDescent="0.3">
      <c r="A1206" t="s">
        <v>711</v>
      </c>
      <c r="B1206" t="s">
        <v>31</v>
      </c>
      <c r="C1206" t="s">
        <v>24</v>
      </c>
      <c r="D1206" t="s">
        <v>20</v>
      </c>
      <c r="E1206" s="68">
        <v>468</v>
      </c>
      <c r="F1206" s="68">
        <v>327</v>
      </c>
      <c r="G1206" s="68">
        <v>795</v>
      </c>
    </row>
    <row r="1207" spans="1:7" x14ac:dyDescent="0.3">
      <c r="A1207" t="s">
        <v>711</v>
      </c>
      <c r="B1207" t="s">
        <v>31</v>
      </c>
      <c r="C1207" t="s">
        <v>24</v>
      </c>
      <c r="D1207" t="s">
        <v>21</v>
      </c>
      <c r="E1207" s="68">
        <v>205</v>
      </c>
      <c r="F1207" s="68">
        <v>212</v>
      </c>
      <c r="G1207" s="68">
        <v>417</v>
      </c>
    </row>
    <row r="1208" spans="1:7" x14ac:dyDescent="0.3">
      <c r="A1208" t="s">
        <v>711</v>
      </c>
      <c r="B1208" t="s">
        <v>31</v>
      </c>
      <c r="C1208" t="s">
        <v>24</v>
      </c>
      <c r="D1208" t="s">
        <v>22</v>
      </c>
      <c r="E1208" s="68">
        <v>141</v>
      </c>
      <c r="F1208" s="68">
        <v>86</v>
      </c>
      <c r="G1208" s="68">
        <v>227</v>
      </c>
    </row>
    <row r="1209" spans="1:7" x14ac:dyDescent="0.3">
      <c r="A1209" t="s">
        <v>711</v>
      </c>
      <c r="B1209" t="s">
        <v>31</v>
      </c>
      <c r="C1209" t="s">
        <v>24</v>
      </c>
      <c r="D1209" t="s">
        <v>23</v>
      </c>
      <c r="E1209" s="68">
        <v>160</v>
      </c>
      <c r="F1209" s="68">
        <v>114</v>
      </c>
      <c r="G1209" s="68">
        <v>274</v>
      </c>
    </row>
    <row r="1210" spans="1:7" x14ac:dyDescent="0.3">
      <c r="A1210" t="s">
        <v>711</v>
      </c>
      <c r="B1210" t="s">
        <v>32</v>
      </c>
      <c r="C1210" t="s">
        <v>24</v>
      </c>
      <c r="D1210" t="s">
        <v>10</v>
      </c>
      <c r="E1210" s="68"/>
      <c r="F1210" s="68">
        <v>1</v>
      </c>
      <c r="G1210" s="68">
        <v>1</v>
      </c>
    </row>
    <row r="1211" spans="1:7" x14ac:dyDescent="0.3">
      <c r="A1211" t="s">
        <v>711</v>
      </c>
      <c r="B1211" t="s">
        <v>32</v>
      </c>
      <c r="C1211" t="s">
        <v>24</v>
      </c>
      <c r="D1211" t="s">
        <v>11</v>
      </c>
      <c r="E1211" s="68">
        <v>1</v>
      </c>
      <c r="F1211" s="68"/>
      <c r="G1211" s="68">
        <v>1</v>
      </c>
    </row>
    <row r="1212" spans="1:7" x14ac:dyDescent="0.3">
      <c r="A1212" t="s">
        <v>711</v>
      </c>
      <c r="B1212" t="s">
        <v>5</v>
      </c>
      <c r="C1212" t="s">
        <v>6</v>
      </c>
      <c r="D1212" t="s">
        <v>7</v>
      </c>
      <c r="E1212" s="68">
        <v>27956</v>
      </c>
      <c r="F1212" s="68">
        <v>29334</v>
      </c>
      <c r="G1212" s="68">
        <v>57290</v>
      </c>
    </row>
    <row r="1213" spans="1:7" x14ac:dyDescent="0.3">
      <c r="A1213" t="s">
        <v>711</v>
      </c>
      <c r="B1213" t="s">
        <v>5</v>
      </c>
      <c r="C1213" t="s">
        <v>6</v>
      </c>
      <c r="D1213" t="s">
        <v>8</v>
      </c>
      <c r="E1213" s="68">
        <v>36615</v>
      </c>
      <c r="F1213" s="68">
        <v>38583</v>
      </c>
      <c r="G1213" s="68">
        <v>75198</v>
      </c>
    </row>
    <row r="1214" spans="1:7" x14ac:dyDescent="0.3">
      <c r="A1214" t="s">
        <v>711</v>
      </c>
      <c r="B1214" t="s">
        <v>5</v>
      </c>
      <c r="C1214" t="s">
        <v>6</v>
      </c>
      <c r="D1214" t="s">
        <v>9</v>
      </c>
      <c r="E1214" s="68">
        <v>43920</v>
      </c>
      <c r="F1214" s="68">
        <v>45379</v>
      </c>
      <c r="G1214" s="68">
        <v>89299</v>
      </c>
    </row>
    <row r="1215" spans="1:7" x14ac:dyDescent="0.3">
      <c r="A1215" t="s">
        <v>711</v>
      </c>
      <c r="B1215" t="s">
        <v>5</v>
      </c>
      <c r="C1215" t="s">
        <v>6</v>
      </c>
      <c r="D1215" t="s">
        <v>10</v>
      </c>
      <c r="E1215" s="68">
        <v>48270</v>
      </c>
      <c r="F1215" s="68">
        <v>49165</v>
      </c>
      <c r="G1215" s="68">
        <v>97435</v>
      </c>
    </row>
    <row r="1216" spans="1:7" x14ac:dyDescent="0.3">
      <c r="A1216" t="s">
        <v>711</v>
      </c>
      <c r="B1216" t="s">
        <v>5</v>
      </c>
      <c r="C1216" t="s">
        <v>6</v>
      </c>
      <c r="D1216" t="s">
        <v>11</v>
      </c>
      <c r="E1216" s="68">
        <v>58898</v>
      </c>
      <c r="F1216" s="68">
        <v>54813</v>
      </c>
      <c r="G1216" s="68">
        <v>113711</v>
      </c>
    </row>
    <row r="1217" spans="1:7" x14ac:dyDescent="0.3">
      <c r="A1217" t="s">
        <v>711</v>
      </c>
      <c r="B1217" t="s">
        <v>5</v>
      </c>
      <c r="C1217" t="s">
        <v>6</v>
      </c>
      <c r="D1217" t="s">
        <v>12</v>
      </c>
      <c r="E1217" s="68">
        <v>79619</v>
      </c>
      <c r="F1217" s="68">
        <v>68766</v>
      </c>
      <c r="G1217" s="68">
        <v>148385</v>
      </c>
    </row>
    <row r="1218" spans="1:7" x14ac:dyDescent="0.3">
      <c r="A1218" t="s">
        <v>711</v>
      </c>
      <c r="B1218" t="s">
        <v>5</v>
      </c>
      <c r="C1218" t="s">
        <v>6</v>
      </c>
      <c r="D1218" t="s">
        <v>13</v>
      </c>
      <c r="E1218" s="68">
        <v>86736</v>
      </c>
      <c r="F1218" s="68">
        <v>75649</v>
      </c>
      <c r="G1218" s="68">
        <v>162385</v>
      </c>
    </row>
    <row r="1219" spans="1:7" x14ac:dyDescent="0.3">
      <c r="A1219" t="s">
        <v>711</v>
      </c>
      <c r="B1219" t="s">
        <v>5</v>
      </c>
      <c r="C1219" t="s">
        <v>6</v>
      </c>
      <c r="D1219" t="s">
        <v>14</v>
      </c>
      <c r="E1219" s="68">
        <v>78750</v>
      </c>
      <c r="F1219" s="68">
        <v>68008</v>
      </c>
      <c r="G1219" s="68">
        <v>146758</v>
      </c>
    </row>
    <row r="1220" spans="1:7" x14ac:dyDescent="0.3">
      <c r="A1220" t="s">
        <v>711</v>
      </c>
      <c r="B1220" t="s">
        <v>5</v>
      </c>
      <c r="C1220" t="s">
        <v>6</v>
      </c>
      <c r="D1220" t="s">
        <v>15</v>
      </c>
      <c r="E1220" s="68">
        <v>73278</v>
      </c>
      <c r="F1220" s="68">
        <v>63464</v>
      </c>
      <c r="G1220" s="68">
        <v>136742</v>
      </c>
    </row>
    <row r="1221" spans="1:7" x14ac:dyDescent="0.3">
      <c r="A1221" t="s">
        <v>711</v>
      </c>
      <c r="B1221" t="s">
        <v>5</v>
      </c>
      <c r="C1221" t="s">
        <v>6</v>
      </c>
      <c r="D1221" t="s">
        <v>16</v>
      </c>
      <c r="E1221" s="68">
        <v>64650</v>
      </c>
      <c r="F1221" s="68">
        <v>54369</v>
      </c>
      <c r="G1221" s="68">
        <v>119019</v>
      </c>
    </row>
    <row r="1222" spans="1:7" x14ac:dyDescent="0.3">
      <c r="A1222" t="s">
        <v>711</v>
      </c>
      <c r="B1222" t="s">
        <v>5</v>
      </c>
      <c r="C1222" t="s">
        <v>6</v>
      </c>
      <c r="D1222" t="s">
        <v>17</v>
      </c>
      <c r="E1222" s="68">
        <v>54249</v>
      </c>
      <c r="F1222" s="68">
        <v>44003</v>
      </c>
      <c r="G1222" s="68">
        <v>98252</v>
      </c>
    </row>
    <row r="1223" spans="1:7" x14ac:dyDescent="0.3">
      <c r="A1223" t="s">
        <v>711</v>
      </c>
      <c r="B1223" t="s">
        <v>5</v>
      </c>
      <c r="C1223" t="s">
        <v>6</v>
      </c>
      <c r="D1223" t="s">
        <v>18</v>
      </c>
      <c r="E1223" s="68">
        <v>52394</v>
      </c>
      <c r="F1223" s="68">
        <v>41462</v>
      </c>
      <c r="G1223" s="68">
        <v>93856</v>
      </c>
    </row>
    <row r="1224" spans="1:7" x14ac:dyDescent="0.3">
      <c r="A1224" t="s">
        <v>711</v>
      </c>
      <c r="B1224" t="s">
        <v>5</v>
      </c>
      <c r="C1224" t="s">
        <v>6</v>
      </c>
      <c r="D1224" t="s">
        <v>19</v>
      </c>
      <c r="E1224" s="68">
        <v>50216</v>
      </c>
      <c r="F1224" s="68">
        <v>38502</v>
      </c>
      <c r="G1224" s="68">
        <v>88718</v>
      </c>
    </row>
    <row r="1225" spans="1:7" x14ac:dyDescent="0.3">
      <c r="A1225" t="s">
        <v>711</v>
      </c>
      <c r="B1225" t="s">
        <v>5</v>
      </c>
      <c r="C1225" t="s">
        <v>6</v>
      </c>
      <c r="D1225" t="s">
        <v>20</v>
      </c>
      <c r="E1225" s="68">
        <v>39096</v>
      </c>
      <c r="F1225" s="68">
        <v>29422</v>
      </c>
      <c r="G1225" s="68">
        <v>68518</v>
      </c>
    </row>
    <row r="1226" spans="1:7" x14ac:dyDescent="0.3">
      <c r="A1226" t="s">
        <v>711</v>
      </c>
      <c r="B1226" t="s">
        <v>5</v>
      </c>
      <c r="C1226" t="s">
        <v>6</v>
      </c>
      <c r="D1226" t="s">
        <v>21</v>
      </c>
      <c r="E1226" s="68">
        <v>28491</v>
      </c>
      <c r="F1226" s="68">
        <v>19992</v>
      </c>
      <c r="G1226" s="68">
        <v>48483</v>
      </c>
    </row>
    <row r="1227" spans="1:7" x14ac:dyDescent="0.3">
      <c r="A1227" t="s">
        <v>711</v>
      </c>
      <c r="B1227" t="s">
        <v>5</v>
      </c>
      <c r="C1227" t="s">
        <v>6</v>
      </c>
      <c r="D1227" t="s">
        <v>22</v>
      </c>
      <c r="E1227" s="68">
        <v>19564</v>
      </c>
      <c r="F1227" s="68">
        <v>13311</v>
      </c>
      <c r="G1227" s="68">
        <v>32875</v>
      </c>
    </row>
    <row r="1228" spans="1:7" x14ac:dyDescent="0.3">
      <c r="A1228" t="s">
        <v>711</v>
      </c>
      <c r="B1228" t="s">
        <v>5</v>
      </c>
      <c r="C1228" t="s">
        <v>6</v>
      </c>
      <c r="D1228" t="s">
        <v>23</v>
      </c>
      <c r="E1228" s="68">
        <v>25813</v>
      </c>
      <c r="F1228" s="68">
        <v>14273</v>
      </c>
      <c r="G1228" s="68">
        <v>40086</v>
      </c>
    </row>
    <row r="1229" spans="1:7" x14ac:dyDescent="0.3">
      <c r="A1229" t="s">
        <v>711</v>
      </c>
      <c r="B1229" t="s">
        <v>5</v>
      </c>
      <c r="C1229" t="s">
        <v>24</v>
      </c>
      <c r="D1229" t="s">
        <v>7</v>
      </c>
      <c r="E1229" s="68">
        <v>2587</v>
      </c>
      <c r="F1229" s="68">
        <v>2593</v>
      </c>
      <c r="G1229" s="68">
        <v>5180</v>
      </c>
    </row>
    <row r="1230" spans="1:7" x14ac:dyDescent="0.3">
      <c r="A1230" t="s">
        <v>711</v>
      </c>
      <c r="B1230" t="s">
        <v>5</v>
      </c>
      <c r="C1230" t="s">
        <v>24</v>
      </c>
      <c r="D1230" t="s">
        <v>8</v>
      </c>
      <c r="E1230" s="68">
        <v>4361</v>
      </c>
      <c r="F1230" s="68">
        <v>4600</v>
      </c>
      <c r="G1230" s="68">
        <v>8961</v>
      </c>
    </row>
    <row r="1231" spans="1:7" x14ac:dyDescent="0.3">
      <c r="A1231" t="s">
        <v>711</v>
      </c>
      <c r="B1231" t="s">
        <v>5</v>
      </c>
      <c r="C1231" t="s">
        <v>24</v>
      </c>
      <c r="D1231" t="s">
        <v>9</v>
      </c>
      <c r="E1231" s="68">
        <v>4685</v>
      </c>
      <c r="F1231" s="68">
        <v>5000</v>
      </c>
      <c r="G1231" s="68">
        <v>9685</v>
      </c>
    </row>
    <row r="1232" spans="1:7" x14ac:dyDescent="0.3">
      <c r="A1232" t="s">
        <v>711</v>
      </c>
      <c r="B1232" t="s">
        <v>5</v>
      </c>
      <c r="C1232" t="s">
        <v>24</v>
      </c>
      <c r="D1232" t="s">
        <v>10</v>
      </c>
      <c r="E1232" s="68">
        <v>5622</v>
      </c>
      <c r="F1232" s="68">
        <v>5767</v>
      </c>
      <c r="G1232" s="68">
        <v>11389</v>
      </c>
    </row>
    <row r="1233" spans="1:7" x14ac:dyDescent="0.3">
      <c r="A1233" t="s">
        <v>711</v>
      </c>
      <c r="B1233" t="s">
        <v>5</v>
      </c>
      <c r="C1233" t="s">
        <v>24</v>
      </c>
      <c r="D1233" t="s">
        <v>11</v>
      </c>
      <c r="E1233" s="68">
        <v>7168</v>
      </c>
      <c r="F1233" s="68">
        <v>8136</v>
      </c>
      <c r="G1233" s="68">
        <v>15304</v>
      </c>
    </row>
    <row r="1234" spans="1:7" x14ac:dyDescent="0.3">
      <c r="A1234" t="s">
        <v>711</v>
      </c>
      <c r="B1234" t="s">
        <v>5</v>
      </c>
      <c r="C1234" t="s">
        <v>24</v>
      </c>
      <c r="D1234" t="s">
        <v>12</v>
      </c>
      <c r="E1234" s="68">
        <v>8750</v>
      </c>
      <c r="F1234" s="68">
        <v>9853</v>
      </c>
      <c r="G1234" s="68">
        <v>18603</v>
      </c>
    </row>
    <row r="1235" spans="1:7" x14ac:dyDescent="0.3">
      <c r="A1235" t="s">
        <v>711</v>
      </c>
      <c r="B1235" t="s">
        <v>5</v>
      </c>
      <c r="C1235" t="s">
        <v>24</v>
      </c>
      <c r="D1235" t="s">
        <v>13</v>
      </c>
      <c r="E1235" s="68">
        <v>7156</v>
      </c>
      <c r="F1235" s="68">
        <v>7628</v>
      </c>
      <c r="G1235" s="68">
        <v>14784</v>
      </c>
    </row>
    <row r="1236" spans="1:7" x14ac:dyDescent="0.3">
      <c r="A1236" t="s">
        <v>711</v>
      </c>
      <c r="B1236" t="s">
        <v>5</v>
      </c>
      <c r="C1236" t="s">
        <v>24</v>
      </c>
      <c r="D1236" t="s">
        <v>14</v>
      </c>
      <c r="E1236" s="68">
        <v>5780</v>
      </c>
      <c r="F1236" s="68">
        <v>5805</v>
      </c>
      <c r="G1236" s="68">
        <v>11585</v>
      </c>
    </row>
    <row r="1237" spans="1:7" x14ac:dyDescent="0.3">
      <c r="A1237" t="s">
        <v>711</v>
      </c>
      <c r="B1237" t="s">
        <v>5</v>
      </c>
      <c r="C1237" t="s">
        <v>24</v>
      </c>
      <c r="D1237" t="s">
        <v>15</v>
      </c>
      <c r="E1237" s="68">
        <v>5108</v>
      </c>
      <c r="F1237" s="68">
        <v>4535</v>
      </c>
      <c r="G1237" s="68">
        <v>9643</v>
      </c>
    </row>
    <row r="1238" spans="1:7" x14ac:dyDescent="0.3">
      <c r="A1238" t="s">
        <v>711</v>
      </c>
      <c r="B1238" t="s">
        <v>5</v>
      </c>
      <c r="C1238" t="s">
        <v>24</v>
      </c>
      <c r="D1238" t="s">
        <v>16</v>
      </c>
      <c r="E1238" s="68">
        <v>4412</v>
      </c>
      <c r="F1238" s="68">
        <v>3662</v>
      </c>
      <c r="G1238" s="68">
        <v>8074</v>
      </c>
    </row>
    <row r="1239" spans="1:7" x14ac:dyDescent="0.3">
      <c r="A1239" t="s">
        <v>711</v>
      </c>
      <c r="B1239" t="s">
        <v>5</v>
      </c>
      <c r="C1239" t="s">
        <v>24</v>
      </c>
      <c r="D1239" t="s">
        <v>17</v>
      </c>
      <c r="E1239" s="68">
        <v>3483</v>
      </c>
      <c r="F1239" s="68">
        <v>2912</v>
      </c>
      <c r="G1239" s="68">
        <v>6395</v>
      </c>
    </row>
    <row r="1240" spans="1:7" x14ac:dyDescent="0.3">
      <c r="A1240" t="s">
        <v>711</v>
      </c>
      <c r="B1240" t="s">
        <v>5</v>
      </c>
      <c r="C1240" t="s">
        <v>24</v>
      </c>
      <c r="D1240" t="s">
        <v>18</v>
      </c>
      <c r="E1240" s="68">
        <v>3155</v>
      </c>
      <c r="F1240" s="68">
        <v>2597</v>
      </c>
      <c r="G1240" s="68">
        <v>5752</v>
      </c>
    </row>
    <row r="1241" spans="1:7" x14ac:dyDescent="0.3">
      <c r="A1241" t="s">
        <v>711</v>
      </c>
      <c r="B1241" t="s">
        <v>5</v>
      </c>
      <c r="C1241" t="s">
        <v>24</v>
      </c>
      <c r="D1241" t="s">
        <v>19</v>
      </c>
      <c r="E1241" s="68">
        <v>2591</v>
      </c>
      <c r="F1241" s="68">
        <v>2238</v>
      </c>
      <c r="G1241" s="68">
        <v>4829</v>
      </c>
    </row>
    <row r="1242" spans="1:7" x14ac:dyDescent="0.3">
      <c r="A1242" t="s">
        <v>711</v>
      </c>
      <c r="B1242" t="s">
        <v>5</v>
      </c>
      <c r="C1242" t="s">
        <v>24</v>
      </c>
      <c r="D1242" t="s">
        <v>20</v>
      </c>
      <c r="E1242" s="68">
        <v>1695</v>
      </c>
      <c r="F1242" s="68">
        <v>1472</v>
      </c>
      <c r="G1242" s="68">
        <v>3167</v>
      </c>
    </row>
    <row r="1243" spans="1:7" x14ac:dyDescent="0.3">
      <c r="A1243" t="s">
        <v>711</v>
      </c>
      <c r="B1243" t="s">
        <v>5</v>
      </c>
      <c r="C1243" t="s">
        <v>24</v>
      </c>
      <c r="D1243" t="s">
        <v>21</v>
      </c>
      <c r="E1243" s="68">
        <v>1058</v>
      </c>
      <c r="F1243" s="68">
        <v>898</v>
      </c>
      <c r="G1243" s="68">
        <v>1956</v>
      </c>
    </row>
    <row r="1244" spans="1:7" x14ac:dyDescent="0.3">
      <c r="A1244" t="s">
        <v>711</v>
      </c>
      <c r="B1244" t="s">
        <v>5</v>
      </c>
      <c r="C1244" t="s">
        <v>24</v>
      </c>
      <c r="D1244" t="s">
        <v>22</v>
      </c>
      <c r="E1244" s="68">
        <v>610</v>
      </c>
      <c r="F1244" s="68">
        <v>486</v>
      </c>
      <c r="G1244" s="68">
        <v>1096</v>
      </c>
    </row>
    <row r="1245" spans="1:7" x14ac:dyDescent="0.3">
      <c r="A1245" t="s">
        <v>711</v>
      </c>
      <c r="B1245" t="s">
        <v>5</v>
      </c>
      <c r="C1245" t="s">
        <v>24</v>
      </c>
      <c r="D1245" t="s">
        <v>23</v>
      </c>
      <c r="E1245" s="68">
        <v>704</v>
      </c>
      <c r="F1245" s="68">
        <v>397</v>
      </c>
      <c r="G1245" s="68">
        <v>1101</v>
      </c>
    </row>
    <row r="1246" spans="1:7" x14ac:dyDescent="0.3">
      <c r="A1246" t="s">
        <v>711</v>
      </c>
      <c r="B1246" t="s">
        <v>33</v>
      </c>
      <c r="C1246" t="s">
        <v>6</v>
      </c>
      <c r="D1246" t="s">
        <v>9</v>
      </c>
      <c r="E1246" s="68">
        <v>1</v>
      </c>
      <c r="F1246" s="68"/>
      <c r="G1246" s="68">
        <v>1</v>
      </c>
    </row>
    <row r="1247" spans="1:7" x14ac:dyDescent="0.3">
      <c r="A1247" t="s">
        <v>711</v>
      </c>
      <c r="B1247" t="s">
        <v>33</v>
      </c>
      <c r="C1247" t="s">
        <v>6</v>
      </c>
      <c r="D1247" t="s">
        <v>14</v>
      </c>
      <c r="E1247" s="68">
        <v>1</v>
      </c>
      <c r="F1247" s="68"/>
      <c r="G1247" s="68">
        <v>1</v>
      </c>
    </row>
    <row r="1248" spans="1:7" x14ac:dyDescent="0.3">
      <c r="A1248" t="s">
        <v>711</v>
      </c>
      <c r="B1248" t="s">
        <v>33</v>
      </c>
      <c r="C1248" t="s">
        <v>6</v>
      </c>
      <c r="D1248" t="s">
        <v>15</v>
      </c>
      <c r="E1248" s="68"/>
      <c r="F1248" s="68">
        <v>1</v>
      </c>
      <c r="G1248" s="68">
        <v>1</v>
      </c>
    </row>
    <row r="1249" spans="1:7" x14ac:dyDescent="0.3">
      <c r="A1249" t="s">
        <v>711</v>
      </c>
      <c r="B1249" t="s">
        <v>34</v>
      </c>
      <c r="C1249" t="s">
        <v>6</v>
      </c>
      <c r="D1249" t="s">
        <v>7</v>
      </c>
      <c r="E1249" s="68">
        <v>7952</v>
      </c>
      <c r="F1249" s="68">
        <v>8195</v>
      </c>
      <c r="G1249" s="68">
        <v>16147</v>
      </c>
    </row>
    <row r="1250" spans="1:7" x14ac:dyDescent="0.3">
      <c r="A1250" t="s">
        <v>711</v>
      </c>
      <c r="B1250" t="s">
        <v>34</v>
      </c>
      <c r="C1250" t="s">
        <v>6</v>
      </c>
      <c r="D1250" t="s">
        <v>8</v>
      </c>
      <c r="E1250" s="68">
        <v>10285</v>
      </c>
      <c r="F1250" s="68">
        <v>10721</v>
      </c>
      <c r="G1250" s="68">
        <v>21006</v>
      </c>
    </row>
    <row r="1251" spans="1:7" x14ac:dyDescent="0.3">
      <c r="A1251" t="s">
        <v>711</v>
      </c>
      <c r="B1251" t="s">
        <v>34</v>
      </c>
      <c r="C1251" t="s">
        <v>6</v>
      </c>
      <c r="D1251" t="s">
        <v>9</v>
      </c>
      <c r="E1251" s="68">
        <v>12404</v>
      </c>
      <c r="F1251" s="68">
        <v>12704</v>
      </c>
      <c r="G1251" s="68">
        <v>25108</v>
      </c>
    </row>
    <row r="1252" spans="1:7" x14ac:dyDescent="0.3">
      <c r="A1252" t="s">
        <v>711</v>
      </c>
      <c r="B1252" t="s">
        <v>34</v>
      </c>
      <c r="C1252" t="s">
        <v>6</v>
      </c>
      <c r="D1252" t="s">
        <v>10</v>
      </c>
      <c r="E1252" s="68">
        <v>12960</v>
      </c>
      <c r="F1252" s="68">
        <v>13716</v>
      </c>
      <c r="G1252" s="68">
        <v>26676</v>
      </c>
    </row>
    <row r="1253" spans="1:7" x14ac:dyDescent="0.3">
      <c r="A1253" t="s">
        <v>711</v>
      </c>
      <c r="B1253" t="s">
        <v>34</v>
      </c>
      <c r="C1253" t="s">
        <v>6</v>
      </c>
      <c r="D1253" t="s">
        <v>11</v>
      </c>
      <c r="E1253" s="68">
        <v>16192</v>
      </c>
      <c r="F1253" s="68">
        <v>16051</v>
      </c>
      <c r="G1253" s="68">
        <v>32243</v>
      </c>
    </row>
    <row r="1254" spans="1:7" x14ac:dyDescent="0.3">
      <c r="A1254" t="s">
        <v>711</v>
      </c>
      <c r="B1254" t="s">
        <v>34</v>
      </c>
      <c r="C1254" t="s">
        <v>6</v>
      </c>
      <c r="D1254" t="s">
        <v>12</v>
      </c>
      <c r="E1254" s="68">
        <v>21328</v>
      </c>
      <c r="F1254" s="68">
        <v>19252</v>
      </c>
      <c r="G1254" s="68">
        <v>40580</v>
      </c>
    </row>
    <row r="1255" spans="1:7" x14ac:dyDescent="0.3">
      <c r="A1255" t="s">
        <v>711</v>
      </c>
      <c r="B1255" t="s">
        <v>34</v>
      </c>
      <c r="C1255" t="s">
        <v>6</v>
      </c>
      <c r="D1255" t="s">
        <v>13</v>
      </c>
      <c r="E1255" s="68">
        <v>25469</v>
      </c>
      <c r="F1255" s="68">
        <v>23095</v>
      </c>
      <c r="G1255" s="68">
        <v>48564</v>
      </c>
    </row>
    <row r="1256" spans="1:7" x14ac:dyDescent="0.3">
      <c r="A1256" t="s">
        <v>711</v>
      </c>
      <c r="B1256" t="s">
        <v>34</v>
      </c>
      <c r="C1256" t="s">
        <v>6</v>
      </c>
      <c r="D1256" t="s">
        <v>14</v>
      </c>
      <c r="E1256" s="68">
        <v>23256</v>
      </c>
      <c r="F1256" s="68">
        <v>21229</v>
      </c>
      <c r="G1256" s="68">
        <v>44485</v>
      </c>
    </row>
    <row r="1257" spans="1:7" x14ac:dyDescent="0.3">
      <c r="A1257" t="s">
        <v>711</v>
      </c>
      <c r="B1257" t="s">
        <v>34</v>
      </c>
      <c r="C1257" t="s">
        <v>6</v>
      </c>
      <c r="D1257" t="s">
        <v>15</v>
      </c>
      <c r="E1257" s="68">
        <v>19942</v>
      </c>
      <c r="F1257" s="68">
        <v>18333</v>
      </c>
      <c r="G1257" s="68">
        <v>38275</v>
      </c>
    </row>
    <row r="1258" spans="1:7" x14ac:dyDescent="0.3">
      <c r="A1258" t="s">
        <v>711</v>
      </c>
      <c r="B1258" t="s">
        <v>34</v>
      </c>
      <c r="C1258" t="s">
        <v>6</v>
      </c>
      <c r="D1258" t="s">
        <v>16</v>
      </c>
      <c r="E1258" s="68">
        <v>17135</v>
      </c>
      <c r="F1258" s="68">
        <v>15253</v>
      </c>
      <c r="G1258" s="68">
        <v>32388</v>
      </c>
    </row>
    <row r="1259" spans="1:7" x14ac:dyDescent="0.3">
      <c r="A1259" t="s">
        <v>711</v>
      </c>
      <c r="B1259" t="s">
        <v>34</v>
      </c>
      <c r="C1259" t="s">
        <v>6</v>
      </c>
      <c r="D1259" t="s">
        <v>17</v>
      </c>
      <c r="E1259" s="68">
        <v>13830</v>
      </c>
      <c r="F1259" s="68">
        <v>12153</v>
      </c>
      <c r="G1259" s="68">
        <v>25983</v>
      </c>
    </row>
    <row r="1260" spans="1:7" x14ac:dyDescent="0.3">
      <c r="A1260" t="s">
        <v>711</v>
      </c>
      <c r="B1260" t="s">
        <v>34</v>
      </c>
      <c r="C1260" t="s">
        <v>6</v>
      </c>
      <c r="D1260" t="s">
        <v>18</v>
      </c>
      <c r="E1260" s="68">
        <v>12721</v>
      </c>
      <c r="F1260" s="68">
        <v>10884</v>
      </c>
      <c r="G1260" s="68">
        <v>23605</v>
      </c>
    </row>
    <row r="1261" spans="1:7" x14ac:dyDescent="0.3">
      <c r="A1261" t="s">
        <v>711</v>
      </c>
      <c r="B1261" t="s">
        <v>34</v>
      </c>
      <c r="C1261" t="s">
        <v>6</v>
      </c>
      <c r="D1261" t="s">
        <v>19</v>
      </c>
      <c r="E1261" s="68">
        <v>11307</v>
      </c>
      <c r="F1261" s="68">
        <v>9345</v>
      </c>
      <c r="G1261" s="68">
        <v>20652</v>
      </c>
    </row>
    <row r="1262" spans="1:7" x14ac:dyDescent="0.3">
      <c r="A1262" t="s">
        <v>711</v>
      </c>
      <c r="B1262" t="s">
        <v>34</v>
      </c>
      <c r="C1262" t="s">
        <v>6</v>
      </c>
      <c r="D1262" t="s">
        <v>20</v>
      </c>
      <c r="E1262" s="68">
        <v>8471</v>
      </c>
      <c r="F1262" s="68">
        <v>6728</v>
      </c>
      <c r="G1262" s="68">
        <v>15199</v>
      </c>
    </row>
    <row r="1263" spans="1:7" x14ac:dyDescent="0.3">
      <c r="A1263" t="s">
        <v>711</v>
      </c>
      <c r="B1263" t="s">
        <v>34</v>
      </c>
      <c r="C1263" t="s">
        <v>6</v>
      </c>
      <c r="D1263" t="s">
        <v>21</v>
      </c>
      <c r="E1263" s="68">
        <v>5469</v>
      </c>
      <c r="F1263" s="68">
        <v>4323</v>
      </c>
      <c r="G1263" s="68">
        <v>9792</v>
      </c>
    </row>
    <row r="1264" spans="1:7" x14ac:dyDescent="0.3">
      <c r="A1264" t="s">
        <v>711</v>
      </c>
      <c r="B1264" t="s">
        <v>34</v>
      </c>
      <c r="C1264" t="s">
        <v>6</v>
      </c>
      <c r="D1264" t="s">
        <v>22</v>
      </c>
      <c r="E1264" s="68">
        <v>3247</v>
      </c>
      <c r="F1264" s="68">
        <v>2469</v>
      </c>
      <c r="G1264" s="68">
        <v>5716</v>
      </c>
    </row>
    <row r="1265" spans="1:7" x14ac:dyDescent="0.3">
      <c r="A1265" t="s">
        <v>711</v>
      </c>
      <c r="B1265" t="s">
        <v>34</v>
      </c>
      <c r="C1265" t="s">
        <v>6</v>
      </c>
      <c r="D1265" t="s">
        <v>23</v>
      </c>
      <c r="E1265" s="68">
        <v>3455</v>
      </c>
      <c r="F1265" s="68">
        <v>2173</v>
      </c>
      <c r="G1265" s="68">
        <v>5628</v>
      </c>
    </row>
    <row r="1266" spans="1:7" x14ac:dyDescent="0.3">
      <c r="A1266" t="s">
        <v>711</v>
      </c>
      <c r="B1266" t="s">
        <v>34</v>
      </c>
      <c r="C1266" t="s">
        <v>24</v>
      </c>
      <c r="D1266" t="s">
        <v>7</v>
      </c>
      <c r="E1266" s="68">
        <v>1425</v>
      </c>
      <c r="F1266" s="68">
        <v>1529</v>
      </c>
      <c r="G1266" s="68">
        <v>2954</v>
      </c>
    </row>
    <row r="1267" spans="1:7" x14ac:dyDescent="0.3">
      <c r="A1267" t="s">
        <v>711</v>
      </c>
      <c r="B1267" t="s">
        <v>34</v>
      </c>
      <c r="C1267" t="s">
        <v>24</v>
      </c>
      <c r="D1267" t="s">
        <v>8</v>
      </c>
      <c r="E1267" s="68">
        <v>2551</v>
      </c>
      <c r="F1267" s="68">
        <v>2684</v>
      </c>
      <c r="G1267" s="68">
        <v>5235</v>
      </c>
    </row>
    <row r="1268" spans="1:7" x14ac:dyDescent="0.3">
      <c r="A1268" t="s">
        <v>711</v>
      </c>
      <c r="B1268" t="s">
        <v>34</v>
      </c>
      <c r="C1268" t="s">
        <v>24</v>
      </c>
      <c r="D1268" t="s">
        <v>9</v>
      </c>
      <c r="E1268" s="68">
        <v>2876</v>
      </c>
      <c r="F1268" s="68">
        <v>2948</v>
      </c>
      <c r="G1268" s="68">
        <v>5824</v>
      </c>
    </row>
    <row r="1269" spans="1:7" x14ac:dyDescent="0.3">
      <c r="A1269" t="s">
        <v>711</v>
      </c>
      <c r="B1269" t="s">
        <v>34</v>
      </c>
      <c r="C1269" t="s">
        <v>24</v>
      </c>
      <c r="D1269" t="s">
        <v>10</v>
      </c>
      <c r="E1269" s="68">
        <v>2435</v>
      </c>
      <c r="F1269" s="68">
        <v>2561</v>
      </c>
      <c r="G1269" s="68">
        <v>4996</v>
      </c>
    </row>
    <row r="1270" spans="1:7" x14ac:dyDescent="0.3">
      <c r="A1270" t="s">
        <v>711</v>
      </c>
      <c r="B1270" t="s">
        <v>34</v>
      </c>
      <c r="C1270" t="s">
        <v>24</v>
      </c>
      <c r="D1270" t="s">
        <v>11</v>
      </c>
      <c r="E1270" s="68">
        <v>2052</v>
      </c>
      <c r="F1270" s="68">
        <v>2115</v>
      </c>
      <c r="G1270" s="68">
        <v>4167</v>
      </c>
    </row>
    <row r="1271" spans="1:7" x14ac:dyDescent="0.3">
      <c r="A1271" t="s">
        <v>711</v>
      </c>
      <c r="B1271" t="s">
        <v>34</v>
      </c>
      <c r="C1271" t="s">
        <v>24</v>
      </c>
      <c r="D1271" t="s">
        <v>12</v>
      </c>
      <c r="E1271" s="68">
        <v>3477</v>
      </c>
      <c r="F1271" s="68">
        <v>3219</v>
      </c>
      <c r="G1271" s="68">
        <v>6696</v>
      </c>
    </row>
    <row r="1272" spans="1:7" x14ac:dyDescent="0.3">
      <c r="A1272" t="s">
        <v>711</v>
      </c>
      <c r="B1272" t="s">
        <v>34</v>
      </c>
      <c r="C1272" t="s">
        <v>24</v>
      </c>
      <c r="D1272" t="s">
        <v>13</v>
      </c>
      <c r="E1272" s="68">
        <v>3133</v>
      </c>
      <c r="F1272" s="68">
        <v>2982</v>
      </c>
      <c r="G1272" s="68">
        <v>6115</v>
      </c>
    </row>
    <row r="1273" spans="1:7" x14ac:dyDescent="0.3">
      <c r="A1273" t="s">
        <v>711</v>
      </c>
      <c r="B1273" t="s">
        <v>34</v>
      </c>
      <c r="C1273" t="s">
        <v>24</v>
      </c>
      <c r="D1273" t="s">
        <v>14</v>
      </c>
      <c r="E1273" s="68">
        <v>2503</v>
      </c>
      <c r="F1273" s="68">
        <v>2296</v>
      </c>
      <c r="G1273" s="68">
        <v>4799</v>
      </c>
    </row>
    <row r="1274" spans="1:7" x14ac:dyDescent="0.3">
      <c r="A1274" t="s">
        <v>711</v>
      </c>
      <c r="B1274" t="s">
        <v>34</v>
      </c>
      <c r="C1274" t="s">
        <v>24</v>
      </c>
      <c r="D1274" t="s">
        <v>15</v>
      </c>
      <c r="E1274" s="68">
        <v>2225</v>
      </c>
      <c r="F1274" s="68">
        <v>1817</v>
      </c>
      <c r="G1274" s="68">
        <v>4042</v>
      </c>
    </row>
    <row r="1275" spans="1:7" x14ac:dyDescent="0.3">
      <c r="A1275" t="s">
        <v>711</v>
      </c>
      <c r="B1275" t="s">
        <v>34</v>
      </c>
      <c r="C1275" t="s">
        <v>24</v>
      </c>
      <c r="D1275" t="s">
        <v>16</v>
      </c>
      <c r="E1275" s="68">
        <v>1974</v>
      </c>
      <c r="F1275" s="68">
        <v>1523</v>
      </c>
      <c r="G1275" s="68">
        <v>3497</v>
      </c>
    </row>
    <row r="1276" spans="1:7" x14ac:dyDescent="0.3">
      <c r="A1276" t="s">
        <v>711</v>
      </c>
      <c r="B1276" t="s">
        <v>34</v>
      </c>
      <c r="C1276" t="s">
        <v>24</v>
      </c>
      <c r="D1276" t="s">
        <v>17</v>
      </c>
      <c r="E1276" s="68">
        <v>1700</v>
      </c>
      <c r="F1276" s="68">
        <v>1221</v>
      </c>
      <c r="G1276" s="68">
        <v>2921</v>
      </c>
    </row>
    <row r="1277" spans="1:7" x14ac:dyDescent="0.3">
      <c r="A1277" t="s">
        <v>711</v>
      </c>
      <c r="B1277" t="s">
        <v>34</v>
      </c>
      <c r="C1277" t="s">
        <v>24</v>
      </c>
      <c r="D1277" t="s">
        <v>18</v>
      </c>
      <c r="E1277" s="68">
        <v>1693</v>
      </c>
      <c r="F1277" s="68">
        <v>1184</v>
      </c>
      <c r="G1277" s="68">
        <v>2877</v>
      </c>
    </row>
    <row r="1278" spans="1:7" x14ac:dyDescent="0.3">
      <c r="A1278" t="s">
        <v>711</v>
      </c>
      <c r="B1278" t="s">
        <v>34</v>
      </c>
      <c r="C1278" t="s">
        <v>24</v>
      </c>
      <c r="D1278" t="s">
        <v>19</v>
      </c>
      <c r="E1278" s="68">
        <v>1381</v>
      </c>
      <c r="F1278" s="68">
        <v>1099</v>
      </c>
      <c r="G1278" s="68">
        <v>2480</v>
      </c>
    </row>
    <row r="1279" spans="1:7" x14ac:dyDescent="0.3">
      <c r="A1279" t="s">
        <v>711</v>
      </c>
      <c r="B1279" t="s">
        <v>34</v>
      </c>
      <c r="C1279" t="s">
        <v>24</v>
      </c>
      <c r="D1279" t="s">
        <v>20</v>
      </c>
      <c r="E1279" s="68">
        <v>868</v>
      </c>
      <c r="F1279" s="68">
        <v>749</v>
      </c>
      <c r="G1279" s="68">
        <v>1617</v>
      </c>
    </row>
    <row r="1280" spans="1:7" x14ac:dyDescent="0.3">
      <c r="A1280" t="s">
        <v>711</v>
      </c>
      <c r="B1280" t="s">
        <v>34</v>
      </c>
      <c r="C1280" t="s">
        <v>24</v>
      </c>
      <c r="D1280" t="s">
        <v>21</v>
      </c>
      <c r="E1280" s="68">
        <v>526</v>
      </c>
      <c r="F1280" s="68">
        <v>402</v>
      </c>
      <c r="G1280" s="68">
        <v>928</v>
      </c>
    </row>
    <row r="1281" spans="1:7" x14ac:dyDescent="0.3">
      <c r="A1281" t="s">
        <v>711</v>
      </c>
      <c r="B1281" t="s">
        <v>34</v>
      </c>
      <c r="C1281" t="s">
        <v>24</v>
      </c>
      <c r="D1281" t="s">
        <v>22</v>
      </c>
      <c r="E1281" s="68">
        <v>274</v>
      </c>
      <c r="F1281" s="68">
        <v>194</v>
      </c>
      <c r="G1281" s="68">
        <v>468</v>
      </c>
    </row>
    <row r="1282" spans="1:7" x14ac:dyDescent="0.3">
      <c r="A1282" t="s">
        <v>711</v>
      </c>
      <c r="B1282" t="s">
        <v>34</v>
      </c>
      <c r="C1282" t="s">
        <v>24</v>
      </c>
      <c r="D1282" t="s">
        <v>23</v>
      </c>
      <c r="E1282" s="68">
        <v>289</v>
      </c>
      <c r="F1282" s="68">
        <v>172</v>
      </c>
      <c r="G1282" s="68">
        <v>461</v>
      </c>
    </row>
    <row r="1283" spans="1:7" x14ac:dyDescent="0.3">
      <c r="A1283" t="s">
        <v>711</v>
      </c>
      <c r="B1283" t="s">
        <v>37</v>
      </c>
      <c r="C1283" t="s">
        <v>6</v>
      </c>
      <c r="D1283" t="s">
        <v>7</v>
      </c>
      <c r="E1283" s="68">
        <v>15145</v>
      </c>
      <c r="F1283" s="68">
        <v>15717</v>
      </c>
      <c r="G1283" s="68">
        <v>30862</v>
      </c>
    </row>
    <row r="1284" spans="1:7" x14ac:dyDescent="0.3">
      <c r="A1284" t="s">
        <v>711</v>
      </c>
      <c r="B1284" t="s">
        <v>37</v>
      </c>
      <c r="C1284" t="s">
        <v>6</v>
      </c>
      <c r="D1284" t="s">
        <v>8</v>
      </c>
      <c r="E1284" s="68">
        <v>23637</v>
      </c>
      <c r="F1284" s="68">
        <v>24865</v>
      </c>
      <c r="G1284" s="68">
        <v>48502</v>
      </c>
    </row>
    <row r="1285" spans="1:7" x14ac:dyDescent="0.3">
      <c r="A1285" t="s">
        <v>711</v>
      </c>
      <c r="B1285" t="s">
        <v>37</v>
      </c>
      <c r="C1285" t="s">
        <v>6</v>
      </c>
      <c r="D1285" t="s">
        <v>9</v>
      </c>
      <c r="E1285" s="68">
        <v>30240</v>
      </c>
      <c r="F1285" s="68">
        <v>31556</v>
      </c>
      <c r="G1285" s="68">
        <v>61796</v>
      </c>
    </row>
    <row r="1286" spans="1:7" x14ac:dyDescent="0.3">
      <c r="A1286" t="s">
        <v>711</v>
      </c>
      <c r="B1286" t="s">
        <v>37</v>
      </c>
      <c r="C1286" t="s">
        <v>6</v>
      </c>
      <c r="D1286" t="s">
        <v>10</v>
      </c>
      <c r="E1286" s="68">
        <v>35242</v>
      </c>
      <c r="F1286" s="68">
        <v>36287</v>
      </c>
      <c r="G1286" s="68">
        <v>71529</v>
      </c>
    </row>
    <row r="1287" spans="1:7" x14ac:dyDescent="0.3">
      <c r="A1287" t="s">
        <v>711</v>
      </c>
      <c r="B1287" t="s">
        <v>37</v>
      </c>
      <c r="C1287" t="s">
        <v>6</v>
      </c>
      <c r="D1287" t="s">
        <v>11</v>
      </c>
      <c r="E1287" s="68">
        <v>36237</v>
      </c>
      <c r="F1287" s="68">
        <v>36407</v>
      </c>
      <c r="G1287" s="68">
        <v>72644</v>
      </c>
    </row>
    <row r="1288" spans="1:7" x14ac:dyDescent="0.3">
      <c r="A1288" t="s">
        <v>711</v>
      </c>
      <c r="B1288" t="s">
        <v>37</v>
      </c>
      <c r="C1288" t="s">
        <v>6</v>
      </c>
      <c r="D1288" t="s">
        <v>12</v>
      </c>
      <c r="E1288" s="68">
        <v>41001</v>
      </c>
      <c r="F1288" s="68">
        <v>41175</v>
      </c>
      <c r="G1288" s="68">
        <v>82176</v>
      </c>
    </row>
    <row r="1289" spans="1:7" x14ac:dyDescent="0.3">
      <c r="A1289" t="s">
        <v>711</v>
      </c>
      <c r="B1289" t="s">
        <v>37</v>
      </c>
      <c r="C1289" t="s">
        <v>6</v>
      </c>
      <c r="D1289" t="s">
        <v>13</v>
      </c>
      <c r="E1289" s="68">
        <v>44670</v>
      </c>
      <c r="F1289" s="68">
        <v>45559</v>
      </c>
      <c r="G1289" s="68">
        <v>90229</v>
      </c>
    </row>
    <row r="1290" spans="1:7" x14ac:dyDescent="0.3">
      <c r="A1290" t="s">
        <v>711</v>
      </c>
      <c r="B1290" t="s">
        <v>37</v>
      </c>
      <c r="C1290" t="s">
        <v>6</v>
      </c>
      <c r="D1290" t="s">
        <v>14</v>
      </c>
      <c r="E1290" s="68">
        <v>41153</v>
      </c>
      <c r="F1290" s="68">
        <v>42049</v>
      </c>
      <c r="G1290" s="68">
        <v>83202</v>
      </c>
    </row>
    <row r="1291" spans="1:7" x14ac:dyDescent="0.3">
      <c r="A1291" t="s">
        <v>711</v>
      </c>
      <c r="B1291" t="s">
        <v>37</v>
      </c>
      <c r="C1291" t="s">
        <v>6</v>
      </c>
      <c r="D1291" t="s">
        <v>15</v>
      </c>
      <c r="E1291" s="68">
        <v>39299</v>
      </c>
      <c r="F1291" s="68">
        <v>38251</v>
      </c>
      <c r="G1291" s="68">
        <v>77550</v>
      </c>
    </row>
    <row r="1292" spans="1:7" x14ac:dyDescent="0.3">
      <c r="A1292" t="s">
        <v>711</v>
      </c>
      <c r="B1292" t="s">
        <v>37</v>
      </c>
      <c r="C1292" t="s">
        <v>6</v>
      </c>
      <c r="D1292" t="s">
        <v>16</v>
      </c>
      <c r="E1292" s="68">
        <v>36396</v>
      </c>
      <c r="F1292" s="68">
        <v>33250</v>
      </c>
      <c r="G1292" s="68">
        <v>69646</v>
      </c>
    </row>
    <row r="1293" spans="1:7" x14ac:dyDescent="0.3">
      <c r="A1293" t="s">
        <v>711</v>
      </c>
      <c r="B1293" t="s">
        <v>37</v>
      </c>
      <c r="C1293" t="s">
        <v>6</v>
      </c>
      <c r="D1293" t="s">
        <v>17</v>
      </c>
      <c r="E1293" s="68">
        <v>33110</v>
      </c>
      <c r="F1293" s="68">
        <v>29024</v>
      </c>
      <c r="G1293" s="68">
        <v>62134</v>
      </c>
    </row>
    <row r="1294" spans="1:7" x14ac:dyDescent="0.3">
      <c r="A1294" t="s">
        <v>711</v>
      </c>
      <c r="B1294" t="s">
        <v>37</v>
      </c>
      <c r="C1294" t="s">
        <v>6</v>
      </c>
      <c r="D1294" t="s">
        <v>18</v>
      </c>
      <c r="E1294" s="68">
        <v>32947</v>
      </c>
      <c r="F1294" s="68">
        <v>28911</v>
      </c>
      <c r="G1294" s="68">
        <v>61858</v>
      </c>
    </row>
    <row r="1295" spans="1:7" x14ac:dyDescent="0.3">
      <c r="A1295" t="s">
        <v>711</v>
      </c>
      <c r="B1295" t="s">
        <v>37</v>
      </c>
      <c r="C1295" t="s">
        <v>6</v>
      </c>
      <c r="D1295" t="s">
        <v>19</v>
      </c>
      <c r="E1295" s="68">
        <v>30895</v>
      </c>
      <c r="F1295" s="68">
        <v>26121</v>
      </c>
      <c r="G1295" s="68">
        <v>57016</v>
      </c>
    </row>
    <row r="1296" spans="1:7" x14ac:dyDescent="0.3">
      <c r="A1296" t="s">
        <v>711</v>
      </c>
      <c r="B1296" t="s">
        <v>37</v>
      </c>
      <c r="C1296" t="s">
        <v>6</v>
      </c>
      <c r="D1296" t="s">
        <v>20</v>
      </c>
      <c r="E1296" s="68">
        <v>23401</v>
      </c>
      <c r="F1296" s="68">
        <v>19607</v>
      </c>
      <c r="G1296" s="68">
        <v>43008</v>
      </c>
    </row>
    <row r="1297" spans="1:7" x14ac:dyDescent="0.3">
      <c r="A1297" t="s">
        <v>711</v>
      </c>
      <c r="B1297" t="s">
        <v>37</v>
      </c>
      <c r="C1297" t="s">
        <v>6</v>
      </c>
      <c r="D1297" t="s">
        <v>21</v>
      </c>
      <c r="E1297" s="68">
        <v>16147</v>
      </c>
      <c r="F1297" s="68">
        <v>12931</v>
      </c>
      <c r="G1297" s="68">
        <v>29078</v>
      </c>
    </row>
    <row r="1298" spans="1:7" x14ac:dyDescent="0.3">
      <c r="A1298" t="s">
        <v>711</v>
      </c>
      <c r="B1298" t="s">
        <v>37</v>
      </c>
      <c r="C1298" t="s">
        <v>6</v>
      </c>
      <c r="D1298" t="s">
        <v>22</v>
      </c>
      <c r="E1298" s="68">
        <v>10148</v>
      </c>
      <c r="F1298" s="68">
        <v>8053</v>
      </c>
      <c r="G1298" s="68">
        <v>18201</v>
      </c>
    </row>
    <row r="1299" spans="1:7" x14ac:dyDescent="0.3">
      <c r="A1299" t="s">
        <v>711</v>
      </c>
      <c r="B1299" t="s">
        <v>37</v>
      </c>
      <c r="C1299" t="s">
        <v>6</v>
      </c>
      <c r="D1299" t="s">
        <v>23</v>
      </c>
      <c r="E1299" s="68">
        <v>11955</v>
      </c>
      <c r="F1299" s="68">
        <v>6918</v>
      </c>
      <c r="G1299" s="68">
        <v>18873</v>
      </c>
    </row>
    <row r="1300" spans="1:7" x14ac:dyDescent="0.3">
      <c r="A1300" t="s">
        <v>711</v>
      </c>
      <c r="B1300" t="s">
        <v>37</v>
      </c>
      <c r="C1300" t="s">
        <v>24</v>
      </c>
      <c r="D1300" t="s">
        <v>7</v>
      </c>
      <c r="E1300" s="68">
        <v>3797</v>
      </c>
      <c r="F1300" s="68">
        <v>3988</v>
      </c>
      <c r="G1300" s="68">
        <v>7785</v>
      </c>
    </row>
    <row r="1301" spans="1:7" x14ac:dyDescent="0.3">
      <c r="A1301" t="s">
        <v>711</v>
      </c>
      <c r="B1301" t="s">
        <v>37</v>
      </c>
      <c r="C1301" t="s">
        <v>24</v>
      </c>
      <c r="D1301" t="s">
        <v>8</v>
      </c>
      <c r="E1301" s="68">
        <v>7008</v>
      </c>
      <c r="F1301" s="68">
        <v>7424</v>
      </c>
      <c r="G1301" s="68">
        <v>14432</v>
      </c>
    </row>
    <row r="1302" spans="1:7" x14ac:dyDescent="0.3">
      <c r="A1302" t="s">
        <v>711</v>
      </c>
      <c r="B1302" t="s">
        <v>37</v>
      </c>
      <c r="C1302" t="s">
        <v>24</v>
      </c>
      <c r="D1302" t="s">
        <v>9</v>
      </c>
      <c r="E1302" s="68">
        <v>7834</v>
      </c>
      <c r="F1302" s="68">
        <v>8207</v>
      </c>
      <c r="G1302" s="68">
        <v>16041</v>
      </c>
    </row>
    <row r="1303" spans="1:7" x14ac:dyDescent="0.3">
      <c r="A1303" t="s">
        <v>711</v>
      </c>
      <c r="B1303" t="s">
        <v>37</v>
      </c>
      <c r="C1303" t="s">
        <v>24</v>
      </c>
      <c r="D1303" t="s">
        <v>10</v>
      </c>
      <c r="E1303" s="68">
        <v>8076</v>
      </c>
      <c r="F1303" s="68">
        <v>8729</v>
      </c>
      <c r="G1303" s="68">
        <v>16805</v>
      </c>
    </row>
    <row r="1304" spans="1:7" x14ac:dyDescent="0.3">
      <c r="A1304" t="s">
        <v>711</v>
      </c>
      <c r="B1304" t="s">
        <v>37</v>
      </c>
      <c r="C1304" t="s">
        <v>24</v>
      </c>
      <c r="D1304" t="s">
        <v>11</v>
      </c>
      <c r="E1304" s="68">
        <v>8858</v>
      </c>
      <c r="F1304" s="68">
        <v>9781</v>
      </c>
      <c r="G1304" s="68">
        <v>18639</v>
      </c>
    </row>
    <row r="1305" spans="1:7" x14ac:dyDescent="0.3">
      <c r="A1305" t="s">
        <v>711</v>
      </c>
      <c r="B1305" t="s">
        <v>37</v>
      </c>
      <c r="C1305" t="s">
        <v>24</v>
      </c>
      <c r="D1305" t="s">
        <v>12</v>
      </c>
      <c r="E1305" s="68">
        <v>10705</v>
      </c>
      <c r="F1305" s="68">
        <v>13023</v>
      </c>
      <c r="G1305" s="68">
        <v>23728</v>
      </c>
    </row>
    <row r="1306" spans="1:7" x14ac:dyDescent="0.3">
      <c r="A1306" t="s">
        <v>711</v>
      </c>
      <c r="B1306" t="s">
        <v>37</v>
      </c>
      <c r="C1306" t="s">
        <v>24</v>
      </c>
      <c r="D1306" t="s">
        <v>13</v>
      </c>
      <c r="E1306" s="68">
        <v>9715</v>
      </c>
      <c r="F1306" s="68">
        <v>11729</v>
      </c>
      <c r="G1306" s="68">
        <v>21444</v>
      </c>
    </row>
    <row r="1307" spans="1:7" x14ac:dyDescent="0.3">
      <c r="A1307" t="s">
        <v>711</v>
      </c>
      <c r="B1307" t="s">
        <v>37</v>
      </c>
      <c r="C1307" t="s">
        <v>24</v>
      </c>
      <c r="D1307" t="s">
        <v>14</v>
      </c>
      <c r="E1307" s="68">
        <v>8303</v>
      </c>
      <c r="F1307" s="68">
        <v>9795</v>
      </c>
      <c r="G1307" s="68">
        <v>18098</v>
      </c>
    </row>
    <row r="1308" spans="1:7" x14ac:dyDescent="0.3">
      <c r="A1308" t="s">
        <v>711</v>
      </c>
      <c r="B1308" t="s">
        <v>37</v>
      </c>
      <c r="C1308" t="s">
        <v>24</v>
      </c>
      <c r="D1308" t="s">
        <v>15</v>
      </c>
      <c r="E1308" s="68">
        <v>7682</v>
      </c>
      <c r="F1308" s="68">
        <v>7856</v>
      </c>
      <c r="G1308" s="68">
        <v>15538</v>
      </c>
    </row>
    <row r="1309" spans="1:7" x14ac:dyDescent="0.3">
      <c r="A1309" t="s">
        <v>711</v>
      </c>
      <c r="B1309" t="s">
        <v>37</v>
      </c>
      <c r="C1309" t="s">
        <v>24</v>
      </c>
      <c r="D1309" t="s">
        <v>16</v>
      </c>
      <c r="E1309" s="68">
        <v>7151</v>
      </c>
      <c r="F1309" s="68">
        <v>6853</v>
      </c>
      <c r="G1309" s="68">
        <v>14004</v>
      </c>
    </row>
    <row r="1310" spans="1:7" x14ac:dyDescent="0.3">
      <c r="A1310" t="s">
        <v>711</v>
      </c>
      <c r="B1310" t="s">
        <v>37</v>
      </c>
      <c r="C1310" t="s">
        <v>24</v>
      </c>
      <c r="D1310" t="s">
        <v>17</v>
      </c>
      <c r="E1310" s="68">
        <v>6003</v>
      </c>
      <c r="F1310" s="68">
        <v>5891</v>
      </c>
      <c r="G1310" s="68">
        <v>11894</v>
      </c>
    </row>
    <row r="1311" spans="1:7" x14ac:dyDescent="0.3">
      <c r="A1311" t="s">
        <v>711</v>
      </c>
      <c r="B1311" t="s">
        <v>37</v>
      </c>
      <c r="C1311" t="s">
        <v>24</v>
      </c>
      <c r="D1311" t="s">
        <v>18</v>
      </c>
      <c r="E1311" s="68">
        <v>6030</v>
      </c>
      <c r="F1311" s="68">
        <v>5565</v>
      </c>
      <c r="G1311" s="68">
        <v>11595</v>
      </c>
    </row>
    <row r="1312" spans="1:7" x14ac:dyDescent="0.3">
      <c r="A1312" t="s">
        <v>711</v>
      </c>
      <c r="B1312" t="s">
        <v>37</v>
      </c>
      <c r="C1312" t="s">
        <v>24</v>
      </c>
      <c r="D1312" t="s">
        <v>19</v>
      </c>
      <c r="E1312" s="68">
        <v>4611</v>
      </c>
      <c r="F1312" s="68">
        <v>4783</v>
      </c>
      <c r="G1312" s="68">
        <v>9394</v>
      </c>
    </row>
    <row r="1313" spans="1:7" x14ac:dyDescent="0.3">
      <c r="A1313" t="s">
        <v>711</v>
      </c>
      <c r="B1313" t="s">
        <v>37</v>
      </c>
      <c r="C1313" t="s">
        <v>24</v>
      </c>
      <c r="D1313" t="s">
        <v>20</v>
      </c>
      <c r="E1313" s="68">
        <v>3177</v>
      </c>
      <c r="F1313" s="68">
        <v>3268</v>
      </c>
      <c r="G1313" s="68">
        <v>6445</v>
      </c>
    </row>
    <row r="1314" spans="1:7" x14ac:dyDescent="0.3">
      <c r="A1314" t="s">
        <v>711</v>
      </c>
      <c r="B1314" t="s">
        <v>37</v>
      </c>
      <c r="C1314" t="s">
        <v>24</v>
      </c>
      <c r="D1314" t="s">
        <v>21</v>
      </c>
      <c r="E1314" s="68">
        <v>1906</v>
      </c>
      <c r="F1314" s="68">
        <v>1957</v>
      </c>
      <c r="G1314" s="68">
        <v>3863</v>
      </c>
    </row>
    <row r="1315" spans="1:7" x14ac:dyDescent="0.3">
      <c r="A1315" t="s">
        <v>711</v>
      </c>
      <c r="B1315" t="s">
        <v>37</v>
      </c>
      <c r="C1315" t="s">
        <v>24</v>
      </c>
      <c r="D1315" t="s">
        <v>22</v>
      </c>
      <c r="E1315" s="68">
        <v>1113</v>
      </c>
      <c r="F1315" s="68">
        <v>1011</v>
      </c>
      <c r="G1315" s="68">
        <v>2124</v>
      </c>
    </row>
    <row r="1316" spans="1:7" x14ac:dyDescent="0.3">
      <c r="A1316" t="s">
        <v>711</v>
      </c>
      <c r="B1316" t="s">
        <v>37</v>
      </c>
      <c r="C1316" t="s">
        <v>24</v>
      </c>
      <c r="D1316" t="s">
        <v>23</v>
      </c>
      <c r="E1316" s="68">
        <v>1416</v>
      </c>
      <c r="F1316" s="68">
        <v>842</v>
      </c>
      <c r="G1316" s="68">
        <v>2258</v>
      </c>
    </row>
    <row r="1317" spans="1:7" x14ac:dyDescent="0.3">
      <c r="A1317" t="s">
        <v>711</v>
      </c>
      <c r="B1317" t="s">
        <v>35</v>
      </c>
      <c r="C1317" t="s">
        <v>6</v>
      </c>
      <c r="D1317" t="s">
        <v>7</v>
      </c>
      <c r="E1317" s="68">
        <v>3</v>
      </c>
      <c r="F1317" s="68">
        <v>2</v>
      </c>
      <c r="G1317" s="68">
        <v>5</v>
      </c>
    </row>
    <row r="1318" spans="1:7" x14ac:dyDescent="0.3">
      <c r="A1318" t="s">
        <v>711</v>
      </c>
      <c r="B1318" t="s">
        <v>35</v>
      </c>
      <c r="C1318" t="s">
        <v>6</v>
      </c>
      <c r="D1318" t="s">
        <v>8</v>
      </c>
      <c r="E1318" s="68">
        <v>7</v>
      </c>
      <c r="F1318" s="68">
        <v>2</v>
      </c>
      <c r="G1318" s="68">
        <v>9</v>
      </c>
    </row>
    <row r="1319" spans="1:7" x14ac:dyDescent="0.3">
      <c r="A1319" t="s">
        <v>711</v>
      </c>
      <c r="B1319" t="s">
        <v>35</v>
      </c>
      <c r="C1319" t="s">
        <v>6</v>
      </c>
      <c r="D1319" t="s">
        <v>9</v>
      </c>
      <c r="E1319" s="68">
        <v>7</v>
      </c>
      <c r="F1319" s="68">
        <v>2</v>
      </c>
      <c r="G1319" s="68">
        <v>9</v>
      </c>
    </row>
    <row r="1320" spans="1:7" x14ac:dyDescent="0.3">
      <c r="A1320" t="s">
        <v>711</v>
      </c>
      <c r="B1320" t="s">
        <v>35</v>
      </c>
      <c r="C1320" t="s">
        <v>6</v>
      </c>
      <c r="D1320" t="s">
        <v>10</v>
      </c>
      <c r="E1320" s="68">
        <v>9</v>
      </c>
      <c r="F1320" s="68">
        <v>9</v>
      </c>
      <c r="G1320" s="68">
        <v>18</v>
      </c>
    </row>
    <row r="1321" spans="1:7" x14ac:dyDescent="0.3">
      <c r="A1321" t="s">
        <v>711</v>
      </c>
      <c r="B1321" t="s">
        <v>35</v>
      </c>
      <c r="C1321" t="s">
        <v>6</v>
      </c>
      <c r="D1321" t="s">
        <v>11</v>
      </c>
      <c r="E1321" s="68">
        <v>20</v>
      </c>
      <c r="F1321" s="68">
        <v>11</v>
      </c>
      <c r="G1321" s="68">
        <v>31</v>
      </c>
    </row>
    <row r="1322" spans="1:7" x14ac:dyDescent="0.3">
      <c r="A1322" t="s">
        <v>711</v>
      </c>
      <c r="B1322" t="s">
        <v>35</v>
      </c>
      <c r="C1322" t="s">
        <v>6</v>
      </c>
      <c r="D1322" t="s">
        <v>12</v>
      </c>
      <c r="E1322" s="68">
        <v>1</v>
      </c>
      <c r="F1322" s="68">
        <v>2</v>
      </c>
      <c r="G1322" s="68">
        <v>3</v>
      </c>
    </row>
    <row r="1323" spans="1:7" x14ac:dyDescent="0.3">
      <c r="A1323" t="s">
        <v>711</v>
      </c>
      <c r="B1323" t="s">
        <v>35</v>
      </c>
      <c r="C1323" t="s">
        <v>6</v>
      </c>
      <c r="D1323" t="s">
        <v>13</v>
      </c>
      <c r="E1323" s="68">
        <v>3</v>
      </c>
      <c r="F1323" s="68">
        <v>3</v>
      </c>
      <c r="G1323" s="68">
        <v>6</v>
      </c>
    </row>
    <row r="1324" spans="1:7" x14ac:dyDescent="0.3">
      <c r="A1324" t="s">
        <v>711</v>
      </c>
      <c r="B1324" t="s">
        <v>35</v>
      </c>
      <c r="C1324" t="s">
        <v>6</v>
      </c>
      <c r="D1324" t="s">
        <v>14</v>
      </c>
      <c r="E1324" s="68">
        <v>5</v>
      </c>
      <c r="F1324" s="68">
        <v>6</v>
      </c>
      <c r="G1324" s="68">
        <v>11</v>
      </c>
    </row>
    <row r="1325" spans="1:7" x14ac:dyDescent="0.3">
      <c r="A1325" t="s">
        <v>711</v>
      </c>
      <c r="B1325" t="s">
        <v>35</v>
      </c>
      <c r="C1325" t="s">
        <v>6</v>
      </c>
      <c r="D1325" t="s">
        <v>15</v>
      </c>
      <c r="E1325" s="68">
        <v>10</v>
      </c>
      <c r="F1325" s="68">
        <v>8</v>
      </c>
      <c r="G1325" s="68">
        <v>18</v>
      </c>
    </row>
    <row r="1326" spans="1:7" x14ac:dyDescent="0.3">
      <c r="A1326" t="s">
        <v>711</v>
      </c>
      <c r="B1326" t="s">
        <v>35</v>
      </c>
      <c r="C1326" t="s">
        <v>6</v>
      </c>
      <c r="D1326" t="s">
        <v>16</v>
      </c>
      <c r="E1326" s="68">
        <v>23</v>
      </c>
      <c r="F1326" s="68">
        <v>8</v>
      </c>
      <c r="G1326" s="68">
        <v>31</v>
      </c>
    </row>
    <row r="1327" spans="1:7" x14ac:dyDescent="0.3">
      <c r="A1327" t="s">
        <v>711</v>
      </c>
      <c r="B1327" t="s">
        <v>35</v>
      </c>
      <c r="C1327" t="s">
        <v>6</v>
      </c>
      <c r="D1327" t="s">
        <v>17</v>
      </c>
      <c r="E1327" s="68">
        <v>27</v>
      </c>
      <c r="F1327" s="68">
        <v>14</v>
      </c>
      <c r="G1327" s="68">
        <v>41</v>
      </c>
    </row>
    <row r="1328" spans="1:7" x14ac:dyDescent="0.3">
      <c r="A1328" t="s">
        <v>711</v>
      </c>
      <c r="B1328" t="s">
        <v>35</v>
      </c>
      <c r="C1328" t="s">
        <v>6</v>
      </c>
      <c r="D1328" t="s">
        <v>18</v>
      </c>
      <c r="E1328" s="68">
        <v>56</v>
      </c>
      <c r="F1328" s="68">
        <v>12</v>
      </c>
      <c r="G1328" s="68">
        <v>68</v>
      </c>
    </row>
    <row r="1329" spans="1:7" x14ac:dyDescent="0.3">
      <c r="A1329" t="s">
        <v>711</v>
      </c>
      <c r="B1329" t="s">
        <v>35</v>
      </c>
      <c r="C1329" t="s">
        <v>6</v>
      </c>
      <c r="D1329" t="s">
        <v>19</v>
      </c>
      <c r="E1329" s="68">
        <v>116</v>
      </c>
      <c r="F1329" s="68">
        <v>26</v>
      </c>
      <c r="G1329" s="68">
        <v>142</v>
      </c>
    </row>
    <row r="1330" spans="1:7" x14ac:dyDescent="0.3">
      <c r="A1330" t="s">
        <v>711</v>
      </c>
      <c r="B1330" t="s">
        <v>35</v>
      </c>
      <c r="C1330" t="s">
        <v>6</v>
      </c>
      <c r="D1330" t="s">
        <v>20</v>
      </c>
      <c r="E1330" s="68">
        <v>232</v>
      </c>
      <c r="F1330" s="68">
        <v>71</v>
      </c>
      <c r="G1330" s="68">
        <v>303</v>
      </c>
    </row>
    <row r="1331" spans="1:7" x14ac:dyDescent="0.3">
      <c r="A1331" t="s">
        <v>711</v>
      </c>
      <c r="B1331" t="s">
        <v>35</v>
      </c>
      <c r="C1331" t="s">
        <v>6</v>
      </c>
      <c r="D1331" t="s">
        <v>21</v>
      </c>
      <c r="E1331" s="68">
        <v>324</v>
      </c>
      <c r="F1331" s="68">
        <v>207</v>
      </c>
      <c r="G1331" s="68">
        <v>531</v>
      </c>
    </row>
    <row r="1332" spans="1:7" x14ac:dyDescent="0.3">
      <c r="A1332" t="s">
        <v>711</v>
      </c>
      <c r="B1332" t="s">
        <v>35</v>
      </c>
      <c r="C1332" t="s">
        <v>6</v>
      </c>
      <c r="D1332" t="s">
        <v>22</v>
      </c>
      <c r="E1332" s="68">
        <v>300</v>
      </c>
      <c r="F1332" s="68">
        <v>215</v>
      </c>
      <c r="G1332" s="68">
        <v>515</v>
      </c>
    </row>
    <row r="1333" spans="1:7" x14ac:dyDescent="0.3">
      <c r="A1333" t="s">
        <v>711</v>
      </c>
      <c r="B1333" t="s">
        <v>35</v>
      </c>
      <c r="C1333" t="s">
        <v>6</v>
      </c>
      <c r="D1333" t="s">
        <v>23</v>
      </c>
      <c r="E1333" s="68">
        <v>590</v>
      </c>
      <c r="F1333" s="68">
        <v>399</v>
      </c>
      <c r="G1333" s="68">
        <v>989</v>
      </c>
    </row>
    <row r="1334" spans="1:7" x14ac:dyDescent="0.3">
      <c r="A1334" t="s">
        <v>711</v>
      </c>
      <c r="B1334" t="s">
        <v>25</v>
      </c>
      <c r="C1334" t="s">
        <v>6</v>
      </c>
      <c r="D1334" t="s">
        <v>7</v>
      </c>
      <c r="E1334" s="68">
        <v>1</v>
      </c>
      <c r="F1334" s="68"/>
      <c r="G1334" s="68">
        <v>1</v>
      </c>
    </row>
    <row r="1335" spans="1:7" x14ac:dyDescent="0.3">
      <c r="A1335" t="s">
        <v>711</v>
      </c>
      <c r="B1335" t="s">
        <v>25</v>
      </c>
      <c r="C1335" t="s">
        <v>6</v>
      </c>
      <c r="D1335" t="s">
        <v>8</v>
      </c>
      <c r="E1335" s="68"/>
      <c r="F1335" s="68">
        <v>2</v>
      </c>
      <c r="G1335" s="68">
        <v>2</v>
      </c>
    </row>
    <row r="1336" spans="1:7" x14ac:dyDescent="0.3">
      <c r="A1336" t="s">
        <v>711</v>
      </c>
      <c r="B1336" t="s">
        <v>25</v>
      </c>
      <c r="C1336" t="s">
        <v>6</v>
      </c>
      <c r="D1336" t="s">
        <v>9</v>
      </c>
      <c r="E1336" s="68">
        <v>2</v>
      </c>
      <c r="F1336" s="68">
        <v>2</v>
      </c>
      <c r="G1336" s="68">
        <v>4</v>
      </c>
    </row>
    <row r="1337" spans="1:7" x14ac:dyDescent="0.3">
      <c r="A1337" t="s">
        <v>711</v>
      </c>
      <c r="B1337" t="s">
        <v>25</v>
      </c>
      <c r="C1337" t="s">
        <v>6</v>
      </c>
      <c r="D1337" t="s">
        <v>10</v>
      </c>
      <c r="E1337" s="68">
        <v>1</v>
      </c>
      <c r="F1337" s="68">
        <v>1</v>
      </c>
      <c r="G1337" s="68">
        <v>2</v>
      </c>
    </row>
    <row r="1338" spans="1:7" x14ac:dyDescent="0.3">
      <c r="A1338" t="s">
        <v>711</v>
      </c>
      <c r="B1338" t="s">
        <v>25</v>
      </c>
      <c r="C1338" t="s">
        <v>6</v>
      </c>
      <c r="D1338" t="s">
        <v>11</v>
      </c>
      <c r="E1338" s="68">
        <v>2</v>
      </c>
      <c r="F1338" s="68">
        <v>1</v>
      </c>
      <c r="G1338" s="68">
        <v>3</v>
      </c>
    </row>
    <row r="1339" spans="1:7" x14ac:dyDescent="0.3">
      <c r="A1339" t="s">
        <v>711</v>
      </c>
      <c r="B1339" t="s">
        <v>25</v>
      </c>
      <c r="C1339" t="s">
        <v>6</v>
      </c>
      <c r="D1339" t="s">
        <v>12</v>
      </c>
      <c r="E1339" s="68">
        <v>4</v>
      </c>
      <c r="F1339" s="68">
        <v>2</v>
      </c>
      <c r="G1339" s="68">
        <v>6</v>
      </c>
    </row>
    <row r="1340" spans="1:7" x14ac:dyDescent="0.3">
      <c r="A1340" t="s">
        <v>711</v>
      </c>
      <c r="B1340" t="s">
        <v>25</v>
      </c>
      <c r="C1340" t="s">
        <v>6</v>
      </c>
      <c r="D1340" t="s">
        <v>13</v>
      </c>
      <c r="E1340" s="68">
        <v>2</v>
      </c>
      <c r="F1340" s="68"/>
      <c r="G1340" s="68">
        <v>2</v>
      </c>
    </row>
    <row r="1341" spans="1:7" x14ac:dyDescent="0.3">
      <c r="A1341" t="s">
        <v>711</v>
      </c>
      <c r="B1341" t="s">
        <v>25</v>
      </c>
      <c r="C1341" t="s">
        <v>6</v>
      </c>
      <c r="D1341" t="s">
        <v>14</v>
      </c>
      <c r="E1341" s="68">
        <v>3</v>
      </c>
      <c r="F1341" s="68">
        <v>2</v>
      </c>
      <c r="G1341" s="68">
        <v>5</v>
      </c>
    </row>
    <row r="1342" spans="1:7" x14ac:dyDescent="0.3">
      <c r="A1342" t="s">
        <v>711</v>
      </c>
      <c r="B1342" t="s">
        <v>25</v>
      </c>
      <c r="C1342" t="s">
        <v>6</v>
      </c>
      <c r="D1342" t="s">
        <v>15</v>
      </c>
      <c r="E1342" s="68">
        <v>1</v>
      </c>
      <c r="F1342" s="68"/>
      <c r="G1342" s="68">
        <v>1</v>
      </c>
    </row>
    <row r="1343" spans="1:7" x14ac:dyDescent="0.3">
      <c r="A1343" t="s">
        <v>711</v>
      </c>
      <c r="B1343" t="s">
        <v>25</v>
      </c>
      <c r="C1343" t="s">
        <v>6</v>
      </c>
      <c r="D1343" t="s">
        <v>17</v>
      </c>
      <c r="E1343" s="68">
        <v>1</v>
      </c>
      <c r="F1343" s="68">
        <v>2</v>
      </c>
      <c r="G1343" s="68">
        <v>3</v>
      </c>
    </row>
    <row r="1344" spans="1:7" x14ac:dyDescent="0.3">
      <c r="A1344" t="s">
        <v>711</v>
      </c>
      <c r="B1344" t="s">
        <v>25</v>
      </c>
      <c r="C1344" t="s">
        <v>24</v>
      </c>
      <c r="D1344" t="s">
        <v>7</v>
      </c>
      <c r="E1344" s="68">
        <v>4</v>
      </c>
      <c r="F1344" s="68">
        <v>6</v>
      </c>
      <c r="G1344" s="68">
        <v>10</v>
      </c>
    </row>
    <row r="1345" spans="1:7" x14ac:dyDescent="0.3">
      <c r="A1345" t="s">
        <v>711</v>
      </c>
      <c r="B1345" t="s">
        <v>25</v>
      </c>
      <c r="C1345" t="s">
        <v>24</v>
      </c>
      <c r="D1345" t="s">
        <v>8</v>
      </c>
      <c r="E1345" s="68">
        <v>2</v>
      </c>
      <c r="F1345" s="68">
        <v>3</v>
      </c>
      <c r="G1345" s="68">
        <v>5</v>
      </c>
    </row>
    <row r="1346" spans="1:7" x14ac:dyDescent="0.3">
      <c r="A1346" t="s">
        <v>711</v>
      </c>
      <c r="B1346" t="s">
        <v>25</v>
      </c>
      <c r="C1346" t="s">
        <v>24</v>
      </c>
      <c r="D1346" t="s">
        <v>9</v>
      </c>
      <c r="E1346" s="68">
        <v>1</v>
      </c>
      <c r="F1346" s="68">
        <v>3</v>
      </c>
      <c r="G1346" s="68">
        <v>4</v>
      </c>
    </row>
    <row r="1347" spans="1:7" x14ac:dyDescent="0.3">
      <c r="A1347" t="s">
        <v>711</v>
      </c>
      <c r="B1347" t="s">
        <v>25</v>
      </c>
      <c r="C1347" t="s">
        <v>24</v>
      </c>
      <c r="D1347" t="s">
        <v>10</v>
      </c>
      <c r="E1347" s="68">
        <v>3</v>
      </c>
      <c r="F1347" s="68">
        <v>3</v>
      </c>
      <c r="G1347" s="68">
        <v>6</v>
      </c>
    </row>
    <row r="1348" spans="1:7" x14ac:dyDescent="0.3">
      <c r="A1348" t="s">
        <v>711</v>
      </c>
      <c r="B1348" t="s">
        <v>25</v>
      </c>
      <c r="C1348" t="s">
        <v>24</v>
      </c>
      <c r="D1348" t="s">
        <v>11</v>
      </c>
      <c r="E1348" s="68">
        <v>1</v>
      </c>
      <c r="F1348" s="68">
        <v>1</v>
      </c>
      <c r="G1348" s="68">
        <v>2</v>
      </c>
    </row>
    <row r="1349" spans="1:7" x14ac:dyDescent="0.3">
      <c r="A1349" t="s">
        <v>711</v>
      </c>
      <c r="B1349" t="s">
        <v>25</v>
      </c>
      <c r="C1349" t="s">
        <v>24</v>
      </c>
      <c r="D1349" t="s">
        <v>12</v>
      </c>
      <c r="E1349" s="68">
        <v>3</v>
      </c>
      <c r="F1349" s="68"/>
      <c r="G1349" s="68">
        <v>3</v>
      </c>
    </row>
    <row r="1350" spans="1:7" x14ac:dyDescent="0.3">
      <c r="A1350" t="s">
        <v>711</v>
      </c>
      <c r="B1350" t="s">
        <v>25</v>
      </c>
      <c r="C1350" t="s">
        <v>24</v>
      </c>
      <c r="D1350" t="s">
        <v>13</v>
      </c>
      <c r="E1350" s="68">
        <v>6</v>
      </c>
      <c r="F1350" s="68">
        <v>1</v>
      </c>
      <c r="G1350" s="68">
        <v>7</v>
      </c>
    </row>
    <row r="1351" spans="1:7" x14ac:dyDescent="0.3">
      <c r="A1351" t="s">
        <v>711</v>
      </c>
      <c r="B1351" t="s">
        <v>25</v>
      </c>
      <c r="C1351" t="s">
        <v>24</v>
      </c>
      <c r="D1351" t="s">
        <v>14</v>
      </c>
      <c r="E1351" s="68">
        <v>3</v>
      </c>
      <c r="F1351" s="68">
        <v>1</v>
      </c>
      <c r="G1351" s="68">
        <v>4</v>
      </c>
    </row>
    <row r="1352" spans="1:7" x14ac:dyDescent="0.3">
      <c r="A1352" t="s">
        <v>711</v>
      </c>
      <c r="B1352" t="s">
        <v>25</v>
      </c>
      <c r="C1352" t="s">
        <v>24</v>
      </c>
      <c r="D1352" t="s">
        <v>15</v>
      </c>
      <c r="E1352" s="68">
        <v>2</v>
      </c>
      <c r="F1352" s="68">
        <v>3</v>
      </c>
      <c r="G1352" s="68">
        <v>5</v>
      </c>
    </row>
    <row r="1353" spans="1:7" x14ac:dyDescent="0.3">
      <c r="A1353" t="s">
        <v>711</v>
      </c>
      <c r="B1353" t="s">
        <v>25</v>
      </c>
      <c r="C1353" t="s">
        <v>24</v>
      </c>
      <c r="D1353" t="s">
        <v>16</v>
      </c>
      <c r="E1353" s="68">
        <v>2</v>
      </c>
      <c r="F1353" s="68">
        <v>1</v>
      </c>
      <c r="G1353" s="68">
        <v>3</v>
      </c>
    </row>
    <row r="1354" spans="1:7" x14ac:dyDescent="0.3">
      <c r="A1354" t="s">
        <v>711</v>
      </c>
      <c r="B1354" t="s">
        <v>25</v>
      </c>
      <c r="C1354" t="s">
        <v>24</v>
      </c>
      <c r="D1354" t="s">
        <v>17</v>
      </c>
      <c r="E1354" s="68">
        <v>2</v>
      </c>
      <c r="F1354" s="68">
        <v>2</v>
      </c>
      <c r="G1354" s="68">
        <v>4</v>
      </c>
    </row>
    <row r="1355" spans="1:7" x14ac:dyDescent="0.3">
      <c r="A1355" t="s">
        <v>711</v>
      </c>
      <c r="B1355" t="s">
        <v>25</v>
      </c>
      <c r="C1355" t="s">
        <v>24</v>
      </c>
      <c r="D1355" t="s">
        <v>18</v>
      </c>
      <c r="E1355" s="68">
        <v>1</v>
      </c>
      <c r="F1355" s="68"/>
      <c r="G1355" s="68">
        <v>1</v>
      </c>
    </row>
    <row r="1356" spans="1:7" x14ac:dyDescent="0.3">
      <c r="A1356" t="s">
        <v>711</v>
      </c>
      <c r="B1356" t="s">
        <v>25</v>
      </c>
      <c r="C1356" t="s">
        <v>24</v>
      </c>
      <c r="D1356" t="s">
        <v>19</v>
      </c>
      <c r="E1356" s="68">
        <v>2</v>
      </c>
      <c r="F1356" s="68">
        <v>2</v>
      </c>
      <c r="G1356" s="68">
        <v>4</v>
      </c>
    </row>
    <row r="1357" spans="1:7" x14ac:dyDescent="0.3">
      <c r="A1357" t="s">
        <v>711</v>
      </c>
      <c r="B1357" t="s">
        <v>25</v>
      </c>
      <c r="C1357" t="s">
        <v>24</v>
      </c>
      <c r="D1357" t="s">
        <v>21</v>
      </c>
      <c r="E1357" s="68">
        <v>2</v>
      </c>
      <c r="F1357" s="68">
        <v>1</v>
      </c>
      <c r="G1357" s="68">
        <v>3</v>
      </c>
    </row>
    <row r="1358" spans="1:7" x14ac:dyDescent="0.3">
      <c r="A1358" t="s">
        <v>711</v>
      </c>
      <c r="B1358" t="s">
        <v>25</v>
      </c>
      <c r="C1358" t="s">
        <v>24</v>
      </c>
      <c r="D1358" t="s">
        <v>22</v>
      </c>
      <c r="E1358" s="68">
        <v>1</v>
      </c>
      <c r="F1358" s="68">
        <v>2</v>
      </c>
      <c r="G1358" s="68">
        <v>3</v>
      </c>
    </row>
    <row r="1359" spans="1:7" x14ac:dyDescent="0.3">
      <c r="A1359" t="s">
        <v>711</v>
      </c>
      <c r="B1359" t="s">
        <v>25</v>
      </c>
      <c r="C1359" t="s">
        <v>24</v>
      </c>
      <c r="D1359" t="s">
        <v>23</v>
      </c>
      <c r="E1359" s="68">
        <v>2</v>
      </c>
      <c r="F1359" s="68">
        <v>1</v>
      </c>
      <c r="G1359" s="68">
        <v>3</v>
      </c>
    </row>
    <row r="1360" spans="1:7" x14ac:dyDescent="0.3">
      <c r="A1360" t="s">
        <v>711</v>
      </c>
      <c r="B1360" t="s">
        <v>588</v>
      </c>
      <c r="C1360" t="s">
        <v>6</v>
      </c>
      <c r="D1360" t="s">
        <v>8</v>
      </c>
      <c r="E1360" s="68">
        <v>2</v>
      </c>
      <c r="F1360" s="68"/>
      <c r="G1360" s="68">
        <v>2</v>
      </c>
    </row>
    <row r="1361" spans="1:7" x14ac:dyDescent="0.3">
      <c r="A1361" t="s">
        <v>711</v>
      </c>
      <c r="B1361" t="s">
        <v>588</v>
      </c>
      <c r="C1361" t="s">
        <v>6</v>
      </c>
      <c r="D1361" t="s">
        <v>11</v>
      </c>
      <c r="E1361" s="68">
        <v>1</v>
      </c>
      <c r="F1361" s="68"/>
      <c r="G1361" s="68">
        <v>1</v>
      </c>
    </row>
    <row r="1362" spans="1:7" x14ac:dyDescent="0.3">
      <c r="A1362" t="s">
        <v>711</v>
      </c>
      <c r="B1362" t="s">
        <v>588</v>
      </c>
      <c r="C1362" t="s">
        <v>6</v>
      </c>
      <c r="D1362" t="s">
        <v>12</v>
      </c>
      <c r="E1362" s="68">
        <v>1</v>
      </c>
      <c r="F1362" s="68">
        <v>2</v>
      </c>
      <c r="G1362" s="68">
        <v>3</v>
      </c>
    </row>
    <row r="1363" spans="1:7" x14ac:dyDescent="0.3">
      <c r="A1363" t="s">
        <v>711</v>
      </c>
      <c r="B1363" t="s">
        <v>588</v>
      </c>
      <c r="C1363" t="s">
        <v>6</v>
      </c>
      <c r="D1363" t="s">
        <v>18</v>
      </c>
      <c r="E1363" s="68"/>
      <c r="F1363" s="68">
        <v>1</v>
      </c>
      <c r="G1363" s="68">
        <v>1</v>
      </c>
    </row>
    <row r="1364" spans="1:7" x14ac:dyDescent="0.3">
      <c r="A1364" t="s">
        <v>711</v>
      </c>
      <c r="B1364" t="s">
        <v>588</v>
      </c>
      <c r="C1364" t="s">
        <v>24</v>
      </c>
      <c r="D1364" t="s">
        <v>7</v>
      </c>
      <c r="E1364" s="68"/>
      <c r="F1364" s="68">
        <v>1</v>
      </c>
      <c r="G1364" s="68">
        <v>1</v>
      </c>
    </row>
    <row r="1365" spans="1:7" x14ac:dyDescent="0.3">
      <c r="A1365" t="s">
        <v>711</v>
      </c>
      <c r="B1365" t="s">
        <v>588</v>
      </c>
      <c r="C1365" t="s">
        <v>24</v>
      </c>
      <c r="D1365" t="s">
        <v>9</v>
      </c>
      <c r="E1365" s="68"/>
      <c r="F1365" s="68">
        <v>1</v>
      </c>
      <c r="G1365" s="68">
        <v>1</v>
      </c>
    </row>
    <row r="1366" spans="1:7" x14ac:dyDescent="0.3">
      <c r="A1366" t="s">
        <v>711</v>
      </c>
      <c r="B1366" t="s">
        <v>588</v>
      </c>
      <c r="C1366" t="s">
        <v>24</v>
      </c>
      <c r="D1366" t="s">
        <v>10</v>
      </c>
      <c r="E1366" s="68">
        <v>1</v>
      </c>
      <c r="F1366" s="68"/>
      <c r="G1366" s="68">
        <v>1</v>
      </c>
    </row>
    <row r="1367" spans="1:7" x14ac:dyDescent="0.3">
      <c r="A1367" t="s">
        <v>711</v>
      </c>
      <c r="B1367" t="s">
        <v>26</v>
      </c>
      <c r="C1367" t="s">
        <v>6</v>
      </c>
      <c r="D1367" t="s">
        <v>7</v>
      </c>
      <c r="E1367" s="68">
        <v>5324</v>
      </c>
      <c r="F1367" s="68">
        <v>5446</v>
      </c>
      <c r="G1367" s="68">
        <v>10770</v>
      </c>
    </row>
    <row r="1368" spans="1:7" x14ac:dyDescent="0.3">
      <c r="A1368" t="s">
        <v>711</v>
      </c>
      <c r="B1368" t="s">
        <v>26</v>
      </c>
      <c r="C1368" t="s">
        <v>6</v>
      </c>
      <c r="D1368" t="s">
        <v>8</v>
      </c>
      <c r="E1368" s="68">
        <v>7181</v>
      </c>
      <c r="F1368" s="68">
        <v>7464</v>
      </c>
      <c r="G1368" s="68">
        <v>14645</v>
      </c>
    </row>
    <row r="1369" spans="1:7" x14ac:dyDescent="0.3">
      <c r="A1369" t="s">
        <v>711</v>
      </c>
      <c r="B1369" t="s">
        <v>26</v>
      </c>
      <c r="C1369" t="s">
        <v>6</v>
      </c>
      <c r="D1369" t="s">
        <v>9</v>
      </c>
      <c r="E1369" s="68">
        <v>7866</v>
      </c>
      <c r="F1369" s="68">
        <v>8237</v>
      </c>
      <c r="G1369" s="68">
        <v>16103</v>
      </c>
    </row>
    <row r="1370" spans="1:7" x14ac:dyDescent="0.3">
      <c r="A1370" t="s">
        <v>711</v>
      </c>
      <c r="B1370" t="s">
        <v>26</v>
      </c>
      <c r="C1370" t="s">
        <v>6</v>
      </c>
      <c r="D1370" t="s">
        <v>10</v>
      </c>
      <c r="E1370" s="68">
        <v>10145</v>
      </c>
      <c r="F1370" s="68">
        <v>10167</v>
      </c>
      <c r="G1370" s="68">
        <v>20312</v>
      </c>
    </row>
    <row r="1371" spans="1:7" x14ac:dyDescent="0.3">
      <c r="A1371" t="s">
        <v>711</v>
      </c>
      <c r="B1371" t="s">
        <v>26</v>
      </c>
      <c r="C1371" t="s">
        <v>6</v>
      </c>
      <c r="D1371" t="s">
        <v>11</v>
      </c>
      <c r="E1371" s="68">
        <v>18214</v>
      </c>
      <c r="F1371" s="68">
        <v>21112</v>
      </c>
      <c r="G1371" s="68">
        <v>39326</v>
      </c>
    </row>
    <row r="1372" spans="1:7" x14ac:dyDescent="0.3">
      <c r="A1372" t="s">
        <v>711</v>
      </c>
      <c r="B1372" t="s">
        <v>26</v>
      </c>
      <c r="C1372" t="s">
        <v>6</v>
      </c>
      <c r="D1372" t="s">
        <v>12</v>
      </c>
      <c r="E1372" s="68">
        <v>19271</v>
      </c>
      <c r="F1372" s="68">
        <v>23541</v>
      </c>
      <c r="G1372" s="68">
        <v>42812</v>
      </c>
    </row>
    <row r="1373" spans="1:7" x14ac:dyDescent="0.3">
      <c r="A1373" t="s">
        <v>711</v>
      </c>
      <c r="B1373" t="s">
        <v>26</v>
      </c>
      <c r="C1373" t="s">
        <v>6</v>
      </c>
      <c r="D1373" t="s">
        <v>13</v>
      </c>
      <c r="E1373" s="68">
        <v>17216</v>
      </c>
      <c r="F1373" s="68">
        <v>21050</v>
      </c>
      <c r="G1373" s="68">
        <v>38266</v>
      </c>
    </row>
    <row r="1374" spans="1:7" x14ac:dyDescent="0.3">
      <c r="A1374" t="s">
        <v>711</v>
      </c>
      <c r="B1374" t="s">
        <v>26</v>
      </c>
      <c r="C1374" t="s">
        <v>6</v>
      </c>
      <c r="D1374" t="s">
        <v>14</v>
      </c>
      <c r="E1374" s="68">
        <v>12166</v>
      </c>
      <c r="F1374" s="68">
        <v>14534</v>
      </c>
      <c r="G1374" s="68">
        <v>26700</v>
      </c>
    </row>
    <row r="1375" spans="1:7" x14ac:dyDescent="0.3">
      <c r="A1375" t="s">
        <v>711</v>
      </c>
      <c r="B1375" t="s">
        <v>26</v>
      </c>
      <c r="C1375" t="s">
        <v>6</v>
      </c>
      <c r="D1375" t="s">
        <v>15</v>
      </c>
      <c r="E1375" s="68">
        <v>9799</v>
      </c>
      <c r="F1375" s="68">
        <v>10530</v>
      </c>
      <c r="G1375" s="68">
        <v>20329</v>
      </c>
    </row>
    <row r="1376" spans="1:7" x14ac:dyDescent="0.3">
      <c r="A1376" t="s">
        <v>711</v>
      </c>
      <c r="B1376" t="s">
        <v>26</v>
      </c>
      <c r="C1376" t="s">
        <v>6</v>
      </c>
      <c r="D1376" t="s">
        <v>16</v>
      </c>
      <c r="E1376" s="68">
        <v>9960</v>
      </c>
      <c r="F1376" s="68">
        <v>9087</v>
      </c>
      <c r="G1376" s="68">
        <v>19047</v>
      </c>
    </row>
    <row r="1377" spans="1:7" x14ac:dyDescent="0.3">
      <c r="A1377" t="s">
        <v>711</v>
      </c>
      <c r="B1377" t="s">
        <v>26</v>
      </c>
      <c r="C1377" t="s">
        <v>6</v>
      </c>
      <c r="D1377" t="s">
        <v>17</v>
      </c>
      <c r="E1377" s="68">
        <v>12051</v>
      </c>
      <c r="F1377" s="68">
        <v>9927</v>
      </c>
      <c r="G1377" s="68">
        <v>21978</v>
      </c>
    </row>
    <row r="1378" spans="1:7" x14ac:dyDescent="0.3">
      <c r="A1378" t="s">
        <v>711</v>
      </c>
      <c r="B1378" t="s">
        <v>26</v>
      </c>
      <c r="C1378" t="s">
        <v>6</v>
      </c>
      <c r="D1378" t="s">
        <v>18</v>
      </c>
      <c r="E1378" s="68">
        <v>15975</v>
      </c>
      <c r="F1378" s="68">
        <v>12730</v>
      </c>
      <c r="G1378" s="68">
        <v>28705</v>
      </c>
    </row>
    <row r="1379" spans="1:7" x14ac:dyDescent="0.3">
      <c r="A1379" t="s">
        <v>711</v>
      </c>
      <c r="B1379" t="s">
        <v>26</v>
      </c>
      <c r="C1379" t="s">
        <v>6</v>
      </c>
      <c r="D1379" t="s">
        <v>19</v>
      </c>
      <c r="E1379" s="68">
        <v>19751</v>
      </c>
      <c r="F1379" s="68">
        <v>14613</v>
      </c>
      <c r="G1379" s="68">
        <v>34364</v>
      </c>
    </row>
    <row r="1380" spans="1:7" x14ac:dyDescent="0.3">
      <c r="A1380" t="s">
        <v>711</v>
      </c>
      <c r="B1380" t="s">
        <v>26</v>
      </c>
      <c r="C1380" t="s">
        <v>6</v>
      </c>
      <c r="D1380" t="s">
        <v>20</v>
      </c>
      <c r="E1380" s="68">
        <v>21087</v>
      </c>
      <c r="F1380" s="68">
        <v>13974</v>
      </c>
      <c r="G1380" s="68">
        <v>35061</v>
      </c>
    </row>
    <row r="1381" spans="1:7" x14ac:dyDescent="0.3">
      <c r="A1381" t="s">
        <v>711</v>
      </c>
      <c r="B1381" t="s">
        <v>26</v>
      </c>
      <c r="C1381" t="s">
        <v>6</v>
      </c>
      <c r="D1381" t="s">
        <v>21</v>
      </c>
      <c r="E1381" s="68">
        <v>20607</v>
      </c>
      <c r="F1381" s="68">
        <v>12944</v>
      </c>
      <c r="G1381" s="68">
        <v>33551</v>
      </c>
    </row>
    <row r="1382" spans="1:7" x14ac:dyDescent="0.3">
      <c r="A1382" t="s">
        <v>711</v>
      </c>
      <c r="B1382" t="s">
        <v>26</v>
      </c>
      <c r="C1382" t="s">
        <v>6</v>
      </c>
      <c r="D1382" t="s">
        <v>22</v>
      </c>
      <c r="E1382" s="68">
        <v>18211</v>
      </c>
      <c r="F1382" s="68">
        <v>10862</v>
      </c>
      <c r="G1382" s="68">
        <v>29073</v>
      </c>
    </row>
    <row r="1383" spans="1:7" x14ac:dyDescent="0.3">
      <c r="A1383" t="s">
        <v>711</v>
      </c>
      <c r="B1383" t="s">
        <v>26</v>
      </c>
      <c r="C1383" t="s">
        <v>6</v>
      </c>
      <c r="D1383" t="s">
        <v>23</v>
      </c>
      <c r="E1383" s="68">
        <v>28498</v>
      </c>
      <c r="F1383" s="68">
        <v>15329</v>
      </c>
      <c r="G1383" s="68">
        <v>43827</v>
      </c>
    </row>
    <row r="1384" spans="1:7" x14ac:dyDescent="0.3">
      <c r="A1384" t="s">
        <v>711</v>
      </c>
      <c r="B1384" t="s">
        <v>26</v>
      </c>
      <c r="C1384" t="s">
        <v>24</v>
      </c>
      <c r="D1384" t="s">
        <v>7</v>
      </c>
      <c r="E1384" s="68">
        <v>2716</v>
      </c>
      <c r="F1384" s="68">
        <v>2796</v>
      </c>
      <c r="G1384" s="68">
        <v>5512</v>
      </c>
    </row>
    <row r="1385" spans="1:7" x14ac:dyDescent="0.3">
      <c r="A1385" t="s">
        <v>711</v>
      </c>
      <c r="B1385" t="s">
        <v>26</v>
      </c>
      <c r="C1385" t="s">
        <v>24</v>
      </c>
      <c r="D1385" t="s">
        <v>8</v>
      </c>
      <c r="E1385" s="68">
        <v>3108</v>
      </c>
      <c r="F1385" s="68">
        <v>3166</v>
      </c>
      <c r="G1385" s="68">
        <v>6274</v>
      </c>
    </row>
    <row r="1386" spans="1:7" x14ac:dyDescent="0.3">
      <c r="A1386" t="s">
        <v>711</v>
      </c>
      <c r="B1386" t="s">
        <v>26</v>
      </c>
      <c r="C1386" t="s">
        <v>24</v>
      </c>
      <c r="D1386" t="s">
        <v>9</v>
      </c>
      <c r="E1386" s="68">
        <v>3065</v>
      </c>
      <c r="F1386" s="68">
        <v>3222</v>
      </c>
      <c r="G1386" s="68">
        <v>6287</v>
      </c>
    </row>
    <row r="1387" spans="1:7" x14ac:dyDescent="0.3">
      <c r="A1387" t="s">
        <v>711</v>
      </c>
      <c r="B1387" t="s">
        <v>26</v>
      </c>
      <c r="C1387" t="s">
        <v>24</v>
      </c>
      <c r="D1387" t="s">
        <v>10</v>
      </c>
      <c r="E1387" s="68">
        <v>3612</v>
      </c>
      <c r="F1387" s="68">
        <v>3299</v>
      </c>
      <c r="G1387" s="68">
        <v>6911</v>
      </c>
    </row>
    <row r="1388" spans="1:7" x14ac:dyDescent="0.3">
      <c r="A1388" t="s">
        <v>711</v>
      </c>
      <c r="B1388" t="s">
        <v>26</v>
      </c>
      <c r="C1388" t="s">
        <v>24</v>
      </c>
      <c r="D1388" t="s">
        <v>11</v>
      </c>
      <c r="E1388" s="68">
        <v>6463</v>
      </c>
      <c r="F1388" s="68">
        <v>7081</v>
      </c>
      <c r="G1388" s="68">
        <v>13544</v>
      </c>
    </row>
    <row r="1389" spans="1:7" x14ac:dyDescent="0.3">
      <c r="A1389" t="s">
        <v>711</v>
      </c>
      <c r="B1389" t="s">
        <v>26</v>
      </c>
      <c r="C1389" t="s">
        <v>24</v>
      </c>
      <c r="D1389" t="s">
        <v>12</v>
      </c>
      <c r="E1389" s="68">
        <v>6528</v>
      </c>
      <c r="F1389" s="68">
        <v>7735</v>
      </c>
      <c r="G1389" s="68">
        <v>14263</v>
      </c>
    </row>
    <row r="1390" spans="1:7" x14ac:dyDescent="0.3">
      <c r="A1390" t="s">
        <v>711</v>
      </c>
      <c r="B1390" t="s">
        <v>26</v>
      </c>
      <c r="C1390" t="s">
        <v>24</v>
      </c>
      <c r="D1390" t="s">
        <v>13</v>
      </c>
      <c r="E1390" s="68">
        <v>4855</v>
      </c>
      <c r="F1390" s="68">
        <v>6465</v>
      </c>
      <c r="G1390" s="68">
        <v>11320</v>
      </c>
    </row>
    <row r="1391" spans="1:7" x14ac:dyDescent="0.3">
      <c r="A1391" t="s">
        <v>711</v>
      </c>
      <c r="B1391" t="s">
        <v>26</v>
      </c>
      <c r="C1391" t="s">
        <v>24</v>
      </c>
      <c r="D1391" t="s">
        <v>14</v>
      </c>
      <c r="E1391" s="68">
        <v>3429</v>
      </c>
      <c r="F1391" s="68">
        <v>4302</v>
      </c>
      <c r="G1391" s="68">
        <v>7731</v>
      </c>
    </row>
    <row r="1392" spans="1:7" x14ac:dyDescent="0.3">
      <c r="A1392" t="s">
        <v>711</v>
      </c>
      <c r="B1392" t="s">
        <v>26</v>
      </c>
      <c r="C1392" t="s">
        <v>24</v>
      </c>
      <c r="D1392" t="s">
        <v>15</v>
      </c>
      <c r="E1392" s="68">
        <v>2814</v>
      </c>
      <c r="F1392" s="68">
        <v>3198</v>
      </c>
      <c r="G1392" s="68">
        <v>6012</v>
      </c>
    </row>
    <row r="1393" spans="1:7" x14ac:dyDescent="0.3">
      <c r="A1393" t="s">
        <v>711</v>
      </c>
      <c r="B1393" t="s">
        <v>26</v>
      </c>
      <c r="C1393" t="s">
        <v>24</v>
      </c>
      <c r="D1393" t="s">
        <v>16</v>
      </c>
      <c r="E1393" s="68">
        <v>2802</v>
      </c>
      <c r="F1393" s="68">
        <v>2715</v>
      </c>
      <c r="G1393" s="68">
        <v>5517</v>
      </c>
    </row>
    <row r="1394" spans="1:7" x14ac:dyDescent="0.3">
      <c r="A1394" t="s">
        <v>711</v>
      </c>
      <c r="B1394" t="s">
        <v>26</v>
      </c>
      <c r="C1394" t="s">
        <v>24</v>
      </c>
      <c r="D1394" t="s">
        <v>17</v>
      </c>
      <c r="E1394" s="68">
        <v>2630</v>
      </c>
      <c r="F1394" s="68">
        <v>2432</v>
      </c>
      <c r="G1394" s="68">
        <v>5062</v>
      </c>
    </row>
    <row r="1395" spans="1:7" x14ac:dyDescent="0.3">
      <c r="A1395" t="s">
        <v>711</v>
      </c>
      <c r="B1395" t="s">
        <v>26</v>
      </c>
      <c r="C1395" t="s">
        <v>24</v>
      </c>
      <c r="D1395" t="s">
        <v>18</v>
      </c>
      <c r="E1395" s="68">
        <v>2499</v>
      </c>
      <c r="F1395" s="68">
        <v>2422</v>
      </c>
      <c r="G1395" s="68">
        <v>4921</v>
      </c>
    </row>
    <row r="1396" spans="1:7" x14ac:dyDescent="0.3">
      <c r="A1396" t="s">
        <v>711</v>
      </c>
      <c r="B1396" t="s">
        <v>26</v>
      </c>
      <c r="C1396" t="s">
        <v>24</v>
      </c>
      <c r="D1396" t="s">
        <v>19</v>
      </c>
      <c r="E1396" s="68">
        <v>2054</v>
      </c>
      <c r="F1396" s="68">
        <v>2116</v>
      </c>
      <c r="G1396" s="68">
        <v>4170</v>
      </c>
    </row>
    <row r="1397" spans="1:7" x14ac:dyDescent="0.3">
      <c r="A1397" t="s">
        <v>711</v>
      </c>
      <c r="B1397" t="s">
        <v>26</v>
      </c>
      <c r="C1397" t="s">
        <v>24</v>
      </c>
      <c r="D1397" t="s">
        <v>20</v>
      </c>
      <c r="E1397" s="68">
        <v>1418</v>
      </c>
      <c r="F1397" s="68">
        <v>1476</v>
      </c>
      <c r="G1397" s="68">
        <v>2894</v>
      </c>
    </row>
    <row r="1398" spans="1:7" x14ac:dyDescent="0.3">
      <c r="A1398" t="s">
        <v>711</v>
      </c>
      <c r="B1398" t="s">
        <v>26</v>
      </c>
      <c r="C1398" t="s">
        <v>24</v>
      </c>
      <c r="D1398" t="s">
        <v>21</v>
      </c>
      <c r="E1398" s="68">
        <v>932</v>
      </c>
      <c r="F1398" s="68">
        <v>908</v>
      </c>
      <c r="G1398" s="68">
        <v>1840</v>
      </c>
    </row>
    <row r="1399" spans="1:7" x14ac:dyDescent="0.3">
      <c r="A1399" t="s">
        <v>711</v>
      </c>
      <c r="B1399" t="s">
        <v>26</v>
      </c>
      <c r="C1399" t="s">
        <v>24</v>
      </c>
      <c r="D1399" t="s">
        <v>22</v>
      </c>
      <c r="E1399" s="68">
        <v>658</v>
      </c>
      <c r="F1399" s="68">
        <v>557</v>
      </c>
      <c r="G1399" s="68">
        <v>1215</v>
      </c>
    </row>
    <row r="1400" spans="1:7" x14ac:dyDescent="0.3">
      <c r="A1400" t="s">
        <v>711</v>
      </c>
      <c r="B1400" t="s">
        <v>26</v>
      </c>
      <c r="C1400" t="s">
        <v>24</v>
      </c>
      <c r="D1400" t="s">
        <v>23</v>
      </c>
      <c r="E1400" s="68">
        <v>987</v>
      </c>
      <c r="F1400" s="68">
        <v>588</v>
      </c>
      <c r="G1400" s="68">
        <v>1575</v>
      </c>
    </row>
    <row r="1401" spans="1:7" x14ac:dyDescent="0.3">
      <c r="A1401" t="s">
        <v>711</v>
      </c>
      <c r="B1401" t="s">
        <v>27</v>
      </c>
      <c r="C1401" t="s">
        <v>28</v>
      </c>
      <c r="D1401" t="s">
        <v>7</v>
      </c>
      <c r="E1401" s="68">
        <v>1035</v>
      </c>
      <c r="F1401" s="68">
        <v>1074</v>
      </c>
      <c r="G1401" s="68">
        <v>2109</v>
      </c>
    </row>
    <row r="1402" spans="1:7" x14ac:dyDescent="0.3">
      <c r="A1402" t="s">
        <v>711</v>
      </c>
      <c r="B1402" t="s">
        <v>27</v>
      </c>
      <c r="C1402" t="s">
        <v>28</v>
      </c>
      <c r="D1402" t="s">
        <v>8</v>
      </c>
      <c r="E1402" s="68">
        <v>2977</v>
      </c>
      <c r="F1402" s="68">
        <v>2848</v>
      </c>
      <c r="G1402" s="68">
        <v>5825</v>
      </c>
    </row>
    <row r="1403" spans="1:7" x14ac:dyDescent="0.3">
      <c r="A1403" t="s">
        <v>711</v>
      </c>
      <c r="B1403" t="s">
        <v>27</v>
      </c>
      <c r="C1403" t="s">
        <v>28</v>
      </c>
      <c r="D1403" t="s">
        <v>9</v>
      </c>
      <c r="E1403" s="68">
        <v>3195</v>
      </c>
      <c r="F1403" s="68">
        <v>3347</v>
      </c>
      <c r="G1403" s="68">
        <v>6542</v>
      </c>
    </row>
    <row r="1404" spans="1:7" x14ac:dyDescent="0.3">
      <c r="A1404" t="s">
        <v>711</v>
      </c>
      <c r="B1404" t="s">
        <v>27</v>
      </c>
      <c r="C1404" t="s">
        <v>28</v>
      </c>
      <c r="D1404" t="s">
        <v>10</v>
      </c>
      <c r="E1404" s="68">
        <v>3842</v>
      </c>
      <c r="F1404" s="68">
        <v>3778</v>
      </c>
      <c r="G1404" s="68">
        <v>7620</v>
      </c>
    </row>
    <row r="1405" spans="1:7" x14ac:dyDescent="0.3">
      <c r="A1405" t="s">
        <v>711</v>
      </c>
      <c r="B1405" t="s">
        <v>27</v>
      </c>
      <c r="C1405" t="s">
        <v>28</v>
      </c>
      <c r="D1405" t="s">
        <v>11</v>
      </c>
      <c r="E1405" s="68">
        <v>2904</v>
      </c>
      <c r="F1405" s="68">
        <v>2934</v>
      </c>
      <c r="G1405" s="68">
        <v>5838</v>
      </c>
    </row>
    <row r="1406" spans="1:7" x14ac:dyDescent="0.3">
      <c r="A1406" t="s">
        <v>711</v>
      </c>
      <c r="B1406" t="s">
        <v>27</v>
      </c>
      <c r="C1406" t="s">
        <v>28</v>
      </c>
      <c r="D1406" t="s">
        <v>12</v>
      </c>
      <c r="E1406" s="68">
        <v>1081</v>
      </c>
      <c r="F1406" s="68">
        <v>834</v>
      </c>
      <c r="G1406" s="68">
        <v>1915</v>
      </c>
    </row>
    <row r="1407" spans="1:7" x14ac:dyDescent="0.3">
      <c r="A1407" t="s">
        <v>711</v>
      </c>
      <c r="B1407" t="s">
        <v>27</v>
      </c>
      <c r="C1407" t="s">
        <v>28</v>
      </c>
      <c r="D1407" t="s">
        <v>13</v>
      </c>
      <c r="E1407" s="68">
        <v>2790</v>
      </c>
      <c r="F1407" s="68">
        <v>1571</v>
      </c>
      <c r="G1407" s="68">
        <v>4361</v>
      </c>
    </row>
    <row r="1408" spans="1:7" x14ac:dyDescent="0.3">
      <c r="A1408" t="s">
        <v>711</v>
      </c>
      <c r="B1408" t="s">
        <v>27</v>
      </c>
      <c r="C1408" t="s">
        <v>28</v>
      </c>
      <c r="D1408" t="s">
        <v>14</v>
      </c>
      <c r="E1408" s="68">
        <v>4753</v>
      </c>
      <c r="F1408" s="68">
        <v>2738</v>
      </c>
      <c r="G1408" s="68">
        <v>7491</v>
      </c>
    </row>
    <row r="1409" spans="1:7" x14ac:dyDescent="0.3">
      <c r="A1409" t="s">
        <v>711</v>
      </c>
      <c r="B1409" t="s">
        <v>27</v>
      </c>
      <c r="C1409" t="s">
        <v>28</v>
      </c>
      <c r="D1409" t="s">
        <v>15</v>
      </c>
      <c r="E1409" s="68">
        <v>6515</v>
      </c>
      <c r="F1409" s="68">
        <v>4045</v>
      </c>
      <c r="G1409" s="68">
        <v>10560</v>
      </c>
    </row>
    <row r="1410" spans="1:7" x14ac:dyDescent="0.3">
      <c r="A1410" t="s">
        <v>711</v>
      </c>
      <c r="B1410" t="s">
        <v>27</v>
      </c>
      <c r="C1410" t="s">
        <v>28</v>
      </c>
      <c r="D1410" t="s">
        <v>16</v>
      </c>
      <c r="E1410" s="68">
        <v>6269</v>
      </c>
      <c r="F1410" s="68">
        <v>4021</v>
      </c>
      <c r="G1410" s="68">
        <v>10290</v>
      </c>
    </row>
    <row r="1411" spans="1:7" x14ac:dyDescent="0.3">
      <c r="A1411" t="s">
        <v>711</v>
      </c>
      <c r="B1411" t="s">
        <v>27</v>
      </c>
      <c r="C1411" t="s">
        <v>28</v>
      </c>
      <c r="D1411" t="s">
        <v>17</v>
      </c>
      <c r="E1411" s="68">
        <v>5509</v>
      </c>
      <c r="F1411" s="68">
        <v>3291</v>
      </c>
      <c r="G1411" s="68">
        <v>8800</v>
      </c>
    </row>
    <row r="1412" spans="1:7" x14ac:dyDescent="0.3">
      <c r="A1412" t="s">
        <v>711</v>
      </c>
      <c r="B1412" t="s">
        <v>27</v>
      </c>
      <c r="C1412" t="s">
        <v>28</v>
      </c>
      <c r="D1412" t="s">
        <v>18</v>
      </c>
      <c r="E1412" s="68">
        <v>6097</v>
      </c>
      <c r="F1412" s="68">
        <v>3410</v>
      </c>
      <c r="G1412" s="68">
        <v>9507</v>
      </c>
    </row>
    <row r="1413" spans="1:7" x14ac:dyDescent="0.3">
      <c r="A1413" t="s">
        <v>711</v>
      </c>
      <c r="B1413" t="s">
        <v>27</v>
      </c>
      <c r="C1413" t="s">
        <v>28</v>
      </c>
      <c r="D1413" t="s">
        <v>19</v>
      </c>
      <c r="E1413" s="68">
        <v>6918</v>
      </c>
      <c r="F1413" s="68">
        <v>3722</v>
      </c>
      <c r="G1413" s="68">
        <v>10640</v>
      </c>
    </row>
    <row r="1414" spans="1:7" x14ac:dyDescent="0.3">
      <c r="A1414" t="s">
        <v>711</v>
      </c>
      <c r="B1414" t="s">
        <v>27</v>
      </c>
      <c r="C1414" t="s">
        <v>28</v>
      </c>
      <c r="D1414" t="s">
        <v>20</v>
      </c>
      <c r="E1414" s="68">
        <v>6520</v>
      </c>
      <c r="F1414" s="68">
        <v>3600</v>
      </c>
      <c r="G1414" s="68">
        <v>10120</v>
      </c>
    </row>
    <row r="1415" spans="1:7" x14ac:dyDescent="0.3">
      <c r="A1415" t="s">
        <v>711</v>
      </c>
      <c r="B1415" t="s">
        <v>27</v>
      </c>
      <c r="C1415" t="s">
        <v>28</v>
      </c>
      <c r="D1415" t="s">
        <v>21</v>
      </c>
      <c r="E1415" s="68">
        <v>6417</v>
      </c>
      <c r="F1415" s="68">
        <v>3318</v>
      </c>
      <c r="G1415" s="68">
        <v>9735</v>
      </c>
    </row>
    <row r="1416" spans="1:7" x14ac:dyDescent="0.3">
      <c r="A1416" t="s">
        <v>711</v>
      </c>
      <c r="B1416" t="s">
        <v>27</v>
      </c>
      <c r="C1416" t="s">
        <v>28</v>
      </c>
      <c r="D1416" t="s">
        <v>22</v>
      </c>
      <c r="E1416" s="68">
        <v>6207</v>
      </c>
      <c r="F1416" s="68">
        <v>2948</v>
      </c>
      <c r="G1416" s="68">
        <v>9155</v>
      </c>
    </row>
    <row r="1417" spans="1:7" x14ac:dyDescent="0.3">
      <c r="A1417" t="s">
        <v>711</v>
      </c>
      <c r="B1417" t="s">
        <v>27</v>
      </c>
      <c r="C1417" t="s">
        <v>28</v>
      </c>
      <c r="D1417" t="s">
        <v>23</v>
      </c>
      <c r="E1417" s="68">
        <v>5799</v>
      </c>
      <c r="F1417" s="68">
        <v>3238</v>
      </c>
      <c r="G1417" s="68">
        <v>9037</v>
      </c>
    </row>
    <row r="1418" spans="1:7" x14ac:dyDescent="0.3">
      <c r="A1418" t="s">
        <v>711</v>
      </c>
      <c r="B1418" t="s">
        <v>27</v>
      </c>
      <c r="C1418" t="s">
        <v>29</v>
      </c>
      <c r="D1418" t="s">
        <v>7</v>
      </c>
      <c r="E1418" s="68">
        <v>6</v>
      </c>
      <c r="F1418" s="68">
        <v>2</v>
      </c>
      <c r="G1418" s="68">
        <v>8</v>
      </c>
    </row>
    <row r="1419" spans="1:7" x14ac:dyDescent="0.3">
      <c r="A1419" t="s">
        <v>711</v>
      </c>
      <c r="B1419" t="s">
        <v>27</v>
      </c>
      <c r="C1419" t="s">
        <v>29</v>
      </c>
      <c r="D1419" t="s">
        <v>10</v>
      </c>
      <c r="E1419" s="68">
        <v>1</v>
      </c>
      <c r="F1419" s="68">
        <v>34</v>
      </c>
      <c r="G1419" s="68">
        <v>35</v>
      </c>
    </row>
    <row r="1420" spans="1:7" x14ac:dyDescent="0.3">
      <c r="A1420" t="s">
        <v>711</v>
      </c>
      <c r="B1420" t="s">
        <v>27</v>
      </c>
      <c r="C1420" t="s">
        <v>29</v>
      </c>
      <c r="D1420" t="s">
        <v>11</v>
      </c>
      <c r="E1420" s="68">
        <v>72</v>
      </c>
      <c r="F1420" s="68">
        <v>1075</v>
      </c>
      <c r="G1420" s="68">
        <v>1147</v>
      </c>
    </row>
    <row r="1421" spans="1:7" x14ac:dyDescent="0.3">
      <c r="A1421" t="s">
        <v>711</v>
      </c>
      <c r="B1421" t="s">
        <v>27</v>
      </c>
      <c r="C1421" t="s">
        <v>29</v>
      </c>
      <c r="D1421" t="s">
        <v>12</v>
      </c>
      <c r="E1421" s="68">
        <v>226</v>
      </c>
      <c r="F1421" s="68">
        <v>2845</v>
      </c>
      <c r="G1421" s="68">
        <v>3071</v>
      </c>
    </row>
    <row r="1422" spans="1:7" x14ac:dyDescent="0.3">
      <c r="A1422" t="s">
        <v>711</v>
      </c>
      <c r="B1422" t="s">
        <v>27</v>
      </c>
      <c r="C1422" t="s">
        <v>29</v>
      </c>
      <c r="D1422" t="s">
        <v>13</v>
      </c>
      <c r="E1422" s="68">
        <v>259</v>
      </c>
      <c r="F1422" s="68">
        <v>2860</v>
      </c>
      <c r="G1422" s="68">
        <v>3119</v>
      </c>
    </row>
    <row r="1423" spans="1:7" x14ac:dyDescent="0.3">
      <c r="A1423" t="s">
        <v>711</v>
      </c>
      <c r="B1423" t="s">
        <v>27</v>
      </c>
      <c r="C1423" t="s">
        <v>29</v>
      </c>
      <c r="D1423" t="s">
        <v>14</v>
      </c>
      <c r="E1423" s="68">
        <v>154</v>
      </c>
      <c r="F1423" s="68">
        <v>2037</v>
      </c>
      <c r="G1423" s="68">
        <v>2191</v>
      </c>
    </row>
    <row r="1424" spans="1:7" x14ac:dyDescent="0.3">
      <c r="A1424" t="s">
        <v>711</v>
      </c>
      <c r="B1424" t="s">
        <v>27</v>
      </c>
      <c r="C1424" t="s">
        <v>29</v>
      </c>
      <c r="D1424" t="s">
        <v>15</v>
      </c>
      <c r="E1424" s="68">
        <v>129</v>
      </c>
      <c r="F1424" s="68">
        <v>1454</v>
      </c>
      <c r="G1424" s="68">
        <v>1583</v>
      </c>
    </row>
    <row r="1425" spans="1:7" x14ac:dyDescent="0.3">
      <c r="A1425" t="s">
        <v>711</v>
      </c>
      <c r="B1425" t="s">
        <v>27</v>
      </c>
      <c r="C1425" t="s">
        <v>29</v>
      </c>
      <c r="D1425" t="s">
        <v>16</v>
      </c>
      <c r="E1425" s="68">
        <v>79</v>
      </c>
      <c r="F1425" s="68">
        <v>987</v>
      </c>
      <c r="G1425" s="68">
        <v>1066</v>
      </c>
    </row>
    <row r="1426" spans="1:7" x14ac:dyDescent="0.3">
      <c r="A1426" t="s">
        <v>711</v>
      </c>
      <c r="B1426" t="s">
        <v>27</v>
      </c>
      <c r="C1426" t="s">
        <v>29</v>
      </c>
      <c r="D1426" t="s">
        <v>17</v>
      </c>
      <c r="E1426" s="68">
        <v>52</v>
      </c>
      <c r="F1426" s="68">
        <v>613</v>
      </c>
      <c r="G1426" s="68">
        <v>665</v>
      </c>
    </row>
    <row r="1427" spans="1:7" x14ac:dyDescent="0.3">
      <c r="A1427" t="s">
        <v>711</v>
      </c>
      <c r="B1427" t="s">
        <v>27</v>
      </c>
      <c r="C1427" t="s">
        <v>29</v>
      </c>
      <c r="D1427" t="s">
        <v>18</v>
      </c>
      <c r="E1427" s="68">
        <v>25</v>
      </c>
      <c r="F1427" s="68">
        <v>424</v>
      </c>
      <c r="G1427" s="68">
        <v>449</v>
      </c>
    </row>
    <row r="1428" spans="1:7" x14ac:dyDescent="0.3">
      <c r="A1428" t="s">
        <v>711</v>
      </c>
      <c r="B1428" t="s">
        <v>27</v>
      </c>
      <c r="C1428" t="s">
        <v>29</v>
      </c>
      <c r="D1428" t="s">
        <v>19</v>
      </c>
      <c r="E1428" s="68">
        <v>22</v>
      </c>
      <c r="F1428" s="68">
        <v>295</v>
      </c>
      <c r="G1428" s="68">
        <v>317</v>
      </c>
    </row>
    <row r="1429" spans="1:7" x14ac:dyDescent="0.3">
      <c r="A1429" t="s">
        <v>711</v>
      </c>
      <c r="B1429" t="s">
        <v>27</v>
      </c>
      <c r="C1429" t="s">
        <v>29</v>
      </c>
      <c r="D1429" t="s">
        <v>20</v>
      </c>
      <c r="E1429" s="68">
        <v>10</v>
      </c>
      <c r="F1429" s="68">
        <v>154</v>
      </c>
      <c r="G1429" s="68">
        <v>164</v>
      </c>
    </row>
    <row r="1430" spans="1:7" x14ac:dyDescent="0.3">
      <c r="A1430" t="s">
        <v>711</v>
      </c>
      <c r="B1430" t="s">
        <v>27</v>
      </c>
      <c r="C1430" t="s">
        <v>29</v>
      </c>
      <c r="D1430" t="s">
        <v>21</v>
      </c>
      <c r="E1430" s="68">
        <v>9</v>
      </c>
      <c r="F1430" s="68">
        <v>86</v>
      </c>
      <c r="G1430" s="68">
        <v>95</v>
      </c>
    </row>
    <row r="1431" spans="1:7" x14ac:dyDescent="0.3">
      <c r="A1431" t="s">
        <v>711</v>
      </c>
      <c r="B1431" t="s">
        <v>27</v>
      </c>
      <c r="C1431" t="s">
        <v>29</v>
      </c>
      <c r="D1431" t="s">
        <v>22</v>
      </c>
      <c r="E1431" s="68"/>
      <c r="F1431" s="68">
        <v>36</v>
      </c>
      <c r="G1431" s="68">
        <v>36</v>
      </c>
    </row>
    <row r="1432" spans="1:7" x14ac:dyDescent="0.3">
      <c r="A1432" t="s">
        <v>711</v>
      </c>
      <c r="B1432" t="s">
        <v>27</v>
      </c>
      <c r="C1432" t="s">
        <v>29</v>
      </c>
      <c r="D1432" t="s">
        <v>23</v>
      </c>
      <c r="E1432" s="68"/>
      <c r="F1432" s="68">
        <v>13</v>
      </c>
      <c r="G1432" s="68">
        <v>13</v>
      </c>
    </row>
    <row r="1433" spans="1:7" x14ac:dyDescent="0.3">
      <c r="A1433" t="s">
        <v>711</v>
      </c>
      <c r="B1433" t="s">
        <v>36</v>
      </c>
      <c r="C1433" t="s">
        <v>6</v>
      </c>
      <c r="D1433" t="s">
        <v>7</v>
      </c>
      <c r="E1433" s="68">
        <v>17171</v>
      </c>
      <c r="F1433" s="68">
        <v>18285</v>
      </c>
      <c r="G1433" s="68">
        <v>35456</v>
      </c>
    </row>
    <row r="1434" spans="1:7" x14ac:dyDescent="0.3">
      <c r="A1434" t="s">
        <v>711</v>
      </c>
      <c r="B1434" t="s">
        <v>36</v>
      </c>
      <c r="C1434" t="s">
        <v>6</v>
      </c>
      <c r="D1434" t="s">
        <v>8</v>
      </c>
      <c r="E1434" s="68">
        <v>26130</v>
      </c>
      <c r="F1434" s="68">
        <v>26919</v>
      </c>
      <c r="G1434" s="68">
        <v>53049</v>
      </c>
    </row>
    <row r="1435" spans="1:7" x14ac:dyDescent="0.3">
      <c r="A1435" t="s">
        <v>711</v>
      </c>
      <c r="B1435" t="s">
        <v>36</v>
      </c>
      <c r="C1435" t="s">
        <v>6</v>
      </c>
      <c r="D1435" t="s">
        <v>9</v>
      </c>
      <c r="E1435" s="68">
        <v>31175</v>
      </c>
      <c r="F1435" s="68">
        <v>32136</v>
      </c>
      <c r="G1435" s="68">
        <v>63311</v>
      </c>
    </row>
    <row r="1436" spans="1:7" x14ac:dyDescent="0.3">
      <c r="A1436" t="s">
        <v>711</v>
      </c>
      <c r="B1436" t="s">
        <v>36</v>
      </c>
      <c r="C1436" t="s">
        <v>6</v>
      </c>
      <c r="D1436" t="s">
        <v>10</v>
      </c>
      <c r="E1436" s="68">
        <v>34623</v>
      </c>
      <c r="F1436" s="68">
        <v>35119</v>
      </c>
      <c r="G1436" s="68">
        <v>69742</v>
      </c>
    </row>
    <row r="1437" spans="1:7" x14ac:dyDescent="0.3">
      <c r="A1437" t="s">
        <v>711</v>
      </c>
      <c r="B1437" t="s">
        <v>36</v>
      </c>
      <c r="C1437" t="s">
        <v>6</v>
      </c>
      <c r="D1437" t="s">
        <v>11</v>
      </c>
      <c r="E1437" s="68">
        <v>41461</v>
      </c>
      <c r="F1437" s="68">
        <v>44386</v>
      </c>
      <c r="G1437" s="68">
        <v>85847</v>
      </c>
    </row>
    <row r="1438" spans="1:7" x14ac:dyDescent="0.3">
      <c r="A1438" t="s">
        <v>711</v>
      </c>
      <c r="B1438" t="s">
        <v>36</v>
      </c>
      <c r="C1438" t="s">
        <v>6</v>
      </c>
      <c r="D1438" t="s">
        <v>12</v>
      </c>
      <c r="E1438" s="68">
        <v>43935</v>
      </c>
      <c r="F1438" s="68">
        <v>47562</v>
      </c>
      <c r="G1438" s="68">
        <v>91497</v>
      </c>
    </row>
    <row r="1439" spans="1:7" x14ac:dyDescent="0.3">
      <c r="A1439" t="s">
        <v>711</v>
      </c>
      <c r="B1439" t="s">
        <v>36</v>
      </c>
      <c r="C1439" t="s">
        <v>6</v>
      </c>
      <c r="D1439" t="s">
        <v>13</v>
      </c>
      <c r="E1439" s="68">
        <v>43788</v>
      </c>
      <c r="F1439" s="68">
        <v>46618</v>
      </c>
      <c r="G1439" s="68">
        <v>90406</v>
      </c>
    </row>
    <row r="1440" spans="1:7" x14ac:dyDescent="0.3">
      <c r="A1440" t="s">
        <v>711</v>
      </c>
      <c r="B1440" t="s">
        <v>36</v>
      </c>
      <c r="C1440" t="s">
        <v>6</v>
      </c>
      <c r="D1440" t="s">
        <v>14</v>
      </c>
      <c r="E1440" s="68">
        <v>38828</v>
      </c>
      <c r="F1440" s="68">
        <v>40551</v>
      </c>
      <c r="G1440" s="68">
        <v>79379</v>
      </c>
    </row>
    <row r="1441" spans="1:7" x14ac:dyDescent="0.3">
      <c r="A1441" t="s">
        <v>711</v>
      </c>
      <c r="B1441" t="s">
        <v>36</v>
      </c>
      <c r="C1441" t="s">
        <v>6</v>
      </c>
      <c r="D1441" t="s">
        <v>15</v>
      </c>
      <c r="E1441" s="68">
        <v>35222</v>
      </c>
      <c r="F1441" s="68">
        <v>35899</v>
      </c>
      <c r="G1441" s="68">
        <v>71121</v>
      </c>
    </row>
    <row r="1442" spans="1:7" x14ac:dyDescent="0.3">
      <c r="A1442" t="s">
        <v>711</v>
      </c>
      <c r="B1442" t="s">
        <v>36</v>
      </c>
      <c r="C1442" t="s">
        <v>6</v>
      </c>
      <c r="D1442" t="s">
        <v>16</v>
      </c>
      <c r="E1442" s="68">
        <v>29800</v>
      </c>
      <c r="F1442" s="68">
        <v>28887</v>
      </c>
      <c r="G1442" s="68">
        <v>58687</v>
      </c>
    </row>
    <row r="1443" spans="1:7" x14ac:dyDescent="0.3">
      <c r="A1443" t="s">
        <v>711</v>
      </c>
      <c r="B1443" t="s">
        <v>36</v>
      </c>
      <c r="C1443" t="s">
        <v>6</v>
      </c>
      <c r="D1443" t="s">
        <v>17</v>
      </c>
      <c r="E1443" s="68">
        <v>23309</v>
      </c>
      <c r="F1443" s="68">
        <v>23024</v>
      </c>
      <c r="G1443" s="68">
        <v>46333</v>
      </c>
    </row>
    <row r="1444" spans="1:7" x14ac:dyDescent="0.3">
      <c r="A1444" t="s">
        <v>711</v>
      </c>
      <c r="B1444" t="s">
        <v>36</v>
      </c>
      <c r="C1444" t="s">
        <v>6</v>
      </c>
      <c r="D1444" t="s">
        <v>18</v>
      </c>
      <c r="E1444" s="68">
        <v>20736</v>
      </c>
      <c r="F1444" s="68">
        <v>19720</v>
      </c>
      <c r="G1444" s="68">
        <v>40456</v>
      </c>
    </row>
    <row r="1445" spans="1:7" x14ac:dyDescent="0.3">
      <c r="A1445" t="s">
        <v>711</v>
      </c>
      <c r="B1445" t="s">
        <v>36</v>
      </c>
      <c r="C1445" t="s">
        <v>6</v>
      </c>
      <c r="D1445" t="s">
        <v>19</v>
      </c>
      <c r="E1445" s="68">
        <v>17305</v>
      </c>
      <c r="F1445" s="68">
        <v>16237</v>
      </c>
      <c r="G1445" s="68">
        <v>33542</v>
      </c>
    </row>
    <row r="1446" spans="1:7" x14ac:dyDescent="0.3">
      <c r="A1446" t="s">
        <v>711</v>
      </c>
      <c r="B1446" t="s">
        <v>36</v>
      </c>
      <c r="C1446" t="s">
        <v>6</v>
      </c>
      <c r="D1446" t="s">
        <v>20</v>
      </c>
      <c r="E1446" s="68">
        <v>12720</v>
      </c>
      <c r="F1446" s="68">
        <v>11400</v>
      </c>
      <c r="G1446" s="68">
        <v>24120</v>
      </c>
    </row>
    <row r="1447" spans="1:7" x14ac:dyDescent="0.3">
      <c r="A1447" t="s">
        <v>711</v>
      </c>
      <c r="B1447" t="s">
        <v>36</v>
      </c>
      <c r="C1447" t="s">
        <v>6</v>
      </c>
      <c r="D1447" t="s">
        <v>21</v>
      </c>
      <c r="E1447" s="68">
        <v>8912</v>
      </c>
      <c r="F1447" s="68">
        <v>7492</v>
      </c>
      <c r="G1447" s="68">
        <v>16404</v>
      </c>
    </row>
    <row r="1448" spans="1:7" x14ac:dyDescent="0.3">
      <c r="A1448" t="s">
        <v>711</v>
      </c>
      <c r="B1448" t="s">
        <v>36</v>
      </c>
      <c r="C1448" t="s">
        <v>6</v>
      </c>
      <c r="D1448" t="s">
        <v>22</v>
      </c>
      <c r="E1448" s="68">
        <v>5497</v>
      </c>
      <c r="F1448" s="68">
        <v>4614</v>
      </c>
      <c r="G1448" s="68">
        <v>10111</v>
      </c>
    </row>
    <row r="1449" spans="1:7" x14ac:dyDescent="0.3">
      <c r="A1449" t="s">
        <v>711</v>
      </c>
      <c r="B1449" t="s">
        <v>36</v>
      </c>
      <c r="C1449" t="s">
        <v>6</v>
      </c>
      <c r="D1449" t="s">
        <v>23</v>
      </c>
      <c r="E1449" s="68">
        <v>6130</v>
      </c>
      <c r="F1449" s="68">
        <v>3932</v>
      </c>
      <c r="G1449" s="68">
        <v>10062</v>
      </c>
    </row>
    <row r="1450" spans="1:7" x14ac:dyDescent="0.3">
      <c r="A1450" t="s">
        <v>711</v>
      </c>
      <c r="B1450" t="s">
        <v>36</v>
      </c>
      <c r="C1450" t="s">
        <v>24</v>
      </c>
      <c r="D1450" t="s">
        <v>7</v>
      </c>
      <c r="E1450" s="68">
        <v>4549</v>
      </c>
      <c r="F1450" s="68">
        <v>4838</v>
      </c>
      <c r="G1450" s="68">
        <v>9387</v>
      </c>
    </row>
    <row r="1451" spans="1:7" x14ac:dyDescent="0.3">
      <c r="A1451" t="s">
        <v>711</v>
      </c>
      <c r="B1451" t="s">
        <v>36</v>
      </c>
      <c r="C1451" t="s">
        <v>24</v>
      </c>
      <c r="D1451" t="s">
        <v>8</v>
      </c>
      <c r="E1451" s="68">
        <v>6987</v>
      </c>
      <c r="F1451" s="68">
        <v>7437</v>
      </c>
      <c r="G1451" s="68">
        <v>14424</v>
      </c>
    </row>
    <row r="1452" spans="1:7" x14ac:dyDescent="0.3">
      <c r="A1452" t="s">
        <v>711</v>
      </c>
      <c r="B1452" t="s">
        <v>36</v>
      </c>
      <c r="C1452" t="s">
        <v>24</v>
      </c>
      <c r="D1452" t="s">
        <v>9</v>
      </c>
      <c r="E1452" s="68">
        <v>7557</v>
      </c>
      <c r="F1452" s="68">
        <v>7976</v>
      </c>
      <c r="G1452" s="68">
        <v>15533</v>
      </c>
    </row>
    <row r="1453" spans="1:7" x14ac:dyDescent="0.3">
      <c r="A1453" t="s">
        <v>711</v>
      </c>
      <c r="B1453" t="s">
        <v>36</v>
      </c>
      <c r="C1453" t="s">
        <v>24</v>
      </c>
      <c r="D1453" t="s">
        <v>10</v>
      </c>
      <c r="E1453" s="68">
        <v>7497</v>
      </c>
      <c r="F1453" s="68">
        <v>7955</v>
      </c>
      <c r="G1453" s="68">
        <v>15452</v>
      </c>
    </row>
    <row r="1454" spans="1:7" x14ac:dyDescent="0.3">
      <c r="A1454" t="s">
        <v>711</v>
      </c>
      <c r="B1454" t="s">
        <v>36</v>
      </c>
      <c r="C1454" t="s">
        <v>24</v>
      </c>
      <c r="D1454" t="s">
        <v>11</v>
      </c>
      <c r="E1454" s="68">
        <v>10424</v>
      </c>
      <c r="F1454" s="68">
        <v>11368</v>
      </c>
      <c r="G1454" s="68">
        <v>21792</v>
      </c>
    </row>
    <row r="1455" spans="1:7" x14ac:dyDescent="0.3">
      <c r="A1455" t="s">
        <v>711</v>
      </c>
      <c r="B1455" t="s">
        <v>36</v>
      </c>
      <c r="C1455" t="s">
        <v>24</v>
      </c>
      <c r="D1455" t="s">
        <v>12</v>
      </c>
      <c r="E1455" s="68">
        <v>10393</v>
      </c>
      <c r="F1455" s="68">
        <v>11513</v>
      </c>
      <c r="G1455" s="68">
        <v>21906</v>
      </c>
    </row>
    <row r="1456" spans="1:7" x14ac:dyDescent="0.3">
      <c r="A1456" t="s">
        <v>711</v>
      </c>
      <c r="B1456" t="s">
        <v>36</v>
      </c>
      <c r="C1456" t="s">
        <v>24</v>
      </c>
      <c r="D1456" t="s">
        <v>13</v>
      </c>
      <c r="E1456" s="68">
        <v>8357</v>
      </c>
      <c r="F1456" s="68">
        <v>9206</v>
      </c>
      <c r="G1456" s="68">
        <v>17563</v>
      </c>
    </row>
    <row r="1457" spans="1:7" x14ac:dyDescent="0.3">
      <c r="A1457" t="s">
        <v>711</v>
      </c>
      <c r="B1457" t="s">
        <v>36</v>
      </c>
      <c r="C1457" t="s">
        <v>24</v>
      </c>
      <c r="D1457" t="s">
        <v>14</v>
      </c>
      <c r="E1457" s="68">
        <v>7024</v>
      </c>
      <c r="F1457" s="68">
        <v>7261</v>
      </c>
      <c r="G1457" s="68">
        <v>14285</v>
      </c>
    </row>
    <row r="1458" spans="1:7" x14ac:dyDescent="0.3">
      <c r="A1458" t="s">
        <v>711</v>
      </c>
      <c r="B1458" t="s">
        <v>36</v>
      </c>
      <c r="C1458" t="s">
        <v>24</v>
      </c>
      <c r="D1458" t="s">
        <v>15</v>
      </c>
      <c r="E1458" s="68">
        <v>6406</v>
      </c>
      <c r="F1458" s="68">
        <v>6057</v>
      </c>
      <c r="G1458" s="68">
        <v>12463</v>
      </c>
    </row>
    <row r="1459" spans="1:7" x14ac:dyDescent="0.3">
      <c r="A1459" t="s">
        <v>711</v>
      </c>
      <c r="B1459" t="s">
        <v>36</v>
      </c>
      <c r="C1459" t="s">
        <v>24</v>
      </c>
      <c r="D1459" t="s">
        <v>16</v>
      </c>
      <c r="E1459" s="68">
        <v>5606</v>
      </c>
      <c r="F1459" s="68">
        <v>4960</v>
      </c>
      <c r="G1459" s="68">
        <v>10566</v>
      </c>
    </row>
    <row r="1460" spans="1:7" x14ac:dyDescent="0.3">
      <c r="A1460" t="s">
        <v>711</v>
      </c>
      <c r="B1460" t="s">
        <v>36</v>
      </c>
      <c r="C1460" t="s">
        <v>24</v>
      </c>
      <c r="D1460" t="s">
        <v>17</v>
      </c>
      <c r="E1460" s="68">
        <v>4645</v>
      </c>
      <c r="F1460" s="68">
        <v>4242</v>
      </c>
      <c r="G1460" s="68">
        <v>8887</v>
      </c>
    </row>
    <row r="1461" spans="1:7" x14ac:dyDescent="0.3">
      <c r="A1461" t="s">
        <v>711</v>
      </c>
      <c r="B1461" t="s">
        <v>36</v>
      </c>
      <c r="C1461" t="s">
        <v>24</v>
      </c>
      <c r="D1461" t="s">
        <v>18</v>
      </c>
      <c r="E1461" s="68">
        <v>4308</v>
      </c>
      <c r="F1461" s="68">
        <v>3901</v>
      </c>
      <c r="G1461" s="68">
        <v>8209</v>
      </c>
    </row>
    <row r="1462" spans="1:7" x14ac:dyDescent="0.3">
      <c r="A1462" t="s">
        <v>711</v>
      </c>
      <c r="B1462" t="s">
        <v>36</v>
      </c>
      <c r="C1462" t="s">
        <v>24</v>
      </c>
      <c r="D1462" t="s">
        <v>19</v>
      </c>
      <c r="E1462" s="68">
        <v>3633</v>
      </c>
      <c r="F1462" s="68">
        <v>3588</v>
      </c>
      <c r="G1462" s="68">
        <v>7221</v>
      </c>
    </row>
    <row r="1463" spans="1:7" x14ac:dyDescent="0.3">
      <c r="A1463" t="s">
        <v>711</v>
      </c>
      <c r="B1463" t="s">
        <v>36</v>
      </c>
      <c r="C1463" t="s">
        <v>24</v>
      </c>
      <c r="D1463" t="s">
        <v>20</v>
      </c>
      <c r="E1463" s="68">
        <v>2268</v>
      </c>
      <c r="F1463" s="68">
        <v>2366</v>
      </c>
      <c r="G1463" s="68">
        <v>4634</v>
      </c>
    </row>
    <row r="1464" spans="1:7" x14ac:dyDescent="0.3">
      <c r="A1464" t="s">
        <v>711</v>
      </c>
      <c r="B1464" t="s">
        <v>36</v>
      </c>
      <c r="C1464" t="s">
        <v>24</v>
      </c>
      <c r="D1464" t="s">
        <v>21</v>
      </c>
      <c r="E1464" s="68">
        <v>1305</v>
      </c>
      <c r="F1464" s="68">
        <v>1352</v>
      </c>
      <c r="G1464" s="68">
        <v>2657</v>
      </c>
    </row>
    <row r="1465" spans="1:7" x14ac:dyDescent="0.3">
      <c r="A1465" t="s">
        <v>711</v>
      </c>
      <c r="B1465" t="s">
        <v>36</v>
      </c>
      <c r="C1465" t="s">
        <v>24</v>
      </c>
      <c r="D1465" t="s">
        <v>22</v>
      </c>
      <c r="E1465" s="68">
        <v>773</v>
      </c>
      <c r="F1465" s="68">
        <v>684</v>
      </c>
      <c r="G1465" s="68">
        <v>1457</v>
      </c>
    </row>
    <row r="1466" spans="1:7" x14ac:dyDescent="0.3">
      <c r="A1466" t="s">
        <v>711</v>
      </c>
      <c r="B1466" t="s">
        <v>36</v>
      </c>
      <c r="C1466" t="s">
        <v>24</v>
      </c>
      <c r="D1466" t="s">
        <v>23</v>
      </c>
      <c r="E1466" s="68">
        <v>799</v>
      </c>
      <c r="F1466" s="68">
        <v>577</v>
      </c>
      <c r="G1466" s="68">
        <v>1376</v>
      </c>
    </row>
    <row r="1467" spans="1:7" x14ac:dyDescent="0.3">
      <c r="A1467" t="s">
        <v>711</v>
      </c>
      <c r="B1467" t="s">
        <v>538</v>
      </c>
      <c r="C1467" t="s">
        <v>24</v>
      </c>
      <c r="D1467" t="s">
        <v>9</v>
      </c>
      <c r="E1467" s="68">
        <v>1</v>
      </c>
      <c r="F1467" s="68"/>
      <c r="G1467" s="68">
        <v>1</v>
      </c>
    </row>
    <row r="1468" spans="1:7" x14ac:dyDescent="0.3">
      <c r="A1468" t="s">
        <v>39</v>
      </c>
      <c r="B1468" t="s">
        <v>691</v>
      </c>
      <c r="C1468" t="s">
        <v>6</v>
      </c>
      <c r="D1468" t="s">
        <v>9</v>
      </c>
      <c r="E1468" s="68"/>
      <c r="F1468" s="68">
        <v>1</v>
      </c>
      <c r="G1468" s="68">
        <v>1</v>
      </c>
    </row>
    <row r="1469" spans="1:7" x14ac:dyDescent="0.3">
      <c r="A1469" t="s">
        <v>39</v>
      </c>
      <c r="B1469" t="s">
        <v>691</v>
      </c>
      <c r="C1469" t="s">
        <v>6</v>
      </c>
      <c r="D1469" t="s">
        <v>15</v>
      </c>
      <c r="E1469" s="68">
        <v>1</v>
      </c>
      <c r="F1469" s="68">
        <v>1</v>
      </c>
      <c r="G1469" s="68">
        <v>2</v>
      </c>
    </row>
    <row r="1470" spans="1:7" x14ac:dyDescent="0.3">
      <c r="A1470" t="s">
        <v>39</v>
      </c>
      <c r="B1470" t="s">
        <v>30</v>
      </c>
      <c r="C1470" t="s">
        <v>6</v>
      </c>
      <c r="D1470" t="s">
        <v>7</v>
      </c>
      <c r="E1470" s="68">
        <v>51</v>
      </c>
      <c r="F1470" s="68">
        <v>61</v>
      </c>
      <c r="G1470" s="68">
        <v>112</v>
      </c>
    </row>
    <row r="1471" spans="1:7" x14ac:dyDescent="0.3">
      <c r="A1471" t="s">
        <v>39</v>
      </c>
      <c r="B1471" t="s">
        <v>30</v>
      </c>
      <c r="C1471" t="s">
        <v>6</v>
      </c>
      <c r="D1471" t="s">
        <v>8</v>
      </c>
      <c r="E1471" s="68">
        <v>73</v>
      </c>
      <c r="F1471" s="68">
        <v>61</v>
      </c>
      <c r="G1471" s="68">
        <v>134</v>
      </c>
    </row>
    <row r="1472" spans="1:7" x14ac:dyDescent="0.3">
      <c r="A1472" t="s">
        <v>39</v>
      </c>
      <c r="B1472" t="s">
        <v>30</v>
      </c>
      <c r="C1472" t="s">
        <v>6</v>
      </c>
      <c r="D1472" t="s">
        <v>9</v>
      </c>
      <c r="E1472" s="68">
        <v>74</v>
      </c>
      <c r="F1472" s="68">
        <v>84</v>
      </c>
      <c r="G1472" s="68">
        <v>158</v>
      </c>
    </row>
    <row r="1473" spans="1:7" x14ac:dyDescent="0.3">
      <c r="A1473" t="s">
        <v>39</v>
      </c>
      <c r="B1473" t="s">
        <v>30</v>
      </c>
      <c r="C1473" t="s">
        <v>6</v>
      </c>
      <c r="D1473" t="s">
        <v>10</v>
      </c>
      <c r="E1473" s="68">
        <v>114</v>
      </c>
      <c r="F1473" s="68">
        <v>121</v>
      </c>
      <c r="G1473" s="68">
        <v>235</v>
      </c>
    </row>
    <row r="1474" spans="1:7" x14ac:dyDescent="0.3">
      <c r="A1474" t="s">
        <v>39</v>
      </c>
      <c r="B1474" t="s">
        <v>30</v>
      </c>
      <c r="C1474" t="s">
        <v>6</v>
      </c>
      <c r="D1474" t="s">
        <v>11</v>
      </c>
      <c r="E1474" s="68">
        <v>320</v>
      </c>
      <c r="F1474" s="68">
        <v>607</v>
      </c>
      <c r="G1474" s="68">
        <v>927</v>
      </c>
    </row>
    <row r="1475" spans="1:7" x14ac:dyDescent="0.3">
      <c r="A1475" t="s">
        <v>39</v>
      </c>
      <c r="B1475" t="s">
        <v>30</v>
      </c>
      <c r="C1475" t="s">
        <v>6</v>
      </c>
      <c r="D1475" t="s">
        <v>12</v>
      </c>
      <c r="E1475" s="68">
        <v>430</v>
      </c>
      <c r="F1475" s="68">
        <v>734</v>
      </c>
      <c r="G1475" s="68">
        <v>1164</v>
      </c>
    </row>
    <row r="1476" spans="1:7" x14ac:dyDescent="0.3">
      <c r="A1476" t="s">
        <v>39</v>
      </c>
      <c r="B1476" t="s">
        <v>30</v>
      </c>
      <c r="C1476" t="s">
        <v>6</v>
      </c>
      <c r="D1476" t="s">
        <v>13</v>
      </c>
      <c r="E1476" s="68">
        <v>369</v>
      </c>
      <c r="F1476" s="68">
        <v>604</v>
      </c>
      <c r="G1476" s="68">
        <v>973</v>
      </c>
    </row>
    <row r="1477" spans="1:7" x14ac:dyDescent="0.3">
      <c r="A1477" t="s">
        <v>39</v>
      </c>
      <c r="B1477" t="s">
        <v>30</v>
      </c>
      <c r="C1477" t="s">
        <v>6</v>
      </c>
      <c r="D1477" t="s">
        <v>14</v>
      </c>
      <c r="E1477" s="68">
        <v>301</v>
      </c>
      <c r="F1477" s="68">
        <v>500</v>
      </c>
      <c r="G1477" s="68">
        <v>801</v>
      </c>
    </row>
    <row r="1478" spans="1:7" x14ac:dyDescent="0.3">
      <c r="A1478" t="s">
        <v>39</v>
      </c>
      <c r="B1478" t="s">
        <v>30</v>
      </c>
      <c r="C1478" t="s">
        <v>6</v>
      </c>
      <c r="D1478" t="s">
        <v>15</v>
      </c>
      <c r="E1478" s="68">
        <v>264</v>
      </c>
      <c r="F1478" s="68">
        <v>381</v>
      </c>
      <c r="G1478" s="68">
        <v>645</v>
      </c>
    </row>
    <row r="1479" spans="1:7" x14ac:dyDescent="0.3">
      <c r="A1479" t="s">
        <v>39</v>
      </c>
      <c r="B1479" t="s">
        <v>30</v>
      </c>
      <c r="C1479" t="s">
        <v>6</v>
      </c>
      <c r="D1479" t="s">
        <v>16</v>
      </c>
      <c r="E1479" s="68">
        <v>195</v>
      </c>
      <c r="F1479" s="68">
        <v>362</v>
      </c>
      <c r="G1479" s="68">
        <v>557</v>
      </c>
    </row>
    <row r="1480" spans="1:7" x14ac:dyDescent="0.3">
      <c r="A1480" t="s">
        <v>39</v>
      </c>
      <c r="B1480" t="s">
        <v>30</v>
      </c>
      <c r="C1480" t="s">
        <v>6</v>
      </c>
      <c r="D1480" t="s">
        <v>17</v>
      </c>
      <c r="E1480" s="68">
        <v>152</v>
      </c>
      <c r="F1480" s="68">
        <v>233</v>
      </c>
      <c r="G1480" s="68">
        <v>385</v>
      </c>
    </row>
    <row r="1481" spans="1:7" x14ac:dyDescent="0.3">
      <c r="A1481" t="s">
        <v>39</v>
      </c>
      <c r="B1481" t="s">
        <v>30</v>
      </c>
      <c r="C1481" t="s">
        <v>6</v>
      </c>
      <c r="D1481" t="s">
        <v>18</v>
      </c>
      <c r="E1481" s="68">
        <v>159</v>
      </c>
      <c r="F1481" s="68">
        <v>210</v>
      </c>
      <c r="G1481" s="68">
        <v>369</v>
      </c>
    </row>
    <row r="1482" spans="1:7" x14ac:dyDescent="0.3">
      <c r="A1482" t="s">
        <v>39</v>
      </c>
      <c r="B1482" t="s">
        <v>30</v>
      </c>
      <c r="C1482" t="s">
        <v>6</v>
      </c>
      <c r="D1482" t="s">
        <v>19</v>
      </c>
      <c r="E1482" s="68">
        <v>99</v>
      </c>
      <c r="F1482" s="68">
        <v>147</v>
      </c>
      <c r="G1482" s="68">
        <v>246</v>
      </c>
    </row>
    <row r="1483" spans="1:7" x14ac:dyDescent="0.3">
      <c r="A1483" t="s">
        <v>39</v>
      </c>
      <c r="B1483" t="s">
        <v>30</v>
      </c>
      <c r="C1483" t="s">
        <v>6</v>
      </c>
      <c r="D1483" t="s">
        <v>20</v>
      </c>
      <c r="E1483" s="68">
        <v>65</v>
      </c>
      <c r="F1483" s="68">
        <v>104</v>
      </c>
      <c r="G1483" s="68">
        <v>169</v>
      </c>
    </row>
    <row r="1484" spans="1:7" x14ac:dyDescent="0.3">
      <c r="A1484" t="s">
        <v>39</v>
      </c>
      <c r="B1484" t="s">
        <v>30</v>
      </c>
      <c r="C1484" t="s">
        <v>6</v>
      </c>
      <c r="D1484" t="s">
        <v>21</v>
      </c>
      <c r="E1484" s="68">
        <v>50</v>
      </c>
      <c r="F1484" s="68">
        <v>53</v>
      </c>
      <c r="G1484" s="68">
        <v>103</v>
      </c>
    </row>
    <row r="1485" spans="1:7" x14ac:dyDescent="0.3">
      <c r="A1485" t="s">
        <v>39</v>
      </c>
      <c r="B1485" t="s">
        <v>30</v>
      </c>
      <c r="C1485" t="s">
        <v>6</v>
      </c>
      <c r="D1485" t="s">
        <v>22</v>
      </c>
      <c r="E1485" s="68">
        <v>40</v>
      </c>
      <c r="F1485" s="68">
        <v>35</v>
      </c>
      <c r="G1485" s="68">
        <v>75</v>
      </c>
    </row>
    <row r="1486" spans="1:7" x14ac:dyDescent="0.3">
      <c r="A1486" t="s">
        <v>39</v>
      </c>
      <c r="B1486" t="s">
        <v>30</v>
      </c>
      <c r="C1486" t="s">
        <v>6</v>
      </c>
      <c r="D1486" t="s">
        <v>23</v>
      </c>
      <c r="E1486" s="68">
        <v>48</v>
      </c>
      <c r="F1486" s="68">
        <v>47</v>
      </c>
      <c r="G1486" s="68">
        <v>95</v>
      </c>
    </row>
    <row r="1487" spans="1:7" x14ac:dyDescent="0.3">
      <c r="A1487" t="s">
        <v>39</v>
      </c>
      <c r="B1487" t="s">
        <v>30</v>
      </c>
      <c r="C1487" t="s">
        <v>24</v>
      </c>
      <c r="D1487" t="s">
        <v>7</v>
      </c>
      <c r="E1487" s="68">
        <v>3797</v>
      </c>
      <c r="F1487" s="68">
        <v>3950</v>
      </c>
      <c r="G1487" s="68">
        <v>7747</v>
      </c>
    </row>
    <row r="1488" spans="1:7" x14ac:dyDescent="0.3">
      <c r="A1488" t="s">
        <v>39</v>
      </c>
      <c r="B1488" t="s">
        <v>30</v>
      </c>
      <c r="C1488" t="s">
        <v>24</v>
      </c>
      <c r="D1488" t="s">
        <v>8</v>
      </c>
      <c r="E1488" s="68">
        <v>6911</v>
      </c>
      <c r="F1488" s="68">
        <v>7135</v>
      </c>
      <c r="G1488" s="68">
        <v>14046</v>
      </c>
    </row>
    <row r="1489" spans="1:7" x14ac:dyDescent="0.3">
      <c r="A1489" t="s">
        <v>39</v>
      </c>
      <c r="B1489" t="s">
        <v>30</v>
      </c>
      <c r="C1489" t="s">
        <v>24</v>
      </c>
      <c r="D1489" t="s">
        <v>9</v>
      </c>
      <c r="E1489" s="68">
        <v>7987</v>
      </c>
      <c r="F1489" s="68">
        <v>8342</v>
      </c>
      <c r="G1489" s="68">
        <v>16329</v>
      </c>
    </row>
    <row r="1490" spans="1:7" x14ac:dyDescent="0.3">
      <c r="A1490" t="s">
        <v>39</v>
      </c>
      <c r="B1490" t="s">
        <v>30</v>
      </c>
      <c r="C1490" t="s">
        <v>24</v>
      </c>
      <c r="D1490" t="s">
        <v>10</v>
      </c>
      <c r="E1490" s="68">
        <v>7267</v>
      </c>
      <c r="F1490" s="68">
        <v>7753</v>
      </c>
      <c r="G1490" s="68">
        <v>15020</v>
      </c>
    </row>
    <row r="1491" spans="1:7" x14ac:dyDescent="0.3">
      <c r="A1491" t="s">
        <v>39</v>
      </c>
      <c r="B1491" t="s">
        <v>30</v>
      </c>
      <c r="C1491" t="s">
        <v>24</v>
      </c>
      <c r="D1491" t="s">
        <v>11</v>
      </c>
      <c r="E1491" s="68">
        <v>5898</v>
      </c>
      <c r="F1491" s="68">
        <v>6726</v>
      </c>
      <c r="G1491" s="68">
        <v>12624</v>
      </c>
    </row>
    <row r="1492" spans="1:7" x14ac:dyDescent="0.3">
      <c r="A1492" t="s">
        <v>39</v>
      </c>
      <c r="B1492" t="s">
        <v>30</v>
      </c>
      <c r="C1492" t="s">
        <v>24</v>
      </c>
      <c r="D1492" t="s">
        <v>12</v>
      </c>
      <c r="E1492" s="68">
        <v>6522</v>
      </c>
      <c r="F1492" s="68">
        <v>7083</v>
      </c>
      <c r="G1492" s="68">
        <v>13605</v>
      </c>
    </row>
    <row r="1493" spans="1:7" x14ac:dyDescent="0.3">
      <c r="A1493" t="s">
        <v>39</v>
      </c>
      <c r="B1493" t="s">
        <v>30</v>
      </c>
      <c r="C1493" t="s">
        <v>24</v>
      </c>
      <c r="D1493" t="s">
        <v>13</v>
      </c>
      <c r="E1493" s="68">
        <v>6170</v>
      </c>
      <c r="F1493" s="68">
        <v>6801</v>
      </c>
      <c r="G1493" s="68">
        <v>12971</v>
      </c>
    </row>
    <row r="1494" spans="1:7" x14ac:dyDescent="0.3">
      <c r="A1494" t="s">
        <v>39</v>
      </c>
      <c r="B1494" t="s">
        <v>30</v>
      </c>
      <c r="C1494" t="s">
        <v>24</v>
      </c>
      <c r="D1494" t="s">
        <v>14</v>
      </c>
      <c r="E1494" s="68">
        <v>5149</v>
      </c>
      <c r="F1494" s="68">
        <v>6123</v>
      </c>
      <c r="G1494" s="68">
        <v>11272</v>
      </c>
    </row>
    <row r="1495" spans="1:7" x14ac:dyDescent="0.3">
      <c r="A1495" t="s">
        <v>39</v>
      </c>
      <c r="B1495" t="s">
        <v>30</v>
      </c>
      <c r="C1495" t="s">
        <v>24</v>
      </c>
      <c r="D1495" t="s">
        <v>15</v>
      </c>
      <c r="E1495" s="68">
        <v>4616</v>
      </c>
      <c r="F1495" s="68">
        <v>5354</v>
      </c>
      <c r="G1495" s="68">
        <v>9970</v>
      </c>
    </row>
    <row r="1496" spans="1:7" x14ac:dyDescent="0.3">
      <c r="A1496" t="s">
        <v>39</v>
      </c>
      <c r="B1496" t="s">
        <v>30</v>
      </c>
      <c r="C1496" t="s">
        <v>24</v>
      </c>
      <c r="D1496" t="s">
        <v>16</v>
      </c>
      <c r="E1496" s="68">
        <v>4468</v>
      </c>
      <c r="F1496" s="68">
        <v>4758</v>
      </c>
      <c r="G1496" s="68">
        <v>9226</v>
      </c>
    </row>
    <row r="1497" spans="1:7" x14ac:dyDescent="0.3">
      <c r="A1497" t="s">
        <v>39</v>
      </c>
      <c r="B1497" t="s">
        <v>30</v>
      </c>
      <c r="C1497" t="s">
        <v>24</v>
      </c>
      <c r="D1497" t="s">
        <v>17</v>
      </c>
      <c r="E1497" s="68">
        <v>3730</v>
      </c>
      <c r="F1497" s="68">
        <v>4169</v>
      </c>
      <c r="G1497" s="68">
        <v>7899</v>
      </c>
    </row>
    <row r="1498" spans="1:7" x14ac:dyDescent="0.3">
      <c r="A1498" t="s">
        <v>39</v>
      </c>
      <c r="B1498" t="s">
        <v>30</v>
      </c>
      <c r="C1498" t="s">
        <v>24</v>
      </c>
      <c r="D1498" t="s">
        <v>18</v>
      </c>
      <c r="E1498" s="68">
        <v>3499</v>
      </c>
      <c r="F1498" s="68">
        <v>3843</v>
      </c>
      <c r="G1498" s="68">
        <v>7342</v>
      </c>
    </row>
    <row r="1499" spans="1:7" x14ac:dyDescent="0.3">
      <c r="A1499" t="s">
        <v>39</v>
      </c>
      <c r="B1499" t="s">
        <v>30</v>
      </c>
      <c r="C1499" t="s">
        <v>24</v>
      </c>
      <c r="D1499" t="s">
        <v>19</v>
      </c>
      <c r="E1499" s="68">
        <v>2723</v>
      </c>
      <c r="F1499" s="68">
        <v>3108</v>
      </c>
      <c r="G1499" s="68">
        <v>5831</v>
      </c>
    </row>
    <row r="1500" spans="1:7" x14ac:dyDescent="0.3">
      <c r="A1500" t="s">
        <v>39</v>
      </c>
      <c r="B1500" t="s">
        <v>30</v>
      </c>
      <c r="C1500" t="s">
        <v>24</v>
      </c>
      <c r="D1500" t="s">
        <v>20</v>
      </c>
      <c r="E1500" s="68">
        <v>2069</v>
      </c>
      <c r="F1500" s="68">
        <v>2365</v>
      </c>
      <c r="G1500" s="68">
        <v>4434</v>
      </c>
    </row>
    <row r="1501" spans="1:7" x14ac:dyDescent="0.3">
      <c r="A1501" t="s">
        <v>39</v>
      </c>
      <c r="B1501" t="s">
        <v>30</v>
      </c>
      <c r="C1501" t="s">
        <v>24</v>
      </c>
      <c r="D1501" t="s">
        <v>21</v>
      </c>
      <c r="E1501" s="68">
        <v>1373</v>
      </c>
      <c r="F1501" s="68">
        <v>1574</v>
      </c>
      <c r="G1501" s="68">
        <v>2947</v>
      </c>
    </row>
    <row r="1502" spans="1:7" x14ac:dyDescent="0.3">
      <c r="A1502" t="s">
        <v>39</v>
      </c>
      <c r="B1502" t="s">
        <v>30</v>
      </c>
      <c r="C1502" t="s">
        <v>24</v>
      </c>
      <c r="D1502" t="s">
        <v>22</v>
      </c>
      <c r="E1502" s="68">
        <v>1054</v>
      </c>
      <c r="F1502" s="68">
        <v>1066</v>
      </c>
      <c r="G1502" s="68">
        <v>2120</v>
      </c>
    </row>
    <row r="1503" spans="1:7" x14ac:dyDescent="0.3">
      <c r="A1503" t="s">
        <v>39</v>
      </c>
      <c r="B1503" t="s">
        <v>30</v>
      </c>
      <c r="C1503" t="s">
        <v>24</v>
      </c>
      <c r="D1503" t="s">
        <v>23</v>
      </c>
      <c r="E1503" s="68">
        <v>1915</v>
      </c>
      <c r="F1503" s="68">
        <v>1750</v>
      </c>
      <c r="G1503" s="68">
        <v>3665</v>
      </c>
    </row>
    <row r="1504" spans="1:7" x14ac:dyDescent="0.3">
      <c r="A1504" t="s">
        <v>39</v>
      </c>
      <c r="B1504" t="s">
        <v>712</v>
      </c>
      <c r="C1504" t="s">
        <v>6</v>
      </c>
      <c r="D1504" t="s">
        <v>23</v>
      </c>
      <c r="E1504" s="68"/>
      <c r="F1504" s="68">
        <v>1</v>
      </c>
      <c r="G1504" s="68">
        <v>1</v>
      </c>
    </row>
    <row r="1505" spans="1:7" x14ac:dyDescent="0.3">
      <c r="A1505" t="s">
        <v>39</v>
      </c>
      <c r="B1505" t="s">
        <v>31</v>
      </c>
      <c r="C1505" t="s">
        <v>6</v>
      </c>
      <c r="D1505" t="s">
        <v>7</v>
      </c>
      <c r="E1505" s="68">
        <v>761</v>
      </c>
      <c r="F1505" s="68">
        <v>816</v>
      </c>
      <c r="G1505" s="68">
        <v>1577</v>
      </c>
    </row>
    <row r="1506" spans="1:7" x14ac:dyDescent="0.3">
      <c r="A1506" t="s">
        <v>39</v>
      </c>
      <c r="B1506" t="s">
        <v>31</v>
      </c>
      <c r="C1506" t="s">
        <v>6</v>
      </c>
      <c r="D1506" t="s">
        <v>8</v>
      </c>
      <c r="E1506" s="68">
        <v>695</v>
      </c>
      <c r="F1506" s="68">
        <v>703</v>
      </c>
      <c r="G1506" s="68">
        <v>1398</v>
      </c>
    </row>
    <row r="1507" spans="1:7" x14ac:dyDescent="0.3">
      <c r="A1507" t="s">
        <v>39</v>
      </c>
      <c r="B1507" t="s">
        <v>31</v>
      </c>
      <c r="C1507" t="s">
        <v>6</v>
      </c>
      <c r="D1507" t="s">
        <v>9</v>
      </c>
      <c r="E1507" s="68">
        <v>524</v>
      </c>
      <c r="F1507" s="68">
        <v>546</v>
      </c>
      <c r="G1507" s="68">
        <v>1070</v>
      </c>
    </row>
    <row r="1508" spans="1:7" x14ac:dyDescent="0.3">
      <c r="A1508" t="s">
        <v>39</v>
      </c>
      <c r="B1508" t="s">
        <v>31</v>
      </c>
      <c r="C1508" t="s">
        <v>6</v>
      </c>
      <c r="D1508" t="s">
        <v>10</v>
      </c>
      <c r="E1508" s="68">
        <v>616</v>
      </c>
      <c r="F1508" s="68">
        <v>699</v>
      </c>
      <c r="G1508" s="68">
        <v>1315</v>
      </c>
    </row>
    <row r="1509" spans="1:7" x14ac:dyDescent="0.3">
      <c r="A1509" t="s">
        <v>39</v>
      </c>
      <c r="B1509" t="s">
        <v>31</v>
      </c>
      <c r="C1509" t="s">
        <v>6</v>
      </c>
      <c r="D1509" t="s">
        <v>11</v>
      </c>
      <c r="E1509" s="68">
        <v>1582</v>
      </c>
      <c r="F1509" s="68">
        <v>2525</v>
      </c>
      <c r="G1509" s="68">
        <v>4107</v>
      </c>
    </row>
    <row r="1510" spans="1:7" x14ac:dyDescent="0.3">
      <c r="A1510" t="s">
        <v>39</v>
      </c>
      <c r="B1510" t="s">
        <v>31</v>
      </c>
      <c r="C1510" t="s">
        <v>6</v>
      </c>
      <c r="D1510" t="s">
        <v>12</v>
      </c>
      <c r="E1510" s="68">
        <v>1818</v>
      </c>
      <c r="F1510" s="68">
        <v>2407</v>
      </c>
      <c r="G1510" s="68">
        <v>4225</v>
      </c>
    </row>
    <row r="1511" spans="1:7" x14ac:dyDescent="0.3">
      <c r="A1511" t="s">
        <v>39</v>
      </c>
      <c r="B1511" t="s">
        <v>31</v>
      </c>
      <c r="C1511" t="s">
        <v>6</v>
      </c>
      <c r="D1511" t="s">
        <v>13</v>
      </c>
      <c r="E1511" s="68">
        <v>1776</v>
      </c>
      <c r="F1511" s="68">
        <v>2057</v>
      </c>
      <c r="G1511" s="68">
        <v>3833</v>
      </c>
    </row>
    <row r="1512" spans="1:7" x14ac:dyDescent="0.3">
      <c r="A1512" t="s">
        <v>39</v>
      </c>
      <c r="B1512" t="s">
        <v>31</v>
      </c>
      <c r="C1512" t="s">
        <v>6</v>
      </c>
      <c r="D1512" t="s">
        <v>14</v>
      </c>
      <c r="E1512" s="68">
        <v>1440</v>
      </c>
      <c r="F1512" s="68">
        <v>1452</v>
      </c>
      <c r="G1512" s="68">
        <v>2892</v>
      </c>
    </row>
    <row r="1513" spans="1:7" x14ac:dyDescent="0.3">
      <c r="A1513" t="s">
        <v>39</v>
      </c>
      <c r="B1513" t="s">
        <v>31</v>
      </c>
      <c r="C1513" t="s">
        <v>6</v>
      </c>
      <c r="D1513" t="s">
        <v>15</v>
      </c>
      <c r="E1513" s="68">
        <v>1188</v>
      </c>
      <c r="F1513" s="68">
        <v>1233</v>
      </c>
      <c r="G1513" s="68">
        <v>2421</v>
      </c>
    </row>
    <row r="1514" spans="1:7" x14ac:dyDescent="0.3">
      <c r="A1514" t="s">
        <v>39</v>
      </c>
      <c r="B1514" t="s">
        <v>31</v>
      </c>
      <c r="C1514" t="s">
        <v>6</v>
      </c>
      <c r="D1514" t="s">
        <v>16</v>
      </c>
      <c r="E1514" s="68">
        <v>929</v>
      </c>
      <c r="F1514" s="68">
        <v>978</v>
      </c>
      <c r="G1514" s="68">
        <v>1907</v>
      </c>
    </row>
    <row r="1515" spans="1:7" x14ac:dyDescent="0.3">
      <c r="A1515" t="s">
        <v>39</v>
      </c>
      <c r="B1515" t="s">
        <v>31</v>
      </c>
      <c r="C1515" t="s">
        <v>6</v>
      </c>
      <c r="D1515" t="s">
        <v>17</v>
      </c>
      <c r="E1515" s="68">
        <v>631</v>
      </c>
      <c r="F1515" s="68">
        <v>784</v>
      </c>
      <c r="G1515" s="68">
        <v>1415</v>
      </c>
    </row>
    <row r="1516" spans="1:7" x14ac:dyDescent="0.3">
      <c r="A1516" t="s">
        <v>39</v>
      </c>
      <c r="B1516" t="s">
        <v>31</v>
      </c>
      <c r="C1516" t="s">
        <v>6</v>
      </c>
      <c r="D1516" t="s">
        <v>18</v>
      </c>
      <c r="E1516" s="68">
        <v>501</v>
      </c>
      <c r="F1516" s="68">
        <v>624</v>
      </c>
      <c r="G1516" s="68">
        <v>1125</v>
      </c>
    </row>
    <row r="1517" spans="1:7" x14ac:dyDescent="0.3">
      <c r="A1517" t="s">
        <v>39</v>
      </c>
      <c r="B1517" t="s">
        <v>31</v>
      </c>
      <c r="C1517" t="s">
        <v>6</v>
      </c>
      <c r="D1517" t="s">
        <v>19</v>
      </c>
      <c r="E1517" s="68">
        <v>388</v>
      </c>
      <c r="F1517" s="68">
        <v>495</v>
      </c>
      <c r="G1517" s="68">
        <v>883</v>
      </c>
    </row>
    <row r="1518" spans="1:7" x14ac:dyDescent="0.3">
      <c r="A1518" t="s">
        <v>39</v>
      </c>
      <c r="B1518" t="s">
        <v>31</v>
      </c>
      <c r="C1518" t="s">
        <v>6</v>
      </c>
      <c r="D1518" t="s">
        <v>20</v>
      </c>
      <c r="E1518" s="68">
        <v>330</v>
      </c>
      <c r="F1518" s="68">
        <v>370</v>
      </c>
      <c r="G1518" s="68">
        <v>700</v>
      </c>
    </row>
    <row r="1519" spans="1:7" x14ac:dyDescent="0.3">
      <c r="A1519" t="s">
        <v>39</v>
      </c>
      <c r="B1519" t="s">
        <v>31</v>
      </c>
      <c r="C1519" t="s">
        <v>6</v>
      </c>
      <c r="D1519" t="s">
        <v>21</v>
      </c>
      <c r="E1519" s="68">
        <v>231</v>
      </c>
      <c r="F1519" s="68">
        <v>212</v>
      </c>
      <c r="G1519" s="68">
        <v>443</v>
      </c>
    </row>
    <row r="1520" spans="1:7" x14ac:dyDescent="0.3">
      <c r="A1520" t="s">
        <v>39</v>
      </c>
      <c r="B1520" t="s">
        <v>31</v>
      </c>
      <c r="C1520" t="s">
        <v>6</v>
      </c>
      <c r="D1520" t="s">
        <v>22</v>
      </c>
      <c r="E1520" s="68">
        <v>125</v>
      </c>
      <c r="F1520" s="68">
        <v>122</v>
      </c>
      <c r="G1520" s="68">
        <v>247</v>
      </c>
    </row>
    <row r="1521" spans="1:7" x14ac:dyDescent="0.3">
      <c r="A1521" t="s">
        <v>39</v>
      </c>
      <c r="B1521" t="s">
        <v>31</v>
      </c>
      <c r="C1521" t="s">
        <v>6</v>
      </c>
      <c r="D1521" t="s">
        <v>23</v>
      </c>
      <c r="E1521" s="68">
        <v>206</v>
      </c>
      <c r="F1521" s="68">
        <v>130</v>
      </c>
      <c r="G1521" s="68">
        <v>336</v>
      </c>
    </row>
    <row r="1522" spans="1:7" x14ac:dyDescent="0.3">
      <c r="A1522" t="s">
        <v>39</v>
      </c>
      <c r="B1522" t="s">
        <v>31</v>
      </c>
      <c r="C1522" t="s">
        <v>24</v>
      </c>
      <c r="D1522" t="s">
        <v>7</v>
      </c>
      <c r="E1522" s="68">
        <v>9650</v>
      </c>
      <c r="F1522" s="68">
        <v>10147</v>
      </c>
      <c r="G1522" s="68">
        <v>19797</v>
      </c>
    </row>
    <row r="1523" spans="1:7" x14ac:dyDescent="0.3">
      <c r="A1523" t="s">
        <v>39</v>
      </c>
      <c r="B1523" t="s">
        <v>31</v>
      </c>
      <c r="C1523" t="s">
        <v>24</v>
      </c>
      <c r="D1523" t="s">
        <v>8</v>
      </c>
      <c r="E1523" s="68">
        <v>13891</v>
      </c>
      <c r="F1523" s="68">
        <v>14682</v>
      </c>
      <c r="G1523" s="68">
        <v>28573</v>
      </c>
    </row>
    <row r="1524" spans="1:7" x14ac:dyDescent="0.3">
      <c r="A1524" t="s">
        <v>39</v>
      </c>
      <c r="B1524" t="s">
        <v>31</v>
      </c>
      <c r="C1524" t="s">
        <v>24</v>
      </c>
      <c r="D1524" t="s">
        <v>9</v>
      </c>
      <c r="E1524" s="68">
        <v>15936</v>
      </c>
      <c r="F1524" s="68">
        <v>16924</v>
      </c>
      <c r="G1524" s="68">
        <v>32860</v>
      </c>
    </row>
    <row r="1525" spans="1:7" x14ac:dyDescent="0.3">
      <c r="A1525" t="s">
        <v>39</v>
      </c>
      <c r="B1525" t="s">
        <v>31</v>
      </c>
      <c r="C1525" t="s">
        <v>24</v>
      </c>
      <c r="D1525" t="s">
        <v>10</v>
      </c>
      <c r="E1525" s="68">
        <v>17195</v>
      </c>
      <c r="F1525" s="68">
        <v>17657</v>
      </c>
      <c r="G1525" s="68">
        <v>34852</v>
      </c>
    </row>
    <row r="1526" spans="1:7" x14ac:dyDescent="0.3">
      <c r="A1526" t="s">
        <v>39</v>
      </c>
      <c r="B1526" t="s">
        <v>31</v>
      </c>
      <c r="C1526" t="s">
        <v>24</v>
      </c>
      <c r="D1526" t="s">
        <v>11</v>
      </c>
      <c r="E1526" s="68">
        <v>13823</v>
      </c>
      <c r="F1526" s="68">
        <v>11469</v>
      </c>
      <c r="G1526" s="68">
        <v>25292</v>
      </c>
    </row>
    <row r="1527" spans="1:7" x14ac:dyDescent="0.3">
      <c r="A1527" t="s">
        <v>39</v>
      </c>
      <c r="B1527" t="s">
        <v>31</v>
      </c>
      <c r="C1527" t="s">
        <v>24</v>
      </c>
      <c r="D1527" t="s">
        <v>12</v>
      </c>
      <c r="E1527" s="68">
        <v>11947</v>
      </c>
      <c r="F1527" s="68">
        <v>8858</v>
      </c>
      <c r="G1527" s="68">
        <v>20805</v>
      </c>
    </row>
    <row r="1528" spans="1:7" x14ac:dyDescent="0.3">
      <c r="A1528" t="s">
        <v>39</v>
      </c>
      <c r="B1528" t="s">
        <v>31</v>
      </c>
      <c r="C1528" t="s">
        <v>24</v>
      </c>
      <c r="D1528" t="s">
        <v>13</v>
      </c>
      <c r="E1528" s="68">
        <v>12052</v>
      </c>
      <c r="F1528" s="68">
        <v>9112</v>
      </c>
      <c r="G1528" s="68">
        <v>21164</v>
      </c>
    </row>
    <row r="1529" spans="1:7" x14ac:dyDescent="0.3">
      <c r="A1529" t="s">
        <v>39</v>
      </c>
      <c r="B1529" t="s">
        <v>31</v>
      </c>
      <c r="C1529" t="s">
        <v>24</v>
      </c>
      <c r="D1529" t="s">
        <v>14</v>
      </c>
      <c r="E1529" s="68">
        <v>10699</v>
      </c>
      <c r="F1529" s="68">
        <v>8066</v>
      </c>
      <c r="G1529" s="68">
        <v>18765</v>
      </c>
    </row>
    <row r="1530" spans="1:7" x14ac:dyDescent="0.3">
      <c r="A1530" t="s">
        <v>39</v>
      </c>
      <c r="B1530" t="s">
        <v>31</v>
      </c>
      <c r="C1530" t="s">
        <v>24</v>
      </c>
      <c r="D1530" t="s">
        <v>15</v>
      </c>
      <c r="E1530" s="68">
        <v>10853</v>
      </c>
      <c r="F1530" s="68">
        <v>8528</v>
      </c>
      <c r="G1530" s="68">
        <v>19381</v>
      </c>
    </row>
    <row r="1531" spans="1:7" x14ac:dyDescent="0.3">
      <c r="A1531" t="s">
        <v>39</v>
      </c>
      <c r="B1531" t="s">
        <v>31</v>
      </c>
      <c r="C1531" t="s">
        <v>24</v>
      </c>
      <c r="D1531" t="s">
        <v>16</v>
      </c>
      <c r="E1531" s="68">
        <v>10077</v>
      </c>
      <c r="F1531" s="68">
        <v>8120</v>
      </c>
      <c r="G1531" s="68">
        <v>18197</v>
      </c>
    </row>
    <row r="1532" spans="1:7" x14ac:dyDescent="0.3">
      <c r="A1532" t="s">
        <v>39</v>
      </c>
      <c r="B1532" t="s">
        <v>31</v>
      </c>
      <c r="C1532" t="s">
        <v>24</v>
      </c>
      <c r="D1532" t="s">
        <v>17</v>
      </c>
      <c r="E1532" s="68">
        <v>9341</v>
      </c>
      <c r="F1532" s="68">
        <v>7462</v>
      </c>
      <c r="G1532" s="68">
        <v>16803</v>
      </c>
    </row>
    <row r="1533" spans="1:7" x14ac:dyDescent="0.3">
      <c r="A1533" t="s">
        <v>39</v>
      </c>
      <c r="B1533" t="s">
        <v>31</v>
      </c>
      <c r="C1533" t="s">
        <v>24</v>
      </c>
      <c r="D1533" t="s">
        <v>18</v>
      </c>
      <c r="E1533" s="68">
        <v>9577</v>
      </c>
      <c r="F1533" s="68">
        <v>8049</v>
      </c>
      <c r="G1533" s="68">
        <v>17626</v>
      </c>
    </row>
    <row r="1534" spans="1:7" x14ac:dyDescent="0.3">
      <c r="A1534" t="s">
        <v>39</v>
      </c>
      <c r="B1534" t="s">
        <v>31</v>
      </c>
      <c r="C1534" t="s">
        <v>24</v>
      </c>
      <c r="D1534" t="s">
        <v>19</v>
      </c>
      <c r="E1534" s="68">
        <v>8959</v>
      </c>
      <c r="F1534" s="68">
        <v>8026</v>
      </c>
      <c r="G1534" s="68">
        <v>16985</v>
      </c>
    </row>
    <row r="1535" spans="1:7" x14ac:dyDescent="0.3">
      <c r="A1535" t="s">
        <v>39</v>
      </c>
      <c r="B1535" t="s">
        <v>31</v>
      </c>
      <c r="C1535" t="s">
        <v>24</v>
      </c>
      <c r="D1535" t="s">
        <v>20</v>
      </c>
      <c r="E1535" s="68">
        <v>7529</v>
      </c>
      <c r="F1535" s="68">
        <v>6674</v>
      </c>
      <c r="G1535" s="68">
        <v>14203</v>
      </c>
    </row>
    <row r="1536" spans="1:7" x14ac:dyDescent="0.3">
      <c r="A1536" t="s">
        <v>39</v>
      </c>
      <c r="B1536" t="s">
        <v>31</v>
      </c>
      <c r="C1536" t="s">
        <v>24</v>
      </c>
      <c r="D1536" t="s">
        <v>21</v>
      </c>
      <c r="E1536" s="68">
        <v>5124</v>
      </c>
      <c r="F1536" s="68">
        <v>4637</v>
      </c>
      <c r="G1536" s="68">
        <v>9761</v>
      </c>
    </row>
    <row r="1537" spans="1:7" x14ac:dyDescent="0.3">
      <c r="A1537" t="s">
        <v>39</v>
      </c>
      <c r="B1537" t="s">
        <v>31</v>
      </c>
      <c r="C1537" t="s">
        <v>24</v>
      </c>
      <c r="D1537" t="s">
        <v>22</v>
      </c>
      <c r="E1537" s="68">
        <v>3616</v>
      </c>
      <c r="F1537" s="68">
        <v>3062</v>
      </c>
      <c r="G1537" s="68">
        <v>6678</v>
      </c>
    </row>
    <row r="1538" spans="1:7" x14ac:dyDescent="0.3">
      <c r="A1538" t="s">
        <v>39</v>
      </c>
      <c r="B1538" t="s">
        <v>31</v>
      </c>
      <c r="C1538" t="s">
        <v>24</v>
      </c>
      <c r="D1538" t="s">
        <v>23</v>
      </c>
      <c r="E1538" s="68">
        <v>5396</v>
      </c>
      <c r="F1538" s="68">
        <v>4120</v>
      </c>
      <c r="G1538" s="68">
        <v>9516</v>
      </c>
    </row>
    <row r="1539" spans="1:7" x14ac:dyDescent="0.3">
      <c r="A1539" t="s">
        <v>39</v>
      </c>
      <c r="B1539" t="s">
        <v>537</v>
      </c>
      <c r="C1539" t="s">
        <v>24</v>
      </c>
      <c r="D1539" t="s">
        <v>7</v>
      </c>
      <c r="E1539" s="68"/>
      <c r="F1539" s="68">
        <v>1</v>
      </c>
      <c r="G1539" s="68">
        <v>1</v>
      </c>
    </row>
    <row r="1540" spans="1:7" x14ac:dyDescent="0.3">
      <c r="A1540" t="s">
        <v>39</v>
      </c>
      <c r="B1540" t="s">
        <v>32</v>
      </c>
      <c r="C1540" t="s">
        <v>6</v>
      </c>
      <c r="D1540" t="s">
        <v>7</v>
      </c>
      <c r="E1540" s="68">
        <v>7</v>
      </c>
      <c r="F1540" s="68">
        <v>10</v>
      </c>
      <c r="G1540" s="68">
        <v>17</v>
      </c>
    </row>
    <row r="1541" spans="1:7" x14ac:dyDescent="0.3">
      <c r="A1541" t="s">
        <v>39</v>
      </c>
      <c r="B1541" t="s">
        <v>32</v>
      </c>
      <c r="C1541" t="s">
        <v>6</v>
      </c>
      <c r="D1541" t="s">
        <v>8</v>
      </c>
      <c r="E1541" s="68">
        <v>1</v>
      </c>
      <c r="F1541" s="68">
        <v>7</v>
      </c>
      <c r="G1541" s="68">
        <v>8</v>
      </c>
    </row>
    <row r="1542" spans="1:7" x14ac:dyDescent="0.3">
      <c r="A1542" t="s">
        <v>39</v>
      </c>
      <c r="B1542" t="s">
        <v>32</v>
      </c>
      <c r="C1542" t="s">
        <v>6</v>
      </c>
      <c r="D1542" t="s">
        <v>9</v>
      </c>
      <c r="E1542" s="68">
        <v>8</v>
      </c>
      <c r="F1542" s="68">
        <v>7</v>
      </c>
      <c r="G1542" s="68">
        <v>15</v>
      </c>
    </row>
    <row r="1543" spans="1:7" x14ac:dyDescent="0.3">
      <c r="A1543" t="s">
        <v>39</v>
      </c>
      <c r="B1543" t="s">
        <v>32</v>
      </c>
      <c r="C1543" t="s">
        <v>6</v>
      </c>
      <c r="D1543" t="s">
        <v>10</v>
      </c>
      <c r="E1543" s="68">
        <v>7</v>
      </c>
      <c r="F1543" s="68">
        <v>18</v>
      </c>
      <c r="G1543" s="68">
        <v>25</v>
      </c>
    </row>
    <row r="1544" spans="1:7" x14ac:dyDescent="0.3">
      <c r="A1544" t="s">
        <v>39</v>
      </c>
      <c r="B1544" t="s">
        <v>32</v>
      </c>
      <c r="C1544" t="s">
        <v>6</v>
      </c>
      <c r="D1544" t="s">
        <v>11</v>
      </c>
      <c r="E1544" s="68">
        <v>73</v>
      </c>
      <c r="F1544" s="68">
        <v>260</v>
      </c>
      <c r="G1544" s="68">
        <v>333</v>
      </c>
    </row>
    <row r="1545" spans="1:7" x14ac:dyDescent="0.3">
      <c r="A1545" t="s">
        <v>39</v>
      </c>
      <c r="B1545" t="s">
        <v>32</v>
      </c>
      <c r="C1545" t="s">
        <v>6</v>
      </c>
      <c r="D1545" t="s">
        <v>12</v>
      </c>
      <c r="E1545" s="68">
        <v>131</v>
      </c>
      <c r="F1545" s="68">
        <v>356</v>
      </c>
      <c r="G1545" s="68">
        <v>487</v>
      </c>
    </row>
    <row r="1546" spans="1:7" x14ac:dyDescent="0.3">
      <c r="A1546" t="s">
        <v>39</v>
      </c>
      <c r="B1546" t="s">
        <v>32</v>
      </c>
      <c r="C1546" t="s">
        <v>6</v>
      </c>
      <c r="D1546" t="s">
        <v>13</v>
      </c>
      <c r="E1546" s="68">
        <v>105</v>
      </c>
      <c r="F1546" s="68">
        <v>255</v>
      </c>
      <c r="G1546" s="68">
        <v>360</v>
      </c>
    </row>
    <row r="1547" spans="1:7" x14ac:dyDescent="0.3">
      <c r="A1547" t="s">
        <v>39</v>
      </c>
      <c r="B1547" t="s">
        <v>32</v>
      </c>
      <c r="C1547" t="s">
        <v>6</v>
      </c>
      <c r="D1547" t="s">
        <v>14</v>
      </c>
      <c r="E1547" s="68">
        <v>107</v>
      </c>
      <c r="F1547" s="68">
        <v>225</v>
      </c>
      <c r="G1547" s="68">
        <v>332</v>
      </c>
    </row>
    <row r="1548" spans="1:7" x14ac:dyDescent="0.3">
      <c r="A1548" t="s">
        <v>39</v>
      </c>
      <c r="B1548" t="s">
        <v>32</v>
      </c>
      <c r="C1548" t="s">
        <v>6</v>
      </c>
      <c r="D1548" t="s">
        <v>15</v>
      </c>
      <c r="E1548" s="68">
        <v>74</v>
      </c>
      <c r="F1548" s="68">
        <v>208</v>
      </c>
      <c r="G1548" s="68">
        <v>282</v>
      </c>
    </row>
    <row r="1549" spans="1:7" x14ac:dyDescent="0.3">
      <c r="A1549" t="s">
        <v>39</v>
      </c>
      <c r="B1549" t="s">
        <v>32</v>
      </c>
      <c r="C1549" t="s">
        <v>6</v>
      </c>
      <c r="D1549" t="s">
        <v>16</v>
      </c>
      <c r="E1549" s="68">
        <v>64</v>
      </c>
      <c r="F1549" s="68">
        <v>161</v>
      </c>
      <c r="G1549" s="68">
        <v>225</v>
      </c>
    </row>
    <row r="1550" spans="1:7" x14ac:dyDescent="0.3">
      <c r="A1550" t="s">
        <v>39</v>
      </c>
      <c r="B1550" t="s">
        <v>32</v>
      </c>
      <c r="C1550" t="s">
        <v>6</v>
      </c>
      <c r="D1550" t="s">
        <v>17</v>
      </c>
      <c r="E1550" s="68">
        <v>37</v>
      </c>
      <c r="F1550" s="68">
        <v>126</v>
      </c>
      <c r="G1550" s="68">
        <v>163</v>
      </c>
    </row>
    <row r="1551" spans="1:7" x14ac:dyDescent="0.3">
      <c r="A1551" t="s">
        <v>39</v>
      </c>
      <c r="B1551" t="s">
        <v>32</v>
      </c>
      <c r="C1551" t="s">
        <v>6</v>
      </c>
      <c r="D1551" t="s">
        <v>18</v>
      </c>
      <c r="E1551" s="68">
        <v>26</v>
      </c>
      <c r="F1551" s="68">
        <v>83</v>
      </c>
      <c r="G1551" s="68">
        <v>109</v>
      </c>
    </row>
    <row r="1552" spans="1:7" x14ac:dyDescent="0.3">
      <c r="A1552" t="s">
        <v>39</v>
      </c>
      <c r="B1552" t="s">
        <v>32</v>
      </c>
      <c r="C1552" t="s">
        <v>6</v>
      </c>
      <c r="D1552" t="s">
        <v>19</v>
      </c>
      <c r="E1552" s="68">
        <v>10</v>
      </c>
      <c r="F1552" s="68">
        <v>38</v>
      </c>
      <c r="G1552" s="68">
        <v>48</v>
      </c>
    </row>
    <row r="1553" spans="1:7" x14ac:dyDescent="0.3">
      <c r="A1553" t="s">
        <v>39</v>
      </c>
      <c r="B1553" t="s">
        <v>32</v>
      </c>
      <c r="C1553" t="s">
        <v>6</v>
      </c>
      <c r="D1553" t="s">
        <v>20</v>
      </c>
      <c r="E1553" s="68">
        <v>3</v>
      </c>
      <c r="F1553" s="68">
        <v>9</v>
      </c>
      <c r="G1553" s="68">
        <v>12</v>
      </c>
    </row>
    <row r="1554" spans="1:7" x14ac:dyDescent="0.3">
      <c r="A1554" t="s">
        <v>39</v>
      </c>
      <c r="B1554" t="s">
        <v>32</v>
      </c>
      <c r="C1554" t="s">
        <v>6</v>
      </c>
      <c r="D1554" t="s">
        <v>21</v>
      </c>
      <c r="E1554" s="68"/>
      <c r="F1554" s="68">
        <v>2</v>
      </c>
      <c r="G1554" s="68">
        <v>2</v>
      </c>
    </row>
    <row r="1555" spans="1:7" x14ac:dyDescent="0.3">
      <c r="A1555" t="s">
        <v>39</v>
      </c>
      <c r="B1555" t="s">
        <v>32</v>
      </c>
      <c r="C1555" t="s">
        <v>6</v>
      </c>
      <c r="D1555" t="s">
        <v>22</v>
      </c>
      <c r="E1555" s="68"/>
      <c r="F1555" s="68">
        <v>1</v>
      </c>
      <c r="G1555" s="68">
        <v>1</v>
      </c>
    </row>
    <row r="1556" spans="1:7" x14ac:dyDescent="0.3">
      <c r="A1556" t="s">
        <v>39</v>
      </c>
      <c r="B1556" t="s">
        <v>32</v>
      </c>
      <c r="C1556" t="s">
        <v>24</v>
      </c>
      <c r="D1556" t="s">
        <v>7</v>
      </c>
      <c r="E1556" s="68">
        <v>370</v>
      </c>
      <c r="F1556" s="68">
        <v>402</v>
      </c>
      <c r="G1556" s="68">
        <v>772</v>
      </c>
    </row>
    <row r="1557" spans="1:7" x14ac:dyDescent="0.3">
      <c r="A1557" t="s">
        <v>39</v>
      </c>
      <c r="B1557" t="s">
        <v>32</v>
      </c>
      <c r="C1557" t="s">
        <v>24</v>
      </c>
      <c r="D1557" t="s">
        <v>8</v>
      </c>
      <c r="E1557" s="68">
        <v>537</v>
      </c>
      <c r="F1557" s="68">
        <v>652</v>
      </c>
      <c r="G1557" s="68">
        <v>1189</v>
      </c>
    </row>
    <row r="1558" spans="1:7" x14ac:dyDescent="0.3">
      <c r="A1558" t="s">
        <v>39</v>
      </c>
      <c r="B1558" t="s">
        <v>32</v>
      </c>
      <c r="C1558" t="s">
        <v>24</v>
      </c>
      <c r="D1558" t="s">
        <v>9</v>
      </c>
      <c r="E1558" s="68">
        <v>701</v>
      </c>
      <c r="F1558" s="68">
        <v>718</v>
      </c>
      <c r="G1558" s="68">
        <v>1419</v>
      </c>
    </row>
    <row r="1559" spans="1:7" x14ac:dyDescent="0.3">
      <c r="A1559" t="s">
        <v>39</v>
      </c>
      <c r="B1559" t="s">
        <v>32</v>
      </c>
      <c r="C1559" t="s">
        <v>24</v>
      </c>
      <c r="D1559" t="s">
        <v>10</v>
      </c>
      <c r="E1559" s="68">
        <v>610</v>
      </c>
      <c r="F1559" s="68">
        <v>742</v>
      </c>
      <c r="G1559" s="68">
        <v>1352</v>
      </c>
    </row>
    <row r="1560" spans="1:7" x14ac:dyDescent="0.3">
      <c r="A1560" t="s">
        <v>39</v>
      </c>
      <c r="B1560" t="s">
        <v>32</v>
      </c>
      <c r="C1560" t="s">
        <v>24</v>
      </c>
      <c r="D1560" t="s">
        <v>11</v>
      </c>
      <c r="E1560" s="68">
        <v>834</v>
      </c>
      <c r="F1560" s="68">
        <v>1884</v>
      </c>
      <c r="G1560" s="68">
        <v>2718</v>
      </c>
    </row>
    <row r="1561" spans="1:7" x14ac:dyDescent="0.3">
      <c r="A1561" t="s">
        <v>39</v>
      </c>
      <c r="B1561" t="s">
        <v>32</v>
      </c>
      <c r="C1561" t="s">
        <v>24</v>
      </c>
      <c r="D1561" t="s">
        <v>12</v>
      </c>
      <c r="E1561" s="68">
        <v>1418</v>
      </c>
      <c r="F1561" s="68">
        <v>2484</v>
      </c>
      <c r="G1561" s="68">
        <v>3902</v>
      </c>
    </row>
    <row r="1562" spans="1:7" x14ac:dyDescent="0.3">
      <c r="A1562" t="s">
        <v>39</v>
      </c>
      <c r="B1562" t="s">
        <v>32</v>
      </c>
      <c r="C1562" t="s">
        <v>24</v>
      </c>
      <c r="D1562" t="s">
        <v>13</v>
      </c>
      <c r="E1562" s="68">
        <v>1138</v>
      </c>
      <c r="F1562" s="68">
        <v>2151</v>
      </c>
      <c r="G1562" s="68">
        <v>3289</v>
      </c>
    </row>
    <row r="1563" spans="1:7" x14ac:dyDescent="0.3">
      <c r="A1563" t="s">
        <v>39</v>
      </c>
      <c r="B1563" t="s">
        <v>32</v>
      </c>
      <c r="C1563" t="s">
        <v>24</v>
      </c>
      <c r="D1563" t="s">
        <v>14</v>
      </c>
      <c r="E1563" s="68">
        <v>1187</v>
      </c>
      <c r="F1563" s="68">
        <v>2015</v>
      </c>
      <c r="G1563" s="68">
        <v>3202</v>
      </c>
    </row>
    <row r="1564" spans="1:7" x14ac:dyDescent="0.3">
      <c r="A1564" t="s">
        <v>39</v>
      </c>
      <c r="B1564" t="s">
        <v>32</v>
      </c>
      <c r="C1564" t="s">
        <v>24</v>
      </c>
      <c r="D1564" t="s">
        <v>15</v>
      </c>
      <c r="E1564" s="68">
        <v>1052</v>
      </c>
      <c r="F1564" s="68">
        <v>1697</v>
      </c>
      <c r="G1564" s="68">
        <v>2749</v>
      </c>
    </row>
    <row r="1565" spans="1:7" x14ac:dyDescent="0.3">
      <c r="A1565" t="s">
        <v>39</v>
      </c>
      <c r="B1565" t="s">
        <v>32</v>
      </c>
      <c r="C1565" t="s">
        <v>24</v>
      </c>
      <c r="D1565" t="s">
        <v>16</v>
      </c>
      <c r="E1565" s="68">
        <v>850</v>
      </c>
      <c r="F1565" s="68">
        <v>1254</v>
      </c>
      <c r="G1565" s="68">
        <v>2104</v>
      </c>
    </row>
    <row r="1566" spans="1:7" x14ac:dyDescent="0.3">
      <c r="A1566" t="s">
        <v>39</v>
      </c>
      <c r="B1566" t="s">
        <v>32</v>
      </c>
      <c r="C1566" t="s">
        <v>24</v>
      </c>
      <c r="D1566" t="s">
        <v>17</v>
      </c>
      <c r="E1566" s="68">
        <v>723</v>
      </c>
      <c r="F1566" s="68">
        <v>1003</v>
      </c>
      <c r="G1566" s="68">
        <v>1726</v>
      </c>
    </row>
    <row r="1567" spans="1:7" x14ac:dyDescent="0.3">
      <c r="A1567" t="s">
        <v>39</v>
      </c>
      <c r="B1567" t="s">
        <v>32</v>
      </c>
      <c r="C1567" t="s">
        <v>24</v>
      </c>
      <c r="D1567" t="s">
        <v>18</v>
      </c>
      <c r="E1567" s="68">
        <v>495</v>
      </c>
      <c r="F1567" s="68">
        <v>823</v>
      </c>
      <c r="G1567" s="68">
        <v>1318</v>
      </c>
    </row>
    <row r="1568" spans="1:7" x14ac:dyDescent="0.3">
      <c r="A1568" t="s">
        <v>39</v>
      </c>
      <c r="B1568" t="s">
        <v>32</v>
      </c>
      <c r="C1568" t="s">
        <v>24</v>
      </c>
      <c r="D1568" t="s">
        <v>19</v>
      </c>
      <c r="E1568" s="68">
        <v>209</v>
      </c>
      <c r="F1568" s="68">
        <v>429</v>
      </c>
      <c r="G1568" s="68">
        <v>638</v>
      </c>
    </row>
    <row r="1569" spans="1:7" x14ac:dyDescent="0.3">
      <c r="A1569" t="s">
        <v>39</v>
      </c>
      <c r="B1569" t="s">
        <v>32</v>
      </c>
      <c r="C1569" t="s">
        <v>24</v>
      </c>
      <c r="D1569" t="s">
        <v>20</v>
      </c>
      <c r="E1569" s="68">
        <v>147</v>
      </c>
      <c r="F1569" s="68">
        <v>197</v>
      </c>
      <c r="G1569" s="68">
        <v>344</v>
      </c>
    </row>
    <row r="1570" spans="1:7" x14ac:dyDescent="0.3">
      <c r="A1570" t="s">
        <v>39</v>
      </c>
      <c r="B1570" t="s">
        <v>32</v>
      </c>
      <c r="C1570" t="s">
        <v>24</v>
      </c>
      <c r="D1570" t="s">
        <v>21</v>
      </c>
      <c r="E1570" s="68">
        <v>65</v>
      </c>
      <c r="F1570" s="68">
        <v>73</v>
      </c>
      <c r="G1570" s="68">
        <v>138</v>
      </c>
    </row>
    <row r="1571" spans="1:7" x14ac:dyDescent="0.3">
      <c r="A1571" t="s">
        <v>39</v>
      </c>
      <c r="B1571" t="s">
        <v>32</v>
      </c>
      <c r="C1571" t="s">
        <v>24</v>
      </c>
      <c r="D1571" t="s">
        <v>22</v>
      </c>
      <c r="E1571" s="68">
        <v>34</v>
      </c>
      <c r="F1571" s="68">
        <v>34</v>
      </c>
      <c r="G1571" s="68">
        <v>68</v>
      </c>
    </row>
    <row r="1572" spans="1:7" x14ac:dyDescent="0.3">
      <c r="A1572" t="s">
        <v>39</v>
      </c>
      <c r="B1572" t="s">
        <v>32</v>
      </c>
      <c r="C1572" t="s">
        <v>24</v>
      </c>
      <c r="D1572" t="s">
        <v>23</v>
      </c>
      <c r="E1572" s="68">
        <v>124</v>
      </c>
      <c r="F1572" s="68">
        <v>170</v>
      </c>
      <c r="G1572" s="68">
        <v>294</v>
      </c>
    </row>
    <row r="1573" spans="1:7" x14ac:dyDescent="0.3">
      <c r="A1573" t="s">
        <v>39</v>
      </c>
      <c r="B1573" t="s">
        <v>5</v>
      </c>
      <c r="C1573" t="s">
        <v>6</v>
      </c>
      <c r="D1573" t="s">
        <v>7</v>
      </c>
      <c r="E1573" s="68">
        <v>2095</v>
      </c>
      <c r="F1573" s="68">
        <v>2357</v>
      </c>
      <c r="G1573" s="68">
        <v>4452</v>
      </c>
    </row>
    <row r="1574" spans="1:7" x14ac:dyDescent="0.3">
      <c r="A1574" t="s">
        <v>39</v>
      </c>
      <c r="B1574" t="s">
        <v>5</v>
      </c>
      <c r="C1574" t="s">
        <v>6</v>
      </c>
      <c r="D1574" t="s">
        <v>8</v>
      </c>
      <c r="E1574" s="68">
        <v>3013</v>
      </c>
      <c r="F1574" s="68">
        <v>3096</v>
      </c>
      <c r="G1574" s="68">
        <v>6109</v>
      </c>
    </row>
    <row r="1575" spans="1:7" x14ac:dyDescent="0.3">
      <c r="A1575" t="s">
        <v>39</v>
      </c>
      <c r="B1575" t="s">
        <v>5</v>
      </c>
      <c r="C1575" t="s">
        <v>6</v>
      </c>
      <c r="D1575" t="s">
        <v>9</v>
      </c>
      <c r="E1575" s="68">
        <v>3119</v>
      </c>
      <c r="F1575" s="68">
        <v>3407</v>
      </c>
      <c r="G1575" s="68">
        <v>6526</v>
      </c>
    </row>
    <row r="1576" spans="1:7" x14ac:dyDescent="0.3">
      <c r="A1576" t="s">
        <v>39</v>
      </c>
      <c r="B1576" t="s">
        <v>5</v>
      </c>
      <c r="C1576" t="s">
        <v>6</v>
      </c>
      <c r="D1576" t="s">
        <v>10</v>
      </c>
      <c r="E1576" s="68">
        <v>3074</v>
      </c>
      <c r="F1576" s="68">
        <v>3212</v>
      </c>
      <c r="G1576" s="68">
        <v>6286</v>
      </c>
    </row>
    <row r="1577" spans="1:7" x14ac:dyDescent="0.3">
      <c r="A1577" t="s">
        <v>39</v>
      </c>
      <c r="B1577" t="s">
        <v>5</v>
      </c>
      <c r="C1577" t="s">
        <v>6</v>
      </c>
      <c r="D1577" t="s">
        <v>11</v>
      </c>
      <c r="E1577" s="68">
        <v>2732</v>
      </c>
      <c r="F1577" s="68">
        <v>2651</v>
      </c>
      <c r="G1577" s="68">
        <v>5383</v>
      </c>
    </row>
    <row r="1578" spans="1:7" x14ac:dyDescent="0.3">
      <c r="A1578" t="s">
        <v>39</v>
      </c>
      <c r="B1578" t="s">
        <v>5</v>
      </c>
      <c r="C1578" t="s">
        <v>6</v>
      </c>
      <c r="D1578" t="s">
        <v>12</v>
      </c>
      <c r="E1578" s="68">
        <v>2973</v>
      </c>
      <c r="F1578" s="68">
        <v>2456</v>
      </c>
      <c r="G1578" s="68">
        <v>5429</v>
      </c>
    </row>
    <row r="1579" spans="1:7" x14ac:dyDescent="0.3">
      <c r="A1579" t="s">
        <v>39</v>
      </c>
      <c r="B1579" t="s">
        <v>5</v>
      </c>
      <c r="C1579" t="s">
        <v>6</v>
      </c>
      <c r="D1579" t="s">
        <v>13</v>
      </c>
      <c r="E1579" s="68">
        <v>4156</v>
      </c>
      <c r="F1579" s="68">
        <v>3339</v>
      </c>
      <c r="G1579" s="68">
        <v>7495</v>
      </c>
    </row>
    <row r="1580" spans="1:7" x14ac:dyDescent="0.3">
      <c r="A1580" t="s">
        <v>39</v>
      </c>
      <c r="B1580" t="s">
        <v>5</v>
      </c>
      <c r="C1580" t="s">
        <v>6</v>
      </c>
      <c r="D1580" t="s">
        <v>14</v>
      </c>
      <c r="E1580" s="68">
        <v>4310</v>
      </c>
      <c r="F1580" s="68">
        <v>3429</v>
      </c>
      <c r="G1580" s="68">
        <v>7739</v>
      </c>
    </row>
    <row r="1581" spans="1:7" x14ac:dyDescent="0.3">
      <c r="A1581" t="s">
        <v>39</v>
      </c>
      <c r="B1581" t="s">
        <v>5</v>
      </c>
      <c r="C1581" t="s">
        <v>6</v>
      </c>
      <c r="D1581" t="s">
        <v>15</v>
      </c>
      <c r="E1581" s="68">
        <v>4341</v>
      </c>
      <c r="F1581" s="68">
        <v>3499</v>
      </c>
      <c r="G1581" s="68">
        <v>7840</v>
      </c>
    </row>
    <row r="1582" spans="1:7" x14ac:dyDescent="0.3">
      <c r="A1582" t="s">
        <v>39</v>
      </c>
      <c r="B1582" t="s">
        <v>5</v>
      </c>
      <c r="C1582" t="s">
        <v>6</v>
      </c>
      <c r="D1582" t="s">
        <v>16</v>
      </c>
      <c r="E1582" s="68">
        <v>3636</v>
      </c>
      <c r="F1582" s="68">
        <v>3262</v>
      </c>
      <c r="G1582" s="68">
        <v>6898</v>
      </c>
    </row>
    <row r="1583" spans="1:7" x14ac:dyDescent="0.3">
      <c r="A1583" t="s">
        <v>39</v>
      </c>
      <c r="B1583" t="s">
        <v>5</v>
      </c>
      <c r="C1583" t="s">
        <v>6</v>
      </c>
      <c r="D1583" t="s">
        <v>17</v>
      </c>
      <c r="E1583" s="68">
        <v>2746</v>
      </c>
      <c r="F1583" s="68">
        <v>2518</v>
      </c>
      <c r="G1583" s="68">
        <v>5264</v>
      </c>
    </row>
    <row r="1584" spans="1:7" x14ac:dyDescent="0.3">
      <c r="A1584" t="s">
        <v>39</v>
      </c>
      <c r="B1584" t="s">
        <v>5</v>
      </c>
      <c r="C1584" t="s">
        <v>6</v>
      </c>
      <c r="D1584" t="s">
        <v>18</v>
      </c>
      <c r="E1584" s="68">
        <v>2598</v>
      </c>
      <c r="F1584" s="68">
        <v>2267</v>
      </c>
      <c r="G1584" s="68">
        <v>4865</v>
      </c>
    </row>
    <row r="1585" spans="1:7" x14ac:dyDescent="0.3">
      <c r="A1585" t="s">
        <v>39</v>
      </c>
      <c r="B1585" t="s">
        <v>5</v>
      </c>
      <c r="C1585" t="s">
        <v>6</v>
      </c>
      <c r="D1585" t="s">
        <v>19</v>
      </c>
      <c r="E1585" s="68">
        <v>2587</v>
      </c>
      <c r="F1585" s="68">
        <v>2104</v>
      </c>
      <c r="G1585" s="68">
        <v>4691</v>
      </c>
    </row>
    <row r="1586" spans="1:7" x14ac:dyDescent="0.3">
      <c r="A1586" t="s">
        <v>39</v>
      </c>
      <c r="B1586" t="s">
        <v>5</v>
      </c>
      <c r="C1586" t="s">
        <v>6</v>
      </c>
      <c r="D1586" t="s">
        <v>20</v>
      </c>
      <c r="E1586" s="68">
        <v>2075</v>
      </c>
      <c r="F1586" s="68">
        <v>1637</v>
      </c>
      <c r="G1586" s="68">
        <v>3712</v>
      </c>
    </row>
    <row r="1587" spans="1:7" x14ac:dyDescent="0.3">
      <c r="A1587" t="s">
        <v>39</v>
      </c>
      <c r="B1587" t="s">
        <v>5</v>
      </c>
      <c r="C1587" t="s">
        <v>6</v>
      </c>
      <c r="D1587" t="s">
        <v>21</v>
      </c>
      <c r="E1587" s="68">
        <v>1386</v>
      </c>
      <c r="F1587" s="68">
        <v>1078</v>
      </c>
      <c r="G1587" s="68">
        <v>2464</v>
      </c>
    </row>
    <row r="1588" spans="1:7" x14ac:dyDescent="0.3">
      <c r="A1588" t="s">
        <v>39</v>
      </c>
      <c r="B1588" t="s">
        <v>5</v>
      </c>
      <c r="C1588" t="s">
        <v>6</v>
      </c>
      <c r="D1588" t="s">
        <v>22</v>
      </c>
      <c r="E1588" s="68">
        <v>919</v>
      </c>
      <c r="F1588" s="68">
        <v>687</v>
      </c>
      <c r="G1588" s="68">
        <v>1606</v>
      </c>
    </row>
    <row r="1589" spans="1:7" x14ac:dyDescent="0.3">
      <c r="A1589" t="s">
        <v>39</v>
      </c>
      <c r="B1589" t="s">
        <v>5</v>
      </c>
      <c r="C1589" t="s">
        <v>6</v>
      </c>
      <c r="D1589" t="s">
        <v>23</v>
      </c>
      <c r="E1589" s="68">
        <v>1150</v>
      </c>
      <c r="F1589" s="68">
        <v>663</v>
      </c>
      <c r="G1589" s="68">
        <v>1813</v>
      </c>
    </row>
    <row r="1590" spans="1:7" x14ac:dyDescent="0.3">
      <c r="A1590" t="s">
        <v>39</v>
      </c>
      <c r="B1590" t="s">
        <v>5</v>
      </c>
      <c r="C1590" t="s">
        <v>24</v>
      </c>
      <c r="D1590" t="s">
        <v>7</v>
      </c>
      <c r="E1590" s="68">
        <v>381</v>
      </c>
      <c r="F1590" s="68">
        <v>407</v>
      </c>
      <c r="G1590" s="68">
        <v>788</v>
      </c>
    </row>
    <row r="1591" spans="1:7" x14ac:dyDescent="0.3">
      <c r="A1591" t="s">
        <v>39</v>
      </c>
      <c r="B1591" t="s">
        <v>5</v>
      </c>
      <c r="C1591" t="s">
        <v>24</v>
      </c>
      <c r="D1591" t="s">
        <v>8</v>
      </c>
      <c r="E1591" s="68">
        <v>415</v>
      </c>
      <c r="F1591" s="68">
        <v>446</v>
      </c>
      <c r="G1591" s="68">
        <v>861</v>
      </c>
    </row>
    <row r="1592" spans="1:7" x14ac:dyDescent="0.3">
      <c r="A1592" t="s">
        <v>39</v>
      </c>
      <c r="B1592" t="s">
        <v>5</v>
      </c>
      <c r="C1592" t="s">
        <v>24</v>
      </c>
      <c r="D1592" t="s">
        <v>9</v>
      </c>
      <c r="E1592" s="68">
        <v>500</v>
      </c>
      <c r="F1592" s="68">
        <v>524</v>
      </c>
      <c r="G1592" s="68">
        <v>1024</v>
      </c>
    </row>
    <row r="1593" spans="1:7" x14ac:dyDescent="0.3">
      <c r="A1593" t="s">
        <v>39</v>
      </c>
      <c r="B1593" t="s">
        <v>5</v>
      </c>
      <c r="C1593" t="s">
        <v>24</v>
      </c>
      <c r="D1593" t="s">
        <v>10</v>
      </c>
      <c r="E1593" s="68">
        <v>802</v>
      </c>
      <c r="F1593" s="68">
        <v>831</v>
      </c>
      <c r="G1593" s="68">
        <v>1633</v>
      </c>
    </row>
    <row r="1594" spans="1:7" x14ac:dyDescent="0.3">
      <c r="A1594" t="s">
        <v>39</v>
      </c>
      <c r="B1594" t="s">
        <v>5</v>
      </c>
      <c r="C1594" t="s">
        <v>24</v>
      </c>
      <c r="D1594" t="s">
        <v>11</v>
      </c>
      <c r="E1594" s="68">
        <v>694</v>
      </c>
      <c r="F1594" s="68">
        <v>663</v>
      </c>
      <c r="G1594" s="68">
        <v>1357</v>
      </c>
    </row>
    <row r="1595" spans="1:7" x14ac:dyDescent="0.3">
      <c r="A1595" t="s">
        <v>39</v>
      </c>
      <c r="B1595" t="s">
        <v>5</v>
      </c>
      <c r="C1595" t="s">
        <v>24</v>
      </c>
      <c r="D1595" t="s">
        <v>12</v>
      </c>
      <c r="E1595" s="68">
        <v>782</v>
      </c>
      <c r="F1595" s="68">
        <v>676</v>
      </c>
      <c r="G1595" s="68">
        <v>1458</v>
      </c>
    </row>
    <row r="1596" spans="1:7" x14ac:dyDescent="0.3">
      <c r="A1596" t="s">
        <v>39</v>
      </c>
      <c r="B1596" t="s">
        <v>5</v>
      </c>
      <c r="C1596" t="s">
        <v>24</v>
      </c>
      <c r="D1596" t="s">
        <v>13</v>
      </c>
      <c r="E1596" s="68">
        <v>674</v>
      </c>
      <c r="F1596" s="68">
        <v>585</v>
      </c>
      <c r="G1596" s="68">
        <v>1259</v>
      </c>
    </row>
    <row r="1597" spans="1:7" x14ac:dyDescent="0.3">
      <c r="A1597" t="s">
        <v>39</v>
      </c>
      <c r="B1597" t="s">
        <v>5</v>
      </c>
      <c r="C1597" t="s">
        <v>24</v>
      </c>
      <c r="D1597" t="s">
        <v>14</v>
      </c>
      <c r="E1597" s="68">
        <v>615</v>
      </c>
      <c r="F1597" s="68">
        <v>575</v>
      </c>
      <c r="G1597" s="68">
        <v>1190</v>
      </c>
    </row>
    <row r="1598" spans="1:7" x14ac:dyDescent="0.3">
      <c r="A1598" t="s">
        <v>39</v>
      </c>
      <c r="B1598" t="s">
        <v>5</v>
      </c>
      <c r="C1598" t="s">
        <v>24</v>
      </c>
      <c r="D1598" t="s">
        <v>15</v>
      </c>
      <c r="E1598" s="68">
        <v>579</v>
      </c>
      <c r="F1598" s="68">
        <v>456</v>
      </c>
      <c r="G1598" s="68">
        <v>1035</v>
      </c>
    </row>
    <row r="1599" spans="1:7" x14ac:dyDescent="0.3">
      <c r="A1599" t="s">
        <v>39</v>
      </c>
      <c r="B1599" t="s">
        <v>5</v>
      </c>
      <c r="C1599" t="s">
        <v>24</v>
      </c>
      <c r="D1599" t="s">
        <v>16</v>
      </c>
      <c r="E1599" s="68">
        <v>500</v>
      </c>
      <c r="F1599" s="68">
        <v>365</v>
      </c>
      <c r="G1599" s="68">
        <v>865</v>
      </c>
    </row>
    <row r="1600" spans="1:7" x14ac:dyDescent="0.3">
      <c r="A1600" t="s">
        <v>39</v>
      </c>
      <c r="B1600" t="s">
        <v>5</v>
      </c>
      <c r="C1600" t="s">
        <v>24</v>
      </c>
      <c r="D1600" t="s">
        <v>17</v>
      </c>
      <c r="E1600" s="68">
        <v>465</v>
      </c>
      <c r="F1600" s="68">
        <v>333</v>
      </c>
      <c r="G1600" s="68">
        <v>798</v>
      </c>
    </row>
    <row r="1601" spans="1:7" x14ac:dyDescent="0.3">
      <c r="A1601" t="s">
        <v>39</v>
      </c>
      <c r="B1601" t="s">
        <v>5</v>
      </c>
      <c r="C1601" t="s">
        <v>24</v>
      </c>
      <c r="D1601" t="s">
        <v>18</v>
      </c>
      <c r="E1601" s="68">
        <v>365</v>
      </c>
      <c r="F1601" s="68">
        <v>316</v>
      </c>
      <c r="G1601" s="68">
        <v>681</v>
      </c>
    </row>
    <row r="1602" spans="1:7" x14ac:dyDescent="0.3">
      <c r="A1602" t="s">
        <v>39</v>
      </c>
      <c r="B1602" t="s">
        <v>5</v>
      </c>
      <c r="C1602" t="s">
        <v>24</v>
      </c>
      <c r="D1602" t="s">
        <v>19</v>
      </c>
      <c r="E1602" s="68">
        <v>392</v>
      </c>
      <c r="F1602" s="68">
        <v>296</v>
      </c>
      <c r="G1602" s="68">
        <v>688</v>
      </c>
    </row>
    <row r="1603" spans="1:7" x14ac:dyDescent="0.3">
      <c r="A1603" t="s">
        <v>39</v>
      </c>
      <c r="B1603" t="s">
        <v>5</v>
      </c>
      <c r="C1603" t="s">
        <v>24</v>
      </c>
      <c r="D1603" t="s">
        <v>20</v>
      </c>
      <c r="E1603" s="68">
        <v>294</v>
      </c>
      <c r="F1603" s="68">
        <v>245</v>
      </c>
      <c r="G1603" s="68">
        <v>539</v>
      </c>
    </row>
    <row r="1604" spans="1:7" x14ac:dyDescent="0.3">
      <c r="A1604" t="s">
        <v>39</v>
      </c>
      <c r="B1604" t="s">
        <v>5</v>
      </c>
      <c r="C1604" t="s">
        <v>24</v>
      </c>
      <c r="D1604" t="s">
        <v>21</v>
      </c>
      <c r="E1604" s="68">
        <v>184</v>
      </c>
      <c r="F1604" s="68">
        <v>125</v>
      </c>
      <c r="G1604" s="68">
        <v>309</v>
      </c>
    </row>
    <row r="1605" spans="1:7" x14ac:dyDescent="0.3">
      <c r="A1605" t="s">
        <v>39</v>
      </c>
      <c r="B1605" t="s">
        <v>5</v>
      </c>
      <c r="C1605" t="s">
        <v>24</v>
      </c>
      <c r="D1605" t="s">
        <v>22</v>
      </c>
      <c r="E1605" s="68">
        <v>125</v>
      </c>
      <c r="F1605" s="68">
        <v>105</v>
      </c>
      <c r="G1605" s="68">
        <v>230</v>
      </c>
    </row>
    <row r="1606" spans="1:7" x14ac:dyDescent="0.3">
      <c r="A1606" t="s">
        <v>39</v>
      </c>
      <c r="B1606" t="s">
        <v>5</v>
      </c>
      <c r="C1606" t="s">
        <v>24</v>
      </c>
      <c r="D1606" t="s">
        <v>23</v>
      </c>
      <c r="E1606" s="68">
        <v>161</v>
      </c>
      <c r="F1606" s="68">
        <v>111</v>
      </c>
      <c r="G1606" s="68">
        <v>272</v>
      </c>
    </row>
    <row r="1607" spans="1:7" x14ac:dyDescent="0.3">
      <c r="A1607" t="s">
        <v>39</v>
      </c>
      <c r="B1607" t="s">
        <v>34</v>
      </c>
      <c r="C1607" t="s">
        <v>6</v>
      </c>
      <c r="D1607" t="s">
        <v>7</v>
      </c>
      <c r="E1607" s="68">
        <v>2367</v>
      </c>
      <c r="F1607" s="68">
        <v>2443</v>
      </c>
      <c r="G1607" s="68">
        <v>4810</v>
      </c>
    </row>
    <row r="1608" spans="1:7" x14ac:dyDescent="0.3">
      <c r="A1608" t="s">
        <v>39</v>
      </c>
      <c r="B1608" t="s">
        <v>34</v>
      </c>
      <c r="C1608" t="s">
        <v>6</v>
      </c>
      <c r="D1608" t="s">
        <v>8</v>
      </c>
      <c r="E1608" s="68">
        <v>2859</v>
      </c>
      <c r="F1608" s="68">
        <v>3057</v>
      </c>
      <c r="G1608" s="68">
        <v>5916</v>
      </c>
    </row>
    <row r="1609" spans="1:7" x14ac:dyDescent="0.3">
      <c r="A1609" t="s">
        <v>39</v>
      </c>
      <c r="B1609" t="s">
        <v>34</v>
      </c>
      <c r="C1609" t="s">
        <v>6</v>
      </c>
      <c r="D1609" t="s">
        <v>9</v>
      </c>
      <c r="E1609" s="68">
        <v>3126</v>
      </c>
      <c r="F1609" s="68">
        <v>3243</v>
      </c>
      <c r="G1609" s="68">
        <v>6369</v>
      </c>
    </row>
    <row r="1610" spans="1:7" x14ac:dyDescent="0.3">
      <c r="A1610" t="s">
        <v>39</v>
      </c>
      <c r="B1610" t="s">
        <v>34</v>
      </c>
      <c r="C1610" t="s">
        <v>6</v>
      </c>
      <c r="D1610" t="s">
        <v>10</v>
      </c>
      <c r="E1610" s="68">
        <v>2830</v>
      </c>
      <c r="F1610" s="68">
        <v>2946</v>
      </c>
      <c r="G1610" s="68">
        <v>5776</v>
      </c>
    </row>
    <row r="1611" spans="1:7" x14ac:dyDescent="0.3">
      <c r="A1611" t="s">
        <v>39</v>
      </c>
      <c r="B1611" t="s">
        <v>34</v>
      </c>
      <c r="C1611" t="s">
        <v>6</v>
      </c>
      <c r="D1611" t="s">
        <v>11</v>
      </c>
      <c r="E1611" s="68">
        <v>2810</v>
      </c>
      <c r="F1611" s="68">
        <v>2727</v>
      </c>
      <c r="G1611" s="68">
        <v>5537</v>
      </c>
    </row>
    <row r="1612" spans="1:7" x14ac:dyDescent="0.3">
      <c r="A1612" t="s">
        <v>39</v>
      </c>
      <c r="B1612" t="s">
        <v>34</v>
      </c>
      <c r="C1612" t="s">
        <v>6</v>
      </c>
      <c r="D1612" t="s">
        <v>12</v>
      </c>
      <c r="E1612" s="68">
        <v>3460</v>
      </c>
      <c r="F1612" s="68">
        <v>2893</v>
      </c>
      <c r="G1612" s="68">
        <v>6353</v>
      </c>
    </row>
    <row r="1613" spans="1:7" x14ac:dyDescent="0.3">
      <c r="A1613" t="s">
        <v>39</v>
      </c>
      <c r="B1613" t="s">
        <v>34</v>
      </c>
      <c r="C1613" t="s">
        <v>6</v>
      </c>
      <c r="D1613" t="s">
        <v>13</v>
      </c>
      <c r="E1613" s="68">
        <v>4766</v>
      </c>
      <c r="F1613" s="68">
        <v>3773</v>
      </c>
      <c r="G1613" s="68">
        <v>8539</v>
      </c>
    </row>
    <row r="1614" spans="1:7" x14ac:dyDescent="0.3">
      <c r="A1614" t="s">
        <v>39</v>
      </c>
      <c r="B1614" t="s">
        <v>34</v>
      </c>
      <c r="C1614" t="s">
        <v>6</v>
      </c>
      <c r="D1614" t="s">
        <v>14</v>
      </c>
      <c r="E1614" s="68">
        <v>4420</v>
      </c>
      <c r="F1614" s="68">
        <v>3866</v>
      </c>
      <c r="G1614" s="68">
        <v>8286</v>
      </c>
    </row>
    <row r="1615" spans="1:7" x14ac:dyDescent="0.3">
      <c r="A1615" t="s">
        <v>39</v>
      </c>
      <c r="B1615" t="s">
        <v>34</v>
      </c>
      <c r="C1615" t="s">
        <v>6</v>
      </c>
      <c r="D1615" t="s">
        <v>15</v>
      </c>
      <c r="E1615" s="68">
        <v>4121</v>
      </c>
      <c r="F1615" s="68">
        <v>3524</v>
      </c>
      <c r="G1615" s="68">
        <v>7645</v>
      </c>
    </row>
    <row r="1616" spans="1:7" x14ac:dyDescent="0.3">
      <c r="A1616" t="s">
        <v>39</v>
      </c>
      <c r="B1616" t="s">
        <v>34</v>
      </c>
      <c r="C1616" t="s">
        <v>6</v>
      </c>
      <c r="D1616" t="s">
        <v>16</v>
      </c>
      <c r="E1616" s="68">
        <v>3229</v>
      </c>
      <c r="F1616" s="68">
        <v>3096</v>
      </c>
      <c r="G1616" s="68">
        <v>6325</v>
      </c>
    </row>
    <row r="1617" spans="1:7" x14ac:dyDescent="0.3">
      <c r="A1617" t="s">
        <v>39</v>
      </c>
      <c r="B1617" t="s">
        <v>34</v>
      </c>
      <c r="C1617" t="s">
        <v>6</v>
      </c>
      <c r="D1617" t="s">
        <v>17</v>
      </c>
      <c r="E1617" s="68">
        <v>2591</v>
      </c>
      <c r="F1617" s="68">
        <v>2316</v>
      </c>
      <c r="G1617" s="68">
        <v>4907</v>
      </c>
    </row>
    <row r="1618" spans="1:7" x14ac:dyDescent="0.3">
      <c r="A1618" t="s">
        <v>39</v>
      </c>
      <c r="B1618" t="s">
        <v>34</v>
      </c>
      <c r="C1618" t="s">
        <v>6</v>
      </c>
      <c r="D1618" t="s">
        <v>18</v>
      </c>
      <c r="E1618" s="68">
        <v>2388</v>
      </c>
      <c r="F1618" s="68">
        <v>2091</v>
      </c>
      <c r="G1618" s="68">
        <v>4479</v>
      </c>
    </row>
    <row r="1619" spans="1:7" x14ac:dyDescent="0.3">
      <c r="A1619" t="s">
        <v>39</v>
      </c>
      <c r="B1619" t="s">
        <v>34</v>
      </c>
      <c r="C1619" t="s">
        <v>6</v>
      </c>
      <c r="D1619" t="s">
        <v>19</v>
      </c>
      <c r="E1619" s="68">
        <v>2400</v>
      </c>
      <c r="F1619" s="68">
        <v>2039</v>
      </c>
      <c r="G1619" s="68">
        <v>4439</v>
      </c>
    </row>
    <row r="1620" spans="1:7" x14ac:dyDescent="0.3">
      <c r="A1620" t="s">
        <v>39</v>
      </c>
      <c r="B1620" t="s">
        <v>34</v>
      </c>
      <c r="C1620" t="s">
        <v>6</v>
      </c>
      <c r="D1620" t="s">
        <v>20</v>
      </c>
      <c r="E1620" s="68">
        <v>1791</v>
      </c>
      <c r="F1620" s="68">
        <v>1433</v>
      </c>
      <c r="G1620" s="68">
        <v>3224</v>
      </c>
    </row>
    <row r="1621" spans="1:7" x14ac:dyDescent="0.3">
      <c r="A1621" t="s">
        <v>39</v>
      </c>
      <c r="B1621" t="s">
        <v>34</v>
      </c>
      <c r="C1621" t="s">
        <v>6</v>
      </c>
      <c r="D1621" t="s">
        <v>21</v>
      </c>
      <c r="E1621" s="68">
        <v>1216</v>
      </c>
      <c r="F1621" s="68">
        <v>990</v>
      </c>
      <c r="G1621" s="68">
        <v>2206</v>
      </c>
    </row>
    <row r="1622" spans="1:7" x14ac:dyDescent="0.3">
      <c r="A1622" t="s">
        <v>39</v>
      </c>
      <c r="B1622" t="s">
        <v>34</v>
      </c>
      <c r="C1622" t="s">
        <v>6</v>
      </c>
      <c r="D1622" t="s">
        <v>22</v>
      </c>
      <c r="E1622" s="68">
        <v>752</v>
      </c>
      <c r="F1622" s="68">
        <v>643</v>
      </c>
      <c r="G1622" s="68">
        <v>1395</v>
      </c>
    </row>
    <row r="1623" spans="1:7" x14ac:dyDescent="0.3">
      <c r="A1623" t="s">
        <v>39</v>
      </c>
      <c r="B1623" t="s">
        <v>34</v>
      </c>
      <c r="C1623" t="s">
        <v>6</v>
      </c>
      <c r="D1623" t="s">
        <v>23</v>
      </c>
      <c r="E1623" s="68">
        <v>886</v>
      </c>
      <c r="F1623" s="68">
        <v>537</v>
      </c>
      <c r="G1623" s="68">
        <v>1423</v>
      </c>
    </row>
    <row r="1624" spans="1:7" x14ac:dyDescent="0.3">
      <c r="A1624" t="s">
        <v>39</v>
      </c>
      <c r="B1624" t="s">
        <v>34</v>
      </c>
      <c r="C1624" t="s">
        <v>24</v>
      </c>
      <c r="D1624" t="s">
        <v>7</v>
      </c>
      <c r="E1624" s="68">
        <v>688</v>
      </c>
      <c r="F1624" s="68">
        <v>698</v>
      </c>
      <c r="G1624" s="68">
        <v>1386</v>
      </c>
    </row>
    <row r="1625" spans="1:7" x14ac:dyDescent="0.3">
      <c r="A1625" t="s">
        <v>39</v>
      </c>
      <c r="B1625" t="s">
        <v>34</v>
      </c>
      <c r="C1625" t="s">
        <v>24</v>
      </c>
      <c r="D1625" t="s">
        <v>8</v>
      </c>
      <c r="E1625" s="68">
        <v>863</v>
      </c>
      <c r="F1625" s="68">
        <v>909</v>
      </c>
      <c r="G1625" s="68">
        <v>1772</v>
      </c>
    </row>
    <row r="1626" spans="1:7" x14ac:dyDescent="0.3">
      <c r="A1626" t="s">
        <v>39</v>
      </c>
      <c r="B1626" t="s">
        <v>34</v>
      </c>
      <c r="C1626" t="s">
        <v>24</v>
      </c>
      <c r="D1626" t="s">
        <v>9</v>
      </c>
      <c r="E1626" s="68">
        <v>952</v>
      </c>
      <c r="F1626" s="68">
        <v>1004</v>
      </c>
      <c r="G1626" s="68">
        <v>1956</v>
      </c>
    </row>
    <row r="1627" spans="1:7" x14ac:dyDescent="0.3">
      <c r="A1627" t="s">
        <v>39</v>
      </c>
      <c r="B1627" t="s">
        <v>34</v>
      </c>
      <c r="C1627" t="s">
        <v>24</v>
      </c>
      <c r="D1627" t="s">
        <v>10</v>
      </c>
      <c r="E1627" s="68">
        <v>1062</v>
      </c>
      <c r="F1627" s="68">
        <v>1210</v>
      </c>
      <c r="G1627" s="68">
        <v>2272</v>
      </c>
    </row>
    <row r="1628" spans="1:7" x14ac:dyDescent="0.3">
      <c r="A1628" t="s">
        <v>39</v>
      </c>
      <c r="B1628" t="s">
        <v>34</v>
      </c>
      <c r="C1628" t="s">
        <v>24</v>
      </c>
      <c r="D1628" t="s">
        <v>11</v>
      </c>
      <c r="E1628" s="68">
        <v>856</v>
      </c>
      <c r="F1628" s="68">
        <v>704</v>
      </c>
      <c r="G1628" s="68">
        <v>1560</v>
      </c>
    </row>
    <row r="1629" spans="1:7" x14ac:dyDescent="0.3">
      <c r="A1629" t="s">
        <v>39</v>
      </c>
      <c r="B1629" t="s">
        <v>34</v>
      </c>
      <c r="C1629" t="s">
        <v>24</v>
      </c>
      <c r="D1629" t="s">
        <v>12</v>
      </c>
      <c r="E1629" s="68">
        <v>1243</v>
      </c>
      <c r="F1629" s="68">
        <v>1055</v>
      </c>
      <c r="G1629" s="68">
        <v>2298</v>
      </c>
    </row>
    <row r="1630" spans="1:7" x14ac:dyDescent="0.3">
      <c r="A1630" t="s">
        <v>39</v>
      </c>
      <c r="B1630" t="s">
        <v>34</v>
      </c>
      <c r="C1630" t="s">
        <v>24</v>
      </c>
      <c r="D1630" t="s">
        <v>13</v>
      </c>
      <c r="E1630" s="68">
        <v>1266</v>
      </c>
      <c r="F1630" s="68">
        <v>1092</v>
      </c>
      <c r="G1630" s="68">
        <v>2358</v>
      </c>
    </row>
    <row r="1631" spans="1:7" x14ac:dyDescent="0.3">
      <c r="A1631" t="s">
        <v>39</v>
      </c>
      <c r="B1631" t="s">
        <v>34</v>
      </c>
      <c r="C1631" t="s">
        <v>24</v>
      </c>
      <c r="D1631" t="s">
        <v>14</v>
      </c>
      <c r="E1631" s="68">
        <v>1088</v>
      </c>
      <c r="F1631" s="68">
        <v>826</v>
      </c>
      <c r="G1631" s="68">
        <v>1914</v>
      </c>
    </row>
    <row r="1632" spans="1:7" x14ac:dyDescent="0.3">
      <c r="A1632" t="s">
        <v>39</v>
      </c>
      <c r="B1632" t="s">
        <v>34</v>
      </c>
      <c r="C1632" t="s">
        <v>24</v>
      </c>
      <c r="D1632" t="s">
        <v>15</v>
      </c>
      <c r="E1632" s="68">
        <v>983</v>
      </c>
      <c r="F1632" s="68">
        <v>756</v>
      </c>
      <c r="G1632" s="68">
        <v>1739</v>
      </c>
    </row>
    <row r="1633" spans="1:7" x14ac:dyDescent="0.3">
      <c r="A1633" t="s">
        <v>39</v>
      </c>
      <c r="B1633" t="s">
        <v>34</v>
      </c>
      <c r="C1633" t="s">
        <v>24</v>
      </c>
      <c r="D1633" t="s">
        <v>16</v>
      </c>
      <c r="E1633" s="68">
        <v>852</v>
      </c>
      <c r="F1633" s="68">
        <v>581</v>
      </c>
      <c r="G1633" s="68">
        <v>1433</v>
      </c>
    </row>
    <row r="1634" spans="1:7" x14ac:dyDescent="0.3">
      <c r="A1634" t="s">
        <v>39</v>
      </c>
      <c r="B1634" t="s">
        <v>34</v>
      </c>
      <c r="C1634" t="s">
        <v>24</v>
      </c>
      <c r="D1634" t="s">
        <v>17</v>
      </c>
      <c r="E1634" s="68">
        <v>680</v>
      </c>
      <c r="F1634" s="68">
        <v>487</v>
      </c>
      <c r="G1634" s="68">
        <v>1167</v>
      </c>
    </row>
    <row r="1635" spans="1:7" x14ac:dyDescent="0.3">
      <c r="A1635" t="s">
        <v>39</v>
      </c>
      <c r="B1635" t="s">
        <v>34</v>
      </c>
      <c r="C1635" t="s">
        <v>24</v>
      </c>
      <c r="D1635" t="s">
        <v>18</v>
      </c>
      <c r="E1635" s="68">
        <v>664</v>
      </c>
      <c r="F1635" s="68">
        <v>440</v>
      </c>
      <c r="G1635" s="68">
        <v>1104</v>
      </c>
    </row>
    <row r="1636" spans="1:7" x14ac:dyDescent="0.3">
      <c r="A1636" t="s">
        <v>39</v>
      </c>
      <c r="B1636" t="s">
        <v>34</v>
      </c>
      <c r="C1636" t="s">
        <v>24</v>
      </c>
      <c r="D1636" t="s">
        <v>19</v>
      </c>
      <c r="E1636" s="68">
        <v>579</v>
      </c>
      <c r="F1636" s="68">
        <v>443</v>
      </c>
      <c r="G1636" s="68">
        <v>1022</v>
      </c>
    </row>
    <row r="1637" spans="1:7" x14ac:dyDescent="0.3">
      <c r="A1637" t="s">
        <v>39</v>
      </c>
      <c r="B1637" t="s">
        <v>34</v>
      </c>
      <c r="C1637" t="s">
        <v>24</v>
      </c>
      <c r="D1637" t="s">
        <v>20</v>
      </c>
      <c r="E1637" s="68">
        <v>411</v>
      </c>
      <c r="F1637" s="68">
        <v>333</v>
      </c>
      <c r="G1637" s="68">
        <v>744</v>
      </c>
    </row>
    <row r="1638" spans="1:7" x14ac:dyDescent="0.3">
      <c r="A1638" t="s">
        <v>39</v>
      </c>
      <c r="B1638" t="s">
        <v>34</v>
      </c>
      <c r="C1638" t="s">
        <v>24</v>
      </c>
      <c r="D1638" t="s">
        <v>21</v>
      </c>
      <c r="E1638" s="68">
        <v>272</v>
      </c>
      <c r="F1638" s="68">
        <v>212</v>
      </c>
      <c r="G1638" s="68">
        <v>484</v>
      </c>
    </row>
    <row r="1639" spans="1:7" x14ac:dyDescent="0.3">
      <c r="A1639" t="s">
        <v>39</v>
      </c>
      <c r="B1639" t="s">
        <v>34</v>
      </c>
      <c r="C1639" t="s">
        <v>24</v>
      </c>
      <c r="D1639" t="s">
        <v>22</v>
      </c>
      <c r="E1639" s="68">
        <v>149</v>
      </c>
      <c r="F1639" s="68">
        <v>103</v>
      </c>
      <c r="G1639" s="68">
        <v>252</v>
      </c>
    </row>
    <row r="1640" spans="1:7" x14ac:dyDescent="0.3">
      <c r="A1640" t="s">
        <v>39</v>
      </c>
      <c r="B1640" t="s">
        <v>34</v>
      </c>
      <c r="C1640" t="s">
        <v>24</v>
      </c>
      <c r="D1640" t="s">
        <v>23</v>
      </c>
      <c r="E1640" s="68">
        <v>192</v>
      </c>
      <c r="F1640" s="68">
        <v>123</v>
      </c>
      <c r="G1640" s="68">
        <v>315</v>
      </c>
    </row>
    <row r="1641" spans="1:7" x14ac:dyDescent="0.3">
      <c r="A1641" t="s">
        <v>39</v>
      </c>
      <c r="B1641" t="s">
        <v>37</v>
      </c>
      <c r="C1641" t="s">
        <v>6</v>
      </c>
      <c r="D1641" t="s">
        <v>7</v>
      </c>
      <c r="E1641" s="68">
        <v>138</v>
      </c>
      <c r="F1641" s="68">
        <v>171</v>
      </c>
      <c r="G1641" s="68">
        <v>309</v>
      </c>
    </row>
    <row r="1642" spans="1:7" x14ac:dyDescent="0.3">
      <c r="A1642" t="s">
        <v>39</v>
      </c>
      <c r="B1642" t="s">
        <v>37</v>
      </c>
      <c r="C1642" t="s">
        <v>6</v>
      </c>
      <c r="D1642" t="s">
        <v>8</v>
      </c>
      <c r="E1642" s="68">
        <v>253</v>
      </c>
      <c r="F1642" s="68">
        <v>274</v>
      </c>
      <c r="G1642" s="68">
        <v>527</v>
      </c>
    </row>
    <row r="1643" spans="1:7" x14ac:dyDescent="0.3">
      <c r="A1643" t="s">
        <v>39</v>
      </c>
      <c r="B1643" t="s">
        <v>37</v>
      </c>
      <c r="C1643" t="s">
        <v>6</v>
      </c>
      <c r="D1643" t="s">
        <v>9</v>
      </c>
      <c r="E1643" s="68">
        <v>364</v>
      </c>
      <c r="F1643" s="68">
        <v>294</v>
      </c>
      <c r="G1643" s="68">
        <v>658</v>
      </c>
    </row>
    <row r="1644" spans="1:7" x14ac:dyDescent="0.3">
      <c r="A1644" t="s">
        <v>39</v>
      </c>
      <c r="B1644" t="s">
        <v>37</v>
      </c>
      <c r="C1644" t="s">
        <v>6</v>
      </c>
      <c r="D1644" t="s">
        <v>10</v>
      </c>
      <c r="E1644" s="68">
        <v>323</v>
      </c>
      <c r="F1644" s="68">
        <v>375</v>
      </c>
      <c r="G1644" s="68">
        <v>698</v>
      </c>
    </row>
    <row r="1645" spans="1:7" x14ac:dyDescent="0.3">
      <c r="A1645" t="s">
        <v>39</v>
      </c>
      <c r="B1645" t="s">
        <v>37</v>
      </c>
      <c r="C1645" t="s">
        <v>6</v>
      </c>
      <c r="D1645" t="s">
        <v>11</v>
      </c>
      <c r="E1645" s="68">
        <v>351</v>
      </c>
      <c r="F1645" s="68">
        <v>309</v>
      </c>
      <c r="G1645" s="68">
        <v>660</v>
      </c>
    </row>
    <row r="1646" spans="1:7" x14ac:dyDescent="0.3">
      <c r="A1646" t="s">
        <v>39</v>
      </c>
      <c r="B1646" t="s">
        <v>37</v>
      </c>
      <c r="C1646" t="s">
        <v>6</v>
      </c>
      <c r="D1646" t="s">
        <v>12</v>
      </c>
      <c r="E1646" s="68">
        <v>223</v>
      </c>
      <c r="F1646" s="68">
        <v>281</v>
      </c>
      <c r="G1646" s="68">
        <v>504</v>
      </c>
    </row>
    <row r="1647" spans="1:7" x14ac:dyDescent="0.3">
      <c r="A1647" t="s">
        <v>39</v>
      </c>
      <c r="B1647" t="s">
        <v>37</v>
      </c>
      <c r="C1647" t="s">
        <v>6</v>
      </c>
      <c r="D1647" t="s">
        <v>13</v>
      </c>
      <c r="E1647" s="68">
        <v>284</v>
      </c>
      <c r="F1647" s="68">
        <v>420</v>
      </c>
      <c r="G1647" s="68">
        <v>704</v>
      </c>
    </row>
    <row r="1648" spans="1:7" x14ac:dyDescent="0.3">
      <c r="A1648" t="s">
        <v>39</v>
      </c>
      <c r="B1648" t="s">
        <v>37</v>
      </c>
      <c r="C1648" t="s">
        <v>6</v>
      </c>
      <c r="D1648" t="s">
        <v>14</v>
      </c>
      <c r="E1648" s="68">
        <v>296</v>
      </c>
      <c r="F1648" s="68">
        <v>452</v>
      </c>
      <c r="G1648" s="68">
        <v>748</v>
      </c>
    </row>
    <row r="1649" spans="1:7" x14ac:dyDescent="0.3">
      <c r="A1649" t="s">
        <v>39</v>
      </c>
      <c r="B1649" t="s">
        <v>37</v>
      </c>
      <c r="C1649" t="s">
        <v>6</v>
      </c>
      <c r="D1649" t="s">
        <v>15</v>
      </c>
      <c r="E1649" s="68">
        <v>350</v>
      </c>
      <c r="F1649" s="68">
        <v>473</v>
      </c>
      <c r="G1649" s="68">
        <v>823</v>
      </c>
    </row>
    <row r="1650" spans="1:7" x14ac:dyDescent="0.3">
      <c r="A1650" t="s">
        <v>39</v>
      </c>
      <c r="B1650" t="s">
        <v>37</v>
      </c>
      <c r="C1650" t="s">
        <v>6</v>
      </c>
      <c r="D1650" t="s">
        <v>16</v>
      </c>
      <c r="E1650" s="68">
        <v>324</v>
      </c>
      <c r="F1650" s="68">
        <v>376</v>
      </c>
      <c r="G1650" s="68">
        <v>700</v>
      </c>
    </row>
    <row r="1651" spans="1:7" x14ac:dyDescent="0.3">
      <c r="A1651" t="s">
        <v>39</v>
      </c>
      <c r="B1651" t="s">
        <v>37</v>
      </c>
      <c r="C1651" t="s">
        <v>6</v>
      </c>
      <c r="D1651" t="s">
        <v>17</v>
      </c>
      <c r="E1651" s="68">
        <v>281</v>
      </c>
      <c r="F1651" s="68">
        <v>328</v>
      </c>
      <c r="G1651" s="68">
        <v>609</v>
      </c>
    </row>
    <row r="1652" spans="1:7" x14ac:dyDescent="0.3">
      <c r="A1652" t="s">
        <v>39</v>
      </c>
      <c r="B1652" t="s">
        <v>37</v>
      </c>
      <c r="C1652" t="s">
        <v>6</v>
      </c>
      <c r="D1652" t="s">
        <v>18</v>
      </c>
      <c r="E1652" s="68">
        <v>239</v>
      </c>
      <c r="F1652" s="68">
        <v>260</v>
      </c>
      <c r="G1652" s="68">
        <v>499</v>
      </c>
    </row>
    <row r="1653" spans="1:7" x14ac:dyDescent="0.3">
      <c r="A1653" t="s">
        <v>39</v>
      </c>
      <c r="B1653" t="s">
        <v>37</v>
      </c>
      <c r="C1653" t="s">
        <v>6</v>
      </c>
      <c r="D1653" t="s">
        <v>19</v>
      </c>
      <c r="E1653" s="68">
        <v>203</v>
      </c>
      <c r="F1653" s="68">
        <v>239</v>
      </c>
      <c r="G1653" s="68">
        <v>442</v>
      </c>
    </row>
    <row r="1654" spans="1:7" x14ac:dyDescent="0.3">
      <c r="A1654" t="s">
        <v>39</v>
      </c>
      <c r="B1654" t="s">
        <v>37</v>
      </c>
      <c r="C1654" t="s">
        <v>6</v>
      </c>
      <c r="D1654" t="s">
        <v>20</v>
      </c>
      <c r="E1654" s="68">
        <v>191</v>
      </c>
      <c r="F1654" s="68">
        <v>163</v>
      </c>
      <c r="G1654" s="68">
        <v>354</v>
      </c>
    </row>
    <row r="1655" spans="1:7" x14ac:dyDescent="0.3">
      <c r="A1655" t="s">
        <v>39</v>
      </c>
      <c r="B1655" t="s">
        <v>37</v>
      </c>
      <c r="C1655" t="s">
        <v>6</v>
      </c>
      <c r="D1655" t="s">
        <v>21</v>
      </c>
      <c r="E1655" s="68">
        <v>157</v>
      </c>
      <c r="F1655" s="68">
        <v>134</v>
      </c>
      <c r="G1655" s="68">
        <v>291</v>
      </c>
    </row>
    <row r="1656" spans="1:7" x14ac:dyDescent="0.3">
      <c r="A1656" t="s">
        <v>39</v>
      </c>
      <c r="B1656" t="s">
        <v>37</v>
      </c>
      <c r="C1656" t="s">
        <v>6</v>
      </c>
      <c r="D1656" t="s">
        <v>22</v>
      </c>
      <c r="E1656" s="68">
        <v>109</v>
      </c>
      <c r="F1656" s="68">
        <v>108</v>
      </c>
      <c r="G1656" s="68">
        <v>217</v>
      </c>
    </row>
    <row r="1657" spans="1:7" x14ac:dyDescent="0.3">
      <c r="A1657" t="s">
        <v>39</v>
      </c>
      <c r="B1657" t="s">
        <v>37</v>
      </c>
      <c r="C1657" t="s">
        <v>6</v>
      </c>
      <c r="D1657" t="s">
        <v>23</v>
      </c>
      <c r="E1657" s="68">
        <v>143</v>
      </c>
      <c r="F1657" s="68">
        <v>102</v>
      </c>
      <c r="G1657" s="68">
        <v>245</v>
      </c>
    </row>
    <row r="1658" spans="1:7" x14ac:dyDescent="0.3">
      <c r="A1658" t="s">
        <v>39</v>
      </c>
      <c r="B1658" t="s">
        <v>37</v>
      </c>
      <c r="C1658" t="s">
        <v>24</v>
      </c>
      <c r="D1658" t="s">
        <v>7</v>
      </c>
      <c r="E1658" s="68">
        <v>252</v>
      </c>
      <c r="F1658" s="68">
        <v>237</v>
      </c>
      <c r="G1658" s="68">
        <v>489</v>
      </c>
    </row>
    <row r="1659" spans="1:7" x14ac:dyDescent="0.3">
      <c r="A1659" t="s">
        <v>39</v>
      </c>
      <c r="B1659" t="s">
        <v>37</v>
      </c>
      <c r="C1659" t="s">
        <v>24</v>
      </c>
      <c r="D1659" t="s">
        <v>8</v>
      </c>
      <c r="E1659" s="68">
        <v>404</v>
      </c>
      <c r="F1659" s="68">
        <v>414</v>
      </c>
      <c r="G1659" s="68">
        <v>818</v>
      </c>
    </row>
    <row r="1660" spans="1:7" x14ac:dyDescent="0.3">
      <c r="A1660" t="s">
        <v>39</v>
      </c>
      <c r="B1660" t="s">
        <v>37</v>
      </c>
      <c r="C1660" t="s">
        <v>24</v>
      </c>
      <c r="D1660" t="s">
        <v>9</v>
      </c>
      <c r="E1660" s="68">
        <v>448</v>
      </c>
      <c r="F1660" s="68">
        <v>494</v>
      </c>
      <c r="G1660" s="68">
        <v>942</v>
      </c>
    </row>
    <row r="1661" spans="1:7" x14ac:dyDescent="0.3">
      <c r="A1661" t="s">
        <v>39</v>
      </c>
      <c r="B1661" t="s">
        <v>37</v>
      </c>
      <c r="C1661" t="s">
        <v>24</v>
      </c>
      <c r="D1661" t="s">
        <v>10</v>
      </c>
      <c r="E1661" s="68">
        <v>490</v>
      </c>
      <c r="F1661" s="68">
        <v>544</v>
      </c>
      <c r="G1661" s="68">
        <v>1034</v>
      </c>
    </row>
    <row r="1662" spans="1:7" x14ac:dyDescent="0.3">
      <c r="A1662" t="s">
        <v>39</v>
      </c>
      <c r="B1662" t="s">
        <v>37</v>
      </c>
      <c r="C1662" t="s">
        <v>24</v>
      </c>
      <c r="D1662" t="s">
        <v>11</v>
      </c>
      <c r="E1662" s="68">
        <v>384</v>
      </c>
      <c r="F1662" s="68">
        <v>317</v>
      </c>
      <c r="G1662" s="68">
        <v>701</v>
      </c>
    </row>
    <row r="1663" spans="1:7" x14ac:dyDescent="0.3">
      <c r="A1663" t="s">
        <v>39</v>
      </c>
      <c r="B1663" t="s">
        <v>37</v>
      </c>
      <c r="C1663" t="s">
        <v>24</v>
      </c>
      <c r="D1663" t="s">
        <v>12</v>
      </c>
      <c r="E1663" s="68">
        <v>428</v>
      </c>
      <c r="F1663" s="68">
        <v>444</v>
      </c>
      <c r="G1663" s="68">
        <v>872</v>
      </c>
    </row>
    <row r="1664" spans="1:7" x14ac:dyDescent="0.3">
      <c r="A1664" t="s">
        <v>39</v>
      </c>
      <c r="B1664" t="s">
        <v>37</v>
      </c>
      <c r="C1664" t="s">
        <v>24</v>
      </c>
      <c r="D1664" t="s">
        <v>13</v>
      </c>
      <c r="E1664" s="68">
        <v>377</v>
      </c>
      <c r="F1664" s="68">
        <v>512</v>
      </c>
      <c r="G1664" s="68">
        <v>889</v>
      </c>
    </row>
    <row r="1665" spans="1:7" x14ac:dyDescent="0.3">
      <c r="A1665" t="s">
        <v>39</v>
      </c>
      <c r="B1665" t="s">
        <v>37</v>
      </c>
      <c r="C1665" t="s">
        <v>24</v>
      </c>
      <c r="D1665" t="s">
        <v>14</v>
      </c>
      <c r="E1665" s="68">
        <v>327</v>
      </c>
      <c r="F1665" s="68">
        <v>486</v>
      </c>
      <c r="G1665" s="68">
        <v>813</v>
      </c>
    </row>
    <row r="1666" spans="1:7" x14ac:dyDescent="0.3">
      <c r="A1666" t="s">
        <v>39</v>
      </c>
      <c r="B1666" t="s">
        <v>37</v>
      </c>
      <c r="C1666" t="s">
        <v>24</v>
      </c>
      <c r="D1666" t="s">
        <v>15</v>
      </c>
      <c r="E1666" s="68">
        <v>347</v>
      </c>
      <c r="F1666" s="68">
        <v>409</v>
      </c>
      <c r="G1666" s="68">
        <v>756</v>
      </c>
    </row>
    <row r="1667" spans="1:7" x14ac:dyDescent="0.3">
      <c r="A1667" t="s">
        <v>39</v>
      </c>
      <c r="B1667" t="s">
        <v>37</v>
      </c>
      <c r="C1667" t="s">
        <v>24</v>
      </c>
      <c r="D1667" t="s">
        <v>16</v>
      </c>
      <c r="E1667" s="68">
        <v>344</v>
      </c>
      <c r="F1667" s="68">
        <v>394</v>
      </c>
      <c r="G1667" s="68">
        <v>738</v>
      </c>
    </row>
    <row r="1668" spans="1:7" x14ac:dyDescent="0.3">
      <c r="A1668" t="s">
        <v>39</v>
      </c>
      <c r="B1668" t="s">
        <v>37</v>
      </c>
      <c r="C1668" t="s">
        <v>24</v>
      </c>
      <c r="D1668" t="s">
        <v>17</v>
      </c>
      <c r="E1668" s="68">
        <v>251</v>
      </c>
      <c r="F1668" s="68">
        <v>363</v>
      </c>
      <c r="G1668" s="68">
        <v>614</v>
      </c>
    </row>
    <row r="1669" spans="1:7" x14ac:dyDescent="0.3">
      <c r="A1669" t="s">
        <v>39</v>
      </c>
      <c r="B1669" t="s">
        <v>37</v>
      </c>
      <c r="C1669" t="s">
        <v>24</v>
      </c>
      <c r="D1669" t="s">
        <v>18</v>
      </c>
      <c r="E1669" s="68">
        <v>263</v>
      </c>
      <c r="F1669" s="68">
        <v>343</v>
      </c>
      <c r="G1669" s="68">
        <v>606</v>
      </c>
    </row>
    <row r="1670" spans="1:7" x14ac:dyDescent="0.3">
      <c r="A1670" t="s">
        <v>39</v>
      </c>
      <c r="B1670" t="s">
        <v>37</v>
      </c>
      <c r="C1670" t="s">
        <v>24</v>
      </c>
      <c r="D1670" t="s">
        <v>19</v>
      </c>
      <c r="E1670" s="68">
        <v>206</v>
      </c>
      <c r="F1670" s="68">
        <v>293</v>
      </c>
      <c r="G1670" s="68">
        <v>499</v>
      </c>
    </row>
    <row r="1671" spans="1:7" x14ac:dyDescent="0.3">
      <c r="A1671" t="s">
        <v>39</v>
      </c>
      <c r="B1671" t="s">
        <v>37</v>
      </c>
      <c r="C1671" t="s">
        <v>24</v>
      </c>
      <c r="D1671" t="s">
        <v>20</v>
      </c>
      <c r="E1671" s="68">
        <v>152</v>
      </c>
      <c r="F1671" s="68">
        <v>200</v>
      </c>
      <c r="G1671" s="68">
        <v>352</v>
      </c>
    </row>
    <row r="1672" spans="1:7" x14ac:dyDescent="0.3">
      <c r="A1672" t="s">
        <v>39</v>
      </c>
      <c r="B1672" t="s">
        <v>37</v>
      </c>
      <c r="C1672" t="s">
        <v>24</v>
      </c>
      <c r="D1672" t="s">
        <v>21</v>
      </c>
      <c r="E1672" s="68">
        <v>85</v>
      </c>
      <c r="F1672" s="68">
        <v>108</v>
      </c>
      <c r="G1672" s="68">
        <v>193</v>
      </c>
    </row>
    <row r="1673" spans="1:7" x14ac:dyDescent="0.3">
      <c r="A1673" t="s">
        <v>39</v>
      </c>
      <c r="B1673" t="s">
        <v>37</v>
      </c>
      <c r="C1673" t="s">
        <v>24</v>
      </c>
      <c r="D1673" t="s">
        <v>22</v>
      </c>
      <c r="E1673" s="68">
        <v>72</v>
      </c>
      <c r="F1673" s="68">
        <v>68</v>
      </c>
      <c r="G1673" s="68">
        <v>140</v>
      </c>
    </row>
    <row r="1674" spans="1:7" x14ac:dyDescent="0.3">
      <c r="A1674" t="s">
        <v>39</v>
      </c>
      <c r="B1674" t="s">
        <v>37</v>
      </c>
      <c r="C1674" t="s">
        <v>24</v>
      </c>
      <c r="D1674" t="s">
        <v>23</v>
      </c>
      <c r="E1674" s="68">
        <v>54</v>
      </c>
      <c r="F1674" s="68">
        <v>60</v>
      </c>
      <c r="G1674" s="68">
        <v>114</v>
      </c>
    </row>
    <row r="1675" spans="1:7" x14ac:dyDescent="0.3">
      <c r="A1675" t="s">
        <v>39</v>
      </c>
      <c r="B1675" t="s">
        <v>35</v>
      </c>
      <c r="C1675" t="s">
        <v>6</v>
      </c>
      <c r="D1675" t="s">
        <v>7</v>
      </c>
      <c r="E1675" s="68">
        <v>5</v>
      </c>
      <c r="F1675" s="68">
        <v>6</v>
      </c>
      <c r="G1675" s="68">
        <v>11</v>
      </c>
    </row>
    <row r="1676" spans="1:7" x14ac:dyDescent="0.3">
      <c r="A1676" t="s">
        <v>39</v>
      </c>
      <c r="B1676" t="s">
        <v>35</v>
      </c>
      <c r="C1676" t="s">
        <v>6</v>
      </c>
      <c r="D1676" t="s">
        <v>8</v>
      </c>
      <c r="E1676" s="68">
        <v>6</v>
      </c>
      <c r="F1676" s="68">
        <v>11</v>
      </c>
      <c r="G1676" s="68">
        <v>17</v>
      </c>
    </row>
    <row r="1677" spans="1:7" x14ac:dyDescent="0.3">
      <c r="A1677" t="s">
        <v>39</v>
      </c>
      <c r="B1677" t="s">
        <v>35</v>
      </c>
      <c r="C1677" t="s">
        <v>6</v>
      </c>
      <c r="D1677" t="s">
        <v>9</v>
      </c>
      <c r="E1677" s="68">
        <v>13</v>
      </c>
      <c r="F1677" s="68">
        <v>16</v>
      </c>
      <c r="G1677" s="68">
        <v>29</v>
      </c>
    </row>
    <row r="1678" spans="1:7" x14ac:dyDescent="0.3">
      <c r="A1678" t="s">
        <v>39</v>
      </c>
      <c r="B1678" t="s">
        <v>35</v>
      </c>
      <c r="C1678" t="s">
        <v>6</v>
      </c>
      <c r="D1678" t="s">
        <v>10</v>
      </c>
      <c r="E1678" s="68">
        <v>33</v>
      </c>
      <c r="F1678" s="68">
        <v>26</v>
      </c>
      <c r="G1678" s="68">
        <v>59</v>
      </c>
    </row>
    <row r="1679" spans="1:7" x14ac:dyDescent="0.3">
      <c r="A1679" t="s">
        <v>39</v>
      </c>
      <c r="B1679" t="s">
        <v>35</v>
      </c>
      <c r="C1679" t="s">
        <v>6</v>
      </c>
      <c r="D1679" t="s">
        <v>11</v>
      </c>
      <c r="E1679" s="68">
        <v>37</v>
      </c>
      <c r="F1679" s="68">
        <v>31</v>
      </c>
      <c r="G1679" s="68">
        <v>68</v>
      </c>
    </row>
    <row r="1680" spans="1:7" x14ac:dyDescent="0.3">
      <c r="A1680" t="s">
        <v>39</v>
      </c>
      <c r="B1680" t="s">
        <v>35</v>
      </c>
      <c r="C1680" t="s">
        <v>6</v>
      </c>
      <c r="D1680" t="s">
        <v>12</v>
      </c>
      <c r="E1680" s="68">
        <v>4</v>
      </c>
      <c r="F1680" s="68">
        <v>11</v>
      </c>
      <c r="G1680" s="68">
        <v>15</v>
      </c>
    </row>
    <row r="1681" spans="1:7" x14ac:dyDescent="0.3">
      <c r="A1681" t="s">
        <v>39</v>
      </c>
      <c r="B1681" t="s">
        <v>35</v>
      </c>
      <c r="C1681" t="s">
        <v>6</v>
      </c>
      <c r="D1681" t="s">
        <v>13</v>
      </c>
      <c r="E1681" s="68">
        <v>7</v>
      </c>
      <c r="F1681" s="68">
        <v>13</v>
      </c>
      <c r="G1681" s="68">
        <v>20</v>
      </c>
    </row>
    <row r="1682" spans="1:7" x14ac:dyDescent="0.3">
      <c r="A1682" t="s">
        <v>39</v>
      </c>
      <c r="B1682" t="s">
        <v>35</v>
      </c>
      <c r="C1682" t="s">
        <v>6</v>
      </c>
      <c r="D1682" t="s">
        <v>14</v>
      </c>
      <c r="E1682" s="68">
        <v>8</v>
      </c>
      <c r="F1682" s="68">
        <v>18</v>
      </c>
      <c r="G1682" s="68">
        <v>26</v>
      </c>
    </row>
    <row r="1683" spans="1:7" x14ac:dyDescent="0.3">
      <c r="A1683" t="s">
        <v>39</v>
      </c>
      <c r="B1683" t="s">
        <v>35</v>
      </c>
      <c r="C1683" t="s">
        <v>6</v>
      </c>
      <c r="D1683" t="s">
        <v>15</v>
      </c>
      <c r="E1683" s="68">
        <v>11</v>
      </c>
      <c r="F1683" s="68">
        <v>22</v>
      </c>
      <c r="G1683" s="68">
        <v>33</v>
      </c>
    </row>
    <row r="1684" spans="1:7" x14ac:dyDescent="0.3">
      <c r="A1684" t="s">
        <v>39</v>
      </c>
      <c r="B1684" t="s">
        <v>35</v>
      </c>
      <c r="C1684" t="s">
        <v>6</v>
      </c>
      <c r="D1684" t="s">
        <v>16</v>
      </c>
      <c r="E1684" s="68">
        <v>29</v>
      </c>
      <c r="F1684" s="68">
        <v>21</v>
      </c>
      <c r="G1684" s="68">
        <v>50</v>
      </c>
    </row>
    <row r="1685" spans="1:7" x14ac:dyDescent="0.3">
      <c r="A1685" t="s">
        <v>39</v>
      </c>
      <c r="B1685" t="s">
        <v>35</v>
      </c>
      <c r="C1685" t="s">
        <v>6</v>
      </c>
      <c r="D1685" t="s">
        <v>17</v>
      </c>
      <c r="E1685" s="68">
        <v>45</v>
      </c>
      <c r="F1685" s="68">
        <v>15</v>
      </c>
      <c r="G1685" s="68">
        <v>60</v>
      </c>
    </row>
    <row r="1686" spans="1:7" x14ac:dyDescent="0.3">
      <c r="A1686" t="s">
        <v>39</v>
      </c>
      <c r="B1686" t="s">
        <v>35</v>
      </c>
      <c r="C1686" t="s">
        <v>6</v>
      </c>
      <c r="D1686" t="s">
        <v>18</v>
      </c>
      <c r="E1686" s="68">
        <v>81</v>
      </c>
      <c r="F1686" s="68">
        <v>13</v>
      </c>
      <c r="G1686" s="68">
        <v>94</v>
      </c>
    </row>
    <row r="1687" spans="1:7" x14ac:dyDescent="0.3">
      <c r="A1687" t="s">
        <v>39</v>
      </c>
      <c r="B1687" t="s">
        <v>35</v>
      </c>
      <c r="C1687" t="s">
        <v>6</v>
      </c>
      <c r="D1687" t="s">
        <v>19</v>
      </c>
      <c r="E1687" s="68">
        <v>179</v>
      </c>
      <c r="F1687" s="68">
        <v>10</v>
      </c>
      <c r="G1687" s="68">
        <v>189</v>
      </c>
    </row>
    <row r="1688" spans="1:7" x14ac:dyDescent="0.3">
      <c r="A1688" t="s">
        <v>39</v>
      </c>
      <c r="B1688" t="s">
        <v>35</v>
      </c>
      <c r="C1688" t="s">
        <v>6</v>
      </c>
      <c r="D1688" t="s">
        <v>20</v>
      </c>
      <c r="E1688" s="68">
        <v>326</v>
      </c>
      <c r="F1688" s="68">
        <v>141</v>
      </c>
      <c r="G1688" s="68">
        <v>467</v>
      </c>
    </row>
    <row r="1689" spans="1:7" x14ac:dyDescent="0.3">
      <c r="A1689" t="s">
        <v>39</v>
      </c>
      <c r="B1689" t="s">
        <v>35</v>
      </c>
      <c r="C1689" t="s">
        <v>6</v>
      </c>
      <c r="D1689" t="s">
        <v>21</v>
      </c>
      <c r="E1689" s="68">
        <v>394</v>
      </c>
      <c r="F1689" s="68">
        <v>296</v>
      </c>
      <c r="G1689" s="68">
        <v>690</v>
      </c>
    </row>
    <row r="1690" spans="1:7" x14ac:dyDescent="0.3">
      <c r="A1690" t="s">
        <v>39</v>
      </c>
      <c r="B1690" t="s">
        <v>35</v>
      </c>
      <c r="C1690" t="s">
        <v>6</v>
      </c>
      <c r="D1690" t="s">
        <v>22</v>
      </c>
      <c r="E1690" s="68">
        <v>361</v>
      </c>
      <c r="F1690" s="68">
        <v>376</v>
      </c>
      <c r="G1690" s="68">
        <v>737</v>
      </c>
    </row>
    <row r="1691" spans="1:7" x14ac:dyDescent="0.3">
      <c r="A1691" t="s">
        <v>39</v>
      </c>
      <c r="B1691" t="s">
        <v>35</v>
      </c>
      <c r="C1691" t="s">
        <v>6</v>
      </c>
      <c r="D1691" t="s">
        <v>23</v>
      </c>
      <c r="E1691" s="68">
        <v>529</v>
      </c>
      <c r="F1691" s="68">
        <v>397</v>
      </c>
      <c r="G1691" s="68">
        <v>926</v>
      </c>
    </row>
    <row r="1692" spans="1:7" x14ac:dyDescent="0.3">
      <c r="A1692" t="s">
        <v>39</v>
      </c>
      <c r="B1692" t="s">
        <v>588</v>
      </c>
      <c r="C1692" t="s">
        <v>6</v>
      </c>
      <c r="D1692" t="s">
        <v>7</v>
      </c>
      <c r="E1692" s="68">
        <v>4385</v>
      </c>
      <c r="F1692" s="68">
        <v>4430</v>
      </c>
      <c r="G1692" s="68">
        <v>8815</v>
      </c>
    </row>
    <row r="1693" spans="1:7" x14ac:dyDescent="0.3">
      <c r="A1693" t="s">
        <v>39</v>
      </c>
      <c r="B1693" t="s">
        <v>588</v>
      </c>
      <c r="C1693" t="s">
        <v>6</v>
      </c>
      <c r="D1693" t="s">
        <v>8</v>
      </c>
      <c r="E1693" s="68">
        <v>5235</v>
      </c>
      <c r="F1693" s="68">
        <v>5531</v>
      </c>
      <c r="G1693" s="68">
        <v>10766</v>
      </c>
    </row>
    <row r="1694" spans="1:7" x14ac:dyDescent="0.3">
      <c r="A1694" t="s">
        <v>39</v>
      </c>
      <c r="B1694" t="s">
        <v>588</v>
      </c>
      <c r="C1694" t="s">
        <v>6</v>
      </c>
      <c r="D1694" t="s">
        <v>9</v>
      </c>
      <c r="E1694" s="68">
        <v>4891</v>
      </c>
      <c r="F1694" s="68">
        <v>5329</v>
      </c>
      <c r="G1694" s="68">
        <v>10220</v>
      </c>
    </row>
    <row r="1695" spans="1:7" x14ac:dyDescent="0.3">
      <c r="A1695" t="s">
        <v>39</v>
      </c>
      <c r="B1695" t="s">
        <v>588</v>
      </c>
      <c r="C1695" t="s">
        <v>6</v>
      </c>
      <c r="D1695" t="s">
        <v>10</v>
      </c>
      <c r="E1695" s="68">
        <v>4624</v>
      </c>
      <c r="F1695" s="68">
        <v>4902</v>
      </c>
      <c r="G1695" s="68">
        <v>9526</v>
      </c>
    </row>
    <row r="1696" spans="1:7" x14ac:dyDescent="0.3">
      <c r="A1696" t="s">
        <v>39</v>
      </c>
      <c r="B1696" t="s">
        <v>588</v>
      </c>
      <c r="C1696" t="s">
        <v>6</v>
      </c>
      <c r="D1696" t="s">
        <v>11</v>
      </c>
      <c r="E1696" s="68">
        <v>6624</v>
      </c>
      <c r="F1696" s="68">
        <v>7554</v>
      </c>
      <c r="G1696" s="68">
        <v>14178</v>
      </c>
    </row>
    <row r="1697" spans="1:7" x14ac:dyDescent="0.3">
      <c r="A1697" t="s">
        <v>39</v>
      </c>
      <c r="B1697" t="s">
        <v>588</v>
      </c>
      <c r="C1697" t="s">
        <v>6</v>
      </c>
      <c r="D1697" t="s">
        <v>12</v>
      </c>
      <c r="E1697" s="68">
        <v>8478</v>
      </c>
      <c r="F1697" s="68">
        <v>8953</v>
      </c>
      <c r="G1697" s="68">
        <v>17431</v>
      </c>
    </row>
    <row r="1698" spans="1:7" x14ac:dyDescent="0.3">
      <c r="A1698" t="s">
        <v>39</v>
      </c>
      <c r="B1698" t="s">
        <v>588</v>
      </c>
      <c r="C1698" t="s">
        <v>6</v>
      </c>
      <c r="D1698" t="s">
        <v>13</v>
      </c>
      <c r="E1698" s="68">
        <v>8038</v>
      </c>
      <c r="F1698" s="68">
        <v>9025</v>
      </c>
      <c r="G1698" s="68">
        <v>17063</v>
      </c>
    </row>
    <row r="1699" spans="1:7" x14ac:dyDescent="0.3">
      <c r="A1699" t="s">
        <v>39</v>
      </c>
      <c r="B1699" t="s">
        <v>588</v>
      </c>
      <c r="C1699" t="s">
        <v>6</v>
      </c>
      <c r="D1699" t="s">
        <v>14</v>
      </c>
      <c r="E1699" s="68">
        <v>6515</v>
      </c>
      <c r="F1699" s="68">
        <v>7396</v>
      </c>
      <c r="G1699" s="68">
        <v>13911</v>
      </c>
    </row>
    <row r="1700" spans="1:7" x14ac:dyDescent="0.3">
      <c r="A1700" t="s">
        <v>39</v>
      </c>
      <c r="B1700" t="s">
        <v>588</v>
      </c>
      <c r="C1700" t="s">
        <v>6</v>
      </c>
      <c r="D1700" t="s">
        <v>15</v>
      </c>
      <c r="E1700" s="68">
        <v>5431</v>
      </c>
      <c r="F1700" s="68">
        <v>6071</v>
      </c>
      <c r="G1700" s="68">
        <v>11502</v>
      </c>
    </row>
    <row r="1701" spans="1:7" x14ac:dyDescent="0.3">
      <c r="A1701" t="s">
        <v>39</v>
      </c>
      <c r="B1701" t="s">
        <v>588</v>
      </c>
      <c r="C1701" t="s">
        <v>6</v>
      </c>
      <c r="D1701" t="s">
        <v>16</v>
      </c>
      <c r="E1701" s="68">
        <v>4422</v>
      </c>
      <c r="F1701" s="68">
        <v>4884</v>
      </c>
      <c r="G1701" s="68">
        <v>9306</v>
      </c>
    </row>
    <row r="1702" spans="1:7" x14ac:dyDescent="0.3">
      <c r="A1702" t="s">
        <v>39</v>
      </c>
      <c r="B1702" t="s">
        <v>588</v>
      </c>
      <c r="C1702" t="s">
        <v>6</v>
      </c>
      <c r="D1702" t="s">
        <v>17</v>
      </c>
      <c r="E1702" s="68">
        <v>3233</v>
      </c>
      <c r="F1702" s="68">
        <v>3602</v>
      </c>
      <c r="G1702" s="68">
        <v>6835</v>
      </c>
    </row>
    <row r="1703" spans="1:7" x14ac:dyDescent="0.3">
      <c r="A1703" t="s">
        <v>39</v>
      </c>
      <c r="B1703" t="s">
        <v>588</v>
      </c>
      <c r="C1703" t="s">
        <v>6</v>
      </c>
      <c r="D1703" t="s">
        <v>18</v>
      </c>
      <c r="E1703" s="68">
        <v>2616</v>
      </c>
      <c r="F1703" s="68">
        <v>2849</v>
      </c>
      <c r="G1703" s="68">
        <v>5465</v>
      </c>
    </row>
    <row r="1704" spans="1:7" x14ac:dyDescent="0.3">
      <c r="A1704" t="s">
        <v>39</v>
      </c>
      <c r="B1704" t="s">
        <v>588</v>
      </c>
      <c r="C1704" t="s">
        <v>6</v>
      </c>
      <c r="D1704" t="s">
        <v>19</v>
      </c>
      <c r="E1704" s="68">
        <v>2098</v>
      </c>
      <c r="F1704" s="68">
        <v>2228</v>
      </c>
      <c r="G1704" s="68">
        <v>4326</v>
      </c>
    </row>
    <row r="1705" spans="1:7" x14ac:dyDescent="0.3">
      <c r="A1705" t="s">
        <v>39</v>
      </c>
      <c r="B1705" t="s">
        <v>588</v>
      </c>
      <c r="C1705" t="s">
        <v>6</v>
      </c>
      <c r="D1705" t="s">
        <v>20</v>
      </c>
      <c r="E1705" s="68">
        <v>1483</v>
      </c>
      <c r="F1705" s="68">
        <v>1558</v>
      </c>
      <c r="G1705" s="68">
        <v>3041</v>
      </c>
    </row>
    <row r="1706" spans="1:7" x14ac:dyDescent="0.3">
      <c r="A1706" t="s">
        <v>39</v>
      </c>
      <c r="B1706" t="s">
        <v>588</v>
      </c>
      <c r="C1706" t="s">
        <v>6</v>
      </c>
      <c r="D1706" t="s">
        <v>21</v>
      </c>
      <c r="E1706" s="68">
        <v>1029</v>
      </c>
      <c r="F1706" s="68">
        <v>893</v>
      </c>
      <c r="G1706" s="68">
        <v>1922</v>
      </c>
    </row>
    <row r="1707" spans="1:7" x14ac:dyDescent="0.3">
      <c r="A1707" t="s">
        <v>39</v>
      </c>
      <c r="B1707" t="s">
        <v>588</v>
      </c>
      <c r="C1707" t="s">
        <v>6</v>
      </c>
      <c r="D1707" t="s">
        <v>22</v>
      </c>
      <c r="E1707" s="68">
        <v>757</v>
      </c>
      <c r="F1707" s="68">
        <v>569</v>
      </c>
      <c r="G1707" s="68">
        <v>1326</v>
      </c>
    </row>
    <row r="1708" spans="1:7" x14ac:dyDescent="0.3">
      <c r="A1708" t="s">
        <v>39</v>
      </c>
      <c r="B1708" t="s">
        <v>588</v>
      </c>
      <c r="C1708" t="s">
        <v>6</v>
      </c>
      <c r="D1708" t="s">
        <v>23</v>
      </c>
      <c r="E1708" s="68">
        <v>1013</v>
      </c>
      <c r="F1708" s="68">
        <v>587</v>
      </c>
      <c r="G1708" s="68">
        <v>1600</v>
      </c>
    </row>
    <row r="1709" spans="1:7" x14ac:dyDescent="0.3">
      <c r="A1709" t="s">
        <v>39</v>
      </c>
      <c r="B1709" t="s">
        <v>588</v>
      </c>
      <c r="C1709" t="s">
        <v>24</v>
      </c>
      <c r="D1709" t="s">
        <v>7</v>
      </c>
      <c r="E1709" s="68">
        <v>24676</v>
      </c>
      <c r="F1709" s="68">
        <v>25865</v>
      </c>
      <c r="G1709" s="68">
        <v>50541</v>
      </c>
    </row>
    <row r="1710" spans="1:7" x14ac:dyDescent="0.3">
      <c r="A1710" t="s">
        <v>39</v>
      </c>
      <c r="B1710" t="s">
        <v>588</v>
      </c>
      <c r="C1710" t="s">
        <v>24</v>
      </c>
      <c r="D1710" t="s">
        <v>8</v>
      </c>
      <c r="E1710" s="68">
        <v>29506</v>
      </c>
      <c r="F1710" s="68">
        <v>30681</v>
      </c>
      <c r="G1710" s="68">
        <v>60187</v>
      </c>
    </row>
    <row r="1711" spans="1:7" x14ac:dyDescent="0.3">
      <c r="A1711" t="s">
        <v>39</v>
      </c>
      <c r="B1711" t="s">
        <v>588</v>
      </c>
      <c r="C1711" t="s">
        <v>24</v>
      </c>
      <c r="D1711" t="s">
        <v>9</v>
      </c>
      <c r="E1711" s="68">
        <v>33309</v>
      </c>
      <c r="F1711" s="68">
        <v>34819</v>
      </c>
      <c r="G1711" s="68">
        <v>68128</v>
      </c>
    </row>
    <row r="1712" spans="1:7" x14ac:dyDescent="0.3">
      <c r="A1712" t="s">
        <v>39</v>
      </c>
      <c r="B1712" t="s">
        <v>588</v>
      </c>
      <c r="C1712" t="s">
        <v>24</v>
      </c>
      <c r="D1712" t="s">
        <v>10</v>
      </c>
      <c r="E1712" s="68">
        <v>33662</v>
      </c>
      <c r="F1712" s="68">
        <v>33761</v>
      </c>
      <c r="G1712" s="68">
        <v>67423</v>
      </c>
    </row>
    <row r="1713" spans="1:7" x14ac:dyDescent="0.3">
      <c r="A1713" t="s">
        <v>39</v>
      </c>
      <c r="B1713" t="s">
        <v>588</v>
      </c>
      <c r="C1713" t="s">
        <v>24</v>
      </c>
      <c r="D1713" t="s">
        <v>11</v>
      </c>
      <c r="E1713" s="68">
        <v>31655</v>
      </c>
      <c r="F1713" s="68">
        <v>23936</v>
      </c>
      <c r="G1713" s="68">
        <v>55591</v>
      </c>
    </row>
    <row r="1714" spans="1:7" x14ac:dyDescent="0.3">
      <c r="A1714" t="s">
        <v>39</v>
      </c>
      <c r="B1714" t="s">
        <v>588</v>
      </c>
      <c r="C1714" t="s">
        <v>24</v>
      </c>
      <c r="D1714" t="s">
        <v>12</v>
      </c>
      <c r="E1714" s="68">
        <v>29411</v>
      </c>
      <c r="F1714" s="68">
        <v>20654</v>
      </c>
      <c r="G1714" s="68">
        <v>50065</v>
      </c>
    </row>
    <row r="1715" spans="1:7" x14ac:dyDescent="0.3">
      <c r="A1715" t="s">
        <v>39</v>
      </c>
      <c r="B1715" t="s">
        <v>588</v>
      </c>
      <c r="C1715" t="s">
        <v>24</v>
      </c>
      <c r="D1715" t="s">
        <v>13</v>
      </c>
      <c r="E1715" s="68">
        <v>28196</v>
      </c>
      <c r="F1715" s="68">
        <v>20873</v>
      </c>
      <c r="G1715" s="68">
        <v>49069</v>
      </c>
    </row>
    <row r="1716" spans="1:7" x14ac:dyDescent="0.3">
      <c r="A1716" t="s">
        <v>39</v>
      </c>
      <c r="B1716" t="s">
        <v>588</v>
      </c>
      <c r="C1716" t="s">
        <v>24</v>
      </c>
      <c r="D1716" t="s">
        <v>14</v>
      </c>
      <c r="E1716" s="68">
        <v>25625</v>
      </c>
      <c r="F1716" s="68">
        <v>20439</v>
      </c>
      <c r="G1716" s="68">
        <v>46064</v>
      </c>
    </row>
    <row r="1717" spans="1:7" x14ac:dyDescent="0.3">
      <c r="A1717" t="s">
        <v>39</v>
      </c>
      <c r="B1717" t="s">
        <v>588</v>
      </c>
      <c r="C1717" t="s">
        <v>24</v>
      </c>
      <c r="D1717" t="s">
        <v>15</v>
      </c>
      <c r="E1717" s="68">
        <v>24901</v>
      </c>
      <c r="F1717" s="68">
        <v>20560</v>
      </c>
      <c r="G1717" s="68">
        <v>45461</v>
      </c>
    </row>
    <row r="1718" spans="1:7" x14ac:dyDescent="0.3">
      <c r="A1718" t="s">
        <v>39</v>
      </c>
      <c r="B1718" t="s">
        <v>588</v>
      </c>
      <c r="C1718" t="s">
        <v>24</v>
      </c>
      <c r="D1718" t="s">
        <v>16</v>
      </c>
      <c r="E1718" s="68">
        <v>23033</v>
      </c>
      <c r="F1718" s="68">
        <v>19909</v>
      </c>
      <c r="G1718" s="68">
        <v>42942</v>
      </c>
    </row>
    <row r="1719" spans="1:7" x14ac:dyDescent="0.3">
      <c r="A1719" t="s">
        <v>39</v>
      </c>
      <c r="B1719" t="s">
        <v>588</v>
      </c>
      <c r="C1719" t="s">
        <v>24</v>
      </c>
      <c r="D1719" t="s">
        <v>17</v>
      </c>
      <c r="E1719" s="68">
        <v>21807</v>
      </c>
      <c r="F1719" s="68">
        <v>19525</v>
      </c>
      <c r="G1719" s="68">
        <v>41332</v>
      </c>
    </row>
    <row r="1720" spans="1:7" x14ac:dyDescent="0.3">
      <c r="A1720" t="s">
        <v>39</v>
      </c>
      <c r="B1720" t="s">
        <v>588</v>
      </c>
      <c r="C1720" t="s">
        <v>24</v>
      </c>
      <c r="D1720" t="s">
        <v>18</v>
      </c>
      <c r="E1720" s="68">
        <v>21893</v>
      </c>
      <c r="F1720" s="68">
        <v>20410</v>
      </c>
      <c r="G1720" s="68">
        <v>42303</v>
      </c>
    </row>
    <row r="1721" spans="1:7" x14ac:dyDescent="0.3">
      <c r="A1721" t="s">
        <v>39</v>
      </c>
      <c r="B1721" t="s">
        <v>588</v>
      </c>
      <c r="C1721" t="s">
        <v>24</v>
      </c>
      <c r="D1721" t="s">
        <v>19</v>
      </c>
      <c r="E1721" s="68">
        <v>20825</v>
      </c>
      <c r="F1721" s="68">
        <v>19506</v>
      </c>
      <c r="G1721" s="68">
        <v>40331</v>
      </c>
    </row>
    <row r="1722" spans="1:7" x14ac:dyDescent="0.3">
      <c r="A1722" t="s">
        <v>39</v>
      </c>
      <c r="B1722" t="s">
        <v>588</v>
      </c>
      <c r="C1722" t="s">
        <v>24</v>
      </c>
      <c r="D1722" t="s">
        <v>20</v>
      </c>
      <c r="E1722" s="68">
        <v>16874</v>
      </c>
      <c r="F1722" s="68">
        <v>15979</v>
      </c>
      <c r="G1722" s="68">
        <v>32853</v>
      </c>
    </row>
    <row r="1723" spans="1:7" x14ac:dyDescent="0.3">
      <c r="A1723" t="s">
        <v>39</v>
      </c>
      <c r="B1723" t="s">
        <v>588</v>
      </c>
      <c r="C1723" t="s">
        <v>24</v>
      </c>
      <c r="D1723" t="s">
        <v>21</v>
      </c>
      <c r="E1723" s="68">
        <v>12301</v>
      </c>
      <c r="F1723" s="68">
        <v>11992</v>
      </c>
      <c r="G1723" s="68">
        <v>24293</v>
      </c>
    </row>
    <row r="1724" spans="1:7" x14ac:dyDescent="0.3">
      <c r="A1724" t="s">
        <v>39</v>
      </c>
      <c r="B1724" t="s">
        <v>588</v>
      </c>
      <c r="C1724" t="s">
        <v>24</v>
      </c>
      <c r="D1724" t="s">
        <v>22</v>
      </c>
      <c r="E1724" s="68">
        <v>9019</v>
      </c>
      <c r="F1724" s="68">
        <v>8314</v>
      </c>
      <c r="G1724" s="68">
        <v>17333</v>
      </c>
    </row>
    <row r="1725" spans="1:7" x14ac:dyDescent="0.3">
      <c r="A1725" t="s">
        <v>39</v>
      </c>
      <c r="B1725" t="s">
        <v>588</v>
      </c>
      <c r="C1725" t="s">
        <v>24</v>
      </c>
      <c r="D1725" t="s">
        <v>23</v>
      </c>
      <c r="E1725" s="68">
        <v>13488</v>
      </c>
      <c r="F1725" s="68">
        <v>11586</v>
      </c>
      <c r="G1725" s="68">
        <v>25074</v>
      </c>
    </row>
    <row r="1726" spans="1:7" x14ac:dyDescent="0.3">
      <c r="A1726" t="s">
        <v>39</v>
      </c>
      <c r="B1726" t="s">
        <v>26</v>
      </c>
      <c r="C1726" t="s">
        <v>6</v>
      </c>
      <c r="D1726" t="s">
        <v>7</v>
      </c>
      <c r="E1726" s="68">
        <v>1674</v>
      </c>
      <c r="F1726" s="68">
        <v>1732</v>
      </c>
      <c r="G1726" s="68">
        <v>3406</v>
      </c>
    </row>
    <row r="1727" spans="1:7" x14ac:dyDescent="0.3">
      <c r="A1727" t="s">
        <v>39</v>
      </c>
      <c r="B1727" t="s">
        <v>26</v>
      </c>
      <c r="C1727" t="s">
        <v>6</v>
      </c>
      <c r="D1727" t="s">
        <v>8</v>
      </c>
      <c r="E1727" s="68">
        <v>2218</v>
      </c>
      <c r="F1727" s="68">
        <v>2279</v>
      </c>
      <c r="G1727" s="68">
        <v>4497</v>
      </c>
    </row>
    <row r="1728" spans="1:7" x14ac:dyDescent="0.3">
      <c r="A1728" t="s">
        <v>39</v>
      </c>
      <c r="B1728" t="s">
        <v>26</v>
      </c>
      <c r="C1728" t="s">
        <v>6</v>
      </c>
      <c r="D1728" t="s">
        <v>9</v>
      </c>
      <c r="E1728" s="68">
        <v>2119</v>
      </c>
      <c r="F1728" s="68">
        <v>2003</v>
      </c>
      <c r="G1728" s="68">
        <v>4122</v>
      </c>
    </row>
    <row r="1729" spans="1:7" x14ac:dyDescent="0.3">
      <c r="A1729" t="s">
        <v>39</v>
      </c>
      <c r="B1729" t="s">
        <v>26</v>
      </c>
      <c r="C1729" t="s">
        <v>6</v>
      </c>
      <c r="D1729" t="s">
        <v>10</v>
      </c>
      <c r="E1729" s="68">
        <v>2127</v>
      </c>
      <c r="F1729" s="68">
        <v>2270</v>
      </c>
      <c r="G1729" s="68">
        <v>4397</v>
      </c>
    </row>
    <row r="1730" spans="1:7" x14ac:dyDescent="0.3">
      <c r="A1730" t="s">
        <v>39</v>
      </c>
      <c r="B1730" t="s">
        <v>26</v>
      </c>
      <c r="C1730" t="s">
        <v>6</v>
      </c>
      <c r="D1730" t="s">
        <v>11</v>
      </c>
      <c r="E1730" s="68">
        <v>2905</v>
      </c>
      <c r="F1730" s="68">
        <v>4404</v>
      </c>
      <c r="G1730" s="68">
        <v>7309</v>
      </c>
    </row>
    <row r="1731" spans="1:7" x14ac:dyDescent="0.3">
      <c r="A1731" t="s">
        <v>39</v>
      </c>
      <c r="B1731" t="s">
        <v>26</v>
      </c>
      <c r="C1731" t="s">
        <v>6</v>
      </c>
      <c r="D1731" t="s">
        <v>12</v>
      </c>
      <c r="E1731" s="68">
        <v>2744</v>
      </c>
      <c r="F1731" s="68">
        <v>4739</v>
      </c>
      <c r="G1731" s="68">
        <v>7483</v>
      </c>
    </row>
    <row r="1732" spans="1:7" x14ac:dyDescent="0.3">
      <c r="A1732" t="s">
        <v>39</v>
      </c>
      <c r="B1732" t="s">
        <v>26</v>
      </c>
      <c r="C1732" t="s">
        <v>6</v>
      </c>
      <c r="D1732" t="s">
        <v>13</v>
      </c>
      <c r="E1732" s="68">
        <v>2590</v>
      </c>
      <c r="F1732" s="68">
        <v>4394</v>
      </c>
      <c r="G1732" s="68">
        <v>6984</v>
      </c>
    </row>
    <row r="1733" spans="1:7" x14ac:dyDescent="0.3">
      <c r="A1733" t="s">
        <v>39</v>
      </c>
      <c r="B1733" t="s">
        <v>26</v>
      </c>
      <c r="C1733" t="s">
        <v>6</v>
      </c>
      <c r="D1733" t="s">
        <v>14</v>
      </c>
      <c r="E1733" s="68">
        <v>2233</v>
      </c>
      <c r="F1733" s="68">
        <v>3478</v>
      </c>
      <c r="G1733" s="68">
        <v>5711</v>
      </c>
    </row>
    <row r="1734" spans="1:7" x14ac:dyDescent="0.3">
      <c r="A1734" t="s">
        <v>39</v>
      </c>
      <c r="B1734" t="s">
        <v>26</v>
      </c>
      <c r="C1734" t="s">
        <v>6</v>
      </c>
      <c r="D1734" t="s">
        <v>15</v>
      </c>
      <c r="E1734" s="68">
        <v>2013</v>
      </c>
      <c r="F1734" s="68">
        <v>2906</v>
      </c>
      <c r="G1734" s="68">
        <v>4919</v>
      </c>
    </row>
    <row r="1735" spans="1:7" x14ac:dyDescent="0.3">
      <c r="A1735" t="s">
        <v>39</v>
      </c>
      <c r="B1735" t="s">
        <v>26</v>
      </c>
      <c r="C1735" t="s">
        <v>6</v>
      </c>
      <c r="D1735" t="s">
        <v>16</v>
      </c>
      <c r="E1735" s="68">
        <v>1984</v>
      </c>
      <c r="F1735" s="68">
        <v>2322</v>
      </c>
      <c r="G1735" s="68">
        <v>4306</v>
      </c>
    </row>
    <row r="1736" spans="1:7" x14ac:dyDescent="0.3">
      <c r="A1736" t="s">
        <v>39</v>
      </c>
      <c r="B1736" t="s">
        <v>26</v>
      </c>
      <c r="C1736" t="s">
        <v>6</v>
      </c>
      <c r="D1736" t="s">
        <v>17</v>
      </c>
      <c r="E1736" s="68">
        <v>2224</v>
      </c>
      <c r="F1736" s="68">
        <v>2327</v>
      </c>
      <c r="G1736" s="68">
        <v>4551</v>
      </c>
    </row>
    <row r="1737" spans="1:7" x14ac:dyDescent="0.3">
      <c r="A1737" t="s">
        <v>39</v>
      </c>
      <c r="B1737" t="s">
        <v>26</v>
      </c>
      <c r="C1737" t="s">
        <v>6</v>
      </c>
      <c r="D1737" t="s">
        <v>18</v>
      </c>
      <c r="E1737" s="68">
        <v>2715</v>
      </c>
      <c r="F1737" s="68">
        <v>2606</v>
      </c>
      <c r="G1737" s="68">
        <v>5321</v>
      </c>
    </row>
    <row r="1738" spans="1:7" x14ac:dyDescent="0.3">
      <c r="A1738" t="s">
        <v>39</v>
      </c>
      <c r="B1738" t="s">
        <v>26</v>
      </c>
      <c r="C1738" t="s">
        <v>6</v>
      </c>
      <c r="D1738" t="s">
        <v>19</v>
      </c>
      <c r="E1738" s="68">
        <v>3223</v>
      </c>
      <c r="F1738" s="68">
        <v>2721</v>
      </c>
      <c r="G1738" s="68">
        <v>5944</v>
      </c>
    </row>
    <row r="1739" spans="1:7" x14ac:dyDescent="0.3">
      <c r="A1739" t="s">
        <v>39</v>
      </c>
      <c r="B1739" t="s">
        <v>26</v>
      </c>
      <c r="C1739" t="s">
        <v>6</v>
      </c>
      <c r="D1739" t="s">
        <v>20</v>
      </c>
      <c r="E1739" s="68">
        <v>3204</v>
      </c>
      <c r="F1739" s="68">
        <v>2515</v>
      </c>
      <c r="G1739" s="68">
        <v>5719</v>
      </c>
    </row>
    <row r="1740" spans="1:7" x14ac:dyDescent="0.3">
      <c r="A1740" t="s">
        <v>39</v>
      </c>
      <c r="B1740" t="s">
        <v>26</v>
      </c>
      <c r="C1740" t="s">
        <v>6</v>
      </c>
      <c r="D1740" t="s">
        <v>21</v>
      </c>
      <c r="E1740" s="68">
        <v>2838</v>
      </c>
      <c r="F1740" s="68">
        <v>2116</v>
      </c>
      <c r="G1740" s="68">
        <v>4954</v>
      </c>
    </row>
    <row r="1741" spans="1:7" x14ac:dyDescent="0.3">
      <c r="A1741" t="s">
        <v>39</v>
      </c>
      <c r="B1741" t="s">
        <v>26</v>
      </c>
      <c r="C1741" t="s">
        <v>6</v>
      </c>
      <c r="D1741" t="s">
        <v>22</v>
      </c>
      <c r="E1741" s="68">
        <v>2279</v>
      </c>
      <c r="F1741" s="68">
        <v>1736</v>
      </c>
      <c r="G1741" s="68">
        <v>4015</v>
      </c>
    </row>
    <row r="1742" spans="1:7" x14ac:dyDescent="0.3">
      <c r="A1742" t="s">
        <v>39</v>
      </c>
      <c r="B1742" t="s">
        <v>26</v>
      </c>
      <c r="C1742" t="s">
        <v>6</v>
      </c>
      <c r="D1742" t="s">
        <v>23</v>
      </c>
      <c r="E1742" s="68">
        <v>3394</v>
      </c>
      <c r="F1742" s="68">
        <v>2165</v>
      </c>
      <c r="G1742" s="68">
        <v>5559</v>
      </c>
    </row>
    <row r="1743" spans="1:7" x14ac:dyDescent="0.3">
      <c r="A1743" t="s">
        <v>39</v>
      </c>
      <c r="B1743" t="s">
        <v>26</v>
      </c>
      <c r="C1743" t="s">
        <v>24</v>
      </c>
      <c r="D1743" t="s">
        <v>7</v>
      </c>
      <c r="E1743" s="68">
        <v>8690</v>
      </c>
      <c r="F1743" s="68">
        <v>9055</v>
      </c>
      <c r="G1743" s="68">
        <v>17745</v>
      </c>
    </row>
    <row r="1744" spans="1:7" x14ac:dyDescent="0.3">
      <c r="A1744" t="s">
        <v>39</v>
      </c>
      <c r="B1744" t="s">
        <v>26</v>
      </c>
      <c r="C1744" t="s">
        <v>24</v>
      </c>
      <c r="D1744" t="s">
        <v>8</v>
      </c>
      <c r="E1744" s="68">
        <v>10462</v>
      </c>
      <c r="F1744" s="68">
        <v>10829</v>
      </c>
      <c r="G1744" s="68">
        <v>21291</v>
      </c>
    </row>
    <row r="1745" spans="1:7" x14ac:dyDescent="0.3">
      <c r="A1745" t="s">
        <v>39</v>
      </c>
      <c r="B1745" t="s">
        <v>26</v>
      </c>
      <c r="C1745" t="s">
        <v>24</v>
      </c>
      <c r="D1745" t="s">
        <v>9</v>
      </c>
      <c r="E1745" s="68">
        <v>10082</v>
      </c>
      <c r="F1745" s="68">
        <v>10432</v>
      </c>
      <c r="G1745" s="68">
        <v>20514</v>
      </c>
    </row>
    <row r="1746" spans="1:7" x14ac:dyDescent="0.3">
      <c r="A1746" t="s">
        <v>39</v>
      </c>
      <c r="B1746" t="s">
        <v>26</v>
      </c>
      <c r="C1746" t="s">
        <v>24</v>
      </c>
      <c r="D1746" t="s">
        <v>10</v>
      </c>
      <c r="E1746" s="68">
        <v>10405</v>
      </c>
      <c r="F1746" s="68">
        <v>10287</v>
      </c>
      <c r="G1746" s="68">
        <v>20692</v>
      </c>
    </row>
    <row r="1747" spans="1:7" x14ac:dyDescent="0.3">
      <c r="A1747" t="s">
        <v>39</v>
      </c>
      <c r="B1747" t="s">
        <v>26</v>
      </c>
      <c r="C1747" t="s">
        <v>24</v>
      </c>
      <c r="D1747" t="s">
        <v>11</v>
      </c>
      <c r="E1747" s="68">
        <v>10327</v>
      </c>
      <c r="F1747" s="68">
        <v>8362</v>
      </c>
      <c r="G1747" s="68">
        <v>18689</v>
      </c>
    </row>
    <row r="1748" spans="1:7" x14ac:dyDescent="0.3">
      <c r="A1748" t="s">
        <v>39</v>
      </c>
      <c r="B1748" t="s">
        <v>26</v>
      </c>
      <c r="C1748" t="s">
        <v>24</v>
      </c>
      <c r="D1748" t="s">
        <v>12</v>
      </c>
      <c r="E1748" s="68">
        <v>9592</v>
      </c>
      <c r="F1748" s="68">
        <v>8270</v>
      </c>
      <c r="G1748" s="68">
        <v>17862</v>
      </c>
    </row>
    <row r="1749" spans="1:7" x14ac:dyDescent="0.3">
      <c r="A1749" t="s">
        <v>39</v>
      </c>
      <c r="B1749" t="s">
        <v>26</v>
      </c>
      <c r="C1749" t="s">
        <v>24</v>
      </c>
      <c r="D1749" t="s">
        <v>13</v>
      </c>
      <c r="E1749" s="68">
        <v>8662</v>
      </c>
      <c r="F1749" s="68">
        <v>8322</v>
      </c>
      <c r="G1749" s="68">
        <v>16984</v>
      </c>
    </row>
    <row r="1750" spans="1:7" x14ac:dyDescent="0.3">
      <c r="A1750" t="s">
        <v>39</v>
      </c>
      <c r="B1750" t="s">
        <v>26</v>
      </c>
      <c r="C1750" t="s">
        <v>24</v>
      </c>
      <c r="D1750" t="s">
        <v>14</v>
      </c>
      <c r="E1750" s="68">
        <v>7363</v>
      </c>
      <c r="F1750" s="68">
        <v>7103</v>
      </c>
      <c r="G1750" s="68">
        <v>14466</v>
      </c>
    </row>
    <row r="1751" spans="1:7" x14ac:dyDescent="0.3">
      <c r="A1751" t="s">
        <v>39</v>
      </c>
      <c r="B1751" t="s">
        <v>26</v>
      </c>
      <c r="C1751" t="s">
        <v>24</v>
      </c>
      <c r="D1751" t="s">
        <v>15</v>
      </c>
      <c r="E1751" s="68">
        <v>6100</v>
      </c>
      <c r="F1751" s="68">
        <v>6082</v>
      </c>
      <c r="G1751" s="68">
        <v>12182</v>
      </c>
    </row>
    <row r="1752" spans="1:7" x14ac:dyDescent="0.3">
      <c r="A1752" t="s">
        <v>39</v>
      </c>
      <c r="B1752" t="s">
        <v>26</v>
      </c>
      <c r="C1752" t="s">
        <v>24</v>
      </c>
      <c r="D1752" t="s">
        <v>16</v>
      </c>
      <c r="E1752" s="68">
        <v>5832</v>
      </c>
      <c r="F1752" s="68">
        <v>5912</v>
      </c>
      <c r="G1752" s="68">
        <v>11744</v>
      </c>
    </row>
    <row r="1753" spans="1:7" x14ac:dyDescent="0.3">
      <c r="A1753" t="s">
        <v>39</v>
      </c>
      <c r="B1753" t="s">
        <v>26</v>
      </c>
      <c r="C1753" t="s">
        <v>24</v>
      </c>
      <c r="D1753" t="s">
        <v>17</v>
      </c>
      <c r="E1753" s="68">
        <v>5671</v>
      </c>
      <c r="F1753" s="68">
        <v>5906</v>
      </c>
      <c r="G1753" s="68">
        <v>11577</v>
      </c>
    </row>
    <row r="1754" spans="1:7" x14ac:dyDescent="0.3">
      <c r="A1754" t="s">
        <v>39</v>
      </c>
      <c r="B1754" t="s">
        <v>26</v>
      </c>
      <c r="C1754" t="s">
        <v>24</v>
      </c>
      <c r="D1754" t="s">
        <v>18</v>
      </c>
      <c r="E1754" s="68">
        <v>4800</v>
      </c>
      <c r="F1754" s="68">
        <v>5704</v>
      </c>
      <c r="G1754" s="68">
        <v>10504</v>
      </c>
    </row>
    <row r="1755" spans="1:7" x14ac:dyDescent="0.3">
      <c r="A1755" t="s">
        <v>39</v>
      </c>
      <c r="B1755" t="s">
        <v>26</v>
      </c>
      <c r="C1755" t="s">
        <v>24</v>
      </c>
      <c r="D1755" t="s">
        <v>19</v>
      </c>
      <c r="E1755" s="68">
        <v>3556</v>
      </c>
      <c r="F1755" s="68">
        <v>4428</v>
      </c>
      <c r="G1755" s="68">
        <v>7984</v>
      </c>
    </row>
    <row r="1756" spans="1:7" x14ac:dyDescent="0.3">
      <c r="A1756" t="s">
        <v>39</v>
      </c>
      <c r="B1756" t="s">
        <v>26</v>
      </c>
      <c r="C1756" t="s">
        <v>24</v>
      </c>
      <c r="D1756" t="s">
        <v>20</v>
      </c>
      <c r="E1756" s="68">
        <v>2750</v>
      </c>
      <c r="F1756" s="68">
        <v>3521</v>
      </c>
      <c r="G1756" s="68">
        <v>6271</v>
      </c>
    </row>
    <row r="1757" spans="1:7" x14ac:dyDescent="0.3">
      <c r="A1757" t="s">
        <v>39</v>
      </c>
      <c r="B1757" t="s">
        <v>26</v>
      </c>
      <c r="C1757" t="s">
        <v>24</v>
      </c>
      <c r="D1757" t="s">
        <v>21</v>
      </c>
      <c r="E1757" s="68">
        <v>2098</v>
      </c>
      <c r="F1757" s="68">
        <v>2527</v>
      </c>
      <c r="G1757" s="68">
        <v>4625</v>
      </c>
    </row>
    <row r="1758" spans="1:7" x14ac:dyDescent="0.3">
      <c r="A1758" t="s">
        <v>39</v>
      </c>
      <c r="B1758" t="s">
        <v>26</v>
      </c>
      <c r="C1758" t="s">
        <v>24</v>
      </c>
      <c r="D1758" t="s">
        <v>22</v>
      </c>
      <c r="E1758" s="68">
        <v>1522</v>
      </c>
      <c r="F1758" s="68">
        <v>1707</v>
      </c>
      <c r="G1758" s="68">
        <v>3229</v>
      </c>
    </row>
    <row r="1759" spans="1:7" x14ac:dyDescent="0.3">
      <c r="A1759" t="s">
        <v>39</v>
      </c>
      <c r="B1759" t="s">
        <v>26</v>
      </c>
      <c r="C1759" t="s">
        <v>24</v>
      </c>
      <c r="D1759" t="s">
        <v>23</v>
      </c>
      <c r="E1759" s="68">
        <v>2156</v>
      </c>
      <c r="F1759" s="68">
        <v>2305</v>
      </c>
      <c r="G1759" s="68">
        <v>4461</v>
      </c>
    </row>
    <row r="1760" spans="1:7" x14ac:dyDescent="0.3">
      <c r="A1760" t="s">
        <v>39</v>
      </c>
      <c r="B1760" t="s">
        <v>27</v>
      </c>
      <c r="C1760" t="s">
        <v>28</v>
      </c>
      <c r="D1760" t="s">
        <v>7</v>
      </c>
      <c r="E1760" s="68">
        <v>513</v>
      </c>
      <c r="F1760" s="68">
        <v>484</v>
      </c>
      <c r="G1760" s="68">
        <v>997</v>
      </c>
    </row>
    <row r="1761" spans="1:7" x14ac:dyDescent="0.3">
      <c r="A1761" t="s">
        <v>39</v>
      </c>
      <c r="B1761" t="s">
        <v>27</v>
      </c>
      <c r="C1761" t="s">
        <v>28</v>
      </c>
      <c r="D1761" t="s">
        <v>8</v>
      </c>
      <c r="E1761" s="68">
        <v>710</v>
      </c>
      <c r="F1761" s="68">
        <v>762</v>
      </c>
      <c r="G1761" s="68">
        <v>1472</v>
      </c>
    </row>
    <row r="1762" spans="1:7" x14ac:dyDescent="0.3">
      <c r="A1762" t="s">
        <v>39</v>
      </c>
      <c r="B1762" t="s">
        <v>27</v>
      </c>
      <c r="C1762" t="s">
        <v>28</v>
      </c>
      <c r="D1762" t="s">
        <v>9</v>
      </c>
      <c r="E1762" s="68">
        <v>1152</v>
      </c>
      <c r="F1762" s="68">
        <v>1278</v>
      </c>
      <c r="G1762" s="68">
        <v>2430</v>
      </c>
    </row>
    <row r="1763" spans="1:7" x14ac:dyDescent="0.3">
      <c r="A1763" t="s">
        <v>39</v>
      </c>
      <c r="B1763" t="s">
        <v>27</v>
      </c>
      <c r="C1763" t="s">
        <v>28</v>
      </c>
      <c r="D1763" t="s">
        <v>10</v>
      </c>
      <c r="E1763" s="68">
        <v>1514</v>
      </c>
      <c r="F1763" s="68">
        <v>1556</v>
      </c>
      <c r="G1763" s="68">
        <v>3070</v>
      </c>
    </row>
    <row r="1764" spans="1:7" x14ac:dyDescent="0.3">
      <c r="A1764" t="s">
        <v>39</v>
      </c>
      <c r="B1764" t="s">
        <v>27</v>
      </c>
      <c r="C1764" t="s">
        <v>28</v>
      </c>
      <c r="D1764" t="s">
        <v>11</v>
      </c>
      <c r="E1764" s="68">
        <v>1331</v>
      </c>
      <c r="F1764" s="68">
        <v>1402</v>
      </c>
      <c r="G1764" s="68">
        <v>2733</v>
      </c>
    </row>
    <row r="1765" spans="1:7" x14ac:dyDescent="0.3">
      <c r="A1765" t="s">
        <v>39</v>
      </c>
      <c r="B1765" t="s">
        <v>27</v>
      </c>
      <c r="C1765" t="s">
        <v>28</v>
      </c>
      <c r="D1765" t="s">
        <v>12</v>
      </c>
      <c r="E1765" s="68">
        <v>524</v>
      </c>
      <c r="F1765" s="68">
        <v>452</v>
      </c>
      <c r="G1765" s="68">
        <v>976</v>
      </c>
    </row>
    <row r="1766" spans="1:7" x14ac:dyDescent="0.3">
      <c r="A1766" t="s">
        <v>39</v>
      </c>
      <c r="B1766" t="s">
        <v>27</v>
      </c>
      <c r="C1766" t="s">
        <v>28</v>
      </c>
      <c r="D1766" t="s">
        <v>13</v>
      </c>
      <c r="E1766" s="68">
        <v>884</v>
      </c>
      <c r="F1766" s="68">
        <v>621</v>
      </c>
      <c r="G1766" s="68">
        <v>1505</v>
      </c>
    </row>
    <row r="1767" spans="1:7" x14ac:dyDescent="0.3">
      <c r="A1767" t="s">
        <v>39</v>
      </c>
      <c r="B1767" t="s">
        <v>27</v>
      </c>
      <c r="C1767" t="s">
        <v>28</v>
      </c>
      <c r="D1767" t="s">
        <v>14</v>
      </c>
      <c r="E1767" s="68">
        <v>1170</v>
      </c>
      <c r="F1767" s="68">
        <v>844</v>
      </c>
      <c r="G1767" s="68">
        <v>2014</v>
      </c>
    </row>
    <row r="1768" spans="1:7" x14ac:dyDescent="0.3">
      <c r="A1768" t="s">
        <v>39</v>
      </c>
      <c r="B1768" t="s">
        <v>27</v>
      </c>
      <c r="C1768" t="s">
        <v>28</v>
      </c>
      <c r="D1768" t="s">
        <v>15</v>
      </c>
      <c r="E1768" s="68">
        <v>1427</v>
      </c>
      <c r="F1768" s="68">
        <v>955</v>
      </c>
      <c r="G1768" s="68">
        <v>2382</v>
      </c>
    </row>
    <row r="1769" spans="1:7" x14ac:dyDescent="0.3">
      <c r="A1769" t="s">
        <v>39</v>
      </c>
      <c r="B1769" t="s">
        <v>27</v>
      </c>
      <c r="C1769" t="s">
        <v>28</v>
      </c>
      <c r="D1769" t="s">
        <v>16</v>
      </c>
      <c r="E1769" s="68">
        <v>1865</v>
      </c>
      <c r="F1769" s="68">
        <v>1257</v>
      </c>
      <c r="G1769" s="68">
        <v>3122</v>
      </c>
    </row>
    <row r="1770" spans="1:7" x14ac:dyDescent="0.3">
      <c r="A1770" t="s">
        <v>39</v>
      </c>
      <c r="B1770" t="s">
        <v>27</v>
      </c>
      <c r="C1770" t="s">
        <v>28</v>
      </c>
      <c r="D1770" t="s">
        <v>17</v>
      </c>
      <c r="E1770" s="68">
        <v>2231</v>
      </c>
      <c r="F1770" s="68">
        <v>1408</v>
      </c>
      <c r="G1770" s="68">
        <v>3639</v>
      </c>
    </row>
    <row r="1771" spans="1:7" x14ac:dyDescent="0.3">
      <c r="A1771" t="s">
        <v>39</v>
      </c>
      <c r="B1771" t="s">
        <v>27</v>
      </c>
      <c r="C1771" t="s">
        <v>28</v>
      </c>
      <c r="D1771" t="s">
        <v>18</v>
      </c>
      <c r="E1771" s="68">
        <v>2519</v>
      </c>
      <c r="F1771" s="68">
        <v>1696</v>
      </c>
      <c r="G1771" s="68">
        <v>4215</v>
      </c>
    </row>
    <row r="1772" spans="1:7" x14ac:dyDescent="0.3">
      <c r="A1772" t="s">
        <v>39</v>
      </c>
      <c r="B1772" t="s">
        <v>27</v>
      </c>
      <c r="C1772" t="s">
        <v>28</v>
      </c>
      <c r="D1772" t="s">
        <v>19</v>
      </c>
      <c r="E1772" s="68">
        <v>2237</v>
      </c>
      <c r="F1772" s="68">
        <v>1504</v>
      </c>
      <c r="G1772" s="68">
        <v>3741</v>
      </c>
    </row>
    <row r="1773" spans="1:7" x14ac:dyDescent="0.3">
      <c r="A1773" t="s">
        <v>39</v>
      </c>
      <c r="B1773" t="s">
        <v>27</v>
      </c>
      <c r="C1773" t="s">
        <v>28</v>
      </c>
      <c r="D1773" t="s">
        <v>20</v>
      </c>
      <c r="E1773" s="68">
        <v>1700</v>
      </c>
      <c r="F1773" s="68">
        <v>1296</v>
      </c>
      <c r="G1773" s="68">
        <v>2996</v>
      </c>
    </row>
    <row r="1774" spans="1:7" x14ac:dyDescent="0.3">
      <c r="A1774" t="s">
        <v>39</v>
      </c>
      <c r="B1774" t="s">
        <v>27</v>
      </c>
      <c r="C1774" t="s">
        <v>28</v>
      </c>
      <c r="D1774" t="s">
        <v>21</v>
      </c>
      <c r="E1774" s="68">
        <v>1717</v>
      </c>
      <c r="F1774" s="68">
        <v>1168</v>
      </c>
      <c r="G1774" s="68">
        <v>2885</v>
      </c>
    </row>
    <row r="1775" spans="1:7" x14ac:dyDescent="0.3">
      <c r="A1775" t="s">
        <v>39</v>
      </c>
      <c r="B1775" t="s">
        <v>27</v>
      </c>
      <c r="C1775" t="s">
        <v>28</v>
      </c>
      <c r="D1775" t="s">
        <v>22</v>
      </c>
      <c r="E1775" s="68">
        <v>1315</v>
      </c>
      <c r="F1775" s="68">
        <v>701</v>
      </c>
      <c r="G1775" s="68">
        <v>2016</v>
      </c>
    </row>
    <row r="1776" spans="1:7" x14ac:dyDescent="0.3">
      <c r="A1776" t="s">
        <v>39</v>
      </c>
      <c r="B1776" t="s">
        <v>27</v>
      </c>
      <c r="C1776" t="s">
        <v>28</v>
      </c>
      <c r="D1776" t="s">
        <v>23</v>
      </c>
      <c r="E1776" s="68">
        <v>999</v>
      </c>
      <c r="F1776" s="68">
        <v>569</v>
      </c>
      <c r="G1776" s="68">
        <v>1568</v>
      </c>
    </row>
    <row r="1777" spans="1:7" x14ac:dyDescent="0.3">
      <c r="A1777" t="s">
        <v>39</v>
      </c>
      <c r="B1777" t="s">
        <v>27</v>
      </c>
      <c r="C1777" t="s">
        <v>29</v>
      </c>
      <c r="D1777" t="s">
        <v>10</v>
      </c>
      <c r="E1777" s="68"/>
      <c r="F1777" s="68">
        <v>7</v>
      </c>
      <c r="G1777" s="68">
        <v>7</v>
      </c>
    </row>
    <row r="1778" spans="1:7" x14ac:dyDescent="0.3">
      <c r="A1778" t="s">
        <v>39</v>
      </c>
      <c r="B1778" t="s">
        <v>27</v>
      </c>
      <c r="C1778" t="s">
        <v>29</v>
      </c>
      <c r="D1778" t="s">
        <v>11</v>
      </c>
      <c r="E1778" s="68">
        <v>4</v>
      </c>
      <c r="F1778" s="68">
        <v>200</v>
      </c>
      <c r="G1778" s="68">
        <v>204</v>
      </c>
    </row>
    <row r="1779" spans="1:7" x14ac:dyDescent="0.3">
      <c r="A1779" t="s">
        <v>39</v>
      </c>
      <c r="B1779" t="s">
        <v>27</v>
      </c>
      <c r="C1779" t="s">
        <v>29</v>
      </c>
      <c r="D1779" t="s">
        <v>12</v>
      </c>
      <c r="E1779" s="68">
        <v>6</v>
      </c>
      <c r="F1779" s="68">
        <v>421</v>
      </c>
      <c r="G1779" s="68">
        <v>427</v>
      </c>
    </row>
    <row r="1780" spans="1:7" x14ac:dyDescent="0.3">
      <c r="A1780" t="s">
        <v>39</v>
      </c>
      <c r="B1780" t="s">
        <v>27</v>
      </c>
      <c r="C1780" t="s">
        <v>29</v>
      </c>
      <c r="D1780" t="s">
        <v>13</v>
      </c>
      <c r="E1780" s="68">
        <v>9</v>
      </c>
      <c r="F1780" s="68">
        <v>422</v>
      </c>
      <c r="G1780" s="68">
        <v>431</v>
      </c>
    </row>
    <row r="1781" spans="1:7" x14ac:dyDescent="0.3">
      <c r="A1781" t="s">
        <v>39</v>
      </c>
      <c r="B1781" t="s">
        <v>27</v>
      </c>
      <c r="C1781" t="s">
        <v>29</v>
      </c>
      <c r="D1781" t="s">
        <v>14</v>
      </c>
      <c r="E1781" s="68">
        <v>6</v>
      </c>
      <c r="F1781" s="68">
        <v>308</v>
      </c>
      <c r="G1781" s="68">
        <v>314</v>
      </c>
    </row>
    <row r="1782" spans="1:7" x14ac:dyDescent="0.3">
      <c r="A1782" t="s">
        <v>39</v>
      </c>
      <c r="B1782" t="s">
        <v>27</v>
      </c>
      <c r="C1782" t="s">
        <v>29</v>
      </c>
      <c r="D1782" t="s">
        <v>15</v>
      </c>
      <c r="E1782" s="68">
        <v>6</v>
      </c>
      <c r="F1782" s="68">
        <v>233</v>
      </c>
      <c r="G1782" s="68">
        <v>239</v>
      </c>
    </row>
    <row r="1783" spans="1:7" x14ac:dyDescent="0.3">
      <c r="A1783" t="s">
        <v>39</v>
      </c>
      <c r="B1783" t="s">
        <v>27</v>
      </c>
      <c r="C1783" t="s">
        <v>29</v>
      </c>
      <c r="D1783" t="s">
        <v>16</v>
      </c>
      <c r="E1783" s="68">
        <v>2</v>
      </c>
      <c r="F1783" s="68">
        <v>160</v>
      </c>
      <c r="G1783" s="68">
        <v>162</v>
      </c>
    </row>
    <row r="1784" spans="1:7" x14ac:dyDescent="0.3">
      <c r="A1784" t="s">
        <v>39</v>
      </c>
      <c r="B1784" t="s">
        <v>27</v>
      </c>
      <c r="C1784" t="s">
        <v>29</v>
      </c>
      <c r="D1784" t="s">
        <v>17</v>
      </c>
      <c r="E1784" s="68">
        <v>1</v>
      </c>
      <c r="F1784" s="68">
        <v>112</v>
      </c>
      <c r="G1784" s="68">
        <v>113</v>
      </c>
    </row>
    <row r="1785" spans="1:7" x14ac:dyDescent="0.3">
      <c r="A1785" t="s">
        <v>39</v>
      </c>
      <c r="B1785" t="s">
        <v>27</v>
      </c>
      <c r="C1785" t="s">
        <v>29</v>
      </c>
      <c r="D1785" t="s">
        <v>18</v>
      </c>
      <c r="E1785" s="68">
        <v>3</v>
      </c>
      <c r="F1785" s="68">
        <v>67</v>
      </c>
      <c r="G1785" s="68">
        <v>70</v>
      </c>
    </row>
    <row r="1786" spans="1:7" x14ac:dyDescent="0.3">
      <c r="A1786" t="s">
        <v>39</v>
      </c>
      <c r="B1786" t="s">
        <v>27</v>
      </c>
      <c r="C1786" t="s">
        <v>29</v>
      </c>
      <c r="D1786" t="s">
        <v>19</v>
      </c>
      <c r="E1786" s="68"/>
      <c r="F1786" s="68">
        <v>43</v>
      </c>
      <c r="G1786" s="68">
        <v>43</v>
      </c>
    </row>
    <row r="1787" spans="1:7" x14ac:dyDescent="0.3">
      <c r="A1787" t="s">
        <v>39</v>
      </c>
      <c r="B1787" t="s">
        <v>27</v>
      </c>
      <c r="C1787" t="s">
        <v>29</v>
      </c>
      <c r="D1787" t="s">
        <v>20</v>
      </c>
      <c r="E1787" s="68"/>
      <c r="F1787" s="68">
        <v>24</v>
      </c>
      <c r="G1787" s="68">
        <v>24</v>
      </c>
    </row>
    <row r="1788" spans="1:7" x14ac:dyDescent="0.3">
      <c r="A1788" t="s">
        <v>39</v>
      </c>
      <c r="B1788" t="s">
        <v>27</v>
      </c>
      <c r="C1788" t="s">
        <v>29</v>
      </c>
      <c r="D1788" t="s">
        <v>21</v>
      </c>
      <c r="E1788" s="68">
        <v>1</v>
      </c>
      <c r="F1788" s="68">
        <v>12</v>
      </c>
      <c r="G1788" s="68">
        <v>13</v>
      </c>
    </row>
    <row r="1789" spans="1:7" x14ac:dyDescent="0.3">
      <c r="A1789" t="s">
        <v>39</v>
      </c>
      <c r="B1789" t="s">
        <v>27</v>
      </c>
      <c r="C1789" t="s">
        <v>29</v>
      </c>
      <c r="D1789" t="s">
        <v>22</v>
      </c>
      <c r="E1789" s="68"/>
      <c r="F1789" s="68">
        <v>6</v>
      </c>
      <c r="G1789" s="68">
        <v>6</v>
      </c>
    </row>
    <row r="1790" spans="1:7" x14ac:dyDescent="0.3">
      <c r="A1790" t="s">
        <v>39</v>
      </c>
      <c r="B1790" t="s">
        <v>27</v>
      </c>
      <c r="C1790" t="s">
        <v>29</v>
      </c>
      <c r="D1790" t="s">
        <v>23</v>
      </c>
      <c r="E1790" s="68"/>
      <c r="F1790" s="68">
        <v>1</v>
      </c>
      <c r="G1790" s="68">
        <v>1</v>
      </c>
    </row>
    <row r="1791" spans="1:7" x14ac:dyDescent="0.3">
      <c r="A1791" t="s">
        <v>39</v>
      </c>
      <c r="B1791" t="s">
        <v>36</v>
      </c>
      <c r="C1791" t="s">
        <v>6</v>
      </c>
      <c r="D1791" t="s">
        <v>7</v>
      </c>
      <c r="E1791" s="68">
        <v>6409</v>
      </c>
      <c r="F1791" s="68">
        <v>6593</v>
      </c>
      <c r="G1791" s="68">
        <v>13002</v>
      </c>
    </row>
    <row r="1792" spans="1:7" x14ac:dyDescent="0.3">
      <c r="A1792" t="s">
        <v>39</v>
      </c>
      <c r="B1792" t="s">
        <v>36</v>
      </c>
      <c r="C1792" t="s">
        <v>6</v>
      </c>
      <c r="D1792" t="s">
        <v>8</v>
      </c>
      <c r="E1792" s="68">
        <v>9037</v>
      </c>
      <c r="F1792" s="68">
        <v>9573</v>
      </c>
      <c r="G1792" s="68">
        <v>18610</v>
      </c>
    </row>
    <row r="1793" spans="1:7" x14ac:dyDescent="0.3">
      <c r="A1793" t="s">
        <v>39</v>
      </c>
      <c r="B1793" t="s">
        <v>36</v>
      </c>
      <c r="C1793" t="s">
        <v>6</v>
      </c>
      <c r="D1793" t="s">
        <v>9</v>
      </c>
      <c r="E1793" s="68">
        <v>10440</v>
      </c>
      <c r="F1793" s="68">
        <v>10860</v>
      </c>
      <c r="G1793" s="68">
        <v>21300</v>
      </c>
    </row>
    <row r="1794" spans="1:7" x14ac:dyDescent="0.3">
      <c r="A1794" t="s">
        <v>39</v>
      </c>
      <c r="B1794" t="s">
        <v>36</v>
      </c>
      <c r="C1794" t="s">
        <v>6</v>
      </c>
      <c r="D1794" t="s">
        <v>10</v>
      </c>
      <c r="E1794" s="68">
        <v>9844</v>
      </c>
      <c r="F1794" s="68">
        <v>9992</v>
      </c>
      <c r="G1794" s="68">
        <v>19836</v>
      </c>
    </row>
    <row r="1795" spans="1:7" x14ac:dyDescent="0.3">
      <c r="A1795" t="s">
        <v>39</v>
      </c>
      <c r="B1795" t="s">
        <v>36</v>
      </c>
      <c r="C1795" t="s">
        <v>6</v>
      </c>
      <c r="D1795" t="s">
        <v>11</v>
      </c>
      <c r="E1795" s="68">
        <v>9055</v>
      </c>
      <c r="F1795" s="68">
        <v>9342</v>
      </c>
      <c r="G1795" s="68">
        <v>18397</v>
      </c>
    </row>
    <row r="1796" spans="1:7" x14ac:dyDescent="0.3">
      <c r="A1796" t="s">
        <v>39</v>
      </c>
      <c r="B1796" t="s">
        <v>36</v>
      </c>
      <c r="C1796" t="s">
        <v>6</v>
      </c>
      <c r="D1796" t="s">
        <v>12</v>
      </c>
      <c r="E1796" s="68">
        <v>8739</v>
      </c>
      <c r="F1796" s="68">
        <v>9495</v>
      </c>
      <c r="G1796" s="68">
        <v>18234</v>
      </c>
    </row>
    <row r="1797" spans="1:7" x14ac:dyDescent="0.3">
      <c r="A1797" t="s">
        <v>39</v>
      </c>
      <c r="B1797" t="s">
        <v>36</v>
      </c>
      <c r="C1797" t="s">
        <v>6</v>
      </c>
      <c r="D1797" t="s">
        <v>13</v>
      </c>
      <c r="E1797" s="68">
        <v>10801</v>
      </c>
      <c r="F1797" s="68">
        <v>11675</v>
      </c>
      <c r="G1797" s="68">
        <v>22476</v>
      </c>
    </row>
    <row r="1798" spans="1:7" x14ac:dyDescent="0.3">
      <c r="A1798" t="s">
        <v>39</v>
      </c>
      <c r="B1798" t="s">
        <v>36</v>
      </c>
      <c r="C1798" t="s">
        <v>6</v>
      </c>
      <c r="D1798" t="s">
        <v>14</v>
      </c>
      <c r="E1798" s="68">
        <v>10790</v>
      </c>
      <c r="F1798" s="68">
        <v>11851</v>
      </c>
      <c r="G1798" s="68">
        <v>22641</v>
      </c>
    </row>
    <row r="1799" spans="1:7" x14ac:dyDescent="0.3">
      <c r="A1799" t="s">
        <v>39</v>
      </c>
      <c r="B1799" t="s">
        <v>36</v>
      </c>
      <c r="C1799" t="s">
        <v>6</v>
      </c>
      <c r="D1799" t="s">
        <v>15</v>
      </c>
      <c r="E1799" s="68">
        <v>10834</v>
      </c>
      <c r="F1799" s="68">
        <v>11393</v>
      </c>
      <c r="G1799" s="68">
        <v>22227</v>
      </c>
    </row>
    <row r="1800" spans="1:7" x14ac:dyDescent="0.3">
      <c r="A1800" t="s">
        <v>39</v>
      </c>
      <c r="B1800" t="s">
        <v>36</v>
      </c>
      <c r="C1800" t="s">
        <v>6</v>
      </c>
      <c r="D1800" t="s">
        <v>16</v>
      </c>
      <c r="E1800" s="68">
        <v>9089</v>
      </c>
      <c r="F1800" s="68">
        <v>9752</v>
      </c>
      <c r="G1800" s="68">
        <v>18841</v>
      </c>
    </row>
    <row r="1801" spans="1:7" x14ac:dyDescent="0.3">
      <c r="A1801" t="s">
        <v>39</v>
      </c>
      <c r="B1801" t="s">
        <v>36</v>
      </c>
      <c r="C1801" t="s">
        <v>6</v>
      </c>
      <c r="D1801" t="s">
        <v>17</v>
      </c>
      <c r="E1801" s="68">
        <v>6612</v>
      </c>
      <c r="F1801" s="68">
        <v>7406</v>
      </c>
      <c r="G1801" s="68">
        <v>14018</v>
      </c>
    </row>
    <row r="1802" spans="1:7" x14ac:dyDescent="0.3">
      <c r="A1802" t="s">
        <v>39</v>
      </c>
      <c r="B1802" t="s">
        <v>36</v>
      </c>
      <c r="C1802" t="s">
        <v>6</v>
      </c>
      <c r="D1802" t="s">
        <v>18</v>
      </c>
      <c r="E1802" s="68">
        <v>5395</v>
      </c>
      <c r="F1802" s="68">
        <v>6064</v>
      </c>
      <c r="G1802" s="68">
        <v>11459</v>
      </c>
    </row>
    <row r="1803" spans="1:7" x14ac:dyDescent="0.3">
      <c r="A1803" t="s">
        <v>39</v>
      </c>
      <c r="B1803" t="s">
        <v>36</v>
      </c>
      <c r="C1803" t="s">
        <v>6</v>
      </c>
      <c r="D1803" t="s">
        <v>19</v>
      </c>
      <c r="E1803" s="68">
        <v>4618</v>
      </c>
      <c r="F1803" s="68">
        <v>4747</v>
      </c>
      <c r="G1803" s="68">
        <v>9365</v>
      </c>
    </row>
    <row r="1804" spans="1:7" x14ac:dyDescent="0.3">
      <c r="A1804" t="s">
        <v>39</v>
      </c>
      <c r="B1804" t="s">
        <v>36</v>
      </c>
      <c r="C1804" t="s">
        <v>6</v>
      </c>
      <c r="D1804" t="s">
        <v>20</v>
      </c>
      <c r="E1804" s="68">
        <v>3354</v>
      </c>
      <c r="F1804" s="68">
        <v>3202</v>
      </c>
      <c r="G1804" s="68">
        <v>6556</v>
      </c>
    </row>
    <row r="1805" spans="1:7" x14ac:dyDescent="0.3">
      <c r="A1805" t="s">
        <v>39</v>
      </c>
      <c r="B1805" t="s">
        <v>36</v>
      </c>
      <c r="C1805" t="s">
        <v>6</v>
      </c>
      <c r="D1805" t="s">
        <v>21</v>
      </c>
      <c r="E1805" s="68">
        <v>2324</v>
      </c>
      <c r="F1805" s="68">
        <v>1980</v>
      </c>
      <c r="G1805" s="68">
        <v>4304</v>
      </c>
    </row>
    <row r="1806" spans="1:7" x14ac:dyDescent="0.3">
      <c r="A1806" t="s">
        <v>39</v>
      </c>
      <c r="B1806" t="s">
        <v>36</v>
      </c>
      <c r="C1806" t="s">
        <v>6</v>
      </c>
      <c r="D1806" t="s">
        <v>22</v>
      </c>
      <c r="E1806" s="68">
        <v>1503</v>
      </c>
      <c r="F1806" s="68">
        <v>1330</v>
      </c>
      <c r="G1806" s="68">
        <v>2833</v>
      </c>
    </row>
    <row r="1807" spans="1:7" x14ac:dyDescent="0.3">
      <c r="A1807" t="s">
        <v>39</v>
      </c>
      <c r="B1807" t="s">
        <v>36</v>
      </c>
      <c r="C1807" t="s">
        <v>6</v>
      </c>
      <c r="D1807" t="s">
        <v>23</v>
      </c>
      <c r="E1807" s="68">
        <v>1771</v>
      </c>
      <c r="F1807" s="68">
        <v>1074</v>
      </c>
      <c r="G1807" s="68">
        <v>2845</v>
      </c>
    </row>
    <row r="1808" spans="1:7" x14ac:dyDescent="0.3">
      <c r="A1808" t="s">
        <v>39</v>
      </c>
      <c r="B1808" t="s">
        <v>36</v>
      </c>
      <c r="C1808" t="s">
        <v>24</v>
      </c>
      <c r="D1808" t="s">
        <v>7</v>
      </c>
      <c r="E1808" s="68">
        <v>2424</v>
      </c>
      <c r="F1808" s="68">
        <v>2525</v>
      </c>
      <c r="G1808" s="68">
        <v>4949</v>
      </c>
    </row>
    <row r="1809" spans="1:7" x14ac:dyDescent="0.3">
      <c r="A1809" t="s">
        <v>39</v>
      </c>
      <c r="B1809" t="s">
        <v>36</v>
      </c>
      <c r="C1809" t="s">
        <v>24</v>
      </c>
      <c r="D1809" t="s">
        <v>8</v>
      </c>
      <c r="E1809" s="68">
        <v>3236</v>
      </c>
      <c r="F1809" s="68">
        <v>3406</v>
      </c>
      <c r="G1809" s="68">
        <v>6642</v>
      </c>
    </row>
    <row r="1810" spans="1:7" x14ac:dyDescent="0.3">
      <c r="A1810" t="s">
        <v>39</v>
      </c>
      <c r="B1810" t="s">
        <v>36</v>
      </c>
      <c r="C1810" t="s">
        <v>24</v>
      </c>
      <c r="D1810" t="s">
        <v>9</v>
      </c>
      <c r="E1810" s="68">
        <v>3815</v>
      </c>
      <c r="F1810" s="68">
        <v>4209</v>
      </c>
      <c r="G1810" s="68">
        <v>8024</v>
      </c>
    </row>
    <row r="1811" spans="1:7" x14ac:dyDescent="0.3">
      <c r="A1811" t="s">
        <v>39</v>
      </c>
      <c r="B1811" t="s">
        <v>36</v>
      </c>
      <c r="C1811" t="s">
        <v>24</v>
      </c>
      <c r="D1811" t="s">
        <v>10</v>
      </c>
      <c r="E1811" s="68">
        <v>3106</v>
      </c>
      <c r="F1811" s="68">
        <v>3309</v>
      </c>
      <c r="G1811" s="68">
        <v>6415</v>
      </c>
    </row>
    <row r="1812" spans="1:7" x14ac:dyDescent="0.3">
      <c r="A1812" t="s">
        <v>39</v>
      </c>
      <c r="B1812" t="s">
        <v>36</v>
      </c>
      <c r="C1812" t="s">
        <v>24</v>
      </c>
      <c r="D1812" t="s">
        <v>11</v>
      </c>
      <c r="E1812" s="68">
        <v>3923</v>
      </c>
      <c r="F1812" s="68">
        <v>3631</v>
      </c>
      <c r="G1812" s="68">
        <v>7554</v>
      </c>
    </row>
    <row r="1813" spans="1:7" x14ac:dyDescent="0.3">
      <c r="A1813" t="s">
        <v>39</v>
      </c>
      <c r="B1813" t="s">
        <v>36</v>
      </c>
      <c r="C1813" t="s">
        <v>24</v>
      </c>
      <c r="D1813" t="s">
        <v>12</v>
      </c>
      <c r="E1813" s="68">
        <v>4494</v>
      </c>
      <c r="F1813" s="68">
        <v>4357</v>
      </c>
      <c r="G1813" s="68">
        <v>8851</v>
      </c>
    </row>
    <row r="1814" spans="1:7" x14ac:dyDescent="0.3">
      <c r="A1814" t="s">
        <v>39</v>
      </c>
      <c r="B1814" t="s">
        <v>36</v>
      </c>
      <c r="C1814" t="s">
        <v>24</v>
      </c>
      <c r="D1814" t="s">
        <v>13</v>
      </c>
      <c r="E1814" s="68">
        <v>3640</v>
      </c>
      <c r="F1814" s="68">
        <v>3766</v>
      </c>
      <c r="G1814" s="68">
        <v>7406</v>
      </c>
    </row>
    <row r="1815" spans="1:7" x14ac:dyDescent="0.3">
      <c r="A1815" t="s">
        <v>39</v>
      </c>
      <c r="B1815" t="s">
        <v>36</v>
      </c>
      <c r="C1815" t="s">
        <v>24</v>
      </c>
      <c r="D1815" t="s">
        <v>14</v>
      </c>
      <c r="E1815" s="68">
        <v>3249</v>
      </c>
      <c r="F1815" s="68">
        <v>3335</v>
      </c>
      <c r="G1815" s="68">
        <v>6584</v>
      </c>
    </row>
    <row r="1816" spans="1:7" x14ac:dyDescent="0.3">
      <c r="A1816" t="s">
        <v>39</v>
      </c>
      <c r="B1816" t="s">
        <v>36</v>
      </c>
      <c r="C1816" t="s">
        <v>24</v>
      </c>
      <c r="D1816" t="s">
        <v>15</v>
      </c>
      <c r="E1816" s="68">
        <v>3074</v>
      </c>
      <c r="F1816" s="68">
        <v>2964</v>
      </c>
      <c r="G1816" s="68">
        <v>6038</v>
      </c>
    </row>
    <row r="1817" spans="1:7" x14ac:dyDescent="0.3">
      <c r="A1817" t="s">
        <v>39</v>
      </c>
      <c r="B1817" t="s">
        <v>36</v>
      </c>
      <c r="C1817" t="s">
        <v>24</v>
      </c>
      <c r="D1817" t="s">
        <v>16</v>
      </c>
      <c r="E1817" s="68">
        <v>2765</v>
      </c>
      <c r="F1817" s="68">
        <v>2568</v>
      </c>
      <c r="G1817" s="68">
        <v>5333</v>
      </c>
    </row>
    <row r="1818" spans="1:7" x14ac:dyDescent="0.3">
      <c r="A1818" t="s">
        <v>39</v>
      </c>
      <c r="B1818" t="s">
        <v>36</v>
      </c>
      <c r="C1818" t="s">
        <v>24</v>
      </c>
      <c r="D1818" t="s">
        <v>17</v>
      </c>
      <c r="E1818" s="68">
        <v>2385</v>
      </c>
      <c r="F1818" s="68">
        <v>2278</v>
      </c>
      <c r="G1818" s="68">
        <v>4663</v>
      </c>
    </row>
    <row r="1819" spans="1:7" x14ac:dyDescent="0.3">
      <c r="A1819" t="s">
        <v>39</v>
      </c>
      <c r="B1819" t="s">
        <v>36</v>
      </c>
      <c r="C1819" t="s">
        <v>24</v>
      </c>
      <c r="D1819" t="s">
        <v>18</v>
      </c>
      <c r="E1819" s="68">
        <v>2284</v>
      </c>
      <c r="F1819" s="68">
        <v>2097</v>
      </c>
      <c r="G1819" s="68">
        <v>4381</v>
      </c>
    </row>
    <row r="1820" spans="1:7" x14ac:dyDescent="0.3">
      <c r="A1820" t="s">
        <v>39</v>
      </c>
      <c r="B1820" t="s">
        <v>36</v>
      </c>
      <c r="C1820" t="s">
        <v>24</v>
      </c>
      <c r="D1820" t="s">
        <v>19</v>
      </c>
      <c r="E1820" s="68">
        <v>1998</v>
      </c>
      <c r="F1820" s="68">
        <v>1883</v>
      </c>
      <c r="G1820" s="68">
        <v>3881</v>
      </c>
    </row>
    <row r="1821" spans="1:7" x14ac:dyDescent="0.3">
      <c r="A1821" t="s">
        <v>39</v>
      </c>
      <c r="B1821" t="s">
        <v>36</v>
      </c>
      <c r="C1821" t="s">
        <v>24</v>
      </c>
      <c r="D1821" t="s">
        <v>20</v>
      </c>
      <c r="E1821" s="68">
        <v>1477</v>
      </c>
      <c r="F1821" s="68">
        <v>1394</v>
      </c>
      <c r="G1821" s="68">
        <v>2871</v>
      </c>
    </row>
    <row r="1822" spans="1:7" x14ac:dyDescent="0.3">
      <c r="A1822" t="s">
        <v>39</v>
      </c>
      <c r="B1822" t="s">
        <v>36</v>
      </c>
      <c r="C1822" t="s">
        <v>24</v>
      </c>
      <c r="D1822" t="s">
        <v>21</v>
      </c>
      <c r="E1822" s="68">
        <v>929</v>
      </c>
      <c r="F1822" s="68">
        <v>840</v>
      </c>
      <c r="G1822" s="68">
        <v>1769</v>
      </c>
    </row>
    <row r="1823" spans="1:7" x14ac:dyDescent="0.3">
      <c r="A1823" t="s">
        <v>39</v>
      </c>
      <c r="B1823" t="s">
        <v>36</v>
      </c>
      <c r="C1823" t="s">
        <v>24</v>
      </c>
      <c r="D1823" t="s">
        <v>22</v>
      </c>
      <c r="E1823" s="68">
        <v>598</v>
      </c>
      <c r="F1823" s="68">
        <v>491</v>
      </c>
      <c r="G1823" s="68">
        <v>1089</v>
      </c>
    </row>
    <row r="1824" spans="1:7" x14ac:dyDescent="0.3">
      <c r="A1824" t="s">
        <v>39</v>
      </c>
      <c r="B1824" t="s">
        <v>36</v>
      </c>
      <c r="C1824" t="s">
        <v>24</v>
      </c>
      <c r="D1824" t="s">
        <v>23</v>
      </c>
      <c r="E1824" s="68">
        <v>710</v>
      </c>
      <c r="F1824" s="68">
        <v>460</v>
      </c>
      <c r="G1824" s="68">
        <v>1170</v>
      </c>
    </row>
    <row r="1825" spans="1:7" x14ac:dyDescent="0.3">
      <c r="A1825" t="s">
        <v>759</v>
      </c>
      <c r="B1825" t="s">
        <v>30</v>
      </c>
      <c r="C1825" t="s">
        <v>6</v>
      </c>
      <c r="D1825" t="s">
        <v>7</v>
      </c>
      <c r="E1825" s="68">
        <v>32</v>
      </c>
      <c r="F1825" s="68">
        <v>54</v>
      </c>
      <c r="G1825" s="68">
        <v>86</v>
      </c>
    </row>
    <row r="1826" spans="1:7" x14ac:dyDescent="0.3">
      <c r="A1826" t="s">
        <v>759</v>
      </c>
      <c r="B1826" t="s">
        <v>30</v>
      </c>
      <c r="C1826" t="s">
        <v>6</v>
      </c>
      <c r="D1826" t="s">
        <v>8</v>
      </c>
      <c r="E1826" s="68">
        <v>61</v>
      </c>
      <c r="F1826" s="68">
        <v>75</v>
      </c>
      <c r="G1826" s="68">
        <v>136</v>
      </c>
    </row>
    <row r="1827" spans="1:7" x14ac:dyDescent="0.3">
      <c r="A1827" t="s">
        <v>759</v>
      </c>
      <c r="B1827" t="s">
        <v>30</v>
      </c>
      <c r="C1827" t="s">
        <v>6</v>
      </c>
      <c r="D1827" t="s">
        <v>9</v>
      </c>
      <c r="E1827" s="68">
        <v>92</v>
      </c>
      <c r="F1827" s="68">
        <v>101</v>
      </c>
      <c r="G1827" s="68">
        <v>193</v>
      </c>
    </row>
    <row r="1828" spans="1:7" x14ac:dyDescent="0.3">
      <c r="A1828" t="s">
        <v>759</v>
      </c>
      <c r="B1828" t="s">
        <v>30</v>
      </c>
      <c r="C1828" t="s">
        <v>6</v>
      </c>
      <c r="D1828" t="s">
        <v>10</v>
      </c>
      <c r="E1828" s="68">
        <v>152</v>
      </c>
      <c r="F1828" s="68">
        <v>187</v>
      </c>
      <c r="G1828" s="68">
        <v>339</v>
      </c>
    </row>
    <row r="1829" spans="1:7" x14ac:dyDescent="0.3">
      <c r="A1829" t="s">
        <v>759</v>
      </c>
      <c r="B1829" t="s">
        <v>30</v>
      </c>
      <c r="C1829" t="s">
        <v>6</v>
      </c>
      <c r="D1829" t="s">
        <v>11</v>
      </c>
      <c r="E1829" s="68">
        <v>326</v>
      </c>
      <c r="F1829" s="68">
        <v>399</v>
      </c>
      <c r="G1829" s="68">
        <v>725</v>
      </c>
    </row>
    <row r="1830" spans="1:7" x14ac:dyDescent="0.3">
      <c r="A1830" t="s">
        <v>759</v>
      </c>
      <c r="B1830" t="s">
        <v>30</v>
      </c>
      <c r="C1830" t="s">
        <v>6</v>
      </c>
      <c r="D1830" t="s">
        <v>12</v>
      </c>
      <c r="E1830" s="68">
        <v>323</v>
      </c>
      <c r="F1830" s="68">
        <v>314</v>
      </c>
      <c r="G1830" s="68">
        <v>637</v>
      </c>
    </row>
    <row r="1831" spans="1:7" x14ac:dyDescent="0.3">
      <c r="A1831" t="s">
        <v>759</v>
      </c>
      <c r="B1831" t="s">
        <v>30</v>
      </c>
      <c r="C1831" t="s">
        <v>6</v>
      </c>
      <c r="D1831" t="s">
        <v>13</v>
      </c>
      <c r="E1831" s="68">
        <v>220</v>
      </c>
      <c r="F1831" s="68">
        <v>244</v>
      </c>
      <c r="G1831" s="68">
        <v>464</v>
      </c>
    </row>
    <row r="1832" spans="1:7" x14ac:dyDescent="0.3">
      <c r="A1832" t="s">
        <v>759</v>
      </c>
      <c r="B1832" t="s">
        <v>30</v>
      </c>
      <c r="C1832" t="s">
        <v>6</v>
      </c>
      <c r="D1832" t="s">
        <v>14</v>
      </c>
      <c r="E1832" s="68">
        <v>185</v>
      </c>
      <c r="F1832" s="68">
        <v>204</v>
      </c>
      <c r="G1832" s="68">
        <v>389</v>
      </c>
    </row>
    <row r="1833" spans="1:7" x14ac:dyDescent="0.3">
      <c r="A1833" t="s">
        <v>759</v>
      </c>
      <c r="B1833" t="s">
        <v>30</v>
      </c>
      <c r="C1833" t="s">
        <v>6</v>
      </c>
      <c r="D1833" t="s">
        <v>15</v>
      </c>
      <c r="E1833" s="68">
        <v>186</v>
      </c>
      <c r="F1833" s="68">
        <v>198</v>
      </c>
      <c r="G1833" s="68">
        <v>384</v>
      </c>
    </row>
    <row r="1834" spans="1:7" x14ac:dyDescent="0.3">
      <c r="A1834" t="s">
        <v>759</v>
      </c>
      <c r="B1834" t="s">
        <v>30</v>
      </c>
      <c r="C1834" t="s">
        <v>6</v>
      </c>
      <c r="D1834" t="s">
        <v>16</v>
      </c>
      <c r="E1834" s="68">
        <v>114</v>
      </c>
      <c r="F1834" s="68">
        <v>188</v>
      </c>
      <c r="G1834" s="68">
        <v>302</v>
      </c>
    </row>
    <row r="1835" spans="1:7" x14ac:dyDescent="0.3">
      <c r="A1835" t="s">
        <v>759</v>
      </c>
      <c r="B1835" t="s">
        <v>30</v>
      </c>
      <c r="C1835" t="s">
        <v>6</v>
      </c>
      <c r="D1835" t="s">
        <v>17</v>
      </c>
      <c r="E1835" s="68">
        <v>94</v>
      </c>
      <c r="F1835" s="68">
        <v>155</v>
      </c>
      <c r="G1835" s="68">
        <v>249</v>
      </c>
    </row>
    <row r="1836" spans="1:7" x14ac:dyDescent="0.3">
      <c r="A1836" t="s">
        <v>759</v>
      </c>
      <c r="B1836" t="s">
        <v>30</v>
      </c>
      <c r="C1836" t="s">
        <v>6</v>
      </c>
      <c r="D1836" t="s">
        <v>18</v>
      </c>
      <c r="E1836" s="68">
        <v>63</v>
      </c>
      <c r="F1836" s="68">
        <v>113</v>
      </c>
      <c r="G1836" s="68">
        <v>176</v>
      </c>
    </row>
    <row r="1837" spans="1:7" x14ac:dyDescent="0.3">
      <c r="A1837" t="s">
        <v>759</v>
      </c>
      <c r="B1837" t="s">
        <v>30</v>
      </c>
      <c r="C1837" t="s">
        <v>6</v>
      </c>
      <c r="D1837" t="s">
        <v>19</v>
      </c>
      <c r="E1837" s="68">
        <v>51</v>
      </c>
      <c r="F1837" s="68">
        <v>86</v>
      </c>
      <c r="G1837" s="68">
        <v>137</v>
      </c>
    </row>
    <row r="1838" spans="1:7" x14ac:dyDescent="0.3">
      <c r="A1838" t="s">
        <v>759</v>
      </c>
      <c r="B1838" t="s">
        <v>30</v>
      </c>
      <c r="C1838" t="s">
        <v>6</v>
      </c>
      <c r="D1838" t="s">
        <v>20</v>
      </c>
      <c r="E1838" s="68">
        <v>37</v>
      </c>
      <c r="F1838" s="68">
        <v>53</v>
      </c>
      <c r="G1838" s="68">
        <v>90</v>
      </c>
    </row>
    <row r="1839" spans="1:7" x14ac:dyDescent="0.3">
      <c r="A1839" t="s">
        <v>759</v>
      </c>
      <c r="B1839" t="s">
        <v>30</v>
      </c>
      <c r="C1839" t="s">
        <v>6</v>
      </c>
      <c r="D1839" t="s">
        <v>21</v>
      </c>
      <c r="E1839" s="68">
        <v>33</v>
      </c>
      <c r="F1839" s="68">
        <v>33</v>
      </c>
      <c r="G1839" s="68">
        <v>66</v>
      </c>
    </row>
    <row r="1840" spans="1:7" x14ac:dyDescent="0.3">
      <c r="A1840" t="s">
        <v>759</v>
      </c>
      <c r="B1840" t="s">
        <v>30</v>
      </c>
      <c r="C1840" t="s">
        <v>6</v>
      </c>
      <c r="D1840" t="s">
        <v>22</v>
      </c>
      <c r="E1840" s="68">
        <v>21</v>
      </c>
      <c r="F1840" s="68">
        <v>24</v>
      </c>
      <c r="G1840" s="68">
        <v>45</v>
      </c>
    </row>
    <row r="1841" spans="1:7" x14ac:dyDescent="0.3">
      <c r="A1841" t="s">
        <v>759</v>
      </c>
      <c r="B1841" t="s">
        <v>30</v>
      </c>
      <c r="C1841" t="s">
        <v>6</v>
      </c>
      <c r="D1841" t="s">
        <v>23</v>
      </c>
      <c r="E1841" s="68">
        <v>27</v>
      </c>
      <c r="F1841" s="68">
        <v>29</v>
      </c>
      <c r="G1841" s="68">
        <v>56</v>
      </c>
    </row>
    <row r="1842" spans="1:7" x14ac:dyDescent="0.3">
      <c r="A1842" t="s">
        <v>759</v>
      </c>
      <c r="B1842" t="s">
        <v>30</v>
      </c>
      <c r="C1842" t="s">
        <v>24</v>
      </c>
      <c r="D1842" t="s">
        <v>7</v>
      </c>
      <c r="E1842" s="68">
        <v>1818</v>
      </c>
      <c r="F1842" s="68">
        <v>1866</v>
      </c>
      <c r="G1842" s="68">
        <v>3684</v>
      </c>
    </row>
    <row r="1843" spans="1:7" x14ac:dyDescent="0.3">
      <c r="A1843" t="s">
        <v>759</v>
      </c>
      <c r="B1843" t="s">
        <v>30</v>
      </c>
      <c r="C1843" t="s">
        <v>24</v>
      </c>
      <c r="D1843" t="s">
        <v>8</v>
      </c>
      <c r="E1843" s="68">
        <v>2834</v>
      </c>
      <c r="F1843" s="68">
        <v>2939</v>
      </c>
      <c r="G1843" s="68">
        <v>5773</v>
      </c>
    </row>
    <row r="1844" spans="1:7" x14ac:dyDescent="0.3">
      <c r="A1844" t="s">
        <v>759</v>
      </c>
      <c r="B1844" t="s">
        <v>30</v>
      </c>
      <c r="C1844" t="s">
        <v>24</v>
      </c>
      <c r="D1844" t="s">
        <v>9</v>
      </c>
      <c r="E1844" s="68">
        <v>3420</v>
      </c>
      <c r="F1844" s="68">
        <v>3667</v>
      </c>
      <c r="G1844" s="68">
        <v>7087</v>
      </c>
    </row>
    <row r="1845" spans="1:7" x14ac:dyDescent="0.3">
      <c r="A1845" t="s">
        <v>759</v>
      </c>
      <c r="B1845" t="s">
        <v>30</v>
      </c>
      <c r="C1845" t="s">
        <v>24</v>
      </c>
      <c r="D1845" t="s">
        <v>10</v>
      </c>
      <c r="E1845" s="68">
        <v>3796</v>
      </c>
      <c r="F1845" s="68">
        <v>3897</v>
      </c>
      <c r="G1845" s="68">
        <v>7693</v>
      </c>
    </row>
    <row r="1846" spans="1:7" x14ac:dyDescent="0.3">
      <c r="A1846" t="s">
        <v>759</v>
      </c>
      <c r="B1846" t="s">
        <v>30</v>
      </c>
      <c r="C1846" t="s">
        <v>24</v>
      </c>
      <c r="D1846" t="s">
        <v>11</v>
      </c>
      <c r="E1846" s="68">
        <v>2555</v>
      </c>
      <c r="F1846" s="68">
        <v>2759</v>
      </c>
      <c r="G1846" s="68">
        <v>5314</v>
      </c>
    </row>
    <row r="1847" spans="1:7" x14ac:dyDescent="0.3">
      <c r="A1847" t="s">
        <v>759</v>
      </c>
      <c r="B1847" t="s">
        <v>30</v>
      </c>
      <c r="C1847" t="s">
        <v>24</v>
      </c>
      <c r="D1847" t="s">
        <v>12</v>
      </c>
      <c r="E1847" s="68">
        <v>2131</v>
      </c>
      <c r="F1847" s="68">
        <v>1965</v>
      </c>
      <c r="G1847" s="68">
        <v>4096</v>
      </c>
    </row>
    <row r="1848" spans="1:7" x14ac:dyDescent="0.3">
      <c r="A1848" t="s">
        <v>759</v>
      </c>
      <c r="B1848" t="s">
        <v>30</v>
      </c>
      <c r="C1848" t="s">
        <v>24</v>
      </c>
      <c r="D1848" t="s">
        <v>13</v>
      </c>
      <c r="E1848" s="68">
        <v>2176</v>
      </c>
      <c r="F1848" s="68">
        <v>1727</v>
      </c>
      <c r="G1848" s="68">
        <v>3903</v>
      </c>
    </row>
    <row r="1849" spans="1:7" x14ac:dyDescent="0.3">
      <c r="A1849" t="s">
        <v>759</v>
      </c>
      <c r="B1849" t="s">
        <v>30</v>
      </c>
      <c r="C1849" t="s">
        <v>24</v>
      </c>
      <c r="D1849" t="s">
        <v>14</v>
      </c>
      <c r="E1849" s="68">
        <v>2177</v>
      </c>
      <c r="F1849" s="68">
        <v>1767</v>
      </c>
      <c r="G1849" s="68">
        <v>3944</v>
      </c>
    </row>
    <row r="1850" spans="1:7" x14ac:dyDescent="0.3">
      <c r="A1850" t="s">
        <v>759</v>
      </c>
      <c r="B1850" t="s">
        <v>30</v>
      </c>
      <c r="C1850" t="s">
        <v>24</v>
      </c>
      <c r="D1850" t="s">
        <v>15</v>
      </c>
      <c r="E1850" s="68">
        <v>2592</v>
      </c>
      <c r="F1850" s="68">
        <v>2098</v>
      </c>
      <c r="G1850" s="68">
        <v>4690</v>
      </c>
    </row>
    <row r="1851" spans="1:7" x14ac:dyDescent="0.3">
      <c r="A1851" t="s">
        <v>759</v>
      </c>
      <c r="B1851" t="s">
        <v>30</v>
      </c>
      <c r="C1851" t="s">
        <v>24</v>
      </c>
      <c r="D1851" t="s">
        <v>16</v>
      </c>
      <c r="E1851" s="68">
        <v>2380</v>
      </c>
      <c r="F1851" s="68">
        <v>2246</v>
      </c>
      <c r="G1851" s="68">
        <v>4626</v>
      </c>
    </row>
    <row r="1852" spans="1:7" x14ac:dyDescent="0.3">
      <c r="A1852" t="s">
        <v>759</v>
      </c>
      <c r="B1852" t="s">
        <v>30</v>
      </c>
      <c r="C1852" t="s">
        <v>24</v>
      </c>
      <c r="D1852" t="s">
        <v>17</v>
      </c>
      <c r="E1852" s="68">
        <v>2136</v>
      </c>
      <c r="F1852" s="68">
        <v>2124</v>
      </c>
      <c r="G1852" s="68">
        <v>4260</v>
      </c>
    </row>
    <row r="1853" spans="1:7" x14ac:dyDescent="0.3">
      <c r="A1853" t="s">
        <v>759</v>
      </c>
      <c r="B1853" t="s">
        <v>30</v>
      </c>
      <c r="C1853" t="s">
        <v>24</v>
      </c>
      <c r="D1853" t="s">
        <v>18</v>
      </c>
      <c r="E1853" s="68">
        <v>2028</v>
      </c>
      <c r="F1853" s="68">
        <v>2169</v>
      </c>
      <c r="G1853" s="68">
        <v>4197</v>
      </c>
    </row>
    <row r="1854" spans="1:7" x14ac:dyDescent="0.3">
      <c r="A1854" t="s">
        <v>759</v>
      </c>
      <c r="B1854" t="s">
        <v>30</v>
      </c>
      <c r="C1854" t="s">
        <v>24</v>
      </c>
      <c r="D1854" t="s">
        <v>19</v>
      </c>
      <c r="E1854" s="68">
        <v>1927</v>
      </c>
      <c r="F1854" s="68">
        <v>2004</v>
      </c>
      <c r="G1854" s="68">
        <v>3931</v>
      </c>
    </row>
    <row r="1855" spans="1:7" x14ac:dyDescent="0.3">
      <c r="A1855" t="s">
        <v>759</v>
      </c>
      <c r="B1855" t="s">
        <v>30</v>
      </c>
      <c r="C1855" t="s">
        <v>24</v>
      </c>
      <c r="D1855" t="s">
        <v>20</v>
      </c>
      <c r="E1855" s="68">
        <v>1685</v>
      </c>
      <c r="F1855" s="68">
        <v>1751</v>
      </c>
      <c r="G1855" s="68">
        <v>3436</v>
      </c>
    </row>
    <row r="1856" spans="1:7" x14ac:dyDescent="0.3">
      <c r="A1856" t="s">
        <v>759</v>
      </c>
      <c r="B1856" t="s">
        <v>30</v>
      </c>
      <c r="C1856" t="s">
        <v>24</v>
      </c>
      <c r="D1856" t="s">
        <v>21</v>
      </c>
      <c r="E1856" s="68">
        <v>1350</v>
      </c>
      <c r="F1856" s="68">
        <v>1411</v>
      </c>
      <c r="G1856" s="68">
        <v>2761</v>
      </c>
    </row>
    <row r="1857" spans="1:7" x14ac:dyDescent="0.3">
      <c r="A1857" t="s">
        <v>759</v>
      </c>
      <c r="B1857" t="s">
        <v>30</v>
      </c>
      <c r="C1857" t="s">
        <v>24</v>
      </c>
      <c r="D1857" t="s">
        <v>22</v>
      </c>
      <c r="E1857" s="68">
        <v>1105</v>
      </c>
      <c r="F1857" s="68">
        <v>1091</v>
      </c>
      <c r="G1857" s="68">
        <v>2196</v>
      </c>
    </row>
    <row r="1858" spans="1:7" x14ac:dyDescent="0.3">
      <c r="A1858" t="s">
        <v>759</v>
      </c>
      <c r="B1858" t="s">
        <v>30</v>
      </c>
      <c r="C1858" t="s">
        <v>24</v>
      </c>
      <c r="D1858" t="s">
        <v>23</v>
      </c>
      <c r="E1858" s="68">
        <v>1857</v>
      </c>
      <c r="F1858" s="68">
        <v>1493</v>
      </c>
      <c r="G1858" s="68">
        <v>3350</v>
      </c>
    </row>
    <row r="1859" spans="1:7" x14ac:dyDescent="0.3">
      <c r="A1859" t="s">
        <v>759</v>
      </c>
      <c r="B1859" t="s">
        <v>536</v>
      </c>
      <c r="C1859" t="s">
        <v>6</v>
      </c>
      <c r="D1859" t="s">
        <v>10</v>
      </c>
      <c r="E1859" s="68">
        <v>1</v>
      </c>
      <c r="F1859" s="68">
        <v>1</v>
      </c>
      <c r="G1859" s="68">
        <v>2</v>
      </c>
    </row>
    <row r="1860" spans="1:7" x14ac:dyDescent="0.3">
      <c r="A1860" t="s">
        <v>759</v>
      </c>
      <c r="B1860" t="s">
        <v>536</v>
      </c>
      <c r="C1860" t="s">
        <v>24</v>
      </c>
      <c r="D1860" t="s">
        <v>12</v>
      </c>
      <c r="E1860" s="68"/>
      <c r="F1860" s="68">
        <v>1</v>
      </c>
      <c r="G1860" s="68">
        <v>1</v>
      </c>
    </row>
    <row r="1861" spans="1:7" x14ac:dyDescent="0.3">
      <c r="A1861" t="s">
        <v>759</v>
      </c>
      <c r="B1861" t="s">
        <v>536</v>
      </c>
      <c r="C1861" t="s">
        <v>24</v>
      </c>
      <c r="D1861" t="s">
        <v>20</v>
      </c>
      <c r="E1861" s="68">
        <v>1</v>
      </c>
      <c r="F1861" s="68"/>
      <c r="G1861" s="68">
        <v>1</v>
      </c>
    </row>
    <row r="1862" spans="1:7" x14ac:dyDescent="0.3">
      <c r="A1862" t="s">
        <v>759</v>
      </c>
      <c r="B1862" t="s">
        <v>31</v>
      </c>
      <c r="C1862" t="s">
        <v>6</v>
      </c>
      <c r="D1862" t="s">
        <v>7</v>
      </c>
      <c r="E1862" s="68">
        <v>416</v>
      </c>
      <c r="F1862" s="68">
        <v>390</v>
      </c>
      <c r="G1862" s="68">
        <v>806</v>
      </c>
    </row>
    <row r="1863" spans="1:7" x14ac:dyDescent="0.3">
      <c r="A1863" t="s">
        <v>759</v>
      </c>
      <c r="B1863" t="s">
        <v>31</v>
      </c>
      <c r="C1863" t="s">
        <v>6</v>
      </c>
      <c r="D1863" t="s">
        <v>8</v>
      </c>
      <c r="E1863" s="68">
        <v>527</v>
      </c>
      <c r="F1863" s="68">
        <v>561</v>
      </c>
      <c r="G1863" s="68">
        <v>1088</v>
      </c>
    </row>
    <row r="1864" spans="1:7" x14ac:dyDescent="0.3">
      <c r="A1864" t="s">
        <v>759</v>
      </c>
      <c r="B1864" t="s">
        <v>31</v>
      </c>
      <c r="C1864" t="s">
        <v>6</v>
      </c>
      <c r="D1864" t="s">
        <v>9</v>
      </c>
      <c r="E1864" s="68">
        <v>604</v>
      </c>
      <c r="F1864" s="68">
        <v>653</v>
      </c>
      <c r="G1864" s="68">
        <v>1257</v>
      </c>
    </row>
    <row r="1865" spans="1:7" x14ac:dyDescent="0.3">
      <c r="A1865" t="s">
        <v>759</v>
      </c>
      <c r="B1865" t="s">
        <v>31</v>
      </c>
      <c r="C1865" t="s">
        <v>6</v>
      </c>
      <c r="D1865" t="s">
        <v>10</v>
      </c>
      <c r="E1865" s="68">
        <v>752</v>
      </c>
      <c r="F1865" s="68">
        <v>786</v>
      </c>
      <c r="G1865" s="68">
        <v>1538</v>
      </c>
    </row>
    <row r="1866" spans="1:7" x14ac:dyDescent="0.3">
      <c r="A1866" t="s">
        <v>759</v>
      </c>
      <c r="B1866" t="s">
        <v>31</v>
      </c>
      <c r="C1866" t="s">
        <v>6</v>
      </c>
      <c r="D1866" t="s">
        <v>11</v>
      </c>
      <c r="E1866" s="68">
        <v>984</v>
      </c>
      <c r="F1866" s="68">
        <v>1111</v>
      </c>
      <c r="G1866" s="68">
        <v>2095</v>
      </c>
    </row>
    <row r="1867" spans="1:7" x14ac:dyDescent="0.3">
      <c r="A1867" t="s">
        <v>759</v>
      </c>
      <c r="B1867" t="s">
        <v>31</v>
      </c>
      <c r="C1867" t="s">
        <v>6</v>
      </c>
      <c r="D1867" t="s">
        <v>12</v>
      </c>
      <c r="E1867" s="68">
        <v>958</v>
      </c>
      <c r="F1867" s="68">
        <v>1001</v>
      </c>
      <c r="G1867" s="68">
        <v>1959</v>
      </c>
    </row>
    <row r="1868" spans="1:7" x14ac:dyDescent="0.3">
      <c r="A1868" t="s">
        <v>759</v>
      </c>
      <c r="B1868" t="s">
        <v>31</v>
      </c>
      <c r="C1868" t="s">
        <v>6</v>
      </c>
      <c r="D1868" t="s">
        <v>13</v>
      </c>
      <c r="E1868" s="68">
        <v>905</v>
      </c>
      <c r="F1868" s="68">
        <v>817</v>
      </c>
      <c r="G1868" s="68">
        <v>1722</v>
      </c>
    </row>
    <row r="1869" spans="1:7" x14ac:dyDescent="0.3">
      <c r="A1869" t="s">
        <v>759</v>
      </c>
      <c r="B1869" t="s">
        <v>31</v>
      </c>
      <c r="C1869" t="s">
        <v>6</v>
      </c>
      <c r="D1869" t="s">
        <v>14</v>
      </c>
      <c r="E1869" s="68">
        <v>791</v>
      </c>
      <c r="F1869" s="68">
        <v>679</v>
      </c>
      <c r="G1869" s="68">
        <v>1470</v>
      </c>
    </row>
    <row r="1870" spans="1:7" x14ac:dyDescent="0.3">
      <c r="A1870" t="s">
        <v>759</v>
      </c>
      <c r="B1870" t="s">
        <v>31</v>
      </c>
      <c r="C1870" t="s">
        <v>6</v>
      </c>
      <c r="D1870" t="s">
        <v>15</v>
      </c>
      <c r="E1870" s="68">
        <v>813</v>
      </c>
      <c r="F1870" s="68">
        <v>725</v>
      </c>
      <c r="G1870" s="68">
        <v>1538</v>
      </c>
    </row>
    <row r="1871" spans="1:7" x14ac:dyDescent="0.3">
      <c r="A1871" t="s">
        <v>759</v>
      </c>
      <c r="B1871" t="s">
        <v>31</v>
      </c>
      <c r="C1871" t="s">
        <v>6</v>
      </c>
      <c r="D1871" t="s">
        <v>16</v>
      </c>
      <c r="E1871" s="68">
        <v>664</v>
      </c>
      <c r="F1871" s="68">
        <v>707</v>
      </c>
      <c r="G1871" s="68">
        <v>1371</v>
      </c>
    </row>
    <row r="1872" spans="1:7" x14ac:dyDescent="0.3">
      <c r="A1872" t="s">
        <v>759</v>
      </c>
      <c r="B1872" t="s">
        <v>31</v>
      </c>
      <c r="C1872" t="s">
        <v>6</v>
      </c>
      <c r="D1872" t="s">
        <v>17</v>
      </c>
      <c r="E1872" s="68">
        <v>483</v>
      </c>
      <c r="F1872" s="68">
        <v>561</v>
      </c>
      <c r="G1872" s="68">
        <v>1044</v>
      </c>
    </row>
    <row r="1873" spans="1:7" x14ac:dyDescent="0.3">
      <c r="A1873" t="s">
        <v>759</v>
      </c>
      <c r="B1873" t="s">
        <v>31</v>
      </c>
      <c r="C1873" t="s">
        <v>6</v>
      </c>
      <c r="D1873" t="s">
        <v>18</v>
      </c>
      <c r="E1873" s="68">
        <v>345</v>
      </c>
      <c r="F1873" s="68">
        <v>438</v>
      </c>
      <c r="G1873" s="68">
        <v>783</v>
      </c>
    </row>
    <row r="1874" spans="1:7" x14ac:dyDescent="0.3">
      <c r="A1874" t="s">
        <v>759</v>
      </c>
      <c r="B1874" t="s">
        <v>31</v>
      </c>
      <c r="C1874" t="s">
        <v>6</v>
      </c>
      <c r="D1874" t="s">
        <v>19</v>
      </c>
      <c r="E1874" s="68">
        <v>303</v>
      </c>
      <c r="F1874" s="68">
        <v>356</v>
      </c>
      <c r="G1874" s="68">
        <v>659</v>
      </c>
    </row>
    <row r="1875" spans="1:7" x14ac:dyDescent="0.3">
      <c r="A1875" t="s">
        <v>759</v>
      </c>
      <c r="B1875" t="s">
        <v>31</v>
      </c>
      <c r="C1875" t="s">
        <v>6</v>
      </c>
      <c r="D1875" t="s">
        <v>20</v>
      </c>
      <c r="E1875" s="68">
        <v>291</v>
      </c>
      <c r="F1875" s="68">
        <v>273</v>
      </c>
      <c r="G1875" s="68">
        <v>564</v>
      </c>
    </row>
    <row r="1876" spans="1:7" x14ac:dyDescent="0.3">
      <c r="A1876" t="s">
        <v>759</v>
      </c>
      <c r="B1876" t="s">
        <v>31</v>
      </c>
      <c r="C1876" t="s">
        <v>6</v>
      </c>
      <c r="D1876" t="s">
        <v>21</v>
      </c>
      <c r="E1876" s="68">
        <v>195</v>
      </c>
      <c r="F1876" s="68">
        <v>166</v>
      </c>
      <c r="G1876" s="68">
        <v>361</v>
      </c>
    </row>
    <row r="1877" spans="1:7" x14ac:dyDescent="0.3">
      <c r="A1877" t="s">
        <v>759</v>
      </c>
      <c r="B1877" t="s">
        <v>31</v>
      </c>
      <c r="C1877" t="s">
        <v>6</v>
      </c>
      <c r="D1877" t="s">
        <v>22</v>
      </c>
      <c r="E1877" s="68">
        <v>144</v>
      </c>
      <c r="F1877" s="68">
        <v>129</v>
      </c>
      <c r="G1877" s="68">
        <v>273</v>
      </c>
    </row>
    <row r="1878" spans="1:7" x14ac:dyDescent="0.3">
      <c r="A1878" t="s">
        <v>759</v>
      </c>
      <c r="B1878" t="s">
        <v>31</v>
      </c>
      <c r="C1878" t="s">
        <v>6</v>
      </c>
      <c r="D1878" t="s">
        <v>23</v>
      </c>
      <c r="E1878" s="68">
        <v>206</v>
      </c>
      <c r="F1878" s="68">
        <v>104</v>
      </c>
      <c r="G1878" s="68">
        <v>310</v>
      </c>
    </row>
    <row r="1879" spans="1:7" x14ac:dyDescent="0.3">
      <c r="A1879" t="s">
        <v>759</v>
      </c>
      <c r="B1879" t="s">
        <v>31</v>
      </c>
      <c r="C1879" t="s">
        <v>24</v>
      </c>
      <c r="D1879" t="s">
        <v>7</v>
      </c>
      <c r="E1879" s="68">
        <v>2114</v>
      </c>
      <c r="F1879" s="68">
        <v>2220</v>
      </c>
      <c r="G1879" s="68">
        <v>4334</v>
      </c>
    </row>
    <row r="1880" spans="1:7" x14ac:dyDescent="0.3">
      <c r="A1880" t="s">
        <v>759</v>
      </c>
      <c r="B1880" t="s">
        <v>31</v>
      </c>
      <c r="C1880" t="s">
        <v>24</v>
      </c>
      <c r="D1880" t="s">
        <v>8</v>
      </c>
      <c r="E1880" s="68">
        <v>3214</v>
      </c>
      <c r="F1880" s="68">
        <v>3424</v>
      </c>
      <c r="G1880" s="68">
        <v>6638</v>
      </c>
    </row>
    <row r="1881" spans="1:7" x14ac:dyDescent="0.3">
      <c r="A1881" t="s">
        <v>759</v>
      </c>
      <c r="B1881" t="s">
        <v>31</v>
      </c>
      <c r="C1881" t="s">
        <v>24</v>
      </c>
      <c r="D1881" t="s">
        <v>9</v>
      </c>
      <c r="E1881" s="68">
        <v>3623</v>
      </c>
      <c r="F1881" s="68">
        <v>3714</v>
      </c>
      <c r="G1881" s="68">
        <v>7337</v>
      </c>
    </row>
    <row r="1882" spans="1:7" x14ac:dyDescent="0.3">
      <c r="A1882" t="s">
        <v>759</v>
      </c>
      <c r="B1882" t="s">
        <v>31</v>
      </c>
      <c r="C1882" t="s">
        <v>24</v>
      </c>
      <c r="D1882" t="s">
        <v>10</v>
      </c>
      <c r="E1882" s="68">
        <v>4146</v>
      </c>
      <c r="F1882" s="68">
        <v>4212</v>
      </c>
      <c r="G1882" s="68">
        <v>8358</v>
      </c>
    </row>
    <row r="1883" spans="1:7" x14ac:dyDescent="0.3">
      <c r="A1883" t="s">
        <v>759</v>
      </c>
      <c r="B1883" t="s">
        <v>31</v>
      </c>
      <c r="C1883" t="s">
        <v>24</v>
      </c>
      <c r="D1883" t="s">
        <v>11</v>
      </c>
      <c r="E1883" s="68">
        <v>3333</v>
      </c>
      <c r="F1883" s="68">
        <v>3180</v>
      </c>
      <c r="G1883" s="68">
        <v>6513</v>
      </c>
    </row>
    <row r="1884" spans="1:7" x14ac:dyDescent="0.3">
      <c r="A1884" t="s">
        <v>759</v>
      </c>
      <c r="B1884" t="s">
        <v>31</v>
      </c>
      <c r="C1884" t="s">
        <v>24</v>
      </c>
      <c r="D1884" t="s">
        <v>12</v>
      </c>
      <c r="E1884" s="68">
        <v>3280</v>
      </c>
      <c r="F1884" s="68">
        <v>2781</v>
      </c>
      <c r="G1884" s="68">
        <v>6061</v>
      </c>
    </row>
    <row r="1885" spans="1:7" x14ac:dyDescent="0.3">
      <c r="A1885" t="s">
        <v>759</v>
      </c>
      <c r="B1885" t="s">
        <v>31</v>
      </c>
      <c r="C1885" t="s">
        <v>24</v>
      </c>
      <c r="D1885" t="s">
        <v>13</v>
      </c>
      <c r="E1885" s="68">
        <v>3248</v>
      </c>
      <c r="F1885" s="68">
        <v>2524</v>
      </c>
      <c r="G1885" s="68">
        <v>5772</v>
      </c>
    </row>
    <row r="1886" spans="1:7" x14ac:dyDescent="0.3">
      <c r="A1886" t="s">
        <v>759</v>
      </c>
      <c r="B1886" t="s">
        <v>31</v>
      </c>
      <c r="C1886" t="s">
        <v>24</v>
      </c>
      <c r="D1886" t="s">
        <v>14</v>
      </c>
      <c r="E1886" s="68">
        <v>2950</v>
      </c>
      <c r="F1886" s="68">
        <v>2271</v>
      </c>
      <c r="G1886" s="68">
        <v>5221</v>
      </c>
    </row>
    <row r="1887" spans="1:7" x14ac:dyDescent="0.3">
      <c r="A1887" t="s">
        <v>759</v>
      </c>
      <c r="B1887" t="s">
        <v>31</v>
      </c>
      <c r="C1887" t="s">
        <v>24</v>
      </c>
      <c r="D1887" t="s">
        <v>15</v>
      </c>
      <c r="E1887" s="68">
        <v>3294</v>
      </c>
      <c r="F1887" s="68">
        <v>2586</v>
      </c>
      <c r="G1887" s="68">
        <v>5880</v>
      </c>
    </row>
    <row r="1888" spans="1:7" x14ac:dyDescent="0.3">
      <c r="A1888" t="s">
        <v>759</v>
      </c>
      <c r="B1888" t="s">
        <v>31</v>
      </c>
      <c r="C1888" t="s">
        <v>24</v>
      </c>
      <c r="D1888" t="s">
        <v>16</v>
      </c>
      <c r="E1888" s="68">
        <v>3233</v>
      </c>
      <c r="F1888" s="68">
        <v>2803</v>
      </c>
      <c r="G1888" s="68">
        <v>6036</v>
      </c>
    </row>
    <row r="1889" spans="1:7" x14ac:dyDescent="0.3">
      <c r="A1889" t="s">
        <v>759</v>
      </c>
      <c r="B1889" t="s">
        <v>31</v>
      </c>
      <c r="C1889" t="s">
        <v>24</v>
      </c>
      <c r="D1889" t="s">
        <v>17</v>
      </c>
      <c r="E1889" s="68">
        <v>3117</v>
      </c>
      <c r="F1889" s="68">
        <v>2795</v>
      </c>
      <c r="G1889" s="68">
        <v>5912</v>
      </c>
    </row>
    <row r="1890" spans="1:7" x14ac:dyDescent="0.3">
      <c r="A1890" t="s">
        <v>759</v>
      </c>
      <c r="B1890" t="s">
        <v>31</v>
      </c>
      <c r="C1890" t="s">
        <v>24</v>
      </c>
      <c r="D1890" t="s">
        <v>18</v>
      </c>
      <c r="E1890" s="68">
        <v>2911</v>
      </c>
      <c r="F1890" s="68">
        <v>2790</v>
      </c>
      <c r="G1890" s="68">
        <v>5701</v>
      </c>
    </row>
    <row r="1891" spans="1:7" x14ac:dyDescent="0.3">
      <c r="A1891" t="s">
        <v>759</v>
      </c>
      <c r="B1891" t="s">
        <v>31</v>
      </c>
      <c r="C1891" t="s">
        <v>24</v>
      </c>
      <c r="D1891" t="s">
        <v>19</v>
      </c>
      <c r="E1891" s="68">
        <v>2682</v>
      </c>
      <c r="F1891" s="68">
        <v>2756</v>
      </c>
      <c r="G1891" s="68">
        <v>5438</v>
      </c>
    </row>
    <row r="1892" spans="1:7" x14ac:dyDescent="0.3">
      <c r="A1892" t="s">
        <v>759</v>
      </c>
      <c r="B1892" t="s">
        <v>31</v>
      </c>
      <c r="C1892" t="s">
        <v>24</v>
      </c>
      <c r="D1892" t="s">
        <v>20</v>
      </c>
      <c r="E1892" s="68">
        <v>2155</v>
      </c>
      <c r="F1892" s="68">
        <v>2268</v>
      </c>
      <c r="G1892" s="68">
        <v>4423</v>
      </c>
    </row>
    <row r="1893" spans="1:7" x14ac:dyDescent="0.3">
      <c r="A1893" t="s">
        <v>759</v>
      </c>
      <c r="B1893" t="s">
        <v>31</v>
      </c>
      <c r="C1893" t="s">
        <v>24</v>
      </c>
      <c r="D1893" t="s">
        <v>21</v>
      </c>
      <c r="E1893" s="68">
        <v>1688</v>
      </c>
      <c r="F1893" s="68">
        <v>1727</v>
      </c>
      <c r="G1893" s="68">
        <v>3415</v>
      </c>
    </row>
    <row r="1894" spans="1:7" x14ac:dyDescent="0.3">
      <c r="A1894" t="s">
        <v>759</v>
      </c>
      <c r="B1894" t="s">
        <v>31</v>
      </c>
      <c r="C1894" t="s">
        <v>24</v>
      </c>
      <c r="D1894" t="s">
        <v>22</v>
      </c>
      <c r="E1894" s="68">
        <v>1336</v>
      </c>
      <c r="F1894" s="68">
        <v>1284</v>
      </c>
      <c r="G1894" s="68">
        <v>2620</v>
      </c>
    </row>
    <row r="1895" spans="1:7" x14ac:dyDescent="0.3">
      <c r="A1895" t="s">
        <v>759</v>
      </c>
      <c r="B1895" t="s">
        <v>31</v>
      </c>
      <c r="C1895" t="s">
        <v>24</v>
      </c>
      <c r="D1895" t="s">
        <v>23</v>
      </c>
      <c r="E1895" s="68">
        <v>1858</v>
      </c>
      <c r="F1895" s="68">
        <v>1455</v>
      </c>
      <c r="G1895" s="68">
        <v>3313</v>
      </c>
    </row>
    <row r="1896" spans="1:7" x14ac:dyDescent="0.3">
      <c r="A1896" t="s">
        <v>759</v>
      </c>
      <c r="B1896" t="s">
        <v>5</v>
      </c>
      <c r="C1896" t="s">
        <v>6</v>
      </c>
      <c r="D1896" t="s">
        <v>7</v>
      </c>
      <c r="E1896" s="68">
        <v>2910</v>
      </c>
      <c r="F1896" s="68">
        <v>2951</v>
      </c>
      <c r="G1896" s="68">
        <v>5861</v>
      </c>
    </row>
    <row r="1897" spans="1:7" x14ac:dyDescent="0.3">
      <c r="A1897" t="s">
        <v>759</v>
      </c>
      <c r="B1897" t="s">
        <v>5</v>
      </c>
      <c r="C1897" t="s">
        <v>6</v>
      </c>
      <c r="D1897" t="s">
        <v>8</v>
      </c>
      <c r="E1897" s="68">
        <v>4177</v>
      </c>
      <c r="F1897" s="68">
        <v>4380</v>
      </c>
      <c r="G1897" s="68">
        <v>8557</v>
      </c>
    </row>
    <row r="1898" spans="1:7" x14ac:dyDescent="0.3">
      <c r="A1898" t="s">
        <v>759</v>
      </c>
      <c r="B1898" t="s">
        <v>5</v>
      </c>
      <c r="C1898" t="s">
        <v>6</v>
      </c>
      <c r="D1898" t="s">
        <v>9</v>
      </c>
      <c r="E1898" s="68">
        <v>5209</v>
      </c>
      <c r="F1898" s="68">
        <v>5333</v>
      </c>
      <c r="G1898" s="68">
        <v>10542</v>
      </c>
    </row>
    <row r="1899" spans="1:7" x14ac:dyDescent="0.3">
      <c r="A1899" t="s">
        <v>759</v>
      </c>
      <c r="B1899" t="s">
        <v>5</v>
      </c>
      <c r="C1899" t="s">
        <v>6</v>
      </c>
      <c r="D1899" t="s">
        <v>10</v>
      </c>
      <c r="E1899" s="68">
        <v>5262</v>
      </c>
      <c r="F1899" s="68">
        <v>5615</v>
      </c>
      <c r="G1899" s="68">
        <v>10877</v>
      </c>
    </row>
    <row r="1900" spans="1:7" x14ac:dyDescent="0.3">
      <c r="A1900" t="s">
        <v>759</v>
      </c>
      <c r="B1900" t="s">
        <v>5</v>
      </c>
      <c r="C1900" t="s">
        <v>6</v>
      </c>
      <c r="D1900" t="s">
        <v>11</v>
      </c>
      <c r="E1900" s="68">
        <v>4591</v>
      </c>
      <c r="F1900" s="68">
        <v>4674</v>
      </c>
      <c r="G1900" s="68">
        <v>9265</v>
      </c>
    </row>
    <row r="1901" spans="1:7" x14ac:dyDescent="0.3">
      <c r="A1901" t="s">
        <v>759</v>
      </c>
      <c r="B1901" t="s">
        <v>5</v>
      </c>
      <c r="C1901" t="s">
        <v>6</v>
      </c>
      <c r="D1901" t="s">
        <v>12</v>
      </c>
      <c r="E1901" s="68">
        <v>5324</v>
      </c>
      <c r="F1901" s="68">
        <v>4614</v>
      </c>
      <c r="G1901" s="68">
        <v>9938</v>
      </c>
    </row>
    <row r="1902" spans="1:7" x14ac:dyDescent="0.3">
      <c r="A1902" t="s">
        <v>759</v>
      </c>
      <c r="B1902" t="s">
        <v>5</v>
      </c>
      <c r="C1902" t="s">
        <v>6</v>
      </c>
      <c r="D1902" t="s">
        <v>13</v>
      </c>
      <c r="E1902" s="68">
        <v>7014</v>
      </c>
      <c r="F1902" s="68">
        <v>5476</v>
      </c>
      <c r="G1902" s="68">
        <v>12490</v>
      </c>
    </row>
    <row r="1903" spans="1:7" x14ac:dyDescent="0.3">
      <c r="A1903" t="s">
        <v>759</v>
      </c>
      <c r="B1903" t="s">
        <v>5</v>
      </c>
      <c r="C1903" t="s">
        <v>6</v>
      </c>
      <c r="D1903" t="s">
        <v>14</v>
      </c>
      <c r="E1903" s="68">
        <v>6939</v>
      </c>
      <c r="F1903" s="68">
        <v>5663</v>
      </c>
      <c r="G1903" s="68">
        <v>12602</v>
      </c>
    </row>
    <row r="1904" spans="1:7" x14ac:dyDescent="0.3">
      <c r="A1904" t="s">
        <v>759</v>
      </c>
      <c r="B1904" t="s">
        <v>5</v>
      </c>
      <c r="C1904" t="s">
        <v>6</v>
      </c>
      <c r="D1904" t="s">
        <v>15</v>
      </c>
      <c r="E1904" s="68">
        <v>6971</v>
      </c>
      <c r="F1904" s="68">
        <v>5847</v>
      </c>
      <c r="G1904" s="68">
        <v>12818</v>
      </c>
    </row>
    <row r="1905" spans="1:7" x14ac:dyDescent="0.3">
      <c r="A1905" t="s">
        <v>759</v>
      </c>
      <c r="B1905" t="s">
        <v>5</v>
      </c>
      <c r="C1905" t="s">
        <v>6</v>
      </c>
      <c r="D1905" t="s">
        <v>16</v>
      </c>
      <c r="E1905" s="68">
        <v>5993</v>
      </c>
      <c r="F1905" s="68">
        <v>5474</v>
      </c>
      <c r="G1905" s="68">
        <v>11467</v>
      </c>
    </row>
    <row r="1906" spans="1:7" x14ac:dyDescent="0.3">
      <c r="A1906" t="s">
        <v>759</v>
      </c>
      <c r="B1906" t="s">
        <v>5</v>
      </c>
      <c r="C1906" t="s">
        <v>6</v>
      </c>
      <c r="D1906" t="s">
        <v>17</v>
      </c>
      <c r="E1906" s="68">
        <v>4609</v>
      </c>
      <c r="F1906" s="68">
        <v>4255</v>
      </c>
      <c r="G1906" s="68">
        <v>8864</v>
      </c>
    </row>
    <row r="1907" spans="1:7" x14ac:dyDescent="0.3">
      <c r="A1907" t="s">
        <v>759</v>
      </c>
      <c r="B1907" t="s">
        <v>5</v>
      </c>
      <c r="C1907" t="s">
        <v>6</v>
      </c>
      <c r="D1907" t="s">
        <v>18</v>
      </c>
      <c r="E1907" s="68">
        <v>4366</v>
      </c>
      <c r="F1907" s="68">
        <v>3756</v>
      </c>
      <c r="G1907" s="68">
        <v>8122</v>
      </c>
    </row>
    <row r="1908" spans="1:7" x14ac:dyDescent="0.3">
      <c r="A1908" t="s">
        <v>759</v>
      </c>
      <c r="B1908" t="s">
        <v>5</v>
      </c>
      <c r="C1908" t="s">
        <v>6</v>
      </c>
      <c r="D1908" t="s">
        <v>19</v>
      </c>
      <c r="E1908" s="68">
        <v>4006</v>
      </c>
      <c r="F1908" s="68">
        <v>3460</v>
      </c>
      <c r="G1908" s="68">
        <v>7466</v>
      </c>
    </row>
    <row r="1909" spans="1:7" x14ac:dyDescent="0.3">
      <c r="A1909" t="s">
        <v>759</v>
      </c>
      <c r="B1909" t="s">
        <v>5</v>
      </c>
      <c r="C1909" t="s">
        <v>6</v>
      </c>
      <c r="D1909" t="s">
        <v>20</v>
      </c>
      <c r="E1909" s="68">
        <v>3066</v>
      </c>
      <c r="F1909" s="68">
        <v>2887</v>
      </c>
      <c r="G1909" s="68">
        <v>5953</v>
      </c>
    </row>
    <row r="1910" spans="1:7" x14ac:dyDescent="0.3">
      <c r="A1910" t="s">
        <v>759</v>
      </c>
      <c r="B1910" t="s">
        <v>5</v>
      </c>
      <c r="C1910" t="s">
        <v>6</v>
      </c>
      <c r="D1910" t="s">
        <v>21</v>
      </c>
      <c r="E1910" s="68">
        <v>2050</v>
      </c>
      <c r="F1910" s="68">
        <v>1848</v>
      </c>
      <c r="G1910" s="68">
        <v>3898</v>
      </c>
    </row>
    <row r="1911" spans="1:7" x14ac:dyDescent="0.3">
      <c r="A1911" t="s">
        <v>759</v>
      </c>
      <c r="B1911" t="s">
        <v>5</v>
      </c>
      <c r="C1911" t="s">
        <v>6</v>
      </c>
      <c r="D1911" t="s">
        <v>22</v>
      </c>
      <c r="E1911" s="68">
        <v>1350</v>
      </c>
      <c r="F1911" s="68">
        <v>1134</v>
      </c>
      <c r="G1911" s="68">
        <v>2484</v>
      </c>
    </row>
    <row r="1912" spans="1:7" x14ac:dyDescent="0.3">
      <c r="A1912" t="s">
        <v>759</v>
      </c>
      <c r="B1912" t="s">
        <v>5</v>
      </c>
      <c r="C1912" t="s">
        <v>6</v>
      </c>
      <c r="D1912" t="s">
        <v>23</v>
      </c>
      <c r="E1912" s="68">
        <v>1686</v>
      </c>
      <c r="F1912" s="68">
        <v>1067</v>
      </c>
      <c r="G1912" s="68">
        <v>2753</v>
      </c>
    </row>
    <row r="1913" spans="1:7" x14ac:dyDescent="0.3">
      <c r="A1913" t="s">
        <v>759</v>
      </c>
      <c r="B1913" t="s">
        <v>5</v>
      </c>
      <c r="C1913" t="s">
        <v>24</v>
      </c>
      <c r="D1913" t="s">
        <v>7</v>
      </c>
      <c r="E1913" s="68">
        <v>1216</v>
      </c>
      <c r="F1913" s="68">
        <v>1178</v>
      </c>
      <c r="G1913" s="68">
        <v>2394</v>
      </c>
    </row>
    <row r="1914" spans="1:7" x14ac:dyDescent="0.3">
      <c r="A1914" t="s">
        <v>759</v>
      </c>
      <c r="B1914" t="s">
        <v>5</v>
      </c>
      <c r="C1914" t="s">
        <v>24</v>
      </c>
      <c r="D1914" t="s">
        <v>8</v>
      </c>
      <c r="E1914" s="68">
        <v>1656</v>
      </c>
      <c r="F1914" s="68">
        <v>1745</v>
      </c>
      <c r="G1914" s="68">
        <v>3401</v>
      </c>
    </row>
    <row r="1915" spans="1:7" x14ac:dyDescent="0.3">
      <c r="A1915" t="s">
        <v>759</v>
      </c>
      <c r="B1915" t="s">
        <v>5</v>
      </c>
      <c r="C1915" t="s">
        <v>24</v>
      </c>
      <c r="D1915" t="s">
        <v>9</v>
      </c>
      <c r="E1915" s="68">
        <v>2185</v>
      </c>
      <c r="F1915" s="68">
        <v>2283</v>
      </c>
      <c r="G1915" s="68">
        <v>4468</v>
      </c>
    </row>
    <row r="1916" spans="1:7" x14ac:dyDescent="0.3">
      <c r="A1916" t="s">
        <v>759</v>
      </c>
      <c r="B1916" t="s">
        <v>5</v>
      </c>
      <c r="C1916" t="s">
        <v>24</v>
      </c>
      <c r="D1916" t="s">
        <v>10</v>
      </c>
      <c r="E1916" s="68">
        <v>2400</v>
      </c>
      <c r="F1916" s="68">
        <v>2458</v>
      </c>
      <c r="G1916" s="68">
        <v>4858</v>
      </c>
    </row>
    <row r="1917" spans="1:7" x14ac:dyDescent="0.3">
      <c r="A1917" t="s">
        <v>759</v>
      </c>
      <c r="B1917" t="s">
        <v>5</v>
      </c>
      <c r="C1917" t="s">
        <v>24</v>
      </c>
      <c r="D1917" t="s">
        <v>11</v>
      </c>
      <c r="E1917" s="68">
        <v>2000</v>
      </c>
      <c r="F1917" s="68">
        <v>1805</v>
      </c>
      <c r="G1917" s="68">
        <v>3805</v>
      </c>
    </row>
    <row r="1918" spans="1:7" x14ac:dyDescent="0.3">
      <c r="A1918" t="s">
        <v>759</v>
      </c>
      <c r="B1918" t="s">
        <v>5</v>
      </c>
      <c r="C1918" t="s">
        <v>24</v>
      </c>
      <c r="D1918" t="s">
        <v>12</v>
      </c>
      <c r="E1918" s="68">
        <v>2174</v>
      </c>
      <c r="F1918" s="68">
        <v>1930</v>
      </c>
      <c r="G1918" s="68">
        <v>4104</v>
      </c>
    </row>
    <row r="1919" spans="1:7" x14ac:dyDescent="0.3">
      <c r="A1919" t="s">
        <v>759</v>
      </c>
      <c r="B1919" t="s">
        <v>5</v>
      </c>
      <c r="C1919" t="s">
        <v>24</v>
      </c>
      <c r="D1919" t="s">
        <v>13</v>
      </c>
      <c r="E1919" s="68">
        <v>1952</v>
      </c>
      <c r="F1919" s="68">
        <v>1448</v>
      </c>
      <c r="G1919" s="68">
        <v>3400</v>
      </c>
    </row>
    <row r="1920" spans="1:7" x14ac:dyDescent="0.3">
      <c r="A1920" t="s">
        <v>759</v>
      </c>
      <c r="B1920" t="s">
        <v>5</v>
      </c>
      <c r="C1920" t="s">
        <v>24</v>
      </c>
      <c r="D1920" t="s">
        <v>14</v>
      </c>
      <c r="E1920" s="68">
        <v>1725</v>
      </c>
      <c r="F1920" s="68">
        <v>1369</v>
      </c>
      <c r="G1920" s="68">
        <v>3094</v>
      </c>
    </row>
    <row r="1921" spans="1:7" x14ac:dyDescent="0.3">
      <c r="A1921" t="s">
        <v>759</v>
      </c>
      <c r="B1921" t="s">
        <v>5</v>
      </c>
      <c r="C1921" t="s">
        <v>24</v>
      </c>
      <c r="D1921" t="s">
        <v>15</v>
      </c>
      <c r="E1921" s="68">
        <v>1907</v>
      </c>
      <c r="F1921" s="68">
        <v>1526</v>
      </c>
      <c r="G1921" s="68">
        <v>3433</v>
      </c>
    </row>
    <row r="1922" spans="1:7" x14ac:dyDescent="0.3">
      <c r="A1922" t="s">
        <v>759</v>
      </c>
      <c r="B1922" t="s">
        <v>5</v>
      </c>
      <c r="C1922" t="s">
        <v>24</v>
      </c>
      <c r="D1922" t="s">
        <v>16</v>
      </c>
      <c r="E1922" s="68">
        <v>1730</v>
      </c>
      <c r="F1922" s="68">
        <v>1336</v>
      </c>
      <c r="G1922" s="68">
        <v>3066</v>
      </c>
    </row>
    <row r="1923" spans="1:7" x14ac:dyDescent="0.3">
      <c r="A1923" t="s">
        <v>759</v>
      </c>
      <c r="B1923" t="s">
        <v>5</v>
      </c>
      <c r="C1923" t="s">
        <v>24</v>
      </c>
      <c r="D1923" t="s">
        <v>17</v>
      </c>
      <c r="E1923" s="68">
        <v>1567</v>
      </c>
      <c r="F1923" s="68">
        <v>1363</v>
      </c>
      <c r="G1923" s="68">
        <v>2930</v>
      </c>
    </row>
    <row r="1924" spans="1:7" x14ac:dyDescent="0.3">
      <c r="A1924" t="s">
        <v>759</v>
      </c>
      <c r="B1924" t="s">
        <v>5</v>
      </c>
      <c r="C1924" t="s">
        <v>24</v>
      </c>
      <c r="D1924" t="s">
        <v>18</v>
      </c>
      <c r="E1924" s="68">
        <v>1565</v>
      </c>
      <c r="F1924" s="68">
        <v>1347</v>
      </c>
      <c r="G1924" s="68">
        <v>2912</v>
      </c>
    </row>
    <row r="1925" spans="1:7" x14ac:dyDescent="0.3">
      <c r="A1925" t="s">
        <v>759</v>
      </c>
      <c r="B1925" t="s">
        <v>5</v>
      </c>
      <c r="C1925" t="s">
        <v>24</v>
      </c>
      <c r="D1925" t="s">
        <v>19</v>
      </c>
      <c r="E1925" s="68">
        <v>1559</v>
      </c>
      <c r="F1925" s="68">
        <v>1314</v>
      </c>
      <c r="G1925" s="68">
        <v>2873</v>
      </c>
    </row>
    <row r="1926" spans="1:7" x14ac:dyDescent="0.3">
      <c r="A1926" t="s">
        <v>759</v>
      </c>
      <c r="B1926" t="s">
        <v>5</v>
      </c>
      <c r="C1926" t="s">
        <v>24</v>
      </c>
      <c r="D1926" t="s">
        <v>20</v>
      </c>
      <c r="E1926" s="68">
        <v>1314</v>
      </c>
      <c r="F1926" s="68">
        <v>1082</v>
      </c>
      <c r="G1926" s="68">
        <v>2396</v>
      </c>
    </row>
    <row r="1927" spans="1:7" x14ac:dyDescent="0.3">
      <c r="A1927" t="s">
        <v>759</v>
      </c>
      <c r="B1927" t="s">
        <v>5</v>
      </c>
      <c r="C1927" t="s">
        <v>24</v>
      </c>
      <c r="D1927" t="s">
        <v>21</v>
      </c>
      <c r="E1927" s="68">
        <v>1041</v>
      </c>
      <c r="F1927" s="68">
        <v>806</v>
      </c>
      <c r="G1927" s="68">
        <v>1847</v>
      </c>
    </row>
    <row r="1928" spans="1:7" x14ac:dyDescent="0.3">
      <c r="A1928" t="s">
        <v>759</v>
      </c>
      <c r="B1928" t="s">
        <v>5</v>
      </c>
      <c r="C1928" t="s">
        <v>24</v>
      </c>
      <c r="D1928" t="s">
        <v>22</v>
      </c>
      <c r="E1928" s="68">
        <v>714</v>
      </c>
      <c r="F1928" s="68">
        <v>558</v>
      </c>
      <c r="G1928" s="68">
        <v>1272</v>
      </c>
    </row>
    <row r="1929" spans="1:7" x14ac:dyDescent="0.3">
      <c r="A1929" t="s">
        <v>759</v>
      </c>
      <c r="B1929" t="s">
        <v>5</v>
      </c>
      <c r="C1929" t="s">
        <v>24</v>
      </c>
      <c r="D1929" t="s">
        <v>23</v>
      </c>
      <c r="E1929" s="68">
        <v>1070</v>
      </c>
      <c r="F1929" s="68">
        <v>583</v>
      </c>
      <c r="G1929" s="68">
        <v>1653</v>
      </c>
    </row>
    <row r="1930" spans="1:7" x14ac:dyDescent="0.3">
      <c r="A1930" t="s">
        <v>759</v>
      </c>
      <c r="B1930" t="s">
        <v>34</v>
      </c>
      <c r="C1930" t="s">
        <v>6</v>
      </c>
      <c r="D1930" t="s">
        <v>7</v>
      </c>
      <c r="E1930" s="68">
        <v>116</v>
      </c>
      <c r="F1930" s="68">
        <v>137</v>
      </c>
      <c r="G1930" s="68">
        <v>253</v>
      </c>
    </row>
    <row r="1931" spans="1:7" x14ac:dyDescent="0.3">
      <c r="A1931" t="s">
        <v>759</v>
      </c>
      <c r="B1931" t="s">
        <v>34</v>
      </c>
      <c r="C1931" t="s">
        <v>6</v>
      </c>
      <c r="D1931" t="s">
        <v>8</v>
      </c>
      <c r="E1931" s="68">
        <v>200</v>
      </c>
      <c r="F1931" s="68">
        <v>185</v>
      </c>
      <c r="G1931" s="68">
        <v>385</v>
      </c>
    </row>
    <row r="1932" spans="1:7" x14ac:dyDescent="0.3">
      <c r="A1932" t="s">
        <v>759</v>
      </c>
      <c r="B1932" t="s">
        <v>34</v>
      </c>
      <c r="C1932" t="s">
        <v>6</v>
      </c>
      <c r="D1932" t="s">
        <v>9</v>
      </c>
      <c r="E1932" s="68">
        <v>209</v>
      </c>
      <c r="F1932" s="68">
        <v>210</v>
      </c>
      <c r="G1932" s="68">
        <v>419</v>
      </c>
    </row>
    <row r="1933" spans="1:7" x14ac:dyDescent="0.3">
      <c r="A1933" t="s">
        <v>759</v>
      </c>
      <c r="B1933" t="s">
        <v>34</v>
      </c>
      <c r="C1933" t="s">
        <v>6</v>
      </c>
      <c r="D1933" t="s">
        <v>10</v>
      </c>
      <c r="E1933" s="68">
        <v>181</v>
      </c>
      <c r="F1933" s="68">
        <v>183</v>
      </c>
      <c r="G1933" s="68">
        <v>364</v>
      </c>
    </row>
    <row r="1934" spans="1:7" x14ac:dyDescent="0.3">
      <c r="A1934" t="s">
        <v>759</v>
      </c>
      <c r="B1934" t="s">
        <v>34</v>
      </c>
      <c r="C1934" t="s">
        <v>6</v>
      </c>
      <c r="D1934" t="s">
        <v>11</v>
      </c>
      <c r="E1934" s="68">
        <v>198</v>
      </c>
      <c r="F1934" s="68">
        <v>227</v>
      </c>
      <c r="G1934" s="68">
        <v>425</v>
      </c>
    </row>
    <row r="1935" spans="1:7" x14ac:dyDescent="0.3">
      <c r="A1935" t="s">
        <v>759</v>
      </c>
      <c r="B1935" t="s">
        <v>34</v>
      </c>
      <c r="C1935" t="s">
        <v>6</v>
      </c>
      <c r="D1935" t="s">
        <v>12</v>
      </c>
      <c r="E1935" s="68">
        <v>309</v>
      </c>
      <c r="F1935" s="68">
        <v>249</v>
      </c>
      <c r="G1935" s="68">
        <v>558</v>
      </c>
    </row>
    <row r="1936" spans="1:7" x14ac:dyDescent="0.3">
      <c r="A1936" t="s">
        <v>759</v>
      </c>
      <c r="B1936" t="s">
        <v>34</v>
      </c>
      <c r="C1936" t="s">
        <v>6</v>
      </c>
      <c r="D1936" t="s">
        <v>13</v>
      </c>
      <c r="E1936" s="68">
        <v>331</v>
      </c>
      <c r="F1936" s="68">
        <v>286</v>
      </c>
      <c r="G1936" s="68">
        <v>617</v>
      </c>
    </row>
    <row r="1937" spans="1:7" x14ac:dyDescent="0.3">
      <c r="A1937" t="s">
        <v>759</v>
      </c>
      <c r="B1937" t="s">
        <v>34</v>
      </c>
      <c r="C1937" t="s">
        <v>6</v>
      </c>
      <c r="D1937" t="s">
        <v>14</v>
      </c>
      <c r="E1937" s="68">
        <v>293</v>
      </c>
      <c r="F1937" s="68">
        <v>310</v>
      </c>
      <c r="G1937" s="68">
        <v>603</v>
      </c>
    </row>
    <row r="1938" spans="1:7" x14ac:dyDescent="0.3">
      <c r="A1938" t="s">
        <v>759</v>
      </c>
      <c r="B1938" t="s">
        <v>34</v>
      </c>
      <c r="C1938" t="s">
        <v>6</v>
      </c>
      <c r="D1938" t="s">
        <v>15</v>
      </c>
      <c r="E1938" s="68">
        <v>285</v>
      </c>
      <c r="F1938" s="68">
        <v>185</v>
      </c>
      <c r="G1938" s="68">
        <v>470</v>
      </c>
    </row>
    <row r="1939" spans="1:7" x14ac:dyDescent="0.3">
      <c r="A1939" t="s">
        <v>759</v>
      </c>
      <c r="B1939" t="s">
        <v>34</v>
      </c>
      <c r="C1939" t="s">
        <v>6</v>
      </c>
      <c r="D1939" t="s">
        <v>16</v>
      </c>
      <c r="E1939" s="68">
        <v>218</v>
      </c>
      <c r="F1939" s="68">
        <v>201</v>
      </c>
      <c r="G1939" s="68">
        <v>419</v>
      </c>
    </row>
    <row r="1940" spans="1:7" x14ac:dyDescent="0.3">
      <c r="A1940" t="s">
        <v>759</v>
      </c>
      <c r="B1940" t="s">
        <v>34</v>
      </c>
      <c r="C1940" t="s">
        <v>6</v>
      </c>
      <c r="D1940" t="s">
        <v>17</v>
      </c>
      <c r="E1940" s="68">
        <v>169</v>
      </c>
      <c r="F1940" s="68">
        <v>150</v>
      </c>
      <c r="G1940" s="68">
        <v>319</v>
      </c>
    </row>
    <row r="1941" spans="1:7" x14ac:dyDescent="0.3">
      <c r="A1941" t="s">
        <v>759</v>
      </c>
      <c r="B1941" t="s">
        <v>34</v>
      </c>
      <c r="C1941" t="s">
        <v>6</v>
      </c>
      <c r="D1941" t="s">
        <v>18</v>
      </c>
      <c r="E1941" s="68">
        <v>130</v>
      </c>
      <c r="F1941" s="68">
        <v>107</v>
      </c>
      <c r="G1941" s="68">
        <v>237</v>
      </c>
    </row>
    <row r="1942" spans="1:7" x14ac:dyDescent="0.3">
      <c r="A1942" t="s">
        <v>759</v>
      </c>
      <c r="B1942" t="s">
        <v>34</v>
      </c>
      <c r="C1942" t="s">
        <v>6</v>
      </c>
      <c r="D1942" t="s">
        <v>19</v>
      </c>
      <c r="E1942" s="68">
        <v>128</v>
      </c>
      <c r="F1942" s="68">
        <v>120</v>
      </c>
      <c r="G1942" s="68">
        <v>248</v>
      </c>
    </row>
    <row r="1943" spans="1:7" x14ac:dyDescent="0.3">
      <c r="A1943" t="s">
        <v>759</v>
      </c>
      <c r="B1943" t="s">
        <v>34</v>
      </c>
      <c r="C1943" t="s">
        <v>6</v>
      </c>
      <c r="D1943" t="s">
        <v>20</v>
      </c>
      <c r="E1943" s="68">
        <v>97</v>
      </c>
      <c r="F1943" s="68">
        <v>75</v>
      </c>
      <c r="G1943" s="68">
        <v>172</v>
      </c>
    </row>
    <row r="1944" spans="1:7" x14ac:dyDescent="0.3">
      <c r="A1944" t="s">
        <v>759</v>
      </c>
      <c r="B1944" t="s">
        <v>34</v>
      </c>
      <c r="C1944" t="s">
        <v>6</v>
      </c>
      <c r="D1944" t="s">
        <v>21</v>
      </c>
      <c r="E1944" s="68">
        <v>74</v>
      </c>
      <c r="F1944" s="68">
        <v>54</v>
      </c>
      <c r="G1944" s="68">
        <v>128</v>
      </c>
    </row>
    <row r="1945" spans="1:7" x14ac:dyDescent="0.3">
      <c r="A1945" t="s">
        <v>759</v>
      </c>
      <c r="B1945" t="s">
        <v>34</v>
      </c>
      <c r="C1945" t="s">
        <v>6</v>
      </c>
      <c r="D1945" t="s">
        <v>22</v>
      </c>
      <c r="E1945" s="68">
        <v>36</v>
      </c>
      <c r="F1945" s="68">
        <v>35</v>
      </c>
      <c r="G1945" s="68">
        <v>71</v>
      </c>
    </row>
    <row r="1946" spans="1:7" x14ac:dyDescent="0.3">
      <c r="A1946" t="s">
        <v>759</v>
      </c>
      <c r="B1946" t="s">
        <v>34</v>
      </c>
      <c r="C1946" t="s">
        <v>6</v>
      </c>
      <c r="D1946" t="s">
        <v>23</v>
      </c>
      <c r="E1946" s="68">
        <v>24</v>
      </c>
      <c r="F1946" s="68">
        <v>27</v>
      </c>
      <c r="G1946" s="68">
        <v>51</v>
      </c>
    </row>
    <row r="1947" spans="1:7" x14ac:dyDescent="0.3">
      <c r="A1947" t="s">
        <v>759</v>
      </c>
      <c r="B1947" t="s">
        <v>34</v>
      </c>
      <c r="C1947" t="s">
        <v>24</v>
      </c>
      <c r="D1947" t="s">
        <v>7</v>
      </c>
      <c r="E1947" s="68">
        <v>44</v>
      </c>
      <c r="F1947" s="68">
        <v>47</v>
      </c>
      <c r="G1947" s="68">
        <v>91</v>
      </c>
    </row>
    <row r="1948" spans="1:7" x14ac:dyDescent="0.3">
      <c r="A1948" t="s">
        <v>759</v>
      </c>
      <c r="B1948" t="s">
        <v>34</v>
      </c>
      <c r="C1948" t="s">
        <v>24</v>
      </c>
      <c r="D1948" t="s">
        <v>8</v>
      </c>
      <c r="E1948" s="68">
        <v>57</v>
      </c>
      <c r="F1948" s="68">
        <v>63</v>
      </c>
      <c r="G1948" s="68">
        <v>120</v>
      </c>
    </row>
    <row r="1949" spans="1:7" x14ac:dyDescent="0.3">
      <c r="A1949" t="s">
        <v>759</v>
      </c>
      <c r="B1949" t="s">
        <v>34</v>
      </c>
      <c r="C1949" t="s">
        <v>24</v>
      </c>
      <c r="D1949" t="s">
        <v>9</v>
      </c>
      <c r="E1949" s="68">
        <v>78</v>
      </c>
      <c r="F1949" s="68">
        <v>77</v>
      </c>
      <c r="G1949" s="68">
        <v>155</v>
      </c>
    </row>
    <row r="1950" spans="1:7" x14ac:dyDescent="0.3">
      <c r="A1950" t="s">
        <v>759</v>
      </c>
      <c r="B1950" t="s">
        <v>34</v>
      </c>
      <c r="C1950" t="s">
        <v>24</v>
      </c>
      <c r="D1950" t="s">
        <v>10</v>
      </c>
      <c r="E1950" s="68">
        <v>69</v>
      </c>
      <c r="F1950" s="68">
        <v>87</v>
      </c>
      <c r="G1950" s="68">
        <v>156</v>
      </c>
    </row>
    <row r="1951" spans="1:7" x14ac:dyDescent="0.3">
      <c r="A1951" t="s">
        <v>759</v>
      </c>
      <c r="B1951" t="s">
        <v>34</v>
      </c>
      <c r="C1951" t="s">
        <v>24</v>
      </c>
      <c r="D1951" t="s">
        <v>11</v>
      </c>
      <c r="E1951" s="68">
        <v>77</v>
      </c>
      <c r="F1951" s="68">
        <v>56</v>
      </c>
      <c r="G1951" s="68">
        <v>133</v>
      </c>
    </row>
    <row r="1952" spans="1:7" x14ac:dyDescent="0.3">
      <c r="A1952" t="s">
        <v>759</v>
      </c>
      <c r="B1952" t="s">
        <v>34</v>
      </c>
      <c r="C1952" t="s">
        <v>24</v>
      </c>
      <c r="D1952" t="s">
        <v>12</v>
      </c>
      <c r="E1952" s="68">
        <v>98</v>
      </c>
      <c r="F1952" s="68">
        <v>67</v>
      </c>
      <c r="G1952" s="68">
        <v>165</v>
      </c>
    </row>
    <row r="1953" spans="1:7" x14ac:dyDescent="0.3">
      <c r="A1953" t="s">
        <v>759</v>
      </c>
      <c r="B1953" t="s">
        <v>34</v>
      </c>
      <c r="C1953" t="s">
        <v>24</v>
      </c>
      <c r="D1953" t="s">
        <v>13</v>
      </c>
      <c r="E1953" s="68">
        <v>78</v>
      </c>
      <c r="F1953" s="68">
        <v>54</v>
      </c>
      <c r="G1953" s="68">
        <v>132</v>
      </c>
    </row>
    <row r="1954" spans="1:7" x14ac:dyDescent="0.3">
      <c r="A1954" t="s">
        <v>759</v>
      </c>
      <c r="B1954" t="s">
        <v>34</v>
      </c>
      <c r="C1954" t="s">
        <v>24</v>
      </c>
      <c r="D1954" t="s">
        <v>14</v>
      </c>
      <c r="E1954" s="68">
        <v>75</v>
      </c>
      <c r="F1954" s="68">
        <v>38</v>
      </c>
      <c r="G1954" s="68">
        <v>113</v>
      </c>
    </row>
    <row r="1955" spans="1:7" x14ac:dyDescent="0.3">
      <c r="A1955" t="s">
        <v>759</v>
      </c>
      <c r="B1955" t="s">
        <v>34</v>
      </c>
      <c r="C1955" t="s">
        <v>24</v>
      </c>
      <c r="D1955" t="s">
        <v>15</v>
      </c>
      <c r="E1955" s="68">
        <v>73</v>
      </c>
      <c r="F1955" s="68">
        <v>38</v>
      </c>
      <c r="G1955" s="68">
        <v>111</v>
      </c>
    </row>
    <row r="1956" spans="1:7" x14ac:dyDescent="0.3">
      <c r="A1956" t="s">
        <v>759</v>
      </c>
      <c r="B1956" t="s">
        <v>34</v>
      </c>
      <c r="C1956" t="s">
        <v>24</v>
      </c>
      <c r="D1956" t="s">
        <v>16</v>
      </c>
      <c r="E1956" s="68">
        <v>51</v>
      </c>
      <c r="F1956" s="68">
        <v>29</v>
      </c>
      <c r="G1956" s="68">
        <v>80</v>
      </c>
    </row>
    <row r="1957" spans="1:7" x14ac:dyDescent="0.3">
      <c r="A1957" t="s">
        <v>759</v>
      </c>
      <c r="B1957" t="s">
        <v>34</v>
      </c>
      <c r="C1957" t="s">
        <v>24</v>
      </c>
      <c r="D1957" t="s">
        <v>17</v>
      </c>
      <c r="E1957" s="68">
        <v>52</v>
      </c>
      <c r="F1957" s="68">
        <v>25</v>
      </c>
      <c r="G1957" s="68">
        <v>77</v>
      </c>
    </row>
    <row r="1958" spans="1:7" x14ac:dyDescent="0.3">
      <c r="A1958" t="s">
        <v>759</v>
      </c>
      <c r="B1958" t="s">
        <v>34</v>
      </c>
      <c r="C1958" t="s">
        <v>24</v>
      </c>
      <c r="D1958" t="s">
        <v>18</v>
      </c>
      <c r="E1958" s="68">
        <v>40</v>
      </c>
      <c r="F1958" s="68">
        <v>25</v>
      </c>
      <c r="G1958" s="68">
        <v>65</v>
      </c>
    </row>
    <row r="1959" spans="1:7" x14ac:dyDescent="0.3">
      <c r="A1959" t="s">
        <v>759</v>
      </c>
      <c r="B1959" t="s">
        <v>34</v>
      </c>
      <c r="C1959" t="s">
        <v>24</v>
      </c>
      <c r="D1959" t="s">
        <v>19</v>
      </c>
      <c r="E1959" s="68">
        <v>33</v>
      </c>
      <c r="F1959" s="68">
        <v>25</v>
      </c>
      <c r="G1959" s="68">
        <v>58</v>
      </c>
    </row>
    <row r="1960" spans="1:7" x14ac:dyDescent="0.3">
      <c r="A1960" t="s">
        <v>759</v>
      </c>
      <c r="B1960" t="s">
        <v>34</v>
      </c>
      <c r="C1960" t="s">
        <v>24</v>
      </c>
      <c r="D1960" t="s">
        <v>20</v>
      </c>
      <c r="E1960" s="68">
        <v>18</v>
      </c>
      <c r="F1960" s="68">
        <v>14</v>
      </c>
      <c r="G1960" s="68">
        <v>32</v>
      </c>
    </row>
    <row r="1961" spans="1:7" x14ac:dyDescent="0.3">
      <c r="A1961" t="s">
        <v>759</v>
      </c>
      <c r="B1961" t="s">
        <v>34</v>
      </c>
      <c r="C1961" t="s">
        <v>24</v>
      </c>
      <c r="D1961" t="s">
        <v>21</v>
      </c>
      <c r="E1961" s="68">
        <v>9</v>
      </c>
      <c r="F1961" s="68">
        <v>3</v>
      </c>
      <c r="G1961" s="68">
        <v>12</v>
      </c>
    </row>
    <row r="1962" spans="1:7" x14ac:dyDescent="0.3">
      <c r="A1962" t="s">
        <v>759</v>
      </c>
      <c r="B1962" t="s">
        <v>34</v>
      </c>
      <c r="C1962" t="s">
        <v>24</v>
      </c>
      <c r="D1962" t="s">
        <v>22</v>
      </c>
      <c r="E1962" s="68">
        <v>7</v>
      </c>
      <c r="F1962" s="68">
        <v>7</v>
      </c>
      <c r="G1962" s="68">
        <v>14</v>
      </c>
    </row>
    <row r="1963" spans="1:7" x14ac:dyDescent="0.3">
      <c r="A1963" t="s">
        <v>759</v>
      </c>
      <c r="B1963" t="s">
        <v>34</v>
      </c>
      <c r="C1963" t="s">
        <v>24</v>
      </c>
      <c r="D1963" t="s">
        <v>23</v>
      </c>
      <c r="E1963" s="68">
        <v>8</v>
      </c>
      <c r="F1963" s="68">
        <v>2</v>
      </c>
      <c r="G1963" s="68">
        <v>10</v>
      </c>
    </row>
    <row r="1964" spans="1:7" x14ac:dyDescent="0.3">
      <c r="A1964" t="s">
        <v>759</v>
      </c>
      <c r="B1964" t="s">
        <v>37</v>
      </c>
      <c r="C1964" t="s">
        <v>6</v>
      </c>
      <c r="D1964" t="s">
        <v>7</v>
      </c>
      <c r="E1964" s="68">
        <v>1349</v>
      </c>
      <c r="F1964" s="68">
        <v>1324</v>
      </c>
      <c r="G1964" s="68">
        <v>2673</v>
      </c>
    </row>
    <row r="1965" spans="1:7" x14ac:dyDescent="0.3">
      <c r="A1965" t="s">
        <v>759</v>
      </c>
      <c r="B1965" t="s">
        <v>37</v>
      </c>
      <c r="C1965" t="s">
        <v>6</v>
      </c>
      <c r="D1965" t="s">
        <v>8</v>
      </c>
      <c r="E1965" s="68">
        <v>2068</v>
      </c>
      <c r="F1965" s="68">
        <v>2019</v>
      </c>
      <c r="G1965" s="68">
        <v>4087</v>
      </c>
    </row>
    <row r="1966" spans="1:7" x14ac:dyDescent="0.3">
      <c r="A1966" t="s">
        <v>759</v>
      </c>
      <c r="B1966" t="s">
        <v>37</v>
      </c>
      <c r="C1966" t="s">
        <v>6</v>
      </c>
      <c r="D1966" t="s">
        <v>9</v>
      </c>
      <c r="E1966" s="68">
        <v>2616</v>
      </c>
      <c r="F1966" s="68">
        <v>2785</v>
      </c>
      <c r="G1966" s="68">
        <v>5401</v>
      </c>
    </row>
    <row r="1967" spans="1:7" x14ac:dyDescent="0.3">
      <c r="A1967" t="s">
        <v>759</v>
      </c>
      <c r="B1967" t="s">
        <v>37</v>
      </c>
      <c r="C1967" t="s">
        <v>6</v>
      </c>
      <c r="D1967" t="s">
        <v>10</v>
      </c>
      <c r="E1967" s="68">
        <v>2881</v>
      </c>
      <c r="F1967" s="68">
        <v>2943</v>
      </c>
      <c r="G1967" s="68">
        <v>5824</v>
      </c>
    </row>
    <row r="1968" spans="1:7" x14ac:dyDescent="0.3">
      <c r="A1968" t="s">
        <v>759</v>
      </c>
      <c r="B1968" t="s">
        <v>37</v>
      </c>
      <c r="C1968" t="s">
        <v>6</v>
      </c>
      <c r="D1968" t="s">
        <v>11</v>
      </c>
      <c r="E1968" s="68">
        <v>2411</v>
      </c>
      <c r="F1968" s="68">
        <v>2561</v>
      </c>
      <c r="G1968" s="68">
        <v>4972</v>
      </c>
    </row>
    <row r="1969" spans="1:7" x14ac:dyDescent="0.3">
      <c r="A1969" t="s">
        <v>759</v>
      </c>
      <c r="B1969" t="s">
        <v>37</v>
      </c>
      <c r="C1969" t="s">
        <v>6</v>
      </c>
      <c r="D1969" t="s">
        <v>12</v>
      </c>
      <c r="E1969" s="68">
        <v>2447</v>
      </c>
      <c r="F1969" s="68">
        <v>2485</v>
      </c>
      <c r="G1969" s="68">
        <v>4932</v>
      </c>
    </row>
    <row r="1970" spans="1:7" x14ac:dyDescent="0.3">
      <c r="A1970" t="s">
        <v>759</v>
      </c>
      <c r="B1970" t="s">
        <v>37</v>
      </c>
      <c r="C1970" t="s">
        <v>6</v>
      </c>
      <c r="D1970" t="s">
        <v>13</v>
      </c>
      <c r="E1970" s="68">
        <v>2941</v>
      </c>
      <c r="F1970" s="68">
        <v>2771</v>
      </c>
      <c r="G1970" s="68">
        <v>5712</v>
      </c>
    </row>
    <row r="1971" spans="1:7" x14ac:dyDescent="0.3">
      <c r="A1971" t="s">
        <v>759</v>
      </c>
      <c r="B1971" t="s">
        <v>37</v>
      </c>
      <c r="C1971" t="s">
        <v>6</v>
      </c>
      <c r="D1971" t="s">
        <v>14</v>
      </c>
      <c r="E1971" s="68">
        <v>3063</v>
      </c>
      <c r="F1971" s="68">
        <v>2855</v>
      </c>
      <c r="G1971" s="68">
        <v>5918</v>
      </c>
    </row>
    <row r="1972" spans="1:7" x14ac:dyDescent="0.3">
      <c r="A1972" t="s">
        <v>759</v>
      </c>
      <c r="B1972" t="s">
        <v>37</v>
      </c>
      <c r="C1972" t="s">
        <v>6</v>
      </c>
      <c r="D1972" t="s">
        <v>15</v>
      </c>
      <c r="E1972" s="68">
        <v>3048</v>
      </c>
      <c r="F1972" s="68">
        <v>3004</v>
      </c>
      <c r="G1972" s="68">
        <v>6052</v>
      </c>
    </row>
    <row r="1973" spans="1:7" x14ac:dyDescent="0.3">
      <c r="A1973" t="s">
        <v>759</v>
      </c>
      <c r="B1973" t="s">
        <v>37</v>
      </c>
      <c r="C1973" t="s">
        <v>6</v>
      </c>
      <c r="D1973" t="s">
        <v>16</v>
      </c>
      <c r="E1973" s="68">
        <v>2782</v>
      </c>
      <c r="F1973" s="68">
        <v>2684</v>
      </c>
      <c r="G1973" s="68">
        <v>5466</v>
      </c>
    </row>
    <row r="1974" spans="1:7" x14ac:dyDescent="0.3">
      <c r="A1974" t="s">
        <v>759</v>
      </c>
      <c r="B1974" t="s">
        <v>37</v>
      </c>
      <c r="C1974" t="s">
        <v>6</v>
      </c>
      <c r="D1974" t="s">
        <v>17</v>
      </c>
      <c r="E1974" s="68">
        <v>2242</v>
      </c>
      <c r="F1974" s="68">
        <v>2296</v>
      </c>
      <c r="G1974" s="68">
        <v>4538</v>
      </c>
    </row>
    <row r="1975" spans="1:7" x14ac:dyDescent="0.3">
      <c r="A1975" t="s">
        <v>759</v>
      </c>
      <c r="B1975" t="s">
        <v>37</v>
      </c>
      <c r="C1975" t="s">
        <v>6</v>
      </c>
      <c r="D1975" t="s">
        <v>18</v>
      </c>
      <c r="E1975" s="68">
        <v>1933</v>
      </c>
      <c r="F1975" s="68">
        <v>1938</v>
      </c>
      <c r="G1975" s="68">
        <v>3871</v>
      </c>
    </row>
    <row r="1976" spans="1:7" x14ac:dyDescent="0.3">
      <c r="A1976" t="s">
        <v>759</v>
      </c>
      <c r="B1976" t="s">
        <v>37</v>
      </c>
      <c r="C1976" t="s">
        <v>6</v>
      </c>
      <c r="D1976" t="s">
        <v>19</v>
      </c>
      <c r="E1976" s="68">
        <v>1749</v>
      </c>
      <c r="F1976" s="68">
        <v>1698</v>
      </c>
      <c r="G1976" s="68">
        <v>3447</v>
      </c>
    </row>
    <row r="1977" spans="1:7" x14ac:dyDescent="0.3">
      <c r="A1977" t="s">
        <v>759</v>
      </c>
      <c r="B1977" t="s">
        <v>37</v>
      </c>
      <c r="C1977" t="s">
        <v>6</v>
      </c>
      <c r="D1977" t="s">
        <v>20</v>
      </c>
      <c r="E1977" s="68">
        <v>1530</v>
      </c>
      <c r="F1977" s="68">
        <v>1452</v>
      </c>
      <c r="G1977" s="68">
        <v>2982</v>
      </c>
    </row>
    <row r="1978" spans="1:7" x14ac:dyDescent="0.3">
      <c r="A1978" t="s">
        <v>759</v>
      </c>
      <c r="B1978" t="s">
        <v>37</v>
      </c>
      <c r="C1978" t="s">
        <v>6</v>
      </c>
      <c r="D1978" t="s">
        <v>21</v>
      </c>
      <c r="E1978" s="68">
        <v>1053</v>
      </c>
      <c r="F1978" s="68">
        <v>1016</v>
      </c>
      <c r="G1978" s="68">
        <v>2069</v>
      </c>
    </row>
    <row r="1979" spans="1:7" x14ac:dyDescent="0.3">
      <c r="A1979" t="s">
        <v>759</v>
      </c>
      <c r="B1979" t="s">
        <v>37</v>
      </c>
      <c r="C1979" t="s">
        <v>6</v>
      </c>
      <c r="D1979" t="s">
        <v>22</v>
      </c>
      <c r="E1979" s="68">
        <v>643</v>
      </c>
      <c r="F1979" s="68">
        <v>625</v>
      </c>
      <c r="G1979" s="68">
        <v>1268</v>
      </c>
    </row>
    <row r="1980" spans="1:7" x14ac:dyDescent="0.3">
      <c r="A1980" t="s">
        <v>759</v>
      </c>
      <c r="B1980" t="s">
        <v>37</v>
      </c>
      <c r="C1980" t="s">
        <v>6</v>
      </c>
      <c r="D1980" t="s">
        <v>23</v>
      </c>
      <c r="E1980" s="68">
        <v>962</v>
      </c>
      <c r="F1980" s="68">
        <v>624</v>
      </c>
      <c r="G1980" s="68">
        <v>1586</v>
      </c>
    </row>
    <row r="1981" spans="1:7" x14ac:dyDescent="0.3">
      <c r="A1981" t="s">
        <v>759</v>
      </c>
      <c r="B1981" t="s">
        <v>37</v>
      </c>
      <c r="C1981" t="s">
        <v>24</v>
      </c>
      <c r="D1981" t="s">
        <v>7</v>
      </c>
      <c r="E1981" s="68">
        <v>1179</v>
      </c>
      <c r="F1981" s="68">
        <v>1211</v>
      </c>
      <c r="G1981" s="68">
        <v>2390</v>
      </c>
    </row>
    <row r="1982" spans="1:7" x14ac:dyDescent="0.3">
      <c r="A1982" t="s">
        <v>759</v>
      </c>
      <c r="B1982" t="s">
        <v>37</v>
      </c>
      <c r="C1982" t="s">
        <v>24</v>
      </c>
      <c r="D1982" t="s">
        <v>8</v>
      </c>
      <c r="E1982" s="68">
        <v>1739</v>
      </c>
      <c r="F1982" s="68">
        <v>1818</v>
      </c>
      <c r="G1982" s="68">
        <v>3557</v>
      </c>
    </row>
    <row r="1983" spans="1:7" x14ac:dyDescent="0.3">
      <c r="A1983" t="s">
        <v>759</v>
      </c>
      <c r="B1983" t="s">
        <v>37</v>
      </c>
      <c r="C1983" t="s">
        <v>24</v>
      </c>
      <c r="D1983" t="s">
        <v>9</v>
      </c>
      <c r="E1983" s="68">
        <v>1966</v>
      </c>
      <c r="F1983" s="68">
        <v>2015</v>
      </c>
      <c r="G1983" s="68">
        <v>3981</v>
      </c>
    </row>
    <row r="1984" spans="1:7" x14ac:dyDescent="0.3">
      <c r="A1984" t="s">
        <v>759</v>
      </c>
      <c r="B1984" t="s">
        <v>37</v>
      </c>
      <c r="C1984" t="s">
        <v>24</v>
      </c>
      <c r="D1984" t="s">
        <v>10</v>
      </c>
      <c r="E1984" s="68">
        <v>2094</v>
      </c>
      <c r="F1984" s="68">
        <v>2164</v>
      </c>
      <c r="G1984" s="68">
        <v>4258</v>
      </c>
    </row>
    <row r="1985" spans="1:7" x14ac:dyDescent="0.3">
      <c r="A1985" t="s">
        <v>759</v>
      </c>
      <c r="B1985" t="s">
        <v>37</v>
      </c>
      <c r="C1985" t="s">
        <v>24</v>
      </c>
      <c r="D1985" t="s">
        <v>11</v>
      </c>
      <c r="E1985" s="68">
        <v>1895</v>
      </c>
      <c r="F1985" s="68">
        <v>1722</v>
      </c>
      <c r="G1985" s="68">
        <v>3617</v>
      </c>
    </row>
    <row r="1986" spans="1:7" x14ac:dyDescent="0.3">
      <c r="A1986" t="s">
        <v>759</v>
      </c>
      <c r="B1986" t="s">
        <v>37</v>
      </c>
      <c r="C1986" t="s">
        <v>24</v>
      </c>
      <c r="D1986" t="s">
        <v>12</v>
      </c>
      <c r="E1986" s="68">
        <v>2228</v>
      </c>
      <c r="F1986" s="68">
        <v>1913</v>
      </c>
      <c r="G1986" s="68">
        <v>4141</v>
      </c>
    </row>
    <row r="1987" spans="1:7" x14ac:dyDescent="0.3">
      <c r="A1987" t="s">
        <v>759</v>
      </c>
      <c r="B1987" t="s">
        <v>37</v>
      </c>
      <c r="C1987" t="s">
        <v>24</v>
      </c>
      <c r="D1987" t="s">
        <v>13</v>
      </c>
      <c r="E1987" s="68">
        <v>1953</v>
      </c>
      <c r="F1987" s="68">
        <v>1526</v>
      </c>
      <c r="G1987" s="68">
        <v>3479</v>
      </c>
    </row>
    <row r="1988" spans="1:7" x14ac:dyDescent="0.3">
      <c r="A1988" t="s">
        <v>759</v>
      </c>
      <c r="B1988" t="s">
        <v>37</v>
      </c>
      <c r="C1988" t="s">
        <v>24</v>
      </c>
      <c r="D1988" t="s">
        <v>14</v>
      </c>
      <c r="E1988" s="68">
        <v>1690</v>
      </c>
      <c r="F1988" s="68">
        <v>1348</v>
      </c>
      <c r="G1988" s="68">
        <v>3038</v>
      </c>
    </row>
    <row r="1989" spans="1:7" x14ac:dyDescent="0.3">
      <c r="A1989" t="s">
        <v>759</v>
      </c>
      <c r="B1989" t="s">
        <v>37</v>
      </c>
      <c r="C1989" t="s">
        <v>24</v>
      </c>
      <c r="D1989" t="s">
        <v>15</v>
      </c>
      <c r="E1989" s="68">
        <v>1798</v>
      </c>
      <c r="F1989" s="68">
        <v>1489</v>
      </c>
      <c r="G1989" s="68">
        <v>3287</v>
      </c>
    </row>
    <row r="1990" spans="1:7" x14ac:dyDescent="0.3">
      <c r="A1990" t="s">
        <v>759</v>
      </c>
      <c r="B1990" t="s">
        <v>37</v>
      </c>
      <c r="C1990" t="s">
        <v>24</v>
      </c>
      <c r="D1990" t="s">
        <v>16</v>
      </c>
      <c r="E1990" s="68">
        <v>1759</v>
      </c>
      <c r="F1990" s="68">
        <v>1390</v>
      </c>
      <c r="G1990" s="68">
        <v>3149</v>
      </c>
    </row>
    <row r="1991" spans="1:7" x14ac:dyDescent="0.3">
      <c r="A1991" t="s">
        <v>759</v>
      </c>
      <c r="B1991" t="s">
        <v>37</v>
      </c>
      <c r="C1991" t="s">
        <v>24</v>
      </c>
      <c r="D1991" t="s">
        <v>17</v>
      </c>
      <c r="E1991" s="68">
        <v>1528</v>
      </c>
      <c r="F1991" s="68">
        <v>1287</v>
      </c>
      <c r="G1991" s="68">
        <v>2815</v>
      </c>
    </row>
    <row r="1992" spans="1:7" x14ac:dyDescent="0.3">
      <c r="A1992" t="s">
        <v>759</v>
      </c>
      <c r="B1992" t="s">
        <v>37</v>
      </c>
      <c r="C1992" t="s">
        <v>24</v>
      </c>
      <c r="D1992" t="s">
        <v>18</v>
      </c>
      <c r="E1992" s="68">
        <v>1399</v>
      </c>
      <c r="F1992" s="68">
        <v>1254</v>
      </c>
      <c r="G1992" s="68">
        <v>2653</v>
      </c>
    </row>
    <row r="1993" spans="1:7" x14ac:dyDescent="0.3">
      <c r="A1993" t="s">
        <v>759</v>
      </c>
      <c r="B1993" t="s">
        <v>37</v>
      </c>
      <c r="C1993" t="s">
        <v>24</v>
      </c>
      <c r="D1993" t="s">
        <v>19</v>
      </c>
      <c r="E1993" s="68">
        <v>1315</v>
      </c>
      <c r="F1993" s="68">
        <v>1177</v>
      </c>
      <c r="G1993" s="68">
        <v>2492</v>
      </c>
    </row>
    <row r="1994" spans="1:7" x14ac:dyDescent="0.3">
      <c r="A1994" t="s">
        <v>759</v>
      </c>
      <c r="B1994" t="s">
        <v>37</v>
      </c>
      <c r="C1994" t="s">
        <v>24</v>
      </c>
      <c r="D1994" t="s">
        <v>20</v>
      </c>
      <c r="E1994" s="68">
        <v>978</v>
      </c>
      <c r="F1994" s="68">
        <v>956</v>
      </c>
      <c r="G1994" s="68">
        <v>1934</v>
      </c>
    </row>
    <row r="1995" spans="1:7" x14ac:dyDescent="0.3">
      <c r="A1995" t="s">
        <v>759</v>
      </c>
      <c r="B1995" t="s">
        <v>37</v>
      </c>
      <c r="C1995" t="s">
        <v>24</v>
      </c>
      <c r="D1995" t="s">
        <v>21</v>
      </c>
      <c r="E1995" s="68">
        <v>722</v>
      </c>
      <c r="F1995" s="68">
        <v>627</v>
      </c>
      <c r="G1995" s="68">
        <v>1349</v>
      </c>
    </row>
    <row r="1996" spans="1:7" x14ac:dyDescent="0.3">
      <c r="A1996" t="s">
        <v>759</v>
      </c>
      <c r="B1996" t="s">
        <v>37</v>
      </c>
      <c r="C1996" t="s">
        <v>24</v>
      </c>
      <c r="D1996" t="s">
        <v>22</v>
      </c>
      <c r="E1996" s="68">
        <v>510</v>
      </c>
      <c r="F1996" s="68">
        <v>391</v>
      </c>
      <c r="G1996" s="68">
        <v>901</v>
      </c>
    </row>
    <row r="1997" spans="1:7" x14ac:dyDescent="0.3">
      <c r="A1997" t="s">
        <v>759</v>
      </c>
      <c r="B1997" t="s">
        <v>37</v>
      </c>
      <c r="C1997" t="s">
        <v>24</v>
      </c>
      <c r="D1997" t="s">
        <v>23</v>
      </c>
      <c r="E1997" s="68">
        <v>741</v>
      </c>
      <c r="F1997" s="68">
        <v>419</v>
      </c>
      <c r="G1997" s="68">
        <v>1160</v>
      </c>
    </row>
    <row r="1998" spans="1:7" x14ac:dyDescent="0.3">
      <c r="A1998" t="s">
        <v>759</v>
      </c>
      <c r="B1998" t="s">
        <v>35</v>
      </c>
      <c r="C1998" t="s">
        <v>6</v>
      </c>
      <c r="D1998" t="s">
        <v>9</v>
      </c>
      <c r="E1998" s="68"/>
      <c r="F1998" s="68">
        <v>1</v>
      </c>
      <c r="G1998" s="68">
        <v>1</v>
      </c>
    </row>
    <row r="1999" spans="1:7" x14ac:dyDescent="0.3">
      <c r="A1999" t="s">
        <v>759</v>
      </c>
      <c r="B1999" t="s">
        <v>35</v>
      </c>
      <c r="C1999" t="s">
        <v>6</v>
      </c>
      <c r="D1999" t="s">
        <v>10</v>
      </c>
      <c r="E1999" s="68">
        <v>1</v>
      </c>
      <c r="F1999" s="68">
        <v>1</v>
      </c>
      <c r="G1999" s="68">
        <v>2</v>
      </c>
    </row>
    <row r="2000" spans="1:7" x14ac:dyDescent="0.3">
      <c r="A2000" t="s">
        <v>759</v>
      </c>
      <c r="B2000" t="s">
        <v>35</v>
      </c>
      <c r="C2000" t="s">
        <v>6</v>
      </c>
      <c r="D2000" t="s">
        <v>11</v>
      </c>
      <c r="E2000" s="68">
        <v>1</v>
      </c>
      <c r="F2000" s="68">
        <v>1</v>
      </c>
      <c r="G2000" s="68">
        <v>2</v>
      </c>
    </row>
    <row r="2001" spans="1:7" x14ac:dyDescent="0.3">
      <c r="A2001" t="s">
        <v>759</v>
      </c>
      <c r="B2001" t="s">
        <v>35</v>
      </c>
      <c r="C2001" t="s">
        <v>6</v>
      </c>
      <c r="D2001" t="s">
        <v>17</v>
      </c>
      <c r="E2001" s="68">
        <v>2</v>
      </c>
      <c r="F2001" s="68"/>
      <c r="G2001" s="68">
        <v>2</v>
      </c>
    </row>
    <row r="2002" spans="1:7" x14ac:dyDescent="0.3">
      <c r="A2002" t="s">
        <v>759</v>
      </c>
      <c r="B2002" t="s">
        <v>35</v>
      </c>
      <c r="C2002" t="s">
        <v>6</v>
      </c>
      <c r="D2002" t="s">
        <v>18</v>
      </c>
      <c r="E2002" s="68">
        <v>6</v>
      </c>
      <c r="F2002" s="68">
        <v>3</v>
      </c>
      <c r="G2002" s="68">
        <v>9</v>
      </c>
    </row>
    <row r="2003" spans="1:7" x14ac:dyDescent="0.3">
      <c r="A2003" t="s">
        <v>759</v>
      </c>
      <c r="B2003" t="s">
        <v>35</v>
      </c>
      <c r="C2003" t="s">
        <v>6</v>
      </c>
      <c r="D2003" t="s">
        <v>19</v>
      </c>
      <c r="E2003" s="68">
        <v>12</v>
      </c>
      <c r="F2003" s="68">
        <v>3</v>
      </c>
      <c r="G2003" s="68">
        <v>15</v>
      </c>
    </row>
    <row r="2004" spans="1:7" x14ac:dyDescent="0.3">
      <c r="A2004" t="s">
        <v>759</v>
      </c>
      <c r="B2004" t="s">
        <v>35</v>
      </c>
      <c r="C2004" t="s">
        <v>6</v>
      </c>
      <c r="D2004" t="s">
        <v>20</v>
      </c>
      <c r="E2004" s="68">
        <v>19</v>
      </c>
      <c r="F2004" s="68">
        <v>7</v>
      </c>
      <c r="G2004" s="68">
        <v>26</v>
      </c>
    </row>
    <row r="2005" spans="1:7" x14ac:dyDescent="0.3">
      <c r="A2005" t="s">
        <v>759</v>
      </c>
      <c r="B2005" t="s">
        <v>35</v>
      </c>
      <c r="C2005" t="s">
        <v>6</v>
      </c>
      <c r="D2005" t="s">
        <v>21</v>
      </c>
      <c r="E2005" s="68">
        <v>18</v>
      </c>
      <c r="F2005" s="68">
        <v>23</v>
      </c>
      <c r="G2005" s="68">
        <v>41</v>
      </c>
    </row>
    <row r="2006" spans="1:7" x14ac:dyDescent="0.3">
      <c r="A2006" t="s">
        <v>759</v>
      </c>
      <c r="B2006" t="s">
        <v>35</v>
      </c>
      <c r="C2006" t="s">
        <v>6</v>
      </c>
      <c r="D2006" t="s">
        <v>22</v>
      </c>
      <c r="E2006" s="68">
        <v>17</v>
      </c>
      <c r="F2006" s="68">
        <v>14</v>
      </c>
      <c r="G2006" s="68">
        <v>31</v>
      </c>
    </row>
    <row r="2007" spans="1:7" x14ac:dyDescent="0.3">
      <c r="A2007" t="s">
        <v>759</v>
      </c>
      <c r="B2007" t="s">
        <v>35</v>
      </c>
      <c r="C2007" t="s">
        <v>6</v>
      </c>
      <c r="D2007" t="s">
        <v>23</v>
      </c>
      <c r="E2007" s="68">
        <v>59</v>
      </c>
      <c r="F2007" s="68">
        <v>39</v>
      </c>
      <c r="G2007" s="68">
        <v>98</v>
      </c>
    </row>
    <row r="2008" spans="1:7" x14ac:dyDescent="0.3">
      <c r="A2008" t="s">
        <v>759</v>
      </c>
      <c r="B2008" t="s">
        <v>26</v>
      </c>
      <c r="C2008" t="s">
        <v>6</v>
      </c>
      <c r="D2008" t="s">
        <v>7</v>
      </c>
      <c r="E2008" s="68">
        <v>4158</v>
      </c>
      <c r="F2008" s="68">
        <v>4393</v>
      </c>
      <c r="G2008" s="68">
        <v>8551</v>
      </c>
    </row>
    <row r="2009" spans="1:7" x14ac:dyDescent="0.3">
      <c r="A2009" t="s">
        <v>759</v>
      </c>
      <c r="B2009" t="s">
        <v>26</v>
      </c>
      <c r="C2009" t="s">
        <v>6</v>
      </c>
      <c r="D2009" t="s">
        <v>8</v>
      </c>
      <c r="E2009" s="68">
        <v>5733</v>
      </c>
      <c r="F2009" s="68">
        <v>6033</v>
      </c>
      <c r="G2009" s="68">
        <v>11766</v>
      </c>
    </row>
    <row r="2010" spans="1:7" x14ac:dyDescent="0.3">
      <c r="A2010" t="s">
        <v>759</v>
      </c>
      <c r="B2010" t="s">
        <v>26</v>
      </c>
      <c r="C2010" t="s">
        <v>6</v>
      </c>
      <c r="D2010" t="s">
        <v>9</v>
      </c>
      <c r="E2010" s="68">
        <v>6309</v>
      </c>
      <c r="F2010" s="68">
        <v>6786</v>
      </c>
      <c r="G2010" s="68">
        <v>13095</v>
      </c>
    </row>
    <row r="2011" spans="1:7" x14ac:dyDescent="0.3">
      <c r="A2011" t="s">
        <v>759</v>
      </c>
      <c r="B2011" t="s">
        <v>26</v>
      </c>
      <c r="C2011" t="s">
        <v>6</v>
      </c>
      <c r="D2011" t="s">
        <v>10</v>
      </c>
      <c r="E2011" s="68">
        <v>7042</v>
      </c>
      <c r="F2011" s="68">
        <v>7287</v>
      </c>
      <c r="G2011" s="68">
        <v>14329</v>
      </c>
    </row>
    <row r="2012" spans="1:7" x14ac:dyDescent="0.3">
      <c r="A2012" t="s">
        <v>759</v>
      </c>
      <c r="B2012" t="s">
        <v>26</v>
      </c>
      <c r="C2012" t="s">
        <v>6</v>
      </c>
      <c r="D2012" t="s">
        <v>11</v>
      </c>
      <c r="E2012" s="68">
        <v>8478</v>
      </c>
      <c r="F2012" s="68">
        <v>10493</v>
      </c>
      <c r="G2012" s="68">
        <v>18971</v>
      </c>
    </row>
    <row r="2013" spans="1:7" x14ac:dyDescent="0.3">
      <c r="A2013" t="s">
        <v>759</v>
      </c>
      <c r="B2013" t="s">
        <v>26</v>
      </c>
      <c r="C2013" t="s">
        <v>6</v>
      </c>
      <c r="D2013" t="s">
        <v>12</v>
      </c>
      <c r="E2013" s="68">
        <v>9334</v>
      </c>
      <c r="F2013" s="68">
        <v>11556</v>
      </c>
      <c r="G2013" s="68">
        <v>20890</v>
      </c>
    </row>
    <row r="2014" spans="1:7" x14ac:dyDescent="0.3">
      <c r="A2014" t="s">
        <v>759</v>
      </c>
      <c r="B2014" t="s">
        <v>26</v>
      </c>
      <c r="C2014" t="s">
        <v>6</v>
      </c>
      <c r="D2014" t="s">
        <v>13</v>
      </c>
      <c r="E2014" s="68">
        <v>9077</v>
      </c>
      <c r="F2014" s="68">
        <v>10877</v>
      </c>
      <c r="G2014" s="68">
        <v>19954</v>
      </c>
    </row>
    <row r="2015" spans="1:7" x14ac:dyDescent="0.3">
      <c r="A2015" t="s">
        <v>759</v>
      </c>
      <c r="B2015" t="s">
        <v>26</v>
      </c>
      <c r="C2015" t="s">
        <v>6</v>
      </c>
      <c r="D2015" t="s">
        <v>14</v>
      </c>
      <c r="E2015" s="68">
        <v>7544</v>
      </c>
      <c r="F2015" s="68">
        <v>9118</v>
      </c>
      <c r="G2015" s="68">
        <v>16662</v>
      </c>
    </row>
    <row r="2016" spans="1:7" x14ac:dyDescent="0.3">
      <c r="A2016" t="s">
        <v>759</v>
      </c>
      <c r="B2016" t="s">
        <v>26</v>
      </c>
      <c r="C2016" t="s">
        <v>6</v>
      </c>
      <c r="D2016" t="s">
        <v>15</v>
      </c>
      <c r="E2016" s="68">
        <v>6903</v>
      </c>
      <c r="F2016" s="68">
        <v>7936</v>
      </c>
      <c r="G2016" s="68">
        <v>14839</v>
      </c>
    </row>
    <row r="2017" spans="1:7" x14ac:dyDescent="0.3">
      <c r="A2017" t="s">
        <v>759</v>
      </c>
      <c r="B2017" t="s">
        <v>26</v>
      </c>
      <c r="C2017" t="s">
        <v>6</v>
      </c>
      <c r="D2017" t="s">
        <v>16</v>
      </c>
      <c r="E2017" s="68">
        <v>6147</v>
      </c>
      <c r="F2017" s="68">
        <v>7155</v>
      </c>
      <c r="G2017" s="68">
        <v>13302</v>
      </c>
    </row>
    <row r="2018" spans="1:7" x14ac:dyDescent="0.3">
      <c r="A2018" t="s">
        <v>759</v>
      </c>
      <c r="B2018" t="s">
        <v>26</v>
      </c>
      <c r="C2018" t="s">
        <v>6</v>
      </c>
      <c r="D2018" t="s">
        <v>17</v>
      </c>
      <c r="E2018" s="68">
        <v>5660</v>
      </c>
      <c r="F2018" s="68">
        <v>6299</v>
      </c>
      <c r="G2018" s="68">
        <v>11959</v>
      </c>
    </row>
    <row r="2019" spans="1:7" x14ac:dyDescent="0.3">
      <c r="A2019" t="s">
        <v>759</v>
      </c>
      <c r="B2019" t="s">
        <v>26</v>
      </c>
      <c r="C2019" t="s">
        <v>6</v>
      </c>
      <c r="D2019" t="s">
        <v>18</v>
      </c>
      <c r="E2019" s="68">
        <v>5756</v>
      </c>
      <c r="F2019" s="68">
        <v>5827</v>
      </c>
      <c r="G2019" s="68">
        <v>11583</v>
      </c>
    </row>
    <row r="2020" spans="1:7" x14ac:dyDescent="0.3">
      <c r="A2020" t="s">
        <v>759</v>
      </c>
      <c r="B2020" t="s">
        <v>26</v>
      </c>
      <c r="C2020" t="s">
        <v>6</v>
      </c>
      <c r="D2020" t="s">
        <v>19</v>
      </c>
      <c r="E2020" s="68">
        <v>5648</v>
      </c>
      <c r="F2020" s="68">
        <v>5456</v>
      </c>
      <c r="G2020" s="68">
        <v>11104</v>
      </c>
    </row>
    <row r="2021" spans="1:7" x14ac:dyDescent="0.3">
      <c r="A2021" t="s">
        <v>759</v>
      </c>
      <c r="B2021" t="s">
        <v>26</v>
      </c>
      <c r="C2021" t="s">
        <v>6</v>
      </c>
      <c r="D2021" t="s">
        <v>20</v>
      </c>
      <c r="E2021" s="68">
        <v>5108</v>
      </c>
      <c r="F2021" s="68">
        <v>4582</v>
      </c>
      <c r="G2021" s="68">
        <v>9690</v>
      </c>
    </row>
    <row r="2022" spans="1:7" x14ac:dyDescent="0.3">
      <c r="A2022" t="s">
        <v>759</v>
      </c>
      <c r="B2022" t="s">
        <v>26</v>
      </c>
      <c r="C2022" t="s">
        <v>6</v>
      </c>
      <c r="D2022" t="s">
        <v>21</v>
      </c>
      <c r="E2022" s="68">
        <v>4171</v>
      </c>
      <c r="F2022" s="68">
        <v>3689</v>
      </c>
      <c r="G2022" s="68">
        <v>7860</v>
      </c>
    </row>
    <row r="2023" spans="1:7" x14ac:dyDescent="0.3">
      <c r="A2023" t="s">
        <v>759</v>
      </c>
      <c r="B2023" t="s">
        <v>26</v>
      </c>
      <c r="C2023" t="s">
        <v>6</v>
      </c>
      <c r="D2023" t="s">
        <v>22</v>
      </c>
      <c r="E2023" s="68">
        <v>3152</v>
      </c>
      <c r="F2023" s="68">
        <v>2624</v>
      </c>
      <c r="G2023" s="68">
        <v>5776</v>
      </c>
    </row>
    <row r="2024" spans="1:7" x14ac:dyDescent="0.3">
      <c r="A2024" t="s">
        <v>759</v>
      </c>
      <c r="B2024" t="s">
        <v>26</v>
      </c>
      <c r="C2024" t="s">
        <v>6</v>
      </c>
      <c r="D2024" t="s">
        <v>23</v>
      </c>
      <c r="E2024" s="68">
        <v>4643</v>
      </c>
      <c r="F2024" s="68">
        <v>3052</v>
      </c>
      <c r="G2024" s="68">
        <v>7695</v>
      </c>
    </row>
    <row r="2025" spans="1:7" x14ac:dyDescent="0.3">
      <c r="A2025" t="s">
        <v>759</v>
      </c>
      <c r="B2025" t="s">
        <v>26</v>
      </c>
      <c r="C2025" t="s">
        <v>24</v>
      </c>
      <c r="D2025" t="s">
        <v>7</v>
      </c>
      <c r="E2025" s="68">
        <v>10781</v>
      </c>
      <c r="F2025" s="68">
        <v>10728</v>
      </c>
      <c r="G2025" s="68">
        <v>21509</v>
      </c>
    </row>
    <row r="2026" spans="1:7" x14ac:dyDescent="0.3">
      <c r="A2026" t="s">
        <v>759</v>
      </c>
      <c r="B2026" t="s">
        <v>26</v>
      </c>
      <c r="C2026" t="s">
        <v>24</v>
      </c>
      <c r="D2026" t="s">
        <v>8</v>
      </c>
      <c r="E2026" s="68">
        <v>12939</v>
      </c>
      <c r="F2026" s="68">
        <v>13465</v>
      </c>
      <c r="G2026" s="68">
        <v>26404</v>
      </c>
    </row>
    <row r="2027" spans="1:7" x14ac:dyDescent="0.3">
      <c r="A2027" t="s">
        <v>759</v>
      </c>
      <c r="B2027" t="s">
        <v>26</v>
      </c>
      <c r="C2027" t="s">
        <v>24</v>
      </c>
      <c r="D2027" t="s">
        <v>9</v>
      </c>
      <c r="E2027" s="68">
        <v>13894</v>
      </c>
      <c r="F2027" s="68">
        <v>14478</v>
      </c>
      <c r="G2027" s="68">
        <v>28372</v>
      </c>
    </row>
    <row r="2028" spans="1:7" x14ac:dyDescent="0.3">
      <c r="A2028" t="s">
        <v>759</v>
      </c>
      <c r="B2028" t="s">
        <v>26</v>
      </c>
      <c r="C2028" t="s">
        <v>24</v>
      </c>
      <c r="D2028" t="s">
        <v>10</v>
      </c>
      <c r="E2028" s="68">
        <v>15484</v>
      </c>
      <c r="F2028" s="68">
        <v>15591</v>
      </c>
      <c r="G2028" s="68">
        <v>31075</v>
      </c>
    </row>
    <row r="2029" spans="1:7" x14ac:dyDescent="0.3">
      <c r="A2029" t="s">
        <v>759</v>
      </c>
      <c r="B2029" t="s">
        <v>26</v>
      </c>
      <c r="C2029" t="s">
        <v>24</v>
      </c>
      <c r="D2029" t="s">
        <v>11</v>
      </c>
      <c r="E2029" s="68">
        <v>15743</v>
      </c>
      <c r="F2029" s="68">
        <v>14099</v>
      </c>
      <c r="G2029" s="68">
        <v>29842</v>
      </c>
    </row>
    <row r="2030" spans="1:7" x14ac:dyDescent="0.3">
      <c r="A2030" t="s">
        <v>759</v>
      </c>
      <c r="B2030" t="s">
        <v>26</v>
      </c>
      <c r="C2030" t="s">
        <v>24</v>
      </c>
      <c r="D2030" t="s">
        <v>12</v>
      </c>
      <c r="E2030" s="68">
        <v>15903</v>
      </c>
      <c r="F2030" s="68">
        <v>14248</v>
      </c>
      <c r="G2030" s="68">
        <v>30151</v>
      </c>
    </row>
    <row r="2031" spans="1:7" x14ac:dyDescent="0.3">
      <c r="A2031" t="s">
        <v>759</v>
      </c>
      <c r="B2031" t="s">
        <v>26</v>
      </c>
      <c r="C2031" t="s">
        <v>24</v>
      </c>
      <c r="D2031" t="s">
        <v>13</v>
      </c>
      <c r="E2031" s="68">
        <v>14139</v>
      </c>
      <c r="F2031" s="68">
        <v>12910</v>
      </c>
      <c r="G2031" s="68">
        <v>27049</v>
      </c>
    </row>
    <row r="2032" spans="1:7" x14ac:dyDescent="0.3">
      <c r="A2032" t="s">
        <v>759</v>
      </c>
      <c r="B2032" t="s">
        <v>26</v>
      </c>
      <c r="C2032" t="s">
        <v>24</v>
      </c>
      <c r="D2032" t="s">
        <v>14</v>
      </c>
      <c r="E2032" s="68">
        <v>12936</v>
      </c>
      <c r="F2032" s="68">
        <v>11831</v>
      </c>
      <c r="G2032" s="68">
        <v>24767</v>
      </c>
    </row>
    <row r="2033" spans="1:7" x14ac:dyDescent="0.3">
      <c r="A2033" t="s">
        <v>759</v>
      </c>
      <c r="B2033" t="s">
        <v>26</v>
      </c>
      <c r="C2033" t="s">
        <v>24</v>
      </c>
      <c r="D2033" t="s">
        <v>15</v>
      </c>
      <c r="E2033" s="68">
        <v>13162</v>
      </c>
      <c r="F2033" s="68">
        <v>11710</v>
      </c>
      <c r="G2033" s="68">
        <v>24872</v>
      </c>
    </row>
    <row r="2034" spans="1:7" x14ac:dyDescent="0.3">
      <c r="A2034" t="s">
        <v>759</v>
      </c>
      <c r="B2034" t="s">
        <v>26</v>
      </c>
      <c r="C2034" t="s">
        <v>24</v>
      </c>
      <c r="D2034" t="s">
        <v>16</v>
      </c>
      <c r="E2034" s="68">
        <v>13299</v>
      </c>
      <c r="F2034" s="68">
        <v>12614</v>
      </c>
      <c r="G2034" s="68">
        <v>25913</v>
      </c>
    </row>
    <row r="2035" spans="1:7" x14ac:dyDescent="0.3">
      <c r="A2035" t="s">
        <v>759</v>
      </c>
      <c r="B2035" t="s">
        <v>26</v>
      </c>
      <c r="C2035" t="s">
        <v>24</v>
      </c>
      <c r="D2035" t="s">
        <v>17</v>
      </c>
      <c r="E2035" s="68">
        <v>13886</v>
      </c>
      <c r="F2035" s="68">
        <v>13221</v>
      </c>
      <c r="G2035" s="68">
        <v>27107</v>
      </c>
    </row>
    <row r="2036" spans="1:7" x14ac:dyDescent="0.3">
      <c r="A2036" t="s">
        <v>759</v>
      </c>
      <c r="B2036" t="s">
        <v>26</v>
      </c>
      <c r="C2036" t="s">
        <v>24</v>
      </c>
      <c r="D2036" t="s">
        <v>18</v>
      </c>
      <c r="E2036" s="68">
        <v>13658</v>
      </c>
      <c r="F2036" s="68">
        <v>13031</v>
      </c>
      <c r="G2036" s="68">
        <v>26689</v>
      </c>
    </row>
    <row r="2037" spans="1:7" x14ac:dyDescent="0.3">
      <c r="A2037" t="s">
        <v>759</v>
      </c>
      <c r="B2037" t="s">
        <v>26</v>
      </c>
      <c r="C2037" t="s">
        <v>24</v>
      </c>
      <c r="D2037" t="s">
        <v>19</v>
      </c>
      <c r="E2037" s="68">
        <v>12164</v>
      </c>
      <c r="F2037" s="68">
        <v>11839</v>
      </c>
      <c r="G2037" s="68">
        <v>24003</v>
      </c>
    </row>
    <row r="2038" spans="1:7" x14ac:dyDescent="0.3">
      <c r="A2038" t="s">
        <v>759</v>
      </c>
      <c r="B2038" t="s">
        <v>26</v>
      </c>
      <c r="C2038" t="s">
        <v>24</v>
      </c>
      <c r="D2038" t="s">
        <v>20</v>
      </c>
      <c r="E2038" s="68">
        <v>9806</v>
      </c>
      <c r="F2038" s="68">
        <v>9745</v>
      </c>
      <c r="G2038" s="68">
        <v>19551</v>
      </c>
    </row>
    <row r="2039" spans="1:7" x14ac:dyDescent="0.3">
      <c r="A2039" t="s">
        <v>759</v>
      </c>
      <c r="B2039" t="s">
        <v>26</v>
      </c>
      <c r="C2039" t="s">
        <v>24</v>
      </c>
      <c r="D2039" t="s">
        <v>21</v>
      </c>
      <c r="E2039" s="68">
        <v>8026</v>
      </c>
      <c r="F2039" s="68">
        <v>7390</v>
      </c>
      <c r="G2039" s="68">
        <v>15416</v>
      </c>
    </row>
    <row r="2040" spans="1:7" x14ac:dyDescent="0.3">
      <c r="A2040" t="s">
        <v>759</v>
      </c>
      <c r="B2040" t="s">
        <v>26</v>
      </c>
      <c r="C2040" t="s">
        <v>24</v>
      </c>
      <c r="D2040" t="s">
        <v>22</v>
      </c>
      <c r="E2040" s="68">
        <v>6360</v>
      </c>
      <c r="F2040" s="68">
        <v>5284</v>
      </c>
      <c r="G2040" s="68">
        <v>11644</v>
      </c>
    </row>
    <row r="2041" spans="1:7" x14ac:dyDescent="0.3">
      <c r="A2041" t="s">
        <v>759</v>
      </c>
      <c r="B2041" t="s">
        <v>26</v>
      </c>
      <c r="C2041" t="s">
        <v>24</v>
      </c>
      <c r="D2041" t="s">
        <v>23</v>
      </c>
      <c r="E2041" s="68">
        <v>9594</v>
      </c>
      <c r="F2041" s="68">
        <v>6161</v>
      </c>
      <c r="G2041" s="68">
        <v>15755</v>
      </c>
    </row>
    <row r="2042" spans="1:7" x14ac:dyDescent="0.3">
      <c r="A2042" t="s">
        <v>759</v>
      </c>
      <c r="B2042" t="s">
        <v>27</v>
      </c>
      <c r="C2042" t="s">
        <v>28</v>
      </c>
      <c r="D2042" t="s">
        <v>7</v>
      </c>
      <c r="E2042" s="68">
        <v>342</v>
      </c>
      <c r="F2042" s="68">
        <v>355</v>
      </c>
      <c r="G2042" s="68">
        <v>697</v>
      </c>
    </row>
    <row r="2043" spans="1:7" x14ac:dyDescent="0.3">
      <c r="A2043" t="s">
        <v>759</v>
      </c>
      <c r="B2043" t="s">
        <v>27</v>
      </c>
      <c r="C2043" t="s">
        <v>28</v>
      </c>
      <c r="D2043" t="s">
        <v>8</v>
      </c>
      <c r="E2043" s="68">
        <v>547</v>
      </c>
      <c r="F2043" s="68">
        <v>546</v>
      </c>
      <c r="G2043" s="68">
        <v>1093</v>
      </c>
    </row>
    <row r="2044" spans="1:7" x14ac:dyDescent="0.3">
      <c r="A2044" t="s">
        <v>759</v>
      </c>
      <c r="B2044" t="s">
        <v>27</v>
      </c>
      <c r="C2044" t="s">
        <v>28</v>
      </c>
      <c r="D2044" t="s">
        <v>9</v>
      </c>
      <c r="E2044" s="68">
        <v>823</v>
      </c>
      <c r="F2044" s="68">
        <v>904</v>
      </c>
      <c r="G2044" s="68">
        <v>1727</v>
      </c>
    </row>
    <row r="2045" spans="1:7" x14ac:dyDescent="0.3">
      <c r="A2045" t="s">
        <v>759</v>
      </c>
      <c r="B2045" t="s">
        <v>27</v>
      </c>
      <c r="C2045" t="s">
        <v>28</v>
      </c>
      <c r="D2045" t="s">
        <v>10</v>
      </c>
      <c r="E2045" s="68">
        <v>1082</v>
      </c>
      <c r="F2045" s="68">
        <v>1107</v>
      </c>
      <c r="G2045" s="68">
        <v>2189</v>
      </c>
    </row>
    <row r="2046" spans="1:7" x14ac:dyDescent="0.3">
      <c r="A2046" t="s">
        <v>759</v>
      </c>
      <c r="B2046" t="s">
        <v>27</v>
      </c>
      <c r="C2046" t="s">
        <v>28</v>
      </c>
      <c r="D2046" t="s">
        <v>11</v>
      </c>
      <c r="E2046" s="68">
        <v>1001</v>
      </c>
      <c r="F2046" s="68">
        <v>1028</v>
      </c>
      <c r="G2046" s="68">
        <v>2029</v>
      </c>
    </row>
    <row r="2047" spans="1:7" x14ac:dyDescent="0.3">
      <c r="A2047" t="s">
        <v>759</v>
      </c>
      <c r="B2047" t="s">
        <v>27</v>
      </c>
      <c r="C2047" t="s">
        <v>28</v>
      </c>
      <c r="D2047" t="s">
        <v>12</v>
      </c>
      <c r="E2047" s="68">
        <v>420</v>
      </c>
      <c r="F2047" s="68">
        <v>308</v>
      </c>
      <c r="G2047" s="68">
        <v>728</v>
      </c>
    </row>
    <row r="2048" spans="1:7" x14ac:dyDescent="0.3">
      <c r="A2048" t="s">
        <v>759</v>
      </c>
      <c r="B2048" t="s">
        <v>27</v>
      </c>
      <c r="C2048" t="s">
        <v>28</v>
      </c>
      <c r="D2048" t="s">
        <v>13</v>
      </c>
      <c r="E2048" s="68">
        <v>649</v>
      </c>
      <c r="F2048" s="68">
        <v>368</v>
      </c>
      <c r="G2048" s="68">
        <v>1017</v>
      </c>
    </row>
    <row r="2049" spans="1:7" x14ac:dyDescent="0.3">
      <c r="A2049" t="s">
        <v>759</v>
      </c>
      <c r="B2049" t="s">
        <v>27</v>
      </c>
      <c r="C2049" t="s">
        <v>28</v>
      </c>
      <c r="D2049" t="s">
        <v>14</v>
      </c>
      <c r="E2049" s="68">
        <v>926</v>
      </c>
      <c r="F2049" s="68">
        <v>527</v>
      </c>
      <c r="G2049" s="68">
        <v>1453</v>
      </c>
    </row>
    <row r="2050" spans="1:7" x14ac:dyDescent="0.3">
      <c r="A2050" t="s">
        <v>759</v>
      </c>
      <c r="B2050" t="s">
        <v>27</v>
      </c>
      <c r="C2050" t="s">
        <v>28</v>
      </c>
      <c r="D2050" t="s">
        <v>15</v>
      </c>
      <c r="E2050" s="68">
        <v>1342</v>
      </c>
      <c r="F2050" s="68">
        <v>740</v>
      </c>
      <c r="G2050" s="68">
        <v>2082</v>
      </c>
    </row>
    <row r="2051" spans="1:7" x14ac:dyDescent="0.3">
      <c r="A2051" t="s">
        <v>759</v>
      </c>
      <c r="B2051" t="s">
        <v>27</v>
      </c>
      <c r="C2051" t="s">
        <v>28</v>
      </c>
      <c r="D2051" t="s">
        <v>16</v>
      </c>
      <c r="E2051" s="68">
        <v>1320</v>
      </c>
      <c r="F2051" s="68">
        <v>692</v>
      </c>
      <c r="G2051" s="68">
        <v>2012</v>
      </c>
    </row>
    <row r="2052" spans="1:7" x14ac:dyDescent="0.3">
      <c r="A2052" t="s">
        <v>759</v>
      </c>
      <c r="B2052" t="s">
        <v>27</v>
      </c>
      <c r="C2052" t="s">
        <v>28</v>
      </c>
      <c r="D2052" t="s">
        <v>17</v>
      </c>
      <c r="E2052" s="68">
        <v>1416</v>
      </c>
      <c r="F2052" s="68">
        <v>739</v>
      </c>
      <c r="G2052" s="68">
        <v>2155</v>
      </c>
    </row>
    <row r="2053" spans="1:7" x14ac:dyDescent="0.3">
      <c r="A2053" t="s">
        <v>759</v>
      </c>
      <c r="B2053" t="s">
        <v>27</v>
      </c>
      <c r="C2053" t="s">
        <v>28</v>
      </c>
      <c r="D2053" t="s">
        <v>18</v>
      </c>
      <c r="E2053" s="68">
        <v>1561</v>
      </c>
      <c r="F2053" s="68">
        <v>792</v>
      </c>
      <c r="G2053" s="68">
        <v>2353</v>
      </c>
    </row>
    <row r="2054" spans="1:7" x14ac:dyDescent="0.3">
      <c r="A2054" t="s">
        <v>759</v>
      </c>
      <c r="B2054" t="s">
        <v>27</v>
      </c>
      <c r="C2054" t="s">
        <v>28</v>
      </c>
      <c r="D2054" t="s">
        <v>19</v>
      </c>
      <c r="E2054" s="68">
        <v>1767</v>
      </c>
      <c r="F2054" s="68">
        <v>863</v>
      </c>
      <c r="G2054" s="68">
        <v>2630</v>
      </c>
    </row>
    <row r="2055" spans="1:7" x14ac:dyDescent="0.3">
      <c r="A2055" t="s">
        <v>759</v>
      </c>
      <c r="B2055" t="s">
        <v>27</v>
      </c>
      <c r="C2055" t="s">
        <v>28</v>
      </c>
      <c r="D2055" t="s">
        <v>20</v>
      </c>
      <c r="E2055" s="68">
        <v>1955</v>
      </c>
      <c r="F2055" s="68">
        <v>1031</v>
      </c>
      <c r="G2055" s="68">
        <v>2986</v>
      </c>
    </row>
    <row r="2056" spans="1:7" x14ac:dyDescent="0.3">
      <c r="A2056" t="s">
        <v>759</v>
      </c>
      <c r="B2056" t="s">
        <v>27</v>
      </c>
      <c r="C2056" t="s">
        <v>28</v>
      </c>
      <c r="D2056" t="s">
        <v>21</v>
      </c>
      <c r="E2056" s="68">
        <v>1853</v>
      </c>
      <c r="F2056" s="68">
        <v>1136</v>
      </c>
      <c r="G2056" s="68">
        <v>2989</v>
      </c>
    </row>
    <row r="2057" spans="1:7" x14ac:dyDescent="0.3">
      <c r="A2057" t="s">
        <v>759</v>
      </c>
      <c r="B2057" t="s">
        <v>27</v>
      </c>
      <c r="C2057" t="s">
        <v>28</v>
      </c>
      <c r="D2057" t="s">
        <v>22</v>
      </c>
      <c r="E2057" s="68">
        <v>1223</v>
      </c>
      <c r="F2057" s="68">
        <v>715</v>
      </c>
      <c r="G2057" s="68">
        <v>1938</v>
      </c>
    </row>
    <row r="2058" spans="1:7" x14ac:dyDescent="0.3">
      <c r="A2058" t="s">
        <v>759</v>
      </c>
      <c r="B2058" t="s">
        <v>27</v>
      </c>
      <c r="C2058" t="s">
        <v>28</v>
      </c>
      <c r="D2058" t="s">
        <v>23</v>
      </c>
      <c r="E2058" s="68">
        <v>888</v>
      </c>
      <c r="F2058" s="68">
        <v>501</v>
      </c>
      <c r="G2058" s="68">
        <v>1389</v>
      </c>
    </row>
    <row r="2059" spans="1:7" x14ac:dyDescent="0.3">
      <c r="A2059" t="s">
        <v>759</v>
      </c>
      <c r="B2059" t="s">
        <v>27</v>
      </c>
      <c r="C2059" t="s">
        <v>29</v>
      </c>
      <c r="D2059" t="s">
        <v>10</v>
      </c>
      <c r="E2059" s="68">
        <v>1</v>
      </c>
      <c r="F2059" s="68">
        <v>5</v>
      </c>
      <c r="G2059" s="68">
        <v>6</v>
      </c>
    </row>
    <row r="2060" spans="1:7" x14ac:dyDescent="0.3">
      <c r="A2060" t="s">
        <v>759</v>
      </c>
      <c r="B2060" t="s">
        <v>27</v>
      </c>
      <c r="C2060" t="s">
        <v>29</v>
      </c>
      <c r="D2060" t="s">
        <v>11</v>
      </c>
      <c r="E2060" s="68">
        <v>8</v>
      </c>
      <c r="F2060" s="68">
        <v>115</v>
      </c>
      <c r="G2060" s="68">
        <v>123</v>
      </c>
    </row>
    <row r="2061" spans="1:7" x14ac:dyDescent="0.3">
      <c r="A2061" t="s">
        <v>759</v>
      </c>
      <c r="B2061" t="s">
        <v>27</v>
      </c>
      <c r="C2061" t="s">
        <v>29</v>
      </c>
      <c r="D2061" t="s">
        <v>12</v>
      </c>
      <c r="E2061" s="68">
        <v>23</v>
      </c>
      <c r="F2061" s="68">
        <v>254</v>
      </c>
      <c r="G2061" s="68">
        <v>277</v>
      </c>
    </row>
    <row r="2062" spans="1:7" x14ac:dyDescent="0.3">
      <c r="A2062" t="s">
        <v>759</v>
      </c>
      <c r="B2062" t="s">
        <v>27</v>
      </c>
      <c r="C2062" t="s">
        <v>29</v>
      </c>
      <c r="D2062" t="s">
        <v>13</v>
      </c>
      <c r="E2062" s="68">
        <v>12</v>
      </c>
      <c r="F2062" s="68">
        <v>298</v>
      </c>
      <c r="G2062" s="68">
        <v>310</v>
      </c>
    </row>
    <row r="2063" spans="1:7" x14ac:dyDescent="0.3">
      <c r="A2063" t="s">
        <v>759</v>
      </c>
      <c r="B2063" t="s">
        <v>27</v>
      </c>
      <c r="C2063" t="s">
        <v>29</v>
      </c>
      <c r="D2063" t="s">
        <v>14</v>
      </c>
      <c r="E2063" s="68">
        <v>3</v>
      </c>
      <c r="F2063" s="68">
        <v>244</v>
      </c>
      <c r="G2063" s="68">
        <v>247</v>
      </c>
    </row>
    <row r="2064" spans="1:7" x14ac:dyDescent="0.3">
      <c r="A2064" t="s">
        <v>759</v>
      </c>
      <c r="B2064" t="s">
        <v>27</v>
      </c>
      <c r="C2064" t="s">
        <v>29</v>
      </c>
      <c r="D2064" t="s">
        <v>15</v>
      </c>
      <c r="E2064" s="68">
        <v>17</v>
      </c>
      <c r="F2064" s="68">
        <v>206</v>
      </c>
      <c r="G2064" s="68">
        <v>223</v>
      </c>
    </row>
    <row r="2065" spans="1:7" x14ac:dyDescent="0.3">
      <c r="A2065" t="s">
        <v>759</v>
      </c>
      <c r="B2065" t="s">
        <v>27</v>
      </c>
      <c r="C2065" t="s">
        <v>29</v>
      </c>
      <c r="D2065" t="s">
        <v>16</v>
      </c>
      <c r="E2065" s="68">
        <v>10</v>
      </c>
      <c r="F2065" s="68">
        <v>157</v>
      </c>
      <c r="G2065" s="68">
        <v>167</v>
      </c>
    </row>
    <row r="2066" spans="1:7" x14ac:dyDescent="0.3">
      <c r="A2066" t="s">
        <v>759</v>
      </c>
      <c r="B2066" t="s">
        <v>27</v>
      </c>
      <c r="C2066" t="s">
        <v>29</v>
      </c>
      <c r="D2066" t="s">
        <v>17</v>
      </c>
      <c r="E2066" s="68">
        <v>4</v>
      </c>
      <c r="F2066" s="68">
        <v>117</v>
      </c>
      <c r="G2066" s="68">
        <v>121</v>
      </c>
    </row>
    <row r="2067" spans="1:7" x14ac:dyDescent="0.3">
      <c r="A2067" t="s">
        <v>759</v>
      </c>
      <c r="B2067" t="s">
        <v>27</v>
      </c>
      <c r="C2067" t="s">
        <v>29</v>
      </c>
      <c r="D2067" t="s">
        <v>18</v>
      </c>
      <c r="E2067" s="68">
        <v>3</v>
      </c>
      <c r="F2067" s="68">
        <v>89</v>
      </c>
      <c r="G2067" s="68">
        <v>92</v>
      </c>
    </row>
    <row r="2068" spans="1:7" x14ac:dyDescent="0.3">
      <c r="A2068" t="s">
        <v>759</v>
      </c>
      <c r="B2068" t="s">
        <v>27</v>
      </c>
      <c r="C2068" t="s">
        <v>29</v>
      </c>
      <c r="D2068" t="s">
        <v>19</v>
      </c>
      <c r="E2068" s="68">
        <v>1</v>
      </c>
      <c r="F2068" s="68">
        <v>68</v>
      </c>
      <c r="G2068" s="68">
        <v>69</v>
      </c>
    </row>
    <row r="2069" spans="1:7" x14ac:dyDescent="0.3">
      <c r="A2069" t="s">
        <v>759</v>
      </c>
      <c r="B2069" t="s">
        <v>27</v>
      </c>
      <c r="C2069" t="s">
        <v>29</v>
      </c>
      <c r="D2069" t="s">
        <v>20</v>
      </c>
      <c r="E2069" s="68"/>
      <c r="F2069" s="68">
        <v>33</v>
      </c>
      <c r="G2069" s="68">
        <v>33</v>
      </c>
    </row>
    <row r="2070" spans="1:7" x14ac:dyDescent="0.3">
      <c r="A2070" t="s">
        <v>759</v>
      </c>
      <c r="B2070" t="s">
        <v>27</v>
      </c>
      <c r="C2070" t="s">
        <v>29</v>
      </c>
      <c r="D2070" t="s">
        <v>21</v>
      </c>
      <c r="E2070" s="68"/>
      <c r="F2070" s="68">
        <v>15</v>
      </c>
      <c r="G2070" s="68">
        <v>15</v>
      </c>
    </row>
    <row r="2071" spans="1:7" x14ac:dyDescent="0.3">
      <c r="A2071" t="s">
        <v>759</v>
      </c>
      <c r="B2071" t="s">
        <v>27</v>
      </c>
      <c r="C2071" t="s">
        <v>29</v>
      </c>
      <c r="D2071" t="s">
        <v>22</v>
      </c>
      <c r="E2071" s="68"/>
      <c r="F2071" s="68">
        <v>10</v>
      </c>
      <c r="G2071" s="68">
        <v>10</v>
      </c>
    </row>
    <row r="2072" spans="1:7" x14ac:dyDescent="0.3">
      <c r="A2072" t="s">
        <v>759</v>
      </c>
      <c r="B2072" t="s">
        <v>27</v>
      </c>
      <c r="C2072" t="s">
        <v>29</v>
      </c>
      <c r="D2072" t="s">
        <v>23</v>
      </c>
      <c r="E2072" s="68"/>
      <c r="F2072" s="68">
        <v>3</v>
      </c>
      <c r="G2072" s="68">
        <v>3</v>
      </c>
    </row>
    <row r="2073" spans="1:7" x14ac:dyDescent="0.3">
      <c r="A2073" t="s">
        <v>759</v>
      </c>
      <c r="B2073" t="s">
        <v>36</v>
      </c>
      <c r="C2073" t="s">
        <v>6</v>
      </c>
      <c r="D2073" t="s">
        <v>7</v>
      </c>
      <c r="E2073" s="68">
        <v>346</v>
      </c>
      <c r="F2073" s="68">
        <v>348</v>
      </c>
      <c r="G2073" s="68">
        <v>694</v>
      </c>
    </row>
    <row r="2074" spans="1:7" x14ac:dyDescent="0.3">
      <c r="A2074" t="s">
        <v>759</v>
      </c>
      <c r="B2074" t="s">
        <v>36</v>
      </c>
      <c r="C2074" t="s">
        <v>6</v>
      </c>
      <c r="D2074" t="s">
        <v>8</v>
      </c>
      <c r="E2074" s="68">
        <v>535</v>
      </c>
      <c r="F2074" s="68">
        <v>589</v>
      </c>
      <c r="G2074" s="68">
        <v>1124</v>
      </c>
    </row>
    <row r="2075" spans="1:7" x14ac:dyDescent="0.3">
      <c r="A2075" t="s">
        <v>759</v>
      </c>
      <c r="B2075" t="s">
        <v>36</v>
      </c>
      <c r="C2075" t="s">
        <v>6</v>
      </c>
      <c r="D2075" t="s">
        <v>9</v>
      </c>
      <c r="E2075" s="68">
        <v>763</v>
      </c>
      <c r="F2075" s="68">
        <v>805</v>
      </c>
      <c r="G2075" s="68">
        <v>1568</v>
      </c>
    </row>
    <row r="2076" spans="1:7" x14ac:dyDescent="0.3">
      <c r="A2076" t="s">
        <v>759</v>
      </c>
      <c r="B2076" t="s">
        <v>36</v>
      </c>
      <c r="C2076" t="s">
        <v>6</v>
      </c>
      <c r="D2076" t="s">
        <v>10</v>
      </c>
      <c r="E2076" s="68">
        <v>864</v>
      </c>
      <c r="F2076" s="68">
        <v>851</v>
      </c>
      <c r="G2076" s="68">
        <v>1715</v>
      </c>
    </row>
    <row r="2077" spans="1:7" x14ac:dyDescent="0.3">
      <c r="A2077" t="s">
        <v>759</v>
      </c>
      <c r="B2077" t="s">
        <v>36</v>
      </c>
      <c r="C2077" t="s">
        <v>6</v>
      </c>
      <c r="D2077" t="s">
        <v>11</v>
      </c>
      <c r="E2077" s="68">
        <v>825</v>
      </c>
      <c r="F2077" s="68">
        <v>979</v>
      </c>
      <c r="G2077" s="68">
        <v>1804</v>
      </c>
    </row>
    <row r="2078" spans="1:7" x14ac:dyDescent="0.3">
      <c r="A2078" t="s">
        <v>759</v>
      </c>
      <c r="B2078" t="s">
        <v>36</v>
      </c>
      <c r="C2078" t="s">
        <v>6</v>
      </c>
      <c r="D2078" t="s">
        <v>12</v>
      </c>
      <c r="E2078" s="68">
        <v>842</v>
      </c>
      <c r="F2078" s="68">
        <v>910</v>
      </c>
      <c r="G2078" s="68">
        <v>1752</v>
      </c>
    </row>
    <row r="2079" spans="1:7" x14ac:dyDescent="0.3">
      <c r="A2079" t="s">
        <v>759</v>
      </c>
      <c r="B2079" t="s">
        <v>36</v>
      </c>
      <c r="C2079" t="s">
        <v>6</v>
      </c>
      <c r="D2079" t="s">
        <v>13</v>
      </c>
      <c r="E2079" s="68">
        <v>900</v>
      </c>
      <c r="F2079" s="68">
        <v>936</v>
      </c>
      <c r="G2079" s="68">
        <v>1836</v>
      </c>
    </row>
    <row r="2080" spans="1:7" x14ac:dyDescent="0.3">
      <c r="A2080" t="s">
        <v>759</v>
      </c>
      <c r="B2080" t="s">
        <v>36</v>
      </c>
      <c r="C2080" t="s">
        <v>6</v>
      </c>
      <c r="D2080" t="s">
        <v>14</v>
      </c>
      <c r="E2080" s="68">
        <v>924</v>
      </c>
      <c r="F2080" s="68">
        <v>880</v>
      </c>
      <c r="G2080" s="68">
        <v>1804</v>
      </c>
    </row>
    <row r="2081" spans="1:7" x14ac:dyDescent="0.3">
      <c r="A2081" t="s">
        <v>759</v>
      </c>
      <c r="B2081" t="s">
        <v>36</v>
      </c>
      <c r="C2081" t="s">
        <v>6</v>
      </c>
      <c r="D2081" t="s">
        <v>15</v>
      </c>
      <c r="E2081" s="68">
        <v>1019</v>
      </c>
      <c r="F2081" s="68">
        <v>889</v>
      </c>
      <c r="G2081" s="68">
        <v>1908</v>
      </c>
    </row>
    <row r="2082" spans="1:7" x14ac:dyDescent="0.3">
      <c r="A2082" t="s">
        <v>759</v>
      </c>
      <c r="B2082" t="s">
        <v>36</v>
      </c>
      <c r="C2082" t="s">
        <v>6</v>
      </c>
      <c r="D2082" t="s">
        <v>16</v>
      </c>
      <c r="E2082" s="68">
        <v>960</v>
      </c>
      <c r="F2082" s="68">
        <v>894</v>
      </c>
      <c r="G2082" s="68">
        <v>1854</v>
      </c>
    </row>
    <row r="2083" spans="1:7" x14ac:dyDescent="0.3">
      <c r="A2083" t="s">
        <v>759</v>
      </c>
      <c r="B2083" t="s">
        <v>36</v>
      </c>
      <c r="C2083" t="s">
        <v>6</v>
      </c>
      <c r="D2083" t="s">
        <v>17</v>
      </c>
      <c r="E2083" s="68">
        <v>831</v>
      </c>
      <c r="F2083" s="68">
        <v>759</v>
      </c>
      <c r="G2083" s="68">
        <v>1590</v>
      </c>
    </row>
    <row r="2084" spans="1:7" x14ac:dyDescent="0.3">
      <c r="A2084" t="s">
        <v>759</v>
      </c>
      <c r="B2084" t="s">
        <v>36</v>
      </c>
      <c r="C2084" t="s">
        <v>6</v>
      </c>
      <c r="D2084" t="s">
        <v>18</v>
      </c>
      <c r="E2084" s="68">
        <v>807</v>
      </c>
      <c r="F2084" s="68">
        <v>700</v>
      </c>
      <c r="G2084" s="68">
        <v>1507</v>
      </c>
    </row>
    <row r="2085" spans="1:7" x14ac:dyDescent="0.3">
      <c r="A2085" t="s">
        <v>759</v>
      </c>
      <c r="B2085" t="s">
        <v>36</v>
      </c>
      <c r="C2085" t="s">
        <v>6</v>
      </c>
      <c r="D2085" t="s">
        <v>19</v>
      </c>
      <c r="E2085" s="68">
        <v>783</v>
      </c>
      <c r="F2085" s="68">
        <v>660</v>
      </c>
      <c r="G2085" s="68">
        <v>1443</v>
      </c>
    </row>
    <row r="2086" spans="1:7" x14ac:dyDescent="0.3">
      <c r="A2086" t="s">
        <v>759</v>
      </c>
      <c r="B2086" t="s">
        <v>36</v>
      </c>
      <c r="C2086" t="s">
        <v>6</v>
      </c>
      <c r="D2086" t="s">
        <v>20</v>
      </c>
      <c r="E2086" s="68">
        <v>660</v>
      </c>
      <c r="F2086" s="68">
        <v>679</v>
      </c>
      <c r="G2086" s="68">
        <v>1339</v>
      </c>
    </row>
    <row r="2087" spans="1:7" x14ac:dyDescent="0.3">
      <c r="A2087" t="s">
        <v>759</v>
      </c>
      <c r="B2087" t="s">
        <v>36</v>
      </c>
      <c r="C2087" t="s">
        <v>6</v>
      </c>
      <c r="D2087" t="s">
        <v>21</v>
      </c>
      <c r="E2087" s="68">
        <v>469</v>
      </c>
      <c r="F2087" s="68">
        <v>501</v>
      </c>
      <c r="G2087" s="68">
        <v>970</v>
      </c>
    </row>
    <row r="2088" spans="1:7" x14ac:dyDescent="0.3">
      <c r="A2088" t="s">
        <v>759</v>
      </c>
      <c r="B2088" t="s">
        <v>36</v>
      </c>
      <c r="C2088" t="s">
        <v>6</v>
      </c>
      <c r="D2088" t="s">
        <v>22</v>
      </c>
      <c r="E2088" s="68">
        <v>306</v>
      </c>
      <c r="F2088" s="68">
        <v>270</v>
      </c>
      <c r="G2088" s="68">
        <v>576</v>
      </c>
    </row>
    <row r="2089" spans="1:7" x14ac:dyDescent="0.3">
      <c r="A2089" t="s">
        <v>759</v>
      </c>
      <c r="B2089" t="s">
        <v>36</v>
      </c>
      <c r="C2089" t="s">
        <v>6</v>
      </c>
      <c r="D2089" t="s">
        <v>23</v>
      </c>
      <c r="E2089" s="68">
        <v>300</v>
      </c>
      <c r="F2089" s="68">
        <v>267</v>
      </c>
      <c r="G2089" s="68">
        <v>567</v>
      </c>
    </row>
    <row r="2090" spans="1:7" x14ac:dyDescent="0.3">
      <c r="A2090" t="s">
        <v>759</v>
      </c>
      <c r="B2090" t="s">
        <v>36</v>
      </c>
      <c r="C2090" t="s">
        <v>24</v>
      </c>
      <c r="D2090" t="s">
        <v>7</v>
      </c>
      <c r="E2090" s="68">
        <v>178</v>
      </c>
      <c r="F2090" s="68">
        <v>180</v>
      </c>
      <c r="G2090" s="68">
        <v>358</v>
      </c>
    </row>
    <row r="2091" spans="1:7" x14ac:dyDescent="0.3">
      <c r="A2091" t="s">
        <v>759</v>
      </c>
      <c r="B2091" t="s">
        <v>36</v>
      </c>
      <c r="C2091" t="s">
        <v>24</v>
      </c>
      <c r="D2091" t="s">
        <v>8</v>
      </c>
      <c r="E2091" s="68">
        <v>277</v>
      </c>
      <c r="F2091" s="68">
        <v>284</v>
      </c>
      <c r="G2091" s="68">
        <v>561</v>
      </c>
    </row>
    <row r="2092" spans="1:7" x14ac:dyDescent="0.3">
      <c r="A2092" t="s">
        <v>759</v>
      </c>
      <c r="B2092" t="s">
        <v>36</v>
      </c>
      <c r="C2092" t="s">
        <v>24</v>
      </c>
      <c r="D2092" t="s">
        <v>9</v>
      </c>
      <c r="E2092" s="68">
        <v>344</v>
      </c>
      <c r="F2092" s="68">
        <v>338</v>
      </c>
      <c r="G2092" s="68">
        <v>682</v>
      </c>
    </row>
    <row r="2093" spans="1:7" x14ac:dyDescent="0.3">
      <c r="A2093" t="s">
        <v>759</v>
      </c>
      <c r="B2093" t="s">
        <v>36</v>
      </c>
      <c r="C2093" t="s">
        <v>24</v>
      </c>
      <c r="D2093" t="s">
        <v>10</v>
      </c>
      <c r="E2093" s="68">
        <v>385</v>
      </c>
      <c r="F2093" s="68">
        <v>392</v>
      </c>
      <c r="G2093" s="68">
        <v>777</v>
      </c>
    </row>
    <row r="2094" spans="1:7" x14ac:dyDescent="0.3">
      <c r="A2094" t="s">
        <v>759</v>
      </c>
      <c r="B2094" t="s">
        <v>36</v>
      </c>
      <c r="C2094" t="s">
        <v>24</v>
      </c>
      <c r="D2094" t="s">
        <v>11</v>
      </c>
      <c r="E2094" s="68">
        <v>368</v>
      </c>
      <c r="F2094" s="68">
        <v>396</v>
      </c>
      <c r="G2094" s="68">
        <v>764</v>
      </c>
    </row>
    <row r="2095" spans="1:7" x14ac:dyDescent="0.3">
      <c r="A2095" t="s">
        <v>759</v>
      </c>
      <c r="B2095" t="s">
        <v>36</v>
      </c>
      <c r="C2095" t="s">
        <v>24</v>
      </c>
      <c r="D2095" t="s">
        <v>12</v>
      </c>
      <c r="E2095" s="68">
        <v>356</v>
      </c>
      <c r="F2095" s="68">
        <v>327</v>
      </c>
      <c r="G2095" s="68">
        <v>683</v>
      </c>
    </row>
    <row r="2096" spans="1:7" x14ac:dyDescent="0.3">
      <c r="A2096" t="s">
        <v>759</v>
      </c>
      <c r="B2096" t="s">
        <v>36</v>
      </c>
      <c r="C2096" t="s">
        <v>24</v>
      </c>
      <c r="D2096" t="s">
        <v>13</v>
      </c>
      <c r="E2096" s="68">
        <v>321</v>
      </c>
      <c r="F2096" s="68">
        <v>182</v>
      </c>
      <c r="G2096" s="68">
        <v>503</v>
      </c>
    </row>
    <row r="2097" spans="1:7" x14ac:dyDescent="0.3">
      <c r="A2097" t="s">
        <v>759</v>
      </c>
      <c r="B2097" t="s">
        <v>36</v>
      </c>
      <c r="C2097" t="s">
        <v>24</v>
      </c>
      <c r="D2097" t="s">
        <v>14</v>
      </c>
      <c r="E2097" s="68">
        <v>282</v>
      </c>
      <c r="F2097" s="68">
        <v>159</v>
      </c>
      <c r="G2097" s="68">
        <v>441</v>
      </c>
    </row>
    <row r="2098" spans="1:7" x14ac:dyDescent="0.3">
      <c r="A2098" t="s">
        <v>759</v>
      </c>
      <c r="B2098" t="s">
        <v>36</v>
      </c>
      <c r="C2098" t="s">
        <v>24</v>
      </c>
      <c r="D2098" t="s">
        <v>15</v>
      </c>
      <c r="E2098" s="68">
        <v>279</v>
      </c>
      <c r="F2098" s="68">
        <v>154</v>
      </c>
      <c r="G2098" s="68">
        <v>433</v>
      </c>
    </row>
    <row r="2099" spans="1:7" x14ac:dyDescent="0.3">
      <c r="A2099" t="s">
        <v>759</v>
      </c>
      <c r="B2099" t="s">
        <v>36</v>
      </c>
      <c r="C2099" t="s">
        <v>24</v>
      </c>
      <c r="D2099" t="s">
        <v>16</v>
      </c>
      <c r="E2099" s="68">
        <v>267</v>
      </c>
      <c r="F2099" s="68">
        <v>178</v>
      </c>
      <c r="G2099" s="68">
        <v>445</v>
      </c>
    </row>
    <row r="2100" spans="1:7" x14ac:dyDescent="0.3">
      <c r="A2100" t="s">
        <v>759</v>
      </c>
      <c r="B2100" t="s">
        <v>36</v>
      </c>
      <c r="C2100" t="s">
        <v>24</v>
      </c>
      <c r="D2100" t="s">
        <v>17</v>
      </c>
      <c r="E2100" s="68">
        <v>233</v>
      </c>
      <c r="F2100" s="68">
        <v>141</v>
      </c>
      <c r="G2100" s="68">
        <v>374</v>
      </c>
    </row>
    <row r="2101" spans="1:7" x14ac:dyDescent="0.3">
      <c r="A2101" t="s">
        <v>759</v>
      </c>
      <c r="B2101" t="s">
        <v>36</v>
      </c>
      <c r="C2101" t="s">
        <v>24</v>
      </c>
      <c r="D2101" t="s">
        <v>18</v>
      </c>
      <c r="E2101" s="68">
        <v>173</v>
      </c>
      <c r="F2101" s="68">
        <v>139</v>
      </c>
      <c r="G2101" s="68">
        <v>312</v>
      </c>
    </row>
    <row r="2102" spans="1:7" x14ac:dyDescent="0.3">
      <c r="A2102" t="s">
        <v>759</v>
      </c>
      <c r="B2102" t="s">
        <v>36</v>
      </c>
      <c r="C2102" t="s">
        <v>24</v>
      </c>
      <c r="D2102" t="s">
        <v>19</v>
      </c>
      <c r="E2102" s="68">
        <v>148</v>
      </c>
      <c r="F2102" s="68">
        <v>118</v>
      </c>
      <c r="G2102" s="68">
        <v>266</v>
      </c>
    </row>
    <row r="2103" spans="1:7" x14ac:dyDescent="0.3">
      <c r="A2103" t="s">
        <v>759</v>
      </c>
      <c r="B2103" t="s">
        <v>36</v>
      </c>
      <c r="C2103" t="s">
        <v>24</v>
      </c>
      <c r="D2103" t="s">
        <v>20</v>
      </c>
      <c r="E2103" s="68">
        <v>86</v>
      </c>
      <c r="F2103" s="68">
        <v>88</v>
      </c>
      <c r="G2103" s="68">
        <v>174</v>
      </c>
    </row>
    <row r="2104" spans="1:7" x14ac:dyDescent="0.3">
      <c r="A2104" t="s">
        <v>759</v>
      </c>
      <c r="B2104" t="s">
        <v>36</v>
      </c>
      <c r="C2104" t="s">
        <v>24</v>
      </c>
      <c r="D2104" t="s">
        <v>21</v>
      </c>
      <c r="E2104" s="68">
        <v>57</v>
      </c>
      <c r="F2104" s="68">
        <v>66</v>
      </c>
      <c r="G2104" s="68">
        <v>123</v>
      </c>
    </row>
    <row r="2105" spans="1:7" x14ac:dyDescent="0.3">
      <c r="A2105" t="s">
        <v>759</v>
      </c>
      <c r="B2105" t="s">
        <v>36</v>
      </c>
      <c r="C2105" t="s">
        <v>24</v>
      </c>
      <c r="D2105" t="s">
        <v>22</v>
      </c>
      <c r="E2105" s="68">
        <v>22</v>
      </c>
      <c r="F2105" s="68">
        <v>29</v>
      </c>
      <c r="G2105" s="68">
        <v>51</v>
      </c>
    </row>
    <row r="2106" spans="1:7" x14ac:dyDescent="0.3">
      <c r="A2106" t="s">
        <v>759</v>
      </c>
      <c r="B2106" t="s">
        <v>36</v>
      </c>
      <c r="C2106" t="s">
        <v>24</v>
      </c>
      <c r="D2106" t="s">
        <v>23</v>
      </c>
      <c r="E2106" s="68">
        <v>37</v>
      </c>
      <c r="F2106" s="68">
        <v>32</v>
      </c>
      <c r="G2106" s="68">
        <v>69</v>
      </c>
    </row>
    <row r="2107" spans="1:7" x14ac:dyDescent="0.3">
      <c r="A2107" t="s">
        <v>575</v>
      </c>
      <c r="B2107" t="s">
        <v>30</v>
      </c>
      <c r="C2107" t="s">
        <v>24</v>
      </c>
      <c r="D2107" t="s">
        <v>8</v>
      </c>
      <c r="E2107" s="68"/>
      <c r="F2107" s="68">
        <v>1</v>
      </c>
      <c r="G2107" s="68">
        <v>1</v>
      </c>
    </row>
    <row r="2108" spans="1:7" x14ac:dyDescent="0.3">
      <c r="A2108" t="s">
        <v>575</v>
      </c>
      <c r="B2108" t="s">
        <v>31</v>
      </c>
      <c r="C2108" t="s">
        <v>6</v>
      </c>
      <c r="D2108" t="s">
        <v>7</v>
      </c>
      <c r="E2108" s="68">
        <v>4</v>
      </c>
      <c r="F2108" s="68">
        <v>5</v>
      </c>
      <c r="G2108" s="68">
        <v>9</v>
      </c>
    </row>
    <row r="2109" spans="1:7" x14ac:dyDescent="0.3">
      <c r="A2109" t="s">
        <v>575</v>
      </c>
      <c r="B2109" t="s">
        <v>31</v>
      </c>
      <c r="C2109" t="s">
        <v>6</v>
      </c>
      <c r="D2109" t="s">
        <v>8</v>
      </c>
      <c r="E2109" s="68">
        <v>3</v>
      </c>
      <c r="F2109" s="68">
        <v>3</v>
      </c>
      <c r="G2109" s="68">
        <v>6</v>
      </c>
    </row>
    <row r="2110" spans="1:7" x14ac:dyDescent="0.3">
      <c r="A2110" t="s">
        <v>575</v>
      </c>
      <c r="B2110" t="s">
        <v>31</v>
      </c>
      <c r="C2110" t="s">
        <v>6</v>
      </c>
      <c r="D2110" t="s">
        <v>9</v>
      </c>
      <c r="E2110" s="68">
        <v>5</v>
      </c>
      <c r="F2110" s="68">
        <v>6</v>
      </c>
      <c r="G2110" s="68">
        <v>11</v>
      </c>
    </row>
    <row r="2111" spans="1:7" x14ac:dyDescent="0.3">
      <c r="A2111" t="s">
        <v>575</v>
      </c>
      <c r="B2111" t="s">
        <v>31</v>
      </c>
      <c r="C2111" t="s">
        <v>6</v>
      </c>
      <c r="D2111" t="s">
        <v>10</v>
      </c>
      <c r="E2111" s="68">
        <v>6</v>
      </c>
      <c r="F2111" s="68">
        <v>11</v>
      </c>
      <c r="G2111" s="68">
        <v>17</v>
      </c>
    </row>
    <row r="2112" spans="1:7" x14ac:dyDescent="0.3">
      <c r="A2112" t="s">
        <v>575</v>
      </c>
      <c r="B2112" t="s">
        <v>31</v>
      </c>
      <c r="C2112" t="s">
        <v>6</v>
      </c>
      <c r="D2112" t="s">
        <v>11</v>
      </c>
      <c r="E2112" s="68">
        <v>14</v>
      </c>
      <c r="F2112" s="68">
        <v>41</v>
      </c>
      <c r="G2112" s="68">
        <v>55</v>
      </c>
    </row>
    <row r="2113" spans="1:7" x14ac:dyDescent="0.3">
      <c r="A2113" t="s">
        <v>575</v>
      </c>
      <c r="B2113" t="s">
        <v>31</v>
      </c>
      <c r="C2113" t="s">
        <v>6</v>
      </c>
      <c r="D2113" t="s">
        <v>12</v>
      </c>
      <c r="E2113" s="68">
        <v>17</v>
      </c>
      <c r="F2113" s="68">
        <v>29</v>
      </c>
      <c r="G2113" s="68">
        <v>46</v>
      </c>
    </row>
    <row r="2114" spans="1:7" x14ac:dyDescent="0.3">
      <c r="A2114" t="s">
        <v>575</v>
      </c>
      <c r="B2114" t="s">
        <v>31</v>
      </c>
      <c r="C2114" t="s">
        <v>6</v>
      </c>
      <c r="D2114" t="s">
        <v>13</v>
      </c>
      <c r="E2114" s="68">
        <v>20</v>
      </c>
      <c r="F2114" s="68">
        <v>16</v>
      </c>
      <c r="G2114" s="68">
        <v>36</v>
      </c>
    </row>
    <row r="2115" spans="1:7" x14ac:dyDescent="0.3">
      <c r="A2115" t="s">
        <v>575</v>
      </c>
      <c r="B2115" t="s">
        <v>31</v>
      </c>
      <c r="C2115" t="s">
        <v>6</v>
      </c>
      <c r="D2115" t="s">
        <v>14</v>
      </c>
      <c r="E2115" s="68">
        <v>13</v>
      </c>
      <c r="F2115" s="68">
        <v>17</v>
      </c>
      <c r="G2115" s="68">
        <v>30</v>
      </c>
    </row>
    <row r="2116" spans="1:7" x14ac:dyDescent="0.3">
      <c r="A2116" t="s">
        <v>575</v>
      </c>
      <c r="B2116" t="s">
        <v>31</v>
      </c>
      <c r="C2116" t="s">
        <v>6</v>
      </c>
      <c r="D2116" t="s">
        <v>15</v>
      </c>
      <c r="E2116" s="68">
        <v>10</v>
      </c>
      <c r="F2116" s="68">
        <v>18</v>
      </c>
      <c r="G2116" s="68">
        <v>28</v>
      </c>
    </row>
    <row r="2117" spans="1:7" x14ac:dyDescent="0.3">
      <c r="A2117" t="s">
        <v>575</v>
      </c>
      <c r="B2117" t="s">
        <v>31</v>
      </c>
      <c r="C2117" t="s">
        <v>6</v>
      </c>
      <c r="D2117" t="s">
        <v>16</v>
      </c>
      <c r="E2117" s="68">
        <v>7</v>
      </c>
      <c r="F2117" s="68">
        <v>17</v>
      </c>
      <c r="G2117" s="68">
        <v>24</v>
      </c>
    </row>
    <row r="2118" spans="1:7" x14ac:dyDescent="0.3">
      <c r="A2118" t="s">
        <v>575</v>
      </c>
      <c r="B2118" t="s">
        <v>31</v>
      </c>
      <c r="C2118" t="s">
        <v>6</v>
      </c>
      <c r="D2118" t="s">
        <v>17</v>
      </c>
      <c r="E2118" s="68">
        <v>7</v>
      </c>
      <c r="F2118" s="68">
        <v>12</v>
      </c>
      <c r="G2118" s="68">
        <v>19</v>
      </c>
    </row>
    <row r="2119" spans="1:7" x14ac:dyDescent="0.3">
      <c r="A2119" t="s">
        <v>575</v>
      </c>
      <c r="B2119" t="s">
        <v>31</v>
      </c>
      <c r="C2119" t="s">
        <v>6</v>
      </c>
      <c r="D2119" t="s">
        <v>18</v>
      </c>
      <c r="E2119" s="68">
        <v>3</v>
      </c>
      <c r="F2119" s="68">
        <v>13</v>
      </c>
      <c r="G2119" s="68">
        <v>16</v>
      </c>
    </row>
    <row r="2120" spans="1:7" x14ac:dyDescent="0.3">
      <c r="A2120" t="s">
        <v>575</v>
      </c>
      <c r="B2120" t="s">
        <v>31</v>
      </c>
      <c r="C2120" t="s">
        <v>6</v>
      </c>
      <c r="D2120" t="s">
        <v>19</v>
      </c>
      <c r="E2120" s="68">
        <v>7</v>
      </c>
      <c r="F2120" s="68">
        <v>11</v>
      </c>
      <c r="G2120" s="68">
        <v>18</v>
      </c>
    </row>
    <row r="2121" spans="1:7" x14ac:dyDescent="0.3">
      <c r="A2121" t="s">
        <v>575</v>
      </c>
      <c r="B2121" t="s">
        <v>31</v>
      </c>
      <c r="C2121" t="s">
        <v>6</v>
      </c>
      <c r="D2121" t="s">
        <v>20</v>
      </c>
      <c r="E2121" s="68">
        <v>3</v>
      </c>
      <c r="F2121" s="68">
        <v>8</v>
      </c>
      <c r="G2121" s="68">
        <v>11</v>
      </c>
    </row>
    <row r="2122" spans="1:7" x14ac:dyDescent="0.3">
      <c r="A2122" t="s">
        <v>575</v>
      </c>
      <c r="B2122" t="s">
        <v>31</v>
      </c>
      <c r="C2122" t="s">
        <v>6</v>
      </c>
      <c r="D2122" t="s">
        <v>21</v>
      </c>
      <c r="E2122" s="68">
        <v>1</v>
      </c>
      <c r="F2122" s="68">
        <v>4</v>
      </c>
      <c r="G2122" s="68">
        <v>5</v>
      </c>
    </row>
    <row r="2123" spans="1:7" x14ac:dyDescent="0.3">
      <c r="A2123" t="s">
        <v>575</v>
      </c>
      <c r="B2123" t="s">
        <v>31</v>
      </c>
      <c r="C2123" t="s">
        <v>6</v>
      </c>
      <c r="D2123" t="s">
        <v>22</v>
      </c>
      <c r="E2123" s="68">
        <v>1</v>
      </c>
      <c r="F2123" s="68">
        <v>3</v>
      </c>
      <c r="G2123" s="68">
        <v>4</v>
      </c>
    </row>
    <row r="2124" spans="1:7" x14ac:dyDescent="0.3">
      <c r="A2124" t="s">
        <v>575</v>
      </c>
      <c r="B2124" t="s">
        <v>31</v>
      </c>
      <c r="C2124" t="s">
        <v>6</v>
      </c>
      <c r="D2124" t="s">
        <v>23</v>
      </c>
      <c r="E2124" s="68">
        <v>1</v>
      </c>
      <c r="F2124" s="68">
        <v>3</v>
      </c>
      <c r="G2124" s="68">
        <v>4</v>
      </c>
    </row>
    <row r="2125" spans="1:7" x14ac:dyDescent="0.3">
      <c r="A2125" t="s">
        <v>575</v>
      </c>
      <c r="B2125" t="s">
        <v>31</v>
      </c>
      <c r="C2125" t="s">
        <v>24</v>
      </c>
      <c r="D2125" t="s">
        <v>7</v>
      </c>
      <c r="E2125" s="68">
        <v>108</v>
      </c>
      <c r="F2125" s="68">
        <v>116</v>
      </c>
      <c r="G2125" s="68">
        <v>224</v>
      </c>
    </row>
    <row r="2126" spans="1:7" x14ac:dyDescent="0.3">
      <c r="A2126" t="s">
        <v>575</v>
      </c>
      <c r="B2126" t="s">
        <v>31</v>
      </c>
      <c r="C2126" t="s">
        <v>24</v>
      </c>
      <c r="D2126" t="s">
        <v>8</v>
      </c>
      <c r="E2126" s="68">
        <v>218</v>
      </c>
      <c r="F2126" s="68">
        <v>206</v>
      </c>
      <c r="G2126" s="68">
        <v>424</v>
      </c>
    </row>
    <row r="2127" spans="1:7" x14ac:dyDescent="0.3">
      <c r="A2127" t="s">
        <v>575</v>
      </c>
      <c r="B2127" t="s">
        <v>31</v>
      </c>
      <c r="C2127" t="s">
        <v>24</v>
      </c>
      <c r="D2127" t="s">
        <v>9</v>
      </c>
      <c r="E2127" s="68">
        <v>249</v>
      </c>
      <c r="F2127" s="68">
        <v>289</v>
      </c>
      <c r="G2127" s="68">
        <v>538</v>
      </c>
    </row>
    <row r="2128" spans="1:7" x14ac:dyDescent="0.3">
      <c r="A2128" t="s">
        <v>575</v>
      </c>
      <c r="B2128" t="s">
        <v>31</v>
      </c>
      <c r="C2128" t="s">
        <v>24</v>
      </c>
      <c r="D2128" t="s">
        <v>10</v>
      </c>
      <c r="E2128" s="68">
        <v>241</v>
      </c>
      <c r="F2128" s="68">
        <v>326</v>
      </c>
      <c r="G2128" s="68">
        <v>567</v>
      </c>
    </row>
    <row r="2129" spans="1:7" x14ac:dyDescent="0.3">
      <c r="A2129" t="s">
        <v>575</v>
      </c>
      <c r="B2129" t="s">
        <v>31</v>
      </c>
      <c r="C2129" t="s">
        <v>24</v>
      </c>
      <c r="D2129" t="s">
        <v>11</v>
      </c>
      <c r="E2129" s="68">
        <v>188</v>
      </c>
      <c r="F2129" s="68">
        <v>206</v>
      </c>
      <c r="G2129" s="68">
        <v>394</v>
      </c>
    </row>
    <row r="2130" spans="1:7" x14ac:dyDescent="0.3">
      <c r="A2130" t="s">
        <v>575</v>
      </c>
      <c r="B2130" t="s">
        <v>31</v>
      </c>
      <c r="C2130" t="s">
        <v>24</v>
      </c>
      <c r="D2130" t="s">
        <v>12</v>
      </c>
      <c r="E2130" s="68">
        <v>191</v>
      </c>
      <c r="F2130" s="68">
        <v>164</v>
      </c>
      <c r="G2130" s="68">
        <v>355</v>
      </c>
    </row>
    <row r="2131" spans="1:7" x14ac:dyDescent="0.3">
      <c r="A2131" t="s">
        <v>575</v>
      </c>
      <c r="B2131" t="s">
        <v>31</v>
      </c>
      <c r="C2131" t="s">
        <v>24</v>
      </c>
      <c r="D2131" t="s">
        <v>13</v>
      </c>
      <c r="E2131" s="68">
        <v>216</v>
      </c>
      <c r="F2131" s="68">
        <v>160</v>
      </c>
      <c r="G2131" s="68">
        <v>376</v>
      </c>
    </row>
    <row r="2132" spans="1:7" x14ac:dyDescent="0.3">
      <c r="A2132" t="s">
        <v>575</v>
      </c>
      <c r="B2132" t="s">
        <v>31</v>
      </c>
      <c r="C2132" t="s">
        <v>24</v>
      </c>
      <c r="D2132" t="s">
        <v>14</v>
      </c>
      <c r="E2132" s="68">
        <v>212</v>
      </c>
      <c r="F2132" s="68">
        <v>194</v>
      </c>
      <c r="G2132" s="68">
        <v>406</v>
      </c>
    </row>
    <row r="2133" spans="1:7" x14ac:dyDescent="0.3">
      <c r="A2133" t="s">
        <v>575</v>
      </c>
      <c r="B2133" t="s">
        <v>31</v>
      </c>
      <c r="C2133" t="s">
        <v>24</v>
      </c>
      <c r="D2133" t="s">
        <v>15</v>
      </c>
      <c r="E2133" s="68">
        <v>205</v>
      </c>
      <c r="F2133" s="68">
        <v>218</v>
      </c>
      <c r="G2133" s="68">
        <v>423</v>
      </c>
    </row>
    <row r="2134" spans="1:7" x14ac:dyDescent="0.3">
      <c r="A2134" t="s">
        <v>575</v>
      </c>
      <c r="B2134" t="s">
        <v>31</v>
      </c>
      <c r="C2134" t="s">
        <v>24</v>
      </c>
      <c r="D2134" t="s">
        <v>16</v>
      </c>
      <c r="E2134" s="68">
        <v>231</v>
      </c>
      <c r="F2134" s="68">
        <v>238</v>
      </c>
      <c r="G2134" s="68">
        <v>469</v>
      </c>
    </row>
    <row r="2135" spans="1:7" x14ac:dyDescent="0.3">
      <c r="A2135" t="s">
        <v>575</v>
      </c>
      <c r="B2135" t="s">
        <v>31</v>
      </c>
      <c r="C2135" t="s">
        <v>24</v>
      </c>
      <c r="D2135" t="s">
        <v>17</v>
      </c>
      <c r="E2135" s="68">
        <v>195</v>
      </c>
      <c r="F2135" s="68">
        <v>225</v>
      </c>
      <c r="G2135" s="68">
        <v>420</v>
      </c>
    </row>
    <row r="2136" spans="1:7" x14ac:dyDescent="0.3">
      <c r="A2136" t="s">
        <v>575</v>
      </c>
      <c r="B2136" t="s">
        <v>31</v>
      </c>
      <c r="C2136" t="s">
        <v>24</v>
      </c>
      <c r="D2136" t="s">
        <v>18</v>
      </c>
      <c r="E2136" s="68">
        <v>223</v>
      </c>
      <c r="F2136" s="68">
        <v>266</v>
      </c>
      <c r="G2136" s="68">
        <v>489</v>
      </c>
    </row>
    <row r="2137" spans="1:7" x14ac:dyDescent="0.3">
      <c r="A2137" t="s">
        <v>575</v>
      </c>
      <c r="B2137" t="s">
        <v>31</v>
      </c>
      <c r="C2137" t="s">
        <v>24</v>
      </c>
      <c r="D2137" t="s">
        <v>19</v>
      </c>
      <c r="E2137" s="68">
        <v>180</v>
      </c>
      <c r="F2137" s="68">
        <v>221</v>
      </c>
      <c r="G2137" s="68">
        <v>401</v>
      </c>
    </row>
    <row r="2138" spans="1:7" x14ac:dyDescent="0.3">
      <c r="A2138" t="s">
        <v>575</v>
      </c>
      <c r="B2138" t="s">
        <v>31</v>
      </c>
      <c r="C2138" t="s">
        <v>24</v>
      </c>
      <c r="D2138" t="s">
        <v>20</v>
      </c>
      <c r="E2138" s="68">
        <v>153</v>
      </c>
      <c r="F2138" s="68">
        <v>203</v>
      </c>
      <c r="G2138" s="68">
        <v>356</v>
      </c>
    </row>
    <row r="2139" spans="1:7" x14ac:dyDescent="0.3">
      <c r="A2139" t="s">
        <v>575</v>
      </c>
      <c r="B2139" t="s">
        <v>31</v>
      </c>
      <c r="C2139" t="s">
        <v>24</v>
      </c>
      <c r="D2139" t="s">
        <v>21</v>
      </c>
      <c r="E2139" s="68">
        <v>135</v>
      </c>
      <c r="F2139" s="68">
        <v>162</v>
      </c>
      <c r="G2139" s="68">
        <v>297</v>
      </c>
    </row>
    <row r="2140" spans="1:7" x14ac:dyDescent="0.3">
      <c r="A2140" t="s">
        <v>575</v>
      </c>
      <c r="B2140" t="s">
        <v>31</v>
      </c>
      <c r="C2140" t="s">
        <v>24</v>
      </c>
      <c r="D2140" t="s">
        <v>22</v>
      </c>
      <c r="E2140" s="68">
        <v>85</v>
      </c>
      <c r="F2140" s="68">
        <v>95</v>
      </c>
      <c r="G2140" s="68">
        <v>180</v>
      </c>
    </row>
    <row r="2141" spans="1:7" x14ac:dyDescent="0.3">
      <c r="A2141" t="s">
        <v>575</v>
      </c>
      <c r="B2141" t="s">
        <v>31</v>
      </c>
      <c r="C2141" t="s">
        <v>24</v>
      </c>
      <c r="D2141" t="s">
        <v>23</v>
      </c>
      <c r="E2141" s="68">
        <v>119</v>
      </c>
      <c r="F2141" s="68">
        <v>132</v>
      </c>
      <c r="G2141" s="68">
        <v>251</v>
      </c>
    </row>
    <row r="2142" spans="1:7" x14ac:dyDescent="0.3">
      <c r="A2142" t="s">
        <v>575</v>
      </c>
      <c r="B2142" t="s">
        <v>553</v>
      </c>
      <c r="C2142" t="s">
        <v>6</v>
      </c>
      <c r="D2142" t="s">
        <v>19</v>
      </c>
      <c r="E2142" s="68">
        <v>1</v>
      </c>
      <c r="F2142" s="68"/>
      <c r="G2142" s="68">
        <v>1</v>
      </c>
    </row>
    <row r="2143" spans="1:7" x14ac:dyDescent="0.3">
      <c r="A2143" t="s">
        <v>575</v>
      </c>
      <c r="B2143" t="s">
        <v>553</v>
      </c>
      <c r="C2143" t="s">
        <v>6</v>
      </c>
      <c r="D2143" t="s">
        <v>22</v>
      </c>
      <c r="E2143" s="68"/>
      <c r="F2143" s="68">
        <v>1</v>
      </c>
      <c r="G2143" s="68">
        <v>1</v>
      </c>
    </row>
    <row r="2144" spans="1:7" x14ac:dyDescent="0.3">
      <c r="A2144" t="s">
        <v>575</v>
      </c>
      <c r="B2144" t="s">
        <v>5</v>
      </c>
      <c r="C2144" t="s">
        <v>6</v>
      </c>
      <c r="D2144" t="s">
        <v>7</v>
      </c>
      <c r="E2144" s="68">
        <v>646</v>
      </c>
      <c r="F2144" s="68">
        <v>668</v>
      </c>
      <c r="G2144" s="68">
        <v>1314</v>
      </c>
    </row>
    <row r="2145" spans="1:7" x14ac:dyDescent="0.3">
      <c r="A2145" t="s">
        <v>575</v>
      </c>
      <c r="B2145" t="s">
        <v>5</v>
      </c>
      <c r="C2145" t="s">
        <v>6</v>
      </c>
      <c r="D2145" t="s">
        <v>8</v>
      </c>
      <c r="E2145" s="68">
        <v>944</v>
      </c>
      <c r="F2145" s="68">
        <v>1055</v>
      </c>
      <c r="G2145" s="68">
        <v>1999</v>
      </c>
    </row>
    <row r="2146" spans="1:7" x14ac:dyDescent="0.3">
      <c r="A2146" t="s">
        <v>575</v>
      </c>
      <c r="B2146" t="s">
        <v>5</v>
      </c>
      <c r="C2146" t="s">
        <v>6</v>
      </c>
      <c r="D2146" t="s">
        <v>9</v>
      </c>
      <c r="E2146" s="68">
        <v>1204</v>
      </c>
      <c r="F2146" s="68">
        <v>1286</v>
      </c>
      <c r="G2146" s="68">
        <v>2490</v>
      </c>
    </row>
    <row r="2147" spans="1:7" x14ac:dyDescent="0.3">
      <c r="A2147" t="s">
        <v>575</v>
      </c>
      <c r="B2147" t="s">
        <v>5</v>
      </c>
      <c r="C2147" t="s">
        <v>6</v>
      </c>
      <c r="D2147" t="s">
        <v>10</v>
      </c>
      <c r="E2147" s="68">
        <v>1405</v>
      </c>
      <c r="F2147" s="68">
        <v>1457</v>
      </c>
      <c r="G2147" s="68">
        <v>2862</v>
      </c>
    </row>
    <row r="2148" spans="1:7" x14ac:dyDescent="0.3">
      <c r="A2148" t="s">
        <v>575</v>
      </c>
      <c r="B2148" t="s">
        <v>5</v>
      </c>
      <c r="C2148" t="s">
        <v>6</v>
      </c>
      <c r="D2148" t="s">
        <v>11</v>
      </c>
      <c r="E2148" s="68">
        <v>1911</v>
      </c>
      <c r="F2148" s="68">
        <v>1803</v>
      </c>
      <c r="G2148" s="68">
        <v>3714</v>
      </c>
    </row>
    <row r="2149" spans="1:7" x14ac:dyDescent="0.3">
      <c r="A2149" t="s">
        <v>575</v>
      </c>
      <c r="B2149" t="s">
        <v>5</v>
      </c>
      <c r="C2149" t="s">
        <v>6</v>
      </c>
      <c r="D2149" t="s">
        <v>12</v>
      </c>
      <c r="E2149" s="68">
        <v>2029</v>
      </c>
      <c r="F2149" s="68">
        <v>1913</v>
      </c>
      <c r="G2149" s="68">
        <v>3942</v>
      </c>
    </row>
    <row r="2150" spans="1:7" x14ac:dyDescent="0.3">
      <c r="A2150" t="s">
        <v>575</v>
      </c>
      <c r="B2150" t="s">
        <v>5</v>
      </c>
      <c r="C2150" t="s">
        <v>6</v>
      </c>
      <c r="D2150" t="s">
        <v>13</v>
      </c>
      <c r="E2150" s="68">
        <v>2240</v>
      </c>
      <c r="F2150" s="68">
        <v>2009</v>
      </c>
      <c r="G2150" s="68">
        <v>4249</v>
      </c>
    </row>
    <row r="2151" spans="1:7" x14ac:dyDescent="0.3">
      <c r="A2151" t="s">
        <v>575</v>
      </c>
      <c r="B2151" t="s">
        <v>5</v>
      </c>
      <c r="C2151" t="s">
        <v>6</v>
      </c>
      <c r="D2151" t="s">
        <v>14</v>
      </c>
      <c r="E2151" s="68">
        <v>2218</v>
      </c>
      <c r="F2151" s="68">
        <v>1784</v>
      </c>
      <c r="G2151" s="68">
        <v>4002</v>
      </c>
    </row>
    <row r="2152" spans="1:7" x14ac:dyDescent="0.3">
      <c r="A2152" t="s">
        <v>575</v>
      </c>
      <c r="B2152" t="s">
        <v>5</v>
      </c>
      <c r="C2152" t="s">
        <v>6</v>
      </c>
      <c r="D2152" t="s">
        <v>15</v>
      </c>
      <c r="E2152" s="68">
        <v>2101</v>
      </c>
      <c r="F2152" s="68">
        <v>1843</v>
      </c>
      <c r="G2152" s="68">
        <v>3944</v>
      </c>
    </row>
    <row r="2153" spans="1:7" x14ac:dyDescent="0.3">
      <c r="A2153" t="s">
        <v>575</v>
      </c>
      <c r="B2153" t="s">
        <v>5</v>
      </c>
      <c r="C2153" t="s">
        <v>6</v>
      </c>
      <c r="D2153" t="s">
        <v>16</v>
      </c>
      <c r="E2153" s="68">
        <v>1888</v>
      </c>
      <c r="F2153" s="68">
        <v>1694</v>
      </c>
      <c r="G2153" s="68">
        <v>3582</v>
      </c>
    </row>
    <row r="2154" spans="1:7" x14ac:dyDescent="0.3">
      <c r="A2154" t="s">
        <v>575</v>
      </c>
      <c r="B2154" t="s">
        <v>5</v>
      </c>
      <c r="C2154" t="s">
        <v>6</v>
      </c>
      <c r="D2154" t="s">
        <v>17</v>
      </c>
      <c r="E2154" s="68">
        <v>1530</v>
      </c>
      <c r="F2154" s="68">
        <v>1339</v>
      </c>
      <c r="G2154" s="68">
        <v>2869</v>
      </c>
    </row>
    <row r="2155" spans="1:7" x14ac:dyDescent="0.3">
      <c r="A2155" t="s">
        <v>575</v>
      </c>
      <c r="B2155" t="s">
        <v>5</v>
      </c>
      <c r="C2155" t="s">
        <v>6</v>
      </c>
      <c r="D2155" t="s">
        <v>18</v>
      </c>
      <c r="E2155" s="68">
        <v>1567</v>
      </c>
      <c r="F2155" s="68">
        <v>1331</v>
      </c>
      <c r="G2155" s="68">
        <v>2898</v>
      </c>
    </row>
    <row r="2156" spans="1:7" x14ac:dyDescent="0.3">
      <c r="A2156" t="s">
        <v>575</v>
      </c>
      <c r="B2156" t="s">
        <v>5</v>
      </c>
      <c r="C2156" t="s">
        <v>6</v>
      </c>
      <c r="D2156" t="s">
        <v>19</v>
      </c>
      <c r="E2156" s="68">
        <v>1671</v>
      </c>
      <c r="F2156" s="68">
        <v>1256</v>
      </c>
      <c r="G2156" s="68">
        <v>2927</v>
      </c>
    </row>
    <row r="2157" spans="1:7" x14ac:dyDescent="0.3">
      <c r="A2157" t="s">
        <v>575</v>
      </c>
      <c r="B2157" t="s">
        <v>5</v>
      </c>
      <c r="C2157" t="s">
        <v>6</v>
      </c>
      <c r="D2157" t="s">
        <v>20</v>
      </c>
      <c r="E2157" s="68">
        <v>1283</v>
      </c>
      <c r="F2157" s="68">
        <v>1115</v>
      </c>
      <c r="G2157" s="68">
        <v>2398</v>
      </c>
    </row>
    <row r="2158" spans="1:7" x14ac:dyDescent="0.3">
      <c r="A2158" t="s">
        <v>575</v>
      </c>
      <c r="B2158" t="s">
        <v>5</v>
      </c>
      <c r="C2158" t="s">
        <v>6</v>
      </c>
      <c r="D2158" t="s">
        <v>21</v>
      </c>
      <c r="E2158" s="68">
        <v>998</v>
      </c>
      <c r="F2158" s="68">
        <v>735</v>
      </c>
      <c r="G2158" s="68">
        <v>1733</v>
      </c>
    </row>
    <row r="2159" spans="1:7" x14ac:dyDescent="0.3">
      <c r="A2159" t="s">
        <v>575</v>
      </c>
      <c r="B2159" t="s">
        <v>5</v>
      </c>
      <c r="C2159" t="s">
        <v>6</v>
      </c>
      <c r="D2159" t="s">
        <v>22</v>
      </c>
      <c r="E2159" s="68">
        <v>683</v>
      </c>
      <c r="F2159" s="68">
        <v>524</v>
      </c>
      <c r="G2159" s="68">
        <v>1207</v>
      </c>
    </row>
    <row r="2160" spans="1:7" x14ac:dyDescent="0.3">
      <c r="A2160" t="s">
        <v>575</v>
      </c>
      <c r="B2160" t="s">
        <v>5</v>
      </c>
      <c r="C2160" t="s">
        <v>6</v>
      </c>
      <c r="D2160" t="s">
        <v>23</v>
      </c>
      <c r="E2160" s="68">
        <v>855</v>
      </c>
      <c r="F2160" s="68">
        <v>500</v>
      </c>
      <c r="G2160" s="68">
        <v>1355</v>
      </c>
    </row>
    <row r="2161" spans="1:7" x14ac:dyDescent="0.3">
      <c r="A2161" t="s">
        <v>575</v>
      </c>
      <c r="B2161" t="s">
        <v>5</v>
      </c>
      <c r="C2161" t="s">
        <v>24</v>
      </c>
      <c r="D2161" t="s">
        <v>7</v>
      </c>
      <c r="E2161" s="68">
        <v>176</v>
      </c>
      <c r="F2161" s="68">
        <v>216</v>
      </c>
      <c r="G2161" s="68">
        <v>392</v>
      </c>
    </row>
    <row r="2162" spans="1:7" x14ac:dyDescent="0.3">
      <c r="A2162" t="s">
        <v>575</v>
      </c>
      <c r="B2162" t="s">
        <v>5</v>
      </c>
      <c r="C2162" t="s">
        <v>24</v>
      </c>
      <c r="D2162" t="s">
        <v>8</v>
      </c>
      <c r="E2162" s="68">
        <v>346</v>
      </c>
      <c r="F2162" s="68">
        <v>312</v>
      </c>
      <c r="G2162" s="68">
        <v>658</v>
      </c>
    </row>
    <row r="2163" spans="1:7" x14ac:dyDescent="0.3">
      <c r="A2163" t="s">
        <v>575</v>
      </c>
      <c r="B2163" t="s">
        <v>5</v>
      </c>
      <c r="C2163" t="s">
        <v>24</v>
      </c>
      <c r="D2163" t="s">
        <v>9</v>
      </c>
      <c r="E2163" s="68">
        <v>301</v>
      </c>
      <c r="F2163" s="68">
        <v>317</v>
      </c>
      <c r="G2163" s="68">
        <v>618</v>
      </c>
    </row>
    <row r="2164" spans="1:7" x14ac:dyDescent="0.3">
      <c r="A2164" t="s">
        <v>575</v>
      </c>
      <c r="B2164" t="s">
        <v>5</v>
      </c>
      <c r="C2164" t="s">
        <v>24</v>
      </c>
      <c r="D2164" t="s">
        <v>10</v>
      </c>
      <c r="E2164" s="68">
        <v>531</v>
      </c>
      <c r="F2164" s="68">
        <v>586</v>
      </c>
      <c r="G2164" s="68">
        <v>1117</v>
      </c>
    </row>
    <row r="2165" spans="1:7" x14ac:dyDescent="0.3">
      <c r="A2165" t="s">
        <v>575</v>
      </c>
      <c r="B2165" t="s">
        <v>5</v>
      </c>
      <c r="C2165" t="s">
        <v>24</v>
      </c>
      <c r="D2165" t="s">
        <v>11</v>
      </c>
      <c r="E2165" s="68">
        <v>610</v>
      </c>
      <c r="F2165" s="68">
        <v>596</v>
      </c>
      <c r="G2165" s="68">
        <v>1206</v>
      </c>
    </row>
    <row r="2166" spans="1:7" x14ac:dyDescent="0.3">
      <c r="A2166" t="s">
        <v>575</v>
      </c>
      <c r="B2166" t="s">
        <v>5</v>
      </c>
      <c r="C2166" t="s">
        <v>24</v>
      </c>
      <c r="D2166" t="s">
        <v>12</v>
      </c>
      <c r="E2166" s="68">
        <v>608</v>
      </c>
      <c r="F2166" s="68">
        <v>685</v>
      </c>
      <c r="G2166" s="68">
        <v>1293</v>
      </c>
    </row>
    <row r="2167" spans="1:7" x14ac:dyDescent="0.3">
      <c r="A2167" t="s">
        <v>575</v>
      </c>
      <c r="B2167" t="s">
        <v>5</v>
      </c>
      <c r="C2167" t="s">
        <v>24</v>
      </c>
      <c r="D2167" t="s">
        <v>13</v>
      </c>
      <c r="E2167" s="68">
        <v>545</v>
      </c>
      <c r="F2167" s="68">
        <v>474</v>
      </c>
      <c r="G2167" s="68">
        <v>1019</v>
      </c>
    </row>
    <row r="2168" spans="1:7" x14ac:dyDescent="0.3">
      <c r="A2168" t="s">
        <v>575</v>
      </c>
      <c r="B2168" t="s">
        <v>5</v>
      </c>
      <c r="C2168" t="s">
        <v>24</v>
      </c>
      <c r="D2168" t="s">
        <v>14</v>
      </c>
      <c r="E2168" s="68">
        <v>449</v>
      </c>
      <c r="F2168" s="68">
        <v>416</v>
      </c>
      <c r="G2168" s="68">
        <v>865</v>
      </c>
    </row>
    <row r="2169" spans="1:7" x14ac:dyDescent="0.3">
      <c r="A2169" t="s">
        <v>575</v>
      </c>
      <c r="B2169" t="s">
        <v>5</v>
      </c>
      <c r="C2169" t="s">
        <v>24</v>
      </c>
      <c r="D2169" t="s">
        <v>15</v>
      </c>
      <c r="E2169" s="68">
        <v>402</v>
      </c>
      <c r="F2169" s="68">
        <v>380</v>
      </c>
      <c r="G2169" s="68">
        <v>782</v>
      </c>
    </row>
    <row r="2170" spans="1:7" x14ac:dyDescent="0.3">
      <c r="A2170" t="s">
        <v>575</v>
      </c>
      <c r="B2170" t="s">
        <v>5</v>
      </c>
      <c r="C2170" t="s">
        <v>24</v>
      </c>
      <c r="D2170" t="s">
        <v>16</v>
      </c>
      <c r="E2170" s="68">
        <v>427</v>
      </c>
      <c r="F2170" s="68">
        <v>346</v>
      </c>
      <c r="G2170" s="68">
        <v>773</v>
      </c>
    </row>
    <row r="2171" spans="1:7" x14ac:dyDescent="0.3">
      <c r="A2171" t="s">
        <v>575</v>
      </c>
      <c r="B2171" t="s">
        <v>5</v>
      </c>
      <c r="C2171" t="s">
        <v>24</v>
      </c>
      <c r="D2171" t="s">
        <v>17</v>
      </c>
      <c r="E2171" s="68">
        <v>399</v>
      </c>
      <c r="F2171" s="68">
        <v>359</v>
      </c>
      <c r="G2171" s="68">
        <v>758</v>
      </c>
    </row>
    <row r="2172" spans="1:7" x14ac:dyDescent="0.3">
      <c r="A2172" t="s">
        <v>575</v>
      </c>
      <c r="B2172" t="s">
        <v>5</v>
      </c>
      <c r="C2172" t="s">
        <v>24</v>
      </c>
      <c r="D2172" t="s">
        <v>18</v>
      </c>
      <c r="E2172" s="68">
        <v>425</v>
      </c>
      <c r="F2172" s="68">
        <v>370</v>
      </c>
      <c r="G2172" s="68">
        <v>795</v>
      </c>
    </row>
    <row r="2173" spans="1:7" x14ac:dyDescent="0.3">
      <c r="A2173" t="s">
        <v>575</v>
      </c>
      <c r="B2173" t="s">
        <v>5</v>
      </c>
      <c r="C2173" t="s">
        <v>24</v>
      </c>
      <c r="D2173" t="s">
        <v>19</v>
      </c>
      <c r="E2173" s="68">
        <v>424</v>
      </c>
      <c r="F2173" s="68">
        <v>395</v>
      </c>
      <c r="G2173" s="68">
        <v>819</v>
      </c>
    </row>
    <row r="2174" spans="1:7" x14ac:dyDescent="0.3">
      <c r="A2174" t="s">
        <v>575</v>
      </c>
      <c r="B2174" t="s">
        <v>5</v>
      </c>
      <c r="C2174" t="s">
        <v>24</v>
      </c>
      <c r="D2174" t="s">
        <v>20</v>
      </c>
      <c r="E2174" s="68">
        <v>395</v>
      </c>
      <c r="F2174" s="68">
        <v>329</v>
      </c>
      <c r="G2174" s="68">
        <v>724</v>
      </c>
    </row>
    <row r="2175" spans="1:7" x14ac:dyDescent="0.3">
      <c r="A2175" t="s">
        <v>575</v>
      </c>
      <c r="B2175" t="s">
        <v>5</v>
      </c>
      <c r="C2175" t="s">
        <v>24</v>
      </c>
      <c r="D2175" t="s">
        <v>21</v>
      </c>
      <c r="E2175" s="68">
        <v>331</v>
      </c>
      <c r="F2175" s="68">
        <v>312</v>
      </c>
      <c r="G2175" s="68">
        <v>643</v>
      </c>
    </row>
    <row r="2176" spans="1:7" x14ac:dyDescent="0.3">
      <c r="A2176" t="s">
        <v>575</v>
      </c>
      <c r="B2176" t="s">
        <v>5</v>
      </c>
      <c r="C2176" t="s">
        <v>24</v>
      </c>
      <c r="D2176" t="s">
        <v>22</v>
      </c>
      <c r="E2176" s="68">
        <v>257</v>
      </c>
      <c r="F2176" s="68">
        <v>218</v>
      </c>
      <c r="G2176" s="68">
        <v>475</v>
      </c>
    </row>
    <row r="2177" spans="1:7" x14ac:dyDescent="0.3">
      <c r="A2177" t="s">
        <v>575</v>
      </c>
      <c r="B2177" t="s">
        <v>5</v>
      </c>
      <c r="C2177" t="s">
        <v>24</v>
      </c>
      <c r="D2177" t="s">
        <v>23</v>
      </c>
      <c r="E2177" s="68">
        <v>339</v>
      </c>
      <c r="F2177" s="68">
        <v>226</v>
      </c>
      <c r="G2177" s="68">
        <v>565</v>
      </c>
    </row>
    <row r="2178" spans="1:7" x14ac:dyDescent="0.3">
      <c r="A2178" t="s">
        <v>575</v>
      </c>
      <c r="B2178" t="s">
        <v>33</v>
      </c>
      <c r="C2178" t="s">
        <v>6</v>
      </c>
      <c r="D2178" t="s">
        <v>7</v>
      </c>
      <c r="E2178" s="68">
        <v>1</v>
      </c>
      <c r="F2178" s="68"/>
      <c r="G2178" s="68">
        <v>1</v>
      </c>
    </row>
    <row r="2179" spans="1:7" x14ac:dyDescent="0.3">
      <c r="A2179" t="s">
        <v>575</v>
      </c>
      <c r="B2179" t="s">
        <v>33</v>
      </c>
      <c r="C2179" t="s">
        <v>6</v>
      </c>
      <c r="D2179" t="s">
        <v>12</v>
      </c>
      <c r="E2179" s="68"/>
      <c r="F2179" s="68">
        <v>1</v>
      </c>
      <c r="G2179" s="68">
        <v>1</v>
      </c>
    </row>
    <row r="2180" spans="1:7" x14ac:dyDescent="0.3">
      <c r="A2180" t="s">
        <v>575</v>
      </c>
      <c r="B2180" t="s">
        <v>33</v>
      </c>
      <c r="C2180" t="s">
        <v>6</v>
      </c>
      <c r="D2180" t="s">
        <v>13</v>
      </c>
      <c r="E2180" s="68">
        <v>1</v>
      </c>
      <c r="F2180" s="68"/>
      <c r="G2180" s="68">
        <v>1</v>
      </c>
    </row>
    <row r="2181" spans="1:7" x14ac:dyDescent="0.3">
      <c r="A2181" t="s">
        <v>575</v>
      </c>
      <c r="B2181" t="s">
        <v>33</v>
      </c>
      <c r="C2181" t="s">
        <v>6</v>
      </c>
      <c r="D2181" t="s">
        <v>19</v>
      </c>
      <c r="E2181" s="68">
        <v>1</v>
      </c>
      <c r="F2181" s="68"/>
      <c r="G2181" s="68">
        <v>1</v>
      </c>
    </row>
    <row r="2182" spans="1:7" x14ac:dyDescent="0.3">
      <c r="A2182" t="s">
        <v>575</v>
      </c>
      <c r="B2182" t="s">
        <v>33</v>
      </c>
      <c r="C2182" t="s">
        <v>24</v>
      </c>
      <c r="D2182" t="s">
        <v>10</v>
      </c>
      <c r="E2182" s="68">
        <v>1</v>
      </c>
      <c r="F2182" s="68"/>
      <c r="G2182" s="68">
        <v>1</v>
      </c>
    </row>
    <row r="2183" spans="1:7" x14ac:dyDescent="0.3">
      <c r="A2183" t="s">
        <v>575</v>
      </c>
      <c r="B2183" t="s">
        <v>34</v>
      </c>
      <c r="C2183" t="s">
        <v>6</v>
      </c>
      <c r="D2183" t="s">
        <v>7</v>
      </c>
      <c r="E2183" s="68">
        <v>1921</v>
      </c>
      <c r="F2183" s="68">
        <v>2023</v>
      </c>
      <c r="G2183" s="68">
        <v>3944</v>
      </c>
    </row>
    <row r="2184" spans="1:7" x14ac:dyDescent="0.3">
      <c r="A2184" t="s">
        <v>575</v>
      </c>
      <c r="B2184" t="s">
        <v>34</v>
      </c>
      <c r="C2184" t="s">
        <v>6</v>
      </c>
      <c r="D2184" t="s">
        <v>8</v>
      </c>
      <c r="E2184" s="68">
        <v>2763</v>
      </c>
      <c r="F2184" s="68">
        <v>2852</v>
      </c>
      <c r="G2184" s="68">
        <v>5615</v>
      </c>
    </row>
    <row r="2185" spans="1:7" x14ac:dyDescent="0.3">
      <c r="A2185" t="s">
        <v>575</v>
      </c>
      <c r="B2185" t="s">
        <v>34</v>
      </c>
      <c r="C2185" t="s">
        <v>6</v>
      </c>
      <c r="D2185" t="s">
        <v>9</v>
      </c>
      <c r="E2185" s="68">
        <v>3068</v>
      </c>
      <c r="F2185" s="68">
        <v>3274</v>
      </c>
      <c r="G2185" s="68">
        <v>6342</v>
      </c>
    </row>
    <row r="2186" spans="1:7" x14ac:dyDescent="0.3">
      <c r="A2186" t="s">
        <v>575</v>
      </c>
      <c r="B2186" t="s">
        <v>34</v>
      </c>
      <c r="C2186" t="s">
        <v>6</v>
      </c>
      <c r="D2186" t="s">
        <v>10</v>
      </c>
      <c r="E2186" s="68">
        <v>3366</v>
      </c>
      <c r="F2186" s="68">
        <v>3323</v>
      </c>
      <c r="G2186" s="68">
        <v>6689</v>
      </c>
    </row>
    <row r="2187" spans="1:7" x14ac:dyDescent="0.3">
      <c r="A2187" t="s">
        <v>575</v>
      </c>
      <c r="B2187" t="s">
        <v>34</v>
      </c>
      <c r="C2187" t="s">
        <v>6</v>
      </c>
      <c r="D2187" t="s">
        <v>11</v>
      </c>
      <c r="E2187" s="68">
        <v>4332</v>
      </c>
      <c r="F2187" s="68">
        <v>4105</v>
      </c>
      <c r="G2187" s="68">
        <v>8437</v>
      </c>
    </row>
    <row r="2188" spans="1:7" x14ac:dyDescent="0.3">
      <c r="A2188" t="s">
        <v>575</v>
      </c>
      <c r="B2188" t="s">
        <v>34</v>
      </c>
      <c r="C2188" t="s">
        <v>6</v>
      </c>
      <c r="D2188" t="s">
        <v>12</v>
      </c>
      <c r="E2188" s="68">
        <v>4994</v>
      </c>
      <c r="F2188" s="68">
        <v>4311</v>
      </c>
      <c r="G2188" s="68">
        <v>9305</v>
      </c>
    </row>
    <row r="2189" spans="1:7" x14ac:dyDescent="0.3">
      <c r="A2189" t="s">
        <v>575</v>
      </c>
      <c r="B2189" t="s">
        <v>34</v>
      </c>
      <c r="C2189" t="s">
        <v>6</v>
      </c>
      <c r="D2189" t="s">
        <v>13</v>
      </c>
      <c r="E2189" s="68">
        <v>6313</v>
      </c>
      <c r="F2189" s="68">
        <v>5051</v>
      </c>
      <c r="G2189" s="68">
        <v>11364</v>
      </c>
    </row>
    <row r="2190" spans="1:7" x14ac:dyDescent="0.3">
      <c r="A2190" t="s">
        <v>575</v>
      </c>
      <c r="B2190" t="s">
        <v>34</v>
      </c>
      <c r="C2190" t="s">
        <v>6</v>
      </c>
      <c r="D2190" t="s">
        <v>14</v>
      </c>
      <c r="E2190" s="68">
        <v>6152</v>
      </c>
      <c r="F2190" s="68">
        <v>5123</v>
      </c>
      <c r="G2190" s="68">
        <v>11275</v>
      </c>
    </row>
    <row r="2191" spans="1:7" x14ac:dyDescent="0.3">
      <c r="A2191" t="s">
        <v>575</v>
      </c>
      <c r="B2191" t="s">
        <v>34</v>
      </c>
      <c r="C2191" t="s">
        <v>6</v>
      </c>
      <c r="D2191" t="s">
        <v>15</v>
      </c>
      <c r="E2191" s="68">
        <v>6055</v>
      </c>
      <c r="F2191" s="68">
        <v>4999</v>
      </c>
      <c r="G2191" s="68">
        <v>11054</v>
      </c>
    </row>
    <row r="2192" spans="1:7" x14ac:dyDescent="0.3">
      <c r="A2192" t="s">
        <v>575</v>
      </c>
      <c r="B2192" t="s">
        <v>34</v>
      </c>
      <c r="C2192" t="s">
        <v>6</v>
      </c>
      <c r="D2192" t="s">
        <v>16</v>
      </c>
      <c r="E2192" s="68">
        <v>5306</v>
      </c>
      <c r="F2192" s="68">
        <v>4641</v>
      </c>
      <c r="G2192" s="68">
        <v>9947</v>
      </c>
    </row>
    <row r="2193" spans="1:7" x14ac:dyDescent="0.3">
      <c r="A2193" t="s">
        <v>575</v>
      </c>
      <c r="B2193" t="s">
        <v>34</v>
      </c>
      <c r="C2193" t="s">
        <v>6</v>
      </c>
      <c r="D2193" t="s">
        <v>17</v>
      </c>
      <c r="E2193" s="68">
        <v>4442</v>
      </c>
      <c r="F2193" s="68">
        <v>3716</v>
      </c>
      <c r="G2193" s="68">
        <v>8158</v>
      </c>
    </row>
    <row r="2194" spans="1:7" x14ac:dyDescent="0.3">
      <c r="A2194" t="s">
        <v>575</v>
      </c>
      <c r="B2194" t="s">
        <v>34</v>
      </c>
      <c r="C2194" t="s">
        <v>6</v>
      </c>
      <c r="D2194" t="s">
        <v>18</v>
      </c>
      <c r="E2194" s="68">
        <v>4627</v>
      </c>
      <c r="F2194" s="68">
        <v>3903</v>
      </c>
      <c r="G2194" s="68">
        <v>8530</v>
      </c>
    </row>
    <row r="2195" spans="1:7" x14ac:dyDescent="0.3">
      <c r="A2195" t="s">
        <v>575</v>
      </c>
      <c r="B2195" t="s">
        <v>34</v>
      </c>
      <c r="C2195" t="s">
        <v>6</v>
      </c>
      <c r="D2195" t="s">
        <v>19</v>
      </c>
      <c r="E2195" s="68">
        <v>4604</v>
      </c>
      <c r="F2195" s="68">
        <v>3540</v>
      </c>
      <c r="G2195" s="68">
        <v>8144</v>
      </c>
    </row>
    <row r="2196" spans="1:7" x14ac:dyDescent="0.3">
      <c r="A2196" t="s">
        <v>575</v>
      </c>
      <c r="B2196" t="s">
        <v>34</v>
      </c>
      <c r="C2196" t="s">
        <v>6</v>
      </c>
      <c r="D2196" t="s">
        <v>20</v>
      </c>
      <c r="E2196" s="68">
        <v>3760</v>
      </c>
      <c r="F2196" s="68">
        <v>3025</v>
      </c>
      <c r="G2196" s="68">
        <v>6785</v>
      </c>
    </row>
    <row r="2197" spans="1:7" x14ac:dyDescent="0.3">
      <c r="A2197" t="s">
        <v>575</v>
      </c>
      <c r="B2197" t="s">
        <v>34</v>
      </c>
      <c r="C2197" t="s">
        <v>6</v>
      </c>
      <c r="D2197" t="s">
        <v>21</v>
      </c>
      <c r="E2197" s="68">
        <v>2669</v>
      </c>
      <c r="F2197" s="68">
        <v>2095</v>
      </c>
      <c r="G2197" s="68">
        <v>4764</v>
      </c>
    </row>
    <row r="2198" spans="1:7" x14ac:dyDescent="0.3">
      <c r="A2198" t="s">
        <v>575</v>
      </c>
      <c r="B2198" t="s">
        <v>34</v>
      </c>
      <c r="C2198" t="s">
        <v>6</v>
      </c>
      <c r="D2198" t="s">
        <v>22</v>
      </c>
      <c r="E2198" s="68">
        <v>1608</v>
      </c>
      <c r="F2198" s="68">
        <v>1240</v>
      </c>
      <c r="G2198" s="68">
        <v>2848</v>
      </c>
    </row>
    <row r="2199" spans="1:7" x14ac:dyDescent="0.3">
      <c r="A2199" t="s">
        <v>575</v>
      </c>
      <c r="B2199" t="s">
        <v>34</v>
      </c>
      <c r="C2199" t="s">
        <v>6</v>
      </c>
      <c r="D2199" t="s">
        <v>23</v>
      </c>
      <c r="E2199" s="68">
        <v>1898</v>
      </c>
      <c r="F2199" s="68">
        <v>1132</v>
      </c>
      <c r="G2199" s="68">
        <v>3030</v>
      </c>
    </row>
    <row r="2200" spans="1:7" x14ac:dyDescent="0.3">
      <c r="A2200" t="s">
        <v>575</v>
      </c>
      <c r="B2200" t="s">
        <v>34</v>
      </c>
      <c r="C2200" t="s">
        <v>24</v>
      </c>
      <c r="D2200" t="s">
        <v>7</v>
      </c>
      <c r="E2200" s="68">
        <v>698</v>
      </c>
      <c r="F2200" s="68">
        <v>727</v>
      </c>
      <c r="G2200" s="68">
        <v>1425</v>
      </c>
    </row>
    <row r="2201" spans="1:7" x14ac:dyDescent="0.3">
      <c r="A2201" t="s">
        <v>575</v>
      </c>
      <c r="B2201" t="s">
        <v>34</v>
      </c>
      <c r="C2201" t="s">
        <v>24</v>
      </c>
      <c r="D2201" t="s">
        <v>8</v>
      </c>
      <c r="E2201" s="68">
        <v>1084</v>
      </c>
      <c r="F2201" s="68">
        <v>1142</v>
      </c>
      <c r="G2201" s="68">
        <v>2226</v>
      </c>
    </row>
    <row r="2202" spans="1:7" x14ac:dyDescent="0.3">
      <c r="A2202" t="s">
        <v>575</v>
      </c>
      <c r="B2202" t="s">
        <v>34</v>
      </c>
      <c r="C2202" t="s">
        <v>24</v>
      </c>
      <c r="D2202" t="s">
        <v>9</v>
      </c>
      <c r="E2202" s="68">
        <v>1186</v>
      </c>
      <c r="F2202" s="68">
        <v>1187</v>
      </c>
      <c r="G2202" s="68">
        <v>2373</v>
      </c>
    </row>
    <row r="2203" spans="1:7" x14ac:dyDescent="0.3">
      <c r="A2203" t="s">
        <v>575</v>
      </c>
      <c r="B2203" t="s">
        <v>34</v>
      </c>
      <c r="C2203" t="s">
        <v>24</v>
      </c>
      <c r="D2203" t="s">
        <v>10</v>
      </c>
      <c r="E2203" s="68">
        <v>1300</v>
      </c>
      <c r="F2203" s="68">
        <v>1347</v>
      </c>
      <c r="G2203" s="68">
        <v>2647</v>
      </c>
    </row>
    <row r="2204" spans="1:7" x14ac:dyDescent="0.3">
      <c r="A2204" t="s">
        <v>575</v>
      </c>
      <c r="B2204" t="s">
        <v>34</v>
      </c>
      <c r="C2204" t="s">
        <v>24</v>
      </c>
      <c r="D2204" t="s">
        <v>11</v>
      </c>
      <c r="E2204" s="68">
        <v>1277</v>
      </c>
      <c r="F2204" s="68">
        <v>1242</v>
      </c>
      <c r="G2204" s="68">
        <v>2519</v>
      </c>
    </row>
    <row r="2205" spans="1:7" x14ac:dyDescent="0.3">
      <c r="A2205" t="s">
        <v>575</v>
      </c>
      <c r="B2205" t="s">
        <v>34</v>
      </c>
      <c r="C2205" t="s">
        <v>24</v>
      </c>
      <c r="D2205" t="s">
        <v>12</v>
      </c>
      <c r="E2205" s="68">
        <v>1640</v>
      </c>
      <c r="F2205" s="68">
        <v>1574</v>
      </c>
      <c r="G2205" s="68">
        <v>3214</v>
      </c>
    </row>
    <row r="2206" spans="1:7" x14ac:dyDescent="0.3">
      <c r="A2206" t="s">
        <v>575</v>
      </c>
      <c r="B2206" t="s">
        <v>34</v>
      </c>
      <c r="C2206" t="s">
        <v>24</v>
      </c>
      <c r="D2206" t="s">
        <v>13</v>
      </c>
      <c r="E2206" s="68">
        <v>1618</v>
      </c>
      <c r="F2206" s="68">
        <v>1447</v>
      </c>
      <c r="G2206" s="68">
        <v>3065</v>
      </c>
    </row>
    <row r="2207" spans="1:7" x14ac:dyDescent="0.3">
      <c r="A2207" t="s">
        <v>575</v>
      </c>
      <c r="B2207" t="s">
        <v>34</v>
      </c>
      <c r="C2207" t="s">
        <v>24</v>
      </c>
      <c r="D2207" t="s">
        <v>14</v>
      </c>
      <c r="E2207" s="68">
        <v>1527</v>
      </c>
      <c r="F2207" s="68">
        <v>1284</v>
      </c>
      <c r="G2207" s="68">
        <v>2811</v>
      </c>
    </row>
    <row r="2208" spans="1:7" x14ac:dyDescent="0.3">
      <c r="A2208" t="s">
        <v>575</v>
      </c>
      <c r="B2208" t="s">
        <v>34</v>
      </c>
      <c r="C2208" t="s">
        <v>24</v>
      </c>
      <c r="D2208" t="s">
        <v>15</v>
      </c>
      <c r="E2208" s="68">
        <v>1356</v>
      </c>
      <c r="F2208" s="68">
        <v>1245</v>
      </c>
      <c r="G2208" s="68">
        <v>2601</v>
      </c>
    </row>
    <row r="2209" spans="1:7" x14ac:dyDescent="0.3">
      <c r="A2209" t="s">
        <v>575</v>
      </c>
      <c r="B2209" t="s">
        <v>34</v>
      </c>
      <c r="C2209" t="s">
        <v>24</v>
      </c>
      <c r="D2209" t="s">
        <v>16</v>
      </c>
      <c r="E2209" s="68">
        <v>1448</v>
      </c>
      <c r="F2209" s="68">
        <v>1222</v>
      </c>
      <c r="G2209" s="68">
        <v>2670</v>
      </c>
    </row>
    <row r="2210" spans="1:7" x14ac:dyDescent="0.3">
      <c r="A2210" t="s">
        <v>575</v>
      </c>
      <c r="B2210" t="s">
        <v>34</v>
      </c>
      <c r="C2210" t="s">
        <v>24</v>
      </c>
      <c r="D2210" t="s">
        <v>17</v>
      </c>
      <c r="E2210" s="68">
        <v>1443</v>
      </c>
      <c r="F2210" s="68">
        <v>1273</v>
      </c>
      <c r="G2210" s="68">
        <v>2716</v>
      </c>
    </row>
    <row r="2211" spans="1:7" x14ac:dyDescent="0.3">
      <c r="A2211" t="s">
        <v>575</v>
      </c>
      <c r="B2211" t="s">
        <v>34</v>
      </c>
      <c r="C2211" t="s">
        <v>24</v>
      </c>
      <c r="D2211" t="s">
        <v>18</v>
      </c>
      <c r="E2211" s="68">
        <v>1652</v>
      </c>
      <c r="F2211" s="68">
        <v>1468</v>
      </c>
      <c r="G2211" s="68">
        <v>3120</v>
      </c>
    </row>
    <row r="2212" spans="1:7" x14ac:dyDescent="0.3">
      <c r="A2212" t="s">
        <v>575</v>
      </c>
      <c r="B2212" t="s">
        <v>34</v>
      </c>
      <c r="C2212" t="s">
        <v>24</v>
      </c>
      <c r="D2212" t="s">
        <v>19</v>
      </c>
      <c r="E2212" s="68">
        <v>1616</v>
      </c>
      <c r="F2212" s="68">
        <v>1466</v>
      </c>
      <c r="G2212" s="68">
        <v>3082</v>
      </c>
    </row>
    <row r="2213" spans="1:7" x14ac:dyDescent="0.3">
      <c r="A2213" t="s">
        <v>575</v>
      </c>
      <c r="B2213" t="s">
        <v>34</v>
      </c>
      <c r="C2213" t="s">
        <v>24</v>
      </c>
      <c r="D2213" t="s">
        <v>20</v>
      </c>
      <c r="E2213" s="68">
        <v>1457</v>
      </c>
      <c r="F2213" s="68">
        <v>1344</v>
      </c>
      <c r="G2213" s="68">
        <v>2801</v>
      </c>
    </row>
    <row r="2214" spans="1:7" x14ac:dyDescent="0.3">
      <c r="A2214" t="s">
        <v>575</v>
      </c>
      <c r="B2214" t="s">
        <v>34</v>
      </c>
      <c r="C2214" t="s">
        <v>24</v>
      </c>
      <c r="D2214" t="s">
        <v>21</v>
      </c>
      <c r="E2214" s="68">
        <v>1048</v>
      </c>
      <c r="F2214" s="68">
        <v>1005</v>
      </c>
      <c r="G2214" s="68">
        <v>2053</v>
      </c>
    </row>
    <row r="2215" spans="1:7" x14ac:dyDescent="0.3">
      <c r="A2215" t="s">
        <v>575</v>
      </c>
      <c r="B2215" t="s">
        <v>34</v>
      </c>
      <c r="C2215" t="s">
        <v>24</v>
      </c>
      <c r="D2215" t="s">
        <v>22</v>
      </c>
      <c r="E2215" s="68">
        <v>725</v>
      </c>
      <c r="F2215" s="68">
        <v>706</v>
      </c>
      <c r="G2215" s="68">
        <v>1431</v>
      </c>
    </row>
    <row r="2216" spans="1:7" x14ac:dyDescent="0.3">
      <c r="A2216" t="s">
        <v>575</v>
      </c>
      <c r="B2216" t="s">
        <v>34</v>
      </c>
      <c r="C2216" t="s">
        <v>24</v>
      </c>
      <c r="D2216" t="s">
        <v>23</v>
      </c>
      <c r="E2216" s="68">
        <v>1059</v>
      </c>
      <c r="F2216" s="68">
        <v>746</v>
      </c>
      <c r="G2216" s="68">
        <v>1805</v>
      </c>
    </row>
    <row r="2217" spans="1:7" x14ac:dyDescent="0.3">
      <c r="A2217" t="s">
        <v>575</v>
      </c>
      <c r="B2217" t="s">
        <v>37</v>
      </c>
      <c r="C2217" t="s">
        <v>6</v>
      </c>
      <c r="D2217" t="s">
        <v>7</v>
      </c>
      <c r="E2217" s="68">
        <v>117</v>
      </c>
      <c r="F2217" s="68">
        <v>106</v>
      </c>
      <c r="G2217" s="68">
        <v>223</v>
      </c>
    </row>
    <row r="2218" spans="1:7" x14ac:dyDescent="0.3">
      <c r="A2218" t="s">
        <v>575</v>
      </c>
      <c r="B2218" t="s">
        <v>37</v>
      </c>
      <c r="C2218" t="s">
        <v>6</v>
      </c>
      <c r="D2218" t="s">
        <v>8</v>
      </c>
      <c r="E2218" s="68">
        <v>153</v>
      </c>
      <c r="F2218" s="68">
        <v>160</v>
      </c>
      <c r="G2218" s="68">
        <v>313</v>
      </c>
    </row>
    <row r="2219" spans="1:7" x14ac:dyDescent="0.3">
      <c r="A2219" t="s">
        <v>575</v>
      </c>
      <c r="B2219" t="s">
        <v>37</v>
      </c>
      <c r="C2219" t="s">
        <v>6</v>
      </c>
      <c r="D2219" t="s">
        <v>9</v>
      </c>
      <c r="E2219" s="68">
        <v>213</v>
      </c>
      <c r="F2219" s="68">
        <v>249</v>
      </c>
      <c r="G2219" s="68">
        <v>462</v>
      </c>
    </row>
    <row r="2220" spans="1:7" x14ac:dyDescent="0.3">
      <c r="A2220" t="s">
        <v>575</v>
      </c>
      <c r="B2220" t="s">
        <v>37</v>
      </c>
      <c r="C2220" t="s">
        <v>6</v>
      </c>
      <c r="D2220" t="s">
        <v>10</v>
      </c>
      <c r="E2220" s="68">
        <v>285</v>
      </c>
      <c r="F2220" s="68">
        <v>241</v>
      </c>
      <c r="G2220" s="68">
        <v>526</v>
      </c>
    </row>
    <row r="2221" spans="1:7" x14ac:dyDescent="0.3">
      <c r="A2221" t="s">
        <v>575</v>
      </c>
      <c r="B2221" t="s">
        <v>37</v>
      </c>
      <c r="C2221" t="s">
        <v>6</v>
      </c>
      <c r="D2221" t="s">
        <v>11</v>
      </c>
      <c r="E2221" s="68">
        <v>275</v>
      </c>
      <c r="F2221" s="68">
        <v>280</v>
      </c>
      <c r="G2221" s="68">
        <v>555</v>
      </c>
    </row>
    <row r="2222" spans="1:7" x14ac:dyDescent="0.3">
      <c r="A2222" t="s">
        <v>575</v>
      </c>
      <c r="B2222" t="s">
        <v>37</v>
      </c>
      <c r="C2222" t="s">
        <v>6</v>
      </c>
      <c r="D2222" t="s">
        <v>12</v>
      </c>
      <c r="E2222" s="68">
        <v>213</v>
      </c>
      <c r="F2222" s="68">
        <v>236</v>
      </c>
      <c r="G2222" s="68">
        <v>449</v>
      </c>
    </row>
    <row r="2223" spans="1:7" x14ac:dyDescent="0.3">
      <c r="A2223" t="s">
        <v>575</v>
      </c>
      <c r="B2223" t="s">
        <v>37</v>
      </c>
      <c r="C2223" t="s">
        <v>6</v>
      </c>
      <c r="D2223" t="s">
        <v>13</v>
      </c>
      <c r="E2223" s="68">
        <v>242</v>
      </c>
      <c r="F2223" s="68">
        <v>238</v>
      </c>
      <c r="G2223" s="68">
        <v>480</v>
      </c>
    </row>
    <row r="2224" spans="1:7" x14ac:dyDescent="0.3">
      <c r="A2224" t="s">
        <v>575</v>
      </c>
      <c r="B2224" t="s">
        <v>37</v>
      </c>
      <c r="C2224" t="s">
        <v>6</v>
      </c>
      <c r="D2224" t="s">
        <v>14</v>
      </c>
      <c r="E2224" s="68">
        <v>278</v>
      </c>
      <c r="F2224" s="68">
        <v>246</v>
      </c>
      <c r="G2224" s="68">
        <v>524</v>
      </c>
    </row>
    <row r="2225" spans="1:7" x14ac:dyDescent="0.3">
      <c r="A2225" t="s">
        <v>575</v>
      </c>
      <c r="B2225" t="s">
        <v>37</v>
      </c>
      <c r="C2225" t="s">
        <v>6</v>
      </c>
      <c r="D2225" t="s">
        <v>15</v>
      </c>
      <c r="E2225" s="68">
        <v>261</v>
      </c>
      <c r="F2225" s="68">
        <v>224</v>
      </c>
      <c r="G2225" s="68">
        <v>485</v>
      </c>
    </row>
    <row r="2226" spans="1:7" x14ac:dyDescent="0.3">
      <c r="A2226" t="s">
        <v>575</v>
      </c>
      <c r="B2226" t="s">
        <v>37</v>
      </c>
      <c r="C2226" t="s">
        <v>6</v>
      </c>
      <c r="D2226" t="s">
        <v>16</v>
      </c>
      <c r="E2226" s="68">
        <v>262</v>
      </c>
      <c r="F2226" s="68">
        <v>228</v>
      </c>
      <c r="G2226" s="68">
        <v>490</v>
      </c>
    </row>
    <row r="2227" spans="1:7" x14ac:dyDescent="0.3">
      <c r="A2227" t="s">
        <v>575</v>
      </c>
      <c r="B2227" t="s">
        <v>37</v>
      </c>
      <c r="C2227" t="s">
        <v>6</v>
      </c>
      <c r="D2227" t="s">
        <v>17</v>
      </c>
      <c r="E2227" s="68">
        <v>220</v>
      </c>
      <c r="F2227" s="68">
        <v>234</v>
      </c>
      <c r="G2227" s="68">
        <v>454</v>
      </c>
    </row>
    <row r="2228" spans="1:7" x14ac:dyDescent="0.3">
      <c r="A2228" t="s">
        <v>575</v>
      </c>
      <c r="B2228" t="s">
        <v>37</v>
      </c>
      <c r="C2228" t="s">
        <v>6</v>
      </c>
      <c r="D2228" t="s">
        <v>18</v>
      </c>
      <c r="E2228" s="68">
        <v>206</v>
      </c>
      <c r="F2228" s="68">
        <v>204</v>
      </c>
      <c r="G2228" s="68">
        <v>410</v>
      </c>
    </row>
    <row r="2229" spans="1:7" x14ac:dyDescent="0.3">
      <c r="A2229" t="s">
        <v>575</v>
      </c>
      <c r="B2229" t="s">
        <v>37</v>
      </c>
      <c r="C2229" t="s">
        <v>6</v>
      </c>
      <c r="D2229" t="s">
        <v>19</v>
      </c>
      <c r="E2229" s="68">
        <v>177</v>
      </c>
      <c r="F2229" s="68">
        <v>181</v>
      </c>
      <c r="G2229" s="68">
        <v>358</v>
      </c>
    </row>
    <row r="2230" spans="1:7" x14ac:dyDescent="0.3">
      <c r="A2230" t="s">
        <v>575</v>
      </c>
      <c r="B2230" t="s">
        <v>37</v>
      </c>
      <c r="C2230" t="s">
        <v>6</v>
      </c>
      <c r="D2230" t="s">
        <v>20</v>
      </c>
      <c r="E2230" s="68">
        <v>130</v>
      </c>
      <c r="F2230" s="68">
        <v>141</v>
      </c>
      <c r="G2230" s="68">
        <v>271</v>
      </c>
    </row>
    <row r="2231" spans="1:7" x14ac:dyDescent="0.3">
      <c r="A2231" t="s">
        <v>575</v>
      </c>
      <c r="B2231" t="s">
        <v>37</v>
      </c>
      <c r="C2231" t="s">
        <v>6</v>
      </c>
      <c r="D2231" t="s">
        <v>21</v>
      </c>
      <c r="E2231" s="68">
        <v>102</v>
      </c>
      <c r="F2231" s="68">
        <v>87</v>
      </c>
      <c r="G2231" s="68">
        <v>189</v>
      </c>
    </row>
    <row r="2232" spans="1:7" x14ac:dyDescent="0.3">
      <c r="A2232" t="s">
        <v>575</v>
      </c>
      <c r="B2232" t="s">
        <v>37</v>
      </c>
      <c r="C2232" t="s">
        <v>6</v>
      </c>
      <c r="D2232" t="s">
        <v>22</v>
      </c>
      <c r="E2232" s="68">
        <v>70</v>
      </c>
      <c r="F2232" s="68">
        <v>52</v>
      </c>
      <c r="G2232" s="68">
        <v>122</v>
      </c>
    </row>
    <row r="2233" spans="1:7" x14ac:dyDescent="0.3">
      <c r="A2233" t="s">
        <v>575</v>
      </c>
      <c r="B2233" t="s">
        <v>37</v>
      </c>
      <c r="C2233" t="s">
        <v>6</v>
      </c>
      <c r="D2233" t="s">
        <v>23</v>
      </c>
      <c r="E2233" s="68">
        <v>53</v>
      </c>
      <c r="F2233" s="68">
        <v>65</v>
      </c>
      <c r="G2233" s="68">
        <v>118</v>
      </c>
    </row>
    <row r="2234" spans="1:7" x14ac:dyDescent="0.3">
      <c r="A2234" t="s">
        <v>575</v>
      </c>
      <c r="B2234" t="s">
        <v>37</v>
      </c>
      <c r="C2234" t="s">
        <v>24</v>
      </c>
      <c r="D2234" t="s">
        <v>7</v>
      </c>
      <c r="E2234" s="68">
        <v>362</v>
      </c>
      <c r="F2234" s="68">
        <v>385</v>
      </c>
      <c r="G2234" s="68">
        <v>747</v>
      </c>
    </row>
    <row r="2235" spans="1:7" x14ac:dyDescent="0.3">
      <c r="A2235" t="s">
        <v>575</v>
      </c>
      <c r="B2235" t="s">
        <v>37</v>
      </c>
      <c r="C2235" t="s">
        <v>24</v>
      </c>
      <c r="D2235" t="s">
        <v>8</v>
      </c>
      <c r="E2235" s="68">
        <v>586</v>
      </c>
      <c r="F2235" s="68">
        <v>597</v>
      </c>
      <c r="G2235" s="68">
        <v>1183</v>
      </c>
    </row>
    <row r="2236" spans="1:7" x14ac:dyDescent="0.3">
      <c r="A2236" t="s">
        <v>575</v>
      </c>
      <c r="B2236" t="s">
        <v>37</v>
      </c>
      <c r="C2236" t="s">
        <v>24</v>
      </c>
      <c r="D2236" t="s">
        <v>9</v>
      </c>
      <c r="E2236" s="68">
        <v>688</v>
      </c>
      <c r="F2236" s="68">
        <v>754</v>
      </c>
      <c r="G2236" s="68">
        <v>1442</v>
      </c>
    </row>
    <row r="2237" spans="1:7" x14ac:dyDescent="0.3">
      <c r="A2237" t="s">
        <v>575</v>
      </c>
      <c r="B2237" t="s">
        <v>37</v>
      </c>
      <c r="C2237" t="s">
        <v>24</v>
      </c>
      <c r="D2237" t="s">
        <v>10</v>
      </c>
      <c r="E2237" s="68">
        <v>736</v>
      </c>
      <c r="F2237" s="68">
        <v>806</v>
      </c>
      <c r="G2237" s="68">
        <v>1542</v>
      </c>
    </row>
    <row r="2238" spans="1:7" x14ac:dyDescent="0.3">
      <c r="A2238" t="s">
        <v>575</v>
      </c>
      <c r="B2238" t="s">
        <v>37</v>
      </c>
      <c r="C2238" t="s">
        <v>24</v>
      </c>
      <c r="D2238" t="s">
        <v>11</v>
      </c>
      <c r="E2238" s="68">
        <v>537</v>
      </c>
      <c r="F2238" s="68">
        <v>421</v>
      </c>
      <c r="G2238" s="68">
        <v>958</v>
      </c>
    </row>
    <row r="2239" spans="1:7" x14ac:dyDescent="0.3">
      <c r="A2239" t="s">
        <v>575</v>
      </c>
      <c r="B2239" t="s">
        <v>37</v>
      </c>
      <c r="C2239" t="s">
        <v>24</v>
      </c>
      <c r="D2239" t="s">
        <v>12</v>
      </c>
      <c r="E2239" s="68">
        <v>530</v>
      </c>
      <c r="F2239" s="68">
        <v>362</v>
      </c>
      <c r="G2239" s="68">
        <v>892</v>
      </c>
    </row>
    <row r="2240" spans="1:7" x14ac:dyDescent="0.3">
      <c r="A2240" t="s">
        <v>575</v>
      </c>
      <c r="B2240" t="s">
        <v>37</v>
      </c>
      <c r="C2240" t="s">
        <v>24</v>
      </c>
      <c r="D2240" t="s">
        <v>13</v>
      </c>
      <c r="E2240" s="68">
        <v>517</v>
      </c>
      <c r="F2240" s="68">
        <v>324</v>
      </c>
      <c r="G2240" s="68">
        <v>841</v>
      </c>
    </row>
    <row r="2241" spans="1:7" x14ac:dyDescent="0.3">
      <c r="A2241" t="s">
        <v>575</v>
      </c>
      <c r="B2241" t="s">
        <v>37</v>
      </c>
      <c r="C2241" t="s">
        <v>24</v>
      </c>
      <c r="D2241" t="s">
        <v>14</v>
      </c>
      <c r="E2241" s="68">
        <v>491</v>
      </c>
      <c r="F2241" s="68">
        <v>279</v>
      </c>
      <c r="G2241" s="68">
        <v>770</v>
      </c>
    </row>
    <row r="2242" spans="1:7" x14ac:dyDescent="0.3">
      <c r="A2242" t="s">
        <v>575</v>
      </c>
      <c r="B2242" t="s">
        <v>37</v>
      </c>
      <c r="C2242" t="s">
        <v>24</v>
      </c>
      <c r="D2242" t="s">
        <v>15</v>
      </c>
      <c r="E2242" s="68">
        <v>461</v>
      </c>
      <c r="F2242" s="68">
        <v>266</v>
      </c>
      <c r="G2242" s="68">
        <v>727</v>
      </c>
    </row>
    <row r="2243" spans="1:7" x14ac:dyDescent="0.3">
      <c r="A2243" t="s">
        <v>575</v>
      </c>
      <c r="B2243" t="s">
        <v>37</v>
      </c>
      <c r="C2243" t="s">
        <v>24</v>
      </c>
      <c r="D2243" t="s">
        <v>16</v>
      </c>
      <c r="E2243" s="68">
        <v>442</v>
      </c>
      <c r="F2243" s="68">
        <v>288</v>
      </c>
      <c r="G2243" s="68">
        <v>730</v>
      </c>
    </row>
    <row r="2244" spans="1:7" x14ac:dyDescent="0.3">
      <c r="A2244" t="s">
        <v>575</v>
      </c>
      <c r="B2244" t="s">
        <v>37</v>
      </c>
      <c r="C2244" t="s">
        <v>24</v>
      </c>
      <c r="D2244" t="s">
        <v>17</v>
      </c>
      <c r="E2244" s="68">
        <v>429</v>
      </c>
      <c r="F2244" s="68">
        <v>282</v>
      </c>
      <c r="G2244" s="68">
        <v>711</v>
      </c>
    </row>
    <row r="2245" spans="1:7" x14ac:dyDescent="0.3">
      <c r="A2245" t="s">
        <v>575</v>
      </c>
      <c r="B2245" t="s">
        <v>37</v>
      </c>
      <c r="C2245" t="s">
        <v>24</v>
      </c>
      <c r="D2245" t="s">
        <v>18</v>
      </c>
      <c r="E2245" s="68">
        <v>454</v>
      </c>
      <c r="F2245" s="68">
        <v>301</v>
      </c>
      <c r="G2245" s="68">
        <v>755</v>
      </c>
    </row>
    <row r="2246" spans="1:7" x14ac:dyDescent="0.3">
      <c r="A2246" t="s">
        <v>575</v>
      </c>
      <c r="B2246" t="s">
        <v>37</v>
      </c>
      <c r="C2246" t="s">
        <v>24</v>
      </c>
      <c r="D2246" t="s">
        <v>19</v>
      </c>
      <c r="E2246" s="68">
        <v>392</v>
      </c>
      <c r="F2246" s="68">
        <v>358</v>
      </c>
      <c r="G2246" s="68">
        <v>750</v>
      </c>
    </row>
    <row r="2247" spans="1:7" x14ac:dyDescent="0.3">
      <c r="A2247" t="s">
        <v>575</v>
      </c>
      <c r="B2247" t="s">
        <v>37</v>
      </c>
      <c r="C2247" t="s">
        <v>24</v>
      </c>
      <c r="D2247" t="s">
        <v>20</v>
      </c>
      <c r="E2247" s="68">
        <v>371</v>
      </c>
      <c r="F2247" s="68">
        <v>307</v>
      </c>
      <c r="G2247" s="68">
        <v>678</v>
      </c>
    </row>
    <row r="2248" spans="1:7" x14ac:dyDescent="0.3">
      <c r="A2248" t="s">
        <v>575</v>
      </c>
      <c r="B2248" t="s">
        <v>37</v>
      </c>
      <c r="C2248" t="s">
        <v>24</v>
      </c>
      <c r="D2248" t="s">
        <v>21</v>
      </c>
      <c r="E2248" s="68">
        <v>290</v>
      </c>
      <c r="F2248" s="68">
        <v>224</v>
      </c>
      <c r="G2248" s="68">
        <v>514</v>
      </c>
    </row>
    <row r="2249" spans="1:7" x14ac:dyDescent="0.3">
      <c r="A2249" t="s">
        <v>575</v>
      </c>
      <c r="B2249" t="s">
        <v>37</v>
      </c>
      <c r="C2249" t="s">
        <v>24</v>
      </c>
      <c r="D2249" t="s">
        <v>22</v>
      </c>
      <c r="E2249" s="68">
        <v>215</v>
      </c>
      <c r="F2249" s="68">
        <v>192</v>
      </c>
      <c r="G2249" s="68">
        <v>407</v>
      </c>
    </row>
    <row r="2250" spans="1:7" x14ac:dyDescent="0.3">
      <c r="A2250" t="s">
        <v>575</v>
      </c>
      <c r="B2250" t="s">
        <v>37</v>
      </c>
      <c r="C2250" t="s">
        <v>24</v>
      </c>
      <c r="D2250" t="s">
        <v>23</v>
      </c>
      <c r="E2250" s="68">
        <v>270</v>
      </c>
      <c r="F2250" s="68">
        <v>165</v>
      </c>
      <c r="G2250" s="68">
        <v>435</v>
      </c>
    </row>
    <row r="2251" spans="1:7" x14ac:dyDescent="0.3">
      <c r="A2251" t="s">
        <v>575</v>
      </c>
      <c r="B2251" t="s">
        <v>35</v>
      </c>
      <c r="C2251" t="s">
        <v>6</v>
      </c>
      <c r="D2251" t="s">
        <v>8</v>
      </c>
      <c r="E2251" s="68"/>
      <c r="F2251" s="68">
        <v>1</v>
      </c>
      <c r="G2251" s="68">
        <v>1</v>
      </c>
    </row>
    <row r="2252" spans="1:7" x14ac:dyDescent="0.3">
      <c r="A2252" t="s">
        <v>575</v>
      </c>
      <c r="B2252" t="s">
        <v>35</v>
      </c>
      <c r="C2252" t="s">
        <v>6</v>
      </c>
      <c r="D2252" t="s">
        <v>9</v>
      </c>
      <c r="E2252" s="68">
        <v>1</v>
      </c>
      <c r="F2252" s="68">
        <v>1</v>
      </c>
      <c r="G2252" s="68">
        <v>2</v>
      </c>
    </row>
    <row r="2253" spans="1:7" x14ac:dyDescent="0.3">
      <c r="A2253" t="s">
        <v>575</v>
      </c>
      <c r="B2253" t="s">
        <v>35</v>
      </c>
      <c r="C2253" t="s">
        <v>6</v>
      </c>
      <c r="D2253" t="s">
        <v>10</v>
      </c>
      <c r="E2253" s="68">
        <v>1</v>
      </c>
      <c r="F2253" s="68">
        <v>6</v>
      </c>
      <c r="G2253" s="68">
        <v>7</v>
      </c>
    </row>
    <row r="2254" spans="1:7" x14ac:dyDescent="0.3">
      <c r="A2254" t="s">
        <v>575</v>
      </c>
      <c r="B2254" t="s">
        <v>35</v>
      </c>
      <c r="C2254" t="s">
        <v>6</v>
      </c>
      <c r="D2254" t="s">
        <v>11</v>
      </c>
      <c r="E2254" s="68">
        <v>4</v>
      </c>
      <c r="F2254" s="68">
        <v>2</v>
      </c>
      <c r="G2254" s="68">
        <v>6</v>
      </c>
    </row>
    <row r="2255" spans="1:7" x14ac:dyDescent="0.3">
      <c r="A2255" t="s">
        <v>575</v>
      </c>
      <c r="B2255" t="s">
        <v>35</v>
      </c>
      <c r="C2255" t="s">
        <v>6</v>
      </c>
      <c r="D2255" t="s">
        <v>12</v>
      </c>
      <c r="E2255" s="68"/>
      <c r="F2255" s="68">
        <v>1</v>
      </c>
      <c r="G2255" s="68">
        <v>1</v>
      </c>
    </row>
    <row r="2256" spans="1:7" x14ac:dyDescent="0.3">
      <c r="A2256" t="s">
        <v>575</v>
      </c>
      <c r="B2256" t="s">
        <v>35</v>
      </c>
      <c r="C2256" t="s">
        <v>6</v>
      </c>
      <c r="D2256" t="s">
        <v>13</v>
      </c>
      <c r="E2256" s="68"/>
      <c r="F2256" s="68">
        <v>1</v>
      </c>
      <c r="G2256" s="68">
        <v>1</v>
      </c>
    </row>
    <row r="2257" spans="1:7" x14ac:dyDescent="0.3">
      <c r="A2257" t="s">
        <v>575</v>
      </c>
      <c r="B2257" t="s">
        <v>35</v>
      </c>
      <c r="C2257" t="s">
        <v>6</v>
      </c>
      <c r="D2257" t="s">
        <v>14</v>
      </c>
      <c r="E2257" s="68">
        <v>1</v>
      </c>
      <c r="F2257" s="68"/>
      <c r="G2257" s="68">
        <v>1</v>
      </c>
    </row>
    <row r="2258" spans="1:7" x14ac:dyDescent="0.3">
      <c r="A2258" t="s">
        <v>575</v>
      </c>
      <c r="B2258" t="s">
        <v>35</v>
      </c>
      <c r="C2258" t="s">
        <v>6</v>
      </c>
      <c r="D2258" t="s">
        <v>15</v>
      </c>
      <c r="E2258" s="68">
        <v>2</v>
      </c>
      <c r="F2258" s="68">
        <v>1</v>
      </c>
      <c r="G2258" s="68">
        <v>3</v>
      </c>
    </row>
    <row r="2259" spans="1:7" x14ac:dyDescent="0.3">
      <c r="A2259" t="s">
        <v>575</v>
      </c>
      <c r="B2259" t="s">
        <v>35</v>
      </c>
      <c r="C2259" t="s">
        <v>6</v>
      </c>
      <c r="D2259" t="s">
        <v>16</v>
      </c>
      <c r="E2259" s="68">
        <v>5</v>
      </c>
      <c r="F2259" s="68"/>
      <c r="G2259" s="68">
        <v>5</v>
      </c>
    </row>
    <row r="2260" spans="1:7" x14ac:dyDescent="0.3">
      <c r="A2260" t="s">
        <v>575</v>
      </c>
      <c r="B2260" t="s">
        <v>35</v>
      </c>
      <c r="C2260" t="s">
        <v>6</v>
      </c>
      <c r="D2260" t="s">
        <v>17</v>
      </c>
      <c r="E2260" s="68">
        <v>12</v>
      </c>
      <c r="F2260" s="68">
        <v>3</v>
      </c>
      <c r="G2260" s="68">
        <v>15</v>
      </c>
    </row>
    <row r="2261" spans="1:7" x14ac:dyDescent="0.3">
      <c r="A2261" t="s">
        <v>575</v>
      </c>
      <c r="B2261" t="s">
        <v>35</v>
      </c>
      <c r="C2261" t="s">
        <v>6</v>
      </c>
      <c r="D2261" t="s">
        <v>18</v>
      </c>
      <c r="E2261" s="68">
        <v>20</v>
      </c>
      <c r="F2261" s="68"/>
      <c r="G2261" s="68">
        <v>20</v>
      </c>
    </row>
    <row r="2262" spans="1:7" x14ac:dyDescent="0.3">
      <c r="A2262" t="s">
        <v>575</v>
      </c>
      <c r="B2262" t="s">
        <v>35</v>
      </c>
      <c r="C2262" t="s">
        <v>6</v>
      </c>
      <c r="D2262" t="s">
        <v>19</v>
      </c>
      <c r="E2262" s="68">
        <v>33</v>
      </c>
      <c r="F2262" s="68">
        <v>8</v>
      </c>
      <c r="G2262" s="68">
        <v>41</v>
      </c>
    </row>
    <row r="2263" spans="1:7" x14ac:dyDescent="0.3">
      <c r="A2263" t="s">
        <v>575</v>
      </c>
      <c r="B2263" t="s">
        <v>35</v>
      </c>
      <c r="C2263" t="s">
        <v>6</v>
      </c>
      <c r="D2263" t="s">
        <v>20</v>
      </c>
      <c r="E2263" s="68">
        <v>56</v>
      </c>
      <c r="F2263" s="68">
        <v>26</v>
      </c>
      <c r="G2263" s="68">
        <v>82</v>
      </c>
    </row>
    <row r="2264" spans="1:7" x14ac:dyDescent="0.3">
      <c r="A2264" t="s">
        <v>575</v>
      </c>
      <c r="B2264" t="s">
        <v>35</v>
      </c>
      <c r="C2264" t="s">
        <v>6</v>
      </c>
      <c r="D2264" t="s">
        <v>21</v>
      </c>
      <c r="E2264" s="68">
        <v>52</v>
      </c>
      <c r="F2264" s="68">
        <v>44</v>
      </c>
      <c r="G2264" s="68">
        <v>96</v>
      </c>
    </row>
    <row r="2265" spans="1:7" x14ac:dyDescent="0.3">
      <c r="A2265" t="s">
        <v>575</v>
      </c>
      <c r="B2265" t="s">
        <v>35</v>
      </c>
      <c r="C2265" t="s">
        <v>6</v>
      </c>
      <c r="D2265" t="s">
        <v>22</v>
      </c>
      <c r="E2265" s="68">
        <v>39</v>
      </c>
      <c r="F2265" s="68">
        <v>49</v>
      </c>
      <c r="G2265" s="68">
        <v>88</v>
      </c>
    </row>
    <row r="2266" spans="1:7" x14ac:dyDescent="0.3">
      <c r="A2266" t="s">
        <v>575</v>
      </c>
      <c r="B2266" t="s">
        <v>35</v>
      </c>
      <c r="C2266" t="s">
        <v>6</v>
      </c>
      <c r="D2266" t="s">
        <v>23</v>
      </c>
      <c r="E2266" s="68">
        <v>45</v>
      </c>
      <c r="F2266" s="68">
        <v>44</v>
      </c>
      <c r="G2266" s="68">
        <v>89</v>
      </c>
    </row>
    <row r="2267" spans="1:7" x14ac:dyDescent="0.3">
      <c r="A2267" t="s">
        <v>575</v>
      </c>
      <c r="B2267" t="s">
        <v>25</v>
      </c>
      <c r="C2267" t="s">
        <v>6</v>
      </c>
      <c r="D2267" t="s">
        <v>7</v>
      </c>
      <c r="E2267" s="68">
        <v>15</v>
      </c>
      <c r="F2267" s="68">
        <v>13</v>
      </c>
      <c r="G2267" s="68">
        <v>28</v>
      </c>
    </row>
    <row r="2268" spans="1:7" x14ac:dyDescent="0.3">
      <c r="A2268" t="s">
        <v>575</v>
      </c>
      <c r="B2268" t="s">
        <v>25</v>
      </c>
      <c r="C2268" t="s">
        <v>6</v>
      </c>
      <c r="D2268" t="s">
        <v>8</v>
      </c>
      <c r="E2268" s="68">
        <v>17</v>
      </c>
      <c r="F2268" s="68">
        <v>31</v>
      </c>
      <c r="G2268" s="68">
        <v>48</v>
      </c>
    </row>
    <row r="2269" spans="1:7" x14ac:dyDescent="0.3">
      <c r="A2269" t="s">
        <v>575</v>
      </c>
      <c r="B2269" t="s">
        <v>25</v>
      </c>
      <c r="C2269" t="s">
        <v>6</v>
      </c>
      <c r="D2269" t="s">
        <v>9</v>
      </c>
      <c r="E2269" s="68">
        <v>15</v>
      </c>
      <c r="F2269" s="68">
        <v>26</v>
      </c>
      <c r="G2269" s="68">
        <v>41</v>
      </c>
    </row>
    <row r="2270" spans="1:7" x14ac:dyDescent="0.3">
      <c r="A2270" t="s">
        <v>575</v>
      </c>
      <c r="B2270" t="s">
        <v>25</v>
      </c>
      <c r="C2270" t="s">
        <v>6</v>
      </c>
      <c r="D2270" t="s">
        <v>10</v>
      </c>
      <c r="E2270" s="68">
        <v>18</v>
      </c>
      <c r="F2270" s="68">
        <v>27</v>
      </c>
      <c r="G2270" s="68">
        <v>45</v>
      </c>
    </row>
    <row r="2271" spans="1:7" x14ac:dyDescent="0.3">
      <c r="A2271" t="s">
        <v>575</v>
      </c>
      <c r="B2271" t="s">
        <v>25</v>
      </c>
      <c r="C2271" t="s">
        <v>6</v>
      </c>
      <c r="D2271" t="s">
        <v>11</v>
      </c>
      <c r="E2271" s="68">
        <v>36</v>
      </c>
      <c r="F2271" s="68">
        <v>102</v>
      </c>
      <c r="G2271" s="68">
        <v>138</v>
      </c>
    </row>
    <row r="2272" spans="1:7" x14ac:dyDescent="0.3">
      <c r="A2272" t="s">
        <v>575</v>
      </c>
      <c r="B2272" t="s">
        <v>25</v>
      </c>
      <c r="C2272" t="s">
        <v>6</v>
      </c>
      <c r="D2272" t="s">
        <v>12</v>
      </c>
      <c r="E2272" s="68">
        <v>39</v>
      </c>
      <c r="F2272" s="68">
        <v>59</v>
      </c>
      <c r="G2272" s="68">
        <v>98</v>
      </c>
    </row>
    <row r="2273" spans="1:7" x14ac:dyDescent="0.3">
      <c r="A2273" t="s">
        <v>575</v>
      </c>
      <c r="B2273" t="s">
        <v>25</v>
      </c>
      <c r="C2273" t="s">
        <v>6</v>
      </c>
      <c r="D2273" t="s">
        <v>13</v>
      </c>
      <c r="E2273" s="68">
        <v>52</v>
      </c>
      <c r="F2273" s="68">
        <v>57</v>
      </c>
      <c r="G2273" s="68">
        <v>109</v>
      </c>
    </row>
    <row r="2274" spans="1:7" x14ac:dyDescent="0.3">
      <c r="A2274" t="s">
        <v>575</v>
      </c>
      <c r="B2274" t="s">
        <v>25</v>
      </c>
      <c r="C2274" t="s">
        <v>6</v>
      </c>
      <c r="D2274" t="s">
        <v>14</v>
      </c>
      <c r="E2274" s="68">
        <v>20</v>
      </c>
      <c r="F2274" s="68">
        <v>44</v>
      </c>
      <c r="G2274" s="68">
        <v>64</v>
      </c>
    </row>
    <row r="2275" spans="1:7" x14ac:dyDescent="0.3">
      <c r="A2275" t="s">
        <v>575</v>
      </c>
      <c r="B2275" t="s">
        <v>25</v>
      </c>
      <c r="C2275" t="s">
        <v>6</v>
      </c>
      <c r="D2275" t="s">
        <v>15</v>
      </c>
      <c r="E2275" s="68">
        <v>19</v>
      </c>
      <c r="F2275" s="68">
        <v>29</v>
      </c>
      <c r="G2275" s="68">
        <v>48</v>
      </c>
    </row>
    <row r="2276" spans="1:7" x14ac:dyDescent="0.3">
      <c r="A2276" t="s">
        <v>575</v>
      </c>
      <c r="B2276" t="s">
        <v>25</v>
      </c>
      <c r="C2276" t="s">
        <v>6</v>
      </c>
      <c r="D2276" t="s">
        <v>16</v>
      </c>
      <c r="E2276" s="68">
        <v>18</v>
      </c>
      <c r="F2276" s="68">
        <v>31</v>
      </c>
      <c r="G2276" s="68">
        <v>49</v>
      </c>
    </row>
    <row r="2277" spans="1:7" x14ac:dyDescent="0.3">
      <c r="A2277" t="s">
        <v>575</v>
      </c>
      <c r="B2277" t="s">
        <v>25</v>
      </c>
      <c r="C2277" t="s">
        <v>6</v>
      </c>
      <c r="D2277" t="s">
        <v>17</v>
      </c>
      <c r="E2277" s="68">
        <v>9</v>
      </c>
      <c r="F2277" s="68">
        <v>22</v>
      </c>
      <c r="G2277" s="68">
        <v>31</v>
      </c>
    </row>
    <row r="2278" spans="1:7" x14ac:dyDescent="0.3">
      <c r="A2278" t="s">
        <v>575</v>
      </c>
      <c r="B2278" t="s">
        <v>25</v>
      </c>
      <c r="C2278" t="s">
        <v>6</v>
      </c>
      <c r="D2278" t="s">
        <v>18</v>
      </c>
      <c r="E2278" s="68">
        <v>5</v>
      </c>
      <c r="F2278" s="68">
        <v>17</v>
      </c>
      <c r="G2278" s="68">
        <v>22</v>
      </c>
    </row>
    <row r="2279" spans="1:7" x14ac:dyDescent="0.3">
      <c r="A2279" t="s">
        <v>575</v>
      </c>
      <c r="B2279" t="s">
        <v>25</v>
      </c>
      <c r="C2279" t="s">
        <v>6</v>
      </c>
      <c r="D2279" t="s">
        <v>19</v>
      </c>
      <c r="E2279" s="68">
        <v>4</v>
      </c>
      <c r="F2279" s="68">
        <v>15</v>
      </c>
      <c r="G2279" s="68">
        <v>19</v>
      </c>
    </row>
    <row r="2280" spans="1:7" x14ac:dyDescent="0.3">
      <c r="A2280" t="s">
        <v>575</v>
      </c>
      <c r="B2280" t="s">
        <v>25</v>
      </c>
      <c r="C2280" t="s">
        <v>6</v>
      </c>
      <c r="D2280" t="s">
        <v>20</v>
      </c>
      <c r="E2280" s="68">
        <v>5</v>
      </c>
      <c r="F2280" s="68">
        <v>10</v>
      </c>
      <c r="G2280" s="68">
        <v>15</v>
      </c>
    </row>
    <row r="2281" spans="1:7" x14ac:dyDescent="0.3">
      <c r="A2281" t="s">
        <v>575</v>
      </c>
      <c r="B2281" t="s">
        <v>25</v>
      </c>
      <c r="C2281" t="s">
        <v>6</v>
      </c>
      <c r="D2281" t="s">
        <v>21</v>
      </c>
      <c r="E2281" s="68">
        <v>3</v>
      </c>
      <c r="F2281" s="68">
        <v>5</v>
      </c>
      <c r="G2281" s="68">
        <v>8</v>
      </c>
    </row>
    <row r="2282" spans="1:7" x14ac:dyDescent="0.3">
      <c r="A2282" t="s">
        <v>575</v>
      </c>
      <c r="B2282" t="s">
        <v>25</v>
      </c>
      <c r="C2282" t="s">
        <v>6</v>
      </c>
      <c r="D2282" t="s">
        <v>22</v>
      </c>
      <c r="E2282" s="68"/>
      <c r="F2282" s="68">
        <v>2</v>
      </c>
      <c r="G2282" s="68">
        <v>2</v>
      </c>
    </row>
    <row r="2283" spans="1:7" x14ac:dyDescent="0.3">
      <c r="A2283" t="s">
        <v>575</v>
      </c>
      <c r="B2283" t="s">
        <v>25</v>
      </c>
      <c r="C2283" t="s">
        <v>24</v>
      </c>
      <c r="D2283" t="s">
        <v>7</v>
      </c>
      <c r="E2283" s="68">
        <v>201</v>
      </c>
      <c r="F2283" s="68">
        <v>199</v>
      </c>
      <c r="G2283" s="68">
        <v>400</v>
      </c>
    </row>
    <row r="2284" spans="1:7" x14ac:dyDescent="0.3">
      <c r="A2284" t="s">
        <v>575</v>
      </c>
      <c r="B2284" t="s">
        <v>25</v>
      </c>
      <c r="C2284" t="s">
        <v>24</v>
      </c>
      <c r="D2284" t="s">
        <v>8</v>
      </c>
      <c r="E2284" s="68">
        <v>206</v>
      </c>
      <c r="F2284" s="68">
        <v>209</v>
      </c>
      <c r="G2284" s="68">
        <v>415</v>
      </c>
    </row>
    <row r="2285" spans="1:7" x14ac:dyDescent="0.3">
      <c r="A2285" t="s">
        <v>575</v>
      </c>
      <c r="B2285" t="s">
        <v>25</v>
      </c>
      <c r="C2285" t="s">
        <v>24</v>
      </c>
      <c r="D2285" t="s">
        <v>9</v>
      </c>
      <c r="E2285" s="68">
        <v>229</v>
      </c>
      <c r="F2285" s="68">
        <v>215</v>
      </c>
      <c r="G2285" s="68">
        <v>444</v>
      </c>
    </row>
    <row r="2286" spans="1:7" x14ac:dyDescent="0.3">
      <c r="A2286" t="s">
        <v>575</v>
      </c>
      <c r="B2286" t="s">
        <v>25</v>
      </c>
      <c r="C2286" t="s">
        <v>24</v>
      </c>
      <c r="D2286" t="s">
        <v>10</v>
      </c>
      <c r="E2286" s="68">
        <v>230</v>
      </c>
      <c r="F2286" s="68">
        <v>217</v>
      </c>
      <c r="G2286" s="68">
        <v>447</v>
      </c>
    </row>
    <row r="2287" spans="1:7" x14ac:dyDescent="0.3">
      <c r="A2287" t="s">
        <v>575</v>
      </c>
      <c r="B2287" t="s">
        <v>25</v>
      </c>
      <c r="C2287" t="s">
        <v>24</v>
      </c>
      <c r="D2287" t="s">
        <v>11</v>
      </c>
      <c r="E2287" s="68">
        <v>282</v>
      </c>
      <c r="F2287" s="68">
        <v>196</v>
      </c>
      <c r="G2287" s="68">
        <v>478</v>
      </c>
    </row>
    <row r="2288" spans="1:7" x14ac:dyDescent="0.3">
      <c r="A2288" t="s">
        <v>575</v>
      </c>
      <c r="B2288" t="s">
        <v>25</v>
      </c>
      <c r="C2288" t="s">
        <v>24</v>
      </c>
      <c r="D2288" t="s">
        <v>12</v>
      </c>
      <c r="E2288" s="68">
        <v>262</v>
      </c>
      <c r="F2288" s="68">
        <v>178</v>
      </c>
      <c r="G2288" s="68">
        <v>440</v>
      </c>
    </row>
    <row r="2289" spans="1:7" x14ac:dyDescent="0.3">
      <c r="A2289" t="s">
        <v>575</v>
      </c>
      <c r="B2289" t="s">
        <v>25</v>
      </c>
      <c r="C2289" t="s">
        <v>24</v>
      </c>
      <c r="D2289" t="s">
        <v>13</v>
      </c>
      <c r="E2289" s="68">
        <v>236</v>
      </c>
      <c r="F2289" s="68">
        <v>178</v>
      </c>
      <c r="G2289" s="68">
        <v>414</v>
      </c>
    </row>
    <row r="2290" spans="1:7" x14ac:dyDescent="0.3">
      <c r="A2290" t="s">
        <v>575</v>
      </c>
      <c r="B2290" t="s">
        <v>25</v>
      </c>
      <c r="C2290" t="s">
        <v>24</v>
      </c>
      <c r="D2290" t="s">
        <v>14</v>
      </c>
      <c r="E2290" s="68">
        <v>204</v>
      </c>
      <c r="F2290" s="68">
        <v>155</v>
      </c>
      <c r="G2290" s="68">
        <v>359</v>
      </c>
    </row>
    <row r="2291" spans="1:7" x14ac:dyDescent="0.3">
      <c r="A2291" t="s">
        <v>575</v>
      </c>
      <c r="B2291" t="s">
        <v>25</v>
      </c>
      <c r="C2291" t="s">
        <v>24</v>
      </c>
      <c r="D2291" t="s">
        <v>15</v>
      </c>
      <c r="E2291" s="68">
        <v>204</v>
      </c>
      <c r="F2291" s="68">
        <v>135</v>
      </c>
      <c r="G2291" s="68">
        <v>339</v>
      </c>
    </row>
    <row r="2292" spans="1:7" x14ac:dyDescent="0.3">
      <c r="A2292" t="s">
        <v>575</v>
      </c>
      <c r="B2292" t="s">
        <v>25</v>
      </c>
      <c r="C2292" t="s">
        <v>24</v>
      </c>
      <c r="D2292" t="s">
        <v>16</v>
      </c>
      <c r="E2292" s="68">
        <v>218</v>
      </c>
      <c r="F2292" s="68">
        <v>153</v>
      </c>
      <c r="G2292" s="68">
        <v>371</v>
      </c>
    </row>
    <row r="2293" spans="1:7" x14ac:dyDescent="0.3">
      <c r="A2293" t="s">
        <v>575</v>
      </c>
      <c r="B2293" t="s">
        <v>25</v>
      </c>
      <c r="C2293" t="s">
        <v>24</v>
      </c>
      <c r="D2293" t="s">
        <v>17</v>
      </c>
      <c r="E2293" s="68">
        <v>203</v>
      </c>
      <c r="F2293" s="68">
        <v>159</v>
      </c>
      <c r="G2293" s="68">
        <v>362</v>
      </c>
    </row>
    <row r="2294" spans="1:7" x14ac:dyDescent="0.3">
      <c r="A2294" t="s">
        <v>575</v>
      </c>
      <c r="B2294" t="s">
        <v>25</v>
      </c>
      <c r="C2294" t="s">
        <v>24</v>
      </c>
      <c r="D2294" t="s">
        <v>18</v>
      </c>
      <c r="E2294" s="68">
        <v>199</v>
      </c>
      <c r="F2294" s="68">
        <v>194</v>
      </c>
      <c r="G2294" s="68">
        <v>393</v>
      </c>
    </row>
    <row r="2295" spans="1:7" x14ac:dyDescent="0.3">
      <c r="A2295" t="s">
        <v>575</v>
      </c>
      <c r="B2295" t="s">
        <v>25</v>
      </c>
      <c r="C2295" t="s">
        <v>24</v>
      </c>
      <c r="D2295" t="s">
        <v>19</v>
      </c>
      <c r="E2295" s="68">
        <v>162</v>
      </c>
      <c r="F2295" s="68">
        <v>165</v>
      </c>
      <c r="G2295" s="68">
        <v>327</v>
      </c>
    </row>
    <row r="2296" spans="1:7" x14ac:dyDescent="0.3">
      <c r="A2296" t="s">
        <v>575</v>
      </c>
      <c r="B2296" t="s">
        <v>25</v>
      </c>
      <c r="C2296" t="s">
        <v>24</v>
      </c>
      <c r="D2296" t="s">
        <v>20</v>
      </c>
      <c r="E2296" s="68">
        <v>135</v>
      </c>
      <c r="F2296" s="68">
        <v>193</v>
      </c>
      <c r="G2296" s="68">
        <v>328</v>
      </c>
    </row>
    <row r="2297" spans="1:7" x14ac:dyDescent="0.3">
      <c r="A2297" t="s">
        <v>575</v>
      </c>
      <c r="B2297" t="s">
        <v>25</v>
      </c>
      <c r="C2297" t="s">
        <v>24</v>
      </c>
      <c r="D2297" t="s">
        <v>21</v>
      </c>
      <c r="E2297" s="68">
        <v>108</v>
      </c>
      <c r="F2297" s="68">
        <v>128</v>
      </c>
      <c r="G2297" s="68">
        <v>236</v>
      </c>
    </row>
    <row r="2298" spans="1:7" x14ac:dyDescent="0.3">
      <c r="A2298" t="s">
        <v>575</v>
      </c>
      <c r="B2298" t="s">
        <v>25</v>
      </c>
      <c r="C2298" t="s">
        <v>24</v>
      </c>
      <c r="D2298" t="s">
        <v>22</v>
      </c>
      <c r="E2298" s="68">
        <v>79</v>
      </c>
      <c r="F2298" s="68">
        <v>95</v>
      </c>
      <c r="G2298" s="68">
        <v>174</v>
      </c>
    </row>
    <row r="2299" spans="1:7" x14ac:dyDescent="0.3">
      <c r="A2299" t="s">
        <v>575</v>
      </c>
      <c r="B2299" t="s">
        <v>25</v>
      </c>
      <c r="C2299" t="s">
        <v>24</v>
      </c>
      <c r="D2299" t="s">
        <v>23</v>
      </c>
      <c r="E2299" s="68">
        <v>113</v>
      </c>
      <c r="F2299" s="68">
        <v>100</v>
      </c>
      <c r="G2299" s="68">
        <v>213</v>
      </c>
    </row>
    <row r="2300" spans="1:7" x14ac:dyDescent="0.3">
      <c r="A2300" t="s">
        <v>575</v>
      </c>
      <c r="B2300" t="s">
        <v>26</v>
      </c>
      <c r="C2300" t="s">
        <v>6</v>
      </c>
      <c r="D2300" t="s">
        <v>7</v>
      </c>
      <c r="E2300" s="68">
        <v>2371</v>
      </c>
      <c r="F2300" s="68">
        <v>2531</v>
      </c>
      <c r="G2300" s="68">
        <v>4902</v>
      </c>
    </row>
    <row r="2301" spans="1:7" x14ac:dyDescent="0.3">
      <c r="A2301" t="s">
        <v>575</v>
      </c>
      <c r="B2301" t="s">
        <v>26</v>
      </c>
      <c r="C2301" t="s">
        <v>6</v>
      </c>
      <c r="D2301" t="s">
        <v>8</v>
      </c>
      <c r="E2301" s="68">
        <v>3425</v>
      </c>
      <c r="F2301" s="68">
        <v>3404</v>
      </c>
      <c r="G2301" s="68">
        <v>6829</v>
      </c>
    </row>
    <row r="2302" spans="1:7" x14ac:dyDescent="0.3">
      <c r="A2302" t="s">
        <v>575</v>
      </c>
      <c r="B2302" t="s">
        <v>26</v>
      </c>
      <c r="C2302" t="s">
        <v>6</v>
      </c>
      <c r="D2302" t="s">
        <v>9</v>
      </c>
      <c r="E2302" s="68">
        <v>3948</v>
      </c>
      <c r="F2302" s="68">
        <v>4216</v>
      </c>
      <c r="G2302" s="68">
        <v>8164</v>
      </c>
    </row>
    <row r="2303" spans="1:7" x14ac:dyDescent="0.3">
      <c r="A2303" t="s">
        <v>575</v>
      </c>
      <c r="B2303" t="s">
        <v>26</v>
      </c>
      <c r="C2303" t="s">
        <v>6</v>
      </c>
      <c r="D2303" t="s">
        <v>10</v>
      </c>
      <c r="E2303" s="68">
        <v>4406</v>
      </c>
      <c r="F2303" s="68">
        <v>4765</v>
      </c>
      <c r="G2303" s="68">
        <v>9171</v>
      </c>
    </row>
    <row r="2304" spans="1:7" x14ac:dyDescent="0.3">
      <c r="A2304" t="s">
        <v>575</v>
      </c>
      <c r="B2304" t="s">
        <v>26</v>
      </c>
      <c r="C2304" t="s">
        <v>6</v>
      </c>
      <c r="D2304" t="s">
        <v>11</v>
      </c>
      <c r="E2304" s="68">
        <v>5679</v>
      </c>
      <c r="F2304" s="68">
        <v>6507</v>
      </c>
      <c r="G2304" s="68">
        <v>12186</v>
      </c>
    </row>
    <row r="2305" spans="1:7" x14ac:dyDescent="0.3">
      <c r="A2305" t="s">
        <v>575</v>
      </c>
      <c r="B2305" t="s">
        <v>26</v>
      </c>
      <c r="C2305" t="s">
        <v>6</v>
      </c>
      <c r="D2305" t="s">
        <v>12</v>
      </c>
      <c r="E2305" s="68">
        <v>5996</v>
      </c>
      <c r="F2305" s="68">
        <v>6988</v>
      </c>
      <c r="G2305" s="68">
        <v>12984</v>
      </c>
    </row>
    <row r="2306" spans="1:7" x14ac:dyDescent="0.3">
      <c r="A2306" t="s">
        <v>575</v>
      </c>
      <c r="B2306" t="s">
        <v>26</v>
      </c>
      <c r="C2306" t="s">
        <v>6</v>
      </c>
      <c r="D2306" t="s">
        <v>13</v>
      </c>
      <c r="E2306" s="68">
        <v>6340</v>
      </c>
      <c r="F2306" s="68">
        <v>7017</v>
      </c>
      <c r="G2306" s="68">
        <v>13357</v>
      </c>
    </row>
    <row r="2307" spans="1:7" x14ac:dyDescent="0.3">
      <c r="A2307" t="s">
        <v>575</v>
      </c>
      <c r="B2307" t="s">
        <v>26</v>
      </c>
      <c r="C2307" t="s">
        <v>6</v>
      </c>
      <c r="D2307" t="s">
        <v>14</v>
      </c>
      <c r="E2307" s="68">
        <v>5828</v>
      </c>
      <c r="F2307" s="68">
        <v>6341</v>
      </c>
      <c r="G2307" s="68">
        <v>12169</v>
      </c>
    </row>
    <row r="2308" spans="1:7" x14ac:dyDescent="0.3">
      <c r="A2308" t="s">
        <v>575</v>
      </c>
      <c r="B2308" t="s">
        <v>26</v>
      </c>
      <c r="C2308" t="s">
        <v>6</v>
      </c>
      <c r="D2308" t="s">
        <v>15</v>
      </c>
      <c r="E2308" s="68">
        <v>5487</v>
      </c>
      <c r="F2308" s="68">
        <v>5807</v>
      </c>
      <c r="G2308" s="68">
        <v>11294</v>
      </c>
    </row>
    <row r="2309" spans="1:7" x14ac:dyDescent="0.3">
      <c r="A2309" t="s">
        <v>575</v>
      </c>
      <c r="B2309" t="s">
        <v>26</v>
      </c>
      <c r="C2309" t="s">
        <v>6</v>
      </c>
      <c r="D2309" t="s">
        <v>16</v>
      </c>
      <c r="E2309" s="68">
        <v>5343</v>
      </c>
      <c r="F2309" s="68">
        <v>5540</v>
      </c>
      <c r="G2309" s="68">
        <v>10883</v>
      </c>
    </row>
    <row r="2310" spans="1:7" x14ac:dyDescent="0.3">
      <c r="A2310" t="s">
        <v>575</v>
      </c>
      <c r="B2310" t="s">
        <v>26</v>
      </c>
      <c r="C2310" t="s">
        <v>6</v>
      </c>
      <c r="D2310" t="s">
        <v>17</v>
      </c>
      <c r="E2310" s="68">
        <v>5110</v>
      </c>
      <c r="F2310" s="68">
        <v>5352</v>
      </c>
      <c r="G2310" s="68">
        <v>10462</v>
      </c>
    </row>
    <row r="2311" spans="1:7" x14ac:dyDescent="0.3">
      <c r="A2311" t="s">
        <v>575</v>
      </c>
      <c r="B2311" t="s">
        <v>26</v>
      </c>
      <c r="C2311" t="s">
        <v>6</v>
      </c>
      <c r="D2311" t="s">
        <v>18</v>
      </c>
      <c r="E2311" s="68">
        <v>5928</v>
      </c>
      <c r="F2311" s="68">
        <v>5622</v>
      </c>
      <c r="G2311" s="68">
        <v>11550</v>
      </c>
    </row>
    <row r="2312" spans="1:7" x14ac:dyDescent="0.3">
      <c r="A2312" t="s">
        <v>575</v>
      </c>
      <c r="B2312" t="s">
        <v>26</v>
      </c>
      <c r="C2312" t="s">
        <v>6</v>
      </c>
      <c r="D2312" t="s">
        <v>19</v>
      </c>
      <c r="E2312" s="68">
        <v>6496</v>
      </c>
      <c r="F2312" s="68">
        <v>5880</v>
      </c>
      <c r="G2312" s="68">
        <v>12376</v>
      </c>
    </row>
    <row r="2313" spans="1:7" x14ac:dyDescent="0.3">
      <c r="A2313" t="s">
        <v>575</v>
      </c>
      <c r="B2313" t="s">
        <v>26</v>
      </c>
      <c r="C2313" t="s">
        <v>6</v>
      </c>
      <c r="D2313" t="s">
        <v>20</v>
      </c>
      <c r="E2313" s="68">
        <v>6299</v>
      </c>
      <c r="F2313" s="68">
        <v>5234</v>
      </c>
      <c r="G2313" s="68">
        <v>11533</v>
      </c>
    </row>
    <row r="2314" spans="1:7" x14ac:dyDescent="0.3">
      <c r="A2314" t="s">
        <v>575</v>
      </c>
      <c r="B2314" t="s">
        <v>26</v>
      </c>
      <c r="C2314" t="s">
        <v>6</v>
      </c>
      <c r="D2314" t="s">
        <v>21</v>
      </c>
      <c r="E2314" s="68">
        <v>5453</v>
      </c>
      <c r="F2314" s="68">
        <v>4283</v>
      </c>
      <c r="G2314" s="68">
        <v>9736</v>
      </c>
    </row>
    <row r="2315" spans="1:7" x14ac:dyDescent="0.3">
      <c r="A2315" t="s">
        <v>575</v>
      </c>
      <c r="B2315" t="s">
        <v>26</v>
      </c>
      <c r="C2315" t="s">
        <v>6</v>
      </c>
      <c r="D2315" t="s">
        <v>22</v>
      </c>
      <c r="E2315" s="68">
        <v>4114</v>
      </c>
      <c r="F2315" s="68">
        <v>3101</v>
      </c>
      <c r="G2315" s="68">
        <v>7215</v>
      </c>
    </row>
    <row r="2316" spans="1:7" x14ac:dyDescent="0.3">
      <c r="A2316" t="s">
        <v>575</v>
      </c>
      <c r="B2316" t="s">
        <v>26</v>
      </c>
      <c r="C2316" t="s">
        <v>6</v>
      </c>
      <c r="D2316" t="s">
        <v>23</v>
      </c>
      <c r="E2316" s="68">
        <v>5729</v>
      </c>
      <c r="F2316" s="68">
        <v>3799</v>
      </c>
      <c r="G2316" s="68">
        <v>9528</v>
      </c>
    </row>
    <row r="2317" spans="1:7" x14ac:dyDescent="0.3">
      <c r="A2317" t="s">
        <v>575</v>
      </c>
      <c r="B2317" t="s">
        <v>26</v>
      </c>
      <c r="C2317" t="s">
        <v>24</v>
      </c>
      <c r="D2317" t="s">
        <v>7</v>
      </c>
      <c r="E2317" s="68">
        <v>5200</v>
      </c>
      <c r="F2317" s="68">
        <v>5495</v>
      </c>
      <c r="G2317" s="68">
        <v>10695</v>
      </c>
    </row>
    <row r="2318" spans="1:7" x14ac:dyDescent="0.3">
      <c r="A2318" t="s">
        <v>575</v>
      </c>
      <c r="B2318" t="s">
        <v>26</v>
      </c>
      <c r="C2318" t="s">
        <v>24</v>
      </c>
      <c r="D2318" t="s">
        <v>8</v>
      </c>
      <c r="E2318" s="68">
        <v>6415</v>
      </c>
      <c r="F2318" s="68">
        <v>6797</v>
      </c>
      <c r="G2318" s="68">
        <v>13212</v>
      </c>
    </row>
    <row r="2319" spans="1:7" x14ac:dyDescent="0.3">
      <c r="A2319" t="s">
        <v>575</v>
      </c>
      <c r="B2319" t="s">
        <v>26</v>
      </c>
      <c r="C2319" t="s">
        <v>24</v>
      </c>
      <c r="D2319" t="s">
        <v>9</v>
      </c>
      <c r="E2319" s="68">
        <v>6596</v>
      </c>
      <c r="F2319" s="68">
        <v>6854</v>
      </c>
      <c r="G2319" s="68">
        <v>13450</v>
      </c>
    </row>
    <row r="2320" spans="1:7" x14ac:dyDescent="0.3">
      <c r="A2320" t="s">
        <v>575</v>
      </c>
      <c r="B2320" t="s">
        <v>26</v>
      </c>
      <c r="C2320" t="s">
        <v>24</v>
      </c>
      <c r="D2320" t="s">
        <v>10</v>
      </c>
      <c r="E2320" s="68">
        <v>7349</v>
      </c>
      <c r="F2320" s="68">
        <v>7300</v>
      </c>
      <c r="G2320" s="68">
        <v>14649</v>
      </c>
    </row>
    <row r="2321" spans="1:7" x14ac:dyDescent="0.3">
      <c r="A2321" t="s">
        <v>575</v>
      </c>
      <c r="B2321" t="s">
        <v>26</v>
      </c>
      <c r="C2321" t="s">
        <v>24</v>
      </c>
      <c r="D2321" t="s">
        <v>11</v>
      </c>
      <c r="E2321" s="68">
        <v>8170</v>
      </c>
      <c r="F2321" s="68">
        <v>7633</v>
      </c>
      <c r="G2321" s="68">
        <v>15803</v>
      </c>
    </row>
    <row r="2322" spans="1:7" x14ac:dyDescent="0.3">
      <c r="A2322" t="s">
        <v>575</v>
      </c>
      <c r="B2322" t="s">
        <v>26</v>
      </c>
      <c r="C2322" t="s">
        <v>24</v>
      </c>
      <c r="D2322" t="s">
        <v>12</v>
      </c>
      <c r="E2322" s="68">
        <v>8978</v>
      </c>
      <c r="F2322" s="68">
        <v>8926</v>
      </c>
      <c r="G2322" s="68">
        <v>17904</v>
      </c>
    </row>
    <row r="2323" spans="1:7" x14ac:dyDescent="0.3">
      <c r="A2323" t="s">
        <v>575</v>
      </c>
      <c r="B2323" t="s">
        <v>26</v>
      </c>
      <c r="C2323" t="s">
        <v>24</v>
      </c>
      <c r="D2323" t="s">
        <v>13</v>
      </c>
      <c r="E2323" s="68">
        <v>8130</v>
      </c>
      <c r="F2323" s="68">
        <v>8395</v>
      </c>
      <c r="G2323" s="68">
        <v>16525</v>
      </c>
    </row>
    <row r="2324" spans="1:7" x14ac:dyDescent="0.3">
      <c r="A2324" t="s">
        <v>575</v>
      </c>
      <c r="B2324" t="s">
        <v>26</v>
      </c>
      <c r="C2324" t="s">
        <v>24</v>
      </c>
      <c r="D2324" t="s">
        <v>14</v>
      </c>
      <c r="E2324" s="68">
        <v>7159</v>
      </c>
      <c r="F2324" s="68">
        <v>7131</v>
      </c>
      <c r="G2324" s="68">
        <v>14290</v>
      </c>
    </row>
    <row r="2325" spans="1:7" x14ac:dyDescent="0.3">
      <c r="A2325" t="s">
        <v>575</v>
      </c>
      <c r="B2325" t="s">
        <v>26</v>
      </c>
      <c r="C2325" t="s">
        <v>24</v>
      </c>
      <c r="D2325" t="s">
        <v>15</v>
      </c>
      <c r="E2325" s="68">
        <v>7170</v>
      </c>
      <c r="F2325" s="68">
        <v>6701</v>
      </c>
      <c r="G2325" s="68">
        <v>13871</v>
      </c>
    </row>
    <row r="2326" spans="1:7" x14ac:dyDescent="0.3">
      <c r="A2326" t="s">
        <v>575</v>
      </c>
      <c r="B2326" t="s">
        <v>26</v>
      </c>
      <c r="C2326" t="s">
        <v>24</v>
      </c>
      <c r="D2326" t="s">
        <v>16</v>
      </c>
      <c r="E2326" s="68">
        <v>7210</v>
      </c>
      <c r="F2326" s="68">
        <v>6866</v>
      </c>
      <c r="G2326" s="68">
        <v>14076</v>
      </c>
    </row>
    <row r="2327" spans="1:7" x14ac:dyDescent="0.3">
      <c r="A2327" t="s">
        <v>575</v>
      </c>
      <c r="B2327" t="s">
        <v>26</v>
      </c>
      <c r="C2327" t="s">
        <v>24</v>
      </c>
      <c r="D2327" t="s">
        <v>17</v>
      </c>
      <c r="E2327" s="68">
        <v>6994</v>
      </c>
      <c r="F2327" s="68">
        <v>6912</v>
      </c>
      <c r="G2327" s="68">
        <v>13906</v>
      </c>
    </row>
    <row r="2328" spans="1:7" x14ac:dyDescent="0.3">
      <c r="A2328" t="s">
        <v>575</v>
      </c>
      <c r="B2328" t="s">
        <v>26</v>
      </c>
      <c r="C2328" t="s">
        <v>24</v>
      </c>
      <c r="D2328" t="s">
        <v>18</v>
      </c>
      <c r="E2328" s="68">
        <v>7596</v>
      </c>
      <c r="F2328" s="68">
        <v>7505</v>
      </c>
      <c r="G2328" s="68">
        <v>15101</v>
      </c>
    </row>
    <row r="2329" spans="1:7" x14ac:dyDescent="0.3">
      <c r="A2329" t="s">
        <v>575</v>
      </c>
      <c r="B2329" t="s">
        <v>26</v>
      </c>
      <c r="C2329" t="s">
        <v>24</v>
      </c>
      <c r="D2329" t="s">
        <v>19</v>
      </c>
      <c r="E2329" s="68">
        <v>7082</v>
      </c>
      <c r="F2329" s="68">
        <v>7571</v>
      </c>
      <c r="G2329" s="68">
        <v>14653</v>
      </c>
    </row>
    <row r="2330" spans="1:7" x14ac:dyDescent="0.3">
      <c r="A2330" t="s">
        <v>575</v>
      </c>
      <c r="B2330" t="s">
        <v>26</v>
      </c>
      <c r="C2330" t="s">
        <v>24</v>
      </c>
      <c r="D2330" t="s">
        <v>20</v>
      </c>
      <c r="E2330" s="68">
        <v>5975</v>
      </c>
      <c r="F2330" s="68">
        <v>6490</v>
      </c>
      <c r="G2330" s="68">
        <v>12465</v>
      </c>
    </row>
    <row r="2331" spans="1:7" x14ac:dyDescent="0.3">
      <c r="A2331" t="s">
        <v>575</v>
      </c>
      <c r="B2331" t="s">
        <v>26</v>
      </c>
      <c r="C2331" t="s">
        <v>24</v>
      </c>
      <c r="D2331" t="s">
        <v>21</v>
      </c>
      <c r="E2331" s="68">
        <v>4522</v>
      </c>
      <c r="F2331" s="68">
        <v>5011</v>
      </c>
      <c r="G2331" s="68">
        <v>9533</v>
      </c>
    </row>
    <row r="2332" spans="1:7" x14ac:dyDescent="0.3">
      <c r="A2332" t="s">
        <v>575</v>
      </c>
      <c r="B2332" t="s">
        <v>26</v>
      </c>
      <c r="C2332" t="s">
        <v>24</v>
      </c>
      <c r="D2332" t="s">
        <v>22</v>
      </c>
      <c r="E2332" s="68">
        <v>3178</v>
      </c>
      <c r="F2332" s="68">
        <v>3134</v>
      </c>
      <c r="G2332" s="68">
        <v>6312</v>
      </c>
    </row>
    <row r="2333" spans="1:7" x14ac:dyDescent="0.3">
      <c r="A2333" t="s">
        <v>575</v>
      </c>
      <c r="B2333" t="s">
        <v>26</v>
      </c>
      <c r="C2333" t="s">
        <v>24</v>
      </c>
      <c r="D2333" t="s">
        <v>23</v>
      </c>
      <c r="E2333" s="68">
        <v>4364</v>
      </c>
      <c r="F2333" s="68">
        <v>3471</v>
      </c>
      <c r="G2333" s="68">
        <v>7835</v>
      </c>
    </row>
    <row r="2334" spans="1:7" x14ac:dyDescent="0.3">
      <c r="A2334" t="s">
        <v>575</v>
      </c>
      <c r="B2334" t="s">
        <v>27</v>
      </c>
      <c r="C2334" t="s">
        <v>28</v>
      </c>
      <c r="D2334" t="s">
        <v>7</v>
      </c>
      <c r="E2334" s="68">
        <v>158</v>
      </c>
      <c r="F2334" s="68">
        <v>142</v>
      </c>
      <c r="G2334" s="68">
        <v>300</v>
      </c>
    </row>
    <row r="2335" spans="1:7" x14ac:dyDescent="0.3">
      <c r="A2335" t="s">
        <v>575</v>
      </c>
      <c r="B2335" t="s">
        <v>27</v>
      </c>
      <c r="C2335" t="s">
        <v>28</v>
      </c>
      <c r="D2335" t="s">
        <v>8</v>
      </c>
      <c r="E2335" s="68">
        <v>232</v>
      </c>
      <c r="F2335" s="68">
        <v>262</v>
      </c>
      <c r="G2335" s="68">
        <v>494</v>
      </c>
    </row>
    <row r="2336" spans="1:7" x14ac:dyDescent="0.3">
      <c r="A2336" t="s">
        <v>575</v>
      </c>
      <c r="B2336" t="s">
        <v>27</v>
      </c>
      <c r="C2336" t="s">
        <v>28</v>
      </c>
      <c r="D2336" t="s">
        <v>9</v>
      </c>
      <c r="E2336" s="68">
        <v>358</v>
      </c>
      <c r="F2336" s="68">
        <v>378</v>
      </c>
      <c r="G2336" s="68">
        <v>736</v>
      </c>
    </row>
    <row r="2337" spans="1:7" x14ac:dyDescent="0.3">
      <c r="A2337" t="s">
        <v>575</v>
      </c>
      <c r="B2337" t="s">
        <v>27</v>
      </c>
      <c r="C2337" t="s">
        <v>28</v>
      </c>
      <c r="D2337" t="s">
        <v>10</v>
      </c>
      <c r="E2337" s="68">
        <v>463</v>
      </c>
      <c r="F2337" s="68">
        <v>464</v>
      </c>
      <c r="G2337" s="68">
        <v>927</v>
      </c>
    </row>
    <row r="2338" spans="1:7" x14ac:dyDescent="0.3">
      <c r="A2338" t="s">
        <v>575</v>
      </c>
      <c r="B2338" t="s">
        <v>27</v>
      </c>
      <c r="C2338" t="s">
        <v>28</v>
      </c>
      <c r="D2338" t="s">
        <v>11</v>
      </c>
      <c r="E2338" s="68">
        <v>446</v>
      </c>
      <c r="F2338" s="68">
        <v>395</v>
      </c>
      <c r="G2338" s="68">
        <v>841</v>
      </c>
    </row>
    <row r="2339" spans="1:7" x14ac:dyDescent="0.3">
      <c r="A2339" t="s">
        <v>575</v>
      </c>
      <c r="B2339" t="s">
        <v>27</v>
      </c>
      <c r="C2339" t="s">
        <v>28</v>
      </c>
      <c r="D2339" t="s">
        <v>12</v>
      </c>
      <c r="E2339" s="68">
        <v>252</v>
      </c>
      <c r="F2339" s="68">
        <v>205</v>
      </c>
      <c r="G2339" s="68">
        <v>457</v>
      </c>
    </row>
    <row r="2340" spans="1:7" x14ac:dyDescent="0.3">
      <c r="A2340" t="s">
        <v>575</v>
      </c>
      <c r="B2340" t="s">
        <v>27</v>
      </c>
      <c r="C2340" t="s">
        <v>28</v>
      </c>
      <c r="D2340" t="s">
        <v>13</v>
      </c>
      <c r="E2340" s="68">
        <v>432</v>
      </c>
      <c r="F2340" s="68">
        <v>291</v>
      </c>
      <c r="G2340" s="68">
        <v>723</v>
      </c>
    </row>
    <row r="2341" spans="1:7" x14ac:dyDescent="0.3">
      <c r="A2341" t="s">
        <v>575</v>
      </c>
      <c r="B2341" t="s">
        <v>27</v>
      </c>
      <c r="C2341" t="s">
        <v>28</v>
      </c>
      <c r="D2341" t="s">
        <v>14</v>
      </c>
      <c r="E2341" s="68">
        <v>569</v>
      </c>
      <c r="F2341" s="68">
        <v>382</v>
      </c>
      <c r="G2341" s="68">
        <v>951</v>
      </c>
    </row>
    <row r="2342" spans="1:7" x14ac:dyDescent="0.3">
      <c r="A2342" t="s">
        <v>575</v>
      </c>
      <c r="B2342" t="s">
        <v>27</v>
      </c>
      <c r="C2342" t="s">
        <v>28</v>
      </c>
      <c r="D2342" t="s">
        <v>15</v>
      </c>
      <c r="E2342" s="68">
        <v>712</v>
      </c>
      <c r="F2342" s="68">
        <v>485</v>
      </c>
      <c r="G2342" s="68">
        <v>1197</v>
      </c>
    </row>
    <row r="2343" spans="1:7" x14ac:dyDescent="0.3">
      <c r="A2343" t="s">
        <v>575</v>
      </c>
      <c r="B2343" t="s">
        <v>27</v>
      </c>
      <c r="C2343" t="s">
        <v>28</v>
      </c>
      <c r="D2343" t="s">
        <v>16</v>
      </c>
      <c r="E2343" s="68">
        <v>782</v>
      </c>
      <c r="F2343" s="68">
        <v>459</v>
      </c>
      <c r="G2343" s="68">
        <v>1241</v>
      </c>
    </row>
    <row r="2344" spans="1:7" x14ac:dyDescent="0.3">
      <c r="A2344" t="s">
        <v>575</v>
      </c>
      <c r="B2344" t="s">
        <v>27</v>
      </c>
      <c r="C2344" t="s">
        <v>28</v>
      </c>
      <c r="D2344" t="s">
        <v>17</v>
      </c>
      <c r="E2344" s="68">
        <v>842</v>
      </c>
      <c r="F2344" s="68">
        <v>420</v>
      </c>
      <c r="G2344" s="68">
        <v>1262</v>
      </c>
    </row>
    <row r="2345" spans="1:7" x14ac:dyDescent="0.3">
      <c r="A2345" t="s">
        <v>575</v>
      </c>
      <c r="B2345" t="s">
        <v>27</v>
      </c>
      <c r="C2345" t="s">
        <v>28</v>
      </c>
      <c r="D2345" t="s">
        <v>18</v>
      </c>
      <c r="E2345" s="68">
        <v>1005</v>
      </c>
      <c r="F2345" s="68">
        <v>527</v>
      </c>
      <c r="G2345" s="68">
        <v>1532</v>
      </c>
    </row>
    <row r="2346" spans="1:7" x14ac:dyDescent="0.3">
      <c r="A2346" t="s">
        <v>575</v>
      </c>
      <c r="B2346" t="s">
        <v>27</v>
      </c>
      <c r="C2346" t="s">
        <v>28</v>
      </c>
      <c r="D2346" t="s">
        <v>19</v>
      </c>
      <c r="E2346" s="68">
        <v>1242</v>
      </c>
      <c r="F2346" s="68">
        <v>587</v>
      </c>
      <c r="G2346" s="68">
        <v>1829</v>
      </c>
    </row>
    <row r="2347" spans="1:7" x14ac:dyDescent="0.3">
      <c r="A2347" t="s">
        <v>575</v>
      </c>
      <c r="B2347" t="s">
        <v>27</v>
      </c>
      <c r="C2347" t="s">
        <v>28</v>
      </c>
      <c r="D2347" t="s">
        <v>20</v>
      </c>
      <c r="E2347" s="68">
        <v>1707</v>
      </c>
      <c r="F2347" s="68">
        <v>875</v>
      </c>
      <c r="G2347" s="68">
        <v>2582</v>
      </c>
    </row>
    <row r="2348" spans="1:7" x14ac:dyDescent="0.3">
      <c r="A2348" t="s">
        <v>575</v>
      </c>
      <c r="B2348" t="s">
        <v>27</v>
      </c>
      <c r="C2348" t="s">
        <v>28</v>
      </c>
      <c r="D2348" t="s">
        <v>21</v>
      </c>
      <c r="E2348" s="68">
        <v>1738</v>
      </c>
      <c r="F2348" s="68">
        <v>932</v>
      </c>
      <c r="G2348" s="68">
        <v>2670</v>
      </c>
    </row>
    <row r="2349" spans="1:7" x14ac:dyDescent="0.3">
      <c r="A2349" t="s">
        <v>575</v>
      </c>
      <c r="B2349" t="s">
        <v>27</v>
      </c>
      <c r="C2349" t="s">
        <v>28</v>
      </c>
      <c r="D2349" t="s">
        <v>22</v>
      </c>
      <c r="E2349" s="68">
        <v>1025</v>
      </c>
      <c r="F2349" s="68">
        <v>592</v>
      </c>
      <c r="G2349" s="68">
        <v>1617</v>
      </c>
    </row>
    <row r="2350" spans="1:7" x14ac:dyDescent="0.3">
      <c r="A2350" t="s">
        <v>575</v>
      </c>
      <c r="B2350" t="s">
        <v>27</v>
      </c>
      <c r="C2350" t="s">
        <v>28</v>
      </c>
      <c r="D2350" t="s">
        <v>23</v>
      </c>
      <c r="E2350" s="68">
        <v>814</v>
      </c>
      <c r="F2350" s="68">
        <v>532</v>
      </c>
      <c r="G2350" s="68">
        <v>1346</v>
      </c>
    </row>
    <row r="2351" spans="1:7" x14ac:dyDescent="0.3">
      <c r="A2351" t="s">
        <v>575</v>
      </c>
      <c r="B2351" t="s">
        <v>27</v>
      </c>
      <c r="C2351" t="s">
        <v>29</v>
      </c>
      <c r="D2351" t="s">
        <v>10</v>
      </c>
      <c r="E2351" s="68">
        <v>1</v>
      </c>
      <c r="F2351" s="68">
        <v>11</v>
      </c>
      <c r="G2351" s="68">
        <v>12</v>
      </c>
    </row>
    <row r="2352" spans="1:7" x14ac:dyDescent="0.3">
      <c r="A2352" t="s">
        <v>575</v>
      </c>
      <c r="B2352" t="s">
        <v>27</v>
      </c>
      <c r="C2352" t="s">
        <v>29</v>
      </c>
      <c r="D2352" t="s">
        <v>11</v>
      </c>
      <c r="E2352" s="68">
        <v>11</v>
      </c>
      <c r="F2352" s="68">
        <v>246</v>
      </c>
      <c r="G2352" s="68">
        <v>257</v>
      </c>
    </row>
    <row r="2353" spans="1:7" x14ac:dyDescent="0.3">
      <c r="A2353" t="s">
        <v>575</v>
      </c>
      <c r="B2353" t="s">
        <v>27</v>
      </c>
      <c r="C2353" t="s">
        <v>29</v>
      </c>
      <c r="D2353" t="s">
        <v>12</v>
      </c>
      <c r="E2353" s="68">
        <v>26</v>
      </c>
      <c r="F2353" s="68">
        <v>493</v>
      </c>
      <c r="G2353" s="68">
        <v>519</v>
      </c>
    </row>
    <row r="2354" spans="1:7" x14ac:dyDescent="0.3">
      <c r="A2354" t="s">
        <v>575</v>
      </c>
      <c r="B2354" t="s">
        <v>27</v>
      </c>
      <c r="C2354" t="s">
        <v>29</v>
      </c>
      <c r="D2354" t="s">
        <v>13</v>
      </c>
      <c r="E2354" s="68">
        <v>40</v>
      </c>
      <c r="F2354" s="68">
        <v>444</v>
      </c>
      <c r="G2354" s="68">
        <v>484</v>
      </c>
    </row>
    <row r="2355" spans="1:7" x14ac:dyDescent="0.3">
      <c r="A2355" t="s">
        <v>575</v>
      </c>
      <c r="B2355" t="s">
        <v>27</v>
      </c>
      <c r="C2355" t="s">
        <v>29</v>
      </c>
      <c r="D2355" t="s">
        <v>14</v>
      </c>
      <c r="E2355" s="68">
        <v>23</v>
      </c>
      <c r="F2355" s="68">
        <v>300</v>
      </c>
      <c r="G2355" s="68">
        <v>323</v>
      </c>
    </row>
    <row r="2356" spans="1:7" x14ac:dyDescent="0.3">
      <c r="A2356" t="s">
        <v>575</v>
      </c>
      <c r="B2356" t="s">
        <v>27</v>
      </c>
      <c r="C2356" t="s">
        <v>29</v>
      </c>
      <c r="D2356" t="s">
        <v>15</v>
      </c>
      <c r="E2356" s="68">
        <v>17</v>
      </c>
      <c r="F2356" s="68">
        <v>219</v>
      </c>
      <c r="G2356" s="68">
        <v>236</v>
      </c>
    </row>
    <row r="2357" spans="1:7" x14ac:dyDescent="0.3">
      <c r="A2357" t="s">
        <v>575</v>
      </c>
      <c r="B2357" t="s">
        <v>27</v>
      </c>
      <c r="C2357" t="s">
        <v>29</v>
      </c>
      <c r="D2357" t="s">
        <v>16</v>
      </c>
      <c r="E2357" s="68">
        <v>10</v>
      </c>
      <c r="F2357" s="68">
        <v>144</v>
      </c>
      <c r="G2357" s="68">
        <v>154</v>
      </c>
    </row>
    <row r="2358" spans="1:7" x14ac:dyDescent="0.3">
      <c r="A2358" t="s">
        <v>575</v>
      </c>
      <c r="B2358" t="s">
        <v>27</v>
      </c>
      <c r="C2358" t="s">
        <v>29</v>
      </c>
      <c r="D2358" t="s">
        <v>17</v>
      </c>
      <c r="E2358" s="68">
        <v>8</v>
      </c>
      <c r="F2358" s="68">
        <v>121</v>
      </c>
      <c r="G2358" s="68">
        <v>129</v>
      </c>
    </row>
    <row r="2359" spans="1:7" x14ac:dyDescent="0.3">
      <c r="A2359" t="s">
        <v>575</v>
      </c>
      <c r="B2359" t="s">
        <v>27</v>
      </c>
      <c r="C2359" t="s">
        <v>29</v>
      </c>
      <c r="D2359" t="s">
        <v>18</v>
      </c>
      <c r="E2359" s="68">
        <v>3</v>
      </c>
      <c r="F2359" s="68">
        <v>82</v>
      </c>
      <c r="G2359" s="68">
        <v>85</v>
      </c>
    </row>
    <row r="2360" spans="1:7" x14ac:dyDescent="0.3">
      <c r="A2360" t="s">
        <v>575</v>
      </c>
      <c r="B2360" t="s">
        <v>27</v>
      </c>
      <c r="C2360" t="s">
        <v>29</v>
      </c>
      <c r="D2360" t="s">
        <v>19</v>
      </c>
      <c r="E2360" s="68"/>
      <c r="F2360" s="68">
        <v>65</v>
      </c>
      <c r="G2360" s="68">
        <v>65</v>
      </c>
    </row>
    <row r="2361" spans="1:7" x14ac:dyDescent="0.3">
      <c r="A2361" t="s">
        <v>575</v>
      </c>
      <c r="B2361" t="s">
        <v>27</v>
      </c>
      <c r="C2361" t="s">
        <v>29</v>
      </c>
      <c r="D2361" t="s">
        <v>20</v>
      </c>
      <c r="E2361" s="68">
        <v>2</v>
      </c>
      <c r="F2361" s="68">
        <v>51</v>
      </c>
      <c r="G2361" s="68">
        <v>53</v>
      </c>
    </row>
    <row r="2362" spans="1:7" x14ac:dyDescent="0.3">
      <c r="A2362" t="s">
        <v>575</v>
      </c>
      <c r="B2362" t="s">
        <v>27</v>
      </c>
      <c r="C2362" t="s">
        <v>29</v>
      </c>
      <c r="D2362" t="s">
        <v>21</v>
      </c>
      <c r="E2362" s="68"/>
      <c r="F2362" s="68">
        <v>34</v>
      </c>
      <c r="G2362" s="68">
        <v>34</v>
      </c>
    </row>
    <row r="2363" spans="1:7" x14ac:dyDescent="0.3">
      <c r="A2363" t="s">
        <v>575</v>
      </c>
      <c r="B2363" t="s">
        <v>27</v>
      </c>
      <c r="C2363" t="s">
        <v>29</v>
      </c>
      <c r="D2363" t="s">
        <v>22</v>
      </c>
      <c r="E2363" s="68"/>
      <c r="F2363" s="68">
        <v>10</v>
      </c>
      <c r="G2363" s="68">
        <v>10</v>
      </c>
    </row>
    <row r="2364" spans="1:7" x14ac:dyDescent="0.3">
      <c r="A2364" t="s">
        <v>575</v>
      </c>
      <c r="B2364" t="s">
        <v>27</v>
      </c>
      <c r="C2364" t="s">
        <v>29</v>
      </c>
      <c r="D2364" t="s">
        <v>23</v>
      </c>
      <c r="E2364" s="68"/>
      <c r="F2364" s="68">
        <v>8</v>
      </c>
      <c r="G2364" s="68">
        <v>8</v>
      </c>
    </row>
    <row r="2365" spans="1:7" x14ac:dyDescent="0.3">
      <c r="A2365" t="s">
        <v>575</v>
      </c>
      <c r="B2365" t="s">
        <v>36</v>
      </c>
      <c r="C2365" t="s">
        <v>6</v>
      </c>
      <c r="D2365" t="s">
        <v>7</v>
      </c>
      <c r="E2365" s="68">
        <v>1782</v>
      </c>
      <c r="F2365" s="68">
        <v>1886</v>
      </c>
      <c r="G2365" s="68">
        <v>3668</v>
      </c>
    </row>
    <row r="2366" spans="1:7" x14ac:dyDescent="0.3">
      <c r="A2366" t="s">
        <v>575</v>
      </c>
      <c r="B2366" t="s">
        <v>36</v>
      </c>
      <c r="C2366" t="s">
        <v>6</v>
      </c>
      <c r="D2366" t="s">
        <v>8</v>
      </c>
      <c r="E2366" s="68">
        <v>2945</v>
      </c>
      <c r="F2366" s="68">
        <v>2978</v>
      </c>
      <c r="G2366" s="68">
        <v>5923</v>
      </c>
    </row>
    <row r="2367" spans="1:7" x14ac:dyDescent="0.3">
      <c r="A2367" t="s">
        <v>575</v>
      </c>
      <c r="B2367" t="s">
        <v>36</v>
      </c>
      <c r="C2367" t="s">
        <v>6</v>
      </c>
      <c r="D2367" t="s">
        <v>9</v>
      </c>
      <c r="E2367" s="68">
        <v>3656</v>
      </c>
      <c r="F2367" s="68">
        <v>3737</v>
      </c>
      <c r="G2367" s="68">
        <v>7393</v>
      </c>
    </row>
    <row r="2368" spans="1:7" x14ac:dyDescent="0.3">
      <c r="A2368" t="s">
        <v>575</v>
      </c>
      <c r="B2368" t="s">
        <v>36</v>
      </c>
      <c r="C2368" t="s">
        <v>6</v>
      </c>
      <c r="D2368" t="s">
        <v>10</v>
      </c>
      <c r="E2368" s="68">
        <v>4038</v>
      </c>
      <c r="F2368" s="68">
        <v>4153</v>
      </c>
      <c r="G2368" s="68">
        <v>8191</v>
      </c>
    </row>
    <row r="2369" spans="1:7" x14ac:dyDescent="0.3">
      <c r="A2369" t="s">
        <v>575</v>
      </c>
      <c r="B2369" t="s">
        <v>36</v>
      </c>
      <c r="C2369" t="s">
        <v>6</v>
      </c>
      <c r="D2369" t="s">
        <v>11</v>
      </c>
      <c r="E2369" s="68">
        <v>4872</v>
      </c>
      <c r="F2369" s="68">
        <v>5260</v>
      </c>
      <c r="G2369" s="68">
        <v>10132</v>
      </c>
    </row>
    <row r="2370" spans="1:7" x14ac:dyDescent="0.3">
      <c r="A2370" t="s">
        <v>575</v>
      </c>
      <c r="B2370" t="s">
        <v>36</v>
      </c>
      <c r="C2370" t="s">
        <v>6</v>
      </c>
      <c r="D2370" t="s">
        <v>12</v>
      </c>
      <c r="E2370" s="68">
        <v>4874</v>
      </c>
      <c r="F2370" s="68">
        <v>5371</v>
      </c>
      <c r="G2370" s="68">
        <v>10245</v>
      </c>
    </row>
    <row r="2371" spans="1:7" x14ac:dyDescent="0.3">
      <c r="A2371" t="s">
        <v>575</v>
      </c>
      <c r="B2371" t="s">
        <v>36</v>
      </c>
      <c r="C2371" t="s">
        <v>6</v>
      </c>
      <c r="D2371" t="s">
        <v>13</v>
      </c>
      <c r="E2371" s="68">
        <v>5128</v>
      </c>
      <c r="F2371" s="68">
        <v>5442</v>
      </c>
      <c r="G2371" s="68">
        <v>10570</v>
      </c>
    </row>
    <row r="2372" spans="1:7" x14ac:dyDescent="0.3">
      <c r="A2372" t="s">
        <v>575</v>
      </c>
      <c r="B2372" t="s">
        <v>36</v>
      </c>
      <c r="C2372" t="s">
        <v>6</v>
      </c>
      <c r="D2372" t="s">
        <v>14</v>
      </c>
      <c r="E2372" s="68">
        <v>4876</v>
      </c>
      <c r="F2372" s="68">
        <v>4926</v>
      </c>
      <c r="G2372" s="68">
        <v>9802</v>
      </c>
    </row>
    <row r="2373" spans="1:7" x14ac:dyDescent="0.3">
      <c r="A2373" t="s">
        <v>575</v>
      </c>
      <c r="B2373" t="s">
        <v>36</v>
      </c>
      <c r="C2373" t="s">
        <v>6</v>
      </c>
      <c r="D2373" t="s">
        <v>15</v>
      </c>
      <c r="E2373" s="68">
        <v>4909</v>
      </c>
      <c r="F2373" s="68">
        <v>4902</v>
      </c>
      <c r="G2373" s="68">
        <v>9811</v>
      </c>
    </row>
    <row r="2374" spans="1:7" x14ac:dyDescent="0.3">
      <c r="A2374" t="s">
        <v>575</v>
      </c>
      <c r="B2374" t="s">
        <v>36</v>
      </c>
      <c r="C2374" t="s">
        <v>6</v>
      </c>
      <c r="D2374" t="s">
        <v>16</v>
      </c>
      <c r="E2374" s="68">
        <v>4650</v>
      </c>
      <c r="F2374" s="68">
        <v>4623</v>
      </c>
      <c r="G2374" s="68">
        <v>9273</v>
      </c>
    </row>
    <row r="2375" spans="1:7" x14ac:dyDescent="0.3">
      <c r="A2375" t="s">
        <v>575</v>
      </c>
      <c r="B2375" t="s">
        <v>36</v>
      </c>
      <c r="C2375" t="s">
        <v>6</v>
      </c>
      <c r="D2375" t="s">
        <v>17</v>
      </c>
      <c r="E2375" s="68">
        <v>3976</v>
      </c>
      <c r="F2375" s="68">
        <v>4130</v>
      </c>
      <c r="G2375" s="68">
        <v>8106</v>
      </c>
    </row>
    <row r="2376" spans="1:7" x14ac:dyDescent="0.3">
      <c r="A2376" t="s">
        <v>575</v>
      </c>
      <c r="B2376" t="s">
        <v>36</v>
      </c>
      <c r="C2376" t="s">
        <v>6</v>
      </c>
      <c r="D2376" t="s">
        <v>18</v>
      </c>
      <c r="E2376" s="68">
        <v>4112</v>
      </c>
      <c r="F2376" s="68">
        <v>4259</v>
      </c>
      <c r="G2376" s="68">
        <v>8371</v>
      </c>
    </row>
    <row r="2377" spans="1:7" x14ac:dyDescent="0.3">
      <c r="A2377" t="s">
        <v>575</v>
      </c>
      <c r="B2377" t="s">
        <v>36</v>
      </c>
      <c r="C2377" t="s">
        <v>6</v>
      </c>
      <c r="D2377" t="s">
        <v>19</v>
      </c>
      <c r="E2377" s="68">
        <v>3768</v>
      </c>
      <c r="F2377" s="68">
        <v>3729</v>
      </c>
      <c r="G2377" s="68">
        <v>7497</v>
      </c>
    </row>
    <row r="2378" spans="1:7" x14ac:dyDescent="0.3">
      <c r="A2378" t="s">
        <v>575</v>
      </c>
      <c r="B2378" t="s">
        <v>36</v>
      </c>
      <c r="C2378" t="s">
        <v>6</v>
      </c>
      <c r="D2378" t="s">
        <v>20</v>
      </c>
      <c r="E2378" s="68">
        <v>3172</v>
      </c>
      <c r="F2378" s="68">
        <v>3111</v>
      </c>
      <c r="G2378" s="68">
        <v>6283</v>
      </c>
    </row>
    <row r="2379" spans="1:7" x14ac:dyDescent="0.3">
      <c r="A2379" t="s">
        <v>575</v>
      </c>
      <c r="B2379" t="s">
        <v>36</v>
      </c>
      <c r="C2379" t="s">
        <v>6</v>
      </c>
      <c r="D2379" t="s">
        <v>21</v>
      </c>
      <c r="E2379" s="68">
        <v>2344</v>
      </c>
      <c r="F2379" s="68">
        <v>2145</v>
      </c>
      <c r="G2379" s="68">
        <v>4489</v>
      </c>
    </row>
    <row r="2380" spans="1:7" x14ac:dyDescent="0.3">
      <c r="A2380" t="s">
        <v>575</v>
      </c>
      <c r="B2380" t="s">
        <v>36</v>
      </c>
      <c r="C2380" t="s">
        <v>6</v>
      </c>
      <c r="D2380" t="s">
        <v>22</v>
      </c>
      <c r="E2380" s="68">
        <v>1466</v>
      </c>
      <c r="F2380" s="68">
        <v>1372</v>
      </c>
      <c r="G2380" s="68">
        <v>2838</v>
      </c>
    </row>
    <row r="2381" spans="1:7" x14ac:dyDescent="0.3">
      <c r="A2381" t="s">
        <v>575</v>
      </c>
      <c r="B2381" t="s">
        <v>36</v>
      </c>
      <c r="C2381" t="s">
        <v>6</v>
      </c>
      <c r="D2381" t="s">
        <v>23</v>
      </c>
      <c r="E2381" s="68">
        <v>1700</v>
      </c>
      <c r="F2381" s="68">
        <v>1149</v>
      </c>
      <c r="G2381" s="68">
        <v>2849</v>
      </c>
    </row>
    <row r="2382" spans="1:7" x14ac:dyDescent="0.3">
      <c r="A2382" t="s">
        <v>575</v>
      </c>
      <c r="B2382" t="s">
        <v>36</v>
      </c>
      <c r="C2382" t="s">
        <v>24</v>
      </c>
      <c r="D2382" t="s">
        <v>7</v>
      </c>
      <c r="E2382" s="68">
        <v>2485</v>
      </c>
      <c r="F2382" s="68">
        <v>2707</v>
      </c>
      <c r="G2382" s="68">
        <v>5192</v>
      </c>
    </row>
    <row r="2383" spans="1:7" x14ac:dyDescent="0.3">
      <c r="A2383" t="s">
        <v>575</v>
      </c>
      <c r="B2383" t="s">
        <v>36</v>
      </c>
      <c r="C2383" t="s">
        <v>24</v>
      </c>
      <c r="D2383" t="s">
        <v>8</v>
      </c>
      <c r="E2383" s="68">
        <v>3791</v>
      </c>
      <c r="F2383" s="68">
        <v>4025</v>
      </c>
      <c r="G2383" s="68">
        <v>7816</v>
      </c>
    </row>
    <row r="2384" spans="1:7" x14ac:dyDescent="0.3">
      <c r="A2384" t="s">
        <v>575</v>
      </c>
      <c r="B2384" t="s">
        <v>36</v>
      </c>
      <c r="C2384" t="s">
        <v>24</v>
      </c>
      <c r="D2384" t="s">
        <v>9</v>
      </c>
      <c r="E2384" s="68">
        <v>4516</v>
      </c>
      <c r="F2384" s="68">
        <v>4838</v>
      </c>
      <c r="G2384" s="68">
        <v>9354</v>
      </c>
    </row>
    <row r="2385" spans="1:7" x14ac:dyDescent="0.3">
      <c r="A2385" t="s">
        <v>575</v>
      </c>
      <c r="B2385" t="s">
        <v>36</v>
      </c>
      <c r="C2385" t="s">
        <v>24</v>
      </c>
      <c r="D2385" t="s">
        <v>10</v>
      </c>
      <c r="E2385" s="68">
        <v>5013</v>
      </c>
      <c r="F2385" s="68">
        <v>5254</v>
      </c>
      <c r="G2385" s="68">
        <v>10267</v>
      </c>
    </row>
    <row r="2386" spans="1:7" x14ac:dyDescent="0.3">
      <c r="A2386" t="s">
        <v>575</v>
      </c>
      <c r="B2386" t="s">
        <v>36</v>
      </c>
      <c r="C2386" t="s">
        <v>24</v>
      </c>
      <c r="D2386" t="s">
        <v>11</v>
      </c>
      <c r="E2386" s="68">
        <v>4343</v>
      </c>
      <c r="F2386" s="68">
        <v>4124</v>
      </c>
      <c r="G2386" s="68">
        <v>8467</v>
      </c>
    </row>
    <row r="2387" spans="1:7" x14ac:dyDescent="0.3">
      <c r="A2387" t="s">
        <v>575</v>
      </c>
      <c r="B2387" t="s">
        <v>36</v>
      </c>
      <c r="C2387" t="s">
        <v>24</v>
      </c>
      <c r="D2387" t="s">
        <v>12</v>
      </c>
      <c r="E2387" s="68">
        <v>4570</v>
      </c>
      <c r="F2387" s="68">
        <v>4351</v>
      </c>
      <c r="G2387" s="68">
        <v>8921</v>
      </c>
    </row>
    <row r="2388" spans="1:7" x14ac:dyDescent="0.3">
      <c r="A2388" t="s">
        <v>575</v>
      </c>
      <c r="B2388" t="s">
        <v>36</v>
      </c>
      <c r="C2388" t="s">
        <v>24</v>
      </c>
      <c r="D2388" t="s">
        <v>13</v>
      </c>
      <c r="E2388" s="68">
        <v>4543</v>
      </c>
      <c r="F2388" s="68">
        <v>4076</v>
      </c>
      <c r="G2388" s="68">
        <v>8619</v>
      </c>
    </row>
    <row r="2389" spans="1:7" x14ac:dyDescent="0.3">
      <c r="A2389" t="s">
        <v>575</v>
      </c>
      <c r="B2389" t="s">
        <v>36</v>
      </c>
      <c r="C2389" t="s">
        <v>24</v>
      </c>
      <c r="D2389" t="s">
        <v>14</v>
      </c>
      <c r="E2389" s="68">
        <v>4066</v>
      </c>
      <c r="F2389" s="68">
        <v>3741</v>
      </c>
      <c r="G2389" s="68">
        <v>7807</v>
      </c>
    </row>
    <row r="2390" spans="1:7" x14ac:dyDescent="0.3">
      <c r="A2390" t="s">
        <v>575</v>
      </c>
      <c r="B2390" t="s">
        <v>36</v>
      </c>
      <c r="C2390" t="s">
        <v>24</v>
      </c>
      <c r="D2390" t="s">
        <v>15</v>
      </c>
      <c r="E2390" s="68">
        <v>3777</v>
      </c>
      <c r="F2390" s="68">
        <v>3358</v>
      </c>
      <c r="G2390" s="68">
        <v>7135</v>
      </c>
    </row>
    <row r="2391" spans="1:7" x14ac:dyDescent="0.3">
      <c r="A2391" t="s">
        <v>575</v>
      </c>
      <c r="B2391" t="s">
        <v>36</v>
      </c>
      <c r="C2391" t="s">
        <v>24</v>
      </c>
      <c r="D2391" t="s">
        <v>16</v>
      </c>
      <c r="E2391" s="68">
        <v>3659</v>
      </c>
      <c r="F2391" s="68">
        <v>3360</v>
      </c>
      <c r="G2391" s="68">
        <v>7019</v>
      </c>
    </row>
    <row r="2392" spans="1:7" x14ac:dyDescent="0.3">
      <c r="A2392" t="s">
        <v>575</v>
      </c>
      <c r="B2392" t="s">
        <v>36</v>
      </c>
      <c r="C2392" t="s">
        <v>24</v>
      </c>
      <c r="D2392" t="s">
        <v>17</v>
      </c>
      <c r="E2392" s="68">
        <v>3601</v>
      </c>
      <c r="F2392" s="68">
        <v>3425</v>
      </c>
      <c r="G2392" s="68">
        <v>7026</v>
      </c>
    </row>
    <row r="2393" spans="1:7" x14ac:dyDescent="0.3">
      <c r="A2393" t="s">
        <v>575</v>
      </c>
      <c r="B2393" t="s">
        <v>36</v>
      </c>
      <c r="C2393" t="s">
        <v>24</v>
      </c>
      <c r="D2393" t="s">
        <v>18</v>
      </c>
      <c r="E2393" s="68">
        <v>3876</v>
      </c>
      <c r="F2393" s="68">
        <v>3937</v>
      </c>
      <c r="G2393" s="68">
        <v>7813</v>
      </c>
    </row>
    <row r="2394" spans="1:7" x14ac:dyDescent="0.3">
      <c r="A2394" t="s">
        <v>575</v>
      </c>
      <c r="B2394" t="s">
        <v>36</v>
      </c>
      <c r="C2394" t="s">
        <v>24</v>
      </c>
      <c r="D2394" t="s">
        <v>19</v>
      </c>
      <c r="E2394" s="68">
        <v>3772</v>
      </c>
      <c r="F2394" s="68">
        <v>3931</v>
      </c>
      <c r="G2394" s="68">
        <v>7703</v>
      </c>
    </row>
    <row r="2395" spans="1:7" x14ac:dyDescent="0.3">
      <c r="A2395" t="s">
        <v>575</v>
      </c>
      <c r="B2395" t="s">
        <v>36</v>
      </c>
      <c r="C2395" t="s">
        <v>24</v>
      </c>
      <c r="D2395" t="s">
        <v>20</v>
      </c>
      <c r="E2395" s="68">
        <v>3225</v>
      </c>
      <c r="F2395" s="68">
        <v>3498</v>
      </c>
      <c r="G2395" s="68">
        <v>6723</v>
      </c>
    </row>
    <row r="2396" spans="1:7" x14ac:dyDescent="0.3">
      <c r="A2396" t="s">
        <v>575</v>
      </c>
      <c r="B2396" t="s">
        <v>36</v>
      </c>
      <c r="C2396" t="s">
        <v>24</v>
      </c>
      <c r="D2396" t="s">
        <v>21</v>
      </c>
      <c r="E2396" s="68">
        <v>2623</v>
      </c>
      <c r="F2396" s="68">
        <v>2844</v>
      </c>
      <c r="G2396" s="68">
        <v>5467</v>
      </c>
    </row>
    <row r="2397" spans="1:7" x14ac:dyDescent="0.3">
      <c r="A2397" t="s">
        <v>575</v>
      </c>
      <c r="B2397" t="s">
        <v>36</v>
      </c>
      <c r="C2397" t="s">
        <v>24</v>
      </c>
      <c r="D2397" t="s">
        <v>22</v>
      </c>
      <c r="E2397" s="68">
        <v>1910</v>
      </c>
      <c r="F2397" s="68">
        <v>1840</v>
      </c>
      <c r="G2397" s="68">
        <v>3750</v>
      </c>
    </row>
    <row r="2398" spans="1:7" x14ac:dyDescent="0.3">
      <c r="A2398" t="s">
        <v>575</v>
      </c>
      <c r="B2398" t="s">
        <v>36</v>
      </c>
      <c r="C2398" t="s">
        <v>24</v>
      </c>
      <c r="D2398" t="s">
        <v>23</v>
      </c>
      <c r="E2398" s="68">
        <v>2459</v>
      </c>
      <c r="F2398" s="68">
        <v>2047</v>
      </c>
      <c r="G2398" s="68">
        <v>4506</v>
      </c>
    </row>
    <row r="2399" spans="1:7" x14ac:dyDescent="0.3">
      <c r="A2399" t="s">
        <v>905</v>
      </c>
      <c r="B2399" t="s">
        <v>38</v>
      </c>
      <c r="C2399" t="s">
        <v>6</v>
      </c>
      <c r="D2399" t="s">
        <v>7</v>
      </c>
      <c r="E2399" s="68">
        <v>167</v>
      </c>
      <c r="F2399" s="68">
        <v>204</v>
      </c>
      <c r="G2399" s="68">
        <v>371</v>
      </c>
    </row>
    <row r="2400" spans="1:7" x14ac:dyDescent="0.3">
      <c r="A2400" t="s">
        <v>905</v>
      </c>
      <c r="B2400" t="s">
        <v>38</v>
      </c>
      <c r="C2400" t="s">
        <v>6</v>
      </c>
      <c r="D2400" t="s">
        <v>8</v>
      </c>
      <c r="E2400" s="68">
        <v>262</v>
      </c>
      <c r="F2400" s="68">
        <v>254</v>
      </c>
      <c r="G2400" s="68">
        <v>516</v>
      </c>
    </row>
    <row r="2401" spans="1:7" x14ac:dyDescent="0.3">
      <c r="A2401" t="s">
        <v>905</v>
      </c>
      <c r="B2401" t="s">
        <v>38</v>
      </c>
      <c r="C2401" t="s">
        <v>6</v>
      </c>
      <c r="D2401" t="s">
        <v>9</v>
      </c>
      <c r="E2401" s="68">
        <v>214</v>
      </c>
      <c r="F2401" s="68">
        <v>237</v>
      </c>
      <c r="G2401" s="68">
        <v>451</v>
      </c>
    </row>
    <row r="2402" spans="1:7" x14ac:dyDescent="0.3">
      <c r="A2402" t="s">
        <v>905</v>
      </c>
      <c r="B2402" t="s">
        <v>38</v>
      </c>
      <c r="C2402" t="s">
        <v>6</v>
      </c>
      <c r="D2402" t="s">
        <v>10</v>
      </c>
      <c r="E2402" s="68">
        <v>341</v>
      </c>
      <c r="F2402" s="68">
        <v>357</v>
      </c>
      <c r="G2402" s="68">
        <v>698</v>
      </c>
    </row>
    <row r="2403" spans="1:7" x14ac:dyDescent="0.3">
      <c r="A2403" t="s">
        <v>905</v>
      </c>
      <c r="B2403" t="s">
        <v>38</v>
      </c>
      <c r="C2403" t="s">
        <v>6</v>
      </c>
      <c r="D2403" t="s">
        <v>11</v>
      </c>
      <c r="E2403" s="68">
        <v>1185</v>
      </c>
      <c r="F2403" s="68">
        <v>1372</v>
      </c>
      <c r="G2403" s="68">
        <v>2557</v>
      </c>
    </row>
    <row r="2404" spans="1:7" x14ac:dyDescent="0.3">
      <c r="A2404" t="s">
        <v>905</v>
      </c>
      <c r="B2404" t="s">
        <v>38</v>
      </c>
      <c r="C2404" t="s">
        <v>6</v>
      </c>
      <c r="D2404" t="s">
        <v>12</v>
      </c>
      <c r="E2404" s="68">
        <v>1406</v>
      </c>
      <c r="F2404" s="68">
        <v>1523</v>
      </c>
      <c r="G2404" s="68">
        <v>2929</v>
      </c>
    </row>
    <row r="2405" spans="1:7" x14ac:dyDescent="0.3">
      <c r="A2405" t="s">
        <v>905</v>
      </c>
      <c r="B2405" t="s">
        <v>38</v>
      </c>
      <c r="C2405" t="s">
        <v>6</v>
      </c>
      <c r="D2405" t="s">
        <v>13</v>
      </c>
      <c r="E2405" s="68">
        <v>994</v>
      </c>
      <c r="F2405" s="68">
        <v>1065</v>
      </c>
      <c r="G2405" s="68">
        <v>2059</v>
      </c>
    </row>
    <row r="2406" spans="1:7" x14ac:dyDescent="0.3">
      <c r="A2406" t="s">
        <v>905</v>
      </c>
      <c r="B2406" t="s">
        <v>38</v>
      </c>
      <c r="C2406" t="s">
        <v>6</v>
      </c>
      <c r="D2406" t="s">
        <v>14</v>
      </c>
      <c r="E2406" s="68">
        <v>670</v>
      </c>
      <c r="F2406" s="68">
        <v>683</v>
      </c>
      <c r="G2406" s="68">
        <v>1353</v>
      </c>
    </row>
    <row r="2407" spans="1:7" x14ac:dyDescent="0.3">
      <c r="A2407" t="s">
        <v>905</v>
      </c>
      <c r="B2407" t="s">
        <v>38</v>
      </c>
      <c r="C2407" t="s">
        <v>6</v>
      </c>
      <c r="D2407" t="s">
        <v>15</v>
      </c>
      <c r="E2407" s="68">
        <v>457</v>
      </c>
      <c r="F2407" s="68">
        <v>564</v>
      </c>
      <c r="G2407" s="68">
        <v>1021</v>
      </c>
    </row>
    <row r="2408" spans="1:7" x14ac:dyDescent="0.3">
      <c r="A2408" t="s">
        <v>905</v>
      </c>
      <c r="B2408" t="s">
        <v>38</v>
      </c>
      <c r="C2408" t="s">
        <v>6</v>
      </c>
      <c r="D2408" t="s">
        <v>16</v>
      </c>
      <c r="E2408" s="68">
        <v>329</v>
      </c>
      <c r="F2408" s="68">
        <v>450</v>
      </c>
      <c r="G2408" s="68">
        <v>779</v>
      </c>
    </row>
    <row r="2409" spans="1:7" x14ac:dyDescent="0.3">
      <c r="A2409" t="s">
        <v>905</v>
      </c>
      <c r="B2409" t="s">
        <v>38</v>
      </c>
      <c r="C2409" t="s">
        <v>6</v>
      </c>
      <c r="D2409" t="s">
        <v>17</v>
      </c>
      <c r="E2409" s="68">
        <v>226</v>
      </c>
      <c r="F2409" s="68">
        <v>361</v>
      </c>
      <c r="G2409" s="68">
        <v>587</v>
      </c>
    </row>
    <row r="2410" spans="1:7" x14ac:dyDescent="0.3">
      <c r="A2410" t="s">
        <v>905</v>
      </c>
      <c r="B2410" t="s">
        <v>38</v>
      </c>
      <c r="C2410" t="s">
        <v>6</v>
      </c>
      <c r="D2410" t="s">
        <v>18</v>
      </c>
      <c r="E2410" s="68">
        <v>153</v>
      </c>
      <c r="F2410" s="68">
        <v>289</v>
      </c>
      <c r="G2410" s="68">
        <v>442</v>
      </c>
    </row>
    <row r="2411" spans="1:7" x14ac:dyDescent="0.3">
      <c r="A2411" t="s">
        <v>905</v>
      </c>
      <c r="B2411" t="s">
        <v>38</v>
      </c>
      <c r="C2411" t="s">
        <v>6</v>
      </c>
      <c r="D2411" t="s">
        <v>19</v>
      </c>
      <c r="E2411" s="68">
        <v>100</v>
      </c>
      <c r="F2411" s="68">
        <v>206</v>
      </c>
      <c r="G2411" s="68">
        <v>306</v>
      </c>
    </row>
    <row r="2412" spans="1:7" x14ac:dyDescent="0.3">
      <c r="A2412" t="s">
        <v>905</v>
      </c>
      <c r="B2412" t="s">
        <v>38</v>
      </c>
      <c r="C2412" t="s">
        <v>6</v>
      </c>
      <c r="D2412" t="s">
        <v>20</v>
      </c>
      <c r="E2412" s="68">
        <v>42</v>
      </c>
      <c r="F2412" s="68">
        <v>120</v>
      </c>
      <c r="G2412" s="68">
        <v>162</v>
      </c>
    </row>
    <row r="2413" spans="1:7" x14ac:dyDescent="0.3">
      <c r="A2413" t="s">
        <v>905</v>
      </c>
      <c r="B2413" t="s">
        <v>38</v>
      </c>
      <c r="C2413" t="s">
        <v>6</v>
      </c>
      <c r="D2413" t="s">
        <v>21</v>
      </c>
      <c r="E2413" s="68">
        <v>24</v>
      </c>
      <c r="F2413" s="68">
        <v>46</v>
      </c>
      <c r="G2413" s="68">
        <v>70</v>
      </c>
    </row>
    <row r="2414" spans="1:7" x14ac:dyDescent="0.3">
      <c r="A2414" t="s">
        <v>905</v>
      </c>
      <c r="B2414" t="s">
        <v>38</v>
      </c>
      <c r="C2414" t="s">
        <v>6</v>
      </c>
      <c r="D2414" t="s">
        <v>22</v>
      </c>
      <c r="E2414" s="68">
        <v>15</v>
      </c>
      <c r="F2414" s="68">
        <v>23</v>
      </c>
      <c r="G2414" s="68">
        <v>38</v>
      </c>
    </row>
    <row r="2415" spans="1:7" x14ac:dyDescent="0.3">
      <c r="A2415" t="s">
        <v>905</v>
      </c>
      <c r="B2415" t="s">
        <v>38</v>
      </c>
      <c r="C2415" t="s">
        <v>6</v>
      </c>
      <c r="D2415" t="s">
        <v>23</v>
      </c>
      <c r="E2415" s="68">
        <v>6</v>
      </c>
      <c r="F2415" s="68">
        <v>25</v>
      </c>
      <c r="G2415" s="68">
        <v>31</v>
      </c>
    </row>
    <row r="2416" spans="1:7" x14ac:dyDescent="0.3">
      <c r="A2416" t="s">
        <v>905</v>
      </c>
      <c r="B2416" t="s">
        <v>38</v>
      </c>
      <c r="C2416" t="s">
        <v>24</v>
      </c>
      <c r="D2416" t="s">
        <v>7</v>
      </c>
      <c r="E2416" s="68">
        <v>9665</v>
      </c>
      <c r="F2416" s="68">
        <v>10119</v>
      </c>
      <c r="G2416" s="68">
        <v>19784</v>
      </c>
    </row>
    <row r="2417" spans="1:7" x14ac:dyDescent="0.3">
      <c r="A2417" t="s">
        <v>905</v>
      </c>
      <c r="B2417" t="s">
        <v>38</v>
      </c>
      <c r="C2417" t="s">
        <v>24</v>
      </c>
      <c r="D2417" t="s">
        <v>8</v>
      </c>
      <c r="E2417" s="68">
        <v>12645</v>
      </c>
      <c r="F2417" s="68">
        <v>13541</v>
      </c>
      <c r="G2417" s="68">
        <v>26186</v>
      </c>
    </row>
    <row r="2418" spans="1:7" x14ac:dyDescent="0.3">
      <c r="A2418" t="s">
        <v>905</v>
      </c>
      <c r="B2418" t="s">
        <v>38</v>
      </c>
      <c r="C2418" t="s">
        <v>24</v>
      </c>
      <c r="D2418" t="s">
        <v>9</v>
      </c>
      <c r="E2418" s="68">
        <v>13897</v>
      </c>
      <c r="F2418" s="68">
        <v>14710</v>
      </c>
      <c r="G2418" s="68">
        <v>28607</v>
      </c>
    </row>
    <row r="2419" spans="1:7" x14ac:dyDescent="0.3">
      <c r="A2419" t="s">
        <v>905</v>
      </c>
      <c r="B2419" t="s">
        <v>38</v>
      </c>
      <c r="C2419" t="s">
        <v>24</v>
      </c>
      <c r="D2419" t="s">
        <v>10</v>
      </c>
      <c r="E2419" s="68">
        <v>15152</v>
      </c>
      <c r="F2419" s="68">
        <v>14972</v>
      </c>
      <c r="G2419" s="68">
        <v>30124</v>
      </c>
    </row>
    <row r="2420" spans="1:7" x14ac:dyDescent="0.3">
      <c r="A2420" t="s">
        <v>905</v>
      </c>
      <c r="B2420" t="s">
        <v>38</v>
      </c>
      <c r="C2420" t="s">
        <v>24</v>
      </c>
      <c r="D2420" t="s">
        <v>11</v>
      </c>
      <c r="E2420" s="68">
        <v>13905</v>
      </c>
      <c r="F2420" s="68">
        <v>11596</v>
      </c>
      <c r="G2420" s="68">
        <v>25501</v>
      </c>
    </row>
    <row r="2421" spans="1:7" x14ac:dyDescent="0.3">
      <c r="A2421" t="s">
        <v>905</v>
      </c>
      <c r="B2421" t="s">
        <v>38</v>
      </c>
      <c r="C2421" t="s">
        <v>24</v>
      </c>
      <c r="D2421" t="s">
        <v>12</v>
      </c>
      <c r="E2421" s="68">
        <v>12470</v>
      </c>
      <c r="F2421" s="68">
        <v>10709</v>
      </c>
      <c r="G2421" s="68">
        <v>23179</v>
      </c>
    </row>
    <row r="2422" spans="1:7" x14ac:dyDescent="0.3">
      <c r="A2422" t="s">
        <v>905</v>
      </c>
      <c r="B2422" t="s">
        <v>38</v>
      </c>
      <c r="C2422" t="s">
        <v>24</v>
      </c>
      <c r="D2422" t="s">
        <v>13</v>
      </c>
      <c r="E2422" s="68">
        <v>11015</v>
      </c>
      <c r="F2422" s="68">
        <v>9063</v>
      </c>
      <c r="G2422" s="68">
        <v>20078</v>
      </c>
    </row>
    <row r="2423" spans="1:7" x14ac:dyDescent="0.3">
      <c r="A2423" t="s">
        <v>905</v>
      </c>
      <c r="B2423" t="s">
        <v>38</v>
      </c>
      <c r="C2423" t="s">
        <v>24</v>
      </c>
      <c r="D2423" t="s">
        <v>14</v>
      </c>
      <c r="E2423" s="68">
        <v>9633</v>
      </c>
      <c r="F2423" s="68">
        <v>8177</v>
      </c>
      <c r="G2423" s="68">
        <v>17810</v>
      </c>
    </row>
    <row r="2424" spans="1:7" x14ac:dyDescent="0.3">
      <c r="A2424" t="s">
        <v>905</v>
      </c>
      <c r="B2424" t="s">
        <v>38</v>
      </c>
      <c r="C2424" t="s">
        <v>24</v>
      </c>
      <c r="D2424" t="s">
        <v>15</v>
      </c>
      <c r="E2424" s="68">
        <v>8831</v>
      </c>
      <c r="F2424" s="68">
        <v>7768</v>
      </c>
      <c r="G2424" s="68">
        <v>16599</v>
      </c>
    </row>
    <row r="2425" spans="1:7" x14ac:dyDescent="0.3">
      <c r="A2425" t="s">
        <v>905</v>
      </c>
      <c r="B2425" t="s">
        <v>38</v>
      </c>
      <c r="C2425" t="s">
        <v>24</v>
      </c>
      <c r="D2425" t="s">
        <v>16</v>
      </c>
      <c r="E2425" s="68">
        <v>8068</v>
      </c>
      <c r="F2425" s="68">
        <v>7426</v>
      </c>
      <c r="G2425" s="68">
        <v>15494</v>
      </c>
    </row>
    <row r="2426" spans="1:7" x14ac:dyDescent="0.3">
      <c r="A2426" t="s">
        <v>905</v>
      </c>
      <c r="B2426" t="s">
        <v>38</v>
      </c>
      <c r="C2426" t="s">
        <v>24</v>
      </c>
      <c r="D2426" t="s">
        <v>17</v>
      </c>
      <c r="E2426" s="68">
        <v>7500</v>
      </c>
      <c r="F2426" s="68">
        <v>7191</v>
      </c>
      <c r="G2426" s="68">
        <v>14691</v>
      </c>
    </row>
    <row r="2427" spans="1:7" x14ac:dyDescent="0.3">
      <c r="A2427" t="s">
        <v>905</v>
      </c>
      <c r="B2427" t="s">
        <v>38</v>
      </c>
      <c r="C2427" t="s">
        <v>24</v>
      </c>
      <c r="D2427" t="s">
        <v>18</v>
      </c>
      <c r="E2427" s="68">
        <v>6900</v>
      </c>
      <c r="F2427" s="68">
        <v>6733</v>
      </c>
      <c r="G2427" s="68">
        <v>13633</v>
      </c>
    </row>
    <row r="2428" spans="1:7" x14ac:dyDescent="0.3">
      <c r="A2428" t="s">
        <v>905</v>
      </c>
      <c r="B2428" t="s">
        <v>38</v>
      </c>
      <c r="C2428" t="s">
        <v>24</v>
      </c>
      <c r="D2428" t="s">
        <v>19</v>
      </c>
      <c r="E2428" s="68">
        <v>5735</v>
      </c>
      <c r="F2428" s="68">
        <v>5921</v>
      </c>
      <c r="G2428" s="68">
        <v>11656</v>
      </c>
    </row>
    <row r="2429" spans="1:7" x14ac:dyDescent="0.3">
      <c r="A2429" t="s">
        <v>905</v>
      </c>
      <c r="B2429" t="s">
        <v>38</v>
      </c>
      <c r="C2429" t="s">
        <v>24</v>
      </c>
      <c r="D2429" t="s">
        <v>20</v>
      </c>
      <c r="E2429" s="68">
        <v>4330</v>
      </c>
      <c r="F2429" s="68">
        <v>4706</v>
      </c>
      <c r="G2429" s="68">
        <v>9036</v>
      </c>
    </row>
    <row r="2430" spans="1:7" x14ac:dyDescent="0.3">
      <c r="A2430" t="s">
        <v>905</v>
      </c>
      <c r="B2430" t="s">
        <v>38</v>
      </c>
      <c r="C2430" t="s">
        <v>24</v>
      </c>
      <c r="D2430" t="s">
        <v>21</v>
      </c>
      <c r="E2430" s="68">
        <v>3144</v>
      </c>
      <c r="F2430" s="68">
        <v>3391</v>
      </c>
      <c r="G2430" s="68">
        <v>6535</v>
      </c>
    </row>
    <row r="2431" spans="1:7" x14ac:dyDescent="0.3">
      <c r="A2431" t="s">
        <v>905</v>
      </c>
      <c r="B2431" t="s">
        <v>38</v>
      </c>
      <c r="C2431" t="s">
        <v>24</v>
      </c>
      <c r="D2431" t="s">
        <v>22</v>
      </c>
      <c r="E2431" s="68">
        <v>2108</v>
      </c>
      <c r="F2431" s="68">
        <v>2482</v>
      </c>
      <c r="G2431" s="68">
        <v>4590</v>
      </c>
    </row>
    <row r="2432" spans="1:7" x14ac:dyDescent="0.3">
      <c r="A2432" t="s">
        <v>905</v>
      </c>
      <c r="B2432" t="s">
        <v>38</v>
      </c>
      <c r="C2432" t="s">
        <v>24</v>
      </c>
      <c r="D2432" t="s">
        <v>23</v>
      </c>
      <c r="E2432" s="68">
        <v>2688</v>
      </c>
      <c r="F2432" s="68">
        <v>3156</v>
      </c>
      <c r="G2432" s="68">
        <v>5844</v>
      </c>
    </row>
    <row r="2433" spans="1:7" x14ac:dyDescent="0.3">
      <c r="A2433" t="s">
        <v>905</v>
      </c>
      <c r="B2433" t="s">
        <v>40</v>
      </c>
      <c r="C2433" t="s">
        <v>24</v>
      </c>
      <c r="D2433" t="s">
        <v>7</v>
      </c>
      <c r="E2433" s="68">
        <v>1</v>
      </c>
      <c r="F2433" s="68"/>
      <c r="G2433" s="68">
        <v>1</v>
      </c>
    </row>
    <row r="2434" spans="1:7" x14ac:dyDescent="0.3">
      <c r="A2434" t="s">
        <v>905</v>
      </c>
      <c r="B2434" t="s">
        <v>32</v>
      </c>
      <c r="C2434" t="s">
        <v>6</v>
      </c>
      <c r="D2434" t="s">
        <v>15</v>
      </c>
      <c r="E2434" s="68">
        <v>1</v>
      </c>
      <c r="F2434" s="68"/>
      <c r="G2434" s="68">
        <v>1</v>
      </c>
    </row>
    <row r="2435" spans="1:7" x14ac:dyDescent="0.3">
      <c r="A2435" t="s">
        <v>905</v>
      </c>
      <c r="B2435" t="s">
        <v>5</v>
      </c>
      <c r="C2435" t="s">
        <v>6</v>
      </c>
      <c r="D2435" t="s">
        <v>7</v>
      </c>
      <c r="E2435" s="68">
        <v>629</v>
      </c>
      <c r="F2435" s="68">
        <v>628</v>
      </c>
      <c r="G2435" s="68">
        <v>1257</v>
      </c>
    </row>
    <row r="2436" spans="1:7" x14ac:dyDescent="0.3">
      <c r="A2436" t="s">
        <v>905</v>
      </c>
      <c r="B2436" t="s">
        <v>5</v>
      </c>
      <c r="C2436" t="s">
        <v>6</v>
      </c>
      <c r="D2436" t="s">
        <v>8</v>
      </c>
      <c r="E2436" s="68">
        <v>755</v>
      </c>
      <c r="F2436" s="68">
        <v>888</v>
      </c>
      <c r="G2436" s="68">
        <v>1643</v>
      </c>
    </row>
    <row r="2437" spans="1:7" x14ac:dyDescent="0.3">
      <c r="A2437" t="s">
        <v>905</v>
      </c>
      <c r="B2437" t="s">
        <v>5</v>
      </c>
      <c r="C2437" t="s">
        <v>6</v>
      </c>
      <c r="D2437" t="s">
        <v>9</v>
      </c>
      <c r="E2437" s="68">
        <v>987</v>
      </c>
      <c r="F2437" s="68">
        <v>1002</v>
      </c>
      <c r="G2437" s="68">
        <v>1989</v>
      </c>
    </row>
    <row r="2438" spans="1:7" x14ac:dyDescent="0.3">
      <c r="A2438" t="s">
        <v>905</v>
      </c>
      <c r="B2438" t="s">
        <v>5</v>
      </c>
      <c r="C2438" t="s">
        <v>6</v>
      </c>
      <c r="D2438" t="s">
        <v>10</v>
      </c>
      <c r="E2438" s="68">
        <v>899</v>
      </c>
      <c r="F2438" s="68">
        <v>958</v>
      </c>
      <c r="G2438" s="68">
        <v>1857</v>
      </c>
    </row>
    <row r="2439" spans="1:7" x14ac:dyDescent="0.3">
      <c r="A2439" t="s">
        <v>905</v>
      </c>
      <c r="B2439" t="s">
        <v>5</v>
      </c>
      <c r="C2439" t="s">
        <v>6</v>
      </c>
      <c r="D2439" t="s">
        <v>11</v>
      </c>
      <c r="E2439" s="68">
        <v>810</v>
      </c>
      <c r="F2439" s="68">
        <v>837</v>
      </c>
      <c r="G2439" s="68">
        <v>1647</v>
      </c>
    </row>
    <row r="2440" spans="1:7" x14ac:dyDescent="0.3">
      <c r="A2440" t="s">
        <v>905</v>
      </c>
      <c r="B2440" t="s">
        <v>5</v>
      </c>
      <c r="C2440" t="s">
        <v>6</v>
      </c>
      <c r="D2440" t="s">
        <v>12</v>
      </c>
      <c r="E2440" s="68">
        <v>1132</v>
      </c>
      <c r="F2440" s="68">
        <v>940</v>
      </c>
      <c r="G2440" s="68">
        <v>2072</v>
      </c>
    </row>
    <row r="2441" spans="1:7" x14ac:dyDescent="0.3">
      <c r="A2441" t="s">
        <v>905</v>
      </c>
      <c r="B2441" t="s">
        <v>5</v>
      </c>
      <c r="C2441" t="s">
        <v>6</v>
      </c>
      <c r="D2441" t="s">
        <v>13</v>
      </c>
      <c r="E2441" s="68">
        <v>1458</v>
      </c>
      <c r="F2441" s="68">
        <v>1279</v>
      </c>
      <c r="G2441" s="68">
        <v>2737</v>
      </c>
    </row>
    <row r="2442" spans="1:7" x14ac:dyDescent="0.3">
      <c r="A2442" t="s">
        <v>905</v>
      </c>
      <c r="B2442" t="s">
        <v>5</v>
      </c>
      <c r="C2442" t="s">
        <v>6</v>
      </c>
      <c r="D2442" t="s">
        <v>14</v>
      </c>
      <c r="E2442" s="68">
        <v>1460</v>
      </c>
      <c r="F2442" s="68">
        <v>1430</v>
      </c>
      <c r="G2442" s="68">
        <v>2890</v>
      </c>
    </row>
    <row r="2443" spans="1:7" x14ac:dyDescent="0.3">
      <c r="A2443" t="s">
        <v>905</v>
      </c>
      <c r="B2443" t="s">
        <v>5</v>
      </c>
      <c r="C2443" t="s">
        <v>6</v>
      </c>
      <c r="D2443" t="s">
        <v>15</v>
      </c>
      <c r="E2443" s="68">
        <v>1322</v>
      </c>
      <c r="F2443" s="68">
        <v>1317</v>
      </c>
      <c r="G2443" s="68">
        <v>2639</v>
      </c>
    </row>
    <row r="2444" spans="1:7" x14ac:dyDescent="0.3">
      <c r="A2444" t="s">
        <v>905</v>
      </c>
      <c r="B2444" t="s">
        <v>5</v>
      </c>
      <c r="C2444" t="s">
        <v>6</v>
      </c>
      <c r="D2444" t="s">
        <v>16</v>
      </c>
      <c r="E2444" s="68">
        <v>1141</v>
      </c>
      <c r="F2444" s="68">
        <v>1110</v>
      </c>
      <c r="G2444" s="68">
        <v>2251</v>
      </c>
    </row>
    <row r="2445" spans="1:7" x14ac:dyDescent="0.3">
      <c r="A2445" t="s">
        <v>905</v>
      </c>
      <c r="B2445" t="s">
        <v>5</v>
      </c>
      <c r="C2445" t="s">
        <v>6</v>
      </c>
      <c r="D2445" t="s">
        <v>17</v>
      </c>
      <c r="E2445" s="68">
        <v>825</v>
      </c>
      <c r="F2445" s="68">
        <v>834</v>
      </c>
      <c r="G2445" s="68">
        <v>1659</v>
      </c>
    </row>
    <row r="2446" spans="1:7" x14ac:dyDescent="0.3">
      <c r="A2446" t="s">
        <v>905</v>
      </c>
      <c r="B2446" t="s">
        <v>5</v>
      </c>
      <c r="C2446" t="s">
        <v>6</v>
      </c>
      <c r="D2446" t="s">
        <v>18</v>
      </c>
      <c r="E2446" s="68">
        <v>815</v>
      </c>
      <c r="F2446" s="68">
        <v>792</v>
      </c>
      <c r="G2446" s="68">
        <v>1607</v>
      </c>
    </row>
    <row r="2447" spans="1:7" x14ac:dyDescent="0.3">
      <c r="A2447" t="s">
        <v>905</v>
      </c>
      <c r="B2447" t="s">
        <v>5</v>
      </c>
      <c r="C2447" t="s">
        <v>6</v>
      </c>
      <c r="D2447" t="s">
        <v>19</v>
      </c>
      <c r="E2447" s="68">
        <v>711</v>
      </c>
      <c r="F2447" s="68">
        <v>678</v>
      </c>
      <c r="G2447" s="68">
        <v>1389</v>
      </c>
    </row>
    <row r="2448" spans="1:7" x14ac:dyDescent="0.3">
      <c r="A2448" t="s">
        <v>905</v>
      </c>
      <c r="B2448" t="s">
        <v>5</v>
      </c>
      <c r="C2448" t="s">
        <v>6</v>
      </c>
      <c r="D2448" t="s">
        <v>20</v>
      </c>
      <c r="E2448" s="68">
        <v>471</v>
      </c>
      <c r="F2448" s="68">
        <v>496</v>
      </c>
      <c r="G2448" s="68">
        <v>967</v>
      </c>
    </row>
    <row r="2449" spans="1:7" x14ac:dyDescent="0.3">
      <c r="A2449" t="s">
        <v>905</v>
      </c>
      <c r="B2449" t="s">
        <v>5</v>
      </c>
      <c r="C2449" t="s">
        <v>6</v>
      </c>
      <c r="D2449" t="s">
        <v>21</v>
      </c>
      <c r="E2449" s="68">
        <v>348</v>
      </c>
      <c r="F2449" s="68">
        <v>327</v>
      </c>
      <c r="G2449" s="68">
        <v>675</v>
      </c>
    </row>
    <row r="2450" spans="1:7" x14ac:dyDescent="0.3">
      <c r="A2450" t="s">
        <v>905</v>
      </c>
      <c r="B2450" t="s">
        <v>5</v>
      </c>
      <c r="C2450" t="s">
        <v>6</v>
      </c>
      <c r="D2450" t="s">
        <v>22</v>
      </c>
      <c r="E2450" s="68">
        <v>185</v>
      </c>
      <c r="F2450" s="68">
        <v>191</v>
      </c>
      <c r="G2450" s="68">
        <v>376</v>
      </c>
    </row>
    <row r="2451" spans="1:7" x14ac:dyDescent="0.3">
      <c r="A2451" t="s">
        <v>905</v>
      </c>
      <c r="B2451" t="s">
        <v>5</v>
      </c>
      <c r="C2451" t="s">
        <v>6</v>
      </c>
      <c r="D2451" t="s">
        <v>23</v>
      </c>
      <c r="E2451" s="68">
        <v>229</v>
      </c>
      <c r="F2451" s="68">
        <v>205</v>
      </c>
      <c r="G2451" s="68">
        <v>434</v>
      </c>
    </row>
    <row r="2452" spans="1:7" x14ac:dyDescent="0.3">
      <c r="A2452" t="s">
        <v>905</v>
      </c>
      <c r="B2452" t="s">
        <v>5</v>
      </c>
      <c r="C2452" t="s">
        <v>24</v>
      </c>
      <c r="D2452" t="s">
        <v>7</v>
      </c>
      <c r="E2452" s="68">
        <v>314</v>
      </c>
      <c r="F2452" s="68">
        <v>353</v>
      </c>
      <c r="G2452" s="68">
        <v>667</v>
      </c>
    </row>
    <row r="2453" spans="1:7" x14ac:dyDescent="0.3">
      <c r="A2453" t="s">
        <v>905</v>
      </c>
      <c r="B2453" t="s">
        <v>5</v>
      </c>
      <c r="C2453" t="s">
        <v>24</v>
      </c>
      <c r="D2453" t="s">
        <v>8</v>
      </c>
      <c r="E2453" s="68">
        <v>418</v>
      </c>
      <c r="F2453" s="68">
        <v>479</v>
      </c>
      <c r="G2453" s="68">
        <v>897</v>
      </c>
    </row>
    <row r="2454" spans="1:7" x14ac:dyDescent="0.3">
      <c r="A2454" t="s">
        <v>905</v>
      </c>
      <c r="B2454" t="s">
        <v>5</v>
      </c>
      <c r="C2454" t="s">
        <v>24</v>
      </c>
      <c r="D2454" t="s">
        <v>9</v>
      </c>
      <c r="E2454" s="68">
        <v>451</v>
      </c>
      <c r="F2454" s="68">
        <v>481</v>
      </c>
      <c r="G2454" s="68">
        <v>932</v>
      </c>
    </row>
    <row r="2455" spans="1:7" x14ac:dyDescent="0.3">
      <c r="A2455" t="s">
        <v>905</v>
      </c>
      <c r="B2455" t="s">
        <v>5</v>
      </c>
      <c r="C2455" t="s">
        <v>24</v>
      </c>
      <c r="D2455" t="s">
        <v>10</v>
      </c>
      <c r="E2455" s="68">
        <v>430</v>
      </c>
      <c r="F2455" s="68">
        <v>458</v>
      </c>
      <c r="G2455" s="68">
        <v>888</v>
      </c>
    </row>
    <row r="2456" spans="1:7" x14ac:dyDescent="0.3">
      <c r="A2456" t="s">
        <v>905</v>
      </c>
      <c r="B2456" t="s">
        <v>5</v>
      </c>
      <c r="C2456" t="s">
        <v>24</v>
      </c>
      <c r="D2456" t="s">
        <v>11</v>
      </c>
      <c r="E2456" s="68">
        <v>445</v>
      </c>
      <c r="F2456" s="68">
        <v>428</v>
      </c>
      <c r="G2456" s="68">
        <v>873</v>
      </c>
    </row>
    <row r="2457" spans="1:7" x14ac:dyDescent="0.3">
      <c r="A2457" t="s">
        <v>905</v>
      </c>
      <c r="B2457" t="s">
        <v>5</v>
      </c>
      <c r="C2457" t="s">
        <v>24</v>
      </c>
      <c r="D2457" t="s">
        <v>12</v>
      </c>
      <c r="E2457" s="68">
        <v>620</v>
      </c>
      <c r="F2457" s="68">
        <v>602</v>
      </c>
      <c r="G2457" s="68">
        <v>1222</v>
      </c>
    </row>
    <row r="2458" spans="1:7" x14ac:dyDescent="0.3">
      <c r="A2458" t="s">
        <v>905</v>
      </c>
      <c r="B2458" t="s">
        <v>5</v>
      </c>
      <c r="C2458" t="s">
        <v>24</v>
      </c>
      <c r="D2458" t="s">
        <v>13</v>
      </c>
      <c r="E2458" s="68">
        <v>646</v>
      </c>
      <c r="F2458" s="68">
        <v>777</v>
      </c>
      <c r="G2458" s="68">
        <v>1423</v>
      </c>
    </row>
    <row r="2459" spans="1:7" x14ac:dyDescent="0.3">
      <c r="A2459" t="s">
        <v>905</v>
      </c>
      <c r="B2459" t="s">
        <v>5</v>
      </c>
      <c r="C2459" t="s">
        <v>24</v>
      </c>
      <c r="D2459" t="s">
        <v>14</v>
      </c>
      <c r="E2459" s="68">
        <v>559</v>
      </c>
      <c r="F2459" s="68">
        <v>775</v>
      </c>
      <c r="G2459" s="68">
        <v>1334</v>
      </c>
    </row>
    <row r="2460" spans="1:7" x14ac:dyDescent="0.3">
      <c r="A2460" t="s">
        <v>905</v>
      </c>
      <c r="B2460" t="s">
        <v>5</v>
      </c>
      <c r="C2460" t="s">
        <v>24</v>
      </c>
      <c r="D2460" t="s">
        <v>15</v>
      </c>
      <c r="E2460" s="68">
        <v>428</v>
      </c>
      <c r="F2460" s="68">
        <v>604</v>
      </c>
      <c r="G2460" s="68">
        <v>1032</v>
      </c>
    </row>
    <row r="2461" spans="1:7" x14ac:dyDescent="0.3">
      <c r="A2461" t="s">
        <v>905</v>
      </c>
      <c r="B2461" t="s">
        <v>5</v>
      </c>
      <c r="C2461" t="s">
        <v>24</v>
      </c>
      <c r="D2461" t="s">
        <v>16</v>
      </c>
      <c r="E2461" s="68">
        <v>387</v>
      </c>
      <c r="F2461" s="68">
        <v>464</v>
      </c>
      <c r="G2461" s="68">
        <v>851</v>
      </c>
    </row>
    <row r="2462" spans="1:7" x14ac:dyDescent="0.3">
      <c r="A2462" t="s">
        <v>905</v>
      </c>
      <c r="B2462" t="s">
        <v>5</v>
      </c>
      <c r="C2462" t="s">
        <v>24</v>
      </c>
      <c r="D2462" t="s">
        <v>17</v>
      </c>
      <c r="E2462" s="68">
        <v>262</v>
      </c>
      <c r="F2462" s="68">
        <v>378</v>
      </c>
      <c r="G2462" s="68">
        <v>640</v>
      </c>
    </row>
    <row r="2463" spans="1:7" x14ac:dyDescent="0.3">
      <c r="A2463" t="s">
        <v>905</v>
      </c>
      <c r="B2463" t="s">
        <v>5</v>
      </c>
      <c r="C2463" t="s">
        <v>24</v>
      </c>
      <c r="D2463" t="s">
        <v>18</v>
      </c>
      <c r="E2463" s="68">
        <v>206</v>
      </c>
      <c r="F2463" s="68">
        <v>263</v>
      </c>
      <c r="G2463" s="68">
        <v>469</v>
      </c>
    </row>
    <row r="2464" spans="1:7" x14ac:dyDescent="0.3">
      <c r="A2464" t="s">
        <v>905</v>
      </c>
      <c r="B2464" t="s">
        <v>5</v>
      </c>
      <c r="C2464" t="s">
        <v>24</v>
      </c>
      <c r="D2464" t="s">
        <v>19</v>
      </c>
      <c r="E2464" s="68">
        <v>169</v>
      </c>
      <c r="F2464" s="68">
        <v>215</v>
      </c>
      <c r="G2464" s="68">
        <v>384</v>
      </c>
    </row>
    <row r="2465" spans="1:7" x14ac:dyDescent="0.3">
      <c r="A2465" t="s">
        <v>905</v>
      </c>
      <c r="B2465" t="s">
        <v>5</v>
      </c>
      <c r="C2465" t="s">
        <v>24</v>
      </c>
      <c r="D2465" t="s">
        <v>20</v>
      </c>
      <c r="E2465" s="68">
        <v>84</v>
      </c>
      <c r="F2465" s="68">
        <v>105</v>
      </c>
      <c r="G2465" s="68">
        <v>189</v>
      </c>
    </row>
    <row r="2466" spans="1:7" x14ac:dyDescent="0.3">
      <c r="A2466" t="s">
        <v>905</v>
      </c>
      <c r="B2466" t="s">
        <v>5</v>
      </c>
      <c r="C2466" t="s">
        <v>24</v>
      </c>
      <c r="D2466" t="s">
        <v>21</v>
      </c>
      <c r="E2466" s="68">
        <v>70</v>
      </c>
      <c r="F2466" s="68">
        <v>77</v>
      </c>
      <c r="G2466" s="68">
        <v>147</v>
      </c>
    </row>
    <row r="2467" spans="1:7" x14ac:dyDescent="0.3">
      <c r="A2467" t="s">
        <v>905</v>
      </c>
      <c r="B2467" t="s">
        <v>5</v>
      </c>
      <c r="C2467" t="s">
        <v>24</v>
      </c>
      <c r="D2467" t="s">
        <v>22</v>
      </c>
      <c r="E2467" s="68">
        <v>38</v>
      </c>
      <c r="F2467" s="68">
        <v>34</v>
      </c>
      <c r="G2467" s="68">
        <v>72</v>
      </c>
    </row>
    <row r="2468" spans="1:7" x14ac:dyDescent="0.3">
      <c r="A2468" t="s">
        <v>905</v>
      </c>
      <c r="B2468" t="s">
        <v>5</v>
      </c>
      <c r="C2468" t="s">
        <v>24</v>
      </c>
      <c r="D2468" t="s">
        <v>23</v>
      </c>
      <c r="E2468" s="68">
        <v>36</v>
      </c>
      <c r="F2468" s="68">
        <v>32</v>
      </c>
      <c r="G2468" s="68">
        <v>68</v>
      </c>
    </row>
    <row r="2469" spans="1:7" x14ac:dyDescent="0.3">
      <c r="A2469" t="s">
        <v>905</v>
      </c>
      <c r="B2469" t="s">
        <v>34</v>
      </c>
      <c r="C2469" t="s">
        <v>6</v>
      </c>
      <c r="D2469" t="s">
        <v>10</v>
      </c>
      <c r="E2469" s="68">
        <v>1</v>
      </c>
      <c r="F2469" s="68"/>
      <c r="G2469" s="68">
        <v>1</v>
      </c>
    </row>
    <row r="2470" spans="1:7" x14ac:dyDescent="0.3">
      <c r="A2470" t="s">
        <v>905</v>
      </c>
      <c r="B2470" t="s">
        <v>26</v>
      </c>
      <c r="C2470" t="s">
        <v>6</v>
      </c>
      <c r="D2470" t="s">
        <v>7</v>
      </c>
      <c r="E2470" s="68">
        <v>721</v>
      </c>
      <c r="F2470" s="68">
        <v>776</v>
      </c>
      <c r="G2470" s="68">
        <v>1497</v>
      </c>
    </row>
    <row r="2471" spans="1:7" x14ac:dyDescent="0.3">
      <c r="A2471" t="s">
        <v>905</v>
      </c>
      <c r="B2471" t="s">
        <v>26</v>
      </c>
      <c r="C2471" t="s">
        <v>6</v>
      </c>
      <c r="D2471" t="s">
        <v>8</v>
      </c>
      <c r="E2471" s="68">
        <v>888</v>
      </c>
      <c r="F2471" s="68">
        <v>977</v>
      </c>
      <c r="G2471" s="68">
        <v>1865</v>
      </c>
    </row>
    <row r="2472" spans="1:7" x14ac:dyDescent="0.3">
      <c r="A2472" t="s">
        <v>905</v>
      </c>
      <c r="B2472" t="s">
        <v>26</v>
      </c>
      <c r="C2472" t="s">
        <v>6</v>
      </c>
      <c r="D2472" t="s">
        <v>9</v>
      </c>
      <c r="E2472" s="68">
        <v>1024</v>
      </c>
      <c r="F2472" s="68">
        <v>1039</v>
      </c>
      <c r="G2472" s="68">
        <v>2063</v>
      </c>
    </row>
    <row r="2473" spans="1:7" x14ac:dyDescent="0.3">
      <c r="A2473" t="s">
        <v>905</v>
      </c>
      <c r="B2473" t="s">
        <v>26</v>
      </c>
      <c r="C2473" t="s">
        <v>6</v>
      </c>
      <c r="D2473" t="s">
        <v>10</v>
      </c>
      <c r="E2473" s="68">
        <v>944</v>
      </c>
      <c r="F2473" s="68">
        <v>1010</v>
      </c>
      <c r="G2473" s="68">
        <v>1954</v>
      </c>
    </row>
    <row r="2474" spans="1:7" x14ac:dyDescent="0.3">
      <c r="A2474" t="s">
        <v>905</v>
      </c>
      <c r="B2474" t="s">
        <v>26</v>
      </c>
      <c r="C2474" t="s">
        <v>6</v>
      </c>
      <c r="D2474" t="s">
        <v>11</v>
      </c>
      <c r="E2474" s="68">
        <v>1121</v>
      </c>
      <c r="F2474" s="68">
        <v>1313</v>
      </c>
      <c r="G2474" s="68">
        <v>2434</v>
      </c>
    </row>
    <row r="2475" spans="1:7" x14ac:dyDescent="0.3">
      <c r="A2475" t="s">
        <v>905</v>
      </c>
      <c r="B2475" t="s">
        <v>26</v>
      </c>
      <c r="C2475" t="s">
        <v>6</v>
      </c>
      <c r="D2475" t="s">
        <v>12</v>
      </c>
      <c r="E2475" s="68">
        <v>1582</v>
      </c>
      <c r="F2475" s="68">
        <v>1794</v>
      </c>
      <c r="G2475" s="68">
        <v>3376</v>
      </c>
    </row>
    <row r="2476" spans="1:7" x14ac:dyDescent="0.3">
      <c r="A2476" t="s">
        <v>905</v>
      </c>
      <c r="B2476" t="s">
        <v>26</v>
      </c>
      <c r="C2476" t="s">
        <v>6</v>
      </c>
      <c r="D2476" t="s">
        <v>13</v>
      </c>
      <c r="E2476" s="68">
        <v>1656</v>
      </c>
      <c r="F2476" s="68">
        <v>1905</v>
      </c>
      <c r="G2476" s="68">
        <v>3561</v>
      </c>
    </row>
    <row r="2477" spans="1:7" x14ac:dyDescent="0.3">
      <c r="A2477" t="s">
        <v>905</v>
      </c>
      <c r="B2477" t="s">
        <v>26</v>
      </c>
      <c r="C2477" t="s">
        <v>6</v>
      </c>
      <c r="D2477" t="s">
        <v>14</v>
      </c>
      <c r="E2477" s="68">
        <v>1557</v>
      </c>
      <c r="F2477" s="68">
        <v>1669</v>
      </c>
      <c r="G2477" s="68">
        <v>3226</v>
      </c>
    </row>
    <row r="2478" spans="1:7" x14ac:dyDescent="0.3">
      <c r="A2478" t="s">
        <v>905</v>
      </c>
      <c r="B2478" t="s">
        <v>26</v>
      </c>
      <c r="C2478" t="s">
        <v>6</v>
      </c>
      <c r="D2478" t="s">
        <v>15</v>
      </c>
      <c r="E2478" s="68">
        <v>1294</v>
      </c>
      <c r="F2478" s="68">
        <v>1447</v>
      </c>
      <c r="G2478" s="68">
        <v>2741</v>
      </c>
    </row>
    <row r="2479" spans="1:7" x14ac:dyDescent="0.3">
      <c r="A2479" t="s">
        <v>905</v>
      </c>
      <c r="B2479" t="s">
        <v>26</v>
      </c>
      <c r="C2479" t="s">
        <v>6</v>
      </c>
      <c r="D2479" t="s">
        <v>16</v>
      </c>
      <c r="E2479" s="68">
        <v>1157</v>
      </c>
      <c r="F2479" s="68">
        <v>1253</v>
      </c>
      <c r="G2479" s="68">
        <v>2410</v>
      </c>
    </row>
    <row r="2480" spans="1:7" x14ac:dyDescent="0.3">
      <c r="A2480" t="s">
        <v>905</v>
      </c>
      <c r="B2480" t="s">
        <v>26</v>
      </c>
      <c r="C2480" t="s">
        <v>6</v>
      </c>
      <c r="D2480" t="s">
        <v>17</v>
      </c>
      <c r="E2480" s="68">
        <v>950</v>
      </c>
      <c r="F2480" s="68">
        <v>948</v>
      </c>
      <c r="G2480" s="68">
        <v>1898</v>
      </c>
    </row>
    <row r="2481" spans="1:7" x14ac:dyDescent="0.3">
      <c r="A2481" t="s">
        <v>905</v>
      </c>
      <c r="B2481" t="s">
        <v>26</v>
      </c>
      <c r="C2481" t="s">
        <v>6</v>
      </c>
      <c r="D2481" t="s">
        <v>18</v>
      </c>
      <c r="E2481" s="68">
        <v>880</v>
      </c>
      <c r="F2481" s="68">
        <v>899</v>
      </c>
      <c r="G2481" s="68">
        <v>1779</v>
      </c>
    </row>
    <row r="2482" spans="1:7" x14ac:dyDescent="0.3">
      <c r="A2482" t="s">
        <v>905</v>
      </c>
      <c r="B2482" t="s">
        <v>26</v>
      </c>
      <c r="C2482" t="s">
        <v>6</v>
      </c>
      <c r="D2482" t="s">
        <v>19</v>
      </c>
      <c r="E2482" s="68">
        <v>842</v>
      </c>
      <c r="F2482" s="68">
        <v>792</v>
      </c>
      <c r="G2482" s="68">
        <v>1634</v>
      </c>
    </row>
    <row r="2483" spans="1:7" x14ac:dyDescent="0.3">
      <c r="A2483" t="s">
        <v>905</v>
      </c>
      <c r="B2483" t="s">
        <v>26</v>
      </c>
      <c r="C2483" t="s">
        <v>6</v>
      </c>
      <c r="D2483" t="s">
        <v>20</v>
      </c>
      <c r="E2483" s="68">
        <v>578</v>
      </c>
      <c r="F2483" s="68">
        <v>536</v>
      </c>
      <c r="G2483" s="68">
        <v>1114</v>
      </c>
    </row>
    <row r="2484" spans="1:7" x14ac:dyDescent="0.3">
      <c r="A2484" t="s">
        <v>905</v>
      </c>
      <c r="B2484" t="s">
        <v>26</v>
      </c>
      <c r="C2484" t="s">
        <v>6</v>
      </c>
      <c r="D2484" t="s">
        <v>21</v>
      </c>
      <c r="E2484" s="68">
        <v>385</v>
      </c>
      <c r="F2484" s="68">
        <v>408</v>
      </c>
      <c r="G2484" s="68">
        <v>793</v>
      </c>
    </row>
    <row r="2485" spans="1:7" x14ac:dyDescent="0.3">
      <c r="A2485" t="s">
        <v>905</v>
      </c>
      <c r="B2485" t="s">
        <v>26</v>
      </c>
      <c r="C2485" t="s">
        <v>6</v>
      </c>
      <c r="D2485" t="s">
        <v>22</v>
      </c>
      <c r="E2485" s="68">
        <v>289</v>
      </c>
      <c r="F2485" s="68">
        <v>250</v>
      </c>
      <c r="G2485" s="68">
        <v>539</v>
      </c>
    </row>
    <row r="2486" spans="1:7" x14ac:dyDescent="0.3">
      <c r="A2486" t="s">
        <v>905</v>
      </c>
      <c r="B2486" t="s">
        <v>26</v>
      </c>
      <c r="C2486" t="s">
        <v>6</v>
      </c>
      <c r="D2486" t="s">
        <v>23</v>
      </c>
      <c r="E2486" s="68">
        <v>369</v>
      </c>
      <c r="F2486" s="68">
        <v>249</v>
      </c>
      <c r="G2486" s="68">
        <v>618</v>
      </c>
    </row>
    <row r="2487" spans="1:7" x14ac:dyDescent="0.3">
      <c r="A2487" t="s">
        <v>905</v>
      </c>
      <c r="B2487" t="s">
        <v>26</v>
      </c>
      <c r="C2487" t="s">
        <v>24</v>
      </c>
      <c r="D2487" t="s">
        <v>7</v>
      </c>
      <c r="E2487" s="68">
        <v>1122</v>
      </c>
      <c r="F2487" s="68">
        <v>1123</v>
      </c>
      <c r="G2487" s="68">
        <v>2245</v>
      </c>
    </row>
    <row r="2488" spans="1:7" x14ac:dyDescent="0.3">
      <c r="A2488" t="s">
        <v>905</v>
      </c>
      <c r="B2488" t="s">
        <v>26</v>
      </c>
      <c r="C2488" t="s">
        <v>24</v>
      </c>
      <c r="D2488" t="s">
        <v>8</v>
      </c>
      <c r="E2488" s="68">
        <v>1101</v>
      </c>
      <c r="F2488" s="68">
        <v>1186</v>
      </c>
      <c r="G2488" s="68">
        <v>2287</v>
      </c>
    </row>
    <row r="2489" spans="1:7" x14ac:dyDescent="0.3">
      <c r="A2489" t="s">
        <v>905</v>
      </c>
      <c r="B2489" t="s">
        <v>26</v>
      </c>
      <c r="C2489" t="s">
        <v>24</v>
      </c>
      <c r="D2489" t="s">
        <v>9</v>
      </c>
      <c r="E2489" s="68">
        <v>1004</v>
      </c>
      <c r="F2489" s="68">
        <v>1043</v>
      </c>
      <c r="G2489" s="68">
        <v>2047</v>
      </c>
    </row>
    <row r="2490" spans="1:7" x14ac:dyDescent="0.3">
      <c r="A2490" t="s">
        <v>905</v>
      </c>
      <c r="B2490" t="s">
        <v>26</v>
      </c>
      <c r="C2490" t="s">
        <v>24</v>
      </c>
      <c r="D2490" t="s">
        <v>10</v>
      </c>
      <c r="E2490" s="68">
        <v>1107</v>
      </c>
      <c r="F2490" s="68">
        <v>1028</v>
      </c>
      <c r="G2490" s="68">
        <v>2135</v>
      </c>
    </row>
    <row r="2491" spans="1:7" x14ac:dyDescent="0.3">
      <c r="A2491" t="s">
        <v>905</v>
      </c>
      <c r="B2491" t="s">
        <v>26</v>
      </c>
      <c r="C2491" t="s">
        <v>24</v>
      </c>
      <c r="D2491" t="s">
        <v>11</v>
      </c>
      <c r="E2491" s="68">
        <v>1582</v>
      </c>
      <c r="F2491" s="68">
        <v>1606</v>
      </c>
      <c r="G2491" s="68">
        <v>3188</v>
      </c>
    </row>
    <row r="2492" spans="1:7" x14ac:dyDescent="0.3">
      <c r="A2492" t="s">
        <v>905</v>
      </c>
      <c r="B2492" t="s">
        <v>26</v>
      </c>
      <c r="C2492" t="s">
        <v>24</v>
      </c>
      <c r="D2492" t="s">
        <v>12</v>
      </c>
      <c r="E2492" s="68">
        <v>1748</v>
      </c>
      <c r="F2492" s="68">
        <v>2327</v>
      </c>
      <c r="G2492" s="68">
        <v>4075</v>
      </c>
    </row>
    <row r="2493" spans="1:7" x14ac:dyDescent="0.3">
      <c r="A2493" t="s">
        <v>905</v>
      </c>
      <c r="B2493" t="s">
        <v>26</v>
      </c>
      <c r="C2493" t="s">
        <v>24</v>
      </c>
      <c r="D2493" t="s">
        <v>13</v>
      </c>
      <c r="E2493" s="68">
        <v>1607</v>
      </c>
      <c r="F2493" s="68">
        <v>2233</v>
      </c>
      <c r="G2493" s="68">
        <v>3840</v>
      </c>
    </row>
    <row r="2494" spans="1:7" x14ac:dyDescent="0.3">
      <c r="A2494" t="s">
        <v>905</v>
      </c>
      <c r="B2494" t="s">
        <v>26</v>
      </c>
      <c r="C2494" t="s">
        <v>24</v>
      </c>
      <c r="D2494" t="s">
        <v>14</v>
      </c>
      <c r="E2494" s="68">
        <v>1207</v>
      </c>
      <c r="F2494" s="68">
        <v>1771</v>
      </c>
      <c r="G2494" s="68">
        <v>2978</v>
      </c>
    </row>
    <row r="2495" spans="1:7" x14ac:dyDescent="0.3">
      <c r="A2495" t="s">
        <v>905</v>
      </c>
      <c r="B2495" t="s">
        <v>26</v>
      </c>
      <c r="C2495" t="s">
        <v>24</v>
      </c>
      <c r="D2495" t="s">
        <v>15</v>
      </c>
      <c r="E2495" s="68">
        <v>1156</v>
      </c>
      <c r="F2495" s="68">
        <v>1510</v>
      </c>
      <c r="G2495" s="68">
        <v>2666</v>
      </c>
    </row>
    <row r="2496" spans="1:7" x14ac:dyDescent="0.3">
      <c r="A2496" t="s">
        <v>905</v>
      </c>
      <c r="B2496" t="s">
        <v>26</v>
      </c>
      <c r="C2496" t="s">
        <v>24</v>
      </c>
      <c r="D2496" t="s">
        <v>16</v>
      </c>
      <c r="E2496" s="68">
        <v>957</v>
      </c>
      <c r="F2496" s="68">
        <v>1307</v>
      </c>
      <c r="G2496" s="68">
        <v>2264</v>
      </c>
    </row>
    <row r="2497" spans="1:7" x14ac:dyDescent="0.3">
      <c r="A2497" t="s">
        <v>905</v>
      </c>
      <c r="B2497" t="s">
        <v>26</v>
      </c>
      <c r="C2497" t="s">
        <v>24</v>
      </c>
      <c r="D2497" t="s">
        <v>17</v>
      </c>
      <c r="E2497" s="68">
        <v>890</v>
      </c>
      <c r="F2497" s="68">
        <v>1021</v>
      </c>
      <c r="G2497" s="68">
        <v>1911</v>
      </c>
    </row>
    <row r="2498" spans="1:7" x14ac:dyDescent="0.3">
      <c r="A2498" t="s">
        <v>905</v>
      </c>
      <c r="B2498" t="s">
        <v>26</v>
      </c>
      <c r="C2498" t="s">
        <v>24</v>
      </c>
      <c r="D2498" t="s">
        <v>18</v>
      </c>
      <c r="E2498" s="68">
        <v>776</v>
      </c>
      <c r="F2498" s="68">
        <v>907</v>
      </c>
      <c r="G2498" s="68">
        <v>1683</v>
      </c>
    </row>
    <row r="2499" spans="1:7" x14ac:dyDescent="0.3">
      <c r="A2499" t="s">
        <v>905</v>
      </c>
      <c r="B2499" t="s">
        <v>26</v>
      </c>
      <c r="C2499" t="s">
        <v>24</v>
      </c>
      <c r="D2499" t="s">
        <v>19</v>
      </c>
      <c r="E2499" s="68">
        <v>604</v>
      </c>
      <c r="F2499" s="68">
        <v>721</v>
      </c>
      <c r="G2499" s="68">
        <v>1325</v>
      </c>
    </row>
    <row r="2500" spans="1:7" x14ac:dyDescent="0.3">
      <c r="A2500" t="s">
        <v>905</v>
      </c>
      <c r="B2500" t="s">
        <v>26</v>
      </c>
      <c r="C2500" t="s">
        <v>24</v>
      </c>
      <c r="D2500" t="s">
        <v>20</v>
      </c>
      <c r="E2500" s="68">
        <v>417</v>
      </c>
      <c r="F2500" s="68">
        <v>465</v>
      </c>
      <c r="G2500" s="68">
        <v>882</v>
      </c>
    </row>
    <row r="2501" spans="1:7" x14ac:dyDescent="0.3">
      <c r="A2501" t="s">
        <v>905</v>
      </c>
      <c r="B2501" t="s">
        <v>26</v>
      </c>
      <c r="C2501" t="s">
        <v>24</v>
      </c>
      <c r="D2501" t="s">
        <v>21</v>
      </c>
      <c r="E2501" s="68">
        <v>302</v>
      </c>
      <c r="F2501" s="68">
        <v>279</v>
      </c>
      <c r="G2501" s="68">
        <v>581</v>
      </c>
    </row>
    <row r="2502" spans="1:7" x14ac:dyDescent="0.3">
      <c r="A2502" t="s">
        <v>905</v>
      </c>
      <c r="B2502" t="s">
        <v>26</v>
      </c>
      <c r="C2502" t="s">
        <v>24</v>
      </c>
      <c r="D2502" t="s">
        <v>22</v>
      </c>
      <c r="E2502" s="68">
        <v>177</v>
      </c>
      <c r="F2502" s="68">
        <v>197</v>
      </c>
      <c r="G2502" s="68">
        <v>374</v>
      </c>
    </row>
    <row r="2503" spans="1:7" x14ac:dyDescent="0.3">
      <c r="A2503" t="s">
        <v>905</v>
      </c>
      <c r="B2503" t="s">
        <v>26</v>
      </c>
      <c r="C2503" t="s">
        <v>24</v>
      </c>
      <c r="D2503" t="s">
        <v>23</v>
      </c>
      <c r="E2503" s="68">
        <v>187</v>
      </c>
      <c r="F2503" s="68">
        <v>172</v>
      </c>
      <c r="G2503" s="68">
        <v>359</v>
      </c>
    </row>
    <row r="2504" spans="1:7" x14ac:dyDescent="0.3">
      <c r="A2504" t="s">
        <v>905</v>
      </c>
      <c r="B2504" t="s">
        <v>27</v>
      </c>
      <c r="C2504" t="s">
        <v>28</v>
      </c>
      <c r="D2504" t="s">
        <v>7</v>
      </c>
      <c r="E2504" s="68">
        <v>176</v>
      </c>
      <c r="F2504" s="68">
        <v>199</v>
      </c>
      <c r="G2504" s="68">
        <v>375</v>
      </c>
    </row>
    <row r="2505" spans="1:7" x14ac:dyDescent="0.3">
      <c r="A2505" t="s">
        <v>905</v>
      </c>
      <c r="B2505" t="s">
        <v>27</v>
      </c>
      <c r="C2505" t="s">
        <v>28</v>
      </c>
      <c r="D2505" t="s">
        <v>8</v>
      </c>
      <c r="E2505" s="68">
        <v>233</v>
      </c>
      <c r="F2505" s="68">
        <v>301</v>
      </c>
      <c r="G2505" s="68">
        <v>534</v>
      </c>
    </row>
    <row r="2506" spans="1:7" x14ac:dyDescent="0.3">
      <c r="A2506" t="s">
        <v>905</v>
      </c>
      <c r="B2506" t="s">
        <v>27</v>
      </c>
      <c r="C2506" t="s">
        <v>28</v>
      </c>
      <c r="D2506" t="s">
        <v>9</v>
      </c>
      <c r="E2506" s="68">
        <v>378</v>
      </c>
      <c r="F2506" s="68">
        <v>421</v>
      </c>
      <c r="G2506" s="68">
        <v>799</v>
      </c>
    </row>
    <row r="2507" spans="1:7" x14ac:dyDescent="0.3">
      <c r="A2507" t="s">
        <v>905</v>
      </c>
      <c r="B2507" t="s">
        <v>27</v>
      </c>
      <c r="C2507" t="s">
        <v>28</v>
      </c>
      <c r="D2507" t="s">
        <v>10</v>
      </c>
      <c r="E2507" s="68">
        <v>443</v>
      </c>
      <c r="F2507" s="68">
        <v>426</v>
      </c>
      <c r="G2507" s="68">
        <v>869</v>
      </c>
    </row>
    <row r="2508" spans="1:7" x14ac:dyDescent="0.3">
      <c r="A2508" t="s">
        <v>905</v>
      </c>
      <c r="B2508" t="s">
        <v>27</v>
      </c>
      <c r="C2508" t="s">
        <v>28</v>
      </c>
      <c r="D2508" t="s">
        <v>11</v>
      </c>
      <c r="E2508" s="68">
        <v>306</v>
      </c>
      <c r="F2508" s="68">
        <v>298</v>
      </c>
      <c r="G2508" s="68">
        <v>604</v>
      </c>
    </row>
    <row r="2509" spans="1:7" x14ac:dyDescent="0.3">
      <c r="A2509" t="s">
        <v>905</v>
      </c>
      <c r="B2509" t="s">
        <v>27</v>
      </c>
      <c r="C2509" t="s">
        <v>28</v>
      </c>
      <c r="D2509" t="s">
        <v>12</v>
      </c>
      <c r="E2509" s="68">
        <v>231</v>
      </c>
      <c r="F2509" s="68">
        <v>172</v>
      </c>
      <c r="G2509" s="68">
        <v>403</v>
      </c>
    </row>
    <row r="2510" spans="1:7" x14ac:dyDescent="0.3">
      <c r="A2510" t="s">
        <v>905</v>
      </c>
      <c r="B2510" t="s">
        <v>27</v>
      </c>
      <c r="C2510" t="s">
        <v>28</v>
      </c>
      <c r="D2510" t="s">
        <v>13</v>
      </c>
      <c r="E2510" s="68">
        <v>418</v>
      </c>
      <c r="F2510" s="68">
        <v>280</v>
      </c>
      <c r="G2510" s="68">
        <v>698</v>
      </c>
    </row>
    <row r="2511" spans="1:7" x14ac:dyDescent="0.3">
      <c r="A2511" t="s">
        <v>905</v>
      </c>
      <c r="B2511" t="s">
        <v>27</v>
      </c>
      <c r="C2511" t="s">
        <v>28</v>
      </c>
      <c r="D2511" t="s">
        <v>14</v>
      </c>
      <c r="E2511" s="68">
        <v>401</v>
      </c>
      <c r="F2511" s="68">
        <v>313</v>
      </c>
      <c r="G2511" s="68">
        <v>714</v>
      </c>
    </row>
    <row r="2512" spans="1:7" x14ac:dyDescent="0.3">
      <c r="A2512" t="s">
        <v>905</v>
      </c>
      <c r="B2512" t="s">
        <v>27</v>
      </c>
      <c r="C2512" t="s">
        <v>28</v>
      </c>
      <c r="D2512" t="s">
        <v>15</v>
      </c>
      <c r="E2512" s="68">
        <v>433</v>
      </c>
      <c r="F2512" s="68">
        <v>400</v>
      </c>
      <c r="G2512" s="68">
        <v>833</v>
      </c>
    </row>
    <row r="2513" spans="1:7" x14ac:dyDescent="0.3">
      <c r="A2513" t="s">
        <v>905</v>
      </c>
      <c r="B2513" t="s">
        <v>27</v>
      </c>
      <c r="C2513" t="s">
        <v>28</v>
      </c>
      <c r="D2513" t="s">
        <v>16</v>
      </c>
      <c r="E2513" s="68">
        <v>483</v>
      </c>
      <c r="F2513" s="68">
        <v>353</v>
      </c>
      <c r="G2513" s="68">
        <v>836</v>
      </c>
    </row>
    <row r="2514" spans="1:7" x14ac:dyDescent="0.3">
      <c r="A2514" t="s">
        <v>905</v>
      </c>
      <c r="B2514" t="s">
        <v>27</v>
      </c>
      <c r="C2514" t="s">
        <v>28</v>
      </c>
      <c r="D2514" t="s">
        <v>17</v>
      </c>
      <c r="E2514" s="68">
        <v>537</v>
      </c>
      <c r="F2514" s="68">
        <v>368</v>
      </c>
      <c r="G2514" s="68">
        <v>905</v>
      </c>
    </row>
    <row r="2515" spans="1:7" x14ac:dyDescent="0.3">
      <c r="A2515" t="s">
        <v>905</v>
      </c>
      <c r="B2515" t="s">
        <v>27</v>
      </c>
      <c r="C2515" t="s">
        <v>28</v>
      </c>
      <c r="D2515" t="s">
        <v>18</v>
      </c>
      <c r="E2515" s="68">
        <v>510</v>
      </c>
      <c r="F2515" s="68">
        <v>350</v>
      </c>
      <c r="G2515" s="68">
        <v>860</v>
      </c>
    </row>
    <row r="2516" spans="1:7" x14ac:dyDescent="0.3">
      <c r="A2516" t="s">
        <v>905</v>
      </c>
      <c r="B2516" t="s">
        <v>27</v>
      </c>
      <c r="C2516" t="s">
        <v>28</v>
      </c>
      <c r="D2516" t="s">
        <v>19</v>
      </c>
      <c r="E2516" s="68">
        <v>479</v>
      </c>
      <c r="F2516" s="68">
        <v>334</v>
      </c>
      <c r="G2516" s="68">
        <v>813</v>
      </c>
    </row>
    <row r="2517" spans="1:7" x14ac:dyDescent="0.3">
      <c r="A2517" t="s">
        <v>905</v>
      </c>
      <c r="B2517" t="s">
        <v>27</v>
      </c>
      <c r="C2517" t="s">
        <v>28</v>
      </c>
      <c r="D2517" t="s">
        <v>20</v>
      </c>
      <c r="E2517" s="68">
        <v>474</v>
      </c>
      <c r="F2517" s="68">
        <v>351</v>
      </c>
      <c r="G2517" s="68">
        <v>825</v>
      </c>
    </row>
    <row r="2518" spans="1:7" x14ac:dyDescent="0.3">
      <c r="A2518" t="s">
        <v>905</v>
      </c>
      <c r="B2518" t="s">
        <v>27</v>
      </c>
      <c r="C2518" t="s">
        <v>28</v>
      </c>
      <c r="D2518" t="s">
        <v>21</v>
      </c>
      <c r="E2518" s="68">
        <v>350</v>
      </c>
      <c r="F2518" s="68">
        <v>310</v>
      </c>
      <c r="G2518" s="68">
        <v>660</v>
      </c>
    </row>
    <row r="2519" spans="1:7" x14ac:dyDescent="0.3">
      <c r="A2519" t="s">
        <v>905</v>
      </c>
      <c r="B2519" t="s">
        <v>27</v>
      </c>
      <c r="C2519" t="s">
        <v>28</v>
      </c>
      <c r="D2519" t="s">
        <v>22</v>
      </c>
      <c r="E2519" s="68">
        <v>189</v>
      </c>
      <c r="F2519" s="68">
        <v>163</v>
      </c>
      <c r="G2519" s="68">
        <v>352</v>
      </c>
    </row>
    <row r="2520" spans="1:7" x14ac:dyDescent="0.3">
      <c r="A2520" t="s">
        <v>905</v>
      </c>
      <c r="B2520" t="s">
        <v>27</v>
      </c>
      <c r="C2520" t="s">
        <v>28</v>
      </c>
      <c r="D2520" t="s">
        <v>23</v>
      </c>
      <c r="E2520" s="68">
        <v>110</v>
      </c>
      <c r="F2520" s="68">
        <v>79</v>
      </c>
      <c r="G2520" s="68">
        <v>189</v>
      </c>
    </row>
    <row r="2521" spans="1:7" x14ac:dyDescent="0.3">
      <c r="A2521" t="s">
        <v>905</v>
      </c>
      <c r="B2521" t="s">
        <v>27</v>
      </c>
      <c r="C2521" t="s">
        <v>29</v>
      </c>
      <c r="D2521" t="s">
        <v>10</v>
      </c>
      <c r="E2521" s="68">
        <v>1</v>
      </c>
      <c r="F2521" s="68">
        <v>6</v>
      </c>
      <c r="G2521" s="68">
        <v>7</v>
      </c>
    </row>
    <row r="2522" spans="1:7" x14ac:dyDescent="0.3">
      <c r="A2522" t="s">
        <v>905</v>
      </c>
      <c r="B2522" t="s">
        <v>27</v>
      </c>
      <c r="C2522" t="s">
        <v>29</v>
      </c>
      <c r="D2522" t="s">
        <v>11</v>
      </c>
      <c r="E2522" s="68">
        <v>8</v>
      </c>
      <c r="F2522" s="68">
        <v>110</v>
      </c>
      <c r="G2522" s="68">
        <v>118</v>
      </c>
    </row>
    <row r="2523" spans="1:7" x14ac:dyDescent="0.3">
      <c r="A2523" t="s">
        <v>905</v>
      </c>
      <c r="B2523" t="s">
        <v>27</v>
      </c>
      <c r="C2523" t="s">
        <v>29</v>
      </c>
      <c r="D2523" t="s">
        <v>12</v>
      </c>
      <c r="E2523" s="68">
        <v>17</v>
      </c>
      <c r="F2523" s="68">
        <v>213</v>
      </c>
      <c r="G2523" s="68">
        <v>230</v>
      </c>
    </row>
    <row r="2524" spans="1:7" x14ac:dyDescent="0.3">
      <c r="A2524" t="s">
        <v>905</v>
      </c>
      <c r="B2524" t="s">
        <v>27</v>
      </c>
      <c r="C2524" t="s">
        <v>29</v>
      </c>
      <c r="D2524" t="s">
        <v>13</v>
      </c>
      <c r="E2524" s="68">
        <v>17</v>
      </c>
      <c r="F2524" s="68">
        <v>243</v>
      </c>
      <c r="G2524" s="68">
        <v>260</v>
      </c>
    </row>
    <row r="2525" spans="1:7" x14ac:dyDescent="0.3">
      <c r="A2525" t="s">
        <v>905</v>
      </c>
      <c r="B2525" t="s">
        <v>27</v>
      </c>
      <c r="C2525" t="s">
        <v>29</v>
      </c>
      <c r="D2525" t="s">
        <v>14</v>
      </c>
      <c r="E2525" s="68">
        <v>7</v>
      </c>
      <c r="F2525" s="68">
        <v>179</v>
      </c>
      <c r="G2525" s="68">
        <v>186</v>
      </c>
    </row>
    <row r="2526" spans="1:7" x14ac:dyDescent="0.3">
      <c r="A2526" t="s">
        <v>905</v>
      </c>
      <c r="B2526" t="s">
        <v>27</v>
      </c>
      <c r="C2526" t="s">
        <v>29</v>
      </c>
      <c r="D2526" t="s">
        <v>15</v>
      </c>
      <c r="E2526" s="68">
        <v>5</v>
      </c>
      <c r="F2526" s="68">
        <v>120</v>
      </c>
      <c r="G2526" s="68">
        <v>125</v>
      </c>
    </row>
    <row r="2527" spans="1:7" x14ac:dyDescent="0.3">
      <c r="A2527" t="s">
        <v>905</v>
      </c>
      <c r="B2527" t="s">
        <v>27</v>
      </c>
      <c r="C2527" t="s">
        <v>29</v>
      </c>
      <c r="D2527" t="s">
        <v>16</v>
      </c>
      <c r="E2527" s="68">
        <v>7</v>
      </c>
      <c r="F2527" s="68">
        <v>75</v>
      </c>
      <c r="G2527" s="68">
        <v>82</v>
      </c>
    </row>
    <row r="2528" spans="1:7" x14ac:dyDescent="0.3">
      <c r="A2528" t="s">
        <v>905</v>
      </c>
      <c r="B2528" t="s">
        <v>27</v>
      </c>
      <c r="C2528" t="s">
        <v>29</v>
      </c>
      <c r="D2528" t="s">
        <v>17</v>
      </c>
      <c r="E2528" s="68">
        <v>7</v>
      </c>
      <c r="F2528" s="68">
        <v>68</v>
      </c>
      <c r="G2528" s="68">
        <v>75</v>
      </c>
    </row>
    <row r="2529" spans="1:7" x14ac:dyDescent="0.3">
      <c r="A2529" t="s">
        <v>905</v>
      </c>
      <c r="B2529" t="s">
        <v>27</v>
      </c>
      <c r="C2529" t="s">
        <v>29</v>
      </c>
      <c r="D2529" t="s">
        <v>18</v>
      </c>
      <c r="E2529" s="68">
        <v>5</v>
      </c>
      <c r="F2529" s="68">
        <v>61</v>
      </c>
      <c r="G2529" s="68">
        <v>66</v>
      </c>
    </row>
    <row r="2530" spans="1:7" x14ac:dyDescent="0.3">
      <c r="A2530" t="s">
        <v>905</v>
      </c>
      <c r="B2530" t="s">
        <v>27</v>
      </c>
      <c r="C2530" t="s">
        <v>29</v>
      </c>
      <c r="D2530" t="s">
        <v>19</v>
      </c>
      <c r="E2530" s="68">
        <v>1</v>
      </c>
      <c r="F2530" s="68">
        <v>33</v>
      </c>
      <c r="G2530" s="68">
        <v>34</v>
      </c>
    </row>
    <row r="2531" spans="1:7" x14ac:dyDescent="0.3">
      <c r="A2531" t="s">
        <v>905</v>
      </c>
      <c r="B2531" t="s">
        <v>27</v>
      </c>
      <c r="C2531" t="s">
        <v>29</v>
      </c>
      <c r="D2531" t="s">
        <v>20</v>
      </c>
      <c r="E2531" s="68">
        <v>1</v>
      </c>
      <c r="F2531" s="68">
        <v>22</v>
      </c>
      <c r="G2531" s="68">
        <v>23</v>
      </c>
    </row>
    <row r="2532" spans="1:7" x14ac:dyDescent="0.3">
      <c r="A2532" t="s">
        <v>905</v>
      </c>
      <c r="B2532" t="s">
        <v>27</v>
      </c>
      <c r="C2532" t="s">
        <v>29</v>
      </c>
      <c r="D2532" t="s">
        <v>21</v>
      </c>
      <c r="E2532" s="68"/>
      <c r="F2532" s="68">
        <v>13</v>
      </c>
      <c r="G2532" s="68">
        <v>13</v>
      </c>
    </row>
    <row r="2533" spans="1:7" x14ac:dyDescent="0.3">
      <c r="A2533" t="s">
        <v>905</v>
      </c>
      <c r="B2533" t="s">
        <v>27</v>
      </c>
      <c r="C2533" t="s">
        <v>29</v>
      </c>
      <c r="D2533" t="s">
        <v>22</v>
      </c>
      <c r="E2533" s="68"/>
      <c r="F2533" s="68">
        <v>3</v>
      </c>
      <c r="G2533" s="68">
        <v>3</v>
      </c>
    </row>
    <row r="2534" spans="1:7" x14ac:dyDescent="0.3">
      <c r="A2534" t="s">
        <v>905</v>
      </c>
      <c r="B2534" t="s">
        <v>27</v>
      </c>
      <c r="C2534" t="s">
        <v>29</v>
      </c>
      <c r="D2534" t="s">
        <v>23</v>
      </c>
      <c r="E2534" s="68"/>
      <c r="F2534" s="68">
        <v>6</v>
      </c>
      <c r="G2534" s="68">
        <v>6</v>
      </c>
    </row>
    <row r="2535" spans="1:7" x14ac:dyDescent="0.3">
      <c r="A2535" t="s">
        <v>905</v>
      </c>
      <c r="B2535" t="s">
        <v>36</v>
      </c>
      <c r="C2535" t="s">
        <v>6</v>
      </c>
      <c r="D2535" t="s">
        <v>7</v>
      </c>
      <c r="E2535" s="68">
        <v>7</v>
      </c>
      <c r="F2535" s="68">
        <v>9</v>
      </c>
      <c r="G2535" s="68">
        <v>16</v>
      </c>
    </row>
    <row r="2536" spans="1:7" x14ac:dyDescent="0.3">
      <c r="A2536" t="s">
        <v>905</v>
      </c>
      <c r="B2536" t="s">
        <v>36</v>
      </c>
      <c r="C2536" t="s">
        <v>6</v>
      </c>
      <c r="D2536" t="s">
        <v>8</v>
      </c>
      <c r="E2536" s="68">
        <v>12</v>
      </c>
      <c r="F2536" s="68">
        <v>14</v>
      </c>
      <c r="G2536" s="68">
        <v>26</v>
      </c>
    </row>
    <row r="2537" spans="1:7" x14ac:dyDescent="0.3">
      <c r="A2537" t="s">
        <v>905</v>
      </c>
      <c r="B2537" t="s">
        <v>36</v>
      </c>
      <c r="C2537" t="s">
        <v>6</v>
      </c>
      <c r="D2537" t="s">
        <v>9</v>
      </c>
      <c r="E2537" s="68">
        <v>10</v>
      </c>
      <c r="F2537" s="68">
        <v>21</v>
      </c>
      <c r="G2537" s="68">
        <v>31</v>
      </c>
    </row>
    <row r="2538" spans="1:7" x14ac:dyDescent="0.3">
      <c r="A2538" t="s">
        <v>905</v>
      </c>
      <c r="B2538" t="s">
        <v>36</v>
      </c>
      <c r="C2538" t="s">
        <v>6</v>
      </c>
      <c r="D2538" t="s">
        <v>10</v>
      </c>
      <c r="E2538" s="68">
        <v>13</v>
      </c>
      <c r="F2538" s="68">
        <v>13</v>
      </c>
      <c r="G2538" s="68">
        <v>26</v>
      </c>
    </row>
    <row r="2539" spans="1:7" x14ac:dyDescent="0.3">
      <c r="A2539" t="s">
        <v>905</v>
      </c>
      <c r="B2539" t="s">
        <v>36</v>
      </c>
      <c r="C2539" t="s">
        <v>6</v>
      </c>
      <c r="D2539" t="s">
        <v>11</v>
      </c>
      <c r="E2539" s="68">
        <v>23</v>
      </c>
      <c r="F2539" s="68">
        <v>11</v>
      </c>
      <c r="G2539" s="68">
        <v>34</v>
      </c>
    </row>
    <row r="2540" spans="1:7" x14ac:dyDescent="0.3">
      <c r="A2540" t="s">
        <v>905</v>
      </c>
      <c r="B2540" t="s">
        <v>36</v>
      </c>
      <c r="C2540" t="s">
        <v>6</v>
      </c>
      <c r="D2540" t="s">
        <v>12</v>
      </c>
      <c r="E2540" s="68">
        <v>13</v>
      </c>
      <c r="F2540" s="68">
        <v>19</v>
      </c>
      <c r="G2540" s="68">
        <v>32</v>
      </c>
    </row>
    <row r="2541" spans="1:7" x14ac:dyDescent="0.3">
      <c r="A2541" t="s">
        <v>905</v>
      </c>
      <c r="B2541" t="s">
        <v>36</v>
      </c>
      <c r="C2541" t="s">
        <v>6</v>
      </c>
      <c r="D2541" t="s">
        <v>13</v>
      </c>
      <c r="E2541" s="68">
        <v>18</v>
      </c>
      <c r="F2541" s="68">
        <v>21</v>
      </c>
      <c r="G2541" s="68">
        <v>39</v>
      </c>
    </row>
    <row r="2542" spans="1:7" x14ac:dyDescent="0.3">
      <c r="A2542" t="s">
        <v>905</v>
      </c>
      <c r="B2542" t="s">
        <v>36</v>
      </c>
      <c r="C2542" t="s">
        <v>6</v>
      </c>
      <c r="D2542" t="s">
        <v>14</v>
      </c>
      <c r="E2542" s="68">
        <v>14</v>
      </c>
      <c r="F2542" s="68">
        <v>14</v>
      </c>
      <c r="G2542" s="68">
        <v>28</v>
      </c>
    </row>
    <row r="2543" spans="1:7" x14ac:dyDescent="0.3">
      <c r="A2543" t="s">
        <v>905</v>
      </c>
      <c r="B2543" t="s">
        <v>36</v>
      </c>
      <c r="C2543" t="s">
        <v>6</v>
      </c>
      <c r="D2543" t="s">
        <v>15</v>
      </c>
      <c r="E2543" s="68">
        <v>8</v>
      </c>
      <c r="F2543" s="68">
        <v>15</v>
      </c>
      <c r="G2543" s="68">
        <v>23</v>
      </c>
    </row>
    <row r="2544" spans="1:7" x14ac:dyDescent="0.3">
      <c r="A2544" t="s">
        <v>905</v>
      </c>
      <c r="B2544" t="s">
        <v>36</v>
      </c>
      <c r="C2544" t="s">
        <v>6</v>
      </c>
      <c r="D2544" t="s">
        <v>16</v>
      </c>
      <c r="E2544" s="68">
        <v>2</v>
      </c>
      <c r="F2544" s="68">
        <v>14</v>
      </c>
      <c r="G2544" s="68">
        <v>16</v>
      </c>
    </row>
    <row r="2545" spans="1:7" x14ac:dyDescent="0.3">
      <c r="A2545" t="s">
        <v>905</v>
      </c>
      <c r="B2545" t="s">
        <v>36</v>
      </c>
      <c r="C2545" t="s">
        <v>6</v>
      </c>
      <c r="D2545" t="s">
        <v>17</v>
      </c>
      <c r="E2545" s="68">
        <v>2</v>
      </c>
      <c r="F2545" s="68">
        <v>8</v>
      </c>
      <c r="G2545" s="68">
        <v>10</v>
      </c>
    </row>
    <row r="2546" spans="1:7" x14ac:dyDescent="0.3">
      <c r="A2546" t="s">
        <v>905</v>
      </c>
      <c r="B2546" t="s">
        <v>36</v>
      </c>
      <c r="C2546" t="s">
        <v>6</v>
      </c>
      <c r="D2546" t="s">
        <v>18</v>
      </c>
      <c r="E2546" s="68">
        <v>3</v>
      </c>
      <c r="F2546" s="68">
        <v>8</v>
      </c>
      <c r="G2546" s="68">
        <v>11</v>
      </c>
    </row>
    <row r="2547" spans="1:7" x14ac:dyDescent="0.3">
      <c r="A2547" t="s">
        <v>905</v>
      </c>
      <c r="B2547" t="s">
        <v>36</v>
      </c>
      <c r="C2547" t="s">
        <v>6</v>
      </c>
      <c r="D2547" t="s">
        <v>19</v>
      </c>
      <c r="E2547" s="68">
        <v>1</v>
      </c>
      <c r="F2547" s="68">
        <v>4</v>
      </c>
      <c r="G2547" s="68">
        <v>5</v>
      </c>
    </row>
    <row r="2548" spans="1:7" x14ac:dyDescent="0.3">
      <c r="A2548" t="s">
        <v>905</v>
      </c>
      <c r="B2548" t="s">
        <v>36</v>
      </c>
      <c r="C2548" t="s">
        <v>6</v>
      </c>
      <c r="D2548" t="s">
        <v>20</v>
      </c>
      <c r="E2548" s="68"/>
      <c r="F2548" s="68">
        <v>1</v>
      </c>
      <c r="G2548" s="68">
        <v>1</v>
      </c>
    </row>
    <row r="2549" spans="1:7" x14ac:dyDescent="0.3">
      <c r="A2549" t="s">
        <v>905</v>
      </c>
      <c r="B2549" t="s">
        <v>36</v>
      </c>
      <c r="C2549" t="s">
        <v>6</v>
      </c>
      <c r="D2549" t="s">
        <v>21</v>
      </c>
      <c r="E2549" s="68">
        <v>1</v>
      </c>
      <c r="F2549" s="68">
        <v>1</v>
      </c>
      <c r="G2549" s="68">
        <v>2</v>
      </c>
    </row>
    <row r="2550" spans="1:7" x14ac:dyDescent="0.3">
      <c r="A2550" t="s">
        <v>905</v>
      </c>
      <c r="B2550" t="s">
        <v>36</v>
      </c>
      <c r="C2550" t="s">
        <v>6</v>
      </c>
      <c r="D2550" t="s">
        <v>23</v>
      </c>
      <c r="E2550" s="68">
        <v>2</v>
      </c>
      <c r="F2550" s="68">
        <v>1</v>
      </c>
      <c r="G2550" s="68">
        <v>3</v>
      </c>
    </row>
    <row r="2551" spans="1:7" x14ac:dyDescent="0.3">
      <c r="A2551" t="s">
        <v>905</v>
      </c>
      <c r="B2551" t="s">
        <v>36</v>
      </c>
      <c r="C2551" t="s">
        <v>24</v>
      </c>
      <c r="D2551" t="s">
        <v>7</v>
      </c>
      <c r="E2551" s="68">
        <v>9</v>
      </c>
      <c r="F2551" s="68">
        <v>1</v>
      </c>
      <c r="G2551" s="68">
        <v>10</v>
      </c>
    </row>
    <row r="2552" spans="1:7" x14ac:dyDescent="0.3">
      <c r="A2552" t="s">
        <v>905</v>
      </c>
      <c r="B2552" t="s">
        <v>36</v>
      </c>
      <c r="C2552" t="s">
        <v>24</v>
      </c>
      <c r="D2552" t="s">
        <v>8</v>
      </c>
      <c r="E2552" s="68">
        <v>15</v>
      </c>
      <c r="F2552" s="68">
        <v>11</v>
      </c>
      <c r="G2552" s="68">
        <v>26</v>
      </c>
    </row>
    <row r="2553" spans="1:7" x14ac:dyDescent="0.3">
      <c r="A2553" t="s">
        <v>905</v>
      </c>
      <c r="B2553" t="s">
        <v>36</v>
      </c>
      <c r="C2553" t="s">
        <v>24</v>
      </c>
      <c r="D2553" t="s">
        <v>9</v>
      </c>
      <c r="E2553" s="68">
        <v>5</v>
      </c>
      <c r="F2553" s="68">
        <v>10</v>
      </c>
      <c r="G2553" s="68">
        <v>15</v>
      </c>
    </row>
    <row r="2554" spans="1:7" x14ac:dyDescent="0.3">
      <c r="A2554" t="s">
        <v>905</v>
      </c>
      <c r="B2554" t="s">
        <v>36</v>
      </c>
      <c r="C2554" t="s">
        <v>24</v>
      </c>
      <c r="D2554" t="s">
        <v>10</v>
      </c>
      <c r="E2554" s="68">
        <v>5</v>
      </c>
      <c r="F2554" s="68">
        <v>6</v>
      </c>
      <c r="G2554" s="68">
        <v>11</v>
      </c>
    </row>
    <row r="2555" spans="1:7" x14ac:dyDescent="0.3">
      <c r="A2555" t="s">
        <v>905</v>
      </c>
      <c r="B2555" t="s">
        <v>36</v>
      </c>
      <c r="C2555" t="s">
        <v>24</v>
      </c>
      <c r="D2555" t="s">
        <v>11</v>
      </c>
      <c r="E2555" s="68">
        <v>5</v>
      </c>
      <c r="F2555" s="68">
        <v>6</v>
      </c>
      <c r="G2555" s="68">
        <v>11</v>
      </c>
    </row>
    <row r="2556" spans="1:7" x14ac:dyDescent="0.3">
      <c r="A2556" t="s">
        <v>905</v>
      </c>
      <c r="B2556" t="s">
        <v>36</v>
      </c>
      <c r="C2556" t="s">
        <v>24</v>
      </c>
      <c r="D2556" t="s">
        <v>12</v>
      </c>
      <c r="E2556" s="68">
        <v>14</v>
      </c>
      <c r="F2556" s="68">
        <v>16</v>
      </c>
      <c r="G2556" s="68">
        <v>30</v>
      </c>
    </row>
    <row r="2557" spans="1:7" x14ac:dyDescent="0.3">
      <c r="A2557" t="s">
        <v>905</v>
      </c>
      <c r="B2557" t="s">
        <v>36</v>
      </c>
      <c r="C2557" t="s">
        <v>24</v>
      </c>
      <c r="D2557" t="s">
        <v>13</v>
      </c>
      <c r="E2557" s="68">
        <v>9</v>
      </c>
      <c r="F2557" s="68">
        <v>7</v>
      </c>
      <c r="G2557" s="68">
        <v>16</v>
      </c>
    </row>
    <row r="2558" spans="1:7" x14ac:dyDescent="0.3">
      <c r="A2558" t="s">
        <v>905</v>
      </c>
      <c r="B2558" t="s">
        <v>36</v>
      </c>
      <c r="C2558" t="s">
        <v>24</v>
      </c>
      <c r="D2558" t="s">
        <v>14</v>
      </c>
      <c r="E2558" s="68">
        <v>4</v>
      </c>
      <c r="F2558" s="68">
        <v>9</v>
      </c>
      <c r="G2558" s="68">
        <v>13</v>
      </c>
    </row>
    <row r="2559" spans="1:7" x14ac:dyDescent="0.3">
      <c r="A2559" t="s">
        <v>905</v>
      </c>
      <c r="B2559" t="s">
        <v>36</v>
      </c>
      <c r="C2559" t="s">
        <v>24</v>
      </c>
      <c r="D2559" t="s">
        <v>15</v>
      </c>
      <c r="E2559" s="68">
        <v>5</v>
      </c>
      <c r="F2559" s="68">
        <v>5</v>
      </c>
      <c r="G2559" s="68">
        <v>10</v>
      </c>
    </row>
    <row r="2560" spans="1:7" x14ac:dyDescent="0.3">
      <c r="A2560" t="s">
        <v>905</v>
      </c>
      <c r="B2560" t="s">
        <v>36</v>
      </c>
      <c r="C2560" t="s">
        <v>24</v>
      </c>
      <c r="D2560" t="s">
        <v>16</v>
      </c>
      <c r="E2560" s="68"/>
      <c r="F2560" s="68">
        <v>4</v>
      </c>
      <c r="G2560" s="68">
        <v>4</v>
      </c>
    </row>
    <row r="2561" spans="1:7" x14ac:dyDescent="0.3">
      <c r="A2561" t="s">
        <v>905</v>
      </c>
      <c r="B2561" t="s">
        <v>36</v>
      </c>
      <c r="C2561" t="s">
        <v>24</v>
      </c>
      <c r="D2561" t="s">
        <v>17</v>
      </c>
      <c r="E2561" s="68">
        <v>2</v>
      </c>
      <c r="F2561" s="68">
        <v>2</v>
      </c>
      <c r="G2561" s="68">
        <v>4</v>
      </c>
    </row>
    <row r="2562" spans="1:7" x14ac:dyDescent="0.3">
      <c r="A2562" t="s">
        <v>905</v>
      </c>
      <c r="B2562" t="s">
        <v>36</v>
      </c>
      <c r="C2562" t="s">
        <v>24</v>
      </c>
      <c r="D2562" t="s">
        <v>18</v>
      </c>
      <c r="E2562" s="68">
        <v>2</v>
      </c>
      <c r="F2562" s="68">
        <v>2</v>
      </c>
      <c r="G2562" s="68">
        <v>4</v>
      </c>
    </row>
    <row r="2563" spans="1:7" x14ac:dyDescent="0.3">
      <c r="A2563" t="s">
        <v>905</v>
      </c>
      <c r="B2563" t="s">
        <v>36</v>
      </c>
      <c r="C2563" t="s">
        <v>24</v>
      </c>
      <c r="D2563" t="s">
        <v>19</v>
      </c>
      <c r="E2563" s="68">
        <v>1</v>
      </c>
      <c r="F2563" s="68"/>
      <c r="G2563" s="68">
        <v>1</v>
      </c>
    </row>
    <row r="2564" spans="1:7" x14ac:dyDescent="0.3">
      <c r="A2564" t="s">
        <v>905</v>
      </c>
      <c r="B2564" t="s">
        <v>36</v>
      </c>
      <c r="C2564" t="s">
        <v>24</v>
      </c>
      <c r="D2564" t="s">
        <v>20</v>
      </c>
      <c r="E2564" s="68">
        <v>1</v>
      </c>
      <c r="F2564" s="68">
        <v>1</v>
      </c>
      <c r="G2564" s="68">
        <v>2</v>
      </c>
    </row>
    <row r="2565" spans="1:7" x14ac:dyDescent="0.3">
      <c r="A2565" t="s">
        <v>905</v>
      </c>
      <c r="B2565" t="s">
        <v>36</v>
      </c>
      <c r="C2565" t="s">
        <v>24</v>
      </c>
      <c r="D2565" t="s">
        <v>21</v>
      </c>
      <c r="E2565" s="68">
        <v>1</v>
      </c>
      <c r="F2565" s="68">
        <v>1</v>
      </c>
      <c r="G2565" s="68">
        <v>2</v>
      </c>
    </row>
    <row r="2566" spans="1:7" x14ac:dyDescent="0.3">
      <c r="A2566" t="s">
        <v>921</v>
      </c>
      <c r="B2566" t="s">
        <v>30</v>
      </c>
      <c r="C2566" t="s">
        <v>24</v>
      </c>
      <c r="D2566" t="s">
        <v>8</v>
      </c>
      <c r="E2566" s="68">
        <v>1</v>
      </c>
      <c r="F2566" s="68"/>
      <c r="G2566" s="68">
        <v>1</v>
      </c>
    </row>
    <row r="2567" spans="1:7" x14ac:dyDescent="0.3">
      <c r="A2567" t="s">
        <v>921</v>
      </c>
      <c r="B2567" t="s">
        <v>30</v>
      </c>
      <c r="C2567" t="s">
        <v>24</v>
      </c>
      <c r="D2567" t="s">
        <v>9</v>
      </c>
      <c r="E2567" s="68">
        <v>1</v>
      </c>
      <c r="F2567" s="68"/>
      <c r="G2567" s="68">
        <v>1</v>
      </c>
    </row>
    <row r="2568" spans="1:7" x14ac:dyDescent="0.3">
      <c r="A2568" t="s">
        <v>921</v>
      </c>
      <c r="B2568" t="s">
        <v>30</v>
      </c>
      <c r="C2568" t="s">
        <v>24</v>
      </c>
      <c r="D2568" t="s">
        <v>11</v>
      </c>
      <c r="E2568" s="68"/>
      <c r="F2568" s="68">
        <v>1</v>
      </c>
      <c r="G2568" s="68">
        <v>1</v>
      </c>
    </row>
    <row r="2569" spans="1:7" x14ac:dyDescent="0.3">
      <c r="A2569" t="s">
        <v>921</v>
      </c>
      <c r="B2569" t="s">
        <v>30</v>
      </c>
      <c r="C2569" t="s">
        <v>24</v>
      </c>
      <c r="D2569" t="s">
        <v>16</v>
      </c>
      <c r="E2569" s="68"/>
      <c r="F2569" s="68">
        <v>1</v>
      </c>
      <c r="G2569" s="68">
        <v>1</v>
      </c>
    </row>
    <row r="2570" spans="1:7" x14ac:dyDescent="0.3">
      <c r="A2570" t="s">
        <v>921</v>
      </c>
      <c r="B2570" t="s">
        <v>536</v>
      </c>
      <c r="C2570" t="s">
        <v>6</v>
      </c>
      <c r="D2570" t="s">
        <v>7</v>
      </c>
      <c r="E2570" s="68">
        <v>398</v>
      </c>
      <c r="F2570" s="68">
        <v>432</v>
      </c>
      <c r="G2570" s="68">
        <v>830</v>
      </c>
    </row>
    <row r="2571" spans="1:7" x14ac:dyDescent="0.3">
      <c r="A2571" t="s">
        <v>921</v>
      </c>
      <c r="B2571" t="s">
        <v>536</v>
      </c>
      <c r="C2571" t="s">
        <v>6</v>
      </c>
      <c r="D2571" t="s">
        <v>8</v>
      </c>
      <c r="E2571" s="68">
        <v>526</v>
      </c>
      <c r="F2571" s="68">
        <v>502</v>
      </c>
      <c r="G2571" s="68">
        <v>1028</v>
      </c>
    </row>
    <row r="2572" spans="1:7" x14ac:dyDescent="0.3">
      <c r="A2572" t="s">
        <v>921</v>
      </c>
      <c r="B2572" t="s">
        <v>536</v>
      </c>
      <c r="C2572" t="s">
        <v>6</v>
      </c>
      <c r="D2572" t="s">
        <v>9</v>
      </c>
      <c r="E2572" s="68">
        <v>480</v>
      </c>
      <c r="F2572" s="68">
        <v>507</v>
      </c>
      <c r="G2572" s="68">
        <v>987</v>
      </c>
    </row>
    <row r="2573" spans="1:7" x14ac:dyDescent="0.3">
      <c r="A2573" t="s">
        <v>921</v>
      </c>
      <c r="B2573" t="s">
        <v>536</v>
      </c>
      <c r="C2573" t="s">
        <v>6</v>
      </c>
      <c r="D2573" t="s">
        <v>10</v>
      </c>
      <c r="E2573" s="68">
        <v>662</v>
      </c>
      <c r="F2573" s="68">
        <v>776</v>
      </c>
      <c r="G2573" s="68">
        <v>1438</v>
      </c>
    </row>
    <row r="2574" spans="1:7" x14ac:dyDescent="0.3">
      <c r="A2574" t="s">
        <v>921</v>
      </c>
      <c r="B2574" t="s">
        <v>536</v>
      </c>
      <c r="C2574" t="s">
        <v>6</v>
      </c>
      <c r="D2574" t="s">
        <v>11</v>
      </c>
      <c r="E2574" s="68">
        <v>1407</v>
      </c>
      <c r="F2574" s="68">
        <v>1828</v>
      </c>
      <c r="G2574" s="68">
        <v>3235</v>
      </c>
    </row>
    <row r="2575" spans="1:7" x14ac:dyDescent="0.3">
      <c r="A2575" t="s">
        <v>921</v>
      </c>
      <c r="B2575" t="s">
        <v>536</v>
      </c>
      <c r="C2575" t="s">
        <v>6</v>
      </c>
      <c r="D2575" t="s">
        <v>12</v>
      </c>
      <c r="E2575" s="68">
        <v>1512</v>
      </c>
      <c r="F2575" s="68">
        <v>1885</v>
      </c>
      <c r="G2575" s="68">
        <v>3397</v>
      </c>
    </row>
    <row r="2576" spans="1:7" x14ac:dyDescent="0.3">
      <c r="A2576" t="s">
        <v>921</v>
      </c>
      <c r="B2576" t="s">
        <v>536</v>
      </c>
      <c r="C2576" t="s">
        <v>6</v>
      </c>
      <c r="D2576" t="s">
        <v>13</v>
      </c>
      <c r="E2576" s="68">
        <v>1197</v>
      </c>
      <c r="F2576" s="68">
        <v>1269</v>
      </c>
      <c r="G2576" s="68">
        <v>2466</v>
      </c>
    </row>
    <row r="2577" spans="1:7" x14ac:dyDescent="0.3">
      <c r="A2577" t="s">
        <v>921</v>
      </c>
      <c r="B2577" t="s">
        <v>536</v>
      </c>
      <c r="C2577" t="s">
        <v>6</v>
      </c>
      <c r="D2577" t="s">
        <v>14</v>
      </c>
      <c r="E2577" s="68">
        <v>967</v>
      </c>
      <c r="F2577" s="68">
        <v>851</v>
      </c>
      <c r="G2577" s="68">
        <v>1818</v>
      </c>
    </row>
    <row r="2578" spans="1:7" x14ac:dyDescent="0.3">
      <c r="A2578" t="s">
        <v>921</v>
      </c>
      <c r="B2578" t="s">
        <v>536</v>
      </c>
      <c r="C2578" t="s">
        <v>6</v>
      </c>
      <c r="D2578" t="s">
        <v>15</v>
      </c>
      <c r="E2578" s="68">
        <v>681</v>
      </c>
      <c r="F2578" s="68">
        <v>720</v>
      </c>
      <c r="G2578" s="68">
        <v>1401</v>
      </c>
    </row>
    <row r="2579" spans="1:7" x14ac:dyDescent="0.3">
      <c r="A2579" t="s">
        <v>921</v>
      </c>
      <c r="B2579" t="s">
        <v>536</v>
      </c>
      <c r="C2579" t="s">
        <v>6</v>
      </c>
      <c r="D2579" t="s">
        <v>16</v>
      </c>
      <c r="E2579" s="68">
        <v>534</v>
      </c>
      <c r="F2579" s="68">
        <v>644</v>
      </c>
      <c r="G2579" s="68">
        <v>1178</v>
      </c>
    </row>
    <row r="2580" spans="1:7" x14ac:dyDescent="0.3">
      <c r="A2580" t="s">
        <v>921</v>
      </c>
      <c r="B2580" t="s">
        <v>536</v>
      </c>
      <c r="C2580" t="s">
        <v>6</v>
      </c>
      <c r="D2580" t="s">
        <v>17</v>
      </c>
      <c r="E2580" s="68">
        <v>377</v>
      </c>
      <c r="F2580" s="68">
        <v>589</v>
      </c>
      <c r="G2580" s="68">
        <v>966</v>
      </c>
    </row>
    <row r="2581" spans="1:7" x14ac:dyDescent="0.3">
      <c r="A2581" t="s">
        <v>921</v>
      </c>
      <c r="B2581" t="s">
        <v>536</v>
      </c>
      <c r="C2581" t="s">
        <v>6</v>
      </c>
      <c r="D2581" t="s">
        <v>18</v>
      </c>
      <c r="E2581" s="68">
        <v>249</v>
      </c>
      <c r="F2581" s="68">
        <v>462</v>
      </c>
      <c r="G2581" s="68">
        <v>711</v>
      </c>
    </row>
    <row r="2582" spans="1:7" x14ac:dyDescent="0.3">
      <c r="A2582" t="s">
        <v>921</v>
      </c>
      <c r="B2582" t="s">
        <v>536</v>
      </c>
      <c r="C2582" t="s">
        <v>6</v>
      </c>
      <c r="D2582" t="s">
        <v>19</v>
      </c>
      <c r="E2582" s="68">
        <v>150</v>
      </c>
      <c r="F2582" s="68">
        <v>284</v>
      </c>
      <c r="G2582" s="68">
        <v>434</v>
      </c>
    </row>
    <row r="2583" spans="1:7" x14ac:dyDescent="0.3">
      <c r="A2583" t="s">
        <v>921</v>
      </c>
      <c r="B2583" t="s">
        <v>536</v>
      </c>
      <c r="C2583" t="s">
        <v>6</v>
      </c>
      <c r="D2583" t="s">
        <v>20</v>
      </c>
      <c r="E2583" s="68">
        <v>77</v>
      </c>
      <c r="F2583" s="68">
        <v>182</v>
      </c>
      <c r="G2583" s="68">
        <v>259</v>
      </c>
    </row>
    <row r="2584" spans="1:7" x14ac:dyDescent="0.3">
      <c r="A2584" t="s">
        <v>921</v>
      </c>
      <c r="B2584" t="s">
        <v>536</v>
      </c>
      <c r="C2584" t="s">
        <v>6</v>
      </c>
      <c r="D2584" t="s">
        <v>21</v>
      </c>
      <c r="E2584" s="68">
        <v>33</v>
      </c>
      <c r="F2584" s="68">
        <v>65</v>
      </c>
      <c r="G2584" s="68">
        <v>98</v>
      </c>
    </row>
    <row r="2585" spans="1:7" x14ac:dyDescent="0.3">
      <c r="A2585" t="s">
        <v>921</v>
      </c>
      <c r="B2585" t="s">
        <v>536</v>
      </c>
      <c r="C2585" t="s">
        <v>6</v>
      </c>
      <c r="D2585" t="s">
        <v>22</v>
      </c>
      <c r="E2585" s="68">
        <v>17</v>
      </c>
      <c r="F2585" s="68">
        <v>36</v>
      </c>
      <c r="G2585" s="68">
        <v>53</v>
      </c>
    </row>
    <row r="2586" spans="1:7" x14ac:dyDescent="0.3">
      <c r="A2586" t="s">
        <v>921</v>
      </c>
      <c r="B2586" t="s">
        <v>536</v>
      </c>
      <c r="C2586" t="s">
        <v>6</v>
      </c>
      <c r="D2586" t="s">
        <v>23</v>
      </c>
      <c r="E2586" s="68">
        <v>25</v>
      </c>
      <c r="F2586" s="68">
        <v>26</v>
      </c>
      <c r="G2586" s="68">
        <v>51</v>
      </c>
    </row>
    <row r="2587" spans="1:7" x14ac:dyDescent="0.3">
      <c r="A2587" t="s">
        <v>921</v>
      </c>
      <c r="B2587" t="s">
        <v>536</v>
      </c>
      <c r="C2587" t="s">
        <v>24</v>
      </c>
      <c r="D2587" t="s">
        <v>7</v>
      </c>
      <c r="E2587" s="68">
        <v>4661</v>
      </c>
      <c r="F2587" s="68">
        <v>4815</v>
      </c>
      <c r="G2587" s="68">
        <v>9476</v>
      </c>
    </row>
    <row r="2588" spans="1:7" x14ac:dyDescent="0.3">
      <c r="A2588" t="s">
        <v>921</v>
      </c>
      <c r="B2588" t="s">
        <v>536</v>
      </c>
      <c r="C2588" t="s">
        <v>24</v>
      </c>
      <c r="D2588" t="s">
        <v>8</v>
      </c>
      <c r="E2588" s="68">
        <v>6236</v>
      </c>
      <c r="F2588" s="68">
        <v>6569</v>
      </c>
      <c r="G2588" s="68">
        <v>12805</v>
      </c>
    </row>
    <row r="2589" spans="1:7" x14ac:dyDescent="0.3">
      <c r="A2589" t="s">
        <v>921</v>
      </c>
      <c r="B2589" t="s">
        <v>536</v>
      </c>
      <c r="C2589" t="s">
        <v>24</v>
      </c>
      <c r="D2589" t="s">
        <v>9</v>
      </c>
      <c r="E2589" s="68">
        <v>6565</v>
      </c>
      <c r="F2589" s="68">
        <v>7049</v>
      </c>
      <c r="G2589" s="68">
        <v>13614</v>
      </c>
    </row>
    <row r="2590" spans="1:7" x14ac:dyDescent="0.3">
      <c r="A2590" t="s">
        <v>921</v>
      </c>
      <c r="B2590" t="s">
        <v>536</v>
      </c>
      <c r="C2590" t="s">
        <v>24</v>
      </c>
      <c r="D2590" t="s">
        <v>10</v>
      </c>
      <c r="E2590" s="68">
        <v>7416</v>
      </c>
      <c r="F2590" s="68">
        <v>7386</v>
      </c>
      <c r="G2590" s="68">
        <v>14802</v>
      </c>
    </row>
    <row r="2591" spans="1:7" x14ac:dyDescent="0.3">
      <c r="A2591" t="s">
        <v>921</v>
      </c>
      <c r="B2591" t="s">
        <v>536</v>
      </c>
      <c r="C2591" t="s">
        <v>24</v>
      </c>
      <c r="D2591" t="s">
        <v>11</v>
      </c>
      <c r="E2591" s="68">
        <v>6794</v>
      </c>
      <c r="F2591" s="68">
        <v>5363</v>
      </c>
      <c r="G2591" s="68">
        <v>12157</v>
      </c>
    </row>
    <row r="2592" spans="1:7" x14ac:dyDescent="0.3">
      <c r="A2592" t="s">
        <v>921</v>
      </c>
      <c r="B2592" t="s">
        <v>536</v>
      </c>
      <c r="C2592" t="s">
        <v>24</v>
      </c>
      <c r="D2592" t="s">
        <v>12</v>
      </c>
      <c r="E2592" s="68">
        <v>5701</v>
      </c>
      <c r="F2592" s="68">
        <v>3860</v>
      </c>
      <c r="G2592" s="68">
        <v>9561</v>
      </c>
    </row>
    <row r="2593" spans="1:7" x14ac:dyDescent="0.3">
      <c r="A2593" t="s">
        <v>921</v>
      </c>
      <c r="B2593" t="s">
        <v>536</v>
      </c>
      <c r="C2593" t="s">
        <v>24</v>
      </c>
      <c r="D2593" t="s">
        <v>13</v>
      </c>
      <c r="E2593" s="68">
        <v>5414</v>
      </c>
      <c r="F2593" s="68">
        <v>3206</v>
      </c>
      <c r="G2593" s="68">
        <v>8620</v>
      </c>
    </row>
    <row r="2594" spans="1:7" x14ac:dyDescent="0.3">
      <c r="A2594" t="s">
        <v>921</v>
      </c>
      <c r="B2594" t="s">
        <v>536</v>
      </c>
      <c r="C2594" t="s">
        <v>24</v>
      </c>
      <c r="D2594" t="s">
        <v>14</v>
      </c>
      <c r="E2594" s="68">
        <v>5089</v>
      </c>
      <c r="F2594" s="68">
        <v>3157</v>
      </c>
      <c r="G2594" s="68">
        <v>8246</v>
      </c>
    </row>
    <row r="2595" spans="1:7" x14ac:dyDescent="0.3">
      <c r="A2595" t="s">
        <v>921</v>
      </c>
      <c r="B2595" t="s">
        <v>536</v>
      </c>
      <c r="C2595" t="s">
        <v>24</v>
      </c>
      <c r="D2595" t="s">
        <v>15</v>
      </c>
      <c r="E2595" s="68">
        <v>4657</v>
      </c>
      <c r="F2595" s="68">
        <v>2976</v>
      </c>
      <c r="G2595" s="68">
        <v>7633</v>
      </c>
    </row>
    <row r="2596" spans="1:7" x14ac:dyDescent="0.3">
      <c r="A2596" t="s">
        <v>921</v>
      </c>
      <c r="B2596" t="s">
        <v>536</v>
      </c>
      <c r="C2596" t="s">
        <v>24</v>
      </c>
      <c r="D2596" t="s">
        <v>16</v>
      </c>
      <c r="E2596" s="68">
        <v>4853</v>
      </c>
      <c r="F2596" s="68">
        <v>3397</v>
      </c>
      <c r="G2596" s="68">
        <v>8250</v>
      </c>
    </row>
    <row r="2597" spans="1:7" x14ac:dyDescent="0.3">
      <c r="A2597" t="s">
        <v>921</v>
      </c>
      <c r="B2597" t="s">
        <v>536</v>
      </c>
      <c r="C2597" t="s">
        <v>24</v>
      </c>
      <c r="D2597" t="s">
        <v>17</v>
      </c>
      <c r="E2597" s="68">
        <v>4990</v>
      </c>
      <c r="F2597" s="68">
        <v>3791</v>
      </c>
      <c r="G2597" s="68">
        <v>8781</v>
      </c>
    </row>
    <row r="2598" spans="1:7" x14ac:dyDescent="0.3">
      <c r="A2598" t="s">
        <v>921</v>
      </c>
      <c r="B2598" t="s">
        <v>536</v>
      </c>
      <c r="C2598" t="s">
        <v>24</v>
      </c>
      <c r="D2598" t="s">
        <v>18</v>
      </c>
      <c r="E2598" s="68">
        <v>4482</v>
      </c>
      <c r="F2598" s="68">
        <v>3838</v>
      </c>
      <c r="G2598" s="68">
        <v>8320</v>
      </c>
    </row>
    <row r="2599" spans="1:7" x14ac:dyDescent="0.3">
      <c r="A2599" t="s">
        <v>921</v>
      </c>
      <c r="B2599" t="s">
        <v>536</v>
      </c>
      <c r="C2599" t="s">
        <v>24</v>
      </c>
      <c r="D2599" t="s">
        <v>19</v>
      </c>
      <c r="E2599" s="68">
        <v>3449</v>
      </c>
      <c r="F2599" s="68">
        <v>3174</v>
      </c>
      <c r="G2599" s="68">
        <v>6623</v>
      </c>
    </row>
    <row r="2600" spans="1:7" x14ac:dyDescent="0.3">
      <c r="A2600" t="s">
        <v>921</v>
      </c>
      <c r="B2600" t="s">
        <v>536</v>
      </c>
      <c r="C2600" t="s">
        <v>24</v>
      </c>
      <c r="D2600" t="s">
        <v>20</v>
      </c>
      <c r="E2600" s="68">
        <v>3071</v>
      </c>
      <c r="F2600" s="68">
        <v>2894</v>
      </c>
      <c r="G2600" s="68">
        <v>5965</v>
      </c>
    </row>
    <row r="2601" spans="1:7" x14ac:dyDescent="0.3">
      <c r="A2601" t="s">
        <v>921</v>
      </c>
      <c r="B2601" t="s">
        <v>536</v>
      </c>
      <c r="C2601" t="s">
        <v>24</v>
      </c>
      <c r="D2601" t="s">
        <v>21</v>
      </c>
      <c r="E2601" s="68">
        <v>2262</v>
      </c>
      <c r="F2601" s="68">
        <v>2311</v>
      </c>
      <c r="G2601" s="68">
        <v>4573</v>
      </c>
    </row>
    <row r="2602" spans="1:7" x14ac:dyDescent="0.3">
      <c r="A2602" t="s">
        <v>921</v>
      </c>
      <c r="B2602" t="s">
        <v>536</v>
      </c>
      <c r="C2602" t="s">
        <v>24</v>
      </c>
      <c r="D2602" t="s">
        <v>22</v>
      </c>
      <c r="E2602" s="68">
        <v>1757</v>
      </c>
      <c r="F2602" s="68">
        <v>1752</v>
      </c>
      <c r="G2602" s="68">
        <v>3509</v>
      </c>
    </row>
    <row r="2603" spans="1:7" x14ac:dyDescent="0.3">
      <c r="A2603" t="s">
        <v>921</v>
      </c>
      <c r="B2603" t="s">
        <v>536</v>
      </c>
      <c r="C2603" t="s">
        <v>24</v>
      </c>
      <c r="D2603" t="s">
        <v>23</v>
      </c>
      <c r="E2603" s="68">
        <v>2366</v>
      </c>
      <c r="F2603" s="68">
        <v>2096</v>
      </c>
      <c r="G2603" s="68">
        <v>4462</v>
      </c>
    </row>
    <row r="2604" spans="1:7" x14ac:dyDescent="0.3">
      <c r="A2604" t="s">
        <v>921</v>
      </c>
      <c r="B2604" t="s">
        <v>31</v>
      </c>
      <c r="C2604" t="s">
        <v>6</v>
      </c>
      <c r="D2604" t="s">
        <v>7</v>
      </c>
      <c r="E2604" s="68">
        <v>29</v>
      </c>
      <c r="F2604" s="68">
        <v>32</v>
      </c>
      <c r="G2604" s="68">
        <v>61</v>
      </c>
    </row>
    <row r="2605" spans="1:7" x14ac:dyDescent="0.3">
      <c r="A2605" t="s">
        <v>921</v>
      </c>
      <c r="B2605" t="s">
        <v>31</v>
      </c>
      <c r="C2605" t="s">
        <v>6</v>
      </c>
      <c r="D2605" t="s">
        <v>8</v>
      </c>
      <c r="E2605" s="68">
        <v>48</v>
      </c>
      <c r="F2605" s="68">
        <v>52</v>
      </c>
      <c r="G2605" s="68">
        <v>100</v>
      </c>
    </row>
    <row r="2606" spans="1:7" x14ac:dyDescent="0.3">
      <c r="A2606" t="s">
        <v>921</v>
      </c>
      <c r="B2606" t="s">
        <v>31</v>
      </c>
      <c r="C2606" t="s">
        <v>6</v>
      </c>
      <c r="D2606" t="s">
        <v>9</v>
      </c>
      <c r="E2606" s="68">
        <v>85</v>
      </c>
      <c r="F2606" s="68">
        <v>77</v>
      </c>
      <c r="G2606" s="68">
        <v>162</v>
      </c>
    </row>
    <row r="2607" spans="1:7" x14ac:dyDescent="0.3">
      <c r="A2607" t="s">
        <v>921</v>
      </c>
      <c r="B2607" t="s">
        <v>31</v>
      </c>
      <c r="C2607" t="s">
        <v>6</v>
      </c>
      <c r="D2607" t="s">
        <v>10</v>
      </c>
      <c r="E2607" s="68">
        <v>64</v>
      </c>
      <c r="F2607" s="68">
        <v>87</v>
      </c>
      <c r="G2607" s="68">
        <v>151</v>
      </c>
    </row>
    <row r="2608" spans="1:7" x14ac:dyDescent="0.3">
      <c r="A2608" t="s">
        <v>921</v>
      </c>
      <c r="B2608" t="s">
        <v>31</v>
      </c>
      <c r="C2608" t="s">
        <v>6</v>
      </c>
      <c r="D2608" t="s">
        <v>11</v>
      </c>
      <c r="E2608" s="68">
        <v>63</v>
      </c>
      <c r="F2608" s="68">
        <v>72</v>
      </c>
      <c r="G2608" s="68">
        <v>135</v>
      </c>
    </row>
    <row r="2609" spans="1:7" x14ac:dyDescent="0.3">
      <c r="A2609" t="s">
        <v>921</v>
      </c>
      <c r="B2609" t="s">
        <v>31</v>
      </c>
      <c r="C2609" t="s">
        <v>6</v>
      </c>
      <c r="D2609" t="s">
        <v>12</v>
      </c>
      <c r="E2609" s="68">
        <v>32</v>
      </c>
      <c r="F2609" s="68">
        <v>35</v>
      </c>
      <c r="G2609" s="68">
        <v>67</v>
      </c>
    </row>
    <row r="2610" spans="1:7" x14ac:dyDescent="0.3">
      <c r="A2610" t="s">
        <v>921</v>
      </c>
      <c r="B2610" t="s">
        <v>31</v>
      </c>
      <c r="C2610" t="s">
        <v>6</v>
      </c>
      <c r="D2610" t="s">
        <v>13</v>
      </c>
      <c r="E2610" s="68">
        <v>73</v>
      </c>
      <c r="F2610" s="68">
        <v>39</v>
      </c>
      <c r="G2610" s="68">
        <v>112</v>
      </c>
    </row>
    <row r="2611" spans="1:7" x14ac:dyDescent="0.3">
      <c r="A2611" t="s">
        <v>921</v>
      </c>
      <c r="B2611" t="s">
        <v>31</v>
      </c>
      <c r="C2611" t="s">
        <v>6</v>
      </c>
      <c r="D2611" t="s">
        <v>14</v>
      </c>
      <c r="E2611" s="68">
        <v>73</v>
      </c>
      <c r="F2611" s="68">
        <v>57</v>
      </c>
      <c r="G2611" s="68">
        <v>130</v>
      </c>
    </row>
    <row r="2612" spans="1:7" x14ac:dyDescent="0.3">
      <c r="A2612" t="s">
        <v>921</v>
      </c>
      <c r="B2612" t="s">
        <v>31</v>
      </c>
      <c r="C2612" t="s">
        <v>6</v>
      </c>
      <c r="D2612" t="s">
        <v>15</v>
      </c>
      <c r="E2612" s="68">
        <v>75</v>
      </c>
      <c r="F2612" s="68">
        <v>80</v>
      </c>
      <c r="G2612" s="68">
        <v>155</v>
      </c>
    </row>
    <row r="2613" spans="1:7" x14ac:dyDescent="0.3">
      <c r="A2613" t="s">
        <v>921</v>
      </c>
      <c r="B2613" t="s">
        <v>31</v>
      </c>
      <c r="C2613" t="s">
        <v>6</v>
      </c>
      <c r="D2613" t="s">
        <v>16</v>
      </c>
      <c r="E2613" s="68">
        <v>60</v>
      </c>
      <c r="F2613" s="68">
        <v>68</v>
      </c>
      <c r="G2613" s="68">
        <v>128</v>
      </c>
    </row>
    <row r="2614" spans="1:7" x14ac:dyDescent="0.3">
      <c r="A2614" t="s">
        <v>921</v>
      </c>
      <c r="B2614" t="s">
        <v>31</v>
      </c>
      <c r="C2614" t="s">
        <v>6</v>
      </c>
      <c r="D2614" t="s">
        <v>17</v>
      </c>
      <c r="E2614" s="68">
        <v>30</v>
      </c>
      <c r="F2614" s="68">
        <v>53</v>
      </c>
      <c r="G2614" s="68">
        <v>83</v>
      </c>
    </row>
    <row r="2615" spans="1:7" x14ac:dyDescent="0.3">
      <c r="A2615" t="s">
        <v>921</v>
      </c>
      <c r="B2615" t="s">
        <v>31</v>
      </c>
      <c r="C2615" t="s">
        <v>6</v>
      </c>
      <c r="D2615" t="s">
        <v>18</v>
      </c>
      <c r="E2615" s="68">
        <v>14</v>
      </c>
      <c r="F2615" s="68">
        <v>38</v>
      </c>
      <c r="G2615" s="68">
        <v>52</v>
      </c>
    </row>
    <row r="2616" spans="1:7" x14ac:dyDescent="0.3">
      <c r="A2616" t="s">
        <v>921</v>
      </c>
      <c r="B2616" t="s">
        <v>31</v>
      </c>
      <c r="C2616" t="s">
        <v>6</v>
      </c>
      <c r="D2616" t="s">
        <v>19</v>
      </c>
      <c r="E2616" s="68">
        <v>10</v>
      </c>
      <c r="F2616" s="68">
        <v>20</v>
      </c>
      <c r="G2616" s="68">
        <v>30</v>
      </c>
    </row>
    <row r="2617" spans="1:7" x14ac:dyDescent="0.3">
      <c r="A2617" t="s">
        <v>921</v>
      </c>
      <c r="B2617" t="s">
        <v>31</v>
      </c>
      <c r="C2617" t="s">
        <v>6</v>
      </c>
      <c r="D2617" t="s">
        <v>20</v>
      </c>
      <c r="E2617" s="68">
        <v>6</v>
      </c>
      <c r="F2617" s="68">
        <v>11</v>
      </c>
      <c r="G2617" s="68">
        <v>17</v>
      </c>
    </row>
    <row r="2618" spans="1:7" x14ac:dyDescent="0.3">
      <c r="A2618" t="s">
        <v>921</v>
      </c>
      <c r="B2618" t="s">
        <v>31</v>
      </c>
      <c r="C2618" t="s">
        <v>6</v>
      </c>
      <c r="D2618" t="s">
        <v>21</v>
      </c>
      <c r="E2618" s="68">
        <v>6</v>
      </c>
      <c r="F2618" s="68">
        <v>8</v>
      </c>
      <c r="G2618" s="68">
        <v>14</v>
      </c>
    </row>
    <row r="2619" spans="1:7" x14ac:dyDescent="0.3">
      <c r="A2619" t="s">
        <v>921</v>
      </c>
      <c r="B2619" t="s">
        <v>31</v>
      </c>
      <c r="C2619" t="s">
        <v>6</v>
      </c>
      <c r="D2619" t="s">
        <v>22</v>
      </c>
      <c r="E2619" s="68">
        <v>1</v>
      </c>
      <c r="F2619" s="68"/>
      <c r="G2619" s="68">
        <v>1</v>
      </c>
    </row>
    <row r="2620" spans="1:7" x14ac:dyDescent="0.3">
      <c r="A2620" t="s">
        <v>921</v>
      </c>
      <c r="B2620" t="s">
        <v>31</v>
      </c>
      <c r="C2620" t="s">
        <v>6</v>
      </c>
      <c r="D2620" t="s">
        <v>23</v>
      </c>
      <c r="E2620" s="68">
        <v>1</v>
      </c>
      <c r="F2620" s="68">
        <v>4</v>
      </c>
      <c r="G2620" s="68">
        <v>5</v>
      </c>
    </row>
    <row r="2621" spans="1:7" x14ac:dyDescent="0.3">
      <c r="A2621" t="s">
        <v>921</v>
      </c>
      <c r="B2621" t="s">
        <v>31</v>
      </c>
      <c r="C2621" t="s">
        <v>24</v>
      </c>
      <c r="D2621" t="s">
        <v>7</v>
      </c>
      <c r="E2621" s="68">
        <v>40</v>
      </c>
      <c r="F2621" s="68">
        <v>64</v>
      </c>
      <c r="G2621" s="68">
        <v>104</v>
      </c>
    </row>
    <row r="2622" spans="1:7" x14ac:dyDescent="0.3">
      <c r="A2622" t="s">
        <v>921</v>
      </c>
      <c r="B2622" t="s">
        <v>31</v>
      </c>
      <c r="C2622" t="s">
        <v>24</v>
      </c>
      <c r="D2622" t="s">
        <v>8</v>
      </c>
      <c r="E2622" s="68">
        <v>112</v>
      </c>
      <c r="F2622" s="68">
        <v>110</v>
      </c>
      <c r="G2622" s="68">
        <v>222</v>
      </c>
    </row>
    <row r="2623" spans="1:7" x14ac:dyDescent="0.3">
      <c r="A2623" t="s">
        <v>921</v>
      </c>
      <c r="B2623" t="s">
        <v>31</v>
      </c>
      <c r="C2623" t="s">
        <v>24</v>
      </c>
      <c r="D2623" t="s">
        <v>9</v>
      </c>
      <c r="E2623" s="68">
        <v>124</v>
      </c>
      <c r="F2623" s="68">
        <v>138</v>
      </c>
      <c r="G2623" s="68">
        <v>262</v>
      </c>
    </row>
    <row r="2624" spans="1:7" x14ac:dyDescent="0.3">
      <c r="A2624" t="s">
        <v>921</v>
      </c>
      <c r="B2624" t="s">
        <v>31</v>
      </c>
      <c r="C2624" t="s">
        <v>24</v>
      </c>
      <c r="D2624" t="s">
        <v>10</v>
      </c>
      <c r="E2624" s="68">
        <v>118</v>
      </c>
      <c r="F2624" s="68">
        <v>116</v>
      </c>
      <c r="G2624" s="68">
        <v>234</v>
      </c>
    </row>
    <row r="2625" spans="1:7" x14ac:dyDescent="0.3">
      <c r="A2625" t="s">
        <v>921</v>
      </c>
      <c r="B2625" t="s">
        <v>31</v>
      </c>
      <c r="C2625" t="s">
        <v>24</v>
      </c>
      <c r="D2625" t="s">
        <v>11</v>
      </c>
      <c r="E2625" s="68">
        <v>90</v>
      </c>
      <c r="F2625" s="68">
        <v>81</v>
      </c>
      <c r="G2625" s="68">
        <v>171</v>
      </c>
    </row>
    <row r="2626" spans="1:7" x14ac:dyDescent="0.3">
      <c r="A2626" t="s">
        <v>921</v>
      </c>
      <c r="B2626" t="s">
        <v>31</v>
      </c>
      <c r="C2626" t="s">
        <v>24</v>
      </c>
      <c r="D2626" t="s">
        <v>12</v>
      </c>
      <c r="E2626" s="68">
        <v>66</v>
      </c>
      <c r="F2626" s="68">
        <v>48</v>
      </c>
      <c r="G2626" s="68">
        <v>114</v>
      </c>
    </row>
    <row r="2627" spans="1:7" x14ac:dyDescent="0.3">
      <c r="A2627" t="s">
        <v>921</v>
      </c>
      <c r="B2627" t="s">
        <v>31</v>
      </c>
      <c r="C2627" t="s">
        <v>24</v>
      </c>
      <c r="D2627" t="s">
        <v>13</v>
      </c>
      <c r="E2627" s="68">
        <v>111</v>
      </c>
      <c r="F2627" s="68">
        <v>43</v>
      </c>
      <c r="G2627" s="68">
        <v>154</v>
      </c>
    </row>
    <row r="2628" spans="1:7" x14ac:dyDescent="0.3">
      <c r="A2628" t="s">
        <v>921</v>
      </c>
      <c r="B2628" t="s">
        <v>31</v>
      </c>
      <c r="C2628" t="s">
        <v>24</v>
      </c>
      <c r="D2628" t="s">
        <v>14</v>
      </c>
      <c r="E2628" s="68">
        <v>94</v>
      </c>
      <c r="F2628" s="68">
        <v>42</v>
      </c>
      <c r="G2628" s="68">
        <v>136</v>
      </c>
    </row>
    <row r="2629" spans="1:7" x14ac:dyDescent="0.3">
      <c r="A2629" t="s">
        <v>921</v>
      </c>
      <c r="B2629" t="s">
        <v>31</v>
      </c>
      <c r="C2629" t="s">
        <v>24</v>
      </c>
      <c r="D2629" t="s">
        <v>15</v>
      </c>
      <c r="E2629" s="68">
        <v>104</v>
      </c>
      <c r="F2629" s="68">
        <v>65</v>
      </c>
      <c r="G2629" s="68">
        <v>169</v>
      </c>
    </row>
    <row r="2630" spans="1:7" x14ac:dyDescent="0.3">
      <c r="A2630" t="s">
        <v>921</v>
      </c>
      <c r="B2630" t="s">
        <v>31</v>
      </c>
      <c r="C2630" t="s">
        <v>24</v>
      </c>
      <c r="D2630" t="s">
        <v>16</v>
      </c>
      <c r="E2630" s="68">
        <v>96</v>
      </c>
      <c r="F2630" s="68">
        <v>61</v>
      </c>
      <c r="G2630" s="68">
        <v>157</v>
      </c>
    </row>
    <row r="2631" spans="1:7" x14ac:dyDescent="0.3">
      <c r="A2631" t="s">
        <v>921</v>
      </c>
      <c r="B2631" t="s">
        <v>31</v>
      </c>
      <c r="C2631" t="s">
        <v>24</v>
      </c>
      <c r="D2631" t="s">
        <v>17</v>
      </c>
      <c r="E2631" s="68">
        <v>51</v>
      </c>
      <c r="F2631" s="68">
        <v>70</v>
      </c>
      <c r="G2631" s="68">
        <v>121</v>
      </c>
    </row>
    <row r="2632" spans="1:7" x14ac:dyDescent="0.3">
      <c r="A2632" t="s">
        <v>921</v>
      </c>
      <c r="B2632" t="s">
        <v>31</v>
      </c>
      <c r="C2632" t="s">
        <v>24</v>
      </c>
      <c r="D2632" t="s">
        <v>18</v>
      </c>
      <c r="E2632" s="68">
        <v>27</v>
      </c>
      <c r="F2632" s="68">
        <v>40</v>
      </c>
      <c r="G2632" s="68">
        <v>67</v>
      </c>
    </row>
    <row r="2633" spans="1:7" x14ac:dyDescent="0.3">
      <c r="A2633" t="s">
        <v>921</v>
      </c>
      <c r="B2633" t="s">
        <v>31</v>
      </c>
      <c r="C2633" t="s">
        <v>24</v>
      </c>
      <c r="D2633" t="s">
        <v>19</v>
      </c>
      <c r="E2633" s="68">
        <v>30</v>
      </c>
      <c r="F2633" s="68">
        <v>25</v>
      </c>
      <c r="G2633" s="68">
        <v>55</v>
      </c>
    </row>
    <row r="2634" spans="1:7" x14ac:dyDescent="0.3">
      <c r="A2634" t="s">
        <v>921</v>
      </c>
      <c r="B2634" t="s">
        <v>31</v>
      </c>
      <c r="C2634" t="s">
        <v>24</v>
      </c>
      <c r="D2634" t="s">
        <v>20</v>
      </c>
      <c r="E2634" s="68">
        <v>19</v>
      </c>
      <c r="F2634" s="68">
        <v>31</v>
      </c>
      <c r="G2634" s="68">
        <v>50</v>
      </c>
    </row>
    <row r="2635" spans="1:7" x14ac:dyDescent="0.3">
      <c r="A2635" t="s">
        <v>921</v>
      </c>
      <c r="B2635" t="s">
        <v>31</v>
      </c>
      <c r="C2635" t="s">
        <v>24</v>
      </c>
      <c r="D2635" t="s">
        <v>21</v>
      </c>
      <c r="E2635" s="68">
        <v>4</v>
      </c>
      <c r="F2635" s="68">
        <v>11</v>
      </c>
      <c r="G2635" s="68">
        <v>15</v>
      </c>
    </row>
    <row r="2636" spans="1:7" x14ac:dyDescent="0.3">
      <c r="A2636" t="s">
        <v>921</v>
      </c>
      <c r="B2636" t="s">
        <v>31</v>
      </c>
      <c r="C2636" t="s">
        <v>24</v>
      </c>
      <c r="D2636" t="s">
        <v>22</v>
      </c>
      <c r="E2636" s="68">
        <v>11</v>
      </c>
      <c r="F2636" s="68">
        <v>1</v>
      </c>
      <c r="G2636" s="68">
        <v>12</v>
      </c>
    </row>
    <row r="2637" spans="1:7" x14ac:dyDescent="0.3">
      <c r="A2637" t="s">
        <v>921</v>
      </c>
      <c r="B2637" t="s">
        <v>31</v>
      </c>
      <c r="C2637" t="s">
        <v>24</v>
      </c>
      <c r="D2637" t="s">
        <v>23</v>
      </c>
      <c r="E2637" s="68">
        <v>6</v>
      </c>
      <c r="F2637" s="68">
        <v>6</v>
      </c>
      <c r="G2637" s="68">
        <v>12</v>
      </c>
    </row>
    <row r="2638" spans="1:7" x14ac:dyDescent="0.3">
      <c r="A2638" t="s">
        <v>921</v>
      </c>
      <c r="B2638" t="s">
        <v>5</v>
      </c>
      <c r="C2638" t="s">
        <v>6</v>
      </c>
      <c r="D2638" t="s">
        <v>7</v>
      </c>
      <c r="E2638" s="68">
        <v>1866</v>
      </c>
      <c r="F2638" s="68">
        <v>1944</v>
      </c>
      <c r="G2638" s="68">
        <v>3810</v>
      </c>
    </row>
    <row r="2639" spans="1:7" x14ac:dyDescent="0.3">
      <c r="A2639" t="s">
        <v>921</v>
      </c>
      <c r="B2639" t="s">
        <v>5</v>
      </c>
      <c r="C2639" t="s">
        <v>6</v>
      </c>
      <c r="D2639" t="s">
        <v>8</v>
      </c>
      <c r="E2639" s="68">
        <v>2435</v>
      </c>
      <c r="F2639" s="68">
        <v>2658</v>
      </c>
      <c r="G2639" s="68">
        <v>5093</v>
      </c>
    </row>
    <row r="2640" spans="1:7" x14ac:dyDescent="0.3">
      <c r="A2640" t="s">
        <v>921</v>
      </c>
      <c r="B2640" t="s">
        <v>5</v>
      </c>
      <c r="C2640" t="s">
        <v>6</v>
      </c>
      <c r="D2640" t="s">
        <v>9</v>
      </c>
      <c r="E2640" s="68">
        <v>3240</v>
      </c>
      <c r="F2640" s="68">
        <v>3315</v>
      </c>
      <c r="G2640" s="68">
        <v>6555</v>
      </c>
    </row>
    <row r="2641" spans="1:7" x14ac:dyDescent="0.3">
      <c r="A2641" t="s">
        <v>921</v>
      </c>
      <c r="B2641" t="s">
        <v>5</v>
      </c>
      <c r="C2641" t="s">
        <v>6</v>
      </c>
      <c r="D2641" t="s">
        <v>10</v>
      </c>
      <c r="E2641" s="68">
        <v>2706</v>
      </c>
      <c r="F2641" s="68">
        <v>2939</v>
      </c>
      <c r="G2641" s="68">
        <v>5645</v>
      </c>
    </row>
    <row r="2642" spans="1:7" x14ac:dyDescent="0.3">
      <c r="A2642" t="s">
        <v>921</v>
      </c>
      <c r="B2642" t="s">
        <v>5</v>
      </c>
      <c r="C2642" t="s">
        <v>6</v>
      </c>
      <c r="D2642" t="s">
        <v>11</v>
      </c>
      <c r="E2642" s="68">
        <v>2252</v>
      </c>
      <c r="F2642" s="68">
        <v>2281</v>
      </c>
      <c r="G2642" s="68">
        <v>4533</v>
      </c>
    </row>
    <row r="2643" spans="1:7" x14ac:dyDescent="0.3">
      <c r="A2643" t="s">
        <v>921</v>
      </c>
      <c r="B2643" t="s">
        <v>5</v>
      </c>
      <c r="C2643" t="s">
        <v>6</v>
      </c>
      <c r="D2643" t="s">
        <v>12</v>
      </c>
      <c r="E2643" s="68">
        <v>3133</v>
      </c>
      <c r="F2643" s="68">
        <v>2884</v>
      </c>
      <c r="G2643" s="68">
        <v>6017</v>
      </c>
    </row>
    <row r="2644" spans="1:7" x14ac:dyDescent="0.3">
      <c r="A2644" t="s">
        <v>921</v>
      </c>
      <c r="B2644" t="s">
        <v>5</v>
      </c>
      <c r="C2644" t="s">
        <v>6</v>
      </c>
      <c r="D2644" t="s">
        <v>13</v>
      </c>
      <c r="E2644" s="68">
        <v>4122</v>
      </c>
      <c r="F2644" s="68">
        <v>4130</v>
      </c>
      <c r="G2644" s="68">
        <v>8252</v>
      </c>
    </row>
    <row r="2645" spans="1:7" x14ac:dyDescent="0.3">
      <c r="A2645" t="s">
        <v>921</v>
      </c>
      <c r="B2645" t="s">
        <v>5</v>
      </c>
      <c r="C2645" t="s">
        <v>6</v>
      </c>
      <c r="D2645" t="s">
        <v>14</v>
      </c>
      <c r="E2645" s="68">
        <v>4293</v>
      </c>
      <c r="F2645" s="68">
        <v>4520</v>
      </c>
      <c r="G2645" s="68">
        <v>8813</v>
      </c>
    </row>
    <row r="2646" spans="1:7" x14ac:dyDescent="0.3">
      <c r="A2646" t="s">
        <v>921</v>
      </c>
      <c r="B2646" t="s">
        <v>5</v>
      </c>
      <c r="C2646" t="s">
        <v>6</v>
      </c>
      <c r="D2646" t="s">
        <v>15</v>
      </c>
      <c r="E2646" s="68">
        <v>3817</v>
      </c>
      <c r="F2646" s="68">
        <v>4158</v>
      </c>
      <c r="G2646" s="68">
        <v>7975</v>
      </c>
    </row>
    <row r="2647" spans="1:7" x14ac:dyDescent="0.3">
      <c r="A2647" t="s">
        <v>921</v>
      </c>
      <c r="B2647" t="s">
        <v>5</v>
      </c>
      <c r="C2647" t="s">
        <v>6</v>
      </c>
      <c r="D2647" t="s">
        <v>16</v>
      </c>
      <c r="E2647" s="68">
        <v>2972</v>
      </c>
      <c r="F2647" s="68">
        <v>3392</v>
      </c>
      <c r="G2647" s="68">
        <v>6364</v>
      </c>
    </row>
    <row r="2648" spans="1:7" x14ac:dyDescent="0.3">
      <c r="A2648" t="s">
        <v>921</v>
      </c>
      <c r="B2648" t="s">
        <v>5</v>
      </c>
      <c r="C2648" t="s">
        <v>6</v>
      </c>
      <c r="D2648" t="s">
        <v>17</v>
      </c>
      <c r="E2648" s="68">
        <v>2257</v>
      </c>
      <c r="F2648" s="68">
        <v>2559</v>
      </c>
      <c r="G2648" s="68">
        <v>4816</v>
      </c>
    </row>
    <row r="2649" spans="1:7" x14ac:dyDescent="0.3">
      <c r="A2649" t="s">
        <v>921</v>
      </c>
      <c r="B2649" t="s">
        <v>5</v>
      </c>
      <c r="C2649" t="s">
        <v>6</v>
      </c>
      <c r="D2649" t="s">
        <v>18</v>
      </c>
      <c r="E2649" s="68">
        <v>1670</v>
      </c>
      <c r="F2649" s="68">
        <v>2026</v>
      </c>
      <c r="G2649" s="68">
        <v>3696</v>
      </c>
    </row>
    <row r="2650" spans="1:7" x14ac:dyDescent="0.3">
      <c r="A2650" t="s">
        <v>921</v>
      </c>
      <c r="B2650" t="s">
        <v>5</v>
      </c>
      <c r="C2650" t="s">
        <v>6</v>
      </c>
      <c r="D2650" t="s">
        <v>19</v>
      </c>
      <c r="E2650" s="68">
        <v>1289</v>
      </c>
      <c r="F2650" s="68">
        <v>1452</v>
      </c>
      <c r="G2650" s="68">
        <v>2741</v>
      </c>
    </row>
    <row r="2651" spans="1:7" x14ac:dyDescent="0.3">
      <c r="A2651" t="s">
        <v>921</v>
      </c>
      <c r="B2651" t="s">
        <v>5</v>
      </c>
      <c r="C2651" t="s">
        <v>6</v>
      </c>
      <c r="D2651" t="s">
        <v>20</v>
      </c>
      <c r="E2651" s="68">
        <v>898</v>
      </c>
      <c r="F2651" s="68">
        <v>941</v>
      </c>
      <c r="G2651" s="68">
        <v>1839</v>
      </c>
    </row>
    <row r="2652" spans="1:7" x14ac:dyDescent="0.3">
      <c r="A2652" t="s">
        <v>921</v>
      </c>
      <c r="B2652" t="s">
        <v>5</v>
      </c>
      <c r="C2652" t="s">
        <v>6</v>
      </c>
      <c r="D2652" t="s">
        <v>21</v>
      </c>
      <c r="E2652" s="68">
        <v>479</v>
      </c>
      <c r="F2652" s="68">
        <v>533</v>
      </c>
      <c r="G2652" s="68">
        <v>1012</v>
      </c>
    </row>
    <row r="2653" spans="1:7" x14ac:dyDescent="0.3">
      <c r="A2653" t="s">
        <v>921</v>
      </c>
      <c r="B2653" t="s">
        <v>5</v>
      </c>
      <c r="C2653" t="s">
        <v>6</v>
      </c>
      <c r="D2653" t="s">
        <v>22</v>
      </c>
      <c r="E2653" s="68">
        <v>290</v>
      </c>
      <c r="F2653" s="68">
        <v>284</v>
      </c>
      <c r="G2653" s="68">
        <v>574</v>
      </c>
    </row>
    <row r="2654" spans="1:7" x14ac:dyDescent="0.3">
      <c r="A2654" t="s">
        <v>921</v>
      </c>
      <c r="B2654" t="s">
        <v>5</v>
      </c>
      <c r="C2654" t="s">
        <v>6</v>
      </c>
      <c r="D2654" t="s">
        <v>23</v>
      </c>
      <c r="E2654" s="68">
        <v>312</v>
      </c>
      <c r="F2654" s="68">
        <v>245</v>
      </c>
      <c r="G2654" s="68">
        <v>557</v>
      </c>
    </row>
    <row r="2655" spans="1:7" x14ac:dyDescent="0.3">
      <c r="A2655" t="s">
        <v>921</v>
      </c>
      <c r="B2655" t="s">
        <v>5</v>
      </c>
      <c r="C2655" t="s">
        <v>24</v>
      </c>
      <c r="D2655" t="s">
        <v>7</v>
      </c>
      <c r="E2655" s="68">
        <v>733</v>
      </c>
      <c r="F2655" s="68">
        <v>764</v>
      </c>
      <c r="G2655" s="68">
        <v>1497</v>
      </c>
    </row>
    <row r="2656" spans="1:7" x14ac:dyDescent="0.3">
      <c r="A2656" t="s">
        <v>921</v>
      </c>
      <c r="B2656" t="s">
        <v>5</v>
      </c>
      <c r="C2656" t="s">
        <v>24</v>
      </c>
      <c r="D2656" t="s">
        <v>8</v>
      </c>
      <c r="E2656" s="68">
        <v>875</v>
      </c>
      <c r="F2656" s="68">
        <v>1016</v>
      </c>
      <c r="G2656" s="68">
        <v>1891</v>
      </c>
    </row>
    <row r="2657" spans="1:7" x14ac:dyDescent="0.3">
      <c r="A2657" t="s">
        <v>921</v>
      </c>
      <c r="B2657" t="s">
        <v>5</v>
      </c>
      <c r="C2657" t="s">
        <v>24</v>
      </c>
      <c r="D2657" t="s">
        <v>9</v>
      </c>
      <c r="E2657" s="68">
        <v>1077</v>
      </c>
      <c r="F2657" s="68">
        <v>1102</v>
      </c>
      <c r="G2657" s="68">
        <v>2179</v>
      </c>
    </row>
    <row r="2658" spans="1:7" x14ac:dyDescent="0.3">
      <c r="A2658" t="s">
        <v>921</v>
      </c>
      <c r="B2658" t="s">
        <v>5</v>
      </c>
      <c r="C2658" t="s">
        <v>24</v>
      </c>
      <c r="D2658" t="s">
        <v>10</v>
      </c>
      <c r="E2658" s="68">
        <v>928</v>
      </c>
      <c r="F2658" s="68">
        <v>963</v>
      </c>
      <c r="G2658" s="68">
        <v>1891</v>
      </c>
    </row>
    <row r="2659" spans="1:7" x14ac:dyDescent="0.3">
      <c r="A2659" t="s">
        <v>921</v>
      </c>
      <c r="B2659" t="s">
        <v>5</v>
      </c>
      <c r="C2659" t="s">
        <v>24</v>
      </c>
      <c r="D2659" t="s">
        <v>11</v>
      </c>
      <c r="E2659" s="68">
        <v>1020</v>
      </c>
      <c r="F2659" s="68">
        <v>946</v>
      </c>
      <c r="G2659" s="68">
        <v>1966</v>
      </c>
    </row>
    <row r="2660" spans="1:7" x14ac:dyDescent="0.3">
      <c r="A2660" t="s">
        <v>921</v>
      </c>
      <c r="B2660" t="s">
        <v>5</v>
      </c>
      <c r="C2660" t="s">
        <v>24</v>
      </c>
      <c r="D2660" t="s">
        <v>12</v>
      </c>
      <c r="E2660" s="68">
        <v>1249</v>
      </c>
      <c r="F2660" s="68">
        <v>1149</v>
      </c>
      <c r="G2660" s="68">
        <v>2398</v>
      </c>
    </row>
    <row r="2661" spans="1:7" x14ac:dyDescent="0.3">
      <c r="A2661" t="s">
        <v>921</v>
      </c>
      <c r="B2661" t="s">
        <v>5</v>
      </c>
      <c r="C2661" t="s">
        <v>24</v>
      </c>
      <c r="D2661" t="s">
        <v>13</v>
      </c>
      <c r="E2661" s="68">
        <v>1359</v>
      </c>
      <c r="F2661" s="68">
        <v>1366</v>
      </c>
      <c r="G2661" s="68">
        <v>2725</v>
      </c>
    </row>
    <row r="2662" spans="1:7" x14ac:dyDescent="0.3">
      <c r="A2662" t="s">
        <v>921</v>
      </c>
      <c r="B2662" t="s">
        <v>5</v>
      </c>
      <c r="C2662" t="s">
        <v>24</v>
      </c>
      <c r="D2662" t="s">
        <v>14</v>
      </c>
      <c r="E2662" s="68">
        <v>1264</v>
      </c>
      <c r="F2662" s="68">
        <v>1353</v>
      </c>
      <c r="G2662" s="68">
        <v>2617</v>
      </c>
    </row>
    <row r="2663" spans="1:7" x14ac:dyDescent="0.3">
      <c r="A2663" t="s">
        <v>921</v>
      </c>
      <c r="B2663" t="s">
        <v>5</v>
      </c>
      <c r="C2663" t="s">
        <v>24</v>
      </c>
      <c r="D2663" t="s">
        <v>15</v>
      </c>
      <c r="E2663" s="68">
        <v>1093</v>
      </c>
      <c r="F2663" s="68">
        <v>1192</v>
      </c>
      <c r="G2663" s="68">
        <v>2285</v>
      </c>
    </row>
    <row r="2664" spans="1:7" x14ac:dyDescent="0.3">
      <c r="A2664" t="s">
        <v>921</v>
      </c>
      <c r="B2664" t="s">
        <v>5</v>
      </c>
      <c r="C2664" t="s">
        <v>24</v>
      </c>
      <c r="D2664" t="s">
        <v>16</v>
      </c>
      <c r="E2664" s="68">
        <v>893</v>
      </c>
      <c r="F2664" s="68">
        <v>1046</v>
      </c>
      <c r="G2664" s="68">
        <v>1939</v>
      </c>
    </row>
    <row r="2665" spans="1:7" x14ac:dyDescent="0.3">
      <c r="A2665" t="s">
        <v>921</v>
      </c>
      <c r="B2665" t="s">
        <v>5</v>
      </c>
      <c r="C2665" t="s">
        <v>24</v>
      </c>
      <c r="D2665" t="s">
        <v>17</v>
      </c>
      <c r="E2665" s="68">
        <v>757</v>
      </c>
      <c r="F2665" s="68">
        <v>881</v>
      </c>
      <c r="G2665" s="68">
        <v>1638</v>
      </c>
    </row>
    <row r="2666" spans="1:7" x14ac:dyDescent="0.3">
      <c r="A2666" t="s">
        <v>921</v>
      </c>
      <c r="B2666" t="s">
        <v>5</v>
      </c>
      <c r="C2666" t="s">
        <v>24</v>
      </c>
      <c r="D2666" t="s">
        <v>18</v>
      </c>
      <c r="E2666" s="68">
        <v>585</v>
      </c>
      <c r="F2666" s="68">
        <v>806</v>
      </c>
      <c r="G2666" s="68">
        <v>1391</v>
      </c>
    </row>
    <row r="2667" spans="1:7" x14ac:dyDescent="0.3">
      <c r="A2667" t="s">
        <v>921</v>
      </c>
      <c r="B2667" t="s">
        <v>5</v>
      </c>
      <c r="C2667" t="s">
        <v>24</v>
      </c>
      <c r="D2667" t="s">
        <v>19</v>
      </c>
      <c r="E2667" s="68">
        <v>399</v>
      </c>
      <c r="F2667" s="68">
        <v>591</v>
      </c>
      <c r="G2667" s="68">
        <v>990</v>
      </c>
    </row>
    <row r="2668" spans="1:7" x14ac:dyDescent="0.3">
      <c r="A2668" t="s">
        <v>921</v>
      </c>
      <c r="B2668" t="s">
        <v>5</v>
      </c>
      <c r="C2668" t="s">
        <v>24</v>
      </c>
      <c r="D2668" t="s">
        <v>20</v>
      </c>
      <c r="E2668" s="68">
        <v>258</v>
      </c>
      <c r="F2668" s="68">
        <v>383</v>
      </c>
      <c r="G2668" s="68">
        <v>641</v>
      </c>
    </row>
    <row r="2669" spans="1:7" x14ac:dyDescent="0.3">
      <c r="A2669" t="s">
        <v>921</v>
      </c>
      <c r="B2669" t="s">
        <v>5</v>
      </c>
      <c r="C2669" t="s">
        <v>24</v>
      </c>
      <c r="D2669" t="s">
        <v>21</v>
      </c>
      <c r="E2669" s="68">
        <v>132</v>
      </c>
      <c r="F2669" s="68">
        <v>187</v>
      </c>
      <c r="G2669" s="68">
        <v>319</v>
      </c>
    </row>
    <row r="2670" spans="1:7" x14ac:dyDescent="0.3">
      <c r="A2670" t="s">
        <v>921</v>
      </c>
      <c r="B2670" t="s">
        <v>5</v>
      </c>
      <c r="C2670" t="s">
        <v>24</v>
      </c>
      <c r="D2670" t="s">
        <v>22</v>
      </c>
      <c r="E2670" s="68">
        <v>74</v>
      </c>
      <c r="F2670" s="68">
        <v>109</v>
      </c>
      <c r="G2670" s="68">
        <v>183</v>
      </c>
    </row>
    <row r="2671" spans="1:7" x14ac:dyDescent="0.3">
      <c r="A2671" t="s">
        <v>921</v>
      </c>
      <c r="B2671" t="s">
        <v>5</v>
      </c>
      <c r="C2671" t="s">
        <v>24</v>
      </c>
      <c r="D2671" t="s">
        <v>23</v>
      </c>
      <c r="E2671" s="68">
        <v>95</v>
      </c>
      <c r="F2671" s="68">
        <v>78</v>
      </c>
      <c r="G2671" s="68">
        <v>173</v>
      </c>
    </row>
    <row r="2672" spans="1:7" x14ac:dyDescent="0.3">
      <c r="A2672" t="s">
        <v>921</v>
      </c>
      <c r="B2672" t="s">
        <v>26</v>
      </c>
      <c r="C2672" t="s">
        <v>6</v>
      </c>
      <c r="D2672" t="s">
        <v>7</v>
      </c>
      <c r="E2672" s="68">
        <v>1506</v>
      </c>
      <c r="F2672" s="68">
        <v>1649</v>
      </c>
      <c r="G2672" s="68">
        <v>3155</v>
      </c>
    </row>
    <row r="2673" spans="1:7" x14ac:dyDescent="0.3">
      <c r="A2673" t="s">
        <v>921</v>
      </c>
      <c r="B2673" t="s">
        <v>26</v>
      </c>
      <c r="C2673" t="s">
        <v>6</v>
      </c>
      <c r="D2673" t="s">
        <v>8</v>
      </c>
      <c r="E2673" s="68">
        <v>2129</v>
      </c>
      <c r="F2673" s="68">
        <v>2171</v>
      </c>
      <c r="G2673" s="68">
        <v>4300</v>
      </c>
    </row>
    <row r="2674" spans="1:7" x14ac:dyDescent="0.3">
      <c r="A2674" t="s">
        <v>921</v>
      </c>
      <c r="B2674" t="s">
        <v>26</v>
      </c>
      <c r="C2674" t="s">
        <v>6</v>
      </c>
      <c r="D2674" t="s">
        <v>9</v>
      </c>
      <c r="E2674" s="68">
        <v>2298</v>
      </c>
      <c r="F2674" s="68">
        <v>2318</v>
      </c>
      <c r="G2674" s="68">
        <v>4616</v>
      </c>
    </row>
    <row r="2675" spans="1:7" x14ac:dyDescent="0.3">
      <c r="A2675" t="s">
        <v>921</v>
      </c>
      <c r="B2675" t="s">
        <v>26</v>
      </c>
      <c r="C2675" t="s">
        <v>6</v>
      </c>
      <c r="D2675" t="s">
        <v>10</v>
      </c>
      <c r="E2675" s="68">
        <v>2050</v>
      </c>
      <c r="F2675" s="68">
        <v>2163</v>
      </c>
      <c r="G2675" s="68">
        <v>4213</v>
      </c>
    </row>
    <row r="2676" spans="1:7" x14ac:dyDescent="0.3">
      <c r="A2676" t="s">
        <v>921</v>
      </c>
      <c r="B2676" t="s">
        <v>26</v>
      </c>
      <c r="C2676" t="s">
        <v>6</v>
      </c>
      <c r="D2676" t="s">
        <v>11</v>
      </c>
      <c r="E2676" s="68">
        <v>2183</v>
      </c>
      <c r="F2676" s="68">
        <v>2991</v>
      </c>
      <c r="G2676" s="68">
        <v>5174</v>
      </c>
    </row>
    <row r="2677" spans="1:7" x14ac:dyDescent="0.3">
      <c r="A2677" t="s">
        <v>921</v>
      </c>
      <c r="B2677" t="s">
        <v>26</v>
      </c>
      <c r="C2677" t="s">
        <v>6</v>
      </c>
      <c r="D2677" t="s">
        <v>12</v>
      </c>
      <c r="E2677" s="68">
        <v>2950</v>
      </c>
      <c r="F2677" s="68">
        <v>4602</v>
      </c>
      <c r="G2677" s="68">
        <v>7552</v>
      </c>
    </row>
    <row r="2678" spans="1:7" x14ac:dyDescent="0.3">
      <c r="A2678" t="s">
        <v>921</v>
      </c>
      <c r="B2678" t="s">
        <v>26</v>
      </c>
      <c r="C2678" t="s">
        <v>6</v>
      </c>
      <c r="D2678" t="s">
        <v>13</v>
      </c>
      <c r="E2678" s="68">
        <v>3150</v>
      </c>
      <c r="F2678" s="68">
        <v>4859</v>
      </c>
      <c r="G2678" s="68">
        <v>8009</v>
      </c>
    </row>
    <row r="2679" spans="1:7" x14ac:dyDescent="0.3">
      <c r="A2679" t="s">
        <v>921</v>
      </c>
      <c r="B2679" t="s">
        <v>26</v>
      </c>
      <c r="C2679" t="s">
        <v>6</v>
      </c>
      <c r="D2679" t="s">
        <v>14</v>
      </c>
      <c r="E2679" s="68">
        <v>2714</v>
      </c>
      <c r="F2679" s="68">
        <v>4133</v>
      </c>
      <c r="G2679" s="68">
        <v>6847</v>
      </c>
    </row>
    <row r="2680" spans="1:7" x14ac:dyDescent="0.3">
      <c r="A2680" t="s">
        <v>921</v>
      </c>
      <c r="B2680" t="s">
        <v>26</v>
      </c>
      <c r="C2680" t="s">
        <v>6</v>
      </c>
      <c r="D2680" t="s">
        <v>15</v>
      </c>
      <c r="E2680" s="68">
        <v>2356</v>
      </c>
      <c r="F2680" s="68">
        <v>3537</v>
      </c>
      <c r="G2680" s="68">
        <v>5893</v>
      </c>
    </row>
    <row r="2681" spans="1:7" x14ac:dyDescent="0.3">
      <c r="A2681" t="s">
        <v>921</v>
      </c>
      <c r="B2681" t="s">
        <v>26</v>
      </c>
      <c r="C2681" t="s">
        <v>6</v>
      </c>
      <c r="D2681" t="s">
        <v>16</v>
      </c>
      <c r="E2681" s="68">
        <v>1902</v>
      </c>
      <c r="F2681" s="68">
        <v>2934</v>
      </c>
      <c r="G2681" s="68">
        <v>4836</v>
      </c>
    </row>
    <row r="2682" spans="1:7" x14ac:dyDescent="0.3">
      <c r="A2682" t="s">
        <v>921</v>
      </c>
      <c r="B2682" t="s">
        <v>26</v>
      </c>
      <c r="C2682" t="s">
        <v>6</v>
      </c>
      <c r="D2682" t="s">
        <v>17</v>
      </c>
      <c r="E2682" s="68">
        <v>1585</v>
      </c>
      <c r="F2682" s="68">
        <v>2347</v>
      </c>
      <c r="G2682" s="68">
        <v>3932</v>
      </c>
    </row>
    <row r="2683" spans="1:7" x14ac:dyDescent="0.3">
      <c r="A2683" t="s">
        <v>921</v>
      </c>
      <c r="B2683" t="s">
        <v>26</v>
      </c>
      <c r="C2683" t="s">
        <v>6</v>
      </c>
      <c r="D2683" t="s">
        <v>18</v>
      </c>
      <c r="E2683" s="68">
        <v>1278</v>
      </c>
      <c r="F2683" s="68">
        <v>1935</v>
      </c>
      <c r="G2683" s="68">
        <v>3213</v>
      </c>
    </row>
    <row r="2684" spans="1:7" x14ac:dyDescent="0.3">
      <c r="A2684" t="s">
        <v>921</v>
      </c>
      <c r="B2684" t="s">
        <v>26</v>
      </c>
      <c r="C2684" t="s">
        <v>6</v>
      </c>
      <c r="D2684" t="s">
        <v>19</v>
      </c>
      <c r="E2684" s="68">
        <v>915</v>
      </c>
      <c r="F2684" s="68">
        <v>1454</v>
      </c>
      <c r="G2684" s="68">
        <v>2369</v>
      </c>
    </row>
    <row r="2685" spans="1:7" x14ac:dyDescent="0.3">
      <c r="A2685" t="s">
        <v>921</v>
      </c>
      <c r="B2685" t="s">
        <v>26</v>
      </c>
      <c r="C2685" t="s">
        <v>6</v>
      </c>
      <c r="D2685" t="s">
        <v>20</v>
      </c>
      <c r="E2685" s="68">
        <v>657</v>
      </c>
      <c r="F2685" s="68">
        <v>908</v>
      </c>
      <c r="G2685" s="68">
        <v>1565</v>
      </c>
    </row>
    <row r="2686" spans="1:7" x14ac:dyDescent="0.3">
      <c r="A2686" t="s">
        <v>921</v>
      </c>
      <c r="B2686" t="s">
        <v>26</v>
      </c>
      <c r="C2686" t="s">
        <v>6</v>
      </c>
      <c r="D2686" t="s">
        <v>21</v>
      </c>
      <c r="E2686" s="68">
        <v>412</v>
      </c>
      <c r="F2686" s="68">
        <v>480</v>
      </c>
      <c r="G2686" s="68">
        <v>892</v>
      </c>
    </row>
    <row r="2687" spans="1:7" x14ac:dyDescent="0.3">
      <c r="A2687" t="s">
        <v>921</v>
      </c>
      <c r="B2687" t="s">
        <v>26</v>
      </c>
      <c r="C2687" t="s">
        <v>6</v>
      </c>
      <c r="D2687" t="s">
        <v>22</v>
      </c>
      <c r="E2687" s="68">
        <v>260</v>
      </c>
      <c r="F2687" s="68">
        <v>281</v>
      </c>
      <c r="G2687" s="68">
        <v>541</v>
      </c>
    </row>
    <row r="2688" spans="1:7" x14ac:dyDescent="0.3">
      <c r="A2688" t="s">
        <v>921</v>
      </c>
      <c r="B2688" t="s">
        <v>26</v>
      </c>
      <c r="C2688" t="s">
        <v>6</v>
      </c>
      <c r="D2688" t="s">
        <v>23</v>
      </c>
      <c r="E2688" s="68">
        <v>306</v>
      </c>
      <c r="F2688" s="68">
        <v>235</v>
      </c>
      <c r="G2688" s="68">
        <v>541</v>
      </c>
    </row>
    <row r="2689" spans="1:7" x14ac:dyDescent="0.3">
      <c r="A2689" t="s">
        <v>921</v>
      </c>
      <c r="B2689" t="s">
        <v>26</v>
      </c>
      <c r="C2689" t="s">
        <v>24</v>
      </c>
      <c r="D2689" t="s">
        <v>7</v>
      </c>
      <c r="E2689" s="68">
        <v>3505</v>
      </c>
      <c r="F2689" s="68">
        <v>3587</v>
      </c>
      <c r="G2689" s="68">
        <v>7092</v>
      </c>
    </row>
    <row r="2690" spans="1:7" x14ac:dyDescent="0.3">
      <c r="A2690" t="s">
        <v>921</v>
      </c>
      <c r="B2690" t="s">
        <v>26</v>
      </c>
      <c r="C2690" t="s">
        <v>24</v>
      </c>
      <c r="D2690" t="s">
        <v>8</v>
      </c>
      <c r="E2690" s="68">
        <v>4264</v>
      </c>
      <c r="F2690" s="68">
        <v>4222</v>
      </c>
      <c r="G2690" s="68">
        <v>8486</v>
      </c>
    </row>
    <row r="2691" spans="1:7" x14ac:dyDescent="0.3">
      <c r="A2691" t="s">
        <v>921</v>
      </c>
      <c r="B2691" t="s">
        <v>26</v>
      </c>
      <c r="C2691" t="s">
        <v>24</v>
      </c>
      <c r="D2691" t="s">
        <v>9</v>
      </c>
      <c r="E2691" s="68">
        <v>4387</v>
      </c>
      <c r="F2691" s="68">
        <v>4405</v>
      </c>
      <c r="G2691" s="68">
        <v>8792</v>
      </c>
    </row>
    <row r="2692" spans="1:7" x14ac:dyDescent="0.3">
      <c r="A2692" t="s">
        <v>921</v>
      </c>
      <c r="B2692" t="s">
        <v>26</v>
      </c>
      <c r="C2692" t="s">
        <v>24</v>
      </c>
      <c r="D2692" t="s">
        <v>10</v>
      </c>
      <c r="E2692" s="68">
        <v>3462</v>
      </c>
      <c r="F2692" s="68">
        <v>3338</v>
      </c>
      <c r="G2692" s="68">
        <v>6800</v>
      </c>
    </row>
    <row r="2693" spans="1:7" x14ac:dyDescent="0.3">
      <c r="A2693" t="s">
        <v>921</v>
      </c>
      <c r="B2693" t="s">
        <v>26</v>
      </c>
      <c r="C2693" t="s">
        <v>24</v>
      </c>
      <c r="D2693" t="s">
        <v>11</v>
      </c>
      <c r="E2693" s="68">
        <v>3747</v>
      </c>
      <c r="F2693" s="68">
        <v>2716</v>
      </c>
      <c r="G2693" s="68">
        <v>6463</v>
      </c>
    </row>
    <row r="2694" spans="1:7" x14ac:dyDescent="0.3">
      <c r="A2694" t="s">
        <v>921</v>
      </c>
      <c r="B2694" t="s">
        <v>26</v>
      </c>
      <c r="C2694" t="s">
        <v>24</v>
      </c>
      <c r="D2694" t="s">
        <v>12</v>
      </c>
      <c r="E2694" s="68">
        <v>4922</v>
      </c>
      <c r="F2694" s="68">
        <v>3913</v>
      </c>
      <c r="G2694" s="68">
        <v>8835</v>
      </c>
    </row>
    <row r="2695" spans="1:7" x14ac:dyDescent="0.3">
      <c r="A2695" t="s">
        <v>921</v>
      </c>
      <c r="B2695" t="s">
        <v>26</v>
      </c>
      <c r="C2695" t="s">
        <v>24</v>
      </c>
      <c r="D2695" t="s">
        <v>13</v>
      </c>
      <c r="E2695" s="68">
        <v>4308</v>
      </c>
      <c r="F2695" s="68">
        <v>3875</v>
      </c>
      <c r="G2695" s="68">
        <v>8183</v>
      </c>
    </row>
    <row r="2696" spans="1:7" x14ac:dyDescent="0.3">
      <c r="A2696" t="s">
        <v>921</v>
      </c>
      <c r="B2696" t="s">
        <v>26</v>
      </c>
      <c r="C2696" t="s">
        <v>24</v>
      </c>
      <c r="D2696" t="s">
        <v>14</v>
      </c>
      <c r="E2696" s="68">
        <v>3298</v>
      </c>
      <c r="F2696" s="68">
        <v>3142</v>
      </c>
      <c r="G2696" s="68">
        <v>6440</v>
      </c>
    </row>
    <row r="2697" spans="1:7" x14ac:dyDescent="0.3">
      <c r="A2697" t="s">
        <v>921</v>
      </c>
      <c r="B2697" t="s">
        <v>26</v>
      </c>
      <c r="C2697" t="s">
        <v>24</v>
      </c>
      <c r="D2697" t="s">
        <v>15</v>
      </c>
      <c r="E2697" s="68">
        <v>3265</v>
      </c>
      <c r="F2697" s="68">
        <v>3004</v>
      </c>
      <c r="G2697" s="68">
        <v>6269</v>
      </c>
    </row>
    <row r="2698" spans="1:7" x14ac:dyDescent="0.3">
      <c r="A2698" t="s">
        <v>921</v>
      </c>
      <c r="B2698" t="s">
        <v>26</v>
      </c>
      <c r="C2698" t="s">
        <v>24</v>
      </c>
      <c r="D2698" t="s">
        <v>16</v>
      </c>
      <c r="E2698" s="68">
        <v>2549</v>
      </c>
      <c r="F2698" s="68">
        <v>2663</v>
      </c>
      <c r="G2698" s="68">
        <v>5212</v>
      </c>
    </row>
    <row r="2699" spans="1:7" x14ac:dyDescent="0.3">
      <c r="A2699" t="s">
        <v>921</v>
      </c>
      <c r="B2699" t="s">
        <v>26</v>
      </c>
      <c r="C2699" t="s">
        <v>24</v>
      </c>
      <c r="D2699" t="s">
        <v>17</v>
      </c>
      <c r="E2699" s="68">
        <v>2057</v>
      </c>
      <c r="F2699" s="68">
        <v>2175</v>
      </c>
      <c r="G2699" s="68">
        <v>4232</v>
      </c>
    </row>
    <row r="2700" spans="1:7" x14ac:dyDescent="0.3">
      <c r="A2700" t="s">
        <v>921</v>
      </c>
      <c r="B2700" t="s">
        <v>26</v>
      </c>
      <c r="C2700" t="s">
        <v>24</v>
      </c>
      <c r="D2700" t="s">
        <v>18</v>
      </c>
      <c r="E2700" s="68">
        <v>1779</v>
      </c>
      <c r="F2700" s="68">
        <v>2067</v>
      </c>
      <c r="G2700" s="68">
        <v>3846</v>
      </c>
    </row>
    <row r="2701" spans="1:7" x14ac:dyDescent="0.3">
      <c r="A2701" t="s">
        <v>921</v>
      </c>
      <c r="B2701" t="s">
        <v>26</v>
      </c>
      <c r="C2701" t="s">
        <v>24</v>
      </c>
      <c r="D2701" t="s">
        <v>19</v>
      </c>
      <c r="E2701" s="68">
        <v>1747</v>
      </c>
      <c r="F2701" s="68">
        <v>2055</v>
      </c>
      <c r="G2701" s="68">
        <v>3802</v>
      </c>
    </row>
    <row r="2702" spans="1:7" x14ac:dyDescent="0.3">
      <c r="A2702" t="s">
        <v>921</v>
      </c>
      <c r="B2702" t="s">
        <v>26</v>
      </c>
      <c r="C2702" t="s">
        <v>24</v>
      </c>
      <c r="D2702" t="s">
        <v>20</v>
      </c>
      <c r="E2702" s="68">
        <v>1185</v>
      </c>
      <c r="F2702" s="68">
        <v>1441</v>
      </c>
      <c r="G2702" s="68">
        <v>2626</v>
      </c>
    </row>
    <row r="2703" spans="1:7" x14ac:dyDescent="0.3">
      <c r="A2703" t="s">
        <v>921</v>
      </c>
      <c r="B2703" t="s">
        <v>26</v>
      </c>
      <c r="C2703" t="s">
        <v>24</v>
      </c>
      <c r="D2703" t="s">
        <v>21</v>
      </c>
      <c r="E2703" s="68">
        <v>614</v>
      </c>
      <c r="F2703" s="68">
        <v>813</v>
      </c>
      <c r="G2703" s="68">
        <v>1427</v>
      </c>
    </row>
    <row r="2704" spans="1:7" x14ac:dyDescent="0.3">
      <c r="A2704" t="s">
        <v>921</v>
      </c>
      <c r="B2704" t="s">
        <v>26</v>
      </c>
      <c r="C2704" t="s">
        <v>24</v>
      </c>
      <c r="D2704" t="s">
        <v>22</v>
      </c>
      <c r="E2704" s="68">
        <v>329</v>
      </c>
      <c r="F2704" s="68">
        <v>466</v>
      </c>
      <c r="G2704" s="68">
        <v>795</v>
      </c>
    </row>
    <row r="2705" spans="1:7" x14ac:dyDescent="0.3">
      <c r="A2705" t="s">
        <v>921</v>
      </c>
      <c r="B2705" t="s">
        <v>26</v>
      </c>
      <c r="C2705" t="s">
        <v>24</v>
      </c>
      <c r="D2705" t="s">
        <v>23</v>
      </c>
      <c r="E2705" s="68">
        <v>347</v>
      </c>
      <c r="F2705" s="68">
        <v>351</v>
      </c>
      <c r="G2705" s="68">
        <v>698</v>
      </c>
    </row>
    <row r="2706" spans="1:7" x14ac:dyDescent="0.3">
      <c r="A2706" t="s">
        <v>921</v>
      </c>
      <c r="B2706" t="s">
        <v>27</v>
      </c>
      <c r="C2706" t="s">
        <v>28</v>
      </c>
      <c r="D2706" t="s">
        <v>7</v>
      </c>
      <c r="E2706" s="68">
        <v>151</v>
      </c>
      <c r="F2706" s="68">
        <v>155</v>
      </c>
      <c r="G2706" s="68">
        <v>306</v>
      </c>
    </row>
    <row r="2707" spans="1:7" x14ac:dyDescent="0.3">
      <c r="A2707" t="s">
        <v>921</v>
      </c>
      <c r="B2707" t="s">
        <v>27</v>
      </c>
      <c r="C2707" t="s">
        <v>28</v>
      </c>
      <c r="D2707" t="s">
        <v>8</v>
      </c>
      <c r="E2707" s="68">
        <v>214</v>
      </c>
      <c r="F2707" s="68">
        <v>243</v>
      </c>
      <c r="G2707" s="68">
        <v>457</v>
      </c>
    </row>
    <row r="2708" spans="1:7" x14ac:dyDescent="0.3">
      <c r="A2708" t="s">
        <v>921</v>
      </c>
      <c r="B2708" t="s">
        <v>27</v>
      </c>
      <c r="C2708" t="s">
        <v>28</v>
      </c>
      <c r="D2708" t="s">
        <v>9</v>
      </c>
      <c r="E2708" s="68">
        <v>323</v>
      </c>
      <c r="F2708" s="68">
        <v>399</v>
      </c>
      <c r="G2708" s="68">
        <v>722</v>
      </c>
    </row>
    <row r="2709" spans="1:7" x14ac:dyDescent="0.3">
      <c r="A2709" t="s">
        <v>921</v>
      </c>
      <c r="B2709" t="s">
        <v>27</v>
      </c>
      <c r="C2709" t="s">
        <v>28</v>
      </c>
      <c r="D2709" t="s">
        <v>10</v>
      </c>
      <c r="E2709" s="68">
        <v>421</v>
      </c>
      <c r="F2709" s="68">
        <v>420</v>
      </c>
      <c r="G2709" s="68">
        <v>841</v>
      </c>
    </row>
    <row r="2710" spans="1:7" x14ac:dyDescent="0.3">
      <c r="A2710" t="s">
        <v>921</v>
      </c>
      <c r="B2710" t="s">
        <v>27</v>
      </c>
      <c r="C2710" t="s">
        <v>28</v>
      </c>
      <c r="D2710" t="s">
        <v>11</v>
      </c>
      <c r="E2710" s="68">
        <v>315</v>
      </c>
      <c r="F2710" s="68">
        <v>321</v>
      </c>
      <c r="G2710" s="68">
        <v>636</v>
      </c>
    </row>
    <row r="2711" spans="1:7" x14ac:dyDescent="0.3">
      <c r="A2711" t="s">
        <v>921</v>
      </c>
      <c r="B2711" t="s">
        <v>27</v>
      </c>
      <c r="C2711" t="s">
        <v>28</v>
      </c>
      <c r="D2711" t="s">
        <v>12</v>
      </c>
      <c r="E2711" s="68">
        <v>197</v>
      </c>
      <c r="F2711" s="68">
        <v>96</v>
      </c>
      <c r="G2711" s="68">
        <v>293</v>
      </c>
    </row>
    <row r="2712" spans="1:7" x14ac:dyDescent="0.3">
      <c r="A2712" t="s">
        <v>921</v>
      </c>
      <c r="B2712" t="s">
        <v>27</v>
      </c>
      <c r="C2712" t="s">
        <v>28</v>
      </c>
      <c r="D2712" t="s">
        <v>13</v>
      </c>
      <c r="E2712" s="68">
        <v>254</v>
      </c>
      <c r="F2712" s="68">
        <v>208</v>
      </c>
      <c r="G2712" s="68">
        <v>462</v>
      </c>
    </row>
    <row r="2713" spans="1:7" x14ac:dyDescent="0.3">
      <c r="A2713" t="s">
        <v>921</v>
      </c>
      <c r="B2713" t="s">
        <v>27</v>
      </c>
      <c r="C2713" t="s">
        <v>28</v>
      </c>
      <c r="D2713" t="s">
        <v>14</v>
      </c>
      <c r="E2713" s="68">
        <v>406</v>
      </c>
      <c r="F2713" s="68">
        <v>267</v>
      </c>
      <c r="G2713" s="68">
        <v>673</v>
      </c>
    </row>
    <row r="2714" spans="1:7" x14ac:dyDescent="0.3">
      <c r="A2714" t="s">
        <v>921</v>
      </c>
      <c r="B2714" t="s">
        <v>27</v>
      </c>
      <c r="C2714" t="s">
        <v>28</v>
      </c>
      <c r="D2714" t="s">
        <v>15</v>
      </c>
      <c r="E2714" s="68">
        <v>524</v>
      </c>
      <c r="F2714" s="68">
        <v>335</v>
      </c>
      <c r="G2714" s="68">
        <v>859</v>
      </c>
    </row>
    <row r="2715" spans="1:7" x14ac:dyDescent="0.3">
      <c r="A2715" t="s">
        <v>921</v>
      </c>
      <c r="B2715" t="s">
        <v>27</v>
      </c>
      <c r="C2715" t="s">
        <v>28</v>
      </c>
      <c r="D2715" t="s">
        <v>16</v>
      </c>
      <c r="E2715" s="68">
        <v>501</v>
      </c>
      <c r="F2715" s="68">
        <v>363</v>
      </c>
      <c r="G2715" s="68">
        <v>864</v>
      </c>
    </row>
    <row r="2716" spans="1:7" x14ac:dyDescent="0.3">
      <c r="A2716" t="s">
        <v>921</v>
      </c>
      <c r="B2716" t="s">
        <v>27</v>
      </c>
      <c r="C2716" t="s">
        <v>28</v>
      </c>
      <c r="D2716" t="s">
        <v>17</v>
      </c>
      <c r="E2716" s="68">
        <v>538</v>
      </c>
      <c r="F2716" s="68">
        <v>353</v>
      </c>
      <c r="G2716" s="68">
        <v>891</v>
      </c>
    </row>
    <row r="2717" spans="1:7" x14ac:dyDescent="0.3">
      <c r="A2717" t="s">
        <v>921</v>
      </c>
      <c r="B2717" t="s">
        <v>27</v>
      </c>
      <c r="C2717" t="s">
        <v>28</v>
      </c>
      <c r="D2717" t="s">
        <v>18</v>
      </c>
      <c r="E2717" s="68">
        <v>550</v>
      </c>
      <c r="F2717" s="68">
        <v>367</v>
      </c>
      <c r="G2717" s="68">
        <v>917</v>
      </c>
    </row>
    <row r="2718" spans="1:7" x14ac:dyDescent="0.3">
      <c r="A2718" t="s">
        <v>921</v>
      </c>
      <c r="B2718" t="s">
        <v>27</v>
      </c>
      <c r="C2718" t="s">
        <v>28</v>
      </c>
      <c r="D2718" t="s">
        <v>19</v>
      </c>
      <c r="E2718" s="68">
        <v>448</v>
      </c>
      <c r="F2718" s="68">
        <v>292</v>
      </c>
      <c r="G2718" s="68">
        <v>740</v>
      </c>
    </row>
    <row r="2719" spans="1:7" x14ac:dyDescent="0.3">
      <c r="A2719" t="s">
        <v>921</v>
      </c>
      <c r="B2719" t="s">
        <v>27</v>
      </c>
      <c r="C2719" t="s">
        <v>28</v>
      </c>
      <c r="D2719" t="s">
        <v>20</v>
      </c>
      <c r="E2719" s="68">
        <v>359</v>
      </c>
      <c r="F2719" s="68">
        <v>274</v>
      </c>
      <c r="G2719" s="68">
        <v>633</v>
      </c>
    </row>
    <row r="2720" spans="1:7" x14ac:dyDescent="0.3">
      <c r="A2720" t="s">
        <v>921</v>
      </c>
      <c r="B2720" t="s">
        <v>27</v>
      </c>
      <c r="C2720" t="s">
        <v>28</v>
      </c>
      <c r="D2720" t="s">
        <v>21</v>
      </c>
      <c r="E2720" s="68">
        <v>223</v>
      </c>
      <c r="F2720" s="68">
        <v>176</v>
      </c>
      <c r="G2720" s="68">
        <v>399</v>
      </c>
    </row>
    <row r="2721" spans="1:7" x14ac:dyDescent="0.3">
      <c r="A2721" t="s">
        <v>921</v>
      </c>
      <c r="B2721" t="s">
        <v>27</v>
      </c>
      <c r="C2721" t="s">
        <v>28</v>
      </c>
      <c r="D2721" t="s">
        <v>22</v>
      </c>
      <c r="E2721" s="68">
        <v>135</v>
      </c>
      <c r="F2721" s="68">
        <v>91</v>
      </c>
      <c r="G2721" s="68">
        <v>226</v>
      </c>
    </row>
    <row r="2722" spans="1:7" x14ac:dyDescent="0.3">
      <c r="A2722" t="s">
        <v>921</v>
      </c>
      <c r="B2722" t="s">
        <v>27</v>
      </c>
      <c r="C2722" t="s">
        <v>28</v>
      </c>
      <c r="D2722" t="s">
        <v>23</v>
      </c>
      <c r="E2722" s="68">
        <v>94</v>
      </c>
      <c r="F2722" s="68">
        <v>68</v>
      </c>
      <c r="G2722" s="68">
        <v>162</v>
      </c>
    </row>
    <row r="2723" spans="1:7" x14ac:dyDescent="0.3">
      <c r="A2723" t="s">
        <v>921</v>
      </c>
      <c r="B2723" t="s">
        <v>27</v>
      </c>
      <c r="C2723" t="s">
        <v>29</v>
      </c>
      <c r="D2723" t="s">
        <v>10</v>
      </c>
      <c r="E2723" s="68"/>
      <c r="F2723" s="68">
        <v>1</v>
      </c>
      <c r="G2723" s="68">
        <v>1</v>
      </c>
    </row>
    <row r="2724" spans="1:7" x14ac:dyDescent="0.3">
      <c r="A2724" t="s">
        <v>921</v>
      </c>
      <c r="B2724" t="s">
        <v>27</v>
      </c>
      <c r="C2724" t="s">
        <v>29</v>
      </c>
      <c r="D2724" t="s">
        <v>11</v>
      </c>
      <c r="E2724" s="68">
        <v>5</v>
      </c>
      <c r="F2724" s="68">
        <v>71</v>
      </c>
      <c r="G2724" s="68">
        <v>76</v>
      </c>
    </row>
    <row r="2725" spans="1:7" x14ac:dyDescent="0.3">
      <c r="A2725" t="s">
        <v>921</v>
      </c>
      <c r="B2725" t="s">
        <v>27</v>
      </c>
      <c r="C2725" t="s">
        <v>29</v>
      </c>
      <c r="D2725" t="s">
        <v>12</v>
      </c>
      <c r="E2725" s="68">
        <v>13</v>
      </c>
      <c r="F2725" s="68">
        <v>149</v>
      </c>
      <c r="G2725" s="68">
        <v>162</v>
      </c>
    </row>
    <row r="2726" spans="1:7" x14ac:dyDescent="0.3">
      <c r="A2726" t="s">
        <v>921</v>
      </c>
      <c r="B2726" t="s">
        <v>27</v>
      </c>
      <c r="C2726" t="s">
        <v>29</v>
      </c>
      <c r="D2726" t="s">
        <v>13</v>
      </c>
      <c r="E2726" s="68">
        <v>8</v>
      </c>
      <c r="F2726" s="68">
        <v>116</v>
      </c>
      <c r="G2726" s="68">
        <v>124</v>
      </c>
    </row>
    <row r="2727" spans="1:7" x14ac:dyDescent="0.3">
      <c r="A2727" t="s">
        <v>921</v>
      </c>
      <c r="B2727" t="s">
        <v>27</v>
      </c>
      <c r="C2727" t="s">
        <v>29</v>
      </c>
      <c r="D2727" t="s">
        <v>14</v>
      </c>
      <c r="E2727" s="68">
        <v>7</v>
      </c>
      <c r="F2727" s="68">
        <v>100</v>
      </c>
      <c r="G2727" s="68">
        <v>107</v>
      </c>
    </row>
    <row r="2728" spans="1:7" x14ac:dyDescent="0.3">
      <c r="A2728" t="s">
        <v>921</v>
      </c>
      <c r="B2728" t="s">
        <v>27</v>
      </c>
      <c r="C2728" t="s">
        <v>29</v>
      </c>
      <c r="D2728" t="s">
        <v>15</v>
      </c>
      <c r="E2728" s="68">
        <v>5</v>
      </c>
      <c r="F2728" s="68">
        <v>80</v>
      </c>
      <c r="G2728" s="68">
        <v>85</v>
      </c>
    </row>
    <row r="2729" spans="1:7" x14ac:dyDescent="0.3">
      <c r="A2729" t="s">
        <v>921</v>
      </c>
      <c r="B2729" t="s">
        <v>27</v>
      </c>
      <c r="C2729" t="s">
        <v>29</v>
      </c>
      <c r="D2729" t="s">
        <v>16</v>
      </c>
      <c r="E2729" s="68">
        <v>3</v>
      </c>
      <c r="F2729" s="68">
        <v>55</v>
      </c>
      <c r="G2729" s="68">
        <v>58</v>
      </c>
    </row>
    <row r="2730" spans="1:7" x14ac:dyDescent="0.3">
      <c r="A2730" t="s">
        <v>921</v>
      </c>
      <c r="B2730" t="s">
        <v>27</v>
      </c>
      <c r="C2730" t="s">
        <v>29</v>
      </c>
      <c r="D2730" t="s">
        <v>17</v>
      </c>
      <c r="E2730" s="68">
        <v>4</v>
      </c>
      <c r="F2730" s="68">
        <v>47</v>
      </c>
      <c r="G2730" s="68">
        <v>51</v>
      </c>
    </row>
    <row r="2731" spans="1:7" x14ac:dyDescent="0.3">
      <c r="A2731" t="s">
        <v>921</v>
      </c>
      <c r="B2731" t="s">
        <v>27</v>
      </c>
      <c r="C2731" t="s">
        <v>29</v>
      </c>
      <c r="D2731" t="s">
        <v>18</v>
      </c>
      <c r="E2731" s="68">
        <v>2</v>
      </c>
      <c r="F2731" s="68">
        <v>23</v>
      </c>
      <c r="G2731" s="68">
        <v>25</v>
      </c>
    </row>
    <row r="2732" spans="1:7" x14ac:dyDescent="0.3">
      <c r="A2732" t="s">
        <v>921</v>
      </c>
      <c r="B2732" t="s">
        <v>27</v>
      </c>
      <c r="C2732" t="s">
        <v>29</v>
      </c>
      <c r="D2732" t="s">
        <v>19</v>
      </c>
      <c r="E2732" s="68"/>
      <c r="F2732" s="68">
        <v>12</v>
      </c>
      <c r="G2732" s="68">
        <v>12</v>
      </c>
    </row>
    <row r="2733" spans="1:7" x14ac:dyDescent="0.3">
      <c r="A2733" t="s">
        <v>921</v>
      </c>
      <c r="B2733" t="s">
        <v>27</v>
      </c>
      <c r="C2733" t="s">
        <v>29</v>
      </c>
      <c r="D2733" t="s">
        <v>20</v>
      </c>
      <c r="E2733" s="68"/>
      <c r="F2733" s="68">
        <v>9</v>
      </c>
      <c r="G2733" s="68">
        <v>9</v>
      </c>
    </row>
    <row r="2734" spans="1:7" x14ac:dyDescent="0.3">
      <c r="A2734" t="s">
        <v>921</v>
      </c>
      <c r="B2734" t="s">
        <v>27</v>
      </c>
      <c r="C2734" t="s">
        <v>29</v>
      </c>
      <c r="D2734" t="s">
        <v>21</v>
      </c>
      <c r="E2734" s="68"/>
      <c r="F2734" s="68">
        <v>5</v>
      </c>
      <c r="G2734" s="68">
        <v>5</v>
      </c>
    </row>
    <row r="2735" spans="1:7" x14ac:dyDescent="0.3">
      <c r="A2735" t="s">
        <v>921</v>
      </c>
      <c r="B2735" t="s">
        <v>27</v>
      </c>
      <c r="C2735" t="s">
        <v>29</v>
      </c>
      <c r="D2735" t="s">
        <v>22</v>
      </c>
      <c r="E2735" s="68"/>
      <c r="F2735" s="68">
        <v>3</v>
      </c>
      <c r="G2735" s="68">
        <v>3</v>
      </c>
    </row>
    <row r="2736" spans="1:7" x14ac:dyDescent="0.3">
      <c r="A2736" t="s">
        <v>921</v>
      </c>
      <c r="B2736" t="s">
        <v>27</v>
      </c>
      <c r="C2736" t="s">
        <v>29</v>
      </c>
      <c r="D2736" t="s">
        <v>23</v>
      </c>
      <c r="E2736" s="68"/>
      <c r="F2736" s="68">
        <v>1</v>
      </c>
      <c r="G2736" s="68">
        <v>1</v>
      </c>
    </row>
    <row r="2737" spans="1:7" x14ac:dyDescent="0.3">
      <c r="A2737" t="s">
        <v>921</v>
      </c>
      <c r="B2737" t="s">
        <v>36</v>
      </c>
      <c r="C2737" t="s">
        <v>6</v>
      </c>
      <c r="D2737" t="s">
        <v>7</v>
      </c>
      <c r="E2737" s="68">
        <v>4</v>
      </c>
      <c r="F2737" s="68">
        <v>4</v>
      </c>
      <c r="G2737" s="68">
        <v>8</v>
      </c>
    </row>
    <row r="2738" spans="1:7" x14ac:dyDescent="0.3">
      <c r="A2738" t="s">
        <v>921</v>
      </c>
      <c r="B2738" t="s">
        <v>36</v>
      </c>
      <c r="C2738" t="s">
        <v>6</v>
      </c>
      <c r="D2738" t="s">
        <v>8</v>
      </c>
      <c r="E2738" s="68">
        <v>7</v>
      </c>
      <c r="F2738" s="68">
        <v>7</v>
      </c>
      <c r="G2738" s="68">
        <v>14</v>
      </c>
    </row>
    <row r="2739" spans="1:7" x14ac:dyDescent="0.3">
      <c r="A2739" t="s">
        <v>921</v>
      </c>
      <c r="B2739" t="s">
        <v>36</v>
      </c>
      <c r="C2739" t="s">
        <v>6</v>
      </c>
      <c r="D2739" t="s">
        <v>9</v>
      </c>
      <c r="E2739" s="68">
        <v>6</v>
      </c>
      <c r="F2739" s="68">
        <v>9</v>
      </c>
      <c r="G2739" s="68">
        <v>15</v>
      </c>
    </row>
    <row r="2740" spans="1:7" x14ac:dyDescent="0.3">
      <c r="A2740" t="s">
        <v>921</v>
      </c>
      <c r="B2740" t="s">
        <v>36</v>
      </c>
      <c r="C2740" t="s">
        <v>6</v>
      </c>
      <c r="D2740" t="s">
        <v>10</v>
      </c>
      <c r="E2740" s="68">
        <v>5</v>
      </c>
      <c r="F2740" s="68">
        <v>8</v>
      </c>
      <c r="G2740" s="68">
        <v>13</v>
      </c>
    </row>
    <row r="2741" spans="1:7" x14ac:dyDescent="0.3">
      <c r="A2741" t="s">
        <v>921</v>
      </c>
      <c r="B2741" t="s">
        <v>36</v>
      </c>
      <c r="C2741" t="s">
        <v>6</v>
      </c>
      <c r="D2741" t="s">
        <v>11</v>
      </c>
      <c r="E2741" s="68">
        <v>10</v>
      </c>
      <c r="F2741" s="68">
        <v>20</v>
      </c>
      <c r="G2741" s="68">
        <v>30</v>
      </c>
    </row>
    <row r="2742" spans="1:7" x14ac:dyDescent="0.3">
      <c r="A2742" t="s">
        <v>921</v>
      </c>
      <c r="B2742" t="s">
        <v>36</v>
      </c>
      <c r="C2742" t="s">
        <v>6</v>
      </c>
      <c r="D2742" t="s">
        <v>12</v>
      </c>
      <c r="E2742" s="68">
        <v>12</v>
      </c>
      <c r="F2742" s="68">
        <v>25</v>
      </c>
      <c r="G2742" s="68">
        <v>37</v>
      </c>
    </row>
    <row r="2743" spans="1:7" x14ac:dyDescent="0.3">
      <c r="A2743" t="s">
        <v>921</v>
      </c>
      <c r="B2743" t="s">
        <v>36</v>
      </c>
      <c r="C2743" t="s">
        <v>6</v>
      </c>
      <c r="D2743" t="s">
        <v>13</v>
      </c>
      <c r="E2743" s="68">
        <v>10</v>
      </c>
      <c r="F2743" s="68">
        <v>14</v>
      </c>
      <c r="G2743" s="68">
        <v>24</v>
      </c>
    </row>
    <row r="2744" spans="1:7" x14ac:dyDescent="0.3">
      <c r="A2744" t="s">
        <v>921</v>
      </c>
      <c r="B2744" t="s">
        <v>36</v>
      </c>
      <c r="C2744" t="s">
        <v>6</v>
      </c>
      <c r="D2744" t="s">
        <v>14</v>
      </c>
      <c r="E2744" s="68">
        <v>12</v>
      </c>
      <c r="F2744" s="68">
        <v>26</v>
      </c>
      <c r="G2744" s="68">
        <v>38</v>
      </c>
    </row>
    <row r="2745" spans="1:7" x14ac:dyDescent="0.3">
      <c r="A2745" t="s">
        <v>921</v>
      </c>
      <c r="B2745" t="s">
        <v>36</v>
      </c>
      <c r="C2745" t="s">
        <v>6</v>
      </c>
      <c r="D2745" t="s">
        <v>15</v>
      </c>
      <c r="E2745" s="68">
        <v>4</v>
      </c>
      <c r="F2745" s="68">
        <v>8</v>
      </c>
      <c r="G2745" s="68">
        <v>12</v>
      </c>
    </row>
    <row r="2746" spans="1:7" x14ac:dyDescent="0.3">
      <c r="A2746" t="s">
        <v>921</v>
      </c>
      <c r="B2746" t="s">
        <v>36</v>
      </c>
      <c r="C2746" t="s">
        <v>6</v>
      </c>
      <c r="D2746" t="s">
        <v>16</v>
      </c>
      <c r="E2746" s="68">
        <v>5</v>
      </c>
      <c r="F2746" s="68">
        <v>12</v>
      </c>
      <c r="G2746" s="68">
        <v>17</v>
      </c>
    </row>
    <row r="2747" spans="1:7" x14ac:dyDescent="0.3">
      <c r="A2747" t="s">
        <v>921</v>
      </c>
      <c r="B2747" t="s">
        <v>36</v>
      </c>
      <c r="C2747" t="s">
        <v>6</v>
      </c>
      <c r="D2747" t="s">
        <v>17</v>
      </c>
      <c r="E2747" s="68">
        <v>2</v>
      </c>
      <c r="F2747" s="68">
        <v>5</v>
      </c>
      <c r="G2747" s="68">
        <v>7</v>
      </c>
    </row>
    <row r="2748" spans="1:7" x14ac:dyDescent="0.3">
      <c r="A2748" t="s">
        <v>921</v>
      </c>
      <c r="B2748" t="s">
        <v>36</v>
      </c>
      <c r="C2748" t="s">
        <v>6</v>
      </c>
      <c r="D2748" t="s">
        <v>18</v>
      </c>
      <c r="E2748" s="68"/>
      <c r="F2748" s="68">
        <v>7</v>
      </c>
      <c r="G2748" s="68">
        <v>7</v>
      </c>
    </row>
    <row r="2749" spans="1:7" x14ac:dyDescent="0.3">
      <c r="A2749" t="s">
        <v>921</v>
      </c>
      <c r="B2749" t="s">
        <v>36</v>
      </c>
      <c r="C2749" t="s">
        <v>6</v>
      </c>
      <c r="D2749" t="s">
        <v>19</v>
      </c>
      <c r="E2749" s="68">
        <v>2</v>
      </c>
      <c r="F2749" s="68">
        <v>3</v>
      </c>
      <c r="G2749" s="68">
        <v>5</v>
      </c>
    </row>
    <row r="2750" spans="1:7" x14ac:dyDescent="0.3">
      <c r="A2750" t="s">
        <v>921</v>
      </c>
      <c r="B2750" t="s">
        <v>36</v>
      </c>
      <c r="C2750" t="s">
        <v>6</v>
      </c>
      <c r="D2750" t="s">
        <v>21</v>
      </c>
      <c r="E2750" s="68"/>
      <c r="F2750" s="68">
        <v>2</v>
      </c>
      <c r="G2750" s="68">
        <v>2</v>
      </c>
    </row>
    <row r="2751" spans="1:7" x14ac:dyDescent="0.3">
      <c r="A2751" t="s">
        <v>921</v>
      </c>
      <c r="B2751" t="s">
        <v>36</v>
      </c>
      <c r="C2751" t="s">
        <v>6</v>
      </c>
      <c r="D2751" t="s">
        <v>22</v>
      </c>
      <c r="E2751" s="68">
        <v>2</v>
      </c>
      <c r="F2751" s="68"/>
      <c r="G2751" s="68">
        <v>2</v>
      </c>
    </row>
    <row r="2752" spans="1:7" x14ac:dyDescent="0.3">
      <c r="A2752" t="s">
        <v>921</v>
      </c>
      <c r="B2752" t="s">
        <v>36</v>
      </c>
      <c r="C2752" t="s">
        <v>24</v>
      </c>
      <c r="D2752" t="s">
        <v>7</v>
      </c>
      <c r="E2752" s="68">
        <v>2</v>
      </c>
      <c r="F2752" s="68">
        <v>6</v>
      </c>
      <c r="G2752" s="68">
        <v>8</v>
      </c>
    </row>
    <row r="2753" spans="1:7" x14ac:dyDescent="0.3">
      <c r="A2753" t="s">
        <v>921</v>
      </c>
      <c r="B2753" t="s">
        <v>36</v>
      </c>
      <c r="C2753" t="s">
        <v>24</v>
      </c>
      <c r="D2753" t="s">
        <v>8</v>
      </c>
      <c r="E2753" s="68">
        <v>2</v>
      </c>
      <c r="F2753" s="68">
        <v>1</v>
      </c>
      <c r="G2753" s="68">
        <v>3</v>
      </c>
    </row>
    <row r="2754" spans="1:7" x14ac:dyDescent="0.3">
      <c r="A2754" t="s">
        <v>921</v>
      </c>
      <c r="B2754" t="s">
        <v>36</v>
      </c>
      <c r="C2754" t="s">
        <v>24</v>
      </c>
      <c r="D2754" t="s">
        <v>9</v>
      </c>
      <c r="E2754" s="68">
        <v>1</v>
      </c>
      <c r="F2754" s="68">
        <v>5</v>
      </c>
      <c r="G2754" s="68">
        <v>6</v>
      </c>
    </row>
    <row r="2755" spans="1:7" x14ac:dyDescent="0.3">
      <c r="A2755" t="s">
        <v>921</v>
      </c>
      <c r="B2755" t="s">
        <v>36</v>
      </c>
      <c r="C2755" t="s">
        <v>24</v>
      </c>
      <c r="D2755" t="s">
        <v>10</v>
      </c>
      <c r="E2755" s="68">
        <v>2</v>
      </c>
      <c r="F2755" s="68">
        <v>1</v>
      </c>
      <c r="G2755" s="68">
        <v>3</v>
      </c>
    </row>
    <row r="2756" spans="1:7" x14ac:dyDescent="0.3">
      <c r="A2756" t="s">
        <v>921</v>
      </c>
      <c r="B2756" t="s">
        <v>36</v>
      </c>
      <c r="C2756" t="s">
        <v>24</v>
      </c>
      <c r="D2756" t="s">
        <v>11</v>
      </c>
      <c r="E2756" s="68">
        <v>8</v>
      </c>
      <c r="F2756" s="68">
        <v>2</v>
      </c>
      <c r="G2756" s="68">
        <v>10</v>
      </c>
    </row>
    <row r="2757" spans="1:7" x14ac:dyDescent="0.3">
      <c r="A2757" t="s">
        <v>921</v>
      </c>
      <c r="B2757" t="s">
        <v>36</v>
      </c>
      <c r="C2757" t="s">
        <v>24</v>
      </c>
      <c r="D2757" t="s">
        <v>12</v>
      </c>
      <c r="E2757" s="68">
        <v>4</v>
      </c>
      <c r="F2757" s="68">
        <v>8</v>
      </c>
      <c r="G2757" s="68">
        <v>12</v>
      </c>
    </row>
    <row r="2758" spans="1:7" x14ac:dyDescent="0.3">
      <c r="A2758" t="s">
        <v>921</v>
      </c>
      <c r="B2758" t="s">
        <v>36</v>
      </c>
      <c r="C2758" t="s">
        <v>24</v>
      </c>
      <c r="D2758" t="s">
        <v>13</v>
      </c>
      <c r="E2758" s="68">
        <v>2</v>
      </c>
      <c r="F2758" s="68">
        <v>9</v>
      </c>
      <c r="G2758" s="68">
        <v>11</v>
      </c>
    </row>
    <row r="2759" spans="1:7" x14ac:dyDescent="0.3">
      <c r="A2759" t="s">
        <v>921</v>
      </c>
      <c r="B2759" t="s">
        <v>36</v>
      </c>
      <c r="C2759" t="s">
        <v>24</v>
      </c>
      <c r="D2759" t="s">
        <v>14</v>
      </c>
      <c r="E2759" s="68">
        <v>3</v>
      </c>
      <c r="F2759" s="68">
        <v>4</v>
      </c>
      <c r="G2759" s="68">
        <v>7</v>
      </c>
    </row>
    <row r="2760" spans="1:7" x14ac:dyDescent="0.3">
      <c r="A2760" t="s">
        <v>921</v>
      </c>
      <c r="B2760" t="s">
        <v>36</v>
      </c>
      <c r="C2760" t="s">
        <v>24</v>
      </c>
      <c r="D2760" t="s">
        <v>15</v>
      </c>
      <c r="E2760" s="68">
        <v>4</v>
      </c>
      <c r="F2760" s="68">
        <v>3</v>
      </c>
      <c r="G2760" s="68">
        <v>7</v>
      </c>
    </row>
    <row r="2761" spans="1:7" x14ac:dyDescent="0.3">
      <c r="A2761" t="s">
        <v>921</v>
      </c>
      <c r="B2761" t="s">
        <v>36</v>
      </c>
      <c r="C2761" t="s">
        <v>24</v>
      </c>
      <c r="D2761" t="s">
        <v>17</v>
      </c>
      <c r="E2761" s="68">
        <v>2</v>
      </c>
      <c r="F2761" s="68">
        <v>1</v>
      </c>
      <c r="G2761" s="68">
        <v>3</v>
      </c>
    </row>
    <row r="2762" spans="1:7" x14ac:dyDescent="0.3">
      <c r="A2762" t="s">
        <v>921</v>
      </c>
      <c r="B2762" t="s">
        <v>36</v>
      </c>
      <c r="C2762" t="s">
        <v>24</v>
      </c>
      <c r="D2762" t="s">
        <v>18</v>
      </c>
      <c r="E2762" s="68"/>
      <c r="F2762" s="68">
        <v>4</v>
      </c>
      <c r="G2762" s="68">
        <v>4</v>
      </c>
    </row>
    <row r="2763" spans="1:7" x14ac:dyDescent="0.3">
      <c r="A2763" t="s">
        <v>921</v>
      </c>
      <c r="B2763" t="s">
        <v>36</v>
      </c>
      <c r="C2763" t="s">
        <v>24</v>
      </c>
      <c r="D2763" t="s">
        <v>19</v>
      </c>
      <c r="E2763" s="68">
        <v>1</v>
      </c>
      <c r="F2763" s="68">
        <v>1</v>
      </c>
      <c r="G2763" s="68">
        <v>2</v>
      </c>
    </row>
    <row r="2764" spans="1:7" x14ac:dyDescent="0.3">
      <c r="A2764" t="s">
        <v>921</v>
      </c>
      <c r="B2764" t="s">
        <v>36</v>
      </c>
      <c r="C2764" t="s">
        <v>24</v>
      </c>
      <c r="D2764" t="s">
        <v>20</v>
      </c>
      <c r="E2764" s="68"/>
      <c r="F2764" s="68">
        <v>1</v>
      </c>
      <c r="G2764" s="68">
        <v>1</v>
      </c>
    </row>
    <row r="2765" spans="1:7" x14ac:dyDescent="0.3">
      <c r="A2765" t="s">
        <v>921</v>
      </c>
      <c r="B2765" t="s">
        <v>36</v>
      </c>
      <c r="C2765" t="s">
        <v>24</v>
      </c>
      <c r="D2765" t="s">
        <v>22</v>
      </c>
      <c r="E2765" s="68">
        <v>1</v>
      </c>
      <c r="F2765" s="68"/>
      <c r="G2765" s="68">
        <v>1</v>
      </c>
    </row>
    <row r="2766" spans="1:7" x14ac:dyDescent="0.3">
      <c r="A2766" t="s">
        <v>939</v>
      </c>
      <c r="B2766" t="s">
        <v>941</v>
      </c>
      <c r="C2766" t="s">
        <v>6</v>
      </c>
      <c r="D2766" t="s">
        <v>7</v>
      </c>
      <c r="E2766" s="68">
        <v>545</v>
      </c>
      <c r="F2766" s="68">
        <v>537</v>
      </c>
      <c r="G2766" s="68">
        <v>1082</v>
      </c>
    </row>
    <row r="2767" spans="1:7" x14ac:dyDescent="0.3">
      <c r="A2767" t="s">
        <v>939</v>
      </c>
      <c r="B2767" t="s">
        <v>941</v>
      </c>
      <c r="C2767" t="s">
        <v>6</v>
      </c>
      <c r="D2767" t="s">
        <v>8</v>
      </c>
      <c r="E2767" s="68">
        <v>561</v>
      </c>
      <c r="F2767" s="68">
        <v>575</v>
      </c>
      <c r="G2767" s="68">
        <v>1136</v>
      </c>
    </row>
    <row r="2768" spans="1:7" x14ac:dyDescent="0.3">
      <c r="A2768" t="s">
        <v>939</v>
      </c>
      <c r="B2768" t="s">
        <v>941</v>
      </c>
      <c r="C2768" t="s">
        <v>6</v>
      </c>
      <c r="D2768" t="s">
        <v>9</v>
      </c>
      <c r="E2768" s="68">
        <v>418</v>
      </c>
      <c r="F2768" s="68">
        <v>465</v>
      </c>
      <c r="G2768" s="68">
        <v>883</v>
      </c>
    </row>
    <row r="2769" spans="1:7" x14ac:dyDescent="0.3">
      <c r="A2769" t="s">
        <v>939</v>
      </c>
      <c r="B2769" t="s">
        <v>941</v>
      </c>
      <c r="C2769" t="s">
        <v>6</v>
      </c>
      <c r="D2769" t="s">
        <v>10</v>
      </c>
      <c r="E2769" s="68">
        <v>347</v>
      </c>
      <c r="F2769" s="68">
        <v>366</v>
      </c>
      <c r="G2769" s="68">
        <v>713</v>
      </c>
    </row>
    <row r="2770" spans="1:7" x14ac:dyDescent="0.3">
      <c r="A2770" t="s">
        <v>939</v>
      </c>
      <c r="B2770" t="s">
        <v>941</v>
      </c>
      <c r="C2770" t="s">
        <v>6</v>
      </c>
      <c r="D2770" t="s">
        <v>11</v>
      </c>
      <c r="E2770" s="68">
        <v>1099</v>
      </c>
      <c r="F2770" s="68">
        <v>994</v>
      </c>
      <c r="G2770" s="68">
        <v>2093</v>
      </c>
    </row>
    <row r="2771" spans="1:7" x14ac:dyDescent="0.3">
      <c r="A2771" t="s">
        <v>939</v>
      </c>
      <c r="B2771" t="s">
        <v>941</v>
      </c>
      <c r="C2771" t="s">
        <v>6</v>
      </c>
      <c r="D2771" t="s">
        <v>12</v>
      </c>
      <c r="E2771" s="68">
        <v>1704</v>
      </c>
      <c r="F2771" s="68">
        <v>1561</v>
      </c>
      <c r="G2771" s="68">
        <v>3265</v>
      </c>
    </row>
    <row r="2772" spans="1:7" x14ac:dyDescent="0.3">
      <c r="A2772" t="s">
        <v>939</v>
      </c>
      <c r="B2772" t="s">
        <v>941</v>
      </c>
      <c r="C2772" t="s">
        <v>6</v>
      </c>
      <c r="D2772" t="s">
        <v>13</v>
      </c>
      <c r="E2772" s="68">
        <v>1624</v>
      </c>
      <c r="F2772" s="68">
        <v>1377</v>
      </c>
      <c r="G2772" s="68">
        <v>3001</v>
      </c>
    </row>
    <row r="2773" spans="1:7" x14ac:dyDescent="0.3">
      <c r="A2773" t="s">
        <v>939</v>
      </c>
      <c r="B2773" t="s">
        <v>941</v>
      </c>
      <c r="C2773" t="s">
        <v>6</v>
      </c>
      <c r="D2773" t="s">
        <v>14</v>
      </c>
      <c r="E2773" s="68">
        <v>1130</v>
      </c>
      <c r="F2773" s="68">
        <v>914</v>
      </c>
      <c r="G2773" s="68">
        <v>2044</v>
      </c>
    </row>
    <row r="2774" spans="1:7" x14ac:dyDescent="0.3">
      <c r="A2774" t="s">
        <v>939</v>
      </c>
      <c r="B2774" t="s">
        <v>941</v>
      </c>
      <c r="C2774" t="s">
        <v>6</v>
      </c>
      <c r="D2774" t="s">
        <v>15</v>
      </c>
      <c r="E2774" s="68">
        <v>721</v>
      </c>
      <c r="F2774" s="68">
        <v>697</v>
      </c>
      <c r="G2774" s="68">
        <v>1418</v>
      </c>
    </row>
    <row r="2775" spans="1:7" x14ac:dyDescent="0.3">
      <c r="A2775" t="s">
        <v>939</v>
      </c>
      <c r="B2775" t="s">
        <v>941</v>
      </c>
      <c r="C2775" t="s">
        <v>6</v>
      </c>
      <c r="D2775" t="s">
        <v>16</v>
      </c>
      <c r="E2775" s="68">
        <v>488</v>
      </c>
      <c r="F2775" s="68">
        <v>516</v>
      </c>
      <c r="G2775" s="68">
        <v>1004</v>
      </c>
    </row>
    <row r="2776" spans="1:7" x14ac:dyDescent="0.3">
      <c r="A2776" t="s">
        <v>939</v>
      </c>
      <c r="B2776" t="s">
        <v>941</v>
      </c>
      <c r="C2776" t="s">
        <v>6</v>
      </c>
      <c r="D2776" t="s">
        <v>17</v>
      </c>
      <c r="E2776" s="68">
        <v>267</v>
      </c>
      <c r="F2776" s="68">
        <v>304</v>
      </c>
      <c r="G2776" s="68">
        <v>571</v>
      </c>
    </row>
    <row r="2777" spans="1:7" x14ac:dyDescent="0.3">
      <c r="A2777" t="s">
        <v>939</v>
      </c>
      <c r="B2777" t="s">
        <v>941</v>
      </c>
      <c r="C2777" t="s">
        <v>6</v>
      </c>
      <c r="D2777" t="s">
        <v>18</v>
      </c>
      <c r="E2777" s="68">
        <v>154</v>
      </c>
      <c r="F2777" s="68">
        <v>223</v>
      </c>
      <c r="G2777" s="68">
        <v>377</v>
      </c>
    </row>
    <row r="2778" spans="1:7" x14ac:dyDescent="0.3">
      <c r="A2778" t="s">
        <v>939</v>
      </c>
      <c r="B2778" t="s">
        <v>941</v>
      </c>
      <c r="C2778" t="s">
        <v>6</v>
      </c>
      <c r="D2778" t="s">
        <v>19</v>
      </c>
      <c r="E2778" s="68">
        <v>65</v>
      </c>
      <c r="F2778" s="68">
        <v>141</v>
      </c>
      <c r="G2778" s="68">
        <v>206</v>
      </c>
    </row>
    <row r="2779" spans="1:7" x14ac:dyDescent="0.3">
      <c r="A2779" t="s">
        <v>939</v>
      </c>
      <c r="B2779" t="s">
        <v>941</v>
      </c>
      <c r="C2779" t="s">
        <v>6</v>
      </c>
      <c r="D2779" t="s">
        <v>20</v>
      </c>
      <c r="E2779" s="68">
        <v>44</v>
      </c>
      <c r="F2779" s="68">
        <v>74</v>
      </c>
      <c r="G2779" s="68">
        <v>118</v>
      </c>
    </row>
    <row r="2780" spans="1:7" x14ac:dyDescent="0.3">
      <c r="A2780" t="s">
        <v>939</v>
      </c>
      <c r="B2780" t="s">
        <v>941</v>
      </c>
      <c r="C2780" t="s">
        <v>6</v>
      </c>
      <c r="D2780" t="s">
        <v>21</v>
      </c>
      <c r="E2780" s="68">
        <v>11</v>
      </c>
      <c r="F2780" s="68">
        <v>32</v>
      </c>
      <c r="G2780" s="68">
        <v>43</v>
      </c>
    </row>
    <row r="2781" spans="1:7" x14ac:dyDescent="0.3">
      <c r="A2781" t="s">
        <v>939</v>
      </c>
      <c r="B2781" t="s">
        <v>941</v>
      </c>
      <c r="C2781" t="s">
        <v>6</v>
      </c>
      <c r="D2781" t="s">
        <v>22</v>
      </c>
      <c r="E2781" s="68">
        <v>3</v>
      </c>
      <c r="F2781" s="68">
        <v>15</v>
      </c>
      <c r="G2781" s="68">
        <v>18</v>
      </c>
    </row>
    <row r="2782" spans="1:7" x14ac:dyDescent="0.3">
      <c r="A2782" t="s">
        <v>939</v>
      </c>
      <c r="B2782" t="s">
        <v>941</v>
      </c>
      <c r="C2782" t="s">
        <v>6</v>
      </c>
      <c r="D2782" t="s">
        <v>23</v>
      </c>
      <c r="E2782" s="68">
        <v>10</v>
      </c>
      <c r="F2782" s="68">
        <v>4</v>
      </c>
      <c r="G2782" s="68">
        <v>14</v>
      </c>
    </row>
    <row r="2783" spans="1:7" x14ac:dyDescent="0.3">
      <c r="A2783" t="s">
        <v>939</v>
      </c>
      <c r="B2783" t="s">
        <v>941</v>
      </c>
      <c r="C2783" t="s">
        <v>24</v>
      </c>
      <c r="D2783" t="s">
        <v>7</v>
      </c>
      <c r="E2783" s="68">
        <v>9272</v>
      </c>
      <c r="F2783" s="68">
        <v>9726</v>
      </c>
      <c r="G2783" s="68">
        <v>18998</v>
      </c>
    </row>
    <row r="2784" spans="1:7" x14ac:dyDescent="0.3">
      <c r="A2784" t="s">
        <v>939</v>
      </c>
      <c r="B2784" t="s">
        <v>941</v>
      </c>
      <c r="C2784" t="s">
        <v>24</v>
      </c>
      <c r="D2784" t="s">
        <v>8</v>
      </c>
      <c r="E2784" s="68">
        <v>11954</v>
      </c>
      <c r="F2784" s="68">
        <v>12437</v>
      </c>
      <c r="G2784" s="68">
        <v>24391</v>
      </c>
    </row>
    <row r="2785" spans="1:7" x14ac:dyDescent="0.3">
      <c r="A2785" t="s">
        <v>939</v>
      </c>
      <c r="B2785" t="s">
        <v>941</v>
      </c>
      <c r="C2785" t="s">
        <v>24</v>
      </c>
      <c r="D2785" t="s">
        <v>9</v>
      </c>
      <c r="E2785" s="68">
        <v>12356</v>
      </c>
      <c r="F2785" s="68">
        <v>12790</v>
      </c>
      <c r="G2785" s="68">
        <v>25146</v>
      </c>
    </row>
    <row r="2786" spans="1:7" x14ac:dyDescent="0.3">
      <c r="A2786" t="s">
        <v>939</v>
      </c>
      <c r="B2786" t="s">
        <v>941</v>
      </c>
      <c r="C2786" t="s">
        <v>24</v>
      </c>
      <c r="D2786" t="s">
        <v>10</v>
      </c>
      <c r="E2786" s="68">
        <v>12148</v>
      </c>
      <c r="F2786" s="68">
        <v>12041</v>
      </c>
      <c r="G2786" s="68">
        <v>24189</v>
      </c>
    </row>
    <row r="2787" spans="1:7" x14ac:dyDescent="0.3">
      <c r="A2787" t="s">
        <v>939</v>
      </c>
      <c r="B2787" t="s">
        <v>941</v>
      </c>
      <c r="C2787" t="s">
        <v>24</v>
      </c>
      <c r="D2787" t="s">
        <v>11</v>
      </c>
      <c r="E2787" s="68">
        <v>10856</v>
      </c>
      <c r="F2787" s="68">
        <v>9202</v>
      </c>
      <c r="G2787" s="68">
        <v>20058</v>
      </c>
    </row>
    <row r="2788" spans="1:7" x14ac:dyDescent="0.3">
      <c r="A2788" t="s">
        <v>939</v>
      </c>
      <c r="B2788" t="s">
        <v>941</v>
      </c>
      <c r="C2788" t="s">
        <v>24</v>
      </c>
      <c r="D2788" t="s">
        <v>12</v>
      </c>
      <c r="E2788" s="68">
        <v>10560</v>
      </c>
      <c r="F2788" s="68">
        <v>9194</v>
      </c>
      <c r="G2788" s="68">
        <v>19754</v>
      </c>
    </row>
    <row r="2789" spans="1:7" x14ac:dyDescent="0.3">
      <c r="A2789" t="s">
        <v>939</v>
      </c>
      <c r="B2789" t="s">
        <v>941</v>
      </c>
      <c r="C2789" t="s">
        <v>24</v>
      </c>
      <c r="D2789" t="s">
        <v>13</v>
      </c>
      <c r="E2789" s="68">
        <v>9330</v>
      </c>
      <c r="F2789" s="68">
        <v>8320</v>
      </c>
      <c r="G2789" s="68">
        <v>17650</v>
      </c>
    </row>
    <row r="2790" spans="1:7" x14ac:dyDescent="0.3">
      <c r="A2790" t="s">
        <v>939</v>
      </c>
      <c r="B2790" t="s">
        <v>941</v>
      </c>
      <c r="C2790" t="s">
        <v>24</v>
      </c>
      <c r="D2790" t="s">
        <v>14</v>
      </c>
      <c r="E2790" s="68">
        <v>8246</v>
      </c>
      <c r="F2790" s="68">
        <v>7425</v>
      </c>
      <c r="G2790" s="68">
        <v>15671</v>
      </c>
    </row>
    <row r="2791" spans="1:7" x14ac:dyDescent="0.3">
      <c r="A2791" t="s">
        <v>939</v>
      </c>
      <c r="B2791" t="s">
        <v>941</v>
      </c>
      <c r="C2791" t="s">
        <v>24</v>
      </c>
      <c r="D2791" t="s">
        <v>15</v>
      </c>
      <c r="E2791" s="68">
        <v>7288</v>
      </c>
      <c r="F2791" s="68">
        <v>6985</v>
      </c>
      <c r="G2791" s="68">
        <v>14273</v>
      </c>
    </row>
    <row r="2792" spans="1:7" x14ac:dyDescent="0.3">
      <c r="A2792" t="s">
        <v>939</v>
      </c>
      <c r="B2792" t="s">
        <v>941</v>
      </c>
      <c r="C2792" t="s">
        <v>24</v>
      </c>
      <c r="D2792" t="s">
        <v>16</v>
      </c>
      <c r="E2792" s="68">
        <v>6459</v>
      </c>
      <c r="F2792" s="68">
        <v>6238</v>
      </c>
      <c r="G2792" s="68">
        <v>12697</v>
      </c>
    </row>
    <row r="2793" spans="1:7" x14ac:dyDescent="0.3">
      <c r="A2793" t="s">
        <v>939</v>
      </c>
      <c r="B2793" t="s">
        <v>941</v>
      </c>
      <c r="C2793" t="s">
        <v>24</v>
      </c>
      <c r="D2793" t="s">
        <v>17</v>
      </c>
      <c r="E2793" s="68">
        <v>5054</v>
      </c>
      <c r="F2793" s="68">
        <v>5083</v>
      </c>
      <c r="G2793" s="68">
        <v>10137</v>
      </c>
    </row>
    <row r="2794" spans="1:7" x14ac:dyDescent="0.3">
      <c r="A2794" t="s">
        <v>939</v>
      </c>
      <c r="B2794" t="s">
        <v>941</v>
      </c>
      <c r="C2794" t="s">
        <v>24</v>
      </c>
      <c r="D2794" t="s">
        <v>18</v>
      </c>
      <c r="E2794" s="68">
        <v>4488</v>
      </c>
      <c r="F2794" s="68">
        <v>4280</v>
      </c>
      <c r="G2794" s="68">
        <v>8768</v>
      </c>
    </row>
    <row r="2795" spans="1:7" x14ac:dyDescent="0.3">
      <c r="A2795" t="s">
        <v>939</v>
      </c>
      <c r="B2795" t="s">
        <v>941</v>
      </c>
      <c r="C2795" t="s">
        <v>24</v>
      </c>
      <c r="D2795" t="s">
        <v>19</v>
      </c>
      <c r="E2795" s="68">
        <v>3857</v>
      </c>
      <c r="F2795" s="68">
        <v>3875</v>
      </c>
      <c r="G2795" s="68">
        <v>7732</v>
      </c>
    </row>
    <row r="2796" spans="1:7" x14ac:dyDescent="0.3">
      <c r="A2796" t="s">
        <v>939</v>
      </c>
      <c r="B2796" t="s">
        <v>941</v>
      </c>
      <c r="C2796" t="s">
        <v>24</v>
      </c>
      <c r="D2796" t="s">
        <v>20</v>
      </c>
      <c r="E2796" s="68">
        <v>3194</v>
      </c>
      <c r="F2796" s="68">
        <v>3245</v>
      </c>
      <c r="G2796" s="68">
        <v>6439</v>
      </c>
    </row>
    <row r="2797" spans="1:7" x14ac:dyDescent="0.3">
      <c r="A2797" t="s">
        <v>939</v>
      </c>
      <c r="B2797" t="s">
        <v>941</v>
      </c>
      <c r="C2797" t="s">
        <v>24</v>
      </c>
      <c r="D2797" t="s">
        <v>21</v>
      </c>
      <c r="E2797" s="68">
        <v>2439</v>
      </c>
      <c r="F2797" s="68">
        <v>2568</v>
      </c>
      <c r="G2797" s="68">
        <v>5007</v>
      </c>
    </row>
    <row r="2798" spans="1:7" x14ac:dyDescent="0.3">
      <c r="A2798" t="s">
        <v>939</v>
      </c>
      <c r="B2798" t="s">
        <v>941</v>
      </c>
      <c r="C2798" t="s">
        <v>24</v>
      </c>
      <c r="D2798" t="s">
        <v>22</v>
      </c>
      <c r="E2798" s="68">
        <v>2043</v>
      </c>
      <c r="F2798" s="68">
        <v>1951</v>
      </c>
      <c r="G2798" s="68">
        <v>3994</v>
      </c>
    </row>
    <row r="2799" spans="1:7" x14ac:dyDescent="0.3">
      <c r="A2799" t="s">
        <v>939</v>
      </c>
      <c r="B2799" t="s">
        <v>941</v>
      </c>
      <c r="C2799" t="s">
        <v>24</v>
      </c>
      <c r="D2799" t="s">
        <v>23</v>
      </c>
      <c r="E2799" s="68">
        <v>2478</v>
      </c>
      <c r="F2799" s="68">
        <v>2136</v>
      </c>
      <c r="G2799" s="68">
        <v>4614</v>
      </c>
    </row>
    <row r="2800" spans="1:7" x14ac:dyDescent="0.3">
      <c r="A2800" t="s">
        <v>939</v>
      </c>
      <c r="B2800" t="s">
        <v>38</v>
      </c>
      <c r="C2800" t="s">
        <v>6</v>
      </c>
      <c r="D2800" t="s">
        <v>7</v>
      </c>
      <c r="E2800" s="68">
        <v>194</v>
      </c>
      <c r="F2800" s="68">
        <v>207</v>
      </c>
      <c r="G2800" s="68">
        <v>401</v>
      </c>
    </row>
    <row r="2801" spans="1:7" x14ac:dyDescent="0.3">
      <c r="A2801" t="s">
        <v>939</v>
      </c>
      <c r="B2801" t="s">
        <v>38</v>
      </c>
      <c r="C2801" t="s">
        <v>6</v>
      </c>
      <c r="D2801" t="s">
        <v>8</v>
      </c>
      <c r="E2801" s="68">
        <v>159</v>
      </c>
      <c r="F2801" s="68">
        <v>147</v>
      </c>
      <c r="G2801" s="68">
        <v>306</v>
      </c>
    </row>
    <row r="2802" spans="1:7" x14ac:dyDescent="0.3">
      <c r="A2802" t="s">
        <v>939</v>
      </c>
      <c r="B2802" t="s">
        <v>38</v>
      </c>
      <c r="C2802" t="s">
        <v>6</v>
      </c>
      <c r="D2802" t="s">
        <v>9</v>
      </c>
      <c r="E2802" s="68">
        <v>151</v>
      </c>
      <c r="F2802" s="68">
        <v>169</v>
      </c>
      <c r="G2802" s="68">
        <v>320</v>
      </c>
    </row>
    <row r="2803" spans="1:7" x14ac:dyDescent="0.3">
      <c r="A2803" t="s">
        <v>939</v>
      </c>
      <c r="B2803" t="s">
        <v>38</v>
      </c>
      <c r="C2803" t="s">
        <v>6</v>
      </c>
      <c r="D2803" t="s">
        <v>10</v>
      </c>
      <c r="E2803" s="68">
        <v>437</v>
      </c>
      <c r="F2803" s="68">
        <v>476</v>
      </c>
      <c r="G2803" s="68">
        <v>913</v>
      </c>
    </row>
    <row r="2804" spans="1:7" x14ac:dyDescent="0.3">
      <c r="A2804" t="s">
        <v>939</v>
      </c>
      <c r="B2804" t="s">
        <v>38</v>
      </c>
      <c r="C2804" t="s">
        <v>6</v>
      </c>
      <c r="D2804" t="s">
        <v>11</v>
      </c>
      <c r="E2804" s="68">
        <v>1651</v>
      </c>
      <c r="F2804" s="68">
        <v>1955</v>
      </c>
      <c r="G2804" s="68">
        <v>3606</v>
      </c>
    </row>
    <row r="2805" spans="1:7" x14ac:dyDescent="0.3">
      <c r="A2805" t="s">
        <v>939</v>
      </c>
      <c r="B2805" t="s">
        <v>38</v>
      </c>
      <c r="C2805" t="s">
        <v>6</v>
      </c>
      <c r="D2805" t="s">
        <v>12</v>
      </c>
      <c r="E2805" s="68">
        <v>2066</v>
      </c>
      <c r="F2805" s="68">
        <v>2240</v>
      </c>
      <c r="G2805" s="68">
        <v>4306</v>
      </c>
    </row>
    <row r="2806" spans="1:7" x14ac:dyDescent="0.3">
      <c r="A2806" t="s">
        <v>939</v>
      </c>
      <c r="B2806" t="s">
        <v>38</v>
      </c>
      <c r="C2806" t="s">
        <v>6</v>
      </c>
      <c r="D2806" t="s">
        <v>13</v>
      </c>
      <c r="E2806" s="68">
        <v>1795</v>
      </c>
      <c r="F2806" s="68">
        <v>1764</v>
      </c>
      <c r="G2806" s="68">
        <v>3559</v>
      </c>
    </row>
    <row r="2807" spans="1:7" x14ac:dyDescent="0.3">
      <c r="A2807" t="s">
        <v>939</v>
      </c>
      <c r="B2807" t="s">
        <v>38</v>
      </c>
      <c r="C2807" t="s">
        <v>6</v>
      </c>
      <c r="D2807" t="s">
        <v>14</v>
      </c>
      <c r="E2807" s="68">
        <v>1336</v>
      </c>
      <c r="F2807" s="68">
        <v>1193</v>
      </c>
      <c r="G2807" s="68">
        <v>2529</v>
      </c>
    </row>
    <row r="2808" spans="1:7" x14ac:dyDescent="0.3">
      <c r="A2808" t="s">
        <v>939</v>
      </c>
      <c r="B2808" t="s">
        <v>38</v>
      </c>
      <c r="C2808" t="s">
        <v>6</v>
      </c>
      <c r="D2808" t="s">
        <v>15</v>
      </c>
      <c r="E2808" s="68">
        <v>964</v>
      </c>
      <c r="F2808" s="68">
        <v>945</v>
      </c>
      <c r="G2808" s="68">
        <v>1909</v>
      </c>
    </row>
    <row r="2809" spans="1:7" x14ac:dyDescent="0.3">
      <c r="A2809" t="s">
        <v>939</v>
      </c>
      <c r="B2809" t="s">
        <v>38</v>
      </c>
      <c r="C2809" t="s">
        <v>6</v>
      </c>
      <c r="D2809" t="s">
        <v>16</v>
      </c>
      <c r="E2809" s="68">
        <v>628</v>
      </c>
      <c r="F2809" s="68">
        <v>780</v>
      </c>
      <c r="G2809" s="68">
        <v>1408</v>
      </c>
    </row>
    <row r="2810" spans="1:7" x14ac:dyDescent="0.3">
      <c r="A2810" t="s">
        <v>939</v>
      </c>
      <c r="B2810" t="s">
        <v>38</v>
      </c>
      <c r="C2810" t="s">
        <v>6</v>
      </c>
      <c r="D2810" t="s">
        <v>17</v>
      </c>
      <c r="E2810" s="68">
        <v>427</v>
      </c>
      <c r="F2810" s="68">
        <v>542</v>
      </c>
      <c r="G2810" s="68">
        <v>969</v>
      </c>
    </row>
    <row r="2811" spans="1:7" x14ac:dyDescent="0.3">
      <c r="A2811" t="s">
        <v>939</v>
      </c>
      <c r="B2811" t="s">
        <v>38</v>
      </c>
      <c r="C2811" t="s">
        <v>6</v>
      </c>
      <c r="D2811" t="s">
        <v>18</v>
      </c>
      <c r="E2811" s="68">
        <v>284</v>
      </c>
      <c r="F2811" s="68">
        <v>436</v>
      </c>
      <c r="G2811" s="68">
        <v>720</v>
      </c>
    </row>
    <row r="2812" spans="1:7" x14ac:dyDescent="0.3">
      <c r="A2812" t="s">
        <v>939</v>
      </c>
      <c r="B2812" t="s">
        <v>38</v>
      </c>
      <c r="C2812" t="s">
        <v>6</v>
      </c>
      <c r="D2812" t="s">
        <v>19</v>
      </c>
      <c r="E2812" s="68">
        <v>190</v>
      </c>
      <c r="F2812" s="68">
        <v>318</v>
      </c>
      <c r="G2812" s="68">
        <v>508</v>
      </c>
    </row>
    <row r="2813" spans="1:7" x14ac:dyDescent="0.3">
      <c r="A2813" t="s">
        <v>939</v>
      </c>
      <c r="B2813" t="s">
        <v>38</v>
      </c>
      <c r="C2813" t="s">
        <v>6</v>
      </c>
      <c r="D2813" t="s">
        <v>20</v>
      </c>
      <c r="E2813" s="68">
        <v>134</v>
      </c>
      <c r="F2813" s="68">
        <v>232</v>
      </c>
      <c r="G2813" s="68">
        <v>366</v>
      </c>
    </row>
    <row r="2814" spans="1:7" x14ac:dyDescent="0.3">
      <c r="A2814" t="s">
        <v>939</v>
      </c>
      <c r="B2814" t="s">
        <v>38</v>
      </c>
      <c r="C2814" t="s">
        <v>6</v>
      </c>
      <c r="D2814" t="s">
        <v>21</v>
      </c>
      <c r="E2814" s="68">
        <v>75</v>
      </c>
      <c r="F2814" s="68">
        <v>93</v>
      </c>
      <c r="G2814" s="68">
        <v>168</v>
      </c>
    </row>
    <row r="2815" spans="1:7" x14ac:dyDescent="0.3">
      <c r="A2815" t="s">
        <v>939</v>
      </c>
      <c r="B2815" t="s">
        <v>38</v>
      </c>
      <c r="C2815" t="s">
        <v>6</v>
      </c>
      <c r="D2815" t="s">
        <v>22</v>
      </c>
      <c r="E2815" s="68">
        <v>42</v>
      </c>
      <c r="F2815" s="68">
        <v>51</v>
      </c>
      <c r="G2815" s="68">
        <v>93</v>
      </c>
    </row>
    <row r="2816" spans="1:7" x14ac:dyDescent="0.3">
      <c r="A2816" t="s">
        <v>939</v>
      </c>
      <c r="B2816" t="s">
        <v>38</v>
      </c>
      <c r="C2816" t="s">
        <v>6</v>
      </c>
      <c r="D2816" t="s">
        <v>23</v>
      </c>
      <c r="E2816" s="68">
        <v>93</v>
      </c>
      <c r="F2816" s="68">
        <v>36</v>
      </c>
      <c r="G2816" s="68">
        <v>129</v>
      </c>
    </row>
    <row r="2817" spans="1:7" x14ac:dyDescent="0.3">
      <c r="A2817" t="s">
        <v>939</v>
      </c>
      <c r="B2817" t="s">
        <v>38</v>
      </c>
      <c r="C2817" t="s">
        <v>24</v>
      </c>
      <c r="D2817" t="s">
        <v>7</v>
      </c>
      <c r="E2817" s="68">
        <v>10720</v>
      </c>
      <c r="F2817" s="68">
        <v>11286</v>
      </c>
      <c r="G2817" s="68">
        <v>22006</v>
      </c>
    </row>
    <row r="2818" spans="1:7" x14ac:dyDescent="0.3">
      <c r="A2818" t="s">
        <v>939</v>
      </c>
      <c r="B2818" t="s">
        <v>38</v>
      </c>
      <c r="C2818" t="s">
        <v>24</v>
      </c>
      <c r="D2818" t="s">
        <v>8</v>
      </c>
      <c r="E2818" s="68">
        <v>14917</v>
      </c>
      <c r="F2818" s="68">
        <v>15907</v>
      </c>
      <c r="G2818" s="68">
        <v>30824</v>
      </c>
    </row>
    <row r="2819" spans="1:7" x14ac:dyDescent="0.3">
      <c r="A2819" t="s">
        <v>939</v>
      </c>
      <c r="B2819" t="s">
        <v>38</v>
      </c>
      <c r="C2819" t="s">
        <v>24</v>
      </c>
      <c r="D2819" t="s">
        <v>9</v>
      </c>
      <c r="E2819" s="68">
        <v>16899</v>
      </c>
      <c r="F2819" s="68">
        <v>17834</v>
      </c>
      <c r="G2819" s="68">
        <v>34733</v>
      </c>
    </row>
    <row r="2820" spans="1:7" x14ac:dyDescent="0.3">
      <c r="A2820" t="s">
        <v>939</v>
      </c>
      <c r="B2820" t="s">
        <v>38</v>
      </c>
      <c r="C2820" t="s">
        <v>24</v>
      </c>
      <c r="D2820" t="s">
        <v>10</v>
      </c>
      <c r="E2820" s="68">
        <v>18156</v>
      </c>
      <c r="F2820" s="68">
        <v>18667</v>
      </c>
      <c r="G2820" s="68">
        <v>36823</v>
      </c>
    </row>
    <row r="2821" spans="1:7" x14ac:dyDescent="0.3">
      <c r="A2821" t="s">
        <v>939</v>
      </c>
      <c r="B2821" t="s">
        <v>38</v>
      </c>
      <c r="C2821" t="s">
        <v>24</v>
      </c>
      <c r="D2821" t="s">
        <v>11</v>
      </c>
      <c r="E2821" s="68">
        <v>17058</v>
      </c>
      <c r="F2821" s="68">
        <v>16709</v>
      </c>
      <c r="G2821" s="68">
        <v>33767</v>
      </c>
    </row>
    <row r="2822" spans="1:7" x14ac:dyDescent="0.3">
      <c r="A2822" t="s">
        <v>939</v>
      </c>
      <c r="B2822" t="s">
        <v>38</v>
      </c>
      <c r="C2822" t="s">
        <v>24</v>
      </c>
      <c r="D2822" t="s">
        <v>12</v>
      </c>
      <c r="E2822" s="68">
        <v>16693</v>
      </c>
      <c r="F2822" s="68">
        <v>16305</v>
      </c>
      <c r="G2822" s="68">
        <v>32998</v>
      </c>
    </row>
    <row r="2823" spans="1:7" x14ac:dyDescent="0.3">
      <c r="A2823" t="s">
        <v>939</v>
      </c>
      <c r="B2823" t="s">
        <v>38</v>
      </c>
      <c r="C2823" t="s">
        <v>24</v>
      </c>
      <c r="D2823" t="s">
        <v>13</v>
      </c>
      <c r="E2823" s="68">
        <v>15844</v>
      </c>
      <c r="F2823" s="68">
        <v>15024</v>
      </c>
      <c r="G2823" s="68">
        <v>30868</v>
      </c>
    </row>
    <row r="2824" spans="1:7" x14ac:dyDescent="0.3">
      <c r="A2824" t="s">
        <v>939</v>
      </c>
      <c r="B2824" t="s">
        <v>38</v>
      </c>
      <c r="C2824" t="s">
        <v>24</v>
      </c>
      <c r="D2824" t="s">
        <v>14</v>
      </c>
      <c r="E2824" s="68">
        <v>15155</v>
      </c>
      <c r="F2824" s="68">
        <v>14569</v>
      </c>
      <c r="G2824" s="68">
        <v>29724</v>
      </c>
    </row>
    <row r="2825" spans="1:7" x14ac:dyDescent="0.3">
      <c r="A2825" t="s">
        <v>939</v>
      </c>
      <c r="B2825" t="s">
        <v>38</v>
      </c>
      <c r="C2825" t="s">
        <v>24</v>
      </c>
      <c r="D2825" t="s">
        <v>15</v>
      </c>
      <c r="E2825" s="68">
        <v>14316</v>
      </c>
      <c r="F2825" s="68">
        <v>14007</v>
      </c>
      <c r="G2825" s="68">
        <v>28323</v>
      </c>
    </row>
    <row r="2826" spans="1:7" x14ac:dyDescent="0.3">
      <c r="A2826" t="s">
        <v>939</v>
      </c>
      <c r="B2826" t="s">
        <v>38</v>
      </c>
      <c r="C2826" t="s">
        <v>24</v>
      </c>
      <c r="D2826" t="s">
        <v>16</v>
      </c>
      <c r="E2826" s="68">
        <v>13017</v>
      </c>
      <c r="F2826" s="68">
        <v>13052</v>
      </c>
      <c r="G2826" s="68">
        <v>26069</v>
      </c>
    </row>
    <row r="2827" spans="1:7" x14ac:dyDescent="0.3">
      <c r="A2827" t="s">
        <v>939</v>
      </c>
      <c r="B2827" t="s">
        <v>38</v>
      </c>
      <c r="C2827" t="s">
        <v>24</v>
      </c>
      <c r="D2827" t="s">
        <v>17</v>
      </c>
      <c r="E2827" s="68">
        <v>11493</v>
      </c>
      <c r="F2827" s="68">
        <v>11449</v>
      </c>
      <c r="G2827" s="68">
        <v>22942</v>
      </c>
    </row>
    <row r="2828" spans="1:7" x14ac:dyDescent="0.3">
      <c r="A2828" t="s">
        <v>939</v>
      </c>
      <c r="B2828" t="s">
        <v>38</v>
      </c>
      <c r="C2828" t="s">
        <v>24</v>
      </c>
      <c r="D2828" t="s">
        <v>18</v>
      </c>
      <c r="E2828" s="68">
        <v>10856</v>
      </c>
      <c r="F2828" s="68">
        <v>11046</v>
      </c>
      <c r="G2828" s="68">
        <v>21902</v>
      </c>
    </row>
    <row r="2829" spans="1:7" x14ac:dyDescent="0.3">
      <c r="A2829" t="s">
        <v>939</v>
      </c>
      <c r="B2829" t="s">
        <v>38</v>
      </c>
      <c r="C2829" t="s">
        <v>24</v>
      </c>
      <c r="D2829" t="s">
        <v>19</v>
      </c>
      <c r="E2829" s="68">
        <v>9514</v>
      </c>
      <c r="F2829" s="68">
        <v>9752</v>
      </c>
      <c r="G2829" s="68">
        <v>19266</v>
      </c>
    </row>
    <row r="2830" spans="1:7" x14ac:dyDescent="0.3">
      <c r="A2830" t="s">
        <v>939</v>
      </c>
      <c r="B2830" t="s">
        <v>38</v>
      </c>
      <c r="C2830" t="s">
        <v>24</v>
      </c>
      <c r="D2830" t="s">
        <v>20</v>
      </c>
      <c r="E2830" s="68">
        <v>8243</v>
      </c>
      <c r="F2830" s="68">
        <v>8272</v>
      </c>
      <c r="G2830" s="68">
        <v>16515</v>
      </c>
    </row>
    <row r="2831" spans="1:7" x14ac:dyDescent="0.3">
      <c r="A2831" t="s">
        <v>939</v>
      </c>
      <c r="B2831" t="s">
        <v>38</v>
      </c>
      <c r="C2831" t="s">
        <v>24</v>
      </c>
      <c r="D2831" t="s">
        <v>21</v>
      </c>
      <c r="E2831" s="68">
        <v>6243</v>
      </c>
      <c r="F2831" s="68">
        <v>6522</v>
      </c>
      <c r="G2831" s="68">
        <v>12765</v>
      </c>
    </row>
    <row r="2832" spans="1:7" x14ac:dyDescent="0.3">
      <c r="A2832" t="s">
        <v>939</v>
      </c>
      <c r="B2832" t="s">
        <v>38</v>
      </c>
      <c r="C2832" t="s">
        <v>24</v>
      </c>
      <c r="D2832" t="s">
        <v>22</v>
      </c>
      <c r="E2832" s="68">
        <v>4896</v>
      </c>
      <c r="F2832" s="68">
        <v>4889</v>
      </c>
      <c r="G2832" s="68">
        <v>9785</v>
      </c>
    </row>
    <row r="2833" spans="1:7" x14ac:dyDescent="0.3">
      <c r="A2833" t="s">
        <v>939</v>
      </c>
      <c r="B2833" t="s">
        <v>38</v>
      </c>
      <c r="C2833" t="s">
        <v>24</v>
      </c>
      <c r="D2833" t="s">
        <v>23</v>
      </c>
      <c r="E2833" s="68">
        <v>8146</v>
      </c>
      <c r="F2833" s="68">
        <v>6883</v>
      </c>
      <c r="G2833" s="68">
        <v>15029</v>
      </c>
    </row>
    <row r="2834" spans="1:7" x14ac:dyDescent="0.3">
      <c r="A2834" t="s">
        <v>939</v>
      </c>
      <c r="B2834" t="s">
        <v>31</v>
      </c>
      <c r="C2834" t="s">
        <v>6</v>
      </c>
      <c r="D2834" t="s">
        <v>7</v>
      </c>
      <c r="E2834" s="68">
        <v>8</v>
      </c>
      <c r="F2834" s="68">
        <v>9</v>
      </c>
      <c r="G2834" s="68">
        <v>17</v>
      </c>
    </row>
    <row r="2835" spans="1:7" x14ac:dyDescent="0.3">
      <c r="A2835" t="s">
        <v>939</v>
      </c>
      <c r="B2835" t="s">
        <v>31</v>
      </c>
      <c r="C2835" t="s">
        <v>6</v>
      </c>
      <c r="D2835" t="s">
        <v>8</v>
      </c>
      <c r="E2835" s="68">
        <v>19</v>
      </c>
      <c r="F2835" s="68">
        <v>24</v>
      </c>
      <c r="G2835" s="68">
        <v>43</v>
      </c>
    </row>
    <row r="2836" spans="1:7" x14ac:dyDescent="0.3">
      <c r="A2836" t="s">
        <v>939</v>
      </c>
      <c r="B2836" t="s">
        <v>31</v>
      </c>
      <c r="C2836" t="s">
        <v>6</v>
      </c>
      <c r="D2836" t="s">
        <v>9</v>
      </c>
      <c r="E2836" s="68">
        <v>33</v>
      </c>
      <c r="F2836" s="68">
        <v>27</v>
      </c>
      <c r="G2836" s="68">
        <v>60</v>
      </c>
    </row>
    <row r="2837" spans="1:7" x14ac:dyDescent="0.3">
      <c r="A2837" t="s">
        <v>939</v>
      </c>
      <c r="B2837" t="s">
        <v>31</v>
      </c>
      <c r="C2837" t="s">
        <v>6</v>
      </c>
      <c r="D2837" t="s">
        <v>10</v>
      </c>
      <c r="E2837" s="68">
        <v>20</v>
      </c>
      <c r="F2837" s="68">
        <v>36</v>
      </c>
      <c r="G2837" s="68">
        <v>56</v>
      </c>
    </row>
    <row r="2838" spans="1:7" x14ac:dyDescent="0.3">
      <c r="A2838" t="s">
        <v>939</v>
      </c>
      <c r="B2838" t="s">
        <v>31</v>
      </c>
      <c r="C2838" t="s">
        <v>6</v>
      </c>
      <c r="D2838" t="s">
        <v>11</v>
      </c>
      <c r="E2838" s="68">
        <v>41</v>
      </c>
      <c r="F2838" s="68">
        <v>73</v>
      </c>
      <c r="G2838" s="68">
        <v>114</v>
      </c>
    </row>
    <row r="2839" spans="1:7" x14ac:dyDescent="0.3">
      <c r="A2839" t="s">
        <v>939</v>
      </c>
      <c r="B2839" t="s">
        <v>31</v>
      </c>
      <c r="C2839" t="s">
        <v>6</v>
      </c>
      <c r="D2839" t="s">
        <v>12</v>
      </c>
      <c r="E2839" s="68">
        <v>47</v>
      </c>
      <c r="F2839" s="68">
        <v>40</v>
      </c>
      <c r="G2839" s="68">
        <v>87</v>
      </c>
    </row>
    <row r="2840" spans="1:7" x14ac:dyDescent="0.3">
      <c r="A2840" t="s">
        <v>939</v>
      </c>
      <c r="B2840" t="s">
        <v>31</v>
      </c>
      <c r="C2840" t="s">
        <v>6</v>
      </c>
      <c r="D2840" t="s">
        <v>13</v>
      </c>
      <c r="E2840" s="68">
        <v>38</v>
      </c>
      <c r="F2840" s="68">
        <v>35</v>
      </c>
      <c r="G2840" s="68">
        <v>73</v>
      </c>
    </row>
    <row r="2841" spans="1:7" x14ac:dyDescent="0.3">
      <c r="A2841" t="s">
        <v>939</v>
      </c>
      <c r="B2841" t="s">
        <v>31</v>
      </c>
      <c r="C2841" t="s">
        <v>6</v>
      </c>
      <c r="D2841" t="s">
        <v>14</v>
      </c>
      <c r="E2841" s="68">
        <v>29</v>
      </c>
      <c r="F2841" s="68">
        <v>26</v>
      </c>
      <c r="G2841" s="68">
        <v>55</v>
      </c>
    </row>
    <row r="2842" spans="1:7" x14ac:dyDescent="0.3">
      <c r="A2842" t="s">
        <v>939</v>
      </c>
      <c r="B2842" t="s">
        <v>31</v>
      </c>
      <c r="C2842" t="s">
        <v>6</v>
      </c>
      <c r="D2842" t="s">
        <v>15</v>
      </c>
      <c r="E2842" s="68">
        <v>44</v>
      </c>
      <c r="F2842" s="68">
        <v>26</v>
      </c>
      <c r="G2842" s="68">
        <v>70</v>
      </c>
    </row>
    <row r="2843" spans="1:7" x14ac:dyDescent="0.3">
      <c r="A2843" t="s">
        <v>939</v>
      </c>
      <c r="B2843" t="s">
        <v>31</v>
      </c>
      <c r="C2843" t="s">
        <v>6</v>
      </c>
      <c r="D2843" t="s">
        <v>16</v>
      </c>
      <c r="E2843" s="68">
        <v>37</v>
      </c>
      <c r="F2843" s="68">
        <v>28</v>
      </c>
      <c r="G2843" s="68">
        <v>65</v>
      </c>
    </row>
    <row r="2844" spans="1:7" x14ac:dyDescent="0.3">
      <c r="A2844" t="s">
        <v>939</v>
      </c>
      <c r="B2844" t="s">
        <v>31</v>
      </c>
      <c r="C2844" t="s">
        <v>6</v>
      </c>
      <c r="D2844" t="s">
        <v>17</v>
      </c>
      <c r="E2844" s="68">
        <v>41</v>
      </c>
      <c r="F2844" s="68">
        <v>42</v>
      </c>
      <c r="G2844" s="68">
        <v>83</v>
      </c>
    </row>
    <row r="2845" spans="1:7" x14ac:dyDescent="0.3">
      <c r="A2845" t="s">
        <v>939</v>
      </c>
      <c r="B2845" t="s">
        <v>31</v>
      </c>
      <c r="C2845" t="s">
        <v>6</v>
      </c>
      <c r="D2845" t="s">
        <v>18</v>
      </c>
      <c r="E2845" s="68">
        <v>32</v>
      </c>
      <c r="F2845" s="68">
        <v>29</v>
      </c>
      <c r="G2845" s="68">
        <v>61</v>
      </c>
    </row>
    <row r="2846" spans="1:7" x14ac:dyDescent="0.3">
      <c r="A2846" t="s">
        <v>939</v>
      </c>
      <c r="B2846" t="s">
        <v>31</v>
      </c>
      <c r="C2846" t="s">
        <v>6</v>
      </c>
      <c r="D2846" t="s">
        <v>19</v>
      </c>
      <c r="E2846" s="68">
        <v>25</v>
      </c>
      <c r="F2846" s="68">
        <v>25</v>
      </c>
      <c r="G2846" s="68">
        <v>50</v>
      </c>
    </row>
    <row r="2847" spans="1:7" x14ac:dyDescent="0.3">
      <c r="A2847" t="s">
        <v>939</v>
      </c>
      <c r="B2847" t="s">
        <v>31</v>
      </c>
      <c r="C2847" t="s">
        <v>6</v>
      </c>
      <c r="D2847" t="s">
        <v>20</v>
      </c>
      <c r="E2847" s="68">
        <v>26</v>
      </c>
      <c r="F2847" s="68">
        <v>22</v>
      </c>
      <c r="G2847" s="68">
        <v>48</v>
      </c>
    </row>
    <row r="2848" spans="1:7" x14ac:dyDescent="0.3">
      <c r="A2848" t="s">
        <v>939</v>
      </c>
      <c r="B2848" t="s">
        <v>31</v>
      </c>
      <c r="C2848" t="s">
        <v>6</v>
      </c>
      <c r="D2848" t="s">
        <v>21</v>
      </c>
      <c r="E2848" s="68">
        <v>19</v>
      </c>
      <c r="F2848" s="68">
        <v>11</v>
      </c>
      <c r="G2848" s="68">
        <v>30</v>
      </c>
    </row>
    <row r="2849" spans="1:7" x14ac:dyDescent="0.3">
      <c r="A2849" t="s">
        <v>939</v>
      </c>
      <c r="B2849" t="s">
        <v>31</v>
      </c>
      <c r="C2849" t="s">
        <v>6</v>
      </c>
      <c r="D2849" t="s">
        <v>22</v>
      </c>
      <c r="E2849" s="68">
        <v>10</v>
      </c>
      <c r="F2849" s="68">
        <v>15</v>
      </c>
      <c r="G2849" s="68">
        <v>25</v>
      </c>
    </row>
    <row r="2850" spans="1:7" x14ac:dyDescent="0.3">
      <c r="A2850" t="s">
        <v>939</v>
      </c>
      <c r="B2850" t="s">
        <v>31</v>
      </c>
      <c r="C2850" t="s">
        <v>6</v>
      </c>
      <c r="D2850" t="s">
        <v>23</v>
      </c>
      <c r="E2850" s="68">
        <v>48</v>
      </c>
      <c r="F2850" s="68">
        <v>18</v>
      </c>
      <c r="G2850" s="68">
        <v>66</v>
      </c>
    </row>
    <row r="2851" spans="1:7" x14ac:dyDescent="0.3">
      <c r="A2851" t="s">
        <v>939</v>
      </c>
      <c r="B2851" t="s">
        <v>31</v>
      </c>
      <c r="C2851" t="s">
        <v>24</v>
      </c>
      <c r="D2851" t="s">
        <v>7</v>
      </c>
      <c r="E2851" s="68">
        <v>125</v>
      </c>
      <c r="F2851" s="68">
        <v>132</v>
      </c>
      <c r="G2851" s="68">
        <v>257</v>
      </c>
    </row>
    <row r="2852" spans="1:7" x14ac:dyDescent="0.3">
      <c r="A2852" t="s">
        <v>939</v>
      </c>
      <c r="B2852" t="s">
        <v>31</v>
      </c>
      <c r="C2852" t="s">
        <v>24</v>
      </c>
      <c r="D2852" t="s">
        <v>8</v>
      </c>
      <c r="E2852" s="68">
        <v>182</v>
      </c>
      <c r="F2852" s="68">
        <v>231</v>
      </c>
      <c r="G2852" s="68">
        <v>413</v>
      </c>
    </row>
    <row r="2853" spans="1:7" x14ac:dyDescent="0.3">
      <c r="A2853" t="s">
        <v>939</v>
      </c>
      <c r="B2853" t="s">
        <v>31</v>
      </c>
      <c r="C2853" t="s">
        <v>24</v>
      </c>
      <c r="D2853" t="s">
        <v>9</v>
      </c>
      <c r="E2853" s="68">
        <v>253</v>
      </c>
      <c r="F2853" s="68">
        <v>239</v>
      </c>
      <c r="G2853" s="68">
        <v>492</v>
      </c>
    </row>
    <row r="2854" spans="1:7" x14ac:dyDescent="0.3">
      <c r="A2854" t="s">
        <v>939</v>
      </c>
      <c r="B2854" t="s">
        <v>31</v>
      </c>
      <c r="C2854" t="s">
        <v>24</v>
      </c>
      <c r="D2854" t="s">
        <v>10</v>
      </c>
      <c r="E2854" s="68">
        <v>244</v>
      </c>
      <c r="F2854" s="68">
        <v>236</v>
      </c>
      <c r="G2854" s="68">
        <v>480</v>
      </c>
    </row>
    <row r="2855" spans="1:7" x14ac:dyDescent="0.3">
      <c r="A2855" t="s">
        <v>939</v>
      </c>
      <c r="B2855" t="s">
        <v>31</v>
      </c>
      <c r="C2855" t="s">
        <v>24</v>
      </c>
      <c r="D2855" t="s">
        <v>11</v>
      </c>
      <c r="E2855" s="68">
        <v>250</v>
      </c>
      <c r="F2855" s="68">
        <v>213</v>
      </c>
      <c r="G2855" s="68">
        <v>463</v>
      </c>
    </row>
    <row r="2856" spans="1:7" x14ac:dyDescent="0.3">
      <c r="A2856" t="s">
        <v>939</v>
      </c>
      <c r="B2856" t="s">
        <v>31</v>
      </c>
      <c r="C2856" t="s">
        <v>24</v>
      </c>
      <c r="D2856" t="s">
        <v>12</v>
      </c>
      <c r="E2856" s="68">
        <v>251</v>
      </c>
      <c r="F2856" s="68">
        <v>185</v>
      </c>
      <c r="G2856" s="68">
        <v>436</v>
      </c>
    </row>
    <row r="2857" spans="1:7" x14ac:dyDescent="0.3">
      <c r="A2857" t="s">
        <v>939</v>
      </c>
      <c r="B2857" t="s">
        <v>31</v>
      </c>
      <c r="C2857" t="s">
        <v>24</v>
      </c>
      <c r="D2857" t="s">
        <v>13</v>
      </c>
      <c r="E2857" s="68">
        <v>218</v>
      </c>
      <c r="F2857" s="68">
        <v>179</v>
      </c>
      <c r="G2857" s="68">
        <v>397</v>
      </c>
    </row>
    <row r="2858" spans="1:7" x14ac:dyDescent="0.3">
      <c r="A2858" t="s">
        <v>939</v>
      </c>
      <c r="B2858" t="s">
        <v>31</v>
      </c>
      <c r="C2858" t="s">
        <v>24</v>
      </c>
      <c r="D2858" t="s">
        <v>14</v>
      </c>
      <c r="E2858" s="68">
        <v>224</v>
      </c>
      <c r="F2858" s="68">
        <v>151</v>
      </c>
      <c r="G2858" s="68">
        <v>375</v>
      </c>
    </row>
    <row r="2859" spans="1:7" x14ac:dyDescent="0.3">
      <c r="A2859" t="s">
        <v>939</v>
      </c>
      <c r="B2859" t="s">
        <v>31</v>
      </c>
      <c r="C2859" t="s">
        <v>24</v>
      </c>
      <c r="D2859" t="s">
        <v>15</v>
      </c>
      <c r="E2859" s="68">
        <v>268</v>
      </c>
      <c r="F2859" s="68">
        <v>139</v>
      </c>
      <c r="G2859" s="68">
        <v>407</v>
      </c>
    </row>
    <row r="2860" spans="1:7" x14ac:dyDescent="0.3">
      <c r="A2860" t="s">
        <v>939</v>
      </c>
      <c r="B2860" t="s">
        <v>31</v>
      </c>
      <c r="C2860" t="s">
        <v>24</v>
      </c>
      <c r="D2860" t="s">
        <v>16</v>
      </c>
      <c r="E2860" s="68">
        <v>221</v>
      </c>
      <c r="F2860" s="68">
        <v>169</v>
      </c>
      <c r="G2860" s="68">
        <v>390</v>
      </c>
    </row>
    <row r="2861" spans="1:7" x14ac:dyDescent="0.3">
      <c r="A2861" t="s">
        <v>939</v>
      </c>
      <c r="B2861" t="s">
        <v>31</v>
      </c>
      <c r="C2861" t="s">
        <v>24</v>
      </c>
      <c r="D2861" t="s">
        <v>17</v>
      </c>
      <c r="E2861" s="68">
        <v>175</v>
      </c>
      <c r="F2861" s="68">
        <v>158</v>
      </c>
      <c r="G2861" s="68">
        <v>333</v>
      </c>
    </row>
    <row r="2862" spans="1:7" x14ac:dyDescent="0.3">
      <c r="A2862" t="s">
        <v>939</v>
      </c>
      <c r="B2862" t="s">
        <v>31</v>
      </c>
      <c r="C2862" t="s">
        <v>24</v>
      </c>
      <c r="D2862" t="s">
        <v>18</v>
      </c>
      <c r="E2862" s="68">
        <v>164</v>
      </c>
      <c r="F2862" s="68">
        <v>139</v>
      </c>
      <c r="G2862" s="68">
        <v>303</v>
      </c>
    </row>
    <row r="2863" spans="1:7" x14ac:dyDescent="0.3">
      <c r="A2863" t="s">
        <v>939</v>
      </c>
      <c r="B2863" t="s">
        <v>31</v>
      </c>
      <c r="C2863" t="s">
        <v>24</v>
      </c>
      <c r="D2863" t="s">
        <v>19</v>
      </c>
      <c r="E2863" s="68">
        <v>146</v>
      </c>
      <c r="F2863" s="68">
        <v>111</v>
      </c>
      <c r="G2863" s="68">
        <v>257</v>
      </c>
    </row>
    <row r="2864" spans="1:7" x14ac:dyDescent="0.3">
      <c r="A2864" t="s">
        <v>939</v>
      </c>
      <c r="B2864" t="s">
        <v>31</v>
      </c>
      <c r="C2864" t="s">
        <v>24</v>
      </c>
      <c r="D2864" t="s">
        <v>20</v>
      </c>
      <c r="E2864" s="68">
        <v>86</v>
      </c>
      <c r="F2864" s="68">
        <v>98</v>
      </c>
      <c r="G2864" s="68">
        <v>184</v>
      </c>
    </row>
    <row r="2865" spans="1:7" x14ac:dyDescent="0.3">
      <c r="A2865" t="s">
        <v>939</v>
      </c>
      <c r="B2865" t="s">
        <v>31</v>
      </c>
      <c r="C2865" t="s">
        <v>24</v>
      </c>
      <c r="D2865" t="s">
        <v>21</v>
      </c>
      <c r="E2865" s="68">
        <v>73</v>
      </c>
      <c r="F2865" s="68">
        <v>62</v>
      </c>
      <c r="G2865" s="68">
        <v>135</v>
      </c>
    </row>
    <row r="2866" spans="1:7" x14ac:dyDescent="0.3">
      <c r="A2866" t="s">
        <v>939</v>
      </c>
      <c r="B2866" t="s">
        <v>31</v>
      </c>
      <c r="C2866" t="s">
        <v>24</v>
      </c>
      <c r="D2866" t="s">
        <v>22</v>
      </c>
      <c r="E2866" s="68">
        <v>53</v>
      </c>
      <c r="F2866" s="68">
        <v>41</v>
      </c>
      <c r="G2866" s="68">
        <v>94</v>
      </c>
    </row>
    <row r="2867" spans="1:7" x14ac:dyDescent="0.3">
      <c r="A2867" t="s">
        <v>939</v>
      </c>
      <c r="B2867" t="s">
        <v>31</v>
      </c>
      <c r="C2867" t="s">
        <v>24</v>
      </c>
      <c r="D2867" t="s">
        <v>23</v>
      </c>
      <c r="E2867" s="68">
        <v>85</v>
      </c>
      <c r="F2867" s="68">
        <v>28</v>
      </c>
      <c r="G2867" s="68">
        <v>113</v>
      </c>
    </row>
    <row r="2868" spans="1:7" x14ac:dyDescent="0.3">
      <c r="A2868" t="s">
        <v>939</v>
      </c>
      <c r="B2868" t="s">
        <v>40</v>
      </c>
      <c r="C2868" t="s">
        <v>6</v>
      </c>
      <c r="D2868" t="s">
        <v>7</v>
      </c>
      <c r="E2868" s="68">
        <v>38</v>
      </c>
      <c r="F2868" s="68">
        <v>35</v>
      </c>
      <c r="G2868" s="68">
        <v>73</v>
      </c>
    </row>
    <row r="2869" spans="1:7" x14ac:dyDescent="0.3">
      <c r="A2869" t="s">
        <v>939</v>
      </c>
      <c r="B2869" t="s">
        <v>40</v>
      </c>
      <c r="C2869" t="s">
        <v>6</v>
      </c>
      <c r="D2869" t="s">
        <v>8</v>
      </c>
      <c r="E2869" s="68">
        <v>42</v>
      </c>
      <c r="F2869" s="68">
        <v>52</v>
      </c>
      <c r="G2869" s="68">
        <v>94</v>
      </c>
    </row>
    <row r="2870" spans="1:7" x14ac:dyDescent="0.3">
      <c r="A2870" t="s">
        <v>939</v>
      </c>
      <c r="B2870" t="s">
        <v>40</v>
      </c>
      <c r="C2870" t="s">
        <v>6</v>
      </c>
      <c r="D2870" t="s">
        <v>9</v>
      </c>
      <c r="E2870" s="68">
        <v>42</v>
      </c>
      <c r="F2870" s="68">
        <v>44</v>
      </c>
      <c r="G2870" s="68">
        <v>86</v>
      </c>
    </row>
    <row r="2871" spans="1:7" x14ac:dyDescent="0.3">
      <c r="A2871" t="s">
        <v>939</v>
      </c>
      <c r="B2871" t="s">
        <v>40</v>
      </c>
      <c r="C2871" t="s">
        <v>6</v>
      </c>
      <c r="D2871" t="s">
        <v>10</v>
      </c>
      <c r="E2871" s="68">
        <v>77</v>
      </c>
      <c r="F2871" s="68">
        <v>101</v>
      </c>
      <c r="G2871" s="68">
        <v>178</v>
      </c>
    </row>
    <row r="2872" spans="1:7" x14ac:dyDescent="0.3">
      <c r="A2872" t="s">
        <v>939</v>
      </c>
      <c r="B2872" t="s">
        <v>40</v>
      </c>
      <c r="C2872" t="s">
        <v>6</v>
      </c>
      <c r="D2872" t="s">
        <v>11</v>
      </c>
      <c r="E2872" s="68">
        <v>268</v>
      </c>
      <c r="F2872" s="68">
        <v>329</v>
      </c>
      <c r="G2872" s="68">
        <v>597</v>
      </c>
    </row>
    <row r="2873" spans="1:7" x14ac:dyDescent="0.3">
      <c r="A2873" t="s">
        <v>939</v>
      </c>
      <c r="B2873" t="s">
        <v>40</v>
      </c>
      <c r="C2873" t="s">
        <v>6</v>
      </c>
      <c r="D2873" t="s">
        <v>12</v>
      </c>
      <c r="E2873" s="68">
        <v>388</v>
      </c>
      <c r="F2873" s="68">
        <v>483</v>
      </c>
      <c r="G2873" s="68">
        <v>871</v>
      </c>
    </row>
    <row r="2874" spans="1:7" x14ac:dyDescent="0.3">
      <c r="A2874" t="s">
        <v>939</v>
      </c>
      <c r="B2874" t="s">
        <v>40</v>
      </c>
      <c r="C2874" t="s">
        <v>6</v>
      </c>
      <c r="D2874" t="s">
        <v>13</v>
      </c>
      <c r="E2874" s="68">
        <v>352</v>
      </c>
      <c r="F2874" s="68">
        <v>422</v>
      </c>
      <c r="G2874" s="68">
        <v>774</v>
      </c>
    </row>
    <row r="2875" spans="1:7" x14ac:dyDescent="0.3">
      <c r="A2875" t="s">
        <v>939</v>
      </c>
      <c r="B2875" t="s">
        <v>40</v>
      </c>
      <c r="C2875" t="s">
        <v>6</v>
      </c>
      <c r="D2875" t="s">
        <v>14</v>
      </c>
      <c r="E2875" s="68">
        <v>203</v>
      </c>
      <c r="F2875" s="68">
        <v>272</v>
      </c>
      <c r="G2875" s="68">
        <v>475</v>
      </c>
    </row>
    <row r="2876" spans="1:7" x14ac:dyDescent="0.3">
      <c r="A2876" t="s">
        <v>939</v>
      </c>
      <c r="B2876" t="s">
        <v>40</v>
      </c>
      <c r="C2876" t="s">
        <v>6</v>
      </c>
      <c r="D2876" t="s">
        <v>15</v>
      </c>
      <c r="E2876" s="68">
        <v>185</v>
      </c>
      <c r="F2876" s="68">
        <v>247</v>
      </c>
      <c r="G2876" s="68">
        <v>432</v>
      </c>
    </row>
    <row r="2877" spans="1:7" x14ac:dyDescent="0.3">
      <c r="A2877" t="s">
        <v>939</v>
      </c>
      <c r="B2877" t="s">
        <v>40</v>
      </c>
      <c r="C2877" t="s">
        <v>6</v>
      </c>
      <c r="D2877" t="s">
        <v>16</v>
      </c>
      <c r="E2877" s="68">
        <v>135</v>
      </c>
      <c r="F2877" s="68">
        <v>184</v>
      </c>
      <c r="G2877" s="68">
        <v>319</v>
      </c>
    </row>
    <row r="2878" spans="1:7" x14ac:dyDescent="0.3">
      <c r="A2878" t="s">
        <v>939</v>
      </c>
      <c r="B2878" t="s">
        <v>40</v>
      </c>
      <c r="C2878" t="s">
        <v>6</v>
      </c>
      <c r="D2878" t="s">
        <v>17</v>
      </c>
      <c r="E2878" s="68">
        <v>81</v>
      </c>
      <c r="F2878" s="68">
        <v>139</v>
      </c>
      <c r="G2878" s="68">
        <v>220</v>
      </c>
    </row>
    <row r="2879" spans="1:7" x14ac:dyDescent="0.3">
      <c r="A2879" t="s">
        <v>939</v>
      </c>
      <c r="B2879" t="s">
        <v>40</v>
      </c>
      <c r="C2879" t="s">
        <v>6</v>
      </c>
      <c r="D2879" t="s">
        <v>18</v>
      </c>
      <c r="E2879" s="68">
        <v>53</v>
      </c>
      <c r="F2879" s="68">
        <v>109</v>
      </c>
      <c r="G2879" s="68">
        <v>162</v>
      </c>
    </row>
    <row r="2880" spans="1:7" x14ac:dyDescent="0.3">
      <c r="A2880" t="s">
        <v>939</v>
      </c>
      <c r="B2880" t="s">
        <v>40</v>
      </c>
      <c r="C2880" t="s">
        <v>6</v>
      </c>
      <c r="D2880" t="s">
        <v>19</v>
      </c>
      <c r="E2880" s="68">
        <v>75</v>
      </c>
      <c r="F2880" s="68">
        <v>117</v>
      </c>
      <c r="G2880" s="68">
        <v>192</v>
      </c>
    </row>
    <row r="2881" spans="1:7" x14ac:dyDescent="0.3">
      <c r="A2881" t="s">
        <v>939</v>
      </c>
      <c r="B2881" t="s">
        <v>40</v>
      </c>
      <c r="C2881" t="s">
        <v>6</v>
      </c>
      <c r="D2881" t="s">
        <v>20</v>
      </c>
      <c r="E2881" s="68">
        <v>49</v>
      </c>
      <c r="F2881" s="68">
        <v>75</v>
      </c>
      <c r="G2881" s="68">
        <v>124</v>
      </c>
    </row>
    <row r="2882" spans="1:7" x14ac:dyDescent="0.3">
      <c r="A2882" t="s">
        <v>939</v>
      </c>
      <c r="B2882" t="s">
        <v>40</v>
      </c>
      <c r="C2882" t="s">
        <v>6</v>
      </c>
      <c r="D2882" t="s">
        <v>21</v>
      </c>
      <c r="E2882" s="68">
        <v>41</v>
      </c>
      <c r="F2882" s="68">
        <v>43</v>
      </c>
      <c r="G2882" s="68">
        <v>84</v>
      </c>
    </row>
    <row r="2883" spans="1:7" x14ac:dyDescent="0.3">
      <c r="A2883" t="s">
        <v>939</v>
      </c>
      <c r="B2883" t="s">
        <v>40</v>
      </c>
      <c r="C2883" t="s">
        <v>6</v>
      </c>
      <c r="D2883" t="s">
        <v>22</v>
      </c>
      <c r="E2883" s="68">
        <v>24</v>
      </c>
      <c r="F2883" s="68">
        <v>28</v>
      </c>
      <c r="G2883" s="68">
        <v>52</v>
      </c>
    </row>
    <row r="2884" spans="1:7" x14ac:dyDescent="0.3">
      <c r="A2884" t="s">
        <v>939</v>
      </c>
      <c r="B2884" t="s">
        <v>40</v>
      </c>
      <c r="C2884" t="s">
        <v>6</v>
      </c>
      <c r="D2884" t="s">
        <v>23</v>
      </c>
      <c r="E2884" s="68">
        <v>42</v>
      </c>
      <c r="F2884" s="68">
        <v>25</v>
      </c>
      <c r="G2884" s="68">
        <v>67</v>
      </c>
    </row>
    <row r="2885" spans="1:7" x14ac:dyDescent="0.3">
      <c r="A2885" t="s">
        <v>939</v>
      </c>
      <c r="B2885" t="s">
        <v>40</v>
      </c>
      <c r="C2885" t="s">
        <v>24</v>
      </c>
      <c r="D2885" t="s">
        <v>7</v>
      </c>
      <c r="E2885" s="68">
        <v>1656</v>
      </c>
      <c r="F2885" s="68">
        <v>1713</v>
      </c>
      <c r="G2885" s="68">
        <v>3369</v>
      </c>
    </row>
    <row r="2886" spans="1:7" x14ac:dyDescent="0.3">
      <c r="A2886" t="s">
        <v>939</v>
      </c>
      <c r="B2886" t="s">
        <v>40</v>
      </c>
      <c r="C2886" t="s">
        <v>24</v>
      </c>
      <c r="D2886" t="s">
        <v>8</v>
      </c>
      <c r="E2886" s="68">
        <v>2942</v>
      </c>
      <c r="F2886" s="68">
        <v>3086</v>
      </c>
      <c r="G2886" s="68">
        <v>6028</v>
      </c>
    </row>
    <row r="2887" spans="1:7" x14ac:dyDescent="0.3">
      <c r="A2887" t="s">
        <v>939</v>
      </c>
      <c r="B2887" t="s">
        <v>40</v>
      </c>
      <c r="C2887" t="s">
        <v>24</v>
      </c>
      <c r="D2887" t="s">
        <v>9</v>
      </c>
      <c r="E2887" s="68">
        <v>3517</v>
      </c>
      <c r="F2887" s="68">
        <v>3629</v>
      </c>
      <c r="G2887" s="68">
        <v>7146</v>
      </c>
    </row>
    <row r="2888" spans="1:7" x14ac:dyDescent="0.3">
      <c r="A2888" t="s">
        <v>939</v>
      </c>
      <c r="B2888" t="s">
        <v>40</v>
      </c>
      <c r="C2888" t="s">
        <v>24</v>
      </c>
      <c r="D2888" t="s">
        <v>10</v>
      </c>
      <c r="E2888" s="68">
        <v>3671</v>
      </c>
      <c r="F2888" s="68">
        <v>3853</v>
      </c>
      <c r="G2888" s="68">
        <v>7524</v>
      </c>
    </row>
    <row r="2889" spans="1:7" x14ac:dyDescent="0.3">
      <c r="A2889" t="s">
        <v>939</v>
      </c>
      <c r="B2889" t="s">
        <v>40</v>
      </c>
      <c r="C2889" t="s">
        <v>24</v>
      </c>
      <c r="D2889" t="s">
        <v>11</v>
      </c>
      <c r="E2889" s="68">
        <v>2946</v>
      </c>
      <c r="F2889" s="68">
        <v>2703</v>
      </c>
      <c r="G2889" s="68">
        <v>5649</v>
      </c>
    </row>
    <row r="2890" spans="1:7" x14ac:dyDescent="0.3">
      <c r="A2890" t="s">
        <v>939</v>
      </c>
      <c r="B2890" t="s">
        <v>40</v>
      </c>
      <c r="C2890" t="s">
        <v>24</v>
      </c>
      <c r="D2890" t="s">
        <v>12</v>
      </c>
      <c r="E2890" s="68">
        <v>3263</v>
      </c>
      <c r="F2890" s="68">
        <v>2952</v>
      </c>
      <c r="G2890" s="68">
        <v>6215</v>
      </c>
    </row>
    <row r="2891" spans="1:7" x14ac:dyDescent="0.3">
      <c r="A2891" t="s">
        <v>939</v>
      </c>
      <c r="B2891" t="s">
        <v>40</v>
      </c>
      <c r="C2891" t="s">
        <v>24</v>
      </c>
      <c r="D2891" t="s">
        <v>13</v>
      </c>
      <c r="E2891" s="68">
        <v>3121</v>
      </c>
      <c r="F2891" s="68">
        <v>3013</v>
      </c>
      <c r="G2891" s="68">
        <v>6134</v>
      </c>
    </row>
    <row r="2892" spans="1:7" x14ac:dyDescent="0.3">
      <c r="A2892" t="s">
        <v>939</v>
      </c>
      <c r="B2892" t="s">
        <v>40</v>
      </c>
      <c r="C2892" t="s">
        <v>24</v>
      </c>
      <c r="D2892" t="s">
        <v>14</v>
      </c>
      <c r="E2892" s="68">
        <v>2478</v>
      </c>
      <c r="F2892" s="68">
        <v>2447</v>
      </c>
      <c r="G2892" s="68">
        <v>4925</v>
      </c>
    </row>
    <row r="2893" spans="1:7" x14ac:dyDescent="0.3">
      <c r="A2893" t="s">
        <v>939</v>
      </c>
      <c r="B2893" t="s">
        <v>40</v>
      </c>
      <c r="C2893" t="s">
        <v>24</v>
      </c>
      <c r="D2893" t="s">
        <v>15</v>
      </c>
      <c r="E2893" s="68">
        <v>3205</v>
      </c>
      <c r="F2893" s="68">
        <v>3022</v>
      </c>
      <c r="G2893" s="68">
        <v>6227</v>
      </c>
    </row>
    <row r="2894" spans="1:7" x14ac:dyDescent="0.3">
      <c r="A2894" t="s">
        <v>939</v>
      </c>
      <c r="B2894" t="s">
        <v>40</v>
      </c>
      <c r="C2894" t="s">
        <v>24</v>
      </c>
      <c r="D2894" t="s">
        <v>16</v>
      </c>
      <c r="E2894" s="68">
        <v>3025</v>
      </c>
      <c r="F2894" s="68">
        <v>2912</v>
      </c>
      <c r="G2894" s="68">
        <v>5937</v>
      </c>
    </row>
    <row r="2895" spans="1:7" x14ac:dyDescent="0.3">
      <c r="A2895" t="s">
        <v>939</v>
      </c>
      <c r="B2895" t="s">
        <v>40</v>
      </c>
      <c r="C2895" t="s">
        <v>24</v>
      </c>
      <c r="D2895" t="s">
        <v>17</v>
      </c>
      <c r="E2895" s="68">
        <v>2415</v>
      </c>
      <c r="F2895" s="68">
        <v>2391</v>
      </c>
      <c r="G2895" s="68">
        <v>4806</v>
      </c>
    </row>
    <row r="2896" spans="1:7" x14ac:dyDescent="0.3">
      <c r="A2896" t="s">
        <v>939</v>
      </c>
      <c r="B2896" t="s">
        <v>40</v>
      </c>
      <c r="C2896" t="s">
        <v>24</v>
      </c>
      <c r="D2896" t="s">
        <v>18</v>
      </c>
      <c r="E2896" s="68">
        <v>2300</v>
      </c>
      <c r="F2896" s="68">
        <v>2062</v>
      </c>
      <c r="G2896" s="68">
        <v>4362</v>
      </c>
    </row>
    <row r="2897" spans="1:7" x14ac:dyDescent="0.3">
      <c r="A2897" t="s">
        <v>939</v>
      </c>
      <c r="B2897" t="s">
        <v>40</v>
      </c>
      <c r="C2897" t="s">
        <v>24</v>
      </c>
      <c r="D2897" t="s">
        <v>19</v>
      </c>
      <c r="E2897" s="68">
        <v>2417</v>
      </c>
      <c r="F2897" s="68">
        <v>2285</v>
      </c>
      <c r="G2897" s="68">
        <v>4702</v>
      </c>
    </row>
    <row r="2898" spans="1:7" x14ac:dyDescent="0.3">
      <c r="A2898" t="s">
        <v>939</v>
      </c>
      <c r="B2898" t="s">
        <v>40</v>
      </c>
      <c r="C2898" t="s">
        <v>24</v>
      </c>
      <c r="D2898" t="s">
        <v>20</v>
      </c>
      <c r="E2898" s="68">
        <v>1875</v>
      </c>
      <c r="F2898" s="68">
        <v>1789</v>
      </c>
      <c r="G2898" s="68">
        <v>3664</v>
      </c>
    </row>
    <row r="2899" spans="1:7" x14ac:dyDescent="0.3">
      <c r="A2899" t="s">
        <v>939</v>
      </c>
      <c r="B2899" t="s">
        <v>40</v>
      </c>
      <c r="C2899" t="s">
        <v>24</v>
      </c>
      <c r="D2899" t="s">
        <v>21</v>
      </c>
      <c r="E2899" s="68">
        <v>1471</v>
      </c>
      <c r="F2899" s="68">
        <v>1357</v>
      </c>
      <c r="G2899" s="68">
        <v>2828</v>
      </c>
    </row>
    <row r="2900" spans="1:7" x14ac:dyDescent="0.3">
      <c r="A2900" t="s">
        <v>939</v>
      </c>
      <c r="B2900" t="s">
        <v>40</v>
      </c>
      <c r="C2900" t="s">
        <v>24</v>
      </c>
      <c r="D2900" t="s">
        <v>22</v>
      </c>
      <c r="E2900" s="68">
        <v>1004</v>
      </c>
      <c r="F2900" s="68">
        <v>908</v>
      </c>
      <c r="G2900" s="68">
        <v>1912</v>
      </c>
    </row>
    <row r="2901" spans="1:7" x14ac:dyDescent="0.3">
      <c r="A2901" t="s">
        <v>939</v>
      </c>
      <c r="B2901" t="s">
        <v>40</v>
      </c>
      <c r="C2901" t="s">
        <v>24</v>
      </c>
      <c r="D2901" t="s">
        <v>23</v>
      </c>
      <c r="E2901" s="68">
        <v>1483</v>
      </c>
      <c r="F2901" s="68">
        <v>1102</v>
      </c>
      <c r="G2901" s="68">
        <v>2585</v>
      </c>
    </row>
    <row r="2902" spans="1:7" x14ac:dyDescent="0.3">
      <c r="A2902" t="s">
        <v>939</v>
      </c>
      <c r="B2902" t="s">
        <v>32</v>
      </c>
      <c r="C2902" t="s">
        <v>6</v>
      </c>
      <c r="D2902" t="s">
        <v>7</v>
      </c>
      <c r="E2902" s="68">
        <v>4</v>
      </c>
      <c r="F2902" s="68">
        <v>7</v>
      </c>
      <c r="G2902" s="68">
        <v>11</v>
      </c>
    </row>
    <row r="2903" spans="1:7" x14ac:dyDescent="0.3">
      <c r="A2903" t="s">
        <v>939</v>
      </c>
      <c r="B2903" t="s">
        <v>32</v>
      </c>
      <c r="C2903" t="s">
        <v>6</v>
      </c>
      <c r="D2903" t="s">
        <v>8</v>
      </c>
      <c r="E2903" s="68">
        <v>6</v>
      </c>
      <c r="F2903" s="68">
        <v>4</v>
      </c>
      <c r="G2903" s="68">
        <v>10</v>
      </c>
    </row>
    <row r="2904" spans="1:7" x14ac:dyDescent="0.3">
      <c r="A2904" t="s">
        <v>939</v>
      </c>
      <c r="B2904" t="s">
        <v>32</v>
      </c>
      <c r="C2904" t="s">
        <v>6</v>
      </c>
      <c r="D2904" t="s">
        <v>9</v>
      </c>
      <c r="E2904" s="68">
        <v>5</v>
      </c>
      <c r="F2904" s="68">
        <v>6</v>
      </c>
      <c r="G2904" s="68">
        <v>11</v>
      </c>
    </row>
    <row r="2905" spans="1:7" x14ac:dyDescent="0.3">
      <c r="A2905" t="s">
        <v>939</v>
      </c>
      <c r="B2905" t="s">
        <v>32</v>
      </c>
      <c r="C2905" t="s">
        <v>6</v>
      </c>
      <c r="D2905" t="s">
        <v>10</v>
      </c>
      <c r="E2905" s="68">
        <v>4</v>
      </c>
      <c r="F2905" s="68">
        <v>13</v>
      </c>
      <c r="G2905" s="68">
        <v>17</v>
      </c>
    </row>
    <row r="2906" spans="1:7" x14ac:dyDescent="0.3">
      <c r="A2906" t="s">
        <v>939</v>
      </c>
      <c r="B2906" t="s">
        <v>32</v>
      </c>
      <c r="C2906" t="s">
        <v>6</v>
      </c>
      <c r="D2906" t="s">
        <v>11</v>
      </c>
      <c r="E2906" s="68">
        <v>11</v>
      </c>
      <c r="F2906" s="68">
        <v>14</v>
      </c>
      <c r="G2906" s="68">
        <v>25</v>
      </c>
    </row>
    <row r="2907" spans="1:7" x14ac:dyDescent="0.3">
      <c r="A2907" t="s">
        <v>939</v>
      </c>
      <c r="B2907" t="s">
        <v>32</v>
      </c>
      <c r="C2907" t="s">
        <v>6</v>
      </c>
      <c r="D2907" t="s">
        <v>12</v>
      </c>
      <c r="E2907" s="68">
        <v>24</v>
      </c>
      <c r="F2907" s="68">
        <v>9</v>
      </c>
      <c r="G2907" s="68">
        <v>33</v>
      </c>
    </row>
    <row r="2908" spans="1:7" x14ac:dyDescent="0.3">
      <c r="A2908" t="s">
        <v>939</v>
      </c>
      <c r="B2908" t="s">
        <v>32</v>
      </c>
      <c r="C2908" t="s">
        <v>6</v>
      </c>
      <c r="D2908" t="s">
        <v>13</v>
      </c>
      <c r="E2908" s="68">
        <v>16</v>
      </c>
      <c r="F2908" s="68">
        <v>8</v>
      </c>
      <c r="G2908" s="68">
        <v>24</v>
      </c>
    </row>
    <row r="2909" spans="1:7" x14ac:dyDescent="0.3">
      <c r="A2909" t="s">
        <v>939</v>
      </c>
      <c r="B2909" t="s">
        <v>32</v>
      </c>
      <c r="C2909" t="s">
        <v>6</v>
      </c>
      <c r="D2909" t="s">
        <v>14</v>
      </c>
      <c r="E2909" s="68">
        <v>8</v>
      </c>
      <c r="F2909" s="68">
        <v>8</v>
      </c>
      <c r="G2909" s="68">
        <v>16</v>
      </c>
    </row>
    <row r="2910" spans="1:7" x14ac:dyDescent="0.3">
      <c r="A2910" t="s">
        <v>939</v>
      </c>
      <c r="B2910" t="s">
        <v>32</v>
      </c>
      <c r="C2910" t="s">
        <v>6</v>
      </c>
      <c r="D2910" t="s">
        <v>15</v>
      </c>
      <c r="E2910" s="68">
        <v>6</v>
      </c>
      <c r="F2910" s="68">
        <v>1</v>
      </c>
      <c r="G2910" s="68">
        <v>7</v>
      </c>
    </row>
    <row r="2911" spans="1:7" x14ac:dyDescent="0.3">
      <c r="A2911" t="s">
        <v>939</v>
      </c>
      <c r="B2911" t="s">
        <v>32</v>
      </c>
      <c r="C2911" t="s">
        <v>6</v>
      </c>
      <c r="D2911" t="s">
        <v>16</v>
      </c>
      <c r="E2911" s="68">
        <v>5</v>
      </c>
      <c r="F2911" s="68">
        <v>5</v>
      </c>
      <c r="G2911" s="68">
        <v>10</v>
      </c>
    </row>
    <row r="2912" spans="1:7" x14ac:dyDescent="0.3">
      <c r="A2912" t="s">
        <v>939</v>
      </c>
      <c r="B2912" t="s">
        <v>32</v>
      </c>
      <c r="C2912" t="s">
        <v>6</v>
      </c>
      <c r="D2912" t="s">
        <v>17</v>
      </c>
      <c r="E2912" s="68">
        <v>2</v>
      </c>
      <c r="F2912" s="68">
        <v>8</v>
      </c>
      <c r="G2912" s="68">
        <v>10</v>
      </c>
    </row>
    <row r="2913" spans="1:7" x14ac:dyDescent="0.3">
      <c r="A2913" t="s">
        <v>939</v>
      </c>
      <c r="B2913" t="s">
        <v>32</v>
      </c>
      <c r="C2913" t="s">
        <v>6</v>
      </c>
      <c r="D2913" t="s">
        <v>18</v>
      </c>
      <c r="E2913" s="68">
        <v>1</v>
      </c>
      <c r="F2913" s="68">
        <v>8</v>
      </c>
      <c r="G2913" s="68">
        <v>9</v>
      </c>
    </row>
    <row r="2914" spans="1:7" x14ac:dyDescent="0.3">
      <c r="A2914" t="s">
        <v>939</v>
      </c>
      <c r="B2914" t="s">
        <v>32</v>
      </c>
      <c r="C2914" t="s">
        <v>6</v>
      </c>
      <c r="D2914" t="s">
        <v>19</v>
      </c>
      <c r="E2914" s="68"/>
      <c r="F2914" s="68">
        <v>3</v>
      </c>
      <c r="G2914" s="68">
        <v>3</v>
      </c>
    </row>
    <row r="2915" spans="1:7" x14ac:dyDescent="0.3">
      <c r="A2915" t="s">
        <v>939</v>
      </c>
      <c r="B2915" t="s">
        <v>32</v>
      </c>
      <c r="C2915" t="s">
        <v>6</v>
      </c>
      <c r="D2915" t="s">
        <v>20</v>
      </c>
      <c r="E2915" s="68"/>
      <c r="F2915" s="68">
        <v>2</v>
      </c>
      <c r="G2915" s="68">
        <v>2</v>
      </c>
    </row>
    <row r="2916" spans="1:7" x14ac:dyDescent="0.3">
      <c r="A2916" t="s">
        <v>939</v>
      </c>
      <c r="B2916" t="s">
        <v>32</v>
      </c>
      <c r="C2916" t="s">
        <v>6</v>
      </c>
      <c r="D2916" t="s">
        <v>21</v>
      </c>
      <c r="E2916" s="68"/>
      <c r="F2916" s="68">
        <v>2</v>
      </c>
      <c r="G2916" s="68">
        <v>2</v>
      </c>
    </row>
    <row r="2917" spans="1:7" x14ac:dyDescent="0.3">
      <c r="A2917" t="s">
        <v>939</v>
      </c>
      <c r="B2917" t="s">
        <v>32</v>
      </c>
      <c r="C2917" t="s">
        <v>6</v>
      </c>
      <c r="D2917" t="s">
        <v>23</v>
      </c>
      <c r="E2917" s="68">
        <v>1</v>
      </c>
      <c r="F2917" s="68"/>
      <c r="G2917" s="68">
        <v>1</v>
      </c>
    </row>
    <row r="2918" spans="1:7" x14ac:dyDescent="0.3">
      <c r="A2918" t="s">
        <v>939</v>
      </c>
      <c r="B2918" t="s">
        <v>32</v>
      </c>
      <c r="C2918" t="s">
        <v>24</v>
      </c>
      <c r="D2918" t="s">
        <v>7</v>
      </c>
      <c r="E2918" s="68">
        <v>223</v>
      </c>
      <c r="F2918" s="68">
        <v>239</v>
      </c>
      <c r="G2918" s="68">
        <v>462</v>
      </c>
    </row>
    <row r="2919" spans="1:7" x14ac:dyDescent="0.3">
      <c r="A2919" t="s">
        <v>939</v>
      </c>
      <c r="B2919" t="s">
        <v>32</v>
      </c>
      <c r="C2919" t="s">
        <v>24</v>
      </c>
      <c r="D2919" t="s">
        <v>8</v>
      </c>
      <c r="E2919" s="68">
        <v>351</v>
      </c>
      <c r="F2919" s="68">
        <v>394</v>
      </c>
      <c r="G2919" s="68">
        <v>745</v>
      </c>
    </row>
    <row r="2920" spans="1:7" x14ac:dyDescent="0.3">
      <c r="A2920" t="s">
        <v>939</v>
      </c>
      <c r="B2920" t="s">
        <v>32</v>
      </c>
      <c r="C2920" t="s">
        <v>24</v>
      </c>
      <c r="D2920" t="s">
        <v>9</v>
      </c>
      <c r="E2920" s="68">
        <v>394</v>
      </c>
      <c r="F2920" s="68">
        <v>421</v>
      </c>
      <c r="G2920" s="68">
        <v>815</v>
      </c>
    </row>
    <row r="2921" spans="1:7" x14ac:dyDescent="0.3">
      <c r="A2921" t="s">
        <v>939</v>
      </c>
      <c r="B2921" t="s">
        <v>32</v>
      </c>
      <c r="C2921" t="s">
        <v>24</v>
      </c>
      <c r="D2921" t="s">
        <v>10</v>
      </c>
      <c r="E2921" s="68">
        <v>352</v>
      </c>
      <c r="F2921" s="68">
        <v>393</v>
      </c>
      <c r="G2921" s="68">
        <v>745</v>
      </c>
    </row>
    <row r="2922" spans="1:7" x14ac:dyDescent="0.3">
      <c r="A2922" t="s">
        <v>939</v>
      </c>
      <c r="B2922" t="s">
        <v>32</v>
      </c>
      <c r="C2922" t="s">
        <v>24</v>
      </c>
      <c r="D2922" t="s">
        <v>11</v>
      </c>
      <c r="E2922" s="68">
        <v>353</v>
      </c>
      <c r="F2922" s="68">
        <v>250</v>
      </c>
      <c r="G2922" s="68">
        <v>603</v>
      </c>
    </row>
    <row r="2923" spans="1:7" x14ac:dyDescent="0.3">
      <c r="A2923" t="s">
        <v>939</v>
      </c>
      <c r="B2923" t="s">
        <v>32</v>
      </c>
      <c r="C2923" t="s">
        <v>24</v>
      </c>
      <c r="D2923" t="s">
        <v>12</v>
      </c>
      <c r="E2923" s="68">
        <v>429</v>
      </c>
      <c r="F2923" s="68">
        <v>229</v>
      </c>
      <c r="G2923" s="68">
        <v>658</v>
      </c>
    </row>
    <row r="2924" spans="1:7" x14ac:dyDescent="0.3">
      <c r="A2924" t="s">
        <v>939</v>
      </c>
      <c r="B2924" t="s">
        <v>32</v>
      </c>
      <c r="C2924" t="s">
        <v>24</v>
      </c>
      <c r="D2924" t="s">
        <v>13</v>
      </c>
      <c r="E2924" s="68">
        <v>395</v>
      </c>
      <c r="F2924" s="68">
        <v>234</v>
      </c>
      <c r="G2924" s="68">
        <v>629</v>
      </c>
    </row>
    <row r="2925" spans="1:7" x14ac:dyDescent="0.3">
      <c r="A2925" t="s">
        <v>939</v>
      </c>
      <c r="B2925" t="s">
        <v>32</v>
      </c>
      <c r="C2925" t="s">
        <v>24</v>
      </c>
      <c r="D2925" t="s">
        <v>14</v>
      </c>
      <c r="E2925" s="68">
        <v>348</v>
      </c>
      <c r="F2925" s="68">
        <v>223</v>
      </c>
      <c r="G2925" s="68">
        <v>571</v>
      </c>
    </row>
    <row r="2926" spans="1:7" x14ac:dyDescent="0.3">
      <c r="A2926" t="s">
        <v>939</v>
      </c>
      <c r="B2926" t="s">
        <v>32</v>
      </c>
      <c r="C2926" t="s">
        <v>24</v>
      </c>
      <c r="D2926" t="s">
        <v>15</v>
      </c>
      <c r="E2926" s="68">
        <v>334</v>
      </c>
      <c r="F2926" s="68">
        <v>231</v>
      </c>
      <c r="G2926" s="68">
        <v>565</v>
      </c>
    </row>
    <row r="2927" spans="1:7" x14ac:dyDescent="0.3">
      <c r="A2927" t="s">
        <v>939</v>
      </c>
      <c r="B2927" t="s">
        <v>32</v>
      </c>
      <c r="C2927" t="s">
        <v>24</v>
      </c>
      <c r="D2927" t="s">
        <v>16</v>
      </c>
      <c r="E2927" s="68">
        <v>371</v>
      </c>
      <c r="F2927" s="68">
        <v>203</v>
      </c>
      <c r="G2927" s="68">
        <v>574</v>
      </c>
    </row>
    <row r="2928" spans="1:7" x14ac:dyDescent="0.3">
      <c r="A2928" t="s">
        <v>939</v>
      </c>
      <c r="B2928" t="s">
        <v>32</v>
      </c>
      <c r="C2928" t="s">
        <v>24</v>
      </c>
      <c r="D2928" t="s">
        <v>17</v>
      </c>
      <c r="E2928" s="68">
        <v>332</v>
      </c>
      <c r="F2928" s="68">
        <v>235</v>
      </c>
      <c r="G2928" s="68">
        <v>567</v>
      </c>
    </row>
    <row r="2929" spans="1:7" x14ac:dyDescent="0.3">
      <c r="A2929" t="s">
        <v>939</v>
      </c>
      <c r="B2929" t="s">
        <v>32</v>
      </c>
      <c r="C2929" t="s">
        <v>24</v>
      </c>
      <c r="D2929" t="s">
        <v>18</v>
      </c>
      <c r="E2929" s="68">
        <v>335</v>
      </c>
      <c r="F2929" s="68">
        <v>219</v>
      </c>
      <c r="G2929" s="68">
        <v>554</v>
      </c>
    </row>
    <row r="2930" spans="1:7" x14ac:dyDescent="0.3">
      <c r="A2930" t="s">
        <v>939</v>
      </c>
      <c r="B2930" t="s">
        <v>32</v>
      </c>
      <c r="C2930" t="s">
        <v>24</v>
      </c>
      <c r="D2930" t="s">
        <v>19</v>
      </c>
      <c r="E2930" s="68">
        <v>259</v>
      </c>
      <c r="F2930" s="68">
        <v>200</v>
      </c>
      <c r="G2930" s="68">
        <v>459</v>
      </c>
    </row>
    <row r="2931" spans="1:7" x14ac:dyDescent="0.3">
      <c r="A2931" t="s">
        <v>939</v>
      </c>
      <c r="B2931" t="s">
        <v>32</v>
      </c>
      <c r="C2931" t="s">
        <v>24</v>
      </c>
      <c r="D2931" t="s">
        <v>20</v>
      </c>
      <c r="E2931" s="68">
        <v>212</v>
      </c>
      <c r="F2931" s="68">
        <v>181</v>
      </c>
      <c r="G2931" s="68">
        <v>393</v>
      </c>
    </row>
    <row r="2932" spans="1:7" x14ac:dyDescent="0.3">
      <c r="A2932" t="s">
        <v>939</v>
      </c>
      <c r="B2932" t="s">
        <v>32</v>
      </c>
      <c r="C2932" t="s">
        <v>24</v>
      </c>
      <c r="D2932" t="s">
        <v>21</v>
      </c>
      <c r="E2932" s="68">
        <v>163</v>
      </c>
      <c r="F2932" s="68">
        <v>129</v>
      </c>
      <c r="G2932" s="68">
        <v>292</v>
      </c>
    </row>
    <row r="2933" spans="1:7" x14ac:dyDescent="0.3">
      <c r="A2933" t="s">
        <v>939</v>
      </c>
      <c r="B2933" t="s">
        <v>32</v>
      </c>
      <c r="C2933" t="s">
        <v>24</v>
      </c>
      <c r="D2933" t="s">
        <v>22</v>
      </c>
      <c r="E2933" s="68">
        <v>106</v>
      </c>
      <c r="F2933" s="68">
        <v>85</v>
      </c>
      <c r="G2933" s="68">
        <v>191</v>
      </c>
    </row>
    <row r="2934" spans="1:7" x14ac:dyDescent="0.3">
      <c r="A2934" t="s">
        <v>939</v>
      </c>
      <c r="B2934" t="s">
        <v>32</v>
      </c>
      <c r="C2934" t="s">
        <v>24</v>
      </c>
      <c r="D2934" t="s">
        <v>23</v>
      </c>
      <c r="E2934" s="68">
        <v>146</v>
      </c>
      <c r="F2934" s="68">
        <v>106</v>
      </c>
      <c r="G2934" s="68">
        <v>252</v>
      </c>
    </row>
    <row r="2935" spans="1:7" x14ac:dyDescent="0.3">
      <c r="A2935" t="s">
        <v>939</v>
      </c>
      <c r="B2935" t="s">
        <v>5</v>
      </c>
      <c r="C2935" t="s">
        <v>6</v>
      </c>
      <c r="D2935" t="s">
        <v>7</v>
      </c>
      <c r="E2935" s="68">
        <v>1667</v>
      </c>
      <c r="F2935" s="68">
        <v>1769</v>
      </c>
      <c r="G2935" s="68">
        <v>3436</v>
      </c>
    </row>
    <row r="2936" spans="1:7" x14ac:dyDescent="0.3">
      <c r="A2936" t="s">
        <v>939</v>
      </c>
      <c r="B2936" t="s">
        <v>5</v>
      </c>
      <c r="C2936" t="s">
        <v>6</v>
      </c>
      <c r="D2936" t="s">
        <v>8</v>
      </c>
      <c r="E2936" s="68">
        <v>2575</v>
      </c>
      <c r="F2936" s="68">
        <v>2755</v>
      </c>
      <c r="G2936" s="68">
        <v>5330</v>
      </c>
    </row>
    <row r="2937" spans="1:7" x14ac:dyDescent="0.3">
      <c r="A2937" t="s">
        <v>939</v>
      </c>
      <c r="B2937" t="s">
        <v>5</v>
      </c>
      <c r="C2937" t="s">
        <v>6</v>
      </c>
      <c r="D2937" t="s">
        <v>9</v>
      </c>
      <c r="E2937" s="68">
        <v>2963</v>
      </c>
      <c r="F2937" s="68">
        <v>3072</v>
      </c>
      <c r="G2937" s="68">
        <v>6035</v>
      </c>
    </row>
    <row r="2938" spans="1:7" x14ac:dyDescent="0.3">
      <c r="A2938" t="s">
        <v>939</v>
      </c>
      <c r="B2938" t="s">
        <v>5</v>
      </c>
      <c r="C2938" t="s">
        <v>6</v>
      </c>
      <c r="D2938" t="s">
        <v>10</v>
      </c>
      <c r="E2938" s="68">
        <v>2971</v>
      </c>
      <c r="F2938" s="68">
        <v>2942</v>
      </c>
      <c r="G2938" s="68">
        <v>5913</v>
      </c>
    </row>
    <row r="2939" spans="1:7" x14ac:dyDescent="0.3">
      <c r="A2939" t="s">
        <v>939</v>
      </c>
      <c r="B2939" t="s">
        <v>5</v>
      </c>
      <c r="C2939" t="s">
        <v>6</v>
      </c>
      <c r="D2939" t="s">
        <v>11</v>
      </c>
      <c r="E2939" s="68">
        <v>2876</v>
      </c>
      <c r="F2939" s="68">
        <v>2687</v>
      </c>
      <c r="G2939" s="68">
        <v>5563</v>
      </c>
    </row>
    <row r="2940" spans="1:7" x14ac:dyDescent="0.3">
      <c r="A2940" t="s">
        <v>939</v>
      </c>
      <c r="B2940" t="s">
        <v>5</v>
      </c>
      <c r="C2940" t="s">
        <v>6</v>
      </c>
      <c r="D2940" t="s">
        <v>12</v>
      </c>
      <c r="E2940" s="68">
        <v>3530</v>
      </c>
      <c r="F2940" s="68">
        <v>3078</v>
      </c>
      <c r="G2940" s="68">
        <v>6608</v>
      </c>
    </row>
    <row r="2941" spans="1:7" x14ac:dyDescent="0.3">
      <c r="A2941" t="s">
        <v>939</v>
      </c>
      <c r="B2941" t="s">
        <v>5</v>
      </c>
      <c r="C2941" t="s">
        <v>6</v>
      </c>
      <c r="D2941" t="s">
        <v>13</v>
      </c>
      <c r="E2941" s="68">
        <v>4896</v>
      </c>
      <c r="F2941" s="68">
        <v>4128</v>
      </c>
      <c r="G2941" s="68">
        <v>9024</v>
      </c>
    </row>
    <row r="2942" spans="1:7" x14ac:dyDescent="0.3">
      <c r="A2942" t="s">
        <v>939</v>
      </c>
      <c r="B2942" t="s">
        <v>5</v>
      </c>
      <c r="C2942" t="s">
        <v>6</v>
      </c>
      <c r="D2942" t="s">
        <v>14</v>
      </c>
      <c r="E2942" s="68">
        <v>4910</v>
      </c>
      <c r="F2942" s="68">
        <v>4341</v>
      </c>
      <c r="G2942" s="68">
        <v>9251</v>
      </c>
    </row>
    <row r="2943" spans="1:7" x14ac:dyDescent="0.3">
      <c r="A2943" t="s">
        <v>939</v>
      </c>
      <c r="B2943" t="s">
        <v>5</v>
      </c>
      <c r="C2943" t="s">
        <v>6</v>
      </c>
      <c r="D2943" t="s">
        <v>15</v>
      </c>
      <c r="E2943" s="68">
        <v>4923</v>
      </c>
      <c r="F2943" s="68">
        <v>4277</v>
      </c>
      <c r="G2943" s="68">
        <v>9200</v>
      </c>
    </row>
    <row r="2944" spans="1:7" x14ac:dyDescent="0.3">
      <c r="A2944" t="s">
        <v>939</v>
      </c>
      <c r="B2944" t="s">
        <v>5</v>
      </c>
      <c r="C2944" t="s">
        <v>6</v>
      </c>
      <c r="D2944" t="s">
        <v>16</v>
      </c>
      <c r="E2944" s="68">
        <v>4200</v>
      </c>
      <c r="F2944" s="68">
        <v>3789</v>
      </c>
      <c r="G2944" s="68">
        <v>7989</v>
      </c>
    </row>
    <row r="2945" spans="1:7" x14ac:dyDescent="0.3">
      <c r="A2945" t="s">
        <v>939</v>
      </c>
      <c r="B2945" t="s">
        <v>5</v>
      </c>
      <c r="C2945" t="s">
        <v>6</v>
      </c>
      <c r="D2945" t="s">
        <v>17</v>
      </c>
      <c r="E2945" s="68">
        <v>3065</v>
      </c>
      <c r="F2945" s="68">
        <v>2750</v>
      </c>
      <c r="G2945" s="68">
        <v>5815</v>
      </c>
    </row>
    <row r="2946" spans="1:7" x14ac:dyDescent="0.3">
      <c r="A2946" t="s">
        <v>939</v>
      </c>
      <c r="B2946" t="s">
        <v>5</v>
      </c>
      <c r="C2946" t="s">
        <v>6</v>
      </c>
      <c r="D2946" t="s">
        <v>18</v>
      </c>
      <c r="E2946" s="68">
        <v>2354</v>
      </c>
      <c r="F2946" s="68">
        <v>2197</v>
      </c>
      <c r="G2946" s="68">
        <v>4551</v>
      </c>
    </row>
    <row r="2947" spans="1:7" x14ac:dyDescent="0.3">
      <c r="A2947" t="s">
        <v>939</v>
      </c>
      <c r="B2947" t="s">
        <v>5</v>
      </c>
      <c r="C2947" t="s">
        <v>6</v>
      </c>
      <c r="D2947" t="s">
        <v>19</v>
      </c>
      <c r="E2947" s="68">
        <v>2135</v>
      </c>
      <c r="F2947" s="68">
        <v>1791</v>
      </c>
      <c r="G2947" s="68">
        <v>3926</v>
      </c>
    </row>
    <row r="2948" spans="1:7" x14ac:dyDescent="0.3">
      <c r="A2948" t="s">
        <v>939</v>
      </c>
      <c r="B2948" t="s">
        <v>5</v>
      </c>
      <c r="C2948" t="s">
        <v>6</v>
      </c>
      <c r="D2948" t="s">
        <v>20</v>
      </c>
      <c r="E2948" s="68">
        <v>1583</v>
      </c>
      <c r="F2948" s="68">
        <v>1244</v>
      </c>
      <c r="G2948" s="68">
        <v>2827</v>
      </c>
    </row>
    <row r="2949" spans="1:7" x14ac:dyDescent="0.3">
      <c r="A2949" t="s">
        <v>939</v>
      </c>
      <c r="B2949" t="s">
        <v>5</v>
      </c>
      <c r="C2949" t="s">
        <v>6</v>
      </c>
      <c r="D2949" t="s">
        <v>21</v>
      </c>
      <c r="E2949" s="68">
        <v>1262</v>
      </c>
      <c r="F2949" s="68">
        <v>917</v>
      </c>
      <c r="G2949" s="68">
        <v>2179</v>
      </c>
    </row>
    <row r="2950" spans="1:7" x14ac:dyDescent="0.3">
      <c r="A2950" t="s">
        <v>939</v>
      </c>
      <c r="B2950" t="s">
        <v>5</v>
      </c>
      <c r="C2950" t="s">
        <v>6</v>
      </c>
      <c r="D2950" t="s">
        <v>22</v>
      </c>
      <c r="E2950" s="68">
        <v>863</v>
      </c>
      <c r="F2950" s="68">
        <v>647</v>
      </c>
      <c r="G2950" s="68">
        <v>1510</v>
      </c>
    </row>
    <row r="2951" spans="1:7" x14ac:dyDescent="0.3">
      <c r="A2951" t="s">
        <v>939</v>
      </c>
      <c r="B2951" t="s">
        <v>5</v>
      </c>
      <c r="C2951" t="s">
        <v>6</v>
      </c>
      <c r="D2951" t="s">
        <v>23</v>
      </c>
      <c r="E2951" s="68">
        <v>1165</v>
      </c>
      <c r="F2951" s="68">
        <v>699</v>
      </c>
      <c r="G2951" s="68">
        <v>1864</v>
      </c>
    </row>
    <row r="2952" spans="1:7" x14ac:dyDescent="0.3">
      <c r="A2952" t="s">
        <v>939</v>
      </c>
      <c r="B2952" t="s">
        <v>5</v>
      </c>
      <c r="C2952" t="s">
        <v>24</v>
      </c>
      <c r="D2952" t="s">
        <v>7</v>
      </c>
      <c r="E2952" s="68">
        <v>802</v>
      </c>
      <c r="F2952" s="68">
        <v>815</v>
      </c>
      <c r="G2952" s="68">
        <v>1617</v>
      </c>
    </row>
    <row r="2953" spans="1:7" x14ac:dyDescent="0.3">
      <c r="A2953" t="s">
        <v>939</v>
      </c>
      <c r="B2953" t="s">
        <v>5</v>
      </c>
      <c r="C2953" t="s">
        <v>24</v>
      </c>
      <c r="D2953" t="s">
        <v>8</v>
      </c>
      <c r="E2953" s="68">
        <v>1030</v>
      </c>
      <c r="F2953" s="68">
        <v>1099</v>
      </c>
      <c r="G2953" s="68">
        <v>2129</v>
      </c>
    </row>
    <row r="2954" spans="1:7" x14ac:dyDescent="0.3">
      <c r="A2954" t="s">
        <v>939</v>
      </c>
      <c r="B2954" t="s">
        <v>5</v>
      </c>
      <c r="C2954" t="s">
        <v>24</v>
      </c>
      <c r="D2954" t="s">
        <v>9</v>
      </c>
      <c r="E2954" s="68">
        <v>1056</v>
      </c>
      <c r="F2954" s="68">
        <v>1120</v>
      </c>
      <c r="G2954" s="68">
        <v>2176</v>
      </c>
    </row>
    <row r="2955" spans="1:7" x14ac:dyDescent="0.3">
      <c r="A2955" t="s">
        <v>939</v>
      </c>
      <c r="B2955" t="s">
        <v>5</v>
      </c>
      <c r="C2955" t="s">
        <v>24</v>
      </c>
      <c r="D2955" t="s">
        <v>10</v>
      </c>
      <c r="E2955" s="68">
        <v>1096</v>
      </c>
      <c r="F2955" s="68">
        <v>1122</v>
      </c>
      <c r="G2955" s="68">
        <v>2218</v>
      </c>
    </row>
    <row r="2956" spans="1:7" x14ac:dyDescent="0.3">
      <c r="A2956" t="s">
        <v>939</v>
      </c>
      <c r="B2956" t="s">
        <v>5</v>
      </c>
      <c r="C2956" t="s">
        <v>24</v>
      </c>
      <c r="D2956" t="s">
        <v>11</v>
      </c>
      <c r="E2956" s="68">
        <v>1359</v>
      </c>
      <c r="F2956" s="68">
        <v>1349</v>
      </c>
      <c r="G2956" s="68">
        <v>2708</v>
      </c>
    </row>
    <row r="2957" spans="1:7" x14ac:dyDescent="0.3">
      <c r="A2957" t="s">
        <v>939</v>
      </c>
      <c r="B2957" t="s">
        <v>5</v>
      </c>
      <c r="C2957" t="s">
        <v>24</v>
      </c>
      <c r="D2957" t="s">
        <v>12</v>
      </c>
      <c r="E2957" s="68">
        <v>2005</v>
      </c>
      <c r="F2957" s="68">
        <v>1978</v>
      </c>
      <c r="G2957" s="68">
        <v>3983</v>
      </c>
    </row>
    <row r="2958" spans="1:7" x14ac:dyDescent="0.3">
      <c r="A2958" t="s">
        <v>939</v>
      </c>
      <c r="B2958" t="s">
        <v>5</v>
      </c>
      <c r="C2958" t="s">
        <v>24</v>
      </c>
      <c r="D2958" t="s">
        <v>13</v>
      </c>
      <c r="E2958" s="68">
        <v>1726</v>
      </c>
      <c r="F2958" s="68">
        <v>1789</v>
      </c>
      <c r="G2958" s="68">
        <v>3515</v>
      </c>
    </row>
    <row r="2959" spans="1:7" x14ac:dyDescent="0.3">
      <c r="A2959" t="s">
        <v>939</v>
      </c>
      <c r="B2959" t="s">
        <v>5</v>
      </c>
      <c r="C2959" t="s">
        <v>24</v>
      </c>
      <c r="D2959" t="s">
        <v>14</v>
      </c>
      <c r="E2959" s="68">
        <v>1510</v>
      </c>
      <c r="F2959" s="68">
        <v>1467</v>
      </c>
      <c r="G2959" s="68">
        <v>2977</v>
      </c>
    </row>
    <row r="2960" spans="1:7" x14ac:dyDescent="0.3">
      <c r="A2960" t="s">
        <v>939</v>
      </c>
      <c r="B2960" t="s">
        <v>5</v>
      </c>
      <c r="C2960" t="s">
        <v>24</v>
      </c>
      <c r="D2960" t="s">
        <v>15</v>
      </c>
      <c r="E2960" s="68">
        <v>1360</v>
      </c>
      <c r="F2960" s="68">
        <v>1376</v>
      </c>
      <c r="G2960" s="68">
        <v>2736</v>
      </c>
    </row>
    <row r="2961" spans="1:7" x14ac:dyDescent="0.3">
      <c r="A2961" t="s">
        <v>939</v>
      </c>
      <c r="B2961" t="s">
        <v>5</v>
      </c>
      <c r="C2961" t="s">
        <v>24</v>
      </c>
      <c r="D2961" t="s">
        <v>16</v>
      </c>
      <c r="E2961" s="68">
        <v>1232</v>
      </c>
      <c r="F2961" s="68">
        <v>1105</v>
      </c>
      <c r="G2961" s="68">
        <v>2337</v>
      </c>
    </row>
    <row r="2962" spans="1:7" x14ac:dyDescent="0.3">
      <c r="A2962" t="s">
        <v>939</v>
      </c>
      <c r="B2962" t="s">
        <v>5</v>
      </c>
      <c r="C2962" t="s">
        <v>24</v>
      </c>
      <c r="D2962" t="s">
        <v>17</v>
      </c>
      <c r="E2962" s="68">
        <v>913</v>
      </c>
      <c r="F2962" s="68">
        <v>883</v>
      </c>
      <c r="G2962" s="68">
        <v>1796</v>
      </c>
    </row>
    <row r="2963" spans="1:7" x14ac:dyDescent="0.3">
      <c r="A2963" t="s">
        <v>939</v>
      </c>
      <c r="B2963" t="s">
        <v>5</v>
      </c>
      <c r="C2963" t="s">
        <v>24</v>
      </c>
      <c r="D2963" t="s">
        <v>18</v>
      </c>
      <c r="E2963" s="68">
        <v>774</v>
      </c>
      <c r="F2963" s="68">
        <v>771</v>
      </c>
      <c r="G2963" s="68">
        <v>1545</v>
      </c>
    </row>
    <row r="2964" spans="1:7" x14ac:dyDescent="0.3">
      <c r="A2964" t="s">
        <v>939</v>
      </c>
      <c r="B2964" t="s">
        <v>5</v>
      </c>
      <c r="C2964" t="s">
        <v>24</v>
      </c>
      <c r="D2964" t="s">
        <v>19</v>
      </c>
      <c r="E2964" s="68">
        <v>674</v>
      </c>
      <c r="F2964" s="68">
        <v>611</v>
      </c>
      <c r="G2964" s="68">
        <v>1285</v>
      </c>
    </row>
    <row r="2965" spans="1:7" x14ac:dyDescent="0.3">
      <c r="A2965" t="s">
        <v>939</v>
      </c>
      <c r="B2965" t="s">
        <v>5</v>
      </c>
      <c r="C2965" t="s">
        <v>24</v>
      </c>
      <c r="D2965" t="s">
        <v>20</v>
      </c>
      <c r="E2965" s="68">
        <v>474</v>
      </c>
      <c r="F2965" s="68">
        <v>403</v>
      </c>
      <c r="G2965" s="68">
        <v>877</v>
      </c>
    </row>
    <row r="2966" spans="1:7" x14ac:dyDescent="0.3">
      <c r="A2966" t="s">
        <v>939</v>
      </c>
      <c r="B2966" t="s">
        <v>5</v>
      </c>
      <c r="C2966" t="s">
        <v>24</v>
      </c>
      <c r="D2966" t="s">
        <v>21</v>
      </c>
      <c r="E2966" s="68">
        <v>343</v>
      </c>
      <c r="F2966" s="68">
        <v>311</v>
      </c>
      <c r="G2966" s="68">
        <v>654</v>
      </c>
    </row>
    <row r="2967" spans="1:7" x14ac:dyDescent="0.3">
      <c r="A2967" t="s">
        <v>939</v>
      </c>
      <c r="B2967" t="s">
        <v>5</v>
      </c>
      <c r="C2967" t="s">
        <v>24</v>
      </c>
      <c r="D2967" t="s">
        <v>22</v>
      </c>
      <c r="E2967" s="68">
        <v>228</v>
      </c>
      <c r="F2967" s="68">
        <v>176</v>
      </c>
      <c r="G2967" s="68">
        <v>404</v>
      </c>
    </row>
    <row r="2968" spans="1:7" x14ac:dyDescent="0.3">
      <c r="A2968" t="s">
        <v>939</v>
      </c>
      <c r="B2968" t="s">
        <v>5</v>
      </c>
      <c r="C2968" t="s">
        <v>24</v>
      </c>
      <c r="D2968" t="s">
        <v>23</v>
      </c>
      <c r="E2968" s="68">
        <v>373</v>
      </c>
      <c r="F2968" s="68">
        <v>260</v>
      </c>
      <c r="G2968" s="68">
        <v>633</v>
      </c>
    </row>
    <row r="2969" spans="1:7" x14ac:dyDescent="0.3">
      <c r="A2969" t="s">
        <v>939</v>
      </c>
      <c r="B2969" t="s">
        <v>33</v>
      </c>
      <c r="C2969" t="s">
        <v>6</v>
      </c>
      <c r="D2969" t="s">
        <v>7</v>
      </c>
      <c r="E2969" s="68">
        <v>1002</v>
      </c>
      <c r="F2969" s="68">
        <v>1002</v>
      </c>
      <c r="G2969" s="68">
        <v>2004</v>
      </c>
    </row>
    <row r="2970" spans="1:7" x14ac:dyDescent="0.3">
      <c r="A2970" t="s">
        <v>939</v>
      </c>
      <c r="B2970" t="s">
        <v>33</v>
      </c>
      <c r="C2970" t="s">
        <v>6</v>
      </c>
      <c r="D2970" t="s">
        <v>8</v>
      </c>
      <c r="E2970" s="68">
        <v>1493</v>
      </c>
      <c r="F2970" s="68">
        <v>1469</v>
      </c>
      <c r="G2970" s="68">
        <v>2962</v>
      </c>
    </row>
    <row r="2971" spans="1:7" x14ac:dyDescent="0.3">
      <c r="A2971" t="s">
        <v>939</v>
      </c>
      <c r="B2971" t="s">
        <v>33</v>
      </c>
      <c r="C2971" t="s">
        <v>6</v>
      </c>
      <c r="D2971" t="s">
        <v>9</v>
      </c>
      <c r="E2971" s="68">
        <v>1571</v>
      </c>
      <c r="F2971" s="68">
        <v>1646</v>
      </c>
      <c r="G2971" s="68">
        <v>3217</v>
      </c>
    </row>
    <row r="2972" spans="1:7" x14ac:dyDescent="0.3">
      <c r="A2972" t="s">
        <v>939</v>
      </c>
      <c r="B2972" t="s">
        <v>33</v>
      </c>
      <c r="C2972" t="s">
        <v>6</v>
      </c>
      <c r="D2972" t="s">
        <v>10</v>
      </c>
      <c r="E2972" s="68">
        <v>1747</v>
      </c>
      <c r="F2972" s="68">
        <v>1850</v>
      </c>
      <c r="G2972" s="68">
        <v>3597</v>
      </c>
    </row>
    <row r="2973" spans="1:7" x14ac:dyDescent="0.3">
      <c r="A2973" t="s">
        <v>939</v>
      </c>
      <c r="B2973" t="s">
        <v>33</v>
      </c>
      <c r="C2973" t="s">
        <v>6</v>
      </c>
      <c r="D2973" t="s">
        <v>11</v>
      </c>
      <c r="E2973" s="68">
        <v>1828</v>
      </c>
      <c r="F2973" s="68">
        <v>1687</v>
      </c>
      <c r="G2973" s="68">
        <v>3515</v>
      </c>
    </row>
    <row r="2974" spans="1:7" x14ac:dyDescent="0.3">
      <c r="A2974" t="s">
        <v>939</v>
      </c>
      <c r="B2974" t="s">
        <v>33</v>
      </c>
      <c r="C2974" t="s">
        <v>6</v>
      </c>
      <c r="D2974" t="s">
        <v>12</v>
      </c>
      <c r="E2974" s="68">
        <v>1265</v>
      </c>
      <c r="F2974" s="68">
        <v>1201</v>
      </c>
      <c r="G2974" s="68">
        <v>2466</v>
      </c>
    </row>
    <row r="2975" spans="1:7" x14ac:dyDescent="0.3">
      <c r="A2975" t="s">
        <v>939</v>
      </c>
      <c r="B2975" t="s">
        <v>33</v>
      </c>
      <c r="C2975" t="s">
        <v>6</v>
      </c>
      <c r="D2975" t="s">
        <v>13</v>
      </c>
      <c r="E2975" s="68">
        <v>1621</v>
      </c>
      <c r="F2975" s="68">
        <v>1587</v>
      </c>
      <c r="G2975" s="68">
        <v>3208</v>
      </c>
    </row>
    <row r="2976" spans="1:7" x14ac:dyDescent="0.3">
      <c r="A2976" t="s">
        <v>939</v>
      </c>
      <c r="B2976" t="s">
        <v>33</v>
      </c>
      <c r="C2976" t="s">
        <v>6</v>
      </c>
      <c r="D2976" t="s">
        <v>14</v>
      </c>
      <c r="E2976" s="68">
        <v>1943</v>
      </c>
      <c r="F2976" s="68">
        <v>1675</v>
      </c>
      <c r="G2976" s="68">
        <v>3618</v>
      </c>
    </row>
    <row r="2977" spans="1:7" x14ac:dyDescent="0.3">
      <c r="A2977" t="s">
        <v>939</v>
      </c>
      <c r="B2977" t="s">
        <v>33</v>
      </c>
      <c r="C2977" t="s">
        <v>6</v>
      </c>
      <c r="D2977" t="s">
        <v>15</v>
      </c>
      <c r="E2977" s="68">
        <v>1958</v>
      </c>
      <c r="F2977" s="68">
        <v>1981</v>
      </c>
      <c r="G2977" s="68">
        <v>3939</v>
      </c>
    </row>
    <row r="2978" spans="1:7" x14ac:dyDescent="0.3">
      <c r="A2978" t="s">
        <v>939</v>
      </c>
      <c r="B2978" t="s">
        <v>33</v>
      </c>
      <c r="C2978" t="s">
        <v>6</v>
      </c>
      <c r="D2978" t="s">
        <v>16</v>
      </c>
      <c r="E2978" s="68">
        <v>1891</v>
      </c>
      <c r="F2978" s="68">
        <v>1906</v>
      </c>
      <c r="G2978" s="68">
        <v>3797</v>
      </c>
    </row>
    <row r="2979" spans="1:7" x14ac:dyDescent="0.3">
      <c r="A2979" t="s">
        <v>939</v>
      </c>
      <c r="B2979" t="s">
        <v>33</v>
      </c>
      <c r="C2979" t="s">
        <v>6</v>
      </c>
      <c r="D2979" t="s">
        <v>17</v>
      </c>
      <c r="E2979" s="68">
        <v>1501</v>
      </c>
      <c r="F2979" s="68">
        <v>1684</v>
      </c>
      <c r="G2979" s="68">
        <v>3185</v>
      </c>
    </row>
    <row r="2980" spans="1:7" x14ac:dyDescent="0.3">
      <c r="A2980" t="s">
        <v>939</v>
      </c>
      <c r="B2980" t="s">
        <v>33</v>
      </c>
      <c r="C2980" t="s">
        <v>6</v>
      </c>
      <c r="D2980" t="s">
        <v>18</v>
      </c>
      <c r="E2980" s="68">
        <v>1301</v>
      </c>
      <c r="F2980" s="68">
        <v>1333</v>
      </c>
      <c r="G2980" s="68">
        <v>2634</v>
      </c>
    </row>
    <row r="2981" spans="1:7" x14ac:dyDescent="0.3">
      <c r="A2981" t="s">
        <v>939</v>
      </c>
      <c r="B2981" t="s">
        <v>33</v>
      </c>
      <c r="C2981" t="s">
        <v>6</v>
      </c>
      <c r="D2981" t="s">
        <v>19</v>
      </c>
      <c r="E2981" s="68">
        <v>1081</v>
      </c>
      <c r="F2981" s="68">
        <v>1080</v>
      </c>
      <c r="G2981" s="68">
        <v>2161</v>
      </c>
    </row>
    <row r="2982" spans="1:7" x14ac:dyDescent="0.3">
      <c r="A2982" t="s">
        <v>939</v>
      </c>
      <c r="B2982" t="s">
        <v>33</v>
      </c>
      <c r="C2982" t="s">
        <v>6</v>
      </c>
      <c r="D2982" t="s">
        <v>20</v>
      </c>
      <c r="E2982" s="68">
        <v>839</v>
      </c>
      <c r="F2982" s="68">
        <v>903</v>
      </c>
      <c r="G2982" s="68">
        <v>1742</v>
      </c>
    </row>
    <row r="2983" spans="1:7" x14ac:dyDescent="0.3">
      <c r="A2983" t="s">
        <v>939</v>
      </c>
      <c r="B2983" t="s">
        <v>33</v>
      </c>
      <c r="C2983" t="s">
        <v>6</v>
      </c>
      <c r="D2983" t="s">
        <v>21</v>
      </c>
      <c r="E2983" s="68">
        <v>566</v>
      </c>
      <c r="F2983" s="68">
        <v>575</v>
      </c>
      <c r="G2983" s="68">
        <v>1141</v>
      </c>
    </row>
    <row r="2984" spans="1:7" x14ac:dyDescent="0.3">
      <c r="A2984" t="s">
        <v>939</v>
      </c>
      <c r="B2984" t="s">
        <v>33</v>
      </c>
      <c r="C2984" t="s">
        <v>6</v>
      </c>
      <c r="D2984" t="s">
        <v>22</v>
      </c>
      <c r="E2984" s="68">
        <v>330</v>
      </c>
      <c r="F2984" s="68">
        <v>356</v>
      </c>
      <c r="G2984" s="68">
        <v>686</v>
      </c>
    </row>
    <row r="2985" spans="1:7" x14ac:dyDescent="0.3">
      <c r="A2985" t="s">
        <v>939</v>
      </c>
      <c r="B2985" t="s">
        <v>33</v>
      </c>
      <c r="C2985" t="s">
        <v>6</v>
      </c>
      <c r="D2985" t="s">
        <v>23</v>
      </c>
      <c r="E2985" s="68">
        <v>295</v>
      </c>
      <c r="F2985" s="68">
        <v>207</v>
      </c>
      <c r="G2985" s="68">
        <v>502</v>
      </c>
    </row>
    <row r="2986" spans="1:7" x14ac:dyDescent="0.3">
      <c r="A2986" t="s">
        <v>939</v>
      </c>
      <c r="B2986" t="s">
        <v>33</v>
      </c>
      <c r="C2986" t="s">
        <v>24</v>
      </c>
      <c r="D2986" t="s">
        <v>7</v>
      </c>
      <c r="E2986" s="68">
        <v>474</v>
      </c>
      <c r="F2986" s="68">
        <v>444</v>
      </c>
      <c r="G2986" s="68">
        <v>918</v>
      </c>
    </row>
    <row r="2987" spans="1:7" x14ac:dyDescent="0.3">
      <c r="A2987" t="s">
        <v>939</v>
      </c>
      <c r="B2987" t="s">
        <v>33</v>
      </c>
      <c r="C2987" t="s">
        <v>24</v>
      </c>
      <c r="D2987" t="s">
        <v>8</v>
      </c>
      <c r="E2987" s="68">
        <v>588</v>
      </c>
      <c r="F2987" s="68">
        <v>646</v>
      </c>
      <c r="G2987" s="68">
        <v>1234</v>
      </c>
    </row>
    <row r="2988" spans="1:7" x14ac:dyDescent="0.3">
      <c r="A2988" t="s">
        <v>939</v>
      </c>
      <c r="B2988" t="s">
        <v>33</v>
      </c>
      <c r="C2988" t="s">
        <v>24</v>
      </c>
      <c r="D2988" t="s">
        <v>9</v>
      </c>
      <c r="E2988" s="68">
        <v>518</v>
      </c>
      <c r="F2988" s="68">
        <v>600</v>
      </c>
      <c r="G2988" s="68">
        <v>1118</v>
      </c>
    </row>
    <row r="2989" spans="1:7" x14ac:dyDescent="0.3">
      <c r="A2989" t="s">
        <v>939</v>
      </c>
      <c r="B2989" t="s">
        <v>33</v>
      </c>
      <c r="C2989" t="s">
        <v>24</v>
      </c>
      <c r="D2989" t="s">
        <v>10</v>
      </c>
      <c r="E2989" s="68">
        <v>571</v>
      </c>
      <c r="F2989" s="68">
        <v>606</v>
      </c>
      <c r="G2989" s="68">
        <v>1177</v>
      </c>
    </row>
    <row r="2990" spans="1:7" x14ac:dyDescent="0.3">
      <c r="A2990" t="s">
        <v>939</v>
      </c>
      <c r="B2990" t="s">
        <v>33</v>
      </c>
      <c r="C2990" t="s">
        <v>24</v>
      </c>
      <c r="D2990" t="s">
        <v>11</v>
      </c>
      <c r="E2990" s="68">
        <v>618</v>
      </c>
      <c r="F2990" s="68">
        <v>547</v>
      </c>
      <c r="G2990" s="68">
        <v>1165</v>
      </c>
    </row>
    <row r="2991" spans="1:7" x14ac:dyDescent="0.3">
      <c r="A2991" t="s">
        <v>939</v>
      </c>
      <c r="B2991" t="s">
        <v>33</v>
      </c>
      <c r="C2991" t="s">
        <v>24</v>
      </c>
      <c r="D2991" t="s">
        <v>12</v>
      </c>
      <c r="E2991" s="68">
        <v>1176</v>
      </c>
      <c r="F2991" s="68">
        <v>863</v>
      </c>
      <c r="G2991" s="68">
        <v>2039</v>
      </c>
    </row>
    <row r="2992" spans="1:7" x14ac:dyDescent="0.3">
      <c r="A2992" t="s">
        <v>939</v>
      </c>
      <c r="B2992" t="s">
        <v>33</v>
      </c>
      <c r="C2992" t="s">
        <v>24</v>
      </c>
      <c r="D2992" t="s">
        <v>13</v>
      </c>
      <c r="E2992" s="68">
        <v>909</v>
      </c>
      <c r="F2992" s="68">
        <v>874</v>
      </c>
      <c r="G2992" s="68">
        <v>1783</v>
      </c>
    </row>
    <row r="2993" spans="1:7" x14ac:dyDescent="0.3">
      <c r="A2993" t="s">
        <v>939</v>
      </c>
      <c r="B2993" t="s">
        <v>33</v>
      </c>
      <c r="C2993" t="s">
        <v>24</v>
      </c>
      <c r="D2993" t="s">
        <v>14</v>
      </c>
      <c r="E2993" s="68">
        <v>840</v>
      </c>
      <c r="F2993" s="68">
        <v>827</v>
      </c>
      <c r="G2993" s="68">
        <v>1667</v>
      </c>
    </row>
    <row r="2994" spans="1:7" x14ac:dyDescent="0.3">
      <c r="A2994" t="s">
        <v>939</v>
      </c>
      <c r="B2994" t="s">
        <v>33</v>
      </c>
      <c r="C2994" t="s">
        <v>24</v>
      </c>
      <c r="D2994" t="s">
        <v>15</v>
      </c>
      <c r="E2994" s="68">
        <v>790</v>
      </c>
      <c r="F2994" s="68">
        <v>797</v>
      </c>
      <c r="G2994" s="68">
        <v>1587</v>
      </c>
    </row>
    <row r="2995" spans="1:7" x14ac:dyDescent="0.3">
      <c r="A2995" t="s">
        <v>939</v>
      </c>
      <c r="B2995" t="s">
        <v>33</v>
      </c>
      <c r="C2995" t="s">
        <v>24</v>
      </c>
      <c r="D2995" t="s">
        <v>16</v>
      </c>
      <c r="E2995" s="68">
        <v>724</v>
      </c>
      <c r="F2995" s="68">
        <v>674</v>
      </c>
      <c r="G2995" s="68">
        <v>1398</v>
      </c>
    </row>
    <row r="2996" spans="1:7" x14ac:dyDescent="0.3">
      <c r="A2996" t="s">
        <v>939</v>
      </c>
      <c r="B2996" t="s">
        <v>33</v>
      </c>
      <c r="C2996" t="s">
        <v>24</v>
      </c>
      <c r="D2996" t="s">
        <v>17</v>
      </c>
      <c r="E2996" s="68">
        <v>552</v>
      </c>
      <c r="F2996" s="68">
        <v>513</v>
      </c>
      <c r="G2996" s="68">
        <v>1065</v>
      </c>
    </row>
    <row r="2997" spans="1:7" x14ac:dyDescent="0.3">
      <c r="A2997" t="s">
        <v>939</v>
      </c>
      <c r="B2997" t="s">
        <v>33</v>
      </c>
      <c r="C2997" t="s">
        <v>24</v>
      </c>
      <c r="D2997" t="s">
        <v>18</v>
      </c>
      <c r="E2997" s="68">
        <v>372</v>
      </c>
      <c r="F2997" s="68">
        <v>417</v>
      </c>
      <c r="G2997" s="68">
        <v>789</v>
      </c>
    </row>
    <row r="2998" spans="1:7" x14ac:dyDescent="0.3">
      <c r="A2998" t="s">
        <v>939</v>
      </c>
      <c r="B2998" t="s">
        <v>33</v>
      </c>
      <c r="C2998" t="s">
        <v>24</v>
      </c>
      <c r="D2998" t="s">
        <v>19</v>
      </c>
      <c r="E2998" s="68">
        <v>317</v>
      </c>
      <c r="F2998" s="68">
        <v>337</v>
      </c>
      <c r="G2998" s="68">
        <v>654</v>
      </c>
    </row>
    <row r="2999" spans="1:7" x14ac:dyDescent="0.3">
      <c r="A2999" t="s">
        <v>939</v>
      </c>
      <c r="B2999" t="s">
        <v>33</v>
      </c>
      <c r="C2999" t="s">
        <v>24</v>
      </c>
      <c r="D2999" t="s">
        <v>20</v>
      </c>
      <c r="E2999" s="68">
        <v>176</v>
      </c>
      <c r="F2999" s="68">
        <v>191</v>
      </c>
      <c r="G2999" s="68">
        <v>367</v>
      </c>
    </row>
    <row r="3000" spans="1:7" x14ac:dyDescent="0.3">
      <c r="A3000" t="s">
        <v>939</v>
      </c>
      <c r="B3000" t="s">
        <v>33</v>
      </c>
      <c r="C3000" t="s">
        <v>24</v>
      </c>
      <c r="D3000" t="s">
        <v>21</v>
      </c>
      <c r="E3000" s="68">
        <v>99</v>
      </c>
      <c r="F3000" s="68">
        <v>113</v>
      </c>
      <c r="G3000" s="68">
        <v>212</v>
      </c>
    </row>
    <row r="3001" spans="1:7" x14ac:dyDescent="0.3">
      <c r="A3001" t="s">
        <v>939</v>
      </c>
      <c r="B3001" t="s">
        <v>33</v>
      </c>
      <c r="C3001" t="s">
        <v>24</v>
      </c>
      <c r="D3001" t="s">
        <v>22</v>
      </c>
      <c r="E3001" s="68">
        <v>54</v>
      </c>
      <c r="F3001" s="68">
        <v>57</v>
      </c>
      <c r="G3001" s="68">
        <v>111</v>
      </c>
    </row>
    <row r="3002" spans="1:7" x14ac:dyDescent="0.3">
      <c r="A3002" t="s">
        <v>939</v>
      </c>
      <c r="B3002" t="s">
        <v>33</v>
      </c>
      <c r="C3002" t="s">
        <v>24</v>
      </c>
      <c r="D3002" t="s">
        <v>23</v>
      </c>
      <c r="E3002" s="68">
        <v>43</v>
      </c>
      <c r="F3002" s="68">
        <v>34</v>
      </c>
      <c r="G3002" s="68">
        <v>77</v>
      </c>
    </row>
    <row r="3003" spans="1:7" x14ac:dyDescent="0.3">
      <c r="A3003" t="s">
        <v>939</v>
      </c>
      <c r="B3003" t="s">
        <v>34</v>
      </c>
      <c r="C3003" t="s">
        <v>6</v>
      </c>
      <c r="D3003" t="s">
        <v>7</v>
      </c>
      <c r="E3003" s="68">
        <v>41</v>
      </c>
      <c r="F3003" s="68">
        <v>41</v>
      </c>
      <c r="G3003" s="68">
        <v>82</v>
      </c>
    </row>
    <row r="3004" spans="1:7" x14ac:dyDescent="0.3">
      <c r="A3004" t="s">
        <v>939</v>
      </c>
      <c r="B3004" t="s">
        <v>34</v>
      </c>
      <c r="C3004" t="s">
        <v>6</v>
      </c>
      <c r="D3004" t="s">
        <v>8</v>
      </c>
      <c r="E3004" s="68">
        <v>53</v>
      </c>
      <c r="F3004" s="68">
        <v>65</v>
      </c>
      <c r="G3004" s="68">
        <v>118</v>
      </c>
    </row>
    <row r="3005" spans="1:7" x14ac:dyDescent="0.3">
      <c r="A3005" t="s">
        <v>939</v>
      </c>
      <c r="B3005" t="s">
        <v>34</v>
      </c>
      <c r="C3005" t="s">
        <v>6</v>
      </c>
      <c r="D3005" t="s">
        <v>9</v>
      </c>
      <c r="E3005" s="68">
        <v>80</v>
      </c>
      <c r="F3005" s="68">
        <v>86</v>
      </c>
      <c r="G3005" s="68">
        <v>166</v>
      </c>
    </row>
    <row r="3006" spans="1:7" x14ac:dyDescent="0.3">
      <c r="A3006" t="s">
        <v>939</v>
      </c>
      <c r="B3006" t="s">
        <v>34</v>
      </c>
      <c r="C3006" t="s">
        <v>6</v>
      </c>
      <c r="D3006" t="s">
        <v>10</v>
      </c>
      <c r="E3006" s="68">
        <v>81</v>
      </c>
      <c r="F3006" s="68">
        <v>70</v>
      </c>
      <c r="G3006" s="68">
        <v>151</v>
      </c>
    </row>
    <row r="3007" spans="1:7" x14ac:dyDescent="0.3">
      <c r="A3007" t="s">
        <v>939</v>
      </c>
      <c r="B3007" t="s">
        <v>34</v>
      </c>
      <c r="C3007" t="s">
        <v>6</v>
      </c>
      <c r="D3007" t="s">
        <v>11</v>
      </c>
      <c r="E3007" s="68">
        <v>90</v>
      </c>
      <c r="F3007" s="68">
        <v>97</v>
      </c>
      <c r="G3007" s="68">
        <v>187</v>
      </c>
    </row>
    <row r="3008" spans="1:7" x14ac:dyDescent="0.3">
      <c r="A3008" t="s">
        <v>939</v>
      </c>
      <c r="B3008" t="s">
        <v>34</v>
      </c>
      <c r="C3008" t="s">
        <v>6</v>
      </c>
      <c r="D3008" t="s">
        <v>12</v>
      </c>
      <c r="E3008" s="68">
        <v>106</v>
      </c>
      <c r="F3008" s="68">
        <v>89</v>
      </c>
      <c r="G3008" s="68">
        <v>195</v>
      </c>
    </row>
    <row r="3009" spans="1:7" x14ac:dyDescent="0.3">
      <c r="A3009" t="s">
        <v>939</v>
      </c>
      <c r="B3009" t="s">
        <v>34</v>
      </c>
      <c r="C3009" t="s">
        <v>6</v>
      </c>
      <c r="D3009" t="s">
        <v>13</v>
      </c>
      <c r="E3009" s="68">
        <v>113</v>
      </c>
      <c r="F3009" s="68">
        <v>99</v>
      </c>
      <c r="G3009" s="68">
        <v>212</v>
      </c>
    </row>
    <row r="3010" spans="1:7" x14ac:dyDescent="0.3">
      <c r="A3010" t="s">
        <v>939</v>
      </c>
      <c r="B3010" t="s">
        <v>34</v>
      </c>
      <c r="C3010" t="s">
        <v>6</v>
      </c>
      <c r="D3010" t="s">
        <v>14</v>
      </c>
      <c r="E3010" s="68">
        <v>131</v>
      </c>
      <c r="F3010" s="68">
        <v>100</v>
      </c>
      <c r="G3010" s="68">
        <v>231</v>
      </c>
    </row>
    <row r="3011" spans="1:7" x14ac:dyDescent="0.3">
      <c r="A3011" t="s">
        <v>939</v>
      </c>
      <c r="B3011" t="s">
        <v>34</v>
      </c>
      <c r="C3011" t="s">
        <v>6</v>
      </c>
      <c r="D3011" t="s">
        <v>15</v>
      </c>
      <c r="E3011" s="68">
        <v>110</v>
      </c>
      <c r="F3011" s="68">
        <v>106</v>
      </c>
      <c r="G3011" s="68">
        <v>216</v>
      </c>
    </row>
    <row r="3012" spans="1:7" x14ac:dyDescent="0.3">
      <c r="A3012" t="s">
        <v>939</v>
      </c>
      <c r="B3012" t="s">
        <v>34</v>
      </c>
      <c r="C3012" t="s">
        <v>6</v>
      </c>
      <c r="D3012" t="s">
        <v>16</v>
      </c>
      <c r="E3012" s="68">
        <v>107</v>
      </c>
      <c r="F3012" s="68">
        <v>100</v>
      </c>
      <c r="G3012" s="68">
        <v>207</v>
      </c>
    </row>
    <row r="3013" spans="1:7" x14ac:dyDescent="0.3">
      <c r="A3013" t="s">
        <v>939</v>
      </c>
      <c r="B3013" t="s">
        <v>34</v>
      </c>
      <c r="C3013" t="s">
        <v>6</v>
      </c>
      <c r="D3013" t="s">
        <v>17</v>
      </c>
      <c r="E3013" s="68">
        <v>75</v>
      </c>
      <c r="F3013" s="68">
        <v>79</v>
      </c>
      <c r="G3013" s="68">
        <v>154</v>
      </c>
    </row>
    <row r="3014" spans="1:7" x14ac:dyDescent="0.3">
      <c r="A3014" t="s">
        <v>939</v>
      </c>
      <c r="B3014" t="s">
        <v>34</v>
      </c>
      <c r="C3014" t="s">
        <v>6</v>
      </c>
      <c r="D3014" t="s">
        <v>18</v>
      </c>
      <c r="E3014" s="68">
        <v>80</v>
      </c>
      <c r="F3014" s="68">
        <v>78</v>
      </c>
      <c r="G3014" s="68">
        <v>158</v>
      </c>
    </row>
    <row r="3015" spans="1:7" x14ac:dyDescent="0.3">
      <c r="A3015" t="s">
        <v>939</v>
      </c>
      <c r="B3015" t="s">
        <v>34</v>
      </c>
      <c r="C3015" t="s">
        <v>6</v>
      </c>
      <c r="D3015" t="s">
        <v>19</v>
      </c>
      <c r="E3015" s="68">
        <v>72</v>
      </c>
      <c r="F3015" s="68">
        <v>57</v>
      </c>
      <c r="G3015" s="68">
        <v>129</v>
      </c>
    </row>
    <row r="3016" spans="1:7" x14ac:dyDescent="0.3">
      <c r="A3016" t="s">
        <v>939</v>
      </c>
      <c r="B3016" t="s">
        <v>34</v>
      </c>
      <c r="C3016" t="s">
        <v>6</v>
      </c>
      <c r="D3016" t="s">
        <v>20</v>
      </c>
      <c r="E3016" s="68">
        <v>58</v>
      </c>
      <c r="F3016" s="68">
        <v>63</v>
      </c>
      <c r="G3016" s="68">
        <v>121</v>
      </c>
    </row>
    <row r="3017" spans="1:7" x14ac:dyDescent="0.3">
      <c r="A3017" t="s">
        <v>939</v>
      </c>
      <c r="B3017" t="s">
        <v>34</v>
      </c>
      <c r="C3017" t="s">
        <v>6</v>
      </c>
      <c r="D3017" t="s">
        <v>21</v>
      </c>
      <c r="E3017" s="68">
        <v>46</v>
      </c>
      <c r="F3017" s="68">
        <v>39</v>
      </c>
      <c r="G3017" s="68">
        <v>85</v>
      </c>
    </row>
    <row r="3018" spans="1:7" x14ac:dyDescent="0.3">
      <c r="A3018" t="s">
        <v>939</v>
      </c>
      <c r="B3018" t="s">
        <v>34</v>
      </c>
      <c r="C3018" t="s">
        <v>6</v>
      </c>
      <c r="D3018" t="s">
        <v>22</v>
      </c>
      <c r="E3018" s="68">
        <v>25</v>
      </c>
      <c r="F3018" s="68">
        <v>17</v>
      </c>
      <c r="G3018" s="68">
        <v>42</v>
      </c>
    </row>
    <row r="3019" spans="1:7" x14ac:dyDescent="0.3">
      <c r="A3019" t="s">
        <v>939</v>
      </c>
      <c r="B3019" t="s">
        <v>34</v>
      </c>
      <c r="C3019" t="s">
        <v>6</v>
      </c>
      <c r="D3019" t="s">
        <v>23</v>
      </c>
      <c r="E3019" s="68">
        <v>49</v>
      </c>
      <c r="F3019" s="68">
        <v>20</v>
      </c>
      <c r="G3019" s="68">
        <v>69</v>
      </c>
    </row>
    <row r="3020" spans="1:7" x14ac:dyDescent="0.3">
      <c r="A3020" t="s">
        <v>939</v>
      </c>
      <c r="B3020" t="s">
        <v>34</v>
      </c>
      <c r="C3020" t="s">
        <v>24</v>
      </c>
      <c r="D3020" t="s">
        <v>7</v>
      </c>
      <c r="E3020" s="68">
        <v>65</v>
      </c>
      <c r="F3020" s="68">
        <v>70</v>
      </c>
      <c r="G3020" s="68">
        <v>135</v>
      </c>
    </row>
    <row r="3021" spans="1:7" x14ac:dyDescent="0.3">
      <c r="A3021" t="s">
        <v>939</v>
      </c>
      <c r="B3021" t="s">
        <v>34</v>
      </c>
      <c r="C3021" t="s">
        <v>24</v>
      </c>
      <c r="D3021" t="s">
        <v>8</v>
      </c>
      <c r="E3021" s="68">
        <v>90</v>
      </c>
      <c r="F3021" s="68">
        <v>106</v>
      </c>
      <c r="G3021" s="68">
        <v>196</v>
      </c>
    </row>
    <row r="3022" spans="1:7" x14ac:dyDescent="0.3">
      <c r="A3022" t="s">
        <v>939</v>
      </c>
      <c r="B3022" t="s">
        <v>34</v>
      </c>
      <c r="C3022" t="s">
        <v>24</v>
      </c>
      <c r="D3022" t="s">
        <v>9</v>
      </c>
      <c r="E3022" s="68">
        <v>125</v>
      </c>
      <c r="F3022" s="68">
        <v>113</v>
      </c>
      <c r="G3022" s="68">
        <v>238</v>
      </c>
    </row>
    <row r="3023" spans="1:7" x14ac:dyDescent="0.3">
      <c r="A3023" t="s">
        <v>939</v>
      </c>
      <c r="B3023" t="s">
        <v>34</v>
      </c>
      <c r="C3023" t="s">
        <v>24</v>
      </c>
      <c r="D3023" t="s">
        <v>10</v>
      </c>
      <c r="E3023" s="68">
        <v>110</v>
      </c>
      <c r="F3023" s="68">
        <v>129</v>
      </c>
      <c r="G3023" s="68">
        <v>239</v>
      </c>
    </row>
    <row r="3024" spans="1:7" x14ac:dyDescent="0.3">
      <c r="A3024" t="s">
        <v>939</v>
      </c>
      <c r="B3024" t="s">
        <v>34</v>
      </c>
      <c r="C3024" t="s">
        <v>24</v>
      </c>
      <c r="D3024" t="s">
        <v>11</v>
      </c>
      <c r="E3024" s="68">
        <v>113</v>
      </c>
      <c r="F3024" s="68">
        <v>116</v>
      </c>
      <c r="G3024" s="68">
        <v>229</v>
      </c>
    </row>
    <row r="3025" spans="1:7" x14ac:dyDescent="0.3">
      <c r="A3025" t="s">
        <v>939</v>
      </c>
      <c r="B3025" t="s">
        <v>34</v>
      </c>
      <c r="C3025" t="s">
        <v>24</v>
      </c>
      <c r="D3025" t="s">
        <v>12</v>
      </c>
      <c r="E3025" s="68">
        <v>124</v>
      </c>
      <c r="F3025" s="68">
        <v>85</v>
      </c>
      <c r="G3025" s="68">
        <v>209</v>
      </c>
    </row>
    <row r="3026" spans="1:7" x14ac:dyDescent="0.3">
      <c r="A3026" t="s">
        <v>939</v>
      </c>
      <c r="B3026" t="s">
        <v>34</v>
      </c>
      <c r="C3026" t="s">
        <v>24</v>
      </c>
      <c r="D3026" t="s">
        <v>13</v>
      </c>
      <c r="E3026" s="68">
        <v>133</v>
      </c>
      <c r="F3026" s="68">
        <v>84</v>
      </c>
      <c r="G3026" s="68">
        <v>217</v>
      </c>
    </row>
    <row r="3027" spans="1:7" x14ac:dyDescent="0.3">
      <c r="A3027" t="s">
        <v>939</v>
      </c>
      <c r="B3027" t="s">
        <v>34</v>
      </c>
      <c r="C3027" t="s">
        <v>24</v>
      </c>
      <c r="D3027" t="s">
        <v>14</v>
      </c>
      <c r="E3027" s="68">
        <v>113</v>
      </c>
      <c r="F3027" s="68">
        <v>69</v>
      </c>
      <c r="G3027" s="68">
        <v>182</v>
      </c>
    </row>
    <row r="3028" spans="1:7" x14ac:dyDescent="0.3">
      <c r="A3028" t="s">
        <v>939</v>
      </c>
      <c r="B3028" t="s">
        <v>34</v>
      </c>
      <c r="C3028" t="s">
        <v>24</v>
      </c>
      <c r="D3028" t="s">
        <v>15</v>
      </c>
      <c r="E3028" s="68">
        <v>132</v>
      </c>
      <c r="F3028" s="68">
        <v>70</v>
      </c>
      <c r="G3028" s="68">
        <v>202</v>
      </c>
    </row>
    <row r="3029" spans="1:7" x14ac:dyDescent="0.3">
      <c r="A3029" t="s">
        <v>939</v>
      </c>
      <c r="B3029" t="s">
        <v>34</v>
      </c>
      <c r="C3029" t="s">
        <v>24</v>
      </c>
      <c r="D3029" t="s">
        <v>16</v>
      </c>
      <c r="E3029" s="68">
        <v>122</v>
      </c>
      <c r="F3029" s="68">
        <v>93</v>
      </c>
      <c r="G3029" s="68">
        <v>215</v>
      </c>
    </row>
    <row r="3030" spans="1:7" x14ac:dyDescent="0.3">
      <c r="A3030" t="s">
        <v>939</v>
      </c>
      <c r="B3030" t="s">
        <v>34</v>
      </c>
      <c r="C3030" t="s">
        <v>24</v>
      </c>
      <c r="D3030" t="s">
        <v>17</v>
      </c>
      <c r="E3030" s="68">
        <v>115</v>
      </c>
      <c r="F3030" s="68">
        <v>57</v>
      </c>
      <c r="G3030" s="68">
        <v>172</v>
      </c>
    </row>
    <row r="3031" spans="1:7" x14ac:dyDescent="0.3">
      <c r="A3031" t="s">
        <v>939</v>
      </c>
      <c r="B3031" t="s">
        <v>34</v>
      </c>
      <c r="C3031" t="s">
        <v>24</v>
      </c>
      <c r="D3031" t="s">
        <v>18</v>
      </c>
      <c r="E3031" s="68">
        <v>66</v>
      </c>
      <c r="F3031" s="68">
        <v>61</v>
      </c>
      <c r="G3031" s="68">
        <v>127</v>
      </c>
    </row>
    <row r="3032" spans="1:7" x14ac:dyDescent="0.3">
      <c r="A3032" t="s">
        <v>939</v>
      </c>
      <c r="B3032" t="s">
        <v>34</v>
      </c>
      <c r="C3032" t="s">
        <v>24</v>
      </c>
      <c r="D3032" t="s">
        <v>19</v>
      </c>
      <c r="E3032" s="68">
        <v>86</v>
      </c>
      <c r="F3032" s="68">
        <v>66</v>
      </c>
      <c r="G3032" s="68">
        <v>152</v>
      </c>
    </row>
    <row r="3033" spans="1:7" x14ac:dyDescent="0.3">
      <c r="A3033" t="s">
        <v>939</v>
      </c>
      <c r="B3033" t="s">
        <v>34</v>
      </c>
      <c r="C3033" t="s">
        <v>24</v>
      </c>
      <c r="D3033" t="s">
        <v>20</v>
      </c>
      <c r="E3033" s="68">
        <v>58</v>
      </c>
      <c r="F3033" s="68">
        <v>43</v>
      </c>
      <c r="G3033" s="68">
        <v>101</v>
      </c>
    </row>
    <row r="3034" spans="1:7" x14ac:dyDescent="0.3">
      <c r="A3034" t="s">
        <v>939</v>
      </c>
      <c r="B3034" t="s">
        <v>34</v>
      </c>
      <c r="C3034" t="s">
        <v>24</v>
      </c>
      <c r="D3034" t="s">
        <v>21</v>
      </c>
      <c r="E3034" s="68">
        <v>33</v>
      </c>
      <c r="F3034" s="68">
        <v>32</v>
      </c>
      <c r="G3034" s="68">
        <v>65</v>
      </c>
    </row>
    <row r="3035" spans="1:7" x14ac:dyDescent="0.3">
      <c r="A3035" t="s">
        <v>939</v>
      </c>
      <c r="B3035" t="s">
        <v>34</v>
      </c>
      <c r="C3035" t="s">
        <v>24</v>
      </c>
      <c r="D3035" t="s">
        <v>22</v>
      </c>
      <c r="E3035" s="68">
        <v>21</v>
      </c>
      <c r="F3035" s="68">
        <v>22</v>
      </c>
      <c r="G3035" s="68">
        <v>43</v>
      </c>
    </row>
    <row r="3036" spans="1:7" x14ac:dyDescent="0.3">
      <c r="A3036" t="s">
        <v>939</v>
      </c>
      <c r="B3036" t="s">
        <v>34</v>
      </c>
      <c r="C3036" t="s">
        <v>24</v>
      </c>
      <c r="D3036" t="s">
        <v>23</v>
      </c>
      <c r="E3036" s="68">
        <v>34</v>
      </c>
      <c r="F3036" s="68">
        <v>21</v>
      </c>
      <c r="G3036" s="68">
        <v>55</v>
      </c>
    </row>
    <row r="3037" spans="1:7" x14ac:dyDescent="0.3">
      <c r="A3037" t="s">
        <v>939</v>
      </c>
      <c r="B3037" t="s">
        <v>35</v>
      </c>
      <c r="C3037" t="s">
        <v>6</v>
      </c>
      <c r="D3037" t="s">
        <v>7</v>
      </c>
      <c r="E3037" s="68">
        <v>1</v>
      </c>
      <c r="F3037" s="68"/>
      <c r="G3037" s="68">
        <v>1</v>
      </c>
    </row>
    <row r="3038" spans="1:7" x14ac:dyDescent="0.3">
      <c r="A3038" t="s">
        <v>939</v>
      </c>
      <c r="B3038" t="s">
        <v>35</v>
      </c>
      <c r="C3038" t="s">
        <v>6</v>
      </c>
      <c r="D3038" t="s">
        <v>10</v>
      </c>
      <c r="E3038" s="68">
        <v>1</v>
      </c>
      <c r="F3038" s="68"/>
      <c r="G3038" s="68">
        <v>1</v>
      </c>
    </row>
    <row r="3039" spans="1:7" x14ac:dyDescent="0.3">
      <c r="A3039" t="s">
        <v>939</v>
      </c>
      <c r="B3039" t="s">
        <v>35</v>
      </c>
      <c r="C3039" t="s">
        <v>6</v>
      </c>
      <c r="D3039" t="s">
        <v>11</v>
      </c>
      <c r="E3039" s="68"/>
      <c r="F3039" s="68">
        <v>2</v>
      </c>
      <c r="G3039" s="68">
        <v>2</v>
      </c>
    </row>
    <row r="3040" spans="1:7" x14ac:dyDescent="0.3">
      <c r="A3040" t="s">
        <v>939</v>
      </c>
      <c r="B3040" t="s">
        <v>35</v>
      </c>
      <c r="C3040" t="s">
        <v>6</v>
      </c>
      <c r="D3040" t="s">
        <v>14</v>
      </c>
      <c r="E3040" s="68">
        <v>1</v>
      </c>
      <c r="F3040" s="68">
        <v>1</v>
      </c>
      <c r="G3040" s="68">
        <v>2</v>
      </c>
    </row>
    <row r="3041" spans="1:7" x14ac:dyDescent="0.3">
      <c r="A3041" t="s">
        <v>939</v>
      </c>
      <c r="B3041" t="s">
        <v>35</v>
      </c>
      <c r="C3041" t="s">
        <v>6</v>
      </c>
      <c r="D3041" t="s">
        <v>15</v>
      </c>
      <c r="E3041" s="68"/>
      <c r="F3041" s="68">
        <v>1</v>
      </c>
      <c r="G3041" s="68">
        <v>1</v>
      </c>
    </row>
    <row r="3042" spans="1:7" x14ac:dyDescent="0.3">
      <c r="A3042" t="s">
        <v>939</v>
      </c>
      <c r="B3042" t="s">
        <v>35</v>
      </c>
      <c r="C3042" t="s">
        <v>6</v>
      </c>
      <c r="D3042" t="s">
        <v>18</v>
      </c>
      <c r="E3042" s="68">
        <v>1</v>
      </c>
      <c r="F3042" s="68"/>
      <c r="G3042" s="68">
        <v>1</v>
      </c>
    </row>
    <row r="3043" spans="1:7" x14ac:dyDescent="0.3">
      <c r="A3043" t="s">
        <v>939</v>
      </c>
      <c r="B3043" t="s">
        <v>35</v>
      </c>
      <c r="C3043" t="s">
        <v>6</v>
      </c>
      <c r="D3043" t="s">
        <v>19</v>
      </c>
      <c r="E3043" s="68">
        <v>5</v>
      </c>
      <c r="F3043" s="68">
        <v>1</v>
      </c>
      <c r="G3043" s="68">
        <v>6</v>
      </c>
    </row>
    <row r="3044" spans="1:7" x14ac:dyDescent="0.3">
      <c r="A3044" t="s">
        <v>939</v>
      </c>
      <c r="B3044" t="s">
        <v>35</v>
      </c>
      <c r="C3044" t="s">
        <v>6</v>
      </c>
      <c r="D3044" t="s">
        <v>20</v>
      </c>
      <c r="E3044" s="68">
        <v>4</v>
      </c>
      <c r="F3044" s="68"/>
      <c r="G3044" s="68">
        <v>4</v>
      </c>
    </row>
    <row r="3045" spans="1:7" x14ac:dyDescent="0.3">
      <c r="A3045" t="s">
        <v>939</v>
      </c>
      <c r="B3045" t="s">
        <v>35</v>
      </c>
      <c r="C3045" t="s">
        <v>6</v>
      </c>
      <c r="D3045" t="s">
        <v>21</v>
      </c>
      <c r="E3045" s="68">
        <v>6</v>
      </c>
      <c r="F3045" s="68">
        <v>3</v>
      </c>
      <c r="G3045" s="68">
        <v>9</v>
      </c>
    </row>
    <row r="3046" spans="1:7" x14ac:dyDescent="0.3">
      <c r="A3046" t="s">
        <v>939</v>
      </c>
      <c r="B3046" t="s">
        <v>35</v>
      </c>
      <c r="C3046" t="s">
        <v>6</v>
      </c>
      <c r="D3046" t="s">
        <v>22</v>
      </c>
      <c r="E3046" s="68">
        <v>4</v>
      </c>
      <c r="F3046" s="68">
        <v>4</v>
      </c>
      <c r="G3046" s="68">
        <v>8</v>
      </c>
    </row>
    <row r="3047" spans="1:7" x14ac:dyDescent="0.3">
      <c r="A3047" t="s">
        <v>939</v>
      </c>
      <c r="B3047" t="s">
        <v>35</v>
      </c>
      <c r="C3047" t="s">
        <v>6</v>
      </c>
      <c r="D3047" t="s">
        <v>23</v>
      </c>
      <c r="E3047" s="68">
        <v>20</v>
      </c>
      <c r="F3047" s="68">
        <v>12</v>
      </c>
      <c r="G3047" s="68">
        <v>32</v>
      </c>
    </row>
    <row r="3048" spans="1:7" x14ac:dyDescent="0.3">
      <c r="A3048" t="s">
        <v>939</v>
      </c>
      <c r="B3048" t="s">
        <v>25</v>
      </c>
      <c r="C3048" t="s">
        <v>6</v>
      </c>
      <c r="D3048" t="s">
        <v>7</v>
      </c>
      <c r="E3048" s="68">
        <v>58</v>
      </c>
      <c r="F3048" s="68">
        <v>67</v>
      </c>
      <c r="G3048" s="68">
        <v>125</v>
      </c>
    </row>
    <row r="3049" spans="1:7" x14ac:dyDescent="0.3">
      <c r="A3049" t="s">
        <v>939</v>
      </c>
      <c r="B3049" t="s">
        <v>25</v>
      </c>
      <c r="C3049" t="s">
        <v>6</v>
      </c>
      <c r="D3049" t="s">
        <v>8</v>
      </c>
      <c r="E3049" s="68">
        <v>123</v>
      </c>
      <c r="F3049" s="68">
        <v>115</v>
      </c>
      <c r="G3049" s="68">
        <v>238</v>
      </c>
    </row>
    <row r="3050" spans="1:7" x14ac:dyDescent="0.3">
      <c r="A3050" t="s">
        <v>939</v>
      </c>
      <c r="B3050" t="s">
        <v>25</v>
      </c>
      <c r="C3050" t="s">
        <v>6</v>
      </c>
      <c r="D3050" t="s">
        <v>9</v>
      </c>
      <c r="E3050" s="68">
        <v>98</v>
      </c>
      <c r="F3050" s="68">
        <v>105</v>
      </c>
      <c r="G3050" s="68">
        <v>203</v>
      </c>
    </row>
    <row r="3051" spans="1:7" x14ac:dyDescent="0.3">
      <c r="A3051" t="s">
        <v>939</v>
      </c>
      <c r="B3051" t="s">
        <v>25</v>
      </c>
      <c r="C3051" t="s">
        <v>6</v>
      </c>
      <c r="D3051" t="s">
        <v>10</v>
      </c>
      <c r="E3051" s="68">
        <v>79</v>
      </c>
      <c r="F3051" s="68">
        <v>91</v>
      </c>
      <c r="G3051" s="68">
        <v>170</v>
      </c>
    </row>
    <row r="3052" spans="1:7" x14ac:dyDescent="0.3">
      <c r="A3052" t="s">
        <v>939</v>
      </c>
      <c r="B3052" t="s">
        <v>25</v>
      </c>
      <c r="C3052" t="s">
        <v>6</v>
      </c>
      <c r="D3052" t="s">
        <v>11</v>
      </c>
      <c r="E3052" s="68">
        <v>147</v>
      </c>
      <c r="F3052" s="68">
        <v>167</v>
      </c>
      <c r="G3052" s="68">
        <v>314</v>
      </c>
    </row>
    <row r="3053" spans="1:7" x14ac:dyDescent="0.3">
      <c r="A3053" t="s">
        <v>939</v>
      </c>
      <c r="B3053" t="s">
        <v>25</v>
      </c>
      <c r="C3053" t="s">
        <v>6</v>
      </c>
      <c r="D3053" t="s">
        <v>12</v>
      </c>
      <c r="E3053" s="68">
        <v>217</v>
      </c>
      <c r="F3053" s="68">
        <v>236</v>
      </c>
      <c r="G3053" s="68">
        <v>453</v>
      </c>
    </row>
    <row r="3054" spans="1:7" x14ac:dyDescent="0.3">
      <c r="A3054" t="s">
        <v>939</v>
      </c>
      <c r="B3054" t="s">
        <v>25</v>
      </c>
      <c r="C3054" t="s">
        <v>6</v>
      </c>
      <c r="D3054" t="s">
        <v>13</v>
      </c>
      <c r="E3054" s="68">
        <v>182</v>
      </c>
      <c r="F3054" s="68">
        <v>211</v>
      </c>
      <c r="G3054" s="68">
        <v>393</v>
      </c>
    </row>
    <row r="3055" spans="1:7" x14ac:dyDescent="0.3">
      <c r="A3055" t="s">
        <v>939</v>
      </c>
      <c r="B3055" t="s">
        <v>25</v>
      </c>
      <c r="C3055" t="s">
        <v>6</v>
      </c>
      <c r="D3055" t="s">
        <v>14</v>
      </c>
      <c r="E3055" s="68">
        <v>143</v>
      </c>
      <c r="F3055" s="68">
        <v>141</v>
      </c>
      <c r="G3055" s="68">
        <v>284</v>
      </c>
    </row>
    <row r="3056" spans="1:7" x14ac:dyDescent="0.3">
      <c r="A3056" t="s">
        <v>939</v>
      </c>
      <c r="B3056" t="s">
        <v>25</v>
      </c>
      <c r="C3056" t="s">
        <v>6</v>
      </c>
      <c r="D3056" t="s">
        <v>15</v>
      </c>
      <c r="E3056" s="68">
        <v>97</v>
      </c>
      <c r="F3056" s="68">
        <v>103</v>
      </c>
      <c r="G3056" s="68">
        <v>200</v>
      </c>
    </row>
    <row r="3057" spans="1:7" x14ac:dyDescent="0.3">
      <c r="A3057" t="s">
        <v>939</v>
      </c>
      <c r="B3057" t="s">
        <v>25</v>
      </c>
      <c r="C3057" t="s">
        <v>6</v>
      </c>
      <c r="D3057" t="s">
        <v>16</v>
      </c>
      <c r="E3057" s="68">
        <v>69</v>
      </c>
      <c r="F3057" s="68">
        <v>85</v>
      </c>
      <c r="G3057" s="68">
        <v>154</v>
      </c>
    </row>
    <row r="3058" spans="1:7" x14ac:dyDescent="0.3">
      <c r="A3058" t="s">
        <v>939</v>
      </c>
      <c r="B3058" t="s">
        <v>25</v>
      </c>
      <c r="C3058" t="s">
        <v>6</v>
      </c>
      <c r="D3058" t="s">
        <v>17</v>
      </c>
      <c r="E3058" s="68">
        <v>35</v>
      </c>
      <c r="F3058" s="68">
        <v>58</v>
      </c>
      <c r="G3058" s="68">
        <v>93</v>
      </c>
    </row>
    <row r="3059" spans="1:7" x14ac:dyDescent="0.3">
      <c r="A3059" t="s">
        <v>939</v>
      </c>
      <c r="B3059" t="s">
        <v>25</v>
      </c>
      <c r="C3059" t="s">
        <v>6</v>
      </c>
      <c r="D3059" t="s">
        <v>18</v>
      </c>
      <c r="E3059" s="68">
        <v>26</v>
      </c>
      <c r="F3059" s="68">
        <v>42</v>
      </c>
      <c r="G3059" s="68">
        <v>68</v>
      </c>
    </row>
    <row r="3060" spans="1:7" x14ac:dyDescent="0.3">
      <c r="A3060" t="s">
        <v>939</v>
      </c>
      <c r="B3060" t="s">
        <v>25</v>
      </c>
      <c r="C3060" t="s">
        <v>6</v>
      </c>
      <c r="D3060" t="s">
        <v>19</v>
      </c>
      <c r="E3060" s="68">
        <v>21</v>
      </c>
      <c r="F3060" s="68">
        <v>33</v>
      </c>
      <c r="G3060" s="68">
        <v>54</v>
      </c>
    </row>
    <row r="3061" spans="1:7" x14ac:dyDescent="0.3">
      <c r="A3061" t="s">
        <v>939</v>
      </c>
      <c r="B3061" t="s">
        <v>25</v>
      </c>
      <c r="C3061" t="s">
        <v>6</v>
      </c>
      <c r="D3061" t="s">
        <v>20</v>
      </c>
      <c r="E3061" s="68">
        <v>15</v>
      </c>
      <c r="F3061" s="68">
        <v>20</v>
      </c>
      <c r="G3061" s="68">
        <v>35</v>
      </c>
    </row>
    <row r="3062" spans="1:7" x14ac:dyDescent="0.3">
      <c r="A3062" t="s">
        <v>939</v>
      </c>
      <c r="B3062" t="s">
        <v>25</v>
      </c>
      <c r="C3062" t="s">
        <v>6</v>
      </c>
      <c r="D3062" t="s">
        <v>21</v>
      </c>
      <c r="E3062" s="68">
        <v>6</v>
      </c>
      <c r="F3062" s="68">
        <v>11</v>
      </c>
      <c r="G3062" s="68">
        <v>17</v>
      </c>
    </row>
    <row r="3063" spans="1:7" x14ac:dyDescent="0.3">
      <c r="A3063" t="s">
        <v>939</v>
      </c>
      <c r="B3063" t="s">
        <v>25</v>
      </c>
      <c r="C3063" t="s">
        <v>6</v>
      </c>
      <c r="D3063" t="s">
        <v>22</v>
      </c>
      <c r="E3063" s="68"/>
      <c r="F3063" s="68">
        <v>1</v>
      </c>
      <c r="G3063" s="68">
        <v>1</v>
      </c>
    </row>
    <row r="3064" spans="1:7" x14ac:dyDescent="0.3">
      <c r="A3064" t="s">
        <v>939</v>
      </c>
      <c r="B3064" t="s">
        <v>25</v>
      </c>
      <c r="C3064" t="s">
        <v>24</v>
      </c>
      <c r="D3064" t="s">
        <v>7</v>
      </c>
      <c r="E3064" s="68">
        <v>997</v>
      </c>
      <c r="F3064" s="68">
        <v>1157</v>
      </c>
      <c r="G3064" s="68">
        <v>2154</v>
      </c>
    </row>
    <row r="3065" spans="1:7" x14ac:dyDescent="0.3">
      <c r="A3065" t="s">
        <v>939</v>
      </c>
      <c r="B3065" t="s">
        <v>25</v>
      </c>
      <c r="C3065" t="s">
        <v>24</v>
      </c>
      <c r="D3065" t="s">
        <v>8</v>
      </c>
      <c r="E3065" s="68">
        <v>1365</v>
      </c>
      <c r="F3065" s="68">
        <v>1476</v>
      </c>
      <c r="G3065" s="68">
        <v>2841</v>
      </c>
    </row>
    <row r="3066" spans="1:7" x14ac:dyDescent="0.3">
      <c r="A3066" t="s">
        <v>939</v>
      </c>
      <c r="B3066" t="s">
        <v>25</v>
      </c>
      <c r="C3066" t="s">
        <v>24</v>
      </c>
      <c r="D3066" t="s">
        <v>9</v>
      </c>
      <c r="E3066" s="68">
        <v>1513</v>
      </c>
      <c r="F3066" s="68">
        <v>1586</v>
      </c>
      <c r="G3066" s="68">
        <v>3099</v>
      </c>
    </row>
    <row r="3067" spans="1:7" x14ac:dyDescent="0.3">
      <c r="A3067" t="s">
        <v>939</v>
      </c>
      <c r="B3067" t="s">
        <v>25</v>
      </c>
      <c r="C3067" t="s">
        <v>24</v>
      </c>
      <c r="D3067" t="s">
        <v>10</v>
      </c>
      <c r="E3067" s="68">
        <v>1534</v>
      </c>
      <c r="F3067" s="68">
        <v>1581</v>
      </c>
      <c r="G3067" s="68">
        <v>3115</v>
      </c>
    </row>
    <row r="3068" spans="1:7" x14ac:dyDescent="0.3">
      <c r="A3068" t="s">
        <v>939</v>
      </c>
      <c r="B3068" t="s">
        <v>25</v>
      </c>
      <c r="C3068" t="s">
        <v>24</v>
      </c>
      <c r="D3068" t="s">
        <v>11</v>
      </c>
      <c r="E3068" s="68">
        <v>1450</v>
      </c>
      <c r="F3068" s="68">
        <v>1334</v>
      </c>
      <c r="G3068" s="68">
        <v>2784</v>
      </c>
    </row>
    <row r="3069" spans="1:7" x14ac:dyDescent="0.3">
      <c r="A3069" t="s">
        <v>939</v>
      </c>
      <c r="B3069" t="s">
        <v>25</v>
      </c>
      <c r="C3069" t="s">
        <v>24</v>
      </c>
      <c r="D3069" t="s">
        <v>12</v>
      </c>
      <c r="E3069" s="68">
        <v>1485</v>
      </c>
      <c r="F3069" s="68">
        <v>1394</v>
      </c>
      <c r="G3069" s="68">
        <v>2879</v>
      </c>
    </row>
    <row r="3070" spans="1:7" x14ac:dyDescent="0.3">
      <c r="A3070" t="s">
        <v>939</v>
      </c>
      <c r="B3070" t="s">
        <v>25</v>
      </c>
      <c r="C3070" t="s">
        <v>24</v>
      </c>
      <c r="D3070" t="s">
        <v>13</v>
      </c>
      <c r="E3070" s="68">
        <v>1362</v>
      </c>
      <c r="F3070" s="68">
        <v>1251</v>
      </c>
      <c r="G3070" s="68">
        <v>2613</v>
      </c>
    </row>
    <row r="3071" spans="1:7" x14ac:dyDescent="0.3">
      <c r="A3071" t="s">
        <v>939</v>
      </c>
      <c r="B3071" t="s">
        <v>25</v>
      </c>
      <c r="C3071" t="s">
        <v>24</v>
      </c>
      <c r="D3071" t="s">
        <v>14</v>
      </c>
      <c r="E3071" s="68">
        <v>1230</v>
      </c>
      <c r="F3071" s="68">
        <v>1166</v>
      </c>
      <c r="G3071" s="68">
        <v>2396</v>
      </c>
    </row>
    <row r="3072" spans="1:7" x14ac:dyDescent="0.3">
      <c r="A3072" t="s">
        <v>939</v>
      </c>
      <c r="B3072" t="s">
        <v>25</v>
      </c>
      <c r="C3072" t="s">
        <v>24</v>
      </c>
      <c r="D3072" t="s">
        <v>15</v>
      </c>
      <c r="E3072" s="68">
        <v>1080</v>
      </c>
      <c r="F3072" s="68">
        <v>1142</v>
      </c>
      <c r="G3072" s="68">
        <v>2222</v>
      </c>
    </row>
    <row r="3073" spans="1:7" x14ac:dyDescent="0.3">
      <c r="A3073" t="s">
        <v>939</v>
      </c>
      <c r="B3073" t="s">
        <v>25</v>
      </c>
      <c r="C3073" t="s">
        <v>24</v>
      </c>
      <c r="D3073" t="s">
        <v>16</v>
      </c>
      <c r="E3073" s="68">
        <v>1061</v>
      </c>
      <c r="F3073" s="68">
        <v>1102</v>
      </c>
      <c r="G3073" s="68">
        <v>2163</v>
      </c>
    </row>
    <row r="3074" spans="1:7" x14ac:dyDescent="0.3">
      <c r="A3074" t="s">
        <v>939</v>
      </c>
      <c r="B3074" t="s">
        <v>25</v>
      </c>
      <c r="C3074" t="s">
        <v>24</v>
      </c>
      <c r="D3074" t="s">
        <v>17</v>
      </c>
      <c r="E3074" s="68">
        <v>875</v>
      </c>
      <c r="F3074" s="68">
        <v>831</v>
      </c>
      <c r="G3074" s="68">
        <v>1706</v>
      </c>
    </row>
    <row r="3075" spans="1:7" x14ac:dyDescent="0.3">
      <c r="A3075" t="s">
        <v>939</v>
      </c>
      <c r="B3075" t="s">
        <v>25</v>
      </c>
      <c r="C3075" t="s">
        <v>24</v>
      </c>
      <c r="D3075" t="s">
        <v>18</v>
      </c>
      <c r="E3075" s="68">
        <v>792</v>
      </c>
      <c r="F3075" s="68">
        <v>788</v>
      </c>
      <c r="G3075" s="68">
        <v>1580</v>
      </c>
    </row>
    <row r="3076" spans="1:7" x14ac:dyDescent="0.3">
      <c r="A3076" t="s">
        <v>939</v>
      </c>
      <c r="B3076" t="s">
        <v>25</v>
      </c>
      <c r="C3076" t="s">
        <v>24</v>
      </c>
      <c r="D3076" t="s">
        <v>19</v>
      </c>
      <c r="E3076" s="68">
        <v>619</v>
      </c>
      <c r="F3076" s="68">
        <v>655</v>
      </c>
      <c r="G3076" s="68">
        <v>1274</v>
      </c>
    </row>
    <row r="3077" spans="1:7" x14ac:dyDescent="0.3">
      <c r="A3077" t="s">
        <v>939</v>
      </c>
      <c r="B3077" t="s">
        <v>25</v>
      </c>
      <c r="C3077" t="s">
        <v>24</v>
      </c>
      <c r="D3077" t="s">
        <v>20</v>
      </c>
      <c r="E3077" s="68">
        <v>443</v>
      </c>
      <c r="F3077" s="68">
        <v>525</v>
      </c>
      <c r="G3077" s="68">
        <v>968</v>
      </c>
    </row>
    <row r="3078" spans="1:7" x14ac:dyDescent="0.3">
      <c r="A3078" t="s">
        <v>939</v>
      </c>
      <c r="B3078" t="s">
        <v>25</v>
      </c>
      <c r="C3078" t="s">
        <v>24</v>
      </c>
      <c r="D3078" t="s">
        <v>21</v>
      </c>
      <c r="E3078" s="68">
        <v>398</v>
      </c>
      <c r="F3078" s="68">
        <v>378</v>
      </c>
      <c r="G3078" s="68">
        <v>776</v>
      </c>
    </row>
    <row r="3079" spans="1:7" x14ac:dyDescent="0.3">
      <c r="A3079" t="s">
        <v>939</v>
      </c>
      <c r="B3079" t="s">
        <v>25</v>
      </c>
      <c r="C3079" t="s">
        <v>24</v>
      </c>
      <c r="D3079" t="s">
        <v>22</v>
      </c>
      <c r="E3079" s="68">
        <v>312</v>
      </c>
      <c r="F3079" s="68">
        <v>309</v>
      </c>
      <c r="G3079" s="68">
        <v>621</v>
      </c>
    </row>
    <row r="3080" spans="1:7" x14ac:dyDescent="0.3">
      <c r="A3080" t="s">
        <v>939</v>
      </c>
      <c r="B3080" t="s">
        <v>25</v>
      </c>
      <c r="C3080" t="s">
        <v>24</v>
      </c>
      <c r="D3080" t="s">
        <v>23</v>
      </c>
      <c r="E3080" s="68">
        <v>406</v>
      </c>
      <c r="F3080" s="68">
        <v>404</v>
      </c>
      <c r="G3080" s="68">
        <v>810</v>
      </c>
    </row>
    <row r="3081" spans="1:7" x14ac:dyDescent="0.3">
      <c r="A3081" t="s">
        <v>939</v>
      </c>
      <c r="B3081" t="s">
        <v>26</v>
      </c>
      <c r="C3081" t="s">
        <v>6</v>
      </c>
      <c r="D3081" t="s">
        <v>7</v>
      </c>
      <c r="E3081" s="68">
        <v>2003</v>
      </c>
      <c r="F3081" s="68">
        <v>1966</v>
      </c>
      <c r="G3081" s="68">
        <v>3969</v>
      </c>
    </row>
    <row r="3082" spans="1:7" x14ac:dyDescent="0.3">
      <c r="A3082" t="s">
        <v>939</v>
      </c>
      <c r="B3082" t="s">
        <v>26</v>
      </c>
      <c r="C3082" t="s">
        <v>6</v>
      </c>
      <c r="D3082" t="s">
        <v>8</v>
      </c>
      <c r="E3082" s="68">
        <v>2629</v>
      </c>
      <c r="F3082" s="68">
        <v>2698</v>
      </c>
      <c r="G3082" s="68">
        <v>5327</v>
      </c>
    </row>
    <row r="3083" spans="1:7" x14ac:dyDescent="0.3">
      <c r="A3083" t="s">
        <v>939</v>
      </c>
      <c r="B3083" t="s">
        <v>26</v>
      </c>
      <c r="C3083" t="s">
        <v>6</v>
      </c>
      <c r="D3083" t="s">
        <v>9</v>
      </c>
      <c r="E3083" s="68">
        <v>2708</v>
      </c>
      <c r="F3083" s="68">
        <v>2916</v>
      </c>
      <c r="G3083" s="68">
        <v>5624</v>
      </c>
    </row>
    <row r="3084" spans="1:7" x14ac:dyDescent="0.3">
      <c r="A3084" t="s">
        <v>939</v>
      </c>
      <c r="B3084" t="s">
        <v>26</v>
      </c>
      <c r="C3084" t="s">
        <v>6</v>
      </c>
      <c r="D3084" t="s">
        <v>10</v>
      </c>
      <c r="E3084" s="68">
        <v>2918</v>
      </c>
      <c r="F3084" s="68">
        <v>2862</v>
      </c>
      <c r="G3084" s="68">
        <v>5780</v>
      </c>
    </row>
    <row r="3085" spans="1:7" x14ac:dyDescent="0.3">
      <c r="A3085" t="s">
        <v>939</v>
      </c>
      <c r="B3085" t="s">
        <v>26</v>
      </c>
      <c r="C3085" t="s">
        <v>6</v>
      </c>
      <c r="D3085" t="s">
        <v>11</v>
      </c>
      <c r="E3085" s="68">
        <v>3611</v>
      </c>
      <c r="F3085" s="68">
        <v>3760</v>
      </c>
      <c r="G3085" s="68">
        <v>7371</v>
      </c>
    </row>
    <row r="3086" spans="1:7" x14ac:dyDescent="0.3">
      <c r="A3086" t="s">
        <v>939</v>
      </c>
      <c r="B3086" t="s">
        <v>26</v>
      </c>
      <c r="C3086" t="s">
        <v>6</v>
      </c>
      <c r="D3086" t="s">
        <v>12</v>
      </c>
      <c r="E3086" s="68">
        <v>4265</v>
      </c>
      <c r="F3086" s="68">
        <v>4499</v>
      </c>
      <c r="G3086" s="68">
        <v>8764</v>
      </c>
    </row>
    <row r="3087" spans="1:7" x14ac:dyDescent="0.3">
      <c r="A3087" t="s">
        <v>939</v>
      </c>
      <c r="B3087" t="s">
        <v>26</v>
      </c>
      <c r="C3087" t="s">
        <v>6</v>
      </c>
      <c r="D3087" t="s">
        <v>13</v>
      </c>
      <c r="E3087" s="68">
        <v>4826</v>
      </c>
      <c r="F3087" s="68">
        <v>5147</v>
      </c>
      <c r="G3087" s="68">
        <v>9973</v>
      </c>
    </row>
    <row r="3088" spans="1:7" x14ac:dyDescent="0.3">
      <c r="A3088" t="s">
        <v>939</v>
      </c>
      <c r="B3088" t="s">
        <v>26</v>
      </c>
      <c r="C3088" t="s">
        <v>6</v>
      </c>
      <c r="D3088" t="s">
        <v>14</v>
      </c>
      <c r="E3088" s="68">
        <v>4238</v>
      </c>
      <c r="F3088" s="68">
        <v>4440</v>
      </c>
      <c r="G3088" s="68">
        <v>8678</v>
      </c>
    </row>
    <row r="3089" spans="1:7" x14ac:dyDescent="0.3">
      <c r="A3089" t="s">
        <v>939</v>
      </c>
      <c r="B3089" t="s">
        <v>26</v>
      </c>
      <c r="C3089" t="s">
        <v>6</v>
      </c>
      <c r="D3089" t="s">
        <v>15</v>
      </c>
      <c r="E3089" s="68">
        <v>4131</v>
      </c>
      <c r="F3089" s="68">
        <v>3950</v>
      </c>
      <c r="G3089" s="68">
        <v>8081</v>
      </c>
    </row>
    <row r="3090" spans="1:7" x14ac:dyDescent="0.3">
      <c r="A3090" t="s">
        <v>939</v>
      </c>
      <c r="B3090" t="s">
        <v>26</v>
      </c>
      <c r="C3090" t="s">
        <v>6</v>
      </c>
      <c r="D3090" t="s">
        <v>16</v>
      </c>
      <c r="E3090" s="68">
        <v>3921</v>
      </c>
      <c r="F3090" s="68">
        <v>3585</v>
      </c>
      <c r="G3090" s="68">
        <v>7506</v>
      </c>
    </row>
    <row r="3091" spans="1:7" x14ac:dyDescent="0.3">
      <c r="A3091" t="s">
        <v>939</v>
      </c>
      <c r="B3091" t="s">
        <v>26</v>
      </c>
      <c r="C3091" t="s">
        <v>6</v>
      </c>
      <c r="D3091" t="s">
        <v>17</v>
      </c>
      <c r="E3091" s="68">
        <v>3613</v>
      </c>
      <c r="F3091" s="68">
        <v>3288</v>
      </c>
      <c r="G3091" s="68">
        <v>6901</v>
      </c>
    </row>
    <row r="3092" spans="1:7" x14ac:dyDescent="0.3">
      <c r="A3092" t="s">
        <v>939</v>
      </c>
      <c r="B3092" t="s">
        <v>26</v>
      </c>
      <c r="C3092" t="s">
        <v>6</v>
      </c>
      <c r="D3092" t="s">
        <v>18</v>
      </c>
      <c r="E3092" s="68">
        <v>3768</v>
      </c>
      <c r="F3092" s="68">
        <v>3284</v>
      </c>
      <c r="G3092" s="68">
        <v>7052</v>
      </c>
    </row>
    <row r="3093" spans="1:7" x14ac:dyDescent="0.3">
      <c r="A3093" t="s">
        <v>939</v>
      </c>
      <c r="B3093" t="s">
        <v>26</v>
      </c>
      <c r="C3093" t="s">
        <v>6</v>
      </c>
      <c r="D3093" t="s">
        <v>19</v>
      </c>
      <c r="E3093" s="68">
        <v>4214</v>
      </c>
      <c r="F3093" s="68">
        <v>3333</v>
      </c>
      <c r="G3093" s="68">
        <v>7547</v>
      </c>
    </row>
    <row r="3094" spans="1:7" x14ac:dyDescent="0.3">
      <c r="A3094" t="s">
        <v>939</v>
      </c>
      <c r="B3094" t="s">
        <v>26</v>
      </c>
      <c r="C3094" t="s">
        <v>6</v>
      </c>
      <c r="D3094" t="s">
        <v>20</v>
      </c>
      <c r="E3094" s="68">
        <v>3934</v>
      </c>
      <c r="F3094" s="68">
        <v>2999</v>
      </c>
      <c r="G3094" s="68">
        <v>6933</v>
      </c>
    </row>
    <row r="3095" spans="1:7" x14ac:dyDescent="0.3">
      <c r="A3095" t="s">
        <v>939</v>
      </c>
      <c r="B3095" t="s">
        <v>26</v>
      </c>
      <c r="C3095" t="s">
        <v>6</v>
      </c>
      <c r="D3095" t="s">
        <v>21</v>
      </c>
      <c r="E3095" s="68">
        <v>3183</v>
      </c>
      <c r="F3095" s="68">
        <v>2445</v>
      </c>
      <c r="G3095" s="68">
        <v>5628</v>
      </c>
    </row>
    <row r="3096" spans="1:7" x14ac:dyDescent="0.3">
      <c r="A3096" t="s">
        <v>939</v>
      </c>
      <c r="B3096" t="s">
        <v>26</v>
      </c>
      <c r="C3096" t="s">
        <v>6</v>
      </c>
      <c r="D3096" t="s">
        <v>22</v>
      </c>
      <c r="E3096" s="68">
        <v>2362</v>
      </c>
      <c r="F3096" s="68">
        <v>1910</v>
      </c>
      <c r="G3096" s="68">
        <v>4272</v>
      </c>
    </row>
    <row r="3097" spans="1:7" x14ac:dyDescent="0.3">
      <c r="A3097" t="s">
        <v>939</v>
      </c>
      <c r="B3097" t="s">
        <v>26</v>
      </c>
      <c r="C3097" t="s">
        <v>6</v>
      </c>
      <c r="D3097" t="s">
        <v>23</v>
      </c>
      <c r="E3097" s="68">
        <v>3566</v>
      </c>
      <c r="F3097" s="68">
        <v>2425</v>
      </c>
      <c r="G3097" s="68">
        <v>5991</v>
      </c>
    </row>
    <row r="3098" spans="1:7" x14ac:dyDescent="0.3">
      <c r="A3098" t="s">
        <v>939</v>
      </c>
      <c r="B3098" t="s">
        <v>26</v>
      </c>
      <c r="C3098" t="s">
        <v>24</v>
      </c>
      <c r="D3098" t="s">
        <v>7</v>
      </c>
      <c r="E3098" s="68">
        <v>5146</v>
      </c>
      <c r="F3098" s="68">
        <v>5482</v>
      </c>
      <c r="G3098" s="68">
        <v>10628</v>
      </c>
    </row>
    <row r="3099" spans="1:7" x14ac:dyDescent="0.3">
      <c r="A3099" t="s">
        <v>939</v>
      </c>
      <c r="B3099" t="s">
        <v>26</v>
      </c>
      <c r="C3099" t="s">
        <v>24</v>
      </c>
      <c r="D3099" t="s">
        <v>8</v>
      </c>
      <c r="E3099" s="68">
        <v>6301</v>
      </c>
      <c r="F3099" s="68">
        <v>6568</v>
      </c>
      <c r="G3099" s="68">
        <v>12869</v>
      </c>
    </row>
    <row r="3100" spans="1:7" x14ac:dyDescent="0.3">
      <c r="A3100" t="s">
        <v>939</v>
      </c>
      <c r="B3100" t="s">
        <v>26</v>
      </c>
      <c r="C3100" t="s">
        <v>24</v>
      </c>
      <c r="D3100" t="s">
        <v>9</v>
      </c>
      <c r="E3100" s="68">
        <v>6502</v>
      </c>
      <c r="F3100" s="68">
        <v>6718</v>
      </c>
      <c r="G3100" s="68">
        <v>13220</v>
      </c>
    </row>
    <row r="3101" spans="1:7" x14ac:dyDescent="0.3">
      <c r="A3101" t="s">
        <v>939</v>
      </c>
      <c r="B3101" t="s">
        <v>26</v>
      </c>
      <c r="C3101" t="s">
        <v>24</v>
      </c>
      <c r="D3101" t="s">
        <v>10</v>
      </c>
      <c r="E3101" s="68">
        <v>6638</v>
      </c>
      <c r="F3101" s="68">
        <v>6682</v>
      </c>
      <c r="G3101" s="68">
        <v>13320</v>
      </c>
    </row>
    <row r="3102" spans="1:7" x14ac:dyDescent="0.3">
      <c r="A3102" t="s">
        <v>939</v>
      </c>
      <c r="B3102" t="s">
        <v>26</v>
      </c>
      <c r="C3102" t="s">
        <v>24</v>
      </c>
      <c r="D3102" t="s">
        <v>11</v>
      </c>
      <c r="E3102" s="68">
        <v>7598</v>
      </c>
      <c r="F3102" s="68">
        <v>6426</v>
      </c>
      <c r="G3102" s="68">
        <v>14024</v>
      </c>
    </row>
    <row r="3103" spans="1:7" x14ac:dyDescent="0.3">
      <c r="A3103" t="s">
        <v>939</v>
      </c>
      <c r="B3103" t="s">
        <v>26</v>
      </c>
      <c r="C3103" t="s">
        <v>24</v>
      </c>
      <c r="D3103" t="s">
        <v>12</v>
      </c>
      <c r="E3103" s="68">
        <v>8489</v>
      </c>
      <c r="F3103" s="68">
        <v>7824</v>
      </c>
      <c r="G3103" s="68">
        <v>16313</v>
      </c>
    </row>
    <row r="3104" spans="1:7" x14ac:dyDescent="0.3">
      <c r="A3104" t="s">
        <v>939</v>
      </c>
      <c r="B3104" t="s">
        <v>26</v>
      </c>
      <c r="C3104" t="s">
        <v>24</v>
      </c>
      <c r="D3104" t="s">
        <v>13</v>
      </c>
      <c r="E3104" s="68">
        <v>7717</v>
      </c>
      <c r="F3104" s="68">
        <v>7719</v>
      </c>
      <c r="G3104" s="68">
        <v>15436</v>
      </c>
    </row>
    <row r="3105" spans="1:7" x14ac:dyDescent="0.3">
      <c r="A3105" t="s">
        <v>939</v>
      </c>
      <c r="B3105" t="s">
        <v>26</v>
      </c>
      <c r="C3105" t="s">
        <v>24</v>
      </c>
      <c r="D3105" t="s">
        <v>14</v>
      </c>
      <c r="E3105" s="68">
        <v>6481</v>
      </c>
      <c r="F3105" s="68">
        <v>6866</v>
      </c>
      <c r="G3105" s="68">
        <v>13347</v>
      </c>
    </row>
    <row r="3106" spans="1:7" x14ac:dyDescent="0.3">
      <c r="A3106" t="s">
        <v>939</v>
      </c>
      <c r="B3106" t="s">
        <v>26</v>
      </c>
      <c r="C3106" t="s">
        <v>24</v>
      </c>
      <c r="D3106" t="s">
        <v>15</v>
      </c>
      <c r="E3106" s="68">
        <v>6209</v>
      </c>
      <c r="F3106" s="68">
        <v>6367</v>
      </c>
      <c r="G3106" s="68">
        <v>12576</v>
      </c>
    </row>
    <row r="3107" spans="1:7" x14ac:dyDescent="0.3">
      <c r="A3107" t="s">
        <v>939</v>
      </c>
      <c r="B3107" t="s">
        <v>26</v>
      </c>
      <c r="C3107" t="s">
        <v>24</v>
      </c>
      <c r="D3107" t="s">
        <v>16</v>
      </c>
      <c r="E3107" s="68">
        <v>5781</v>
      </c>
      <c r="F3107" s="68">
        <v>5905</v>
      </c>
      <c r="G3107" s="68">
        <v>11686</v>
      </c>
    </row>
    <row r="3108" spans="1:7" x14ac:dyDescent="0.3">
      <c r="A3108" t="s">
        <v>939</v>
      </c>
      <c r="B3108" t="s">
        <v>26</v>
      </c>
      <c r="C3108" t="s">
        <v>24</v>
      </c>
      <c r="D3108" t="s">
        <v>17</v>
      </c>
      <c r="E3108" s="68">
        <v>4906</v>
      </c>
      <c r="F3108" s="68">
        <v>4793</v>
      </c>
      <c r="G3108" s="68">
        <v>9699</v>
      </c>
    </row>
    <row r="3109" spans="1:7" x14ac:dyDescent="0.3">
      <c r="A3109" t="s">
        <v>939</v>
      </c>
      <c r="B3109" t="s">
        <v>26</v>
      </c>
      <c r="C3109" t="s">
        <v>24</v>
      </c>
      <c r="D3109" t="s">
        <v>18</v>
      </c>
      <c r="E3109" s="68">
        <v>4773</v>
      </c>
      <c r="F3109" s="68">
        <v>4644</v>
      </c>
      <c r="G3109" s="68">
        <v>9417</v>
      </c>
    </row>
    <row r="3110" spans="1:7" x14ac:dyDescent="0.3">
      <c r="A3110" t="s">
        <v>939</v>
      </c>
      <c r="B3110" t="s">
        <v>26</v>
      </c>
      <c r="C3110" t="s">
        <v>24</v>
      </c>
      <c r="D3110" t="s">
        <v>19</v>
      </c>
      <c r="E3110" s="68">
        <v>4224</v>
      </c>
      <c r="F3110" s="68">
        <v>4061</v>
      </c>
      <c r="G3110" s="68">
        <v>8285</v>
      </c>
    </row>
    <row r="3111" spans="1:7" x14ac:dyDescent="0.3">
      <c r="A3111" t="s">
        <v>939</v>
      </c>
      <c r="B3111" t="s">
        <v>26</v>
      </c>
      <c r="C3111" t="s">
        <v>24</v>
      </c>
      <c r="D3111" t="s">
        <v>20</v>
      </c>
      <c r="E3111" s="68">
        <v>3252</v>
      </c>
      <c r="F3111" s="68">
        <v>3182</v>
      </c>
      <c r="G3111" s="68">
        <v>6434</v>
      </c>
    </row>
    <row r="3112" spans="1:7" x14ac:dyDescent="0.3">
      <c r="A3112" t="s">
        <v>939</v>
      </c>
      <c r="B3112" t="s">
        <v>26</v>
      </c>
      <c r="C3112" t="s">
        <v>24</v>
      </c>
      <c r="D3112" t="s">
        <v>21</v>
      </c>
      <c r="E3112" s="68">
        <v>2427</v>
      </c>
      <c r="F3112" s="68">
        <v>2360</v>
      </c>
      <c r="G3112" s="68">
        <v>4787</v>
      </c>
    </row>
    <row r="3113" spans="1:7" x14ac:dyDescent="0.3">
      <c r="A3113" t="s">
        <v>939</v>
      </c>
      <c r="B3113" t="s">
        <v>26</v>
      </c>
      <c r="C3113" t="s">
        <v>24</v>
      </c>
      <c r="D3113" t="s">
        <v>22</v>
      </c>
      <c r="E3113" s="68">
        <v>1727</v>
      </c>
      <c r="F3113" s="68">
        <v>1704</v>
      </c>
      <c r="G3113" s="68">
        <v>3431</v>
      </c>
    </row>
    <row r="3114" spans="1:7" x14ac:dyDescent="0.3">
      <c r="A3114" t="s">
        <v>939</v>
      </c>
      <c r="B3114" t="s">
        <v>26</v>
      </c>
      <c r="C3114" t="s">
        <v>24</v>
      </c>
      <c r="D3114" t="s">
        <v>23</v>
      </c>
      <c r="E3114" s="68">
        <v>2882</v>
      </c>
      <c r="F3114" s="68">
        <v>2380</v>
      </c>
      <c r="G3114" s="68">
        <v>5262</v>
      </c>
    </row>
    <row r="3115" spans="1:7" x14ac:dyDescent="0.3">
      <c r="A3115" t="s">
        <v>939</v>
      </c>
      <c r="B3115" t="s">
        <v>27</v>
      </c>
      <c r="C3115" t="s">
        <v>28</v>
      </c>
      <c r="D3115" t="s">
        <v>7</v>
      </c>
      <c r="E3115" s="68">
        <v>278</v>
      </c>
      <c r="F3115" s="68">
        <v>291</v>
      </c>
      <c r="G3115" s="68">
        <v>569</v>
      </c>
    </row>
    <row r="3116" spans="1:7" x14ac:dyDescent="0.3">
      <c r="A3116" t="s">
        <v>939</v>
      </c>
      <c r="B3116" t="s">
        <v>27</v>
      </c>
      <c r="C3116" t="s">
        <v>28</v>
      </c>
      <c r="D3116" t="s">
        <v>8</v>
      </c>
      <c r="E3116" s="68">
        <v>416</v>
      </c>
      <c r="F3116" s="68">
        <v>426</v>
      </c>
      <c r="G3116" s="68">
        <v>842</v>
      </c>
    </row>
    <row r="3117" spans="1:7" x14ac:dyDescent="0.3">
      <c r="A3117" t="s">
        <v>939</v>
      </c>
      <c r="B3117" t="s">
        <v>27</v>
      </c>
      <c r="C3117" t="s">
        <v>28</v>
      </c>
      <c r="D3117" t="s">
        <v>9</v>
      </c>
      <c r="E3117" s="68">
        <v>661</v>
      </c>
      <c r="F3117" s="68">
        <v>699</v>
      </c>
      <c r="G3117" s="68">
        <v>1360</v>
      </c>
    </row>
    <row r="3118" spans="1:7" x14ac:dyDescent="0.3">
      <c r="A3118" t="s">
        <v>939</v>
      </c>
      <c r="B3118" t="s">
        <v>27</v>
      </c>
      <c r="C3118" t="s">
        <v>28</v>
      </c>
      <c r="D3118" t="s">
        <v>10</v>
      </c>
      <c r="E3118" s="68">
        <v>895</v>
      </c>
      <c r="F3118" s="68">
        <v>904</v>
      </c>
      <c r="G3118" s="68">
        <v>1799</v>
      </c>
    </row>
    <row r="3119" spans="1:7" x14ac:dyDescent="0.3">
      <c r="A3119" t="s">
        <v>939</v>
      </c>
      <c r="B3119" t="s">
        <v>27</v>
      </c>
      <c r="C3119" t="s">
        <v>28</v>
      </c>
      <c r="D3119" t="s">
        <v>11</v>
      </c>
      <c r="E3119" s="68">
        <v>774</v>
      </c>
      <c r="F3119" s="68">
        <v>791</v>
      </c>
      <c r="G3119" s="68">
        <v>1565</v>
      </c>
    </row>
    <row r="3120" spans="1:7" x14ac:dyDescent="0.3">
      <c r="A3120" t="s">
        <v>939</v>
      </c>
      <c r="B3120" t="s">
        <v>27</v>
      </c>
      <c r="C3120" t="s">
        <v>28</v>
      </c>
      <c r="D3120" t="s">
        <v>12</v>
      </c>
      <c r="E3120" s="68">
        <v>528</v>
      </c>
      <c r="F3120" s="68">
        <v>420</v>
      </c>
      <c r="G3120" s="68">
        <v>948</v>
      </c>
    </row>
    <row r="3121" spans="1:7" x14ac:dyDescent="0.3">
      <c r="A3121" t="s">
        <v>939</v>
      </c>
      <c r="B3121" t="s">
        <v>27</v>
      </c>
      <c r="C3121" t="s">
        <v>28</v>
      </c>
      <c r="D3121" t="s">
        <v>13</v>
      </c>
      <c r="E3121" s="68">
        <v>757</v>
      </c>
      <c r="F3121" s="68">
        <v>561</v>
      </c>
      <c r="G3121" s="68">
        <v>1318</v>
      </c>
    </row>
    <row r="3122" spans="1:7" x14ac:dyDescent="0.3">
      <c r="A3122" t="s">
        <v>939</v>
      </c>
      <c r="B3122" t="s">
        <v>27</v>
      </c>
      <c r="C3122" t="s">
        <v>28</v>
      </c>
      <c r="D3122" t="s">
        <v>14</v>
      </c>
      <c r="E3122" s="68">
        <v>1046</v>
      </c>
      <c r="F3122" s="68">
        <v>687</v>
      </c>
      <c r="G3122" s="68">
        <v>1733</v>
      </c>
    </row>
    <row r="3123" spans="1:7" x14ac:dyDescent="0.3">
      <c r="A3123" t="s">
        <v>939</v>
      </c>
      <c r="B3123" t="s">
        <v>27</v>
      </c>
      <c r="C3123" t="s">
        <v>28</v>
      </c>
      <c r="D3123" t="s">
        <v>15</v>
      </c>
      <c r="E3123" s="68">
        <v>1324</v>
      </c>
      <c r="F3123" s="68">
        <v>867</v>
      </c>
      <c r="G3123" s="68">
        <v>2191</v>
      </c>
    </row>
    <row r="3124" spans="1:7" x14ac:dyDescent="0.3">
      <c r="A3124" t="s">
        <v>939</v>
      </c>
      <c r="B3124" t="s">
        <v>27</v>
      </c>
      <c r="C3124" t="s">
        <v>28</v>
      </c>
      <c r="D3124" t="s">
        <v>16</v>
      </c>
      <c r="E3124" s="68">
        <v>1432</v>
      </c>
      <c r="F3124" s="68">
        <v>1091</v>
      </c>
      <c r="G3124" s="68">
        <v>2523</v>
      </c>
    </row>
    <row r="3125" spans="1:7" x14ac:dyDescent="0.3">
      <c r="A3125" t="s">
        <v>939</v>
      </c>
      <c r="B3125" t="s">
        <v>27</v>
      </c>
      <c r="C3125" t="s">
        <v>28</v>
      </c>
      <c r="D3125" t="s">
        <v>17</v>
      </c>
      <c r="E3125" s="68">
        <v>1587</v>
      </c>
      <c r="F3125" s="68">
        <v>1064</v>
      </c>
      <c r="G3125" s="68">
        <v>2651</v>
      </c>
    </row>
    <row r="3126" spans="1:7" x14ac:dyDescent="0.3">
      <c r="A3126" t="s">
        <v>939</v>
      </c>
      <c r="B3126" t="s">
        <v>27</v>
      </c>
      <c r="C3126" t="s">
        <v>28</v>
      </c>
      <c r="D3126" t="s">
        <v>18</v>
      </c>
      <c r="E3126" s="68">
        <v>1734</v>
      </c>
      <c r="F3126" s="68">
        <v>1154</v>
      </c>
      <c r="G3126" s="68">
        <v>2888</v>
      </c>
    </row>
    <row r="3127" spans="1:7" x14ac:dyDescent="0.3">
      <c r="A3127" t="s">
        <v>939</v>
      </c>
      <c r="B3127" t="s">
        <v>27</v>
      </c>
      <c r="C3127" t="s">
        <v>28</v>
      </c>
      <c r="D3127" t="s">
        <v>19</v>
      </c>
      <c r="E3127" s="68">
        <v>1758</v>
      </c>
      <c r="F3127" s="68">
        <v>1230</v>
      </c>
      <c r="G3127" s="68">
        <v>2988</v>
      </c>
    </row>
    <row r="3128" spans="1:7" x14ac:dyDescent="0.3">
      <c r="A3128" t="s">
        <v>939</v>
      </c>
      <c r="B3128" t="s">
        <v>27</v>
      </c>
      <c r="C3128" t="s">
        <v>28</v>
      </c>
      <c r="D3128" t="s">
        <v>20</v>
      </c>
      <c r="E3128" s="68">
        <v>1602</v>
      </c>
      <c r="F3128" s="68">
        <v>1009</v>
      </c>
      <c r="G3128" s="68">
        <v>2611</v>
      </c>
    </row>
    <row r="3129" spans="1:7" x14ac:dyDescent="0.3">
      <c r="A3129" t="s">
        <v>939</v>
      </c>
      <c r="B3129" t="s">
        <v>27</v>
      </c>
      <c r="C3129" t="s">
        <v>28</v>
      </c>
      <c r="D3129" t="s">
        <v>21</v>
      </c>
      <c r="E3129" s="68">
        <v>1287</v>
      </c>
      <c r="F3129" s="68">
        <v>947</v>
      </c>
      <c r="G3129" s="68">
        <v>2234</v>
      </c>
    </row>
    <row r="3130" spans="1:7" x14ac:dyDescent="0.3">
      <c r="A3130" t="s">
        <v>939</v>
      </c>
      <c r="B3130" t="s">
        <v>27</v>
      </c>
      <c r="C3130" t="s">
        <v>28</v>
      </c>
      <c r="D3130" t="s">
        <v>22</v>
      </c>
      <c r="E3130" s="68">
        <v>810</v>
      </c>
      <c r="F3130" s="68">
        <v>630</v>
      </c>
      <c r="G3130" s="68">
        <v>1440</v>
      </c>
    </row>
    <row r="3131" spans="1:7" x14ac:dyDescent="0.3">
      <c r="A3131" t="s">
        <v>939</v>
      </c>
      <c r="B3131" t="s">
        <v>27</v>
      </c>
      <c r="C3131" t="s">
        <v>28</v>
      </c>
      <c r="D3131" t="s">
        <v>23</v>
      </c>
      <c r="E3131" s="68">
        <v>693</v>
      </c>
      <c r="F3131" s="68">
        <v>476</v>
      </c>
      <c r="G3131" s="68">
        <v>1169</v>
      </c>
    </row>
    <row r="3132" spans="1:7" x14ac:dyDescent="0.3">
      <c r="A3132" t="s">
        <v>939</v>
      </c>
      <c r="B3132" t="s">
        <v>27</v>
      </c>
      <c r="C3132" t="s">
        <v>29</v>
      </c>
      <c r="D3132" t="s">
        <v>7</v>
      </c>
      <c r="E3132" s="68"/>
      <c r="F3132" s="68">
        <v>1</v>
      </c>
      <c r="G3132" s="68">
        <v>1</v>
      </c>
    </row>
    <row r="3133" spans="1:7" x14ac:dyDescent="0.3">
      <c r="A3133" t="s">
        <v>939</v>
      </c>
      <c r="B3133" t="s">
        <v>27</v>
      </c>
      <c r="C3133" t="s">
        <v>29</v>
      </c>
      <c r="D3133" t="s">
        <v>10</v>
      </c>
      <c r="E3133" s="68">
        <v>4</v>
      </c>
      <c r="F3133" s="68">
        <v>6</v>
      </c>
      <c r="G3133" s="68">
        <v>10</v>
      </c>
    </row>
    <row r="3134" spans="1:7" x14ac:dyDescent="0.3">
      <c r="A3134" t="s">
        <v>939</v>
      </c>
      <c r="B3134" t="s">
        <v>27</v>
      </c>
      <c r="C3134" t="s">
        <v>29</v>
      </c>
      <c r="D3134" t="s">
        <v>11</v>
      </c>
      <c r="E3134" s="68">
        <v>29</v>
      </c>
      <c r="F3134" s="68">
        <v>250</v>
      </c>
      <c r="G3134" s="68">
        <v>279</v>
      </c>
    </row>
    <row r="3135" spans="1:7" x14ac:dyDescent="0.3">
      <c r="A3135" t="s">
        <v>939</v>
      </c>
      <c r="B3135" t="s">
        <v>27</v>
      </c>
      <c r="C3135" t="s">
        <v>29</v>
      </c>
      <c r="D3135" t="s">
        <v>12</v>
      </c>
      <c r="E3135" s="68">
        <v>25</v>
      </c>
      <c r="F3135" s="68">
        <v>476</v>
      </c>
      <c r="G3135" s="68">
        <v>501</v>
      </c>
    </row>
    <row r="3136" spans="1:7" x14ac:dyDescent="0.3">
      <c r="A3136" t="s">
        <v>939</v>
      </c>
      <c r="B3136" t="s">
        <v>27</v>
      </c>
      <c r="C3136" t="s">
        <v>29</v>
      </c>
      <c r="D3136" t="s">
        <v>13</v>
      </c>
      <c r="E3136" s="68">
        <v>24</v>
      </c>
      <c r="F3136" s="68">
        <v>444</v>
      </c>
      <c r="G3136" s="68">
        <v>468</v>
      </c>
    </row>
    <row r="3137" spans="1:7" x14ac:dyDescent="0.3">
      <c r="A3137" t="s">
        <v>939</v>
      </c>
      <c r="B3137" t="s">
        <v>27</v>
      </c>
      <c r="C3137" t="s">
        <v>29</v>
      </c>
      <c r="D3137" t="s">
        <v>14</v>
      </c>
      <c r="E3137" s="68">
        <v>13</v>
      </c>
      <c r="F3137" s="68">
        <v>289</v>
      </c>
      <c r="G3137" s="68">
        <v>302</v>
      </c>
    </row>
    <row r="3138" spans="1:7" x14ac:dyDescent="0.3">
      <c r="A3138" t="s">
        <v>939</v>
      </c>
      <c r="B3138" t="s">
        <v>27</v>
      </c>
      <c r="C3138" t="s">
        <v>29</v>
      </c>
      <c r="D3138" t="s">
        <v>15</v>
      </c>
      <c r="E3138" s="68">
        <v>14</v>
      </c>
      <c r="F3138" s="68">
        <v>230</v>
      </c>
      <c r="G3138" s="68">
        <v>244</v>
      </c>
    </row>
    <row r="3139" spans="1:7" x14ac:dyDescent="0.3">
      <c r="A3139" t="s">
        <v>939</v>
      </c>
      <c r="B3139" t="s">
        <v>27</v>
      </c>
      <c r="C3139" t="s">
        <v>29</v>
      </c>
      <c r="D3139" t="s">
        <v>16</v>
      </c>
      <c r="E3139" s="68">
        <v>14</v>
      </c>
      <c r="F3139" s="68">
        <v>145</v>
      </c>
      <c r="G3139" s="68">
        <v>159</v>
      </c>
    </row>
    <row r="3140" spans="1:7" x14ac:dyDescent="0.3">
      <c r="A3140" t="s">
        <v>939</v>
      </c>
      <c r="B3140" t="s">
        <v>27</v>
      </c>
      <c r="C3140" t="s">
        <v>29</v>
      </c>
      <c r="D3140" t="s">
        <v>17</v>
      </c>
      <c r="E3140" s="68">
        <v>7</v>
      </c>
      <c r="F3140" s="68">
        <v>115</v>
      </c>
      <c r="G3140" s="68">
        <v>122</v>
      </c>
    </row>
    <row r="3141" spans="1:7" x14ac:dyDescent="0.3">
      <c r="A3141" t="s">
        <v>939</v>
      </c>
      <c r="B3141" t="s">
        <v>27</v>
      </c>
      <c r="C3141" t="s">
        <v>29</v>
      </c>
      <c r="D3141" t="s">
        <v>18</v>
      </c>
      <c r="E3141" s="68">
        <v>4</v>
      </c>
      <c r="F3141" s="68">
        <v>73</v>
      </c>
      <c r="G3141" s="68">
        <v>77</v>
      </c>
    </row>
    <row r="3142" spans="1:7" x14ac:dyDescent="0.3">
      <c r="A3142" t="s">
        <v>939</v>
      </c>
      <c r="B3142" t="s">
        <v>27</v>
      </c>
      <c r="C3142" t="s">
        <v>29</v>
      </c>
      <c r="D3142" t="s">
        <v>19</v>
      </c>
      <c r="E3142" s="68">
        <v>1</v>
      </c>
      <c r="F3142" s="68">
        <v>55</v>
      </c>
      <c r="G3142" s="68">
        <v>56</v>
      </c>
    </row>
    <row r="3143" spans="1:7" x14ac:dyDescent="0.3">
      <c r="A3143" t="s">
        <v>939</v>
      </c>
      <c r="B3143" t="s">
        <v>27</v>
      </c>
      <c r="C3143" t="s">
        <v>29</v>
      </c>
      <c r="D3143" t="s">
        <v>20</v>
      </c>
      <c r="E3143" s="68">
        <v>1</v>
      </c>
      <c r="F3143" s="68">
        <v>32</v>
      </c>
      <c r="G3143" s="68">
        <v>33</v>
      </c>
    </row>
    <row r="3144" spans="1:7" x14ac:dyDescent="0.3">
      <c r="A3144" t="s">
        <v>939</v>
      </c>
      <c r="B3144" t="s">
        <v>27</v>
      </c>
      <c r="C3144" t="s">
        <v>29</v>
      </c>
      <c r="D3144" t="s">
        <v>21</v>
      </c>
      <c r="E3144" s="68"/>
      <c r="F3144" s="68">
        <v>15</v>
      </c>
      <c r="G3144" s="68">
        <v>15</v>
      </c>
    </row>
    <row r="3145" spans="1:7" x14ac:dyDescent="0.3">
      <c r="A3145" t="s">
        <v>939</v>
      </c>
      <c r="B3145" t="s">
        <v>27</v>
      </c>
      <c r="C3145" t="s">
        <v>29</v>
      </c>
      <c r="D3145" t="s">
        <v>22</v>
      </c>
      <c r="E3145" s="68"/>
      <c r="F3145" s="68">
        <v>12</v>
      </c>
      <c r="G3145" s="68">
        <v>12</v>
      </c>
    </row>
    <row r="3146" spans="1:7" x14ac:dyDescent="0.3">
      <c r="A3146" t="s">
        <v>939</v>
      </c>
      <c r="B3146" t="s">
        <v>27</v>
      </c>
      <c r="C3146" t="s">
        <v>29</v>
      </c>
      <c r="D3146" t="s">
        <v>23</v>
      </c>
      <c r="E3146" s="68"/>
      <c r="F3146" s="68">
        <v>2</v>
      </c>
      <c r="G3146" s="68">
        <v>2</v>
      </c>
    </row>
    <row r="3147" spans="1:7" x14ac:dyDescent="0.3">
      <c r="A3147" t="s">
        <v>939</v>
      </c>
      <c r="B3147" t="s">
        <v>36</v>
      </c>
      <c r="C3147" t="s">
        <v>6</v>
      </c>
      <c r="D3147" t="s">
        <v>7</v>
      </c>
      <c r="E3147" s="68">
        <v>9</v>
      </c>
      <c r="F3147" s="68">
        <v>8</v>
      </c>
      <c r="G3147" s="68">
        <v>17</v>
      </c>
    </row>
    <row r="3148" spans="1:7" x14ac:dyDescent="0.3">
      <c r="A3148" t="s">
        <v>939</v>
      </c>
      <c r="B3148" t="s">
        <v>36</v>
      </c>
      <c r="C3148" t="s">
        <v>6</v>
      </c>
      <c r="D3148" t="s">
        <v>8</v>
      </c>
      <c r="E3148" s="68">
        <v>6</v>
      </c>
      <c r="F3148" s="68">
        <v>10</v>
      </c>
      <c r="G3148" s="68">
        <v>16</v>
      </c>
    </row>
    <row r="3149" spans="1:7" x14ac:dyDescent="0.3">
      <c r="A3149" t="s">
        <v>939</v>
      </c>
      <c r="B3149" t="s">
        <v>36</v>
      </c>
      <c r="C3149" t="s">
        <v>6</v>
      </c>
      <c r="D3149" t="s">
        <v>9</v>
      </c>
      <c r="E3149" s="68">
        <v>11</v>
      </c>
      <c r="F3149" s="68">
        <v>20</v>
      </c>
      <c r="G3149" s="68">
        <v>31</v>
      </c>
    </row>
    <row r="3150" spans="1:7" x14ac:dyDescent="0.3">
      <c r="A3150" t="s">
        <v>939</v>
      </c>
      <c r="B3150" t="s">
        <v>36</v>
      </c>
      <c r="C3150" t="s">
        <v>6</v>
      </c>
      <c r="D3150" t="s">
        <v>10</v>
      </c>
      <c r="E3150" s="68">
        <v>7</v>
      </c>
      <c r="F3150" s="68">
        <v>8</v>
      </c>
      <c r="G3150" s="68">
        <v>15</v>
      </c>
    </row>
    <row r="3151" spans="1:7" x14ac:dyDescent="0.3">
      <c r="A3151" t="s">
        <v>939</v>
      </c>
      <c r="B3151" t="s">
        <v>36</v>
      </c>
      <c r="C3151" t="s">
        <v>6</v>
      </c>
      <c r="D3151" t="s">
        <v>11</v>
      </c>
      <c r="E3151" s="68">
        <v>15</v>
      </c>
      <c r="F3151" s="68">
        <v>13</v>
      </c>
      <c r="G3151" s="68">
        <v>28</v>
      </c>
    </row>
    <row r="3152" spans="1:7" x14ac:dyDescent="0.3">
      <c r="A3152" t="s">
        <v>939</v>
      </c>
      <c r="B3152" t="s">
        <v>36</v>
      </c>
      <c r="C3152" t="s">
        <v>6</v>
      </c>
      <c r="D3152" t="s">
        <v>12</v>
      </c>
      <c r="E3152" s="68">
        <v>16</v>
      </c>
      <c r="F3152" s="68">
        <v>19</v>
      </c>
      <c r="G3152" s="68">
        <v>35</v>
      </c>
    </row>
    <row r="3153" spans="1:7" x14ac:dyDescent="0.3">
      <c r="A3153" t="s">
        <v>939</v>
      </c>
      <c r="B3153" t="s">
        <v>36</v>
      </c>
      <c r="C3153" t="s">
        <v>6</v>
      </c>
      <c r="D3153" t="s">
        <v>13</v>
      </c>
      <c r="E3153" s="68">
        <v>14</v>
      </c>
      <c r="F3153" s="68">
        <v>14</v>
      </c>
      <c r="G3153" s="68">
        <v>28</v>
      </c>
    </row>
    <row r="3154" spans="1:7" x14ac:dyDescent="0.3">
      <c r="A3154" t="s">
        <v>939</v>
      </c>
      <c r="B3154" t="s">
        <v>36</v>
      </c>
      <c r="C3154" t="s">
        <v>6</v>
      </c>
      <c r="D3154" t="s">
        <v>14</v>
      </c>
      <c r="E3154" s="68">
        <v>12</v>
      </c>
      <c r="F3154" s="68">
        <v>22</v>
      </c>
      <c r="G3154" s="68">
        <v>34</v>
      </c>
    </row>
    <row r="3155" spans="1:7" x14ac:dyDescent="0.3">
      <c r="A3155" t="s">
        <v>939</v>
      </c>
      <c r="B3155" t="s">
        <v>36</v>
      </c>
      <c r="C3155" t="s">
        <v>6</v>
      </c>
      <c r="D3155" t="s">
        <v>15</v>
      </c>
      <c r="E3155" s="68">
        <v>7</v>
      </c>
      <c r="F3155" s="68">
        <v>10</v>
      </c>
      <c r="G3155" s="68">
        <v>17</v>
      </c>
    </row>
    <row r="3156" spans="1:7" x14ac:dyDescent="0.3">
      <c r="A3156" t="s">
        <v>939</v>
      </c>
      <c r="B3156" t="s">
        <v>36</v>
      </c>
      <c r="C3156" t="s">
        <v>6</v>
      </c>
      <c r="D3156" t="s">
        <v>16</v>
      </c>
      <c r="E3156" s="68">
        <v>6</v>
      </c>
      <c r="F3156" s="68">
        <v>8</v>
      </c>
      <c r="G3156" s="68">
        <v>14</v>
      </c>
    </row>
    <row r="3157" spans="1:7" x14ac:dyDescent="0.3">
      <c r="A3157" t="s">
        <v>939</v>
      </c>
      <c r="B3157" t="s">
        <v>36</v>
      </c>
      <c r="C3157" t="s">
        <v>6</v>
      </c>
      <c r="D3157" t="s">
        <v>17</v>
      </c>
      <c r="E3157" s="68">
        <v>5</v>
      </c>
      <c r="F3157" s="68">
        <v>7</v>
      </c>
      <c r="G3157" s="68">
        <v>12</v>
      </c>
    </row>
    <row r="3158" spans="1:7" x14ac:dyDescent="0.3">
      <c r="A3158" t="s">
        <v>939</v>
      </c>
      <c r="B3158" t="s">
        <v>36</v>
      </c>
      <c r="C3158" t="s">
        <v>6</v>
      </c>
      <c r="D3158" t="s">
        <v>18</v>
      </c>
      <c r="E3158" s="68">
        <v>2</v>
      </c>
      <c r="F3158" s="68">
        <v>5</v>
      </c>
      <c r="G3158" s="68">
        <v>7</v>
      </c>
    </row>
    <row r="3159" spans="1:7" x14ac:dyDescent="0.3">
      <c r="A3159" t="s">
        <v>939</v>
      </c>
      <c r="B3159" t="s">
        <v>36</v>
      </c>
      <c r="C3159" t="s">
        <v>6</v>
      </c>
      <c r="D3159" t="s">
        <v>19</v>
      </c>
      <c r="E3159" s="68">
        <v>7</v>
      </c>
      <c r="F3159" s="68">
        <v>5</v>
      </c>
      <c r="G3159" s="68">
        <v>12</v>
      </c>
    </row>
    <row r="3160" spans="1:7" x14ac:dyDescent="0.3">
      <c r="A3160" t="s">
        <v>939</v>
      </c>
      <c r="B3160" t="s">
        <v>36</v>
      </c>
      <c r="C3160" t="s">
        <v>6</v>
      </c>
      <c r="D3160" t="s">
        <v>20</v>
      </c>
      <c r="E3160" s="68">
        <v>3</v>
      </c>
      <c r="F3160" s="68">
        <v>2</v>
      </c>
      <c r="G3160" s="68">
        <v>5</v>
      </c>
    </row>
    <row r="3161" spans="1:7" x14ac:dyDescent="0.3">
      <c r="A3161" t="s">
        <v>939</v>
      </c>
      <c r="B3161" t="s">
        <v>36</v>
      </c>
      <c r="C3161" t="s">
        <v>6</v>
      </c>
      <c r="D3161" t="s">
        <v>21</v>
      </c>
      <c r="E3161" s="68">
        <v>1</v>
      </c>
      <c r="F3161" s="68">
        <v>1</v>
      </c>
      <c r="G3161" s="68">
        <v>2</v>
      </c>
    </row>
    <row r="3162" spans="1:7" x14ac:dyDescent="0.3">
      <c r="A3162" t="s">
        <v>939</v>
      </c>
      <c r="B3162" t="s">
        <v>36</v>
      </c>
      <c r="C3162" t="s">
        <v>6</v>
      </c>
      <c r="D3162" t="s">
        <v>22</v>
      </c>
      <c r="E3162" s="68">
        <v>1</v>
      </c>
      <c r="F3162" s="68">
        <v>2</v>
      </c>
      <c r="G3162" s="68">
        <v>3</v>
      </c>
    </row>
    <row r="3163" spans="1:7" x14ac:dyDescent="0.3">
      <c r="A3163" t="s">
        <v>939</v>
      </c>
      <c r="B3163" t="s">
        <v>36</v>
      </c>
      <c r="C3163" t="s">
        <v>6</v>
      </c>
      <c r="D3163" t="s">
        <v>23</v>
      </c>
      <c r="E3163" s="68"/>
      <c r="F3163" s="68">
        <v>2</v>
      </c>
      <c r="G3163" s="68">
        <v>2</v>
      </c>
    </row>
    <row r="3164" spans="1:7" x14ac:dyDescent="0.3">
      <c r="A3164" t="s">
        <v>939</v>
      </c>
      <c r="B3164" t="s">
        <v>36</v>
      </c>
      <c r="C3164" t="s">
        <v>24</v>
      </c>
      <c r="D3164" t="s">
        <v>7</v>
      </c>
      <c r="E3164" s="68">
        <v>4</v>
      </c>
      <c r="F3164" s="68">
        <v>7</v>
      </c>
      <c r="G3164" s="68">
        <v>11</v>
      </c>
    </row>
    <row r="3165" spans="1:7" x14ac:dyDescent="0.3">
      <c r="A3165" t="s">
        <v>939</v>
      </c>
      <c r="B3165" t="s">
        <v>36</v>
      </c>
      <c r="C3165" t="s">
        <v>24</v>
      </c>
      <c r="D3165" t="s">
        <v>8</v>
      </c>
      <c r="E3165" s="68">
        <v>4</v>
      </c>
      <c r="F3165" s="68">
        <v>3</v>
      </c>
      <c r="G3165" s="68">
        <v>7</v>
      </c>
    </row>
    <row r="3166" spans="1:7" x14ac:dyDescent="0.3">
      <c r="A3166" t="s">
        <v>939</v>
      </c>
      <c r="B3166" t="s">
        <v>36</v>
      </c>
      <c r="C3166" t="s">
        <v>24</v>
      </c>
      <c r="D3166" t="s">
        <v>9</v>
      </c>
      <c r="E3166" s="68">
        <v>10</v>
      </c>
      <c r="F3166" s="68">
        <v>10</v>
      </c>
      <c r="G3166" s="68">
        <v>20</v>
      </c>
    </row>
    <row r="3167" spans="1:7" x14ac:dyDescent="0.3">
      <c r="A3167" t="s">
        <v>939</v>
      </c>
      <c r="B3167" t="s">
        <v>36</v>
      </c>
      <c r="C3167" t="s">
        <v>24</v>
      </c>
      <c r="D3167" t="s">
        <v>10</v>
      </c>
      <c r="E3167" s="68">
        <v>8</v>
      </c>
      <c r="F3167" s="68">
        <v>6</v>
      </c>
      <c r="G3167" s="68">
        <v>14</v>
      </c>
    </row>
    <row r="3168" spans="1:7" x14ac:dyDescent="0.3">
      <c r="A3168" t="s">
        <v>939</v>
      </c>
      <c r="B3168" t="s">
        <v>36</v>
      </c>
      <c r="C3168" t="s">
        <v>24</v>
      </c>
      <c r="D3168" t="s">
        <v>11</v>
      </c>
      <c r="E3168" s="68">
        <v>12</v>
      </c>
      <c r="F3168" s="68">
        <v>6</v>
      </c>
      <c r="G3168" s="68">
        <v>18</v>
      </c>
    </row>
    <row r="3169" spans="1:7" x14ac:dyDescent="0.3">
      <c r="A3169" t="s">
        <v>939</v>
      </c>
      <c r="B3169" t="s">
        <v>36</v>
      </c>
      <c r="C3169" t="s">
        <v>24</v>
      </c>
      <c r="D3169" t="s">
        <v>12</v>
      </c>
      <c r="E3169" s="68">
        <v>14</v>
      </c>
      <c r="F3169" s="68">
        <v>11</v>
      </c>
      <c r="G3169" s="68">
        <v>25</v>
      </c>
    </row>
    <row r="3170" spans="1:7" x14ac:dyDescent="0.3">
      <c r="A3170" t="s">
        <v>939</v>
      </c>
      <c r="B3170" t="s">
        <v>36</v>
      </c>
      <c r="C3170" t="s">
        <v>24</v>
      </c>
      <c r="D3170" t="s">
        <v>13</v>
      </c>
      <c r="E3170" s="68">
        <v>6</v>
      </c>
      <c r="F3170" s="68">
        <v>8</v>
      </c>
      <c r="G3170" s="68">
        <v>14</v>
      </c>
    </row>
    <row r="3171" spans="1:7" x14ac:dyDescent="0.3">
      <c r="A3171" t="s">
        <v>939</v>
      </c>
      <c r="B3171" t="s">
        <v>36</v>
      </c>
      <c r="C3171" t="s">
        <v>24</v>
      </c>
      <c r="D3171" t="s">
        <v>14</v>
      </c>
      <c r="E3171" s="68">
        <v>8</v>
      </c>
      <c r="F3171" s="68">
        <v>9</v>
      </c>
      <c r="G3171" s="68">
        <v>17</v>
      </c>
    </row>
    <row r="3172" spans="1:7" x14ac:dyDescent="0.3">
      <c r="A3172" t="s">
        <v>939</v>
      </c>
      <c r="B3172" t="s">
        <v>36</v>
      </c>
      <c r="C3172" t="s">
        <v>24</v>
      </c>
      <c r="D3172" t="s">
        <v>15</v>
      </c>
      <c r="E3172" s="68">
        <v>8</v>
      </c>
      <c r="F3172" s="68">
        <v>8</v>
      </c>
      <c r="G3172" s="68">
        <v>16</v>
      </c>
    </row>
    <row r="3173" spans="1:7" x14ac:dyDescent="0.3">
      <c r="A3173" t="s">
        <v>939</v>
      </c>
      <c r="B3173" t="s">
        <v>36</v>
      </c>
      <c r="C3173" t="s">
        <v>24</v>
      </c>
      <c r="D3173" t="s">
        <v>16</v>
      </c>
      <c r="E3173" s="68">
        <v>2</v>
      </c>
      <c r="F3173" s="68">
        <v>3</v>
      </c>
      <c r="G3173" s="68">
        <v>5</v>
      </c>
    </row>
    <row r="3174" spans="1:7" x14ac:dyDescent="0.3">
      <c r="A3174" t="s">
        <v>939</v>
      </c>
      <c r="B3174" t="s">
        <v>36</v>
      </c>
      <c r="C3174" t="s">
        <v>24</v>
      </c>
      <c r="D3174" t="s">
        <v>17</v>
      </c>
      <c r="E3174" s="68">
        <v>3</v>
      </c>
      <c r="F3174" s="68">
        <v>1</v>
      </c>
      <c r="G3174" s="68">
        <v>4</v>
      </c>
    </row>
    <row r="3175" spans="1:7" x14ac:dyDescent="0.3">
      <c r="A3175" t="s">
        <v>939</v>
      </c>
      <c r="B3175" t="s">
        <v>36</v>
      </c>
      <c r="C3175" t="s">
        <v>24</v>
      </c>
      <c r="D3175" t="s">
        <v>18</v>
      </c>
      <c r="E3175" s="68">
        <v>2</v>
      </c>
      <c r="F3175" s="68">
        <v>3</v>
      </c>
      <c r="G3175" s="68">
        <v>5</v>
      </c>
    </row>
    <row r="3176" spans="1:7" x14ac:dyDescent="0.3">
      <c r="A3176" t="s">
        <v>939</v>
      </c>
      <c r="B3176" t="s">
        <v>36</v>
      </c>
      <c r="C3176" t="s">
        <v>24</v>
      </c>
      <c r="D3176" t="s">
        <v>19</v>
      </c>
      <c r="E3176" s="68">
        <v>1</v>
      </c>
      <c r="F3176" s="68">
        <v>1</v>
      </c>
      <c r="G3176" s="68">
        <v>2</v>
      </c>
    </row>
    <row r="3177" spans="1:7" x14ac:dyDescent="0.3">
      <c r="A3177" t="s">
        <v>939</v>
      </c>
      <c r="B3177" t="s">
        <v>36</v>
      </c>
      <c r="C3177" t="s">
        <v>24</v>
      </c>
      <c r="D3177" t="s">
        <v>20</v>
      </c>
      <c r="E3177" s="68">
        <v>2</v>
      </c>
      <c r="F3177" s="68"/>
      <c r="G3177" s="68">
        <v>2</v>
      </c>
    </row>
    <row r="3178" spans="1:7" x14ac:dyDescent="0.3">
      <c r="A3178" t="s">
        <v>939</v>
      </c>
      <c r="B3178" t="s">
        <v>36</v>
      </c>
      <c r="C3178" t="s">
        <v>24</v>
      </c>
      <c r="D3178" t="s">
        <v>21</v>
      </c>
      <c r="E3178" s="68"/>
      <c r="F3178" s="68">
        <v>1</v>
      </c>
      <c r="G3178" s="68">
        <v>1</v>
      </c>
    </row>
    <row r="3179" spans="1:7" x14ac:dyDescent="0.3">
      <c r="A3179" t="s">
        <v>939</v>
      </c>
      <c r="B3179" t="s">
        <v>36</v>
      </c>
      <c r="C3179" t="s">
        <v>24</v>
      </c>
      <c r="D3179" t="s">
        <v>22</v>
      </c>
      <c r="E3179" s="68"/>
      <c r="F3179" s="68">
        <v>1</v>
      </c>
      <c r="G3179" s="68">
        <v>1</v>
      </c>
    </row>
    <row r="3180" spans="1:7" x14ac:dyDescent="0.3">
      <c r="A3180" t="s">
        <v>977</v>
      </c>
      <c r="B3180" t="s">
        <v>38</v>
      </c>
      <c r="C3180" t="s">
        <v>6</v>
      </c>
      <c r="D3180" t="s">
        <v>7</v>
      </c>
      <c r="E3180" s="68">
        <v>24</v>
      </c>
      <c r="F3180" s="68">
        <v>26</v>
      </c>
      <c r="G3180" s="68">
        <v>50</v>
      </c>
    </row>
    <row r="3181" spans="1:7" x14ac:dyDescent="0.3">
      <c r="A3181" t="s">
        <v>977</v>
      </c>
      <c r="B3181" t="s">
        <v>38</v>
      </c>
      <c r="C3181" t="s">
        <v>6</v>
      </c>
      <c r="D3181" t="s">
        <v>8</v>
      </c>
      <c r="E3181" s="68">
        <v>21</v>
      </c>
      <c r="F3181" s="68">
        <v>32</v>
      </c>
      <c r="G3181" s="68">
        <v>53</v>
      </c>
    </row>
    <row r="3182" spans="1:7" x14ac:dyDescent="0.3">
      <c r="A3182" t="s">
        <v>977</v>
      </c>
      <c r="B3182" t="s">
        <v>38</v>
      </c>
      <c r="C3182" t="s">
        <v>6</v>
      </c>
      <c r="D3182" t="s">
        <v>9</v>
      </c>
      <c r="E3182" s="68">
        <v>34</v>
      </c>
      <c r="F3182" s="68">
        <v>32</v>
      </c>
      <c r="G3182" s="68">
        <v>66</v>
      </c>
    </row>
    <row r="3183" spans="1:7" x14ac:dyDescent="0.3">
      <c r="A3183" t="s">
        <v>977</v>
      </c>
      <c r="B3183" t="s">
        <v>38</v>
      </c>
      <c r="C3183" t="s">
        <v>6</v>
      </c>
      <c r="D3183" t="s">
        <v>10</v>
      </c>
      <c r="E3183" s="68">
        <v>60</v>
      </c>
      <c r="F3183" s="68">
        <v>130</v>
      </c>
      <c r="G3183" s="68">
        <v>190</v>
      </c>
    </row>
    <row r="3184" spans="1:7" x14ac:dyDescent="0.3">
      <c r="A3184" t="s">
        <v>977</v>
      </c>
      <c r="B3184" t="s">
        <v>38</v>
      </c>
      <c r="C3184" t="s">
        <v>6</v>
      </c>
      <c r="D3184" t="s">
        <v>11</v>
      </c>
      <c r="E3184" s="68">
        <v>267</v>
      </c>
      <c r="F3184" s="68">
        <v>534</v>
      </c>
      <c r="G3184" s="68">
        <v>801</v>
      </c>
    </row>
    <row r="3185" spans="1:7" x14ac:dyDescent="0.3">
      <c r="A3185" t="s">
        <v>977</v>
      </c>
      <c r="B3185" t="s">
        <v>38</v>
      </c>
      <c r="C3185" t="s">
        <v>6</v>
      </c>
      <c r="D3185" t="s">
        <v>12</v>
      </c>
      <c r="E3185" s="68">
        <v>314</v>
      </c>
      <c r="F3185" s="68">
        <v>481</v>
      </c>
      <c r="G3185" s="68">
        <v>795</v>
      </c>
    </row>
    <row r="3186" spans="1:7" x14ac:dyDescent="0.3">
      <c r="A3186" t="s">
        <v>977</v>
      </c>
      <c r="B3186" t="s">
        <v>38</v>
      </c>
      <c r="C3186" t="s">
        <v>6</v>
      </c>
      <c r="D3186" t="s">
        <v>13</v>
      </c>
      <c r="E3186" s="68">
        <v>231</v>
      </c>
      <c r="F3186" s="68">
        <v>339</v>
      </c>
      <c r="G3186" s="68">
        <v>570</v>
      </c>
    </row>
    <row r="3187" spans="1:7" x14ac:dyDescent="0.3">
      <c r="A3187" t="s">
        <v>977</v>
      </c>
      <c r="B3187" t="s">
        <v>38</v>
      </c>
      <c r="C3187" t="s">
        <v>6</v>
      </c>
      <c r="D3187" t="s">
        <v>14</v>
      </c>
      <c r="E3187" s="68">
        <v>162</v>
      </c>
      <c r="F3187" s="68">
        <v>207</v>
      </c>
      <c r="G3187" s="68">
        <v>369</v>
      </c>
    </row>
    <row r="3188" spans="1:7" x14ac:dyDescent="0.3">
      <c r="A3188" t="s">
        <v>977</v>
      </c>
      <c r="B3188" t="s">
        <v>38</v>
      </c>
      <c r="C3188" t="s">
        <v>6</v>
      </c>
      <c r="D3188" t="s">
        <v>15</v>
      </c>
      <c r="E3188" s="68">
        <v>127</v>
      </c>
      <c r="F3188" s="68">
        <v>166</v>
      </c>
      <c r="G3188" s="68">
        <v>293</v>
      </c>
    </row>
    <row r="3189" spans="1:7" x14ac:dyDescent="0.3">
      <c r="A3189" t="s">
        <v>977</v>
      </c>
      <c r="B3189" t="s">
        <v>38</v>
      </c>
      <c r="C3189" t="s">
        <v>6</v>
      </c>
      <c r="D3189" t="s">
        <v>16</v>
      </c>
      <c r="E3189" s="68">
        <v>96</v>
      </c>
      <c r="F3189" s="68">
        <v>140</v>
      </c>
      <c r="G3189" s="68">
        <v>236</v>
      </c>
    </row>
    <row r="3190" spans="1:7" x14ac:dyDescent="0.3">
      <c r="A3190" t="s">
        <v>977</v>
      </c>
      <c r="B3190" t="s">
        <v>38</v>
      </c>
      <c r="C3190" t="s">
        <v>6</v>
      </c>
      <c r="D3190" t="s">
        <v>17</v>
      </c>
      <c r="E3190" s="68">
        <v>54</v>
      </c>
      <c r="F3190" s="68">
        <v>127</v>
      </c>
      <c r="G3190" s="68">
        <v>181</v>
      </c>
    </row>
    <row r="3191" spans="1:7" x14ac:dyDescent="0.3">
      <c r="A3191" t="s">
        <v>977</v>
      </c>
      <c r="B3191" t="s">
        <v>38</v>
      </c>
      <c r="C3191" t="s">
        <v>6</v>
      </c>
      <c r="D3191" t="s">
        <v>18</v>
      </c>
      <c r="E3191" s="68">
        <v>21</v>
      </c>
      <c r="F3191" s="68">
        <v>70</v>
      </c>
      <c r="G3191" s="68">
        <v>91</v>
      </c>
    </row>
    <row r="3192" spans="1:7" x14ac:dyDescent="0.3">
      <c r="A3192" t="s">
        <v>977</v>
      </c>
      <c r="B3192" t="s">
        <v>38</v>
      </c>
      <c r="C3192" t="s">
        <v>6</v>
      </c>
      <c r="D3192" t="s">
        <v>19</v>
      </c>
      <c r="E3192" s="68">
        <v>22</v>
      </c>
      <c r="F3192" s="68">
        <v>53</v>
      </c>
      <c r="G3192" s="68">
        <v>75</v>
      </c>
    </row>
    <row r="3193" spans="1:7" x14ac:dyDescent="0.3">
      <c r="A3193" t="s">
        <v>977</v>
      </c>
      <c r="B3193" t="s">
        <v>38</v>
      </c>
      <c r="C3193" t="s">
        <v>6</v>
      </c>
      <c r="D3193" t="s">
        <v>20</v>
      </c>
      <c r="E3193" s="68">
        <v>6</v>
      </c>
      <c r="F3193" s="68">
        <v>28</v>
      </c>
      <c r="G3193" s="68">
        <v>34</v>
      </c>
    </row>
    <row r="3194" spans="1:7" x14ac:dyDescent="0.3">
      <c r="A3194" t="s">
        <v>977</v>
      </c>
      <c r="B3194" t="s">
        <v>38</v>
      </c>
      <c r="C3194" t="s">
        <v>6</v>
      </c>
      <c r="D3194" t="s">
        <v>21</v>
      </c>
      <c r="E3194" s="68">
        <v>8</v>
      </c>
      <c r="F3194" s="68">
        <v>10</v>
      </c>
      <c r="G3194" s="68">
        <v>18</v>
      </c>
    </row>
    <row r="3195" spans="1:7" x14ac:dyDescent="0.3">
      <c r="A3195" t="s">
        <v>977</v>
      </c>
      <c r="B3195" t="s">
        <v>38</v>
      </c>
      <c r="C3195" t="s">
        <v>6</v>
      </c>
      <c r="D3195" t="s">
        <v>22</v>
      </c>
      <c r="E3195" s="68">
        <v>1</v>
      </c>
      <c r="F3195" s="68">
        <v>4</v>
      </c>
      <c r="G3195" s="68">
        <v>5</v>
      </c>
    </row>
    <row r="3196" spans="1:7" x14ac:dyDescent="0.3">
      <c r="A3196" t="s">
        <v>977</v>
      </c>
      <c r="B3196" t="s">
        <v>38</v>
      </c>
      <c r="C3196" t="s">
        <v>6</v>
      </c>
      <c r="D3196" t="s">
        <v>23</v>
      </c>
      <c r="E3196" s="68">
        <v>2</v>
      </c>
      <c r="F3196" s="68">
        <v>3</v>
      </c>
      <c r="G3196" s="68">
        <v>5</v>
      </c>
    </row>
    <row r="3197" spans="1:7" x14ac:dyDescent="0.3">
      <c r="A3197" t="s">
        <v>977</v>
      </c>
      <c r="B3197" t="s">
        <v>38</v>
      </c>
      <c r="C3197" t="s">
        <v>24</v>
      </c>
      <c r="D3197" t="s">
        <v>7</v>
      </c>
      <c r="E3197" s="68">
        <v>3359</v>
      </c>
      <c r="F3197" s="68">
        <v>3542</v>
      </c>
      <c r="G3197" s="68">
        <v>6901</v>
      </c>
    </row>
    <row r="3198" spans="1:7" x14ac:dyDescent="0.3">
      <c r="A3198" t="s">
        <v>977</v>
      </c>
      <c r="B3198" t="s">
        <v>38</v>
      </c>
      <c r="C3198" t="s">
        <v>24</v>
      </c>
      <c r="D3198" t="s">
        <v>8</v>
      </c>
      <c r="E3198" s="68">
        <v>4683</v>
      </c>
      <c r="F3198" s="68">
        <v>4921</v>
      </c>
      <c r="G3198" s="68">
        <v>9604</v>
      </c>
    </row>
    <row r="3199" spans="1:7" x14ac:dyDescent="0.3">
      <c r="A3199" t="s">
        <v>977</v>
      </c>
      <c r="B3199" t="s">
        <v>38</v>
      </c>
      <c r="C3199" t="s">
        <v>24</v>
      </c>
      <c r="D3199" t="s">
        <v>9</v>
      </c>
      <c r="E3199" s="68">
        <v>5790</v>
      </c>
      <c r="F3199" s="68">
        <v>6107</v>
      </c>
      <c r="G3199" s="68">
        <v>11897</v>
      </c>
    </row>
    <row r="3200" spans="1:7" x14ac:dyDescent="0.3">
      <c r="A3200" t="s">
        <v>977</v>
      </c>
      <c r="B3200" t="s">
        <v>38</v>
      </c>
      <c r="C3200" t="s">
        <v>24</v>
      </c>
      <c r="D3200" t="s">
        <v>10</v>
      </c>
      <c r="E3200" s="68">
        <v>5862</v>
      </c>
      <c r="F3200" s="68">
        <v>5854</v>
      </c>
      <c r="G3200" s="68">
        <v>11716</v>
      </c>
    </row>
    <row r="3201" spans="1:7" x14ac:dyDescent="0.3">
      <c r="A3201" t="s">
        <v>977</v>
      </c>
      <c r="B3201" t="s">
        <v>38</v>
      </c>
      <c r="C3201" t="s">
        <v>24</v>
      </c>
      <c r="D3201" t="s">
        <v>11</v>
      </c>
      <c r="E3201" s="68">
        <v>4405</v>
      </c>
      <c r="F3201" s="68">
        <v>3706</v>
      </c>
      <c r="G3201" s="68">
        <v>8111</v>
      </c>
    </row>
    <row r="3202" spans="1:7" x14ac:dyDescent="0.3">
      <c r="A3202" t="s">
        <v>977</v>
      </c>
      <c r="B3202" t="s">
        <v>38</v>
      </c>
      <c r="C3202" t="s">
        <v>24</v>
      </c>
      <c r="D3202" t="s">
        <v>12</v>
      </c>
      <c r="E3202" s="68">
        <v>3918</v>
      </c>
      <c r="F3202" s="68">
        <v>3115</v>
      </c>
      <c r="G3202" s="68">
        <v>7033</v>
      </c>
    </row>
    <row r="3203" spans="1:7" x14ac:dyDescent="0.3">
      <c r="A3203" t="s">
        <v>977</v>
      </c>
      <c r="B3203" t="s">
        <v>38</v>
      </c>
      <c r="C3203" t="s">
        <v>24</v>
      </c>
      <c r="D3203" t="s">
        <v>13</v>
      </c>
      <c r="E3203" s="68">
        <v>3897</v>
      </c>
      <c r="F3203" s="68">
        <v>2867</v>
      </c>
      <c r="G3203" s="68">
        <v>6764</v>
      </c>
    </row>
    <row r="3204" spans="1:7" x14ac:dyDescent="0.3">
      <c r="A3204" t="s">
        <v>977</v>
      </c>
      <c r="B3204" t="s">
        <v>38</v>
      </c>
      <c r="C3204" t="s">
        <v>24</v>
      </c>
      <c r="D3204" t="s">
        <v>14</v>
      </c>
      <c r="E3204" s="68">
        <v>3454</v>
      </c>
      <c r="F3204" s="68">
        <v>2407</v>
      </c>
      <c r="G3204" s="68">
        <v>5861</v>
      </c>
    </row>
    <row r="3205" spans="1:7" x14ac:dyDescent="0.3">
      <c r="A3205" t="s">
        <v>977</v>
      </c>
      <c r="B3205" t="s">
        <v>38</v>
      </c>
      <c r="C3205" t="s">
        <v>24</v>
      </c>
      <c r="D3205" t="s">
        <v>15</v>
      </c>
      <c r="E3205" s="68">
        <v>3302</v>
      </c>
      <c r="F3205" s="68">
        <v>2498</v>
      </c>
      <c r="G3205" s="68">
        <v>5800</v>
      </c>
    </row>
    <row r="3206" spans="1:7" x14ac:dyDescent="0.3">
      <c r="A3206" t="s">
        <v>977</v>
      </c>
      <c r="B3206" t="s">
        <v>38</v>
      </c>
      <c r="C3206" t="s">
        <v>24</v>
      </c>
      <c r="D3206" t="s">
        <v>16</v>
      </c>
      <c r="E3206" s="68">
        <v>3076</v>
      </c>
      <c r="F3206" s="68">
        <v>2462</v>
      </c>
      <c r="G3206" s="68">
        <v>5538</v>
      </c>
    </row>
    <row r="3207" spans="1:7" x14ac:dyDescent="0.3">
      <c r="A3207" t="s">
        <v>977</v>
      </c>
      <c r="B3207" t="s">
        <v>38</v>
      </c>
      <c r="C3207" t="s">
        <v>24</v>
      </c>
      <c r="D3207" t="s">
        <v>17</v>
      </c>
      <c r="E3207" s="68">
        <v>2642</v>
      </c>
      <c r="F3207" s="68">
        <v>2364</v>
      </c>
      <c r="G3207" s="68">
        <v>5006</v>
      </c>
    </row>
    <row r="3208" spans="1:7" x14ac:dyDescent="0.3">
      <c r="A3208" t="s">
        <v>977</v>
      </c>
      <c r="B3208" t="s">
        <v>38</v>
      </c>
      <c r="C3208" t="s">
        <v>24</v>
      </c>
      <c r="D3208" t="s">
        <v>18</v>
      </c>
      <c r="E3208" s="68">
        <v>2432</v>
      </c>
      <c r="F3208" s="68">
        <v>2191</v>
      </c>
      <c r="G3208" s="68">
        <v>4623</v>
      </c>
    </row>
    <row r="3209" spans="1:7" x14ac:dyDescent="0.3">
      <c r="A3209" t="s">
        <v>977</v>
      </c>
      <c r="B3209" t="s">
        <v>38</v>
      </c>
      <c r="C3209" t="s">
        <v>24</v>
      </c>
      <c r="D3209" t="s">
        <v>19</v>
      </c>
      <c r="E3209" s="68">
        <v>2185</v>
      </c>
      <c r="F3209" s="68">
        <v>2006</v>
      </c>
      <c r="G3209" s="68">
        <v>4191</v>
      </c>
    </row>
    <row r="3210" spans="1:7" x14ac:dyDescent="0.3">
      <c r="A3210" t="s">
        <v>977</v>
      </c>
      <c r="B3210" t="s">
        <v>38</v>
      </c>
      <c r="C3210" t="s">
        <v>24</v>
      </c>
      <c r="D3210" t="s">
        <v>20</v>
      </c>
      <c r="E3210" s="68">
        <v>1691</v>
      </c>
      <c r="F3210" s="68">
        <v>1715</v>
      </c>
      <c r="G3210" s="68">
        <v>3406</v>
      </c>
    </row>
    <row r="3211" spans="1:7" x14ac:dyDescent="0.3">
      <c r="A3211" t="s">
        <v>977</v>
      </c>
      <c r="B3211" t="s">
        <v>38</v>
      </c>
      <c r="C3211" t="s">
        <v>24</v>
      </c>
      <c r="D3211" t="s">
        <v>21</v>
      </c>
      <c r="E3211" s="68">
        <v>1353</v>
      </c>
      <c r="F3211" s="68">
        <v>1341</v>
      </c>
      <c r="G3211" s="68">
        <v>2694</v>
      </c>
    </row>
    <row r="3212" spans="1:7" x14ac:dyDescent="0.3">
      <c r="A3212" t="s">
        <v>977</v>
      </c>
      <c r="B3212" t="s">
        <v>38</v>
      </c>
      <c r="C3212" t="s">
        <v>24</v>
      </c>
      <c r="D3212" t="s">
        <v>22</v>
      </c>
      <c r="E3212" s="68">
        <v>940</v>
      </c>
      <c r="F3212" s="68">
        <v>994</v>
      </c>
      <c r="G3212" s="68">
        <v>1934</v>
      </c>
    </row>
    <row r="3213" spans="1:7" x14ac:dyDescent="0.3">
      <c r="A3213" t="s">
        <v>977</v>
      </c>
      <c r="B3213" t="s">
        <v>38</v>
      </c>
      <c r="C3213" t="s">
        <v>24</v>
      </c>
      <c r="D3213" t="s">
        <v>23</v>
      </c>
      <c r="E3213" s="68">
        <v>1337</v>
      </c>
      <c r="F3213" s="68">
        <v>1482</v>
      </c>
      <c r="G3213" s="68">
        <v>2819</v>
      </c>
    </row>
    <row r="3214" spans="1:7" x14ac:dyDescent="0.3">
      <c r="A3214" t="s">
        <v>977</v>
      </c>
      <c r="B3214" t="s">
        <v>30</v>
      </c>
      <c r="C3214" t="s">
        <v>6</v>
      </c>
      <c r="D3214" t="s">
        <v>7</v>
      </c>
      <c r="E3214" s="68">
        <v>78</v>
      </c>
      <c r="F3214" s="68">
        <v>93</v>
      </c>
      <c r="G3214" s="68">
        <v>171</v>
      </c>
    </row>
    <row r="3215" spans="1:7" x14ac:dyDescent="0.3">
      <c r="A3215" t="s">
        <v>977</v>
      </c>
      <c r="B3215" t="s">
        <v>30</v>
      </c>
      <c r="C3215" t="s">
        <v>6</v>
      </c>
      <c r="D3215" t="s">
        <v>8</v>
      </c>
      <c r="E3215" s="68">
        <v>84</v>
      </c>
      <c r="F3215" s="68">
        <v>71</v>
      </c>
      <c r="G3215" s="68">
        <v>155</v>
      </c>
    </row>
    <row r="3216" spans="1:7" x14ac:dyDescent="0.3">
      <c r="A3216" t="s">
        <v>977</v>
      </c>
      <c r="B3216" t="s">
        <v>30</v>
      </c>
      <c r="C3216" t="s">
        <v>6</v>
      </c>
      <c r="D3216" t="s">
        <v>9</v>
      </c>
      <c r="E3216" s="68">
        <v>97</v>
      </c>
      <c r="F3216" s="68">
        <v>88</v>
      </c>
      <c r="G3216" s="68">
        <v>185</v>
      </c>
    </row>
    <row r="3217" spans="1:7" x14ac:dyDescent="0.3">
      <c r="A3217" t="s">
        <v>977</v>
      </c>
      <c r="B3217" t="s">
        <v>30</v>
      </c>
      <c r="C3217" t="s">
        <v>6</v>
      </c>
      <c r="D3217" t="s">
        <v>10</v>
      </c>
      <c r="E3217" s="68">
        <v>140</v>
      </c>
      <c r="F3217" s="68">
        <v>196</v>
      </c>
      <c r="G3217" s="68">
        <v>336</v>
      </c>
    </row>
    <row r="3218" spans="1:7" x14ac:dyDescent="0.3">
      <c r="A3218" t="s">
        <v>977</v>
      </c>
      <c r="B3218" t="s">
        <v>30</v>
      </c>
      <c r="C3218" t="s">
        <v>6</v>
      </c>
      <c r="D3218" t="s">
        <v>11</v>
      </c>
      <c r="E3218" s="68">
        <v>408</v>
      </c>
      <c r="F3218" s="68">
        <v>637</v>
      </c>
      <c r="G3218" s="68">
        <v>1045</v>
      </c>
    </row>
    <row r="3219" spans="1:7" x14ac:dyDescent="0.3">
      <c r="A3219" t="s">
        <v>977</v>
      </c>
      <c r="B3219" t="s">
        <v>30</v>
      </c>
      <c r="C3219" t="s">
        <v>6</v>
      </c>
      <c r="D3219" t="s">
        <v>12</v>
      </c>
      <c r="E3219" s="68">
        <v>484</v>
      </c>
      <c r="F3219" s="68">
        <v>694</v>
      </c>
      <c r="G3219" s="68">
        <v>1178</v>
      </c>
    </row>
    <row r="3220" spans="1:7" x14ac:dyDescent="0.3">
      <c r="A3220" t="s">
        <v>977</v>
      </c>
      <c r="B3220" t="s">
        <v>30</v>
      </c>
      <c r="C3220" t="s">
        <v>6</v>
      </c>
      <c r="D3220" t="s">
        <v>13</v>
      </c>
      <c r="E3220" s="68">
        <v>438</v>
      </c>
      <c r="F3220" s="68">
        <v>678</v>
      </c>
      <c r="G3220" s="68">
        <v>1116</v>
      </c>
    </row>
    <row r="3221" spans="1:7" x14ac:dyDescent="0.3">
      <c r="A3221" t="s">
        <v>977</v>
      </c>
      <c r="B3221" t="s">
        <v>30</v>
      </c>
      <c r="C3221" t="s">
        <v>6</v>
      </c>
      <c r="D3221" t="s">
        <v>14</v>
      </c>
      <c r="E3221" s="68">
        <v>397</v>
      </c>
      <c r="F3221" s="68">
        <v>577</v>
      </c>
      <c r="G3221" s="68">
        <v>974</v>
      </c>
    </row>
    <row r="3222" spans="1:7" x14ac:dyDescent="0.3">
      <c r="A3222" t="s">
        <v>977</v>
      </c>
      <c r="B3222" t="s">
        <v>30</v>
      </c>
      <c r="C3222" t="s">
        <v>6</v>
      </c>
      <c r="D3222" t="s">
        <v>15</v>
      </c>
      <c r="E3222" s="68">
        <v>319</v>
      </c>
      <c r="F3222" s="68">
        <v>450</v>
      </c>
      <c r="G3222" s="68">
        <v>769</v>
      </c>
    </row>
    <row r="3223" spans="1:7" x14ac:dyDescent="0.3">
      <c r="A3223" t="s">
        <v>977</v>
      </c>
      <c r="B3223" t="s">
        <v>30</v>
      </c>
      <c r="C3223" t="s">
        <v>6</v>
      </c>
      <c r="D3223" t="s">
        <v>16</v>
      </c>
      <c r="E3223" s="68">
        <v>207</v>
      </c>
      <c r="F3223" s="68">
        <v>371</v>
      </c>
      <c r="G3223" s="68">
        <v>578</v>
      </c>
    </row>
    <row r="3224" spans="1:7" x14ac:dyDescent="0.3">
      <c r="A3224" t="s">
        <v>977</v>
      </c>
      <c r="B3224" t="s">
        <v>30</v>
      </c>
      <c r="C3224" t="s">
        <v>6</v>
      </c>
      <c r="D3224" t="s">
        <v>17</v>
      </c>
      <c r="E3224" s="68">
        <v>133</v>
      </c>
      <c r="F3224" s="68">
        <v>242</v>
      </c>
      <c r="G3224" s="68">
        <v>375</v>
      </c>
    </row>
    <row r="3225" spans="1:7" x14ac:dyDescent="0.3">
      <c r="A3225" t="s">
        <v>977</v>
      </c>
      <c r="B3225" t="s">
        <v>30</v>
      </c>
      <c r="C3225" t="s">
        <v>6</v>
      </c>
      <c r="D3225" t="s">
        <v>18</v>
      </c>
      <c r="E3225" s="68">
        <v>118</v>
      </c>
      <c r="F3225" s="68">
        <v>191</v>
      </c>
      <c r="G3225" s="68">
        <v>309</v>
      </c>
    </row>
    <row r="3226" spans="1:7" x14ac:dyDescent="0.3">
      <c r="A3226" t="s">
        <v>977</v>
      </c>
      <c r="B3226" t="s">
        <v>30</v>
      </c>
      <c r="C3226" t="s">
        <v>6</v>
      </c>
      <c r="D3226" t="s">
        <v>19</v>
      </c>
      <c r="E3226" s="68">
        <v>77</v>
      </c>
      <c r="F3226" s="68">
        <v>122</v>
      </c>
      <c r="G3226" s="68">
        <v>199</v>
      </c>
    </row>
    <row r="3227" spans="1:7" x14ac:dyDescent="0.3">
      <c r="A3227" t="s">
        <v>977</v>
      </c>
      <c r="B3227" t="s">
        <v>30</v>
      </c>
      <c r="C3227" t="s">
        <v>6</v>
      </c>
      <c r="D3227" t="s">
        <v>20</v>
      </c>
      <c r="E3227" s="68">
        <v>45</v>
      </c>
      <c r="F3227" s="68">
        <v>88</v>
      </c>
      <c r="G3227" s="68">
        <v>133</v>
      </c>
    </row>
    <row r="3228" spans="1:7" x14ac:dyDescent="0.3">
      <c r="A3228" t="s">
        <v>977</v>
      </c>
      <c r="B3228" t="s">
        <v>30</v>
      </c>
      <c r="C3228" t="s">
        <v>6</v>
      </c>
      <c r="D3228" t="s">
        <v>21</v>
      </c>
      <c r="E3228" s="68">
        <v>42</v>
      </c>
      <c r="F3228" s="68">
        <v>62</v>
      </c>
      <c r="G3228" s="68">
        <v>104</v>
      </c>
    </row>
    <row r="3229" spans="1:7" x14ac:dyDescent="0.3">
      <c r="A3229" t="s">
        <v>977</v>
      </c>
      <c r="B3229" t="s">
        <v>30</v>
      </c>
      <c r="C3229" t="s">
        <v>6</v>
      </c>
      <c r="D3229" t="s">
        <v>22</v>
      </c>
      <c r="E3229" s="68">
        <v>28</v>
      </c>
      <c r="F3229" s="68">
        <v>30</v>
      </c>
      <c r="G3229" s="68">
        <v>58</v>
      </c>
    </row>
    <row r="3230" spans="1:7" x14ac:dyDescent="0.3">
      <c r="A3230" t="s">
        <v>977</v>
      </c>
      <c r="B3230" t="s">
        <v>30</v>
      </c>
      <c r="C3230" t="s">
        <v>6</v>
      </c>
      <c r="D3230" t="s">
        <v>23</v>
      </c>
      <c r="E3230" s="68">
        <v>27</v>
      </c>
      <c r="F3230" s="68">
        <v>23</v>
      </c>
      <c r="G3230" s="68">
        <v>50</v>
      </c>
    </row>
    <row r="3231" spans="1:7" x14ac:dyDescent="0.3">
      <c r="A3231" t="s">
        <v>977</v>
      </c>
      <c r="B3231" t="s">
        <v>30</v>
      </c>
      <c r="C3231" t="s">
        <v>24</v>
      </c>
      <c r="D3231" t="s">
        <v>7</v>
      </c>
      <c r="E3231" s="68">
        <v>7224</v>
      </c>
      <c r="F3231" s="68">
        <v>7622</v>
      </c>
      <c r="G3231" s="68">
        <v>14846</v>
      </c>
    </row>
    <row r="3232" spans="1:7" x14ac:dyDescent="0.3">
      <c r="A3232" t="s">
        <v>977</v>
      </c>
      <c r="B3232" t="s">
        <v>30</v>
      </c>
      <c r="C3232" t="s">
        <v>24</v>
      </c>
      <c r="D3232" t="s">
        <v>8</v>
      </c>
      <c r="E3232" s="68">
        <v>10960</v>
      </c>
      <c r="F3232" s="68">
        <v>11495</v>
      </c>
      <c r="G3232" s="68">
        <v>22455</v>
      </c>
    </row>
    <row r="3233" spans="1:7" x14ac:dyDescent="0.3">
      <c r="A3233" t="s">
        <v>977</v>
      </c>
      <c r="B3233" t="s">
        <v>30</v>
      </c>
      <c r="C3233" t="s">
        <v>24</v>
      </c>
      <c r="D3233" t="s">
        <v>9</v>
      </c>
      <c r="E3233" s="68">
        <v>11144</v>
      </c>
      <c r="F3233" s="68">
        <v>11668</v>
      </c>
      <c r="G3233" s="68">
        <v>22812</v>
      </c>
    </row>
    <row r="3234" spans="1:7" x14ac:dyDescent="0.3">
      <c r="A3234" t="s">
        <v>977</v>
      </c>
      <c r="B3234" t="s">
        <v>30</v>
      </c>
      <c r="C3234" t="s">
        <v>24</v>
      </c>
      <c r="D3234" t="s">
        <v>10</v>
      </c>
      <c r="E3234" s="68">
        <v>10230</v>
      </c>
      <c r="F3234" s="68">
        <v>10501</v>
      </c>
      <c r="G3234" s="68">
        <v>20731</v>
      </c>
    </row>
    <row r="3235" spans="1:7" x14ac:dyDescent="0.3">
      <c r="A3235" t="s">
        <v>977</v>
      </c>
      <c r="B3235" t="s">
        <v>30</v>
      </c>
      <c r="C3235" t="s">
        <v>24</v>
      </c>
      <c r="D3235" t="s">
        <v>11</v>
      </c>
      <c r="E3235" s="68">
        <v>8368</v>
      </c>
      <c r="F3235" s="68">
        <v>6859</v>
      </c>
      <c r="G3235" s="68">
        <v>15227</v>
      </c>
    </row>
    <row r="3236" spans="1:7" x14ac:dyDescent="0.3">
      <c r="A3236" t="s">
        <v>977</v>
      </c>
      <c r="B3236" t="s">
        <v>30</v>
      </c>
      <c r="C3236" t="s">
        <v>24</v>
      </c>
      <c r="D3236" t="s">
        <v>12</v>
      </c>
      <c r="E3236" s="68">
        <v>7225</v>
      </c>
      <c r="F3236" s="68">
        <v>5349</v>
      </c>
      <c r="G3236" s="68">
        <v>12574</v>
      </c>
    </row>
    <row r="3237" spans="1:7" x14ac:dyDescent="0.3">
      <c r="A3237" t="s">
        <v>977</v>
      </c>
      <c r="B3237" t="s">
        <v>30</v>
      </c>
      <c r="C3237" t="s">
        <v>24</v>
      </c>
      <c r="D3237" t="s">
        <v>13</v>
      </c>
      <c r="E3237" s="68">
        <v>6709</v>
      </c>
      <c r="F3237" s="68">
        <v>5491</v>
      </c>
      <c r="G3237" s="68">
        <v>12200</v>
      </c>
    </row>
    <row r="3238" spans="1:7" x14ac:dyDescent="0.3">
      <c r="A3238" t="s">
        <v>977</v>
      </c>
      <c r="B3238" t="s">
        <v>30</v>
      </c>
      <c r="C3238" t="s">
        <v>24</v>
      </c>
      <c r="D3238" t="s">
        <v>14</v>
      </c>
      <c r="E3238" s="68">
        <v>6408</v>
      </c>
      <c r="F3238" s="68">
        <v>5405</v>
      </c>
      <c r="G3238" s="68">
        <v>11813</v>
      </c>
    </row>
    <row r="3239" spans="1:7" x14ac:dyDescent="0.3">
      <c r="A3239" t="s">
        <v>977</v>
      </c>
      <c r="B3239" t="s">
        <v>30</v>
      </c>
      <c r="C3239" t="s">
        <v>24</v>
      </c>
      <c r="D3239" t="s">
        <v>15</v>
      </c>
      <c r="E3239" s="68">
        <v>5852</v>
      </c>
      <c r="F3239" s="68">
        <v>5102</v>
      </c>
      <c r="G3239" s="68">
        <v>10954</v>
      </c>
    </row>
    <row r="3240" spans="1:7" x14ac:dyDescent="0.3">
      <c r="A3240" t="s">
        <v>977</v>
      </c>
      <c r="B3240" t="s">
        <v>30</v>
      </c>
      <c r="C3240" t="s">
        <v>24</v>
      </c>
      <c r="D3240" t="s">
        <v>16</v>
      </c>
      <c r="E3240" s="68">
        <v>5150</v>
      </c>
      <c r="F3240" s="68">
        <v>4827</v>
      </c>
      <c r="G3240" s="68">
        <v>9977</v>
      </c>
    </row>
    <row r="3241" spans="1:7" x14ac:dyDescent="0.3">
      <c r="A3241" t="s">
        <v>977</v>
      </c>
      <c r="B3241" t="s">
        <v>30</v>
      </c>
      <c r="C3241" t="s">
        <v>24</v>
      </c>
      <c r="D3241" t="s">
        <v>17</v>
      </c>
      <c r="E3241" s="68">
        <v>4873</v>
      </c>
      <c r="F3241" s="68">
        <v>4464</v>
      </c>
      <c r="G3241" s="68">
        <v>9337</v>
      </c>
    </row>
    <row r="3242" spans="1:7" x14ac:dyDescent="0.3">
      <c r="A3242" t="s">
        <v>977</v>
      </c>
      <c r="B3242" t="s">
        <v>30</v>
      </c>
      <c r="C3242" t="s">
        <v>24</v>
      </c>
      <c r="D3242" t="s">
        <v>18</v>
      </c>
      <c r="E3242" s="68">
        <v>4611</v>
      </c>
      <c r="F3242" s="68">
        <v>4530</v>
      </c>
      <c r="G3242" s="68">
        <v>9141</v>
      </c>
    </row>
    <row r="3243" spans="1:7" x14ac:dyDescent="0.3">
      <c r="A3243" t="s">
        <v>977</v>
      </c>
      <c r="B3243" t="s">
        <v>30</v>
      </c>
      <c r="C3243" t="s">
        <v>24</v>
      </c>
      <c r="D3243" t="s">
        <v>19</v>
      </c>
      <c r="E3243" s="68">
        <v>3695</v>
      </c>
      <c r="F3243" s="68">
        <v>3897</v>
      </c>
      <c r="G3243" s="68">
        <v>7592</v>
      </c>
    </row>
    <row r="3244" spans="1:7" x14ac:dyDescent="0.3">
      <c r="A3244" t="s">
        <v>977</v>
      </c>
      <c r="B3244" t="s">
        <v>30</v>
      </c>
      <c r="C3244" t="s">
        <v>24</v>
      </c>
      <c r="D3244" t="s">
        <v>20</v>
      </c>
      <c r="E3244" s="68">
        <v>2947</v>
      </c>
      <c r="F3244" s="68">
        <v>3081</v>
      </c>
      <c r="G3244" s="68">
        <v>6028</v>
      </c>
    </row>
    <row r="3245" spans="1:7" x14ac:dyDescent="0.3">
      <c r="A3245" t="s">
        <v>977</v>
      </c>
      <c r="B3245" t="s">
        <v>30</v>
      </c>
      <c r="C3245" t="s">
        <v>24</v>
      </c>
      <c r="D3245" t="s">
        <v>21</v>
      </c>
      <c r="E3245" s="68">
        <v>2130</v>
      </c>
      <c r="F3245" s="68">
        <v>2214</v>
      </c>
      <c r="G3245" s="68">
        <v>4344</v>
      </c>
    </row>
    <row r="3246" spans="1:7" x14ac:dyDescent="0.3">
      <c r="A3246" t="s">
        <v>977</v>
      </c>
      <c r="B3246" t="s">
        <v>30</v>
      </c>
      <c r="C3246" t="s">
        <v>24</v>
      </c>
      <c r="D3246" t="s">
        <v>22</v>
      </c>
      <c r="E3246" s="68">
        <v>1596</v>
      </c>
      <c r="F3246" s="68">
        <v>1632</v>
      </c>
      <c r="G3246" s="68">
        <v>3228</v>
      </c>
    </row>
    <row r="3247" spans="1:7" x14ac:dyDescent="0.3">
      <c r="A3247" t="s">
        <v>977</v>
      </c>
      <c r="B3247" t="s">
        <v>30</v>
      </c>
      <c r="C3247" t="s">
        <v>24</v>
      </c>
      <c r="D3247" t="s">
        <v>23</v>
      </c>
      <c r="E3247" s="68">
        <v>2250</v>
      </c>
      <c r="F3247" s="68">
        <v>2182</v>
      </c>
      <c r="G3247" s="68">
        <v>4432</v>
      </c>
    </row>
    <row r="3248" spans="1:7" x14ac:dyDescent="0.3">
      <c r="A3248" t="s">
        <v>977</v>
      </c>
      <c r="B3248" t="s">
        <v>536</v>
      </c>
      <c r="C3248" t="s">
        <v>6</v>
      </c>
      <c r="D3248" t="s">
        <v>8</v>
      </c>
      <c r="E3248" s="68">
        <v>1</v>
      </c>
      <c r="F3248" s="68"/>
      <c r="G3248" s="68">
        <v>1</v>
      </c>
    </row>
    <row r="3249" spans="1:7" x14ac:dyDescent="0.3">
      <c r="A3249" t="s">
        <v>977</v>
      </c>
      <c r="B3249" t="s">
        <v>536</v>
      </c>
      <c r="C3249" t="s">
        <v>6</v>
      </c>
      <c r="D3249" t="s">
        <v>16</v>
      </c>
      <c r="E3249" s="68"/>
      <c r="F3249" s="68">
        <v>1</v>
      </c>
      <c r="G3249" s="68">
        <v>1</v>
      </c>
    </row>
    <row r="3250" spans="1:7" x14ac:dyDescent="0.3">
      <c r="A3250" t="s">
        <v>977</v>
      </c>
      <c r="B3250" t="s">
        <v>536</v>
      </c>
      <c r="C3250" t="s">
        <v>24</v>
      </c>
      <c r="D3250" t="s">
        <v>17</v>
      </c>
      <c r="E3250" s="68">
        <v>1</v>
      </c>
      <c r="F3250" s="68"/>
      <c r="G3250" s="68">
        <v>1</v>
      </c>
    </row>
    <row r="3251" spans="1:7" x14ac:dyDescent="0.3">
      <c r="A3251" t="s">
        <v>977</v>
      </c>
      <c r="B3251" t="s">
        <v>31</v>
      </c>
      <c r="C3251" t="s">
        <v>6</v>
      </c>
      <c r="D3251" t="s">
        <v>7</v>
      </c>
      <c r="E3251" s="68">
        <v>155</v>
      </c>
      <c r="F3251" s="68">
        <v>177</v>
      </c>
      <c r="G3251" s="68">
        <v>332</v>
      </c>
    </row>
    <row r="3252" spans="1:7" x14ac:dyDescent="0.3">
      <c r="A3252" t="s">
        <v>977</v>
      </c>
      <c r="B3252" t="s">
        <v>31</v>
      </c>
      <c r="C3252" t="s">
        <v>6</v>
      </c>
      <c r="D3252" t="s">
        <v>8</v>
      </c>
      <c r="E3252" s="68">
        <v>115</v>
      </c>
      <c r="F3252" s="68">
        <v>141</v>
      </c>
      <c r="G3252" s="68">
        <v>256</v>
      </c>
    </row>
    <row r="3253" spans="1:7" x14ac:dyDescent="0.3">
      <c r="A3253" t="s">
        <v>977</v>
      </c>
      <c r="B3253" t="s">
        <v>31</v>
      </c>
      <c r="C3253" t="s">
        <v>6</v>
      </c>
      <c r="D3253" t="s">
        <v>9</v>
      </c>
      <c r="E3253" s="68">
        <v>92</v>
      </c>
      <c r="F3253" s="68">
        <v>106</v>
      </c>
      <c r="G3253" s="68">
        <v>198</v>
      </c>
    </row>
    <row r="3254" spans="1:7" x14ac:dyDescent="0.3">
      <c r="A3254" t="s">
        <v>977</v>
      </c>
      <c r="B3254" t="s">
        <v>31</v>
      </c>
      <c r="C3254" t="s">
        <v>6</v>
      </c>
      <c r="D3254" t="s">
        <v>10</v>
      </c>
      <c r="E3254" s="68">
        <v>136</v>
      </c>
      <c r="F3254" s="68">
        <v>153</v>
      </c>
      <c r="G3254" s="68">
        <v>289</v>
      </c>
    </row>
    <row r="3255" spans="1:7" x14ac:dyDescent="0.3">
      <c r="A3255" t="s">
        <v>977</v>
      </c>
      <c r="B3255" t="s">
        <v>31</v>
      </c>
      <c r="C3255" t="s">
        <v>6</v>
      </c>
      <c r="D3255" t="s">
        <v>11</v>
      </c>
      <c r="E3255" s="68">
        <v>380</v>
      </c>
      <c r="F3255" s="68">
        <v>565</v>
      </c>
      <c r="G3255" s="68">
        <v>945</v>
      </c>
    </row>
    <row r="3256" spans="1:7" x14ac:dyDescent="0.3">
      <c r="A3256" t="s">
        <v>977</v>
      </c>
      <c r="B3256" t="s">
        <v>31</v>
      </c>
      <c r="C3256" t="s">
        <v>6</v>
      </c>
      <c r="D3256" t="s">
        <v>12</v>
      </c>
      <c r="E3256" s="68">
        <v>397</v>
      </c>
      <c r="F3256" s="68">
        <v>584</v>
      </c>
      <c r="G3256" s="68">
        <v>981</v>
      </c>
    </row>
    <row r="3257" spans="1:7" x14ac:dyDescent="0.3">
      <c r="A3257" t="s">
        <v>977</v>
      </c>
      <c r="B3257" t="s">
        <v>31</v>
      </c>
      <c r="C3257" t="s">
        <v>6</v>
      </c>
      <c r="D3257" t="s">
        <v>13</v>
      </c>
      <c r="E3257" s="68">
        <v>327</v>
      </c>
      <c r="F3257" s="68">
        <v>409</v>
      </c>
      <c r="G3257" s="68">
        <v>736</v>
      </c>
    </row>
    <row r="3258" spans="1:7" x14ac:dyDescent="0.3">
      <c r="A3258" t="s">
        <v>977</v>
      </c>
      <c r="B3258" t="s">
        <v>31</v>
      </c>
      <c r="C3258" t="s">
        <v>6</v>
      </c>
      <c r="D3258" t="s">
        <v>14</v>
      </c>
      <c r="E3258" s="68">
        <v>270</v>
      </c>
      <c r="F3258" s="68">
        <v>339</v>
      </c>
      <c r="G3258" s="68">
        <v>609</v>
      </c>
    </row>
    <row r="3259" spans="1:7" x14ac:dyDescent="0.3">
      <c r="A3259" t="s">
        <v>977</v>
      </c>
      <c r="B3259" t="s">
        <v>31</v>
      </c>
      <c r="C3259" t="s">
        <v>6</v>
      </c>
      <c r="D3259" t="s">
        <v>15</v>
      </c>
      <c r="E3259" s="68">
        <v>213</v>
      </c>
      <c r="F3259" s="68">
        <v>273</v>
      </c>
      <c r="G3259" s="68">
        <v>486</v>
      </c>
    </row>
    <row r="3260" spans="1:7" x14ac:dyDescent="0.3">
      <c r="A3260" t="s">
        <v>977</v>
      </c>
      <c r="B3260" t="s">
        <v>31</v>
      </c>
      <c r="C3260" t="s">
        <v>6</v>
      </c>
      <c r="D3260" t="s">
        <v>16</v>
      </c>
      <c r="E3260" s="68">
        <v>161</v>
      </c>
      <c r="F3260" s="68">
        <v>208</v>
      </c>
      <c r="G3260" s="68">
        <v>369</v>
      </c>
    </row>
    <row r="3261" spans="1:7" x14ac:dyDescent="0.3">
      <c r="A3261" t="s">
        <v>977</v>
      </c>
      <c r="B3261" t="s">
        <v>31</v>
      </c>
      <c r="C3261" t="s">
        <v>6</v>
      </c>
      <c r="D3261" t="s">
        <v>17</v>
      </c>
      <c r="E3261" s="68">
        <v>111</v>
      </c>
      <c r="F3261" s="68">
        <v>153</v>
      </c>
      <c r="G3261" s="68">
        <v>264</v>
      </c>
    </row>
    <row r="3262" spans="1:7" x14ac:dyDescent="0.3">
      <c r="A3262" t="s">
        <v>977</v>
      </c>
      <c r="B3262" t="s">
        <v>31</v>
      </c>
      <c r="C3262" t="s">
        <v>6</v>
      </c>
      <c r="D3262" t="s">
        <v>18</v>
      </c>
      <c r="E3262" s="68">
        <v>91</v>
      </c>
      <c r="F3262" s="68">
        <v>167</v>
      </c>
      <c r="G3262" s="68">
        <v>258</v>
      </c>
    </row>
    <row r="3263" spans="1:7" x14ac:dyDescent="0.3">
      <c r="A3263" t="s">
        <v>977</v>
      </c>
      <c r="B3263" t="s">
        <v>31</v>
      </c>
      <c r="C3263" t="s">
        <v>6</v>
      </c>
      <c r="D3263" t="s">
        <v>19</v>
      </c>
      <c r="E3263" s="68">
        <v>76</v>
      </c>
      <c r="F3263" s="68">
        <v>107</v>
      </c>
      <c r="G3263" s="68">
        <v>183</v>
      </c>
    </row>
    <row r="3264" spans="1:7" x14ac:dyDescent="0.3">
      <c r="A3264" t="s">
        <v>977</v>
      </c>
      <c r="B3264" t="s">
        <v>31</v>
      </c>
      <c r="C3264" t="s">
        <v>6</v>
      </c>
      <c r="D3264" t="s">
        <v>20</v>
      </c>
      <c r="E3264" s="68">
        <v>65</v>
      </c>
      <c r="F3264" s="68">
        <v>73</v>
      </c>
      <c r="G3264" s="68">
        <v>138</v>
      </c>
    </row>
    <row r="3265" spans="1:7" x14ac:dyDescent="0.3">
      <c r="A3265" t="s">
        <v>977</v>
      </c>
      <c r="B3265" t="s">
        <v>31</v>
      </c>
      <c r="C3265" t="s">
        <v>6</v>
      </c>
      <c r="D3265" t="s">
        <v>21</v>
      </c>
      <c r="E3265" s="68">
        <v>45</v>
      </c>
      <c r="F3265" s="68">
        <v>48</v>
      </c>
      <c r="G3265" s="68">
        <v>93</v>
      </c>
    </row>
    <row r="3266" spans="1:7" x14ac:dyDescent="0.3">
      <c r="A3266" t="s">
        <v>977</v>
      </c>
      <c r="B3266" t="s">
        <v>31</v>
      </c>
      <c r="C3266" t="s">
        <v>6</v>
      </c>
      <c r="D3266" t="s">
        <v>22</v>
      </c>
      <c r="E3266" s="68">
        <v>32</v>
      </c>
      <c r="F3266" s="68">
        <v>43</v>
      </c>
      <c r="G3266" s="68">
        <v>75</v>
      </c>
    </row>
    <row r="3267" spans="1:7" x14ac:dyDescent="0.3">
      <c r="A3267" t="s">
        <v>977</v>
      </c>
      <c r="B3267" t="s">
        <v>31</v>
      </c>
      <c r="C3267" t="s">
        <v>6</v>
      </c>
      <c r="D3267" t="s">
        <v>23</v>
      </c>
      <c r="E3267" s="68">
        <v>41</v>
      </c>
      <c r="F3267" s="68">
        <v>26</v>
      </c>
      <c r="G3267" s="68">
        <v>67</v>
      </c>
    </row>
    <row r="3268" spans="1:7" x14ac:dyDescent="0.3">
      <c r="A3268" t="s">
        <v>977</v>
      </c>
      <c r="B3268" t="s">
        <v>31</v>
      </c>
      <c r="C3268" t="s">
        <v>24</v>
      </c>
      <c r="D3268" t="s">
        <v>7</v>
      </c>
      <c r="E3268" s="68">
        <v>3535</v>
      </c>
      <c r="F3268" s="68">
        <v>3740</v>
      </c>
      <c r="G3268" s="68">
        <v>7275</v>
      </c>
    </row>
    <row r="3269" spans="1:7" x14ac:dyDescent="0.3">
      <c r="A3269" t="s">
        <v>977</v>
      </c>
      <c r="B3269" t="s">
        <v>31</v>
      </c>
      <c r="C3269" t="s">
        <v>24</v>
      </c>
      <c r="D3269" t="s">
        <v>8</v>
      </c>
      <c r="E3269" s="68">
        <v>4801</v>
      </c>
      <c r="F3269" s="68">
        <v>5079</v>
      </c>
      <c r="G3269" s="68">
        <v>9880</v>
      </c>
    </row>
    <row r="3270" spans="1:7" x14ac:dyDescent="0.3">
      <c r="A3270" t="s">
        <v>977</v>
      </c>
      <c r="B3270" t="s">
        <v>31</v>
      </c>
      <c r="C3270" t="s">
        <v>24</v>
      </c>
      <c r="D3270" t="s">
        <v>9</v>
      </c>
      <c r="E3270" s="68">
        <v>5899</v>
      </c>
      <c r="F3270" s="68">
        <v>6097</v>
      </c>
      <c r="G3270" s="68">
        <v>11996</v>
      </c>
    </row>
    <row r="3271" spans="1:7" x14ac:dyDescent="0.3">
      <c r="A3271" t="s">
        <v>977</v>
      </c>
      <c r="B3271" t="s">
        <v>31</v>
      </c>
      <c r="C3271" t="s">
        <v>24</v>
      </c>
      <c r="D3271" t="s">
        <v>10</v>
      </c>
      <c r="E3271" s="68">
        <v>5766</v>
      </c>
      <c r="F3271" s="68">
        <v>5784</v>
      </c>
      <c r="G3271" s="68">
        <v>11550</v>
      </c>
    </row>
    <row r="3272" spans="1:7" x14ac:dyDescent="0.3">
      <c r="A3272" t="s">
        <v>977</v>
      </c>
      <c r="B3272" t="s">
        <v>31</v>
      </c>
      <c r="C3272" t="s">
        <v>24</v>
      </c>
      <c r="D3272" t="s">
        <v>11</v>
      </c>
      <c r="E3272" s="68">
        <v>4574</v>
      </c>
      <c r="F3272" s="68">
        <v>3827</v>
      </c>
      <c r="G3272" s="68">
        <v>8401</v>
      </c>
    </row>
    <row r="3273" spans="1:7" x14ac:dyDescent="0.3">
      <c r="A3273" t="s">
        <v>977</v>
      </c>
      <c r="B3273" t="s">
        <v>31</v>
      </c>
      <c r="C3273" t="s">
        <v>24</v>
      </c>
      <c r="D3273" t="s">
        <v>12</v>
      </c>
      <c r="E3273" s="68">
        <v>4071</v>
      </c>
      <c r="F3273" s="68">
        <v>2878</v>
      </c>
      <c r="G3273" s="68">
        <v>6949</v>
      </c>
    </row>
    <row r="3274" spans="1:7" x14ac:dyDescent="0.3">
      <c r="A3274" t="s">
        <v>977</v>
      </c>
      <c r="B3274" t="s">
        <v>31</v>
      </c>
      <c r="C3274" t="s">
        <v>24</v>
      </c>
      <c r="D3274" t="s">
        <v>13</v>
      </c>
      <c r="E3274" s="68">
        <v>3889</v>
      </c>
      <c r="F3274" s="68">
        <v>2354</v>
      </c>
      <c r="G3274" s="68">
        <v>6243</v>
      </c>
    </row>
    <row r="3275" spans="1:7" x14ac:dyDescent="0.3">
      <c r="A3275" t="s">
        <v>977</v>
      </c>
      <c r="B3275" t="s">
        <v>31</v>
      </c>
      <c r="C3275" t="s">
        <v>24</v>
      </c>
      <c r="D3275" t="s">
        <v>14</v>
      </c>
      <c r="E3275" s="68">
        <v>3706</v>
      </c>
      <c r="F3275" s="68">
        <v>2371</v>
      </c>
      <c r="G3275" s="68">
        <v>6077</v>
      </c>
    </row>
    <row r="3276" spans="1:7" x14ac:dyDescent="0.3">
      <c r="A3276" t="s">
        <v>977</v>
      </c>
      <c r="B3276" t="s">
        <v>31</v>
      </c>
      <c r="C3276" t="s">
        <v>24</v>
      </c>
      <c r="D3276" t="s">
        <v>15</v>
      </c>
      <c r="E3276" s="68">
        <v>3686</v>
      </c>
      <c r="F3276" s="68">
        <v>2502</v>
      </c>
      <c r="G3276" s="68">
        <v>6188</v>
      </c>
    </row>
    <row r="3277" spans="1:7" x14ac:dyDescent="0.3">
      <c r="A3277" t="s">
        <v>977</v>
      </c>
      <c r="B3277" t="s">
        <v>31</v>
      </c>
      <c r="C3277" t="s">
        <v>24</v>
      </c>
      <c r="D3277" t="s">
        <v>16</v>
      </c>
      <c r="E3277" s="68">
        <v>3356</v>
      </c>
      <c r="F3277" s="68">
        <v>2550</v>
      </c>
      <c r="G3277" s="68">
        <v>5906</v>
      </c>
    </row>
    <row r="3278" spans="1:7" x14ac:dyDescent="0.3">
      <c r="A3278" t="s">
        <v>977</v>
      </c>
      <c r="B3278" t="s">
        <v>31</v>
      </c>
      <c r="C3278" t="s">
        <v>24</v>
      </c>
      <c r="D3278" t="s">
        <v>17</v>
      </c>
      <c r="E3278" s="68">
        <v>3235</v>
      </c>
      <c r="F3278" s="68">
        <v>2451</v>
      </c>
      <c r="G3278" s="68">
        <v>5686</v>
      </c>
    </row>
    <row r="3279" spans="1:7" x14ac:dyDescent="0.3">
      <c r="A3279" t="s">
        <v>977</v>
      </c>
      <c r="B3279" t="s">
        <v>31</v>
      </c>
      <c r="C3279" t="s">
        <v>24</v>
      </c>
      <c r="D3279" t="s">
        <v>18</v>
      </c>
      <c r="E3279" s="68">
        <v>2864</v>
      </c>
      <c r="F3279" s="68">
        <v>2324</v>
      </c>
      <c r="G3279" s="68">
        <v>5188</v>
      </c>
    </row>
    <row r="3280" spans="1:7" x14ac:dyDescent="0.3">
      <c r="A3280" t="s">
        <v>977</v>
      </c>
      <c r="B3280" t="s">
        <v>31</v>
      </c>
      <c r="C3280" t="s">
        <v>24</v>
      </c>
      <c r="D3280" t="s">
        <v>19</v>
      </c>
      <c r="E3280" s="68">
        <v>2643</v>
      </c>
      <c r="F3280" s="68">
        <v>2360</v>
      </c>
      <c r="G3280" s="68">
        <v>5003</v>
      </c>
    </row>
    <row r="3281" spans="1:7" x14ac:dyDescent="0.3">
      <c r="A3281" t="s">
        <v>977</v>
      </c>
      <c r="B3281" t="s">
        <v>31</v>
      </c>
      <c r="C3281" t="s">
        <v>24</v>
      </c>
      <c r="D3281" t="s">
        <v>20</v>
      </c>
      <c r="E3281" s="68">
        <v>2243</v>
      </c>
      <c r="F3281" s="68">
        <v>1950</v>
      </c>
      <c r="G3281" s="68">
        <v>4193</v>
      </c>
    </row>
    <row r="3282" spans="1:7" x14ac:dyDescent="0.3">
      <c r="A3282" t="s">
        <v>977</v>
      </c>
      <c r="B3282" t="s">
        <v>31</v>
      </c>
      <c r="C3282" t="s">
        <v>24</v>
      </c>
      <c r="D3282" t="s">
        <v>21</v>
      </c>
      <c r="E3282" s="68">
        <v>1566</v>
      </c>
      <c r="F3282" s="68">
        <v>1432</v>
      </c>
      <c r="G3282" s="68">
        <v>2998</v>
      </c>
    </row>
    <row r="3283" spans="1:7" x14ac:dyDescent="0.3">
      <c r="A3283" t="s">
        <v>977</v>
      </c>
      <c r="B3283" t="s">
        <v>31</v>
      </c>
      <c r="C3283" t="s">
        <v>24</v>
      </c>
      <c r="D3283" t="s">
        <v>22</v>
      </c>
      <c r="E3283" s="68">
        <v>1087</v>
      </c>
      <c r="F3283" s="68">
        <v>1149</v>
      </c>
      <c r="G3283" s="68">
        <v>2236</v>
      </c>
    </row>
    <row r="3284" spans="1:7" x14ac:dyDescent="0.3">
      <c r="A3284" t="s">
        <v>977</v>
      </c>
      <c r="B3284" t="s">
        <v>31</v>
      </c>
      <c r="C3284" t="s">
        <v>24</v>
      </c>
      <c r="D3284" t="s">
        <v>23</v>
      </c>
      <c r="E3284" s="68">
        <v>1542</v>
      </c>
      <c r="F3284" s="68">
        <v>1567</v>
      </c>
      <c r="G3284" s="68">
        <v>3109</v>
      </c>
    </row>
    <row r="3285" spans="1:7" x14ac:dyDescent="0.3">
      <c r="A3285" t="s">
        <v>977</v>
      </c>
      <c r="B3285" t="s">
        <v>537</v>
      </c>
      <c r="C3285" t="s">
        <v>6</v>
      </c>
      <c r="D3285" t="s">
        <v>7</v>
      </c>
      <c r="E3285" s="68">
        <v>118</v>
      </c>
      <c r="F3285" s="68">
        <v>140</v>
      </c>
      <c r="G3285" s="68">
        <v>258</v>
      </c>
    </row>
    <row r="3286" spans="1:7" x14ac:dyDescent="0.3">
      <c r="A3286" t="s">
        <v>977</v>
      </c>
      <c r="B3286" t="s">
        <v>537</v>
      </c>
      <c r="C3286" t="s">
        <v>6</v>
      </c>
      <c r="D3286" t="s">
        <v>8</v>
      </c>
      <c r="E3286" s="68">
        <v>90</v>
      </c>
      <c r="F3286" s="68">
        <v>78</v>
      </c>
      <c r="G3286" s="68">
        <v>168</v>
      </c>
    </row>
    <row r="3287" spans="1:7" x14ac:dyDescent="0.3">
      <c r="A3287" t="s">
        <v>977</v>
      </c>
      <c r="B3287" t="s">
        <v>537</v>
      </c>
      <c r="C3287" t="s">
        <v>6</v>
      </c>
      <c r="D3287" t="s">
        <v>9</v>
      </c>
      <c r="E3287" s="68">
        <v>27</v>
      </c>
      <c r="F3287" s="68">
        <v>29</v>
      </c>
      <c r="G3287" s="68">
        <v>56</v>
      </c>
    </row>
    <row r="3288" spans="1:7" x14ac:dyDescent="0.3">
      <c r="A3288" t="s">
        <v>977</v>
      </c>
      <c r="B3288" t="s">
        <v>537</v>
      </c>
      <c r="C3288" t="s">
        <v>6</v>
      </c>
      <c r="D3288" t="s">
        <v>10</v>
      </c>
      <c r="E3288" s="68">
        <v>55</v>
      </c>
      <c r="F3288" s="68">
        <v>45</v>
      </c>
      <c r="G3288" s="68">
        <v>100</v>
      </c>
    </row>
    <row r="3289" spans="1:7" x14ac:dyDescent="0.3">
      <c r="A3289" t="s">
        <v>977</v>
      </c>
      <c r="B3289" t="s">
        <v>537</v>
      </c>
      <c r="C3289" t="s">
        <v>6</v>
      </c>
      <c r="D3289" t="s">
        <v>11</v>
      </c>
      <c r="E3289" s="68">
        <v>238</v>
      </c>
      <c r="F3289" s="68">
        <v>209</v>
      </c>
      <c r="G3289" s="68">
        <v>447</v>
      </c>
    </row>
    <row r="3290" spans="1:7" x14ac:dyDescent="0.3">
      <c r="A3290" t="s">
        <v>977</v>
      </c>
      <c r="B3290" t="s">
        <v>537</v>
      </c>
      <c r="C3290" t="s">
        <v>6</v>
      </c>
      <c r="D3290" t="s">
        <v>12</v>
      </c>
      <c r="E3290" s="68">
        <v>391</v>
      </c>
      <c r="F3290" s="68">
        <v>361</v>
      </c>
      <c r="G3290" s="68">
        <v>752</v>
      </c>
    </row>
    <row r="3291" spans="1:7" x14ac:dyDescent="0.3">
      <c r="A3291" t="s">
        <v>977</v>
      </c>
      <c r="B3291" t="s">
        <v>537</v>
      </c>
      <c r="C3291" t="s">
        <v>6</v>
      </c>
      <c r="D3291" t="s">
        <v>13</v>
      </c>
      <c r="E3291" s="68">
        <v>310</v>
      </c>
      <c r="F3291" s="68">
        <v>312</v>
      </c>
      <c r="G3291" s="68">
        <v>622</v>
      </c>
    </row>
    <row r="3292" spans="1:7" x14ac:dyDescent="0.3">
      <c r="A3292" t="s">
        <v>977</v>
      </c>
      <c r="B3292" t="s">
        <v>537</v>
      </c>
      <c r="C3292" t="s">
        <v>6</v>
      </c>
      <c r="D3292" t="s">
        <v>14</v>
      </c>
      <c r="E3292" s="68">
        <v>217</v>
      </c>
      <c r="F3292" s="68">
        <v>210</v>
      </c>
      <c r="G3292" s="68">
        <v>427</v>
      </c>
    </row>
    <row r="3293" spans="1:7" x14ac:dyDescent="0.3">
      <c r="A3293" t="s">
        <v>977</v>
      </c>
      <c r="B3293" t="s">
        <v>537</v>
      </c>
      <c r="C3293" t="s">
        <v>6</v>
      </c>
      <c r="D3293" t="s">
        <v>15</v>
      </c>
      <c r="E3293" s="68">
        <v>156</v>
      </c>
      <c r="F3293" s="68">
        <v>143</v>
      </c>
      <c r="G3293" s="68">
        <v>299</v>
      </c>
    </row>
    <row r="3294" spans="1:7" x14ac:dyDescent="0.3">
      <c r="A3294" t="s">
        <v>977</v>
      </c>
      <c r="B3294" t="s">
        <v>537</v>
      </c>
      <c r="C3294" t="s">
        <v>6</v>
      </c>
      <c r="D3294" t="s">
        <v>16</v>
      </c>
      <c r="E3294" s="68">
        <v>108</v>
      </c>
      <c r="F3294" s="68">
        <v>105</v>
      </c>
      <c r="G3294" s="68">
        <v>213</v>
      </c>
    </row>
    <row r="3295" spans="1:7" x14ac:dyDescent="0.3">
      <c r="A3295" t="s">
        <v>977</v>
      </c>
      <c r="B3295" t="s">
        <v>537</v>
      </c>
      <c r="C3295" t="s">
        <v>6</v>
      </c>
      <c r="D3295" t="s">
        <v>17</v>
      </c>
      <c r="E3295" s="68">
        <v>55</v>
      </c>
      <c r="F3295" s="68">
        <v>63</v>
      </c>
      <c r="G3295" s="68">
        <v>118</v>
      </c>
    </row>
    <row r="3296" spans="1:7" x14ac:dyDescent="0.3">
      <c r="A3296" t="s">
        <v>977</v>
      </c>
      <c r="B3296" t="s">
        <v>537</v>
      </c>
      <c r="C3296" t="s">
        <v>6</v>
      </c>
      <c r="D3296" t="s">
        <v>18</v>
      </c>
      <c r="E3296" s="68">
        <v>27</v>
      </c>
      <c r="F3296" s="68">
        <v>50</v>
      </c>
      <c r="G3296" s="68">
        <v>77</v>
      </c>
    </row>
    <row r="3297" spans="1:7" x14ac:dyDescent="0.3">
      <c r="A3297" t="s">
        <v>977</v>
      </c>
      <c r="B3297" t="s">
        <v>537</v>
      </c>
      <c r="C3297" t="s">
        <v>6</v>
      </c>
      <c r="D3297" t="s">
        <v>19</v>
      </c>
      <c r="E3297" s="68">
        <v>16</v>
      </c>
      <c r="F3297" s="68">
        <v>28</v>
      </c>
      <c r="G3297" s="68">
        <v>44</v>
      </c>
    </row>
    <row r="3298" spans="1:7" x14ac:dyDescent="0.3">
      <c r="A3298" t="s">
        <v>977</v>
      </c>
      <c r="B3298" t="s">
        <v>537</v>
      </c>
      <c r="C3298" t="s">
        <v>6</v>
      </c>
      <c r="D3298" t="s">
        <v>20</v>
      </c>
      <c r="E3298" s="68">
        <v>13</v>
      </c>
      <c r="F3298" s="68">
        <v>20</v>
      </c>
      <c r="G3298" s="68">
        <v>33</v>
      </c>
    </row>
    <row r="3299" spans="1:7" x14ac:dyDescent="0.3">
      <c r="A3299" t="s">
        <v>977</v>
      </c>
      <c r="B3299" t="s">
        <v>537</v>
      </c>
      <c r="C3299" t="s">
        <v>6</v>
      </c>
      <c r="D3299" t="s">
        <v>21</v>
      </c>
      <c r="E3299" s="68">
        <v>3</v>
      </c>
      <c r="F3299" s="68">
        <v>10</v>
      </c>
      <c r="G3299" s="68">
        <v>13</v>
      </c>
    </row>
    <row r="3300" spans="1:7" x14ac:dyDescent="0.3">
      <c r="A3300" t="s">
        <v>977</v>
      </c>
      <c r="B3300" t="s">
        <v>537</v>
      </c>
      <c r="C3300" t="s">
        <v>6</v>
      </c>
      <c r="D3300" t="s">
        <v>22</v>
      </c>
      <c r="E3300" s="68">
        <v>1</v>
      </c>
      <c r="F3300" s="68">
        <v>3</v>
      </c>
      <c r="G3300" s="68">
        <v>4</v>
      </c>
    </row>
    <row r="3301" spans="1:7" x14ac:dyDescent="0.3">
      <c r="A3301" t="s">
        <v>977</v>
      </c>
      <c r="B3301" t="s">
        <v>537</v>
      </c>
      <c r="C3301" t="s">
        <v>6</v>
      </c>
      <c r="D3301" t="s">
        <v>23</v>
      </c>
      <c r="E3301" s="68">
        <v>3</v>
      </c>
      <c r="F3301" s="68">
        <v>4</v>
      </c>
      <c r="G3301" s="68">
        <v>7</v>
      </c>
    </row>
    <row r="3302" spans="1:7" x14ac:dyDescent="0.3">
      <c r="A3302" t="s">
        <v>977</v>
      </c>
      <c r="B3302" t="s">
        <v>537</v>
      </c>
      <c r="C3302" t="s">
        <v>24</v>
      </c>
      <c r="D3302" t="s">
        <v>7</v>
      </c>
      <c r="E3302" s="68">
        <v>4587</v>
      </c>
      <c r="F3302" s="68">
        <v>4790</v>
      </c>
      <c r="G3302" s="68">
        <v>9377</v>
      </c>
    </row>
    <row r="3303" spans="1:7" x14ac:dyDescent="0.3">
      <c r="A3303" t="s">
        <v>977</v>
      </c>
      <c r="B3303" t="s">
        <v>537</v>
      </c>
      <c r="C3303" t="s">
        <v>24</v>
      </c>
      <c r="D3303" t="s">
        <v>8</v>
      </c>
      <c r="E3303" s="68">
        <v>5516</v>
      </c>
      <c r="F3303" s="68">
        <v>5855</v>
      </c>
      <c r="G3303" s="68">
        <v>11371</v>
      </c>
    </row>
    <row r="3304" spans="1:7" x14ac:dyDescent="0.3">
      <c r="A3304" t="s">
        <v>977</v>
      </c>
      <c r="B3304" t="s">
        <v>537</v>
      </c>
      <c r="C3304" t="s">
        <v>24</v>
      </c>
      <c r="D3304" t="s">
        <v>9</v>
      </c>
      <c r="E3304" s="68">
        <v>5681</v>
      </c>
      <c r="F3304" s="68">
        <v>5540</v>
      </c>
      <c r="G3304" s="68">
        <v>11221</v>
      </c>
    </row>
    <row r="3305" spans="1:7" x14ac:dyDescent="0.3">
      <c r="A3305" t="s">
        <v>977</v>
      </c>
      <c r="B3305" t="s">
        <v>537</v>
      </c>
      <c r="C3305" t="s">
        <v>24</v>
      </c>
      <c r="D3305" t="s">
        <v>10</v>
      </c>
      <c r="E3305" s="68">
        <v>5356</v>
      </c>
      <c r="F3305" s="68">
        <v>5147</v>
      </c>
      <c r="G3305" s="68">
        <v>10503</v>
      </c>
    </row>
    <row r="3306" spans="1:7" x14ac:dyDescent="0.3">
      <c r="A3306" t="s">
        <v>977</v>
      </c>
      <c r="B3306" t="s">
        <v>537</v>
      </c>
      <c r="C3306" t="s">
        <v>24</v>
      </c>
      <c r="D3306" t="s">
        <v>11</v>
      </c>
      <c r="E3306" s="68">
        <v>4481</v>
      </c>
      <c r="F3306" s="68">
        <v>3859</v>
      </c>
      <c r="G3306" s="68">
        <v>8340</v>
      </c>
    </row>
    <row r="3307" spans="1:7" x14ac:dyDescent="0.3">
      <c r="A3307" t="s">
        <v>977</v>
      </c>
      <c r="B3307" t="s">
        <v>537</v>
      </c>
      <c r="C3307" t="s">
        <v>24</v>
      </c>
      <c r="D3307" t="s">
        <v>12</v>
      </c>
      <c r="E3307" s="68">
        <v>3709</v>
      </c>
      <c r="F3307" s="68">
        <v>3110</v>
      </c>
      <c r="G3307" s="68">
        <v>6819</v>
      </c>
    </row>
    <row r="3308" spans="1:7" x14ac:dyDescent="0.3">
      <c r="A3308" t="s">
        <v>977</v>
      </c>
      <c r="B3308" t="s">
        <v>537</v>
      </c>
      <c r="C3308" t="s">
        <v>24</v>
      </c>
      <c r="D3308" t="s">
        <v>13</v>
      </c>
      <c r="E3308" s="68">
        <v>2911</v>
      </c>
      <c r="F3308" s="68">
        <v>2476</v>
      </c>
      <c r="G3308" s="68">
        <v>5387</v>
      </c>
    </row>
    <row r="3309" spans="1:7" x14ac:dyDescent="0.3">
      <c r="A3309" t="s">
        <v>977</v>
      </c>
      <c r="B3309" t="s">
        <v>537</v>
      </c>
      <c r="C3309" t="s">
        <v>24</v>
      </c>
      <c r="D3309" t="s">
        <v>14</v>
      </c>
      <c r="E3309" s="68">
        <v>2502</v>
      </c>
      <c r="F3309" s="68">
        <v>2156</v>
      </c>
      <c r="G3309" s="68">
        <v>4658</v>
      </c>
    </row>
    <row r="3310" spans="1:7" x14ac:dyDescent="0.3">
      <c r="A3310" t="s">
        <v>977</v>
      </c>
      <c r="B3310" t="s">
        <v>537</v>
      </c>
      <c r="C3310" t="s">
        <v>24</v>
      </c>
      <c r="D3310" t="s">
        <v>15</v>
      </c>
      <c r="E3310" s="68">
        <v>2223</v>
      </c>
      <c r="F3310" s="68">
        <v>1900</v>
      </c>
      <c r="G3310" s="68">
        <v>4123</v>
      </c>
    </row>
    <row r="3311" spans="1:7" x14ac:dyDescent="0.3">
      <c r="A3311" t="s">
        <v>977</v>
      </c>
      <c r="B3311" t="s">
        <v>537</v>
      </c>
      <c r="C3311" t="s">
        <v>24</v>
      </c>
      <c r="D3311" t="s">
        <v>16</v>
      </c>
      <c r="E3311" s="68">
        <v>2084</v>
      </c>
      <c r="F3311" s="68">
        <v>1967</v>
      </c>
      <c r="G3311" s="68">
        <v>4051</v>
      </c>
    </row>
    <row r="3312" spans="1:7" x14ac:dyDescent="0.3">
      <c r="A3312" t="s">
        <v>977</v>
      </c>
      <c r="B3312" t="s">
        <v>537</v>
      </c>
      <c r="C3312" t="s">
        <v>24</v>
      </c>
      <c r="D3312" t="s">
        <v>17</v>
      </c>
      <c r="E3312" s="68">
        <v>1641</v>
      </c>
      <c r="F3312" s="68">
        <v>1515</v>
      </c>
      <c r="G3312" s="68">
        <v>3156</v>
      </c>
    </row>
    <row r="3313" spans="1:7" x14ac:dyDescent="0.3">
      <c r="A3313" t="s">
        <v>977</v>
      </c>
      <c r="B3313" t="s">
        <v>537</v>
      </c>
      <c r="C3313" t="s">
        <v>24</v>
      </c>
      <c r="D3313" t="s">
        <v>18</v>
      </c>
      <c r="E3313" s="68">
        <v>1329</v>
      </c>
      <c r="F3313" s="68">
        <v>1207</v>
      </c>
      <c r="G3313" s="68">
        <v>2536</v>
      </c>
    </row>
    <row r="3314" spans="1:7" x14ac:dyDescent="0.3">
      <c r="A3314" t="s">
        <v>977</v>
      </c>
      <c r="B3314" t="s">
        <v>537</v>
      </c>
      <c r="C3314" t="s">
        <v>24</v>
      </c>
      <c r="D3314" t="s">
        <v>19</v>
      </c>
      <c r="E3314" s="68">
        <v>1047</v>
      </c>
      <c r="F3314" s="68">
        <v>957</v>
      </c>
      <c r="G3314" s="68">
        <v>2004</v>
      </c>
    </row>
    <row r="3315" spans="1:7" x14ac:dyDescent="0.3">
      <c r="A3315" t="s">
        <v>977</v>
      </c>
      <c r="B3315" t="s">
        <v>537</v>
      </c>
      <c r="C3315" t="s">
        <v>24</v>
      </c>
      <c r="D3315" t="s">
        <v>20</v>
      </c>
      <c r="E3315" s="68">
        <v>840</v>
      </c>
      <c r="F3315" s="68">
        <v>790</v>
      </c>
      <c r="G3315" s="68">
        <v>1630</v>
      </c>
    </row>
    <row r="3316" spans="1:7" x14ac:dyDescent="0.3">
      <c r="A3316" t="s">
        <v>977</v>
      </c>
      <c r="B3316" t="s">
        <v>537</v>
      </c>
      <c r="C3316" t="s">
        <v>24</v>
      </c>
      <c r="D3316" t="s">
        <v>21</v>
      </c>
      <c r="E3316" s="68">
        <v>654</v>
      </c>
      <c r="F3316" s="68">
        <v>543</v>
      </c>
      <c r="G3316" s="68">
        <v>1197</v>
      </c>
    </row>
    <row r="3317" spans="1:7" x14ac:dyDescent="0.3">
      <c r="A3317" t="s">
        <v>977</v>
      </c>
      <c r="B3317" t="s">
        <v>537</v>
      </c>
      <c r="C3317" t="s">
        <v>24</v>
      </c>
      <c r="D3317" t="s">
        <v>22</v>
      </c>
      <c r="E3317" s="68">
        <v>476</v>
      </c>
      <c r="F3317" s="68">
        <v>477</v>
      </c>
      <c r="G3317" s="68">
        <v>953</v>
      </c>
    </row>
    <row r="3318" spans="1:7" x14ac:dyDescent="0.3">
      <c r="A3318" t="s">
        <v>977</v>
      </c>
      <c r="B3318" t="s">
        <v>537</v>
      </c>
      <c r="C3318" t="s">
        <v>24</v>
      </c>
      <c r="D3318" t="s">
        <v>23</v>
      </c>
      <c r="E3318" s="68">
        <v>711</v>
      </c>
      <c r="F3318" s="68">
        <v>682</v>
      </c>
      <c r="G3318" s="68">
        <v>1393</v>
      </c>
    </row>
    <row r="3319" spans="1:7" x14ac:dyDescent="0.3">
      <c r="A3319" t="s">
        <v>977</v>
      </c>
      <c r="B3319" t="s">
        <v>32</v>
      </c>
      <c r="C3319" t="s">
        <v>6</v>
      </c>
      <c r="D3319" t="s">
        <v>7</v>
      </c>
      <c r="E3319" s="68"/>
      <c r="F3319" s="68">
        <v>1</v>
      </c>
      <c r="G3319" s="68">
        <v>1</v>
      </c>
    </row>
    <row r="3320" spans="1:7" x14ac:dyDescent="0.3">
      <c r="A3320" t="s">
        <v>977</v>
      </c>
      <c r="B3320" t="s">
        <v>32</v>
      </c>
      <c r="C3320" t="s">
        <v>6</v>
      </c>
      <c r="D3320" t="s">
        <v>8</v>
      </c>
      <c r="E3320" s="68">
        <v>1</v>
      </c>
      <c r="F3320" s="68">
        <v>1</v>
      </c>
      <c r="G3320" s="68">
        <v>2</v>
      </c>
    </row>
    <row r="3321" spans="1:7" x14ac:dyDescent="0.3">
      <c r="A3321" t="s">
        <v>977</v>
      </c>
      <c r="B3321" t="s">
        <v>32</v>
      </c>
      <c r="C3321" t="s">
        <v>6</v>
      </c>
      <c r="D3321" t="s">
        <v>10</v>
      </c>
      <c r="E3321" s="68">
        <v>3</v>
      </c>
      <c r="F3321" s="68">
        <v>4</v>
      </c>
      <c r="G3321" s="68">
        <v>7</v>
      </c>
    </row>
    <row r="3322" spans="1:7" x14ac:dyDescent="0.3">
      <c r="A3322" t="s">
        <v>977</v>
      </c>
      <c r="B3322" t="s">
        <v>32</v>
      </c>
      <c r="C3322" t="s">
        <v>6</v>
      </c>
      <c r="D3322" t="s">
        <v>11</v>
      </c>
      <c r="E3322" s="68">
        <v>17</v>
      </c>
      <c r="F3322" s="68">
        <v>45</v>
      </c>
      <c r="G3322" s="68">
        <v>62</v>
      </c>
    </row>
    <row r="3323" spans="1:7" x14ac:dyDescent="0.3">
      <c r="A3323" t="s">
        <v>977</v>
      </c>
      <c r="B3323" t="s">
        <v>32</v>
      </c>
      <c r="C3323" t="s">
        <v>6</v>
      </c>
      <c r="D3323" t="s">
        <v>12</v>
      </c>
      <c r="E3323" s="68">
        <v>19</v>
      </c>
      <c r="F3323" s="68">
        <v>29</v>
      </c>
      <c r="G3323" s="68">
        <v>48</v>
      </c>
    </row>
    <row r="3324" spans="1:7" x14ac:dyDescent="0.3">
      <c r="A3324" t="s">
        <v>977</v>
      </c>
      <c r="B3324" t="s">
        <v>32</v>
      </c>
      <c r="C3324" t="s">
        <v>6</v>
      </c>
      <c r="D3324" t="s">
        <v>13</v>
      </c>
      <c r="E3324" s="68">
        <v>14</v>
      </c>
      <c r="F3324" s="68">
        <v>19</v>
      </c>
      <c r="G3324" s="68">
        <v>33</v>
      </c>
    </row>
    <row r="3325" spans="1:7" x14ac:dyDescent="0.3">
      <c r="A3325" t="s">
        <v>977</v>
      </c>
      <c r="B3325" t="s">
        <v>32</v>
      </c>
      <c r="C3325" t="s">
        <v>6</v>
      </c>
      <c r="D3325" t="s">
        <v>14</v>
      </c>
      <c r="E3325" s="68">
        <v>11</v>
      </c>
      <c r="F3325" s="68">
        <v>12</v>
      </c>
      <c r="G3325" s="68">
        <v>23</v>
      </c>
    </row>
    <row r="3326" spans="1:7" x14ac:dyDescent="0.3">
      <c r="A3326" t="s">
        <v>977</v>
      </c>
      <c r="B3326" t="s">
        <v>32</v>
      </c>
      <c r="C3326" t="s">
        <v>6</v>
      </c>
      <c r="D3326" t="s">
        <v>15</v>
      </c>
      <c r="E3326" s="68">
        <v>11</v>
      </c>
      <c r="F3326" s="68">
        <v>12</v>
      </c>
      <c r="G3326" s="68">
        <v>23</v>
      </c>
    </row>
    <row r="3327" spans="1:7" x14ac:dyDescent="0.3">
      <c r="A3327" t="s">
        <v>977</v>
      </c>
      <c r="B3327" t="s">
        <v>32</v>
      </c>
      <c r="C3327" t="s">
        <v>6</v>
      </c>
      <c r="D3327" t="s">
        <v>16</v>
      </c>
      <c r="E3327" s="68">
        <v>4</v>
      </c>
      <c r="F3327" s="68">
        <v>5</v>
      </c>
      <c r="G3327" s="68">
        <v>9</v>
      </c>
    </row>
    <row r="3328" spans="1:7" x14ac:dyDescent="0.3">
      <c r="A3328" t="s">
        <v>977</v>
      </c>
      <c r="B3328" t="s">
        <v>32</v>
      </c>
      <c r="C3328" t="s">
        <v>6</v>
      </c>
      <c r="D3328" t="s">
        <v>17</v>
      </c>
      <c r="E3328" s="68">
        <v>5</v>
      </c>
      <c r="F3328" s="68">
        <v>2</v>
      </c>
      <c r="G3328" s="68">
        <v>7</v>
      </c>
    </row>
    <row r="3329" spans="1:7" x14ac:dyDescent="0.3">
      <c r="A3329" t="s">
        <v>977</v>
      </c>
      <c r="B3329" t="s">
        <v>32</v>
      </c>
      <c r="C3329" t="s">
        <v>6</v>
      </c>
      <c r="D3329" t="s">
        <v>18</v>
      </c>
      <c r="E3329" s="68"/>
      <c r="F3329" s="68">
        <v>5</v>
      </c>
      <c r="G3329" s="68">
        <v>5</v>
      </c>
    </row>
    <row r="3330" spans="1:7" x14ac:dyDescent="0.3">
      <c r="A3330" t="s">
        <v>977</v>
      </c>
      <c r="B3330" t="s">
        <v>32</v>
      </c>
      <c r="C3330" t="s">
        <v>6</v>
      </c>
      <c r="D3330" t="s">
        <v>19</v>
      </c>
      <c r="E3330" s="68"/>
      <c r="F3330" s="68">
        <v>2</v>
      </c>
      <c r="G3330" s="68">
        <v>2</v>
      </c>
    </row>
    <row r="3331" spans="1:7" x14ac:dyDescent="0.3">
      <c r="A3331" t="s">
        <v>977</v>
      </c>
      <c r="B3331" t="s">
        <v>32</v>
      </c>
      <c r="C3331" t="s">
        <v>6</v>
      </c>
      <c r="D3331" t="s">
        <v>20</v>
      </c>
      <c r="E3331" s="68">
        <v>1</v>
      </c>
      <c r="F3331" s="68">
        <v>1</v>
      </c>
      <c r="G3331" s="68">
        <v>2</v>
      </c>
    </row>
    <row r="3332" spans="1:7" x14ac:dyDescent="0.3">
      <c r="A3332" t="s">
        <v>977</v>
      </c>
      <c r="B3332" t="s">
        <v>32</v>
      </c>
      <c r="C3332" t="s">
        <v>24</v>
      </c>
      <c r="D3332" t="s">
        <v>7</v>
      </c>
      <c r="E3332" s="68">
        <v>452</v>
      </c>
      <c r="F3332" s="68">
        <v>318</v>
      </c>
      <c r="G3332" s="68">
        <v>770</v>
      </c>
    </row>
    <row r="3333" spans="1:7" x14ac:dyDescent="0.3">
      <c r="A3333" t="s">
        <v>977</v>
      </c>
      <c r="B3333" t="s">
        <v>32</v>
      </c>
      <c r="C3333" t="s">
        <v>24</v>
      </c>
      <c r="D3333" t="s">
        <v>8</v>
      </c>
      <c r="E3333" s="68">
        <v>299</v>
      </c>
      <c r="F3333" s="68">
        <v>327</v>
      </c>
      <c r="G3333" s="68">
        <v>626</v>
      </c>
    </row>
    <row r="3334" spans="1:7" x14ac:dyDescent="0.3">
      <c r="A3334" t="s">
        <v>977</v>
      </c>
      <c r="B3334" t="s">
        <v>32</v>
      </c>
      <c r="C3334" t="s">
        <v>24</v>
      </c>
      <c r="D3334" t="s">
        <v>9</v>
      </c>
      <c r="E3334" s="68">
        <v>340</v>
      </c>
      <c r="F3334" s="68">
        <v>352</v>
      </c>
      <c r="G3334" s="68">
        <v>692</v>
      </c>
    </row>
    <row r="3335" spans="1:7" x14ac:dyDescent="0.3">
      <c r="A3335" t="s">
        <v>977</v>
      </c>
      <c r="B3335" t="s">
        <v>32</v>
      </c>
      <c r="C3335" t="s">
        <v>24</v>
      </c>
      <c r="D3335" t="s">
        <v>10</v>
      </c>
      <c r="E3335" s="68">
        <v>268</v>
      </c>
      <c r="F3335" s="68">
        <v>300</v>
      </c>
      <c r="G3335" s="68">
        <v>568</v>
      </c>
    </row>
    <row r="3336" spans="1:7" x14ac:dyDescent="0.3">
      <c r="A3336" t="s">
        <v>977</v>
      </c>
      <c r="B3336" t="s">
        <v>32</v>
      </c>
      <c r="C3336" t="s">
        <v>24</v>
      </c>
      <c r="D3336" t="s">
        <v>11</v>
      </c>
      <c r="E3336" s="68">
        <v>399</v>
      </c>
      <c r="F3336" s="68">
        <v>560</v>
      </c>
      <c r="G3336" s="68">
        <v>959</v>
      </c>
    </row>
    <row r="3337" spans="1:7" x14ac:dyDescent="0.3">
      <c r="A3337" t="s">
        <v>977</v>
      </c>
      <c r="B3337" t="s">
        <v>32</v>
      </c>
      <c r="C3337" t="s">
        <v>24</v>
      </c>
      <c r="D3337" t="s">
        <v>12</v>
      </c>
      <c r="E3337" s="68">
        <v>448</v>
      </c>
      <c r="F3337" s="68">
        <v>465</v>
      </c>
      <c r="G3337" s="68">
        <v>913</v>
      </c>
    </row>
    <row r="3338" spans="1:7" x14ac:dyDescent="0.3">
      <c r="A3338" t="s">
        <v>977</v>
      </c>
      <c r="B3338" t="s">
        <v>32</v>
      </c>
      <c r="C3338" t="s">
        <v>24</v>
      </c>
      <c r="D3338" t="s">
        <v>13</v>
      </c>
      <c r="E3338" s="68">
        <v>440</v>
      </c>
      <c r="F3338" s="68">
        <v>361</v>
      </c>
      <c r="G3338" s="68">
        <v>801</v>
      </c>
    </row>
    <row r="3339" spans="1:7" x14ac:dyDescent="0.3">
      <c r="A3339" t="s">
        <v>977</v>
      </c>
      <c r="B3339" t="s">
        <v>32</v>
      </c>
      <c r="C3339" t="s">
        <v>24</v>
      </c>
      <c r="D3339" t="s">
        <v>14</v>
      </c>
      <c r="E3339" s="68">
        <v>331</v>
      </c>
      <c r="F3339" s="68">
        <v>268</v>
      </c>
      <c r="G3339" s="68">
        <v>599</v>
      </c>
    </row>
    <row r="3340" spans="1:7" x14ac:dyDescent="0.3">
      <c r="A3340" t="s">
        <v>977</v>
      </c>
      <c r="B3340" t="s">
        <v>32</v>
      </c>
      <c r="C3340" t="s">
        <v>24</v>
      </c>
      <c r="D3340" t="s">
        <v>15</v>
      </c>
      <c r="E3340" s="68">
        <v>328</v>
      </c>
      <c r="F3340" s="68">
        <v>254</v>
      </c>
      <c r="G3340" s="68">
        <v>582</v>
      </c>
    </row>
    <row r="3341" spans="1:7" x14ac:dyDescent="0.3">
      <c r="A3341" t="s">
        <v>977</v>
      </c>
      <c r="B3341" t="s">
        <v>32</v>
      </c>
      <c r="C3341" t="s">
        <v>24</v>
      </c>
      <c r="D3341" t="s">
        <v>16</v>
      </c>
      <c r="E3341" s="68">
        <v>292</v>
      </c>
      <c r="F3341" s="68">
        <v>209</v>
      </c>
      <c r="G3341" s="68">
        <v>501</v>
      </c>
    </row>
    <row r="3342" spans="1:7" x14ac:dyDescent="0.3">
      <c r="A3342" t="s">
        <v>977</v>
      </c>
      <c r="B3342" t="s">
        <v>32</v>
      </c>
      <c r="C3342" t="s">
        <v>24</v>
      </c>
      <c r="D3342" t="s">
        <v>17</v>
      </c>
      <c r="E3342" s="68">
        <v>269</v>
      </c>
      <c r="F3342" s="68">
        <v>190</v>
      </c>
      <c r="G3342" s="68">
        <v>459</v>
      </c>
    </row>
    <row r="3343" spans="1:7" x14ac:dyDescent="0.3">
      <c r="A3343" t="s">
        <v>977</v>
      </c>
      <c r="B3343" t="s">
        <v>32</v>
      </c>
      <c r="C3343" t="s">
        <v>24</v>
      </c>
      <c r="D3343" t="s">
        <v>18</v>
      </c>
      <c r="E3343" s="68">
        <v>212</v>
      </c>
      <c r="F3343" s="68">
        <v>150</v>
      </c>
      <c r="G3343" s="68">
        <v>362</v>
      </c>
    </row>
    <row r="3344" spans="1:7" x14ac:dyDescent="0.3">
      <c r="A3344" t="s">
        <v>977</v>
      </c>
      <c r="B3344" t="s">
        <v>32</v>
      </c>
      <c r="C3344" t="s">
        <v>24</v>
      </c>
      <c r="D3344" t="s">
        <v>19</v>
      </c>
      <c r="E3344" s="68">
        <v>186</v>
      </c>
      <c r="F3344" s="68">
        <v>148</v>
      </c>
      <c r="G3344" s="68">
        <v>334</v>
      </c>
    </row>
    <row r="3345" spans="1:7" x14ac:dyDescent="0.3">
      <c r="A3345" t="s">
        <v>977</v>
      </c>
      <c r="B3345" t="s">
        <v>32</v>
      </c>
      <c r="C3345" t="s">
        <v>24</v>
      </c>
      <c r="D3345" t="s">
        <v>20</v>
      </c>
      <c r="E3345" s="68">
        <v>125</v>
      </c>
      <c r="F3345" s="68">
        <v>80</v>
      </c>
      <c r="G3345" s="68">
        <v>205</v>
      </c>
    </row>
    <row r="3346" spans="1:7" x14ac:dyDescent="0.3">
      <c r="A3346" t="s">
        <v>977</v>
      </c>
      <c r="B3346" t="s">
        <v>32</v>
      </c>
      <c r="C3346" t="s">
        <v>24</v>
      </c>
      <c r="D3346" t="s">
        <v>21</v>
      </c>
      <c r="E3346" s="68">
        <v>59</v>
      </c>
      <c r="F3346" s="68">
        <v>75</v>
      </c>
      <c r="G3346" s="68">
        <v>134</v>
      </c>
    </row>
    <row r="3347" spans="1:7" x14ac:dyDescent="0.3">
      <c r="A3347" t="s">
        <v>977</v>
      </c>
      <c r="B3347" t="s">
        <v>32</v>
      </c>
      <c r="C3347" t="s">
        <v>24</v>
      </c>
      <c r="D3347" t="s">
        <v>22</v>
      </c>
      <c r="E3347" s="68">
        <v>46</v>
      </c>
      <c r="F3347" s="68">
        <v>37</v>
      </c>
      <c r="G3347" s="68">
        <v>83</v>
      </c>
    </row>
    <row r="3348" spans="1:7" x14ac:dyDescent="0.3">
      <c r="A3348" t="s">
        <v>977</v>
      </c>
      <c r="B3348" t="s">
        <v>32</v>
      </c>
      <c r="C3348" t="s">
        <v>24</v>
      </c>
      <c r="D3348" t="s">
        <v>23</v>
      </c>
      <c r="E3348" s="68">
        <v>22</v>
      </c>
      <c r="F3348" s="68">
        <v>27</v>
      </c>
      <c r="G3348" s="68">
        <v>49</v>
      </c>
    </row>
    <row r="3349" spans="1:7" x14ac:dyDescent="0.3">
      <c r="A3349" t="s">
        <v>977</v>
      </c>
      <c r="B3349" t="s">
        <v>5</v>
      </c>
      <c r="C3349" t="s">
        <v>6</v>
      </c>
      <c r="D3349" t="s">
        <v>7</v>
      </c>
      <c r="E3349" s="68">
        <v>1631</v>
      </c>
      <c r="F3349" s="68">
        <v>1695</v>
      </c>
      <c r="G3349" s="68">
        <v>3326</v>
      </c>
    </row>
    <row r="3350" spans="1:7" x14ac:dyDescent="0.3">
      <c r="A3350" t="s">
        <v>977</v>
      </c>
      <c r="B3350" t="s">
        <v>5</v>
      </c>
      <c r="C3350" t="s">
        <v>6</v>
      </c>
      <c r="D3350" t="s">
        <v>8</v>
      </c>
      <c r="E3350" s="68">
        <v>2080</v>
      </c>
      <c r="F3350" s="68">
        <v>2174</v>
      </c>
      <c r="G3350" s="68">
        <v>4254</v>
      </c>
    </row>
    <row r="3351" spans="1:7" x14ac:dyDescent="0.3">
      <c r="A3351" t="s">
        <v>977</v>
      </c>
      <c r="B3351" t="s">
        <v>5</v>
      </c>
      <c r="C3351" t="s">
        <v>6</v>
      </c>
      <c r="D3351" t="s">
        <v>9</v>
      </c>
      <c r="E3351" s="68">
        <v>2356</v>
      </c>
      <c r="F3351" s="68">
        <v>2466</v>
      </c>
      <c r="G3351" s="68">
        <v>4822</v>
      </c>
    </row>
    <row r="3352" spans="1:7" x14ac:dyDescent="0.3">
      <c r="A3352" t="s">
        <v>977</v>
      </c>
      <c r="B3352" t="s">
        <v>5</v>
      </c>
      <c r="C3352" t="s">
        <v>6</v>
      </c>
      <c r="D3352" t="s">
        <v>10</v>
      </c>
      <c r="E3352" s="68">
        <v>2062</v>
      </c>
      <c r="F3352" s="68">
        <v>2110</v>
      </c>
      <c r="G3352" s="68">
        <v>4172</v>
      </c>
    </row>
    <row r="3353" spans="1:7" x14ac:dyDescent="0.3">
      <c r="A3353" t="s">
        <v>977</v>
      </c>
      <c r="B3353" t="s">
        <v>5</v>
      </c>
      <c r="C3353" t="s">
        <v>6</v>
      </c>
      <c r="D3353" t="s">
        <v>11</v>
      </c>
      <c r="E3353" s="68">
        <v>1657</v>
      </c>
      <c r="F3353" s="68">
        <v>1682</v>
      </c>
      <c r="G3353" s="68">
        <v>3339</v>
      </c>
    </row>
    <row r="3354" spans="1:7" x14ac:dyDescent="0.3">
      <c r="A3354" t="s">
        <v>977</v>
      </c>
      <c r="B3354" t="s">
        <v>5</v>
      </c>
      <c r="C3354" t="s">
        <v>6</v>
      </c>
      <c r="D3354" t="s">
        <v>12</v>
      </c>
      <c r="E3354" s="68">
        <v>1915</v>
      </c>
      <c r="F3354" s="68">
        <v>1546</v>
      </c>
      <c r="G3354" s="68">
        <v>3461</v>
      </c>
    </row>
    <row r="3355" spans="1:7" x14ac:dyDescent="0.3">
      <c r="A3355" t="s">
        <v>977</v>
      </c>
      <c r="B3355" t="s">
        <v>5</v>
      </c>
      <c r="C3355" t="s">
        <v>6</v>
      </c>
      <c r="D3355" t="s">
        <v>13</v>
      </c>
      <c r="E3355" s="68">
        <v>2748</v>
      </c>
      <c r="F3355" s="68">
        <v>2111</v>
      </c>
      <c r="G3355" s="68">
        <v>4859</v>
      </c>
    </row>
    <row r="3356" spans="1:7" x14ac:dyDescent="0.3">
      <c r="A3356" t="s">
        <v>977</v>
      </c>
      <c r="B3356" t="s">
        <v>5</v>
      </c>
      <c r="C3356" t="s">
        <v>6</v>
      </c>
      <c r="D3356" t="s">
        <v>14</v>
      </c>
      <c r="E3356" s="68">
        <v>2902</v>
      </c>
      <c r="F3356" s="68">
        <v>2448</v>
      </c>
      <c r="G3356" s="68">
        <v>5350</v>
      </c>
    </row>
    <row r="3357" spans="1:7" x14ac:dyDescent="0.3">
      <c r="A3357" t="s">
        <v>977</v>
      </c>
      <c r="B3357" t="s">
        <v>5</v>
      </c>
      <c r="C3357" t="s">
        <v>6</v>
      </c>
      <c r="D3357" t="s">
        <v>15</v>
      </c>
      <c r="E3357" s="68">
        <v>2777</v>
      </c>
      <c r="F3357" s="68">
        <v>2524</v>
      </c>
      <c r="G3357" s="68">
        <v>5301</v>
      </c>
    </row>
    <row r="3358" spans="1:7" x14ac:dyDescent="0.3">
      <c r="A3358" t="s">
        <v>977</v>
      </c>
      <c r="B3358" t="s">
        <v>5</v>
      </c>
      <c r="C3358" t="s">
        <v>6</v>
      </c>
      <c r="D3358" t="s">
        <v>16</v>
      </c>
      <c r="E3358" s="68">
        <v>2461</v>
      </c>
      <c r="F3358" s="68">
        <v>2166</v>
      </c>
      <c r="G3358" s="68">
        <v>4627</v>
      </c>
    </row>
    <row r="3359" spans="1:7" x14ac:dyDescent="0.3">
      <c r="A3359" t="s">
        <v>977</v>
      </c>
      <c r="B3359" t="s">
        <v>5</v>
      </c>
      <c r="C3359" t="s">
        <v>6</v>
      </c>
      <c r="D3359" t="s">
        <v>17</v>
      </c>
      <c r="E3359" s="68">
        <v>1827</v>
      </c>
      <c r="F3359" s="68">
        <v>1668</v>
      </c>
      <c r="G3359" s="68">
        <v>3495</v>
      </c>
    </row>
    <row r="3360" spans="1:7" x14ac:dyDescent="0.3">
      <c r="A3360" t="s">
        <v>977</v>
      </c>
      <c r="B3360" t="s">
        <v>5</v>
      </c>
      <c r="C3360" t="s">
        <v>6</v>
      </c>
      <c r="D3360" t="s">
        <v>18</v>
      </c>
      <c r="E3360" s="68">
        <v>1724</v>
      </c>
      <c r="F3360" s="68">
        <v>1472</v>
      </c>
      <c r="G3360" s="68">
        <v>3196</v>
      </c>
    </row>
    <row r="3361" spans="1:7" x14ac:dyDescent="0.3">
      <c r="A3361" t="s">
        <v>977</v>
      </c>
      <c r="B3361" t="s">
        <v>5</v>
      </c>
      <c r="C3361" t="s">
        <v>6</v>
      </c>
      <c r="D3361" t="s">
        <v>19</v>
      </c>
      <c r="E3361" s="68">
        <v>1597</v>
      </c>
      <c r="F3361" s="68">
        <v>1394</v>
      </c>
      <c r="G3361" s="68">
        <v>2991</v>
      </c>
    </row>
    <row r="3362" spans="1:7" x14ac:dyDescent="0.3">
      <c r="A3362" t="s">
        <v>977</v>
      </c>
      <c r="B3362" t="s">
        <v>5</v>
      </c>
      <c r="C3362" t="s">
        <v>6</v>
      </c>
      <c r="D3362" t="s">
        <v>20</v>
      </c>
      <c r="E3362" s="68">
        <v>1317</v>
      </c>
      <c r="F3362" s="68">
        <v>1062</v>
      </c>
      <c r="G3362" s="68">
        <v>2379</v>
      </c>
    </row>
    <row r="3363" spans="1:7" x14ac:dyDescent="0.3">
      <c r="A3363" t="s">
        <v>977</v>
      </c>
      <c r="B3363" t="s">
        <v>5</v>
      </c>
      <c r="C3363" t="s">
        <v>6</v>
      </c>
      <c r="D3363" t="s">
        <v>21</v>
      </c>
      <c r="E3363" s="68">
        <v>951</v>
      </c>
      <c r="F3363" s="68">
        <v>752</v>
      </c>
      <c r="G3363" s="68">
        <v>1703</v>
      </c>
    </row>
    <row r="3364" spans="1:7" x14ac:dyDescent="0.3">
      <c r="A3364" t="s">
        <v>977</v>
      </c>
      <c r="B3364" t="s">
        <v>5</v>
      </c>
      <c r="C3364" t="s">
        <v>6</v>
      </c>
      <c r="D3364" t="s">
        <v>22</v>
      </c>
      <c r="E3364" s="68">
        <v>668</v>
      </c>
      <c r="F3364" s="68">
        <v>515</v>
      </c>
      <c r="G3364" s="68">
        <v>1183</v>
      </c>
    </row>
    <row r="3365" spans="1:7" x14ac:dyDescent="0.3">
      <c r="A3365" t="s">
        <v>977</v>
      </c>
      <c r="B3365" t="s">
        <v>5</v>
      </c>
      <c r="C3365" t="s">
        <v>6</v>
      </c>
      <c r="D3365" t="s">
        <v>23</v>
      </c>
      <c r="E3365" s="68">
        <v>726</v>
      </c>
      <c r="F3365" s="68">
        <v>502</v>
      </c>
      <c r="G3365" s="68">
        <v>1228</v>
      </c>
    </row>
    <row r="3366" spans="1:7" x14ac:dyDescent="0.3">
      <c r="A3366" t="s">
        <v>977</v>
      </c>
      <c r="B3366" t="s">
        <v>5</v>
      </c>
      <c r="C3366" t="s">
        <v>24</v>
      </c>
      <c r="D3366" t="s">
        <v>7</v>
      </c>
      <c r="E3366" s="68">
        <v>770</v>
      </c>
      <c r="F3366" s="68">
        <v>832</v>
      </c>
      <c r="G3366" s="68">
        <v>1602</v>
      </c>
    </row>
    <row r="3367" spans="1:7" x14ac:dyDescent="0.3">
      <c r="A3367" t="s">
        <v>977</v>
      </c>
      <c r="B3367" t="s">
        <v>5</v>
      </c>
      <c r="C3367" t="s">
        <v>24</v>
      </c>
      <c r="D3367" t="s">
        <v>8</v>
      </c>
      <c r="E3367" s="68">
        <v>1115</v>
      </c>
      <c r="F3367" s="68">
        <v>1130</v>
      </c>
      <c r="G3367" s="68">
        <v>2245</v>
      </c>
    </row>
    <row r="3368" spans="1:7" x14ac:dyDescent="0.3">
      <c r="A3368" t="s">
        <v>977</v>
      </c>
      <c r="B3368" t="s">
        <v>5</v>
      </c>
      <c r="C3368" t="s">
        <v>24</v>
      </c>
      <c r="D3368" t="s">
        <v>9</v>
      </c>
      <c r="E3368" s="68">
        <v>1181</v>
      </c>
      <c r="F3368" s="68">
        <v>1111</v>
      </c>
      <c r="G3368" s="68">
        <v>2292</v>
      </c>
    </row>
    <row r="3369" spans="1:7" x14ac:dyDescent="0.3">
      <c r="A3369" t="s">
        <v>977</v>
      </c>
      <c r="B3369" t="s">
        <v>5</v>
      </c>
      <c r="C3369" t="s">
        <v>24</v>
      </c>
      <c r="D3369" t="s">
        <v>10</v>
      </c>
      <c r="E3369" s="68">
        <v>1152</v>
      </c>
      <c r="F3369" s="68">
        <v>1196</v>
      </c>
      <c r="G3369" s="68">
        <v>2348</v>
      </c>
    </row>
    <row r="3370" spans="1:7" x14ac:dyDescent="0.3">
      <c r="A3370" t="s">
        <v>977</v>
      </c>
      <c r="B3370" t="s">
        <v>5</v>
      </c>
      <c r="C3370" t="s">
        <v>24</v>
      </c>
      <c r="D3370" t="s">
        <v>11</v>
      </c>
      <c r="E3370" s="68">
        <v>1104</v>
      </c>
      <c r="F3370" s="68">
        <v>886</v>
      </c>
      <c r="G3370" s="68">
        <v>1990</v>
      </c>
    </row>
    <row r="3371" spans="1:7" x14ac:dyDescent="0.3">
      <c r="A3371" t="s">
        <v>977</v>
      </c>
      <c r="B3371" t="s">
        <v>5</v>
      </c>
      <c r="C3371" t="s">
        <v>24</v>
      </c>
      <c r="D3371" t="s">
        <v>12</v>
      </c>
      <c r="E3371" s="68">
        <v>1249</v>
      </c>
      <c r="F3371" s="68">
        <v>1022</v>
      </c>
      <c r="G3371" s="68">
        <v>2271</v>
      </c>
    </row>
    <row r="3372" spans="1:7" x14ac:dyDescent="0.3">
      <c r="A3372" t="s">
        <v>977</v>
      </c>
      <c r="B3372" t="s">
        <v>5</v>
      </c>
      <c r="C3372" t="s">
        <v>24</v>
      </c>
      <c r="D3372" t="s">
        <v>13</v>
      </c>
      <c r="E3372" s="68">
        <v>1130</v>
      </c>
      <c r="F3372" s="68">
        <v>860</v>
      </c>
      <c r="G3372" s="68">
        <v>1990</v>
      </c>
    </row>
    <row r="3373" spans="1:7" x14ac:dyDescent="0.3">
      <c r="A3373" t="s">
        <v>977</v>
      </c>
      <c r="B3373" t="s">
        <v>5</v>
      </c>
      <c r="C3373" t="s">
        <v>24</v>
      </c>
      <c r="D3373" t="s">
        <v>14</v>
      </c>
      <c r="E3373" s="68">
        <v>1008</v>
      </c>
      <c r="F3373" s="68">
        <v>732</v>
      </c>
      <c r="G3373" s="68">
        <v>1740</v>
      </c>
    </row>
    <row r="3374" spans="1:7" x14ac:dyDescent="0.3">
      <c r="A3374" t="s">
        <v>977</v>
      </c>
      <c r="B3374" t="s">
        <v>5</v>
      </c>
      <c r="C3374" t="s">
        <v>24</v>
      </c>
      <c r="D3374" t="s">
        <v>15</v>
      </c>
      <c r="E3374" s="68">
        <v>967</v>
      </c>
      <c r="F3374" s="68">
        <v>795</v>
      </c>
      <c r="G3374" s="68">
        <v>1762</v>
      </c>
    </row>
    <row r="3375" spans="1:7" x14ac:dyDescent="0.3">
      <c r="A3375" t="s">
        <v>977</v>
      </c>
      <c r="B3375" t="s">
        <v>5</v>
      </c>
      <c r="C3375" t="s">
        <v>24</v>
      </c>
      <c r="D3375" t="s">
        <v>16</v>
      </c>
      <c r="E3375" s="68">
        <v>886</v>
      </c>
      <c r="F3375" s="68">
        <v>643</v>
      </c>
      <c r="G3375" s="68">
        <v>1529</v>
      </c>
    </row>
    <row r="3376" spans="1:7" x14ac:dyDescent="0.3">
      <c r="A3376" t="s">
        <v>977</v>
      </c>
      <c r="B3376" t="s">
        <v>5</v>
      </c>
      <c r="C3376" t="s">
        <v>24</v>
      </c>
      <c r="D3376" t="s">
        <v>17</v>
      </c>
      <c r="E3376" s="68">
        <v>800</v>
      </c>
      <c r="F3376" s="68">
        <v>590</v>
      </c>
      <c r="G3376" s="68">
        <v>1390</v>
      </c>
    </row>
    <row r="3377" spans="1:7" x14ac:dyDescent="0.3">
      <c r="A3377" t="s">
        <v>977</v>
      </c>
      <c r="B3377" t="s">
        <v>5</v>
      </c>
      <c r="C3377" t="s">
        <v>24</v>
      </c>
      <c r="D3377" t="s">
        <v>18</v>
      </c>
      <c r="E3377" s="68">
        <v>719</v>
      </c>
      <c r="F3377" s="68">
        <v>581</v>
      </c>
      <c r="G3377" s="68">
        <v>1300</v>
      </c>
    </row>
    <row r="3378" spans="1:7" x14ac:dyDescent="0.3">
      <c r="A3378" t="s">
        <v>977</v>
      </c>
      <c r="B3378" t="s">
        <v>5</v>
      </c>
      <c r="C3378" t="s">
        <v>24</v>
      </c>
      <c r="D3378" t="s">
        <v>19</v>
      </c>
      <c r="E3378" s="68">
        <v>581</v>
      </c>
      <c r="F3378" s="68">
        <v>507</v>
      </c>
      <c r="G3378" s="68">
        <v>1088</v>
      </c>
    </row>
    <row r="3379" spans="1:7" x14ac:dyDescent="0.3">
      <c r="A3379" t="s">
        <v>977</v>
      </c>
      <c r="B3379" t="s">
        <v>5</v>
      </c>
      <c r="C3379" t="s">
        <v>24</v>
      </c>
      <c r="D3379" t="s">
        <v>20</v>
      </c>
      <c r="E3379" s="68">
        <v>400</v>
      </c>
      <c r="F3379" s="68">
        <v>329</v>
      </c>
      <c r="G3379" s="68">
        <v>729</v>
      </c>
    </row>
    <row r="3380" spans="1:7" x14ac:dyDescent="0.3">
      <c r="A3380" t="s">
        <v>977</v>
      </c>
      <c r="B3380" t="s">
        <v>5</v>
      </c>
      <c r="C3380" t="s">
        <v>24</v>
      </c>
      <c r="D3380" t="s">
        <v>21</v>
      </c>
      <c r="E3380" s="68">
        <v>287</v>
      </c>
      <c r="F3380" s="68">
        <v>189</v>
      </c>
      <c r="G3380" s="68">
        <v>476</v>
      </c>
    </row>
    <row r="3381" spans="1:7" x14ac:dyDescent="0.3">
      <c r="A3381" t="s">
        <v>977</v>
      </c>
      <c r="B3381" t="s">
        <v>5</v>
      </c>
      <c r="C3381" t="s">
        <v>24</v>
      </c>
      <c r="D3381" t="s">
        <v>22</v>
      </c>
      <c r="E3381" s="68">
        <v>200</v>
      </c>
      <c r="F3381" s="68">
        <v>174</v>
      </c>
      <c r="G3381" s="68">
        <v>374</v>
      </c>
    </row>
    <row r="3382" spans="1:7" x14ac:dyDescent="0.3">
      <c r="A3382" t="s">
        <v>977</v>
      </c>
      <c r="B3382" t="s">
        <v>5</v>
      </c>
      <c r="C3382" t="s">
        <v>24</v>
      </c>
      <c r="D3382" t="s">
        <v>23</v>
      </c>
      <c r="E3382" s="68">
        <v>248</v>
      </c>
      <c r="F3382" s="68">
        <v>174</v>
      </c>
      <c r="G3382" s="68">
        <v>422</v>
      </c>
    </row>
    <row r="3383" spans="1:7" x14ac:dyDescent="0.3">
      <c r="A3383" t="s">
        <v>977</v>
      </c>
      <c r="B3383" t="s">
        <v>34</v>
      </c>
      <c r="C3383" t="s">
        <v>6</v>
      </c>
      <c r="D3383" t="s">
        <v>9</v>
      </c>
      <c r="E3383" s="68"/>
      <c r="F3383" s="68">
        <v>1</v>
      </c>
      <c r="G3383" s="68">
        <v>1</v>
      </c>
    </row>
    <row r="3384" spans="1:7" x14ac:dyDescent="0.3">
      <c r="A3384" t="s">
        <v>977</v>
      </c>
      <c r="B3384" t="s">
        <v>37</v>
      </c>
      <c r="C3384" t="s">
        <v>6</v>
      </c>
      <c r="D3384" t="s">
        <v>7</v>
      </c>
      <c r="E3384" s="68">
        <v>388</v>
      </c>
      <c r="F3384" s="68">
        <v>416</v>
      </c>
      <c r="G3384" s="68">
        <v>804</v>
      </c>
    </row>
    <row r="3385" spans="1:7" x14ac:dyDescent="0.3">
      <c r="A3385" t="s">
        <v>977</v>
      </c>
      <c r="B3385" t="s">
        <v>37</v>
      </c>
      <c r="C3385" t="s">
        <v>6</v>
      </c>
      <c r="D3385" t="s">
        <v>8</v>
      </c>
      <c r="E3385" s="68">
        <v>589</v>
      </c>
      <c r="F3385" s="68">
        <v>610</v>
      </c>
      <c r="G3385" s="68">
        <v>1199</v>
      </c>
    </row>
    <row r="3386" spans="1:7" x14ac:dyDescent="0.3">
      <c r="A3386" t="s">
        <v>977</v>
      </c>
      <c r="B3386" t="s">
        <v>37</v>
      </c>
      <c r="C3386" t="s">
        <v>6</v>
      </c>
      <c r="D3386" t="s">
        <v>9</v>
      </c>
      <c r="E3386" s="68">
        <v>597</v>
      </c>
      <c r="F3386" s="68">
        <v>698</v>
      </c>
      <c r="G3386" s="68">
        <v>1295</v>
      </c>
    </row>
    <row r="3387" spans="1:7" x14ac:dyDescent="0.3">
      <c r="A3387" t="s">
        <v>977</v>
      </c>
      <c r="B3387" t="s">
        <v>37</v>
      </c>
      <c r="C3387" t="s">
        <v>6</v>
      </c>
      <c r="D3387" t="s">
        <v>10</v>
      </c>
      <c r="E3387" s="68">
        <v>645</v>
      </c>
      <c r="F3387" s="68">
        <v>642</v>
      </c>
      <c r="G3387" s="68">
        <v>1287</v>
      </c>
    </row>
    <row r="3388" spans="1:7" x14ac:dyDescent="0.3">
      <c r="A3388" t="s">
        <v>977</v>
      </c>
      <c r="B3388" t="s">
        <v>37</v>
      </c>
      <c r="C3388" t="s">
        <v>6</v>
      </c>
      <c r="D3388" t="s">
        <v>11</v>
      </c>
      <c r="E3388" s="68">
        <v>553</v>
      </c>
      <c r="F3388" s="68">
        <v>562</v>
      </c>
      <c r="G3388" s="68">
        <v>1115</v>
      </c>
    </row>
    <row r="3389" spans="1:7" x14ac:dyDescent="0.3">
      <c r="A3389" t="s">
        <v>977</v>
      </c>
      <c r="B3389" t="s">
        <v>37</v>
      </c>
      <c r="C3389" t="s">
        <v>6</v>
      </c>
      <c r="D3389" t="s">
        <v>12</v>
      </c>
      <c r="E3389" s="68">
        <v>474</v>
      </c>
      <c r="F3389" s="68">
        <v>479</v>
      </c>
      <c r="G3389" s="68">
        <v>953</v>
      </c>
    </row>
    <row r="3390" spans="1:7" x14ac:dyDescent="0.3">
      <c r="A3390" t="s">
        <v>977</v>
      </c>
      <c r="B3390" t="s">
        <v>37</v>
      </c>
      <c r="C3390" t="s">
        <v>6</v>
      </c>
      <c r="D3390" t="s">
        <v>13</v>
      </c>
      <c r="E3390" s="68">
        <v>622</v>
      </c>
      <c r="F3390" s="68">
        <v>679</v>
      </c>
      <c r="G3390" s="68">
        <v>1301</v>
      </c>
    </row>
    <row r="3391" spans="1:7" x14ac:dyDescent="0.3">
      <c r="A3391" t="s">
        <v>977</v>
      </c>
      <c r="B3391" t="s">
        <v>37</v>
      </c>
      <c r="C3391" t="s">
        <v>6</v>
      </c>
      <c r="D3391" t="s">
        <v>14</v>
      </c>
      <c r="E3391" s="68">
        <v>672</v>
      </c>
      <c r="F3391" s="68">
        <v>692</v>
      </c>
      <c r="G3391" s="68">
        <v>1364</v>
      </c>
    </row>
    <row r="3392" spans="1:7" x14ac:dyDescent="0.3">
      <c r="A3392" t="s">
        <v>977</v>
      </c>
      <c r="B3392" t="s">
        <v>37</v>
      </c>
      <c r="C3392" t="s">
        <v>6</v>
      </c>
      <c r="D3392" t="s">
        <v>15</v>
      </c>
      <c r="E3392" s="68">
        <v>698</v>
      </c>
      <c r="F3392" s="68">
        <v>733</v>
      </c>
      <c r="G3392" s="68">
        <v>1431</v>
      </c>
    </row>
    <row r="3393" spans="1:7" x14ac:dyDescent="0.3">
      <c r="A3393" t="s">
        <v>977</v>
      </c>
      <c r="B3393" t="s">
        <v>37</v>
      </c>
      <c r="C3393" t="s">
        <v>6</v>
      </c>
      <c r="D3393" t="s">
        <v>16</v>
      </c>
      <c r="E3393" s="68">
        <v>642</v>
      </c>
      <c r="F3393" s="68">
        <v>640</v>
      </c>
      <c r="G3393" s="68">
        <v>1282</v>
      </c>
    </row>
    <row r="3394" spans="1:7" x14ac:dyDescent="0.3">
      <c r="A3394" t="s">
        <v>977</v>
      </c>
      <c r="B3394" t="s">
        <v>37</v>
      </c>
      <c r="C3394" t="s">
        <v>6</v>
      </c>
      <c r="D3394" t="s">
        <v>17</v>
      </c>
      <c r="E3394" s="68">
        <v>567</v>
      </c>
      <c r="F3394" s="68">
        <v>557</v>
      </c>
      <c r="G3394" s="68">
        <v>1124</v>
      </c>
    </row>
    <row r="3395" spans="1:7" x14ac:dyDescent="0.3">
      <c r="A3395" t="s">
        <v>977</v>
      </c>
      <c r="B3395" t="s">
        <v>37</v>
      </c>
      <c r="C3395" t="s">
        <v>6</v>
      </c>
      <c r="D3395" t="s">
        <v>18</v>
      </c>
      <c r="E3395" s="68">
        <v>500</v>
      </c>
      <c r="F3395" s="68">
        <v>511</v>
      </c>
      <c r="G3395" s="68">
        <v>1011</v>
      </c>
    </row>
    <row r="3396" spans="1:7" x14ac:dyDescent="0.3">
      <c r="A3396" t="s">
        <v>977</v>
      </c>
      <c r="B3396" t="s">
        <v>37</v>
      </c>
      <c r="C3396" t="s">
        <v>6</v>
      </c>
      <c r="D3396" t="s">
        <v>19</v>
      </c>
      <c r="E3396" s="68">
        <v>400</v>
      </c>
      <c r="F3396" s="68">
        <v>396</v>
      </c>
      <c r="G3396" s="68">
        <v>796</v>
      </c>
    </row>
    <row r="3397" spans="1:7" x14ac:dyDescent="0.3">
      <c r="A3397" t="s">
        <v>977</v>
      </c>
      <c r="B3397" t="s">
        <v>37</v>
      </c>
      <c r="C3397" t="s">
        <v>6</v>
      </c>
      <c r="D3397" t="s">
        <v>20</v>
      </c>
      <c r="E3397" s="68">
        <v>320</v>
      </c>
      <c r="F3397" s="68">
        <v>248</v>
      </c>
      <c r="G3397" s="68">
        <v>568</v>
      </c>
    </row>
    <row r="3398" spans="1:7" x14ac:dyDescent="0.3">
      <c r="A3398" t="s">
        <v>977</v>
      </c>
      <c r="B3398" t="s">
        <v>37</v>
      </c>
      <c r="C3398" t="s">
        <v>6</v>
      </c>
      <c r="D3398" t="s">
        <v>21</v>
      </c>
      <c r="E3398" s="68">
        <v>225</v>
      </c>
      <c r="F3398" s="68">
        <v>180</v>
      </c>
      <c r="G3398" s="68">
        <v>405</v>
      </c>
    </row>
    <row r="3399" spans="1:7" x14ac:dyDescent="0.3">
      <c r="A3399" t="s">
        <v>977</v>
      </c>
      <c r="B3399" t="s">
        <v>37</v>
      </c>
      <c r="C3399" t="s">
        <v>6</v>
      </c>
      <c r="D3399" t="s">
        <v>22</v>
      </c>
      <c r="E3399" s="68">
        <v>163</v>
      </c>
      <c r="F3399" s="68">
        <v>148</v>
      </c>
      <c r="G3399" s="68">
        <v>311</v>
      </c>
    </row>
    <row r="3400" spans="1:7" x14ac:dyDescent="0.3">
      <c r="A3400" t="s">
        <v>977</v>
      </c>
      <c r="B3400" t="s">
        <v>37</v>
      </c>
      <c r="C3400" t="s">
        <v>6</v>
      </c>
      <c r="D3400" t="s">
        <v>23</v>
      </c>
      <c r="E3400" s="68">
        <v>205</v>
      </c>
      <c r="F3400" s="68">
        <v>152</v>
      </c>
      <c r="G3400" s="68">
        <v>357</v>
      </c>
    </row>
    <row r="3401" spans="1:7" x14ac:dyDescent="0.3">
      <c r="A3401" t="s">
        <v>977</v>
      </c>
      <c r="B3401" t="s">
        <v>37</v>
      </c>
      <c r="C3401" t="s">
        <v>24</v>
      </c>
      <c r="D3401" t="s">
        <v>7</v>
      </c>
      <c r="E3401" s="68">
        <v>646</v>
      </c>
      <c r="F3401" s="68">
        <v>654</v>
      </c>
      <c r="G3401" s="68">
        <v>1300</v>
      </c>
    </row>
    <row r="3402" spans="1:7" x14ac:dyDescent="0.3">
      <c r="A3402" t="s">
        <v>977</v>
      </c>
      <c r="B3402" t="s">
        <v>37</v>
      </c>
      <c r="C3402" t="s">
        <v>24</v>
      </c>
      <c r="D3402" t="s">
        <v>8</v>
      </c>
      <c r="E3402" s="68">
        <v>712</v>
      </c>
      <c r="F3402" s="68">
        <v>840</v>
      </c>
      <c r="G3402" s="68">
        <v>1552</v>
      </c>
    </row>
    <row r="3403" spans="1:7" x14ac:dyDescent="0.3">
      <c r="A3403" t="s">
        <v>977</v>
      </c>
      <c r="B3403" t="s">
        <v>37</v>
      </c>
      <c r="C3403" t="s">
        <v>24</v>
      </c>
      <c r="D3403" t="s">
        <v>9</v>
      </c>
      <c r="E3403" s="68">
        <v>884</v>
      </c>
      <c r="F3403" s="68">
        <v>921</v>
      </c>
      <c r="G3403" s="68">
        <v>1805</v>
      </c>
    </row>
    <row r="3404" spans="1:7" x14ac:dyDescent="0.3">
      <c r="A3404" t="s">
        <v>977</v>
      </c>
      <c r="B3404" t="s">
        <v>37</v>
      </c>
      <c r="C3404" t="s">
        <v>24</v>
      </c>
      <c r="D3404" t="s">
        <v>10</v>
      </c>
      <c r="E3404" s="68">
        <v>924</v>
      </c>
      <c r="F3404" s="68">
        <v>955</v>
      </c>
      <c r="G3404" s="68">
        <v>1879</v>
      </c>
    </row>
    <row r="3405" spans="1:7" x14ac:dyDescent="0.3">
      <c r="A3405" t="s">
        <v>977</v>
      </c>
      <c r="B3405" t="s">
        <v>37</v>
      </c>
      <c r="C3405" t="s">
        <v>24</v>
      </c>
      <c r="D3405" t="s">
        <v>11</v>
      </c>
      <c r="E3405" s="68">
        <v>835</v>
      </c>
      <c r="F3405" s="68">
        <v>647</v>
      </c>
      <c r="G3405" s="68">
        <v>1482</v>
      </c>
    </row>
    <row r="3406" spans="1:7" x14ac:dyDescent="0.3">
      <c r="A3406" t="s">
        <v>977</v>
      </c>
      <c r="B3406" t="s">
        <v>37</v>
      </c>
      <c r="C3406" t="s">
        <v>24</v>
      </c>
      <c r="D3406" t="s">
        <v>12</v>
      </c>
      <c r="E3406" s="68">
        <v>880</v>
      </c>
      <c r="F3406" s="68">
        <v>730</v>
      </c>
      <c r="G3406" s="68">
        <v>1610</v>
      </c>
    </row>
    <row r="3407" spans="1:7" x14ac:dyDescent="0.3">
      <c r="A3407" t="s">
        <v>977</v>
      </c>
      <c r="B3407" t="s">
        <v>37</v>
      </c>
      <c r="C3407" t="s">
        <v>24</v>
      </c>
      <c r="D3407" t="s">
        <v>13</v>
      </c>
      <c r="E3407" s="68">
        <v>794</v>
      </c>
      <c r="F3407" s="68">
        <v>758</v>
      </c>
      <c r="G3407" s="68">
        <v>1552</v>
      </c>
    </row>
    <row r="3408" spans="1:7" x14ac:dyDescent="0.3">
      <c r="A3408" t="s">
        <v>977</v>
      </c>
      <c r="B3408" t="s">
        <v>37</v>
      </c>
      <c r="C3408" t="s">
        <v>24</v>
      </c>
      <c r="D3408" t="s">
        <v>14</v>
      </c>
      <c r="E3408" s="68">
        <v>716</v>
      </c>
      <c r="F3408" s="68">
        <v>685</v>
      </c>
      <c r="G3408" s="68">
        <v>1401</v>
      </c>
    </row>
    <row r="3409" spans="1:7" x14ac:dyDescent="0.3">
      <c r="A3409" t="s">
        <v>977</v>
      </c>
      <c r="B3409" t="s">
        <v>37</v>
      </c>
      <c r="C3409" t="s">
        <v>24</v>
      </c>
      <c r="D3409" t="s">
        <v>15</v>
      </c>
      <c r="E3409" s="68">
        <v>652</v>
      </c>
      <c r="F3409" s="68">
        <v>691</v>
      </c>
      <c r="G3409" s="68">
        <v>1343</v>
      </c>
    </row>
    <row r="3410" spans="1:7" x14ac:dyDescent="0.3">
      <c r="A3410" t="s">
        <v>977</v>
      </c>
      <c r="B3410" t="s">
        <v>37</v>
      </c>
      <c r="C3410" t="s">
        <v>24</v>
      </c>
      <c r="D3410" t="s">
        <v>16</v>
      </c>
      <c r="E3410" s="68">
        <v>640</v>
      </c>
      <c r="F3410" s="68">
        <v>612</v>
      </c>
      <c r="G3410" s="68">
        <v>1252</v>
      </c>
    </row>
    <row r="3411" spans="1:7" x14ac:dyDescent="0.3">
      <c r="A3411" t="s">
        <v>977</v>
      </c>
      <c r="B3411" t="s">
        <v>37</v>
      </c>
      <c r="C3411" t="s">
        <v>24</v>
      </c>
      <c r="D3411" t="s">
        <v>17</v>
      </c>
      <c r="E3411" s="68">
        <v>574</v>
      </c>
      <c r="F3411" s="68">
        <v>549</v>
      </c>
      <c r="G3411" s="68">
        <v>1123</v>
      </c>
    </row>
    <row r="3412" spans="1:7" x14ac:dyDescent="0.3">
      <c r="A3412" t="s">
        <v>977</v>
      </c>
      <c r="B3412" t="s">
        <v>37</v>
      </c>
      <c r="C3412" t="s">
        <v>24</v>
      </c>
      <c r="D3412" t="s">
        <v>18</v>
      </c>
      <c r="E3412" s="68">
        <v>503</v>
      </c>
      <c r="F3412" s="68">
        <v>520</v>
      </c>
      <c r="G3412" s="68">
        <v>1023</v>
      </c>
    </row>
    <row r="3413" spans="1:7" x14ac:dyDescent="0.3">
      <c r="A3413" t="s">
        <v>977</v>
      </c>
      <c r="B3413" t="s">
        <v>37</v>
      </c>
      <c r="C3413" t="s">
        <v>24</v>
      </c>
      <c r="D3413" t="s">
        <v>19</v>
      </c>
      <c r="E3413" s="68">
        <v>474</v>
      </c>
      <c r="F3413" s="68">
        <v>426</v>
      </c>
      <c r="G3413" s="68">
        <v>900</v>
      </c>
    </row>
    <row r="3414" spans="1:7" x14ac:dyDescent="0.3">
      <c r="A3414" t="s">
        <v>977</v>
      </c>
      <c r="B3414" t="s">
        <v>37</v>
      </c>
      <c r="C3414" t="s">
        <v>24</v>
      </c>
      <c r="D3414" t="s">
        <v>20</v>
      </c>
      <c r="E3414" s="68">
        <v>356</v>
      </c>
      <c r="F3414" s="68">
        <v>302</v>
      </c>
      <c r="G3414" s="68">
        <v>658</v>
      </c>
    </row>
    <row r="3415" spans="1:7" x14ac:dyDescent="0.3">
      <c r="A3415" t="s">
        <v>977</v>
      </c>
      <c r="B3415" t="s">
        <v>37</v>
      </c>
      <c r="C3415" t="s">
        <v>24</v>
      </c>
      <c r="D3415" t="s">
        <v>21</v>
      </c>
      <c r="E3415" s="68">
        <v>249</v>
      </c>
      <c r="F3415" s="68">
        <v>206</v>
      </c>
      <c r="G3415" s="68">
        <v>455</v>
      </c>
    </row>
    <row r="3416" spans="1:7" x14ac:dyDescent="0.3">
      <c r="A3416" t="s">
        <v>977</v>
      </c>
      <c r="B3416" t="s">
        <v>37</v>
      </c>
      <c r="C3416" t="s">
        <v>24</v>
      </c>
      <c r="D3416" t="s">
        <v>22</v>
      </c>
      <c r="E3416" s="68">
        <v>172</v>
      </c>
      <c r="F3416" s="68">
        <v>152</v>
      </c>
      <c r="G3416" s="68">
        <v>324</v>
      </c>
    </row>
    <row r="3417" spans="1:7" x14ac:dyDescent="0.3">
      <c r="A3417" t="s">
        <v>977</v>
      </c>
      <c r="B3417" t="s">
        <v>37</v>
      </c>
      <c r="C3417" t="s">
        <v>24</v>
      </c>
      <c r="D3417" t="s">
        <v>23</v>
      </c>
      <c r="E3417" s="68">
        <v>237</v>
      </c>
      <c r="F3417" s="68">
        <v>164</v>
      </c>
      <c r="G3417" s="68">
        <v>401</v>
      </c>
    </row>
    <row r="3418" spans="1:7" x14ac:dyDescent="0.3">
      <c r="A3418" t="s">
        <v>977</v>
      </c>
      <c r="B3418" t="s">
        <v>35</v>
      </c>
      <c r="C3418" t="s">
        <v>6</v>
      </c>
      <c r="D3418" t="s">
        <v>7</v>
      </c>
      <c r="E3418" s="68">
        <v>1</v>
      </c>
      <c r="F3418" s="68">
        <v>1</v>
      </c>
      <c r="G3418" s="68">
        <v>2</v>
      </c>
    </row>
    <row r="3419" spans="1:7" x14ac:dyDescent="0.3">
      <c r="A3419" t="s">
        <v>977</v>
      </c>
      <c r="B3419" t="s">
        <v>35</v>
      </c>
      <c r="C3419" t="s">
        <v>6</v>
      </c>
      <c r="D3419" t="s">
        <v>8</v>
      </c>
      <c r="E3419" s="68">
        <v>3</v>
      </c>
      <c r="F3419" s="68"/>
      <c r="G3419" s="68">
        <v>3</v>
      </c>
    </row>
    <row r="3420" spans="1:7" x14ac:dyDescent="0.3">
      <c r="A3420" t="s">
        <v>977</v>
      </c>
      <c r="B3420" t="s">
        <v>35</v>
      </c>
      <c r="C3420" t="s">
        <v>6</v>
      </c>
      <c r="D3420" t="s">
        <v>9</v>
      </c>
      <c r="E3420" s="68">
        <v>5</v>
      </c>
      <c r="F3420" s="68">
        <v>1</v>
      </c>
      <c r="G3420" s="68">
        <v>6</v>
      </c>
    </row>
    <row r="3421" spans="1:7" x14ac:dyDescent="0.3">
      <c r="A3421" t="s">
        <v>977</v>
      </c>
      <c r="B3421" t="s">
        <v>35</v>
      </c>
      <c r="C3421" t="s">
        <v>6</v>
      </c>
      <c r="D3421" t="s">
        <v>10</v>
      </c>
      <c r="E3421" s="68">
        <v>7</v>
      </c>
      <c r="F3421" s="68">
        <v>6</v>
      </c>
      <c r="G3421" s="68">
        <v>13</v>
      </c>
    </row>
    <row r="3422" spans="1:7" x14ac:dyDescent="0.3">
      <c r="A3422" t="s">
        <v>977</v>
      </c>
      <c r="B3422" t="s">
        <v>35</v>
      </c>
      <c r="C3422" t="s">
        <v>6</v>
      </c>
      <c r="D3422" t="s">
        <v>11</v>
      </c>
      <c r="E3422" s="68">
        <v>4</v>
      </c>
      <c r="F3422" s="68">
        <v>3</v>
      </c>
      <c r="G3422" s="68">
        <v>7</v>
      </c>
    </row>
    <row r="3423" spans="1:7" x14ac:dyDescent="0.3">
      <c r="A3423" t="s">
        <v>977</v>
      </c>
      <c r="B3423" t="s">
        <v>35</v>
      </c>
      <c r="C3423" t="s">
        <v>6</v>
      </c>
      <c r="D3423" t="s">
        <v>12</v>
      </c>
      <c r="E3423" s="68">
        <v>1</v>
      </c>
      <c r="F3423" s="68">
        <v>1</v>
      </c>
      <c r="G3423" s="68">
        <v>2</v>
      </c>
    </row>
    <row r="3424" spans="1:7" x14ac:dyDescent="0.3">
      <c r="A3424" t="s">
        <v>977</v>
      </c>
      <c r="B3424" t="s">
        <v>35</v>
      </c>
      <c r="C3424" t="s">
        <v>6</v>
      </c>
      <c r="D3424" t="s">
        <v>13</v>
      </c>
      <c r="E3424" s="68">
        <v>1</v>
      </c>
      <c r="F3424" s="68">
        <v>1</v>
      </c>
      <c r="G3424" s="68">
        <v>2</v>
      </c>
    </row>
    <row r="3425" spans="1:7" x14ac:dyDescent="0.3">
      <c r="A3425" t="s">
        <v>977</v>
      </c>
      <c r="B3425" t="s">
        <v>35</v>
      </c>
      <c r="C3425" t="s">
        <v>6</v>
      </c>
      <c r="D3425" t="s">
        <v>14</v>
      </c>
      <c r="E3425" s="68">
        <v>1</v>
      </c>
      <c r="F3425" s="68"/>
      <c r="G3425" s="68">
        <v>1</v>
      </c>
    </row>
    <row r="3426" spans="1:7" x14ac:dyDescent="0.3">
      <c r="A3426" t="s">
        <v>977</v>
      </c>
      <c r="B3426" t="s">
        <v>35</v>
      </c>
      <c r="C3426" t="s">
        <v>6</v>
      </c>
      <c r="D3426" t="s">
        <v>15</v>
      </c>
      <c r="E3426" s="68">
        <v>5</v>
      </c>
      <c r="F3426" s="68">
        <v>3</v>
      </c>
      <c r="G3426" s="68">
        <v>8</v>
      </c>
    </row>
    <row r="3427" spans="1:7" x14ac:dyDescent="0.3">
      <c r="A3427" t="s">
        <v>977</v>
      </c>
      <c r="B3427" t="s">
        <v>35</v>
      </c>
      <c r="C3427" t="s">
        <v>6</v>
      </c>
      <c r="D3427" t="s">
        <v>16</v>
      </c>
      <c r="E3427" s="68">
        <v>8</v>
      </c>
      <c r="F3427" s="68">
        <v>1</v>
      </c>
      <c r="G3427" s="68">
        <v>9</v>
      </c>
    </row>
    <row r="3428" spans="1:7" x14ac:dyDescent="0.3">
      <c r="A3428" t="s">
        <v>977</v>
      </c>
      <c r="B3428" t="s">
        <v>35</v>
      </c>
      <c r="C3428" t="s">
        <v>6</v>
      </c>
      <c r="D3428" t="s">
        <v>17</v>
      </c>
      <c r="E3428" s="68">
        <v>8</v>
      </c>
      <c r="F3428" s="68">
        <v>2</v>
      </c>
      <c r="G3428" s="68">
        <v>10</v>
      </c>
    </row>
    <row r="3429" spans="1:7" x14ac:dyDescent="0.3">
      <c r="A3429" t="s">
        <v>977</v>
      </c>
      <c r="B3429" t="s">
        <v>35</v>
      </c>
      <c r="C3429" t="s">
        <v>6</v>
      </c>
      <c r="D3429" t="s">
        <v>18</v>
      </c>
      <c r="E3429" s="68">
        <v>11</v>
      </c>
      <c r="F3429" s="68">
        <v>1</v>
      </c>
      <c r="G3429" s="68">
        <v>12</v>
      </c>
    </row>
    <row r="3430" spans="1:7" x14ac:dyDescent="0.3">
      <c r="A3430" t="s">
        <v>977</v>
      </c>
      <c r="B3430" t="s">
        <v>35</v>
      </c>
      <c r="C3430" t="s">
        <v>6</v>
      </c>
      <c r="D3430" t="s">
        <v>19</v>
      </c>
      <c r="E3430" s="68">
        <v>18</v>
      </c>
      <c r="F3430" s="68">
        <v>1</v>
      </c>
      <c r="G3430" s="68">
        <v>19</v>
      </c>
    </row>
    <row r="3431" spans="1:7" x14ac:dyDescent="0.3">
      <c r="A3431" t="s">
        <v>977</v>
      </c>
      <c r="B3431" t="s">
        <v>35</v>
      </c>
      <c r="C3431" t="s">
        <v>6</v>
      </c>
      <c r="D3431" t="s">
        <v>20</v>
      </c>
      <c r="E3431" s="68">
        <v>36</v>
      </c>
      <c r="F3431" s="68">
        <v>10</v>
      </c>
      <c r="G3431" s="68">
        <v>46</v>
      </c>
    </row>
    <row r="3432" spans="1:7" x14ac:dyDescent="0.3">
      <c r="A3432" t="s">
        <v>977</v>
      </c>
      <c r="B3432" t="s">
        <v>35</v>
      </c>
      <c r="C3432" t="s">
        <v>6</v>
      </c>
      <c r="D3432" t="s">
        <v>21</v>
      </c>
      <c r="E3432" s="68">
        <v>47</v>
      </c>
      <c r="F3432" s="68">
        <v>25</v>
      </c>
      <c r="G3432" s="68">
        <v>72</v>
      </c>
    </row>
    <row r="3433" spans="1:7" x14ac:dyDescent="0.3">
      <c r="A3433" t="s">
        <v>977</v>
      </c>
      <c r="B3433" t="s">
        <v>35</v>
      </c>
      <c r="C3433" t="s">
        <v>6</v>
      </c>
      <c r="D3433" t="s">
        <v>22</v>
      </c>
      <c r="E3433" s="68">
        <v>36</v>
      </c>
      <c r="F3433" s="68">
        <v>66</v>
      </c>
      <c r="G3433" s="68">
        <v>102</v>
      </c>
    </row>
    <row r="3434" spans="1:7" x14ac:dyDescent="0.3">
      <c r="A3434" t="s">
        <v>977</v>
      </c>
      <c r="B3434" t="s">
        <v>35</v>
      </c>
      <c r="C3434" t="s">
        <v>6</v>
      </c>
      <c r="D3434" t="s">
        <v>23</v>
      </c>
      <c r="E3434" s="68">
        <v>49</v>
      </c>
      <c r="F3434" s="68">
        <v>43</v>
      </c>
      <c r="G3434" s="68">
        <v>92</v>
      </c>
    </row>
    <row r="3435" spans="1:7" x14ac:dyDescent="0.3">
      <c r="A3435" t="s">
        <v>977</v>
      </c>
      <c r="B3435" t="s">
        <v>588</v>
      </c>
      <c r="C3435" t="s">
        <v>6</v>
      </c>
      <c r="D3435" t="s">
        <v>7</v>
      </c>
      <c r="E3435" s="68">
        <v>18</v>
      </c>
      <c r="F3435" s="68">
        <v>30</v>
      </c>
      <c r="G3435" s="68">
        <v>48</v>
      </c>
    </row>
    <row r="3436" spans="1:7" x14ac:dyDescent="0.3">
      <c r="A3436" t="s">
        <v>977</v>
      </c>
      <c r="B3436" t="s">
        <v>588</v>
      </c>
      <c r="C3436" t="s">
        <v>6</v>
      </c>
      <c r="D3436" t="s">
        <v>8</v>
      </c>
      <c r="E3436" s="68">
        <v>29</v>
      </c>
      <c r="F3436" s="68">
        <v>35</v>
      </c>
      <c r="G3436" s="68">
        <v>64</v>
      </c>
    </row>
    <row r="3437" spans="1:7" x14ac:dyDescent="0.3">
      <c r="A3437" t="s">
        <v>977</v>
      </c>
      <c r="B3437" t="s">
        <v>588</v>
      </c>
      <c r="C3437" t="s">
        <v>6</v>
      </c>
      <c r="D3437" t="s">
        <v>9</v>
      </c>
      <c r="E3437" s="68">
        <v>43</v>
      </c>
      <c r="F3437" s="68">
        <v>35</v>
      </c>
      <c r="G3437" s="68">
        <v>78</v>
      </c>
    </row>
    <row r="3438" spans="1:7" x14ac:dyDescent="0.3">
      <c r="A3438" t="s">
        <v>977</v>
      </c>
      <c r="B3438" t="s">
        <v>588</v>
      </c>
      <c r="C3438" t="s">
        <v>6</v>
      </c>
      <c r="D3438" t="s">
        <v>10</v>
      </c>
      <c r="E3438" s="68">
        <v>40</v>
      </c>
      <c r="F3438" s="68">
        <v>42</v>
      </c>
      <c r="G3438" s="68">
        <v>82</v>
      </c>
    </row>
    <row r="3439" spans="1:7" x14ac:dyDescent="0.3">
      <c r="A3439" t="s">
        <v>977</v>
      </c>
      <c r="B3439" t="s">
        <v>588</v>
      </c>
      <c r="C3439" t="s">
        <v>6</v>
      </c>
      <c r="D3439" t="s">
        <v>11</v>
      </c>
      <c r="E3439" s="68">
        <v>48</v>
      </c>
      <c r="F3439" s="68">
        <v>73</v>
      </c>
      <c r="G3439" s="68">
        <v>121</v>
      </c>
    </row>
    <row r="3440" spans="1:7" x14ac:dyDescent="0.3">
      <c r="A3440" t="s">
        <v>977</v>
      </c>
      <c r="B3440" t="s">
        <v>588</v>
      </c>
      <c r="C3440" t="s">
        <v>6</v>
      </c>
      <c r="D3440" t="s">
        <v>12</v>
      </c>
      <c r="E3440" s="68">
        <v>59</v>
      </c>
      <c r="F3440" s="68">
        <v>79</v>
      </c>
      <c r="G3440" s="68">
        <v>138</v>
      </c>
    </row>
    <row r="3441" spans="1:7" x14ac:dyDescent="0.3">
      <c r="A3441" t="s">
        <v>977</v>
      </c>
      <c r="B3441" t="s">
        <v>588</v>
      </c>
      <c r="C3441" t="s">
        <v>6</v>
      </c>
      <c r="D3441" t="s">
        <v>13</v>
      </c>
      <c r="E3441" s="68">
        <v>66</v>
      </c>
      <c r="F3441" s="68">
        <v>87</v>
      </c>
      <c r="G3441" s="68">
        <v>153</v>
      </c>
    </row>
    <row r="3442" spans="1:7" x14ac:dyDescent="0.3">
      <c r="A3442" t="s">
        <v>977</v>
      </c>
      <c r="B3442" t="s">
        <v>588</v>
      </c>
      <c r="C3442" t="s">
        <v>6</v>
      </c>
      <c r="D3442" t="s">
        <v>14</v>
      </c>
      <c r="E3442" s="68">
        <v>46</v>
      </c>
      <c r="F3442" s="68">
        <v>82</v>
      </c>
      <c r="G3442" s="68">
        <v>128</v>
      </c>
    </row>
    <row r="3443" spans="1:7" x14ac:dyDescent="0.3">
      <c r="A3443" t="s">
        <v>977</v>
      </c>
      <c r="B3443" t="s">
        <v>588</v>
      </c>
      <c r="C3443" t="s">
        <v>6</v>
      </c>
      <c r="D3443" t="s">
        <v>15</v>
      </c>
      <c r="E3443" s="68">
        <v>48</v>
      </c>
      <c r="F3443" s="68">
        <v>65</v>
      </c>
      <c r="G3443" s="68">
        <v>113</v>
      </c>
    </row>
    <row r="3444" spans="1:7" x14ac:dyDescent="0.3">
      <c r="A3444" t="s">
        <v>977</v>
      </c>
      <c r="B3444" t="s">
        <v>588</v>
      </c>
      <c r="C3444" t="s">
        <v>6</v>
      </c>
      <c r="D3444" t="s">
        <v>16</v>
      </c>
      <c r="E3444" s="68">
        <v>39</v>
      </c>
      <c r="F3444" s="68">
        <v>51</v>
      </c>
      <c r="G3444" s="68">
        <v>90</v>
      </c>
    </row>
    <row r="3445" spans="1:7" x14ac:dyDescent="0.3">
      <c r="A3445" t="s">
        <v>977</v>
      </c>
      <c r="B3445" t="s">
        <v>588</v>
      </c>
      <c r="C3445" t="s">
        <v>6</v>
      </c>
      <c r="D3445" t="s">
        <v>17</v>
      </c>
      <c r="E3445" s="68">
        <v>26</v>
      </c>
      <c r="F3445" s="68">
        <v>61</v>
      </c>
      <c r="G3445" s="68">
        <v>87</v>
      </c>
    </row>
    <row r="3446" spans="1:7" x14ac:dyDescent="0.3">
      <c r="A3446" t="s">
        <v>977</v>
      </c>
      <c r="B3446" t="s">
        <v>588</v>
      </c>
      <c r="C3446" t="s">
        <v>6</v>
      </c>
      <c r="D3446" t="s">
        <v>18</v>
      </c>
      <c r="E3446" s="68">
        <v>22</v>
      </c>
      <c r="F3446" s="68">
        <v>34</v>
      </c>
      <c r="G3446" s="68">
        <v>56</v>
      </c>
    </row>
    <row r="3447" spans="1:7" x14ac:dyDescent="0.3">
      <c r="A3447" t="s">
        <v>977</v>
      </c>
      <c r="B3447" t="s">
        <v>588</v>
      </c>
      <c r="C3447" t="s">
        <v>6</v>
      </c>
      <c r="D3447" t="s">
        <v>19</v>
      </c>
      <c r="E3447" s="68">
        <v>19</v>
      </c>
      <c r="F3447" s="68">
        <v>31</v>
      </c>
      <c r="G3447" s="68">
        <v>50</v>
      </c>
    </row>
    <row r="3448" spans="1:7" x14ac:dyDescent="0.3">
      <c r="A3448" t="s">
        <v>977</v>
      </c>
      <c r="B3448" t="s">
        <v>588</v>
      </c>
      <c r="C3448" t="s">
        <v>6</v>
      </c>
      <c r="D3448" t="s">
        <v>20</v>
      </c>
      <c r="E3448" s="68">
        <v>15</v>
      </c>
      <c r="F3448" s="68">
        <v>23</v>
      </c>
      <c r="G3448" s="68">
        <v>38</v>
      </c>
    </row>
    <row r="3449" spans="1:7" x14ac:dyDescent="0.3">
      <c r="A3449" t="s">
        <v>977</v>
      </c>
      <c r="B3449" t="s">
        <v>588</v>
      </c>
      <c r="C3449" t="s">
        <v>6</v>
      </c>
      <c r="D3449" t="s">
        <v>21</v>
      </c>
      <c r="E3449" s="68">
        <v>16</v>
      </c>
      <c r="F3449" s="68">
        <v>12</v>
      </c>
      <c r="G3449" s="68">
        <v>28</v>
      </c>
    </row>
    <row r="3450" spans="1:7" x14ac:dyDescent="0.3">
      <c r="A3450" t="s">
        <v>977</v>
      </c>
      <c r="B3450" t="s">
        <v>588</v>
      </c>
      <c r="C3450" t="s">
        <v>6</v>
      </c>
      <c r="D3450" t="s">
        <v>22</v>
      </c>
      <c r="E3450" s="68">
        <v>3</v>
      </c>
      <c r="F3450" s="68">
        <v>2</v>
      </c>
      <c r="G3450" s="68">
        <v>5</v>
      </c>
    </row>
    <row r="3451" spans="1:7" x14ac:dyDescent="0.3">
      <c r="A3451" t="s">
        <v>977</v>
      </c>
      <c r="B3451" t="s">
        <v>588</v>
      </c>
      <c r="C3451" t="s">
        <v>6</v>
      </c>
      <c r="D3451" t="s">
        <v>23</v>
      </c>
      <c r="E3451" s="68">
        <v>7</v>
      </c>
      <c r="F3451" s="68">
        <v>10</v>
      </c>
      <c r="G3451" s="68">
        <v>17</v>
      </c>
    </row>
    <row r="3452" spans="1:7" x14ac:dyDescent="0.3">
      <c r="A3452" t="s">
        <v>977</v>
      </c>
      <c r="B3452" t="s">
        <v>588</v>
      </c>
      <c r="C3452" t="s">
        <v>24</v>
      </c>
      <c r="D3452" t="s">
        <v>7</v>
      </c>
      <c r="E3452" s="68">
        <v>398</v>
      </c>
      <c r="F3452" s="68">
        <v>390</v>
      </c>
      <c r="G3452" s="68">
        <v>788</v>
      </c>
    </row>
    <row r="3453" spans="1:7" x14ac:dyDescent="0.3">
      <c r="A3453" t="s">
        <v>977</v>
      </c>
      <c r="B3453" t="s">
        <v>588</v>
      </c>
      <c r="C3453" t="s">
        <v>24</v>
      </c>
      <c r="D3453" t="s">
        <v>8</v>
      </c>
      <c r="E3453" s="68">
        <v>527</v>
      </c>
      <c r="F3453" s="68">
        <v>547</v>
      </c>
      <c r="G3453" s="68">
        <v>1074</v>
      </c>
    </row>
    <row r="3454" spans="1:7" x14ac:dyDescent="0.3">
      <c r="A3454" t="s">
        <v>977</v>
      </c>
      <c r="B3454" t="s">
        <v>588</v>
      </c>
      <c r="C3454" t="s">
        <v>24</v>
      </c>
      <c r="D3454" t="s">
        <v>9</v>
      </c>
      <c r="E3454" s="68">
        <v>536</v>
      </c>
      <c r="F3454" s="68">
        <v>495</v>
      </c>
      <c r="G3454" s="68">
        <v>1031</v>
      </c>
    </row>
    <row r="3455" spans="1:7" x14ac:dyDescent="0.3">
      <c r="A3455" t="s">
        <v>977</v>
      </c>
      <c r="B3455" t="s">
        <v>588</v>
      </c>
      <c r="C3455" t="s">
        <v>24</v>
      </c>
      <c r="D3455" t="s">
        <v>10</v>
      </c>
      <c r="E3455" s="68">
        <v>479</v>
      </c>
      <c r="F3455" s="68">
        <v>467</v>
      </c>
      <c r="G3455" s="68">
        <v>946</v>
      </c>
    </row>
    <row r="3456" spans="1:7" x14ac:dyDescent="0.3">
      <c r="A3456" t="s">
        <v>977</v>
      </c>
      <c r="B3456" t="s">
        <v>588</v>
      </c>
      <c r="C3456" t="s">
        <v>24</v>
      </c>
      <c r="D3456" t="s">
        <v>11</v>
      </c>
      <c r="E3456" s="68">
        <v>438</v>
      </c>
      <c r="F3456" s="68">
        <v>343</v>
      </c>
      <c r="G3456" s="68">
        <v>781</v>
      </c>
    </row>
    <row r="3457" spans="1:7" x14ac:dyDescent="0.3">
      <c r="A3457" t="s">
        <v>977</v>
      </c>
      <c r="B3457" t="s">
        <v>588</v>
      </c>
      <c r="C3457" t="s">
        <v>24</v>
      </c>
      <c r="D3457" t="s">
        <v>12</v>
      </c>
      <c r="E3457" s="68">
        <v>527</v>
      </c>
      <c r="F3457" s="68">
        <v>398</v>
      </c>
      <c r="G3457" s="68">
        <v>925</v>
      </c>
    </row>
    <row r="3458" spans="1:7" x14ac:dyDescent="0.3">
      <c r="A3458" t="s">
        <v>977</v>
      </c>
      <c r="B3458" t="s">
        <v>588</v>
      </c>
      <c r="C3458" t="s">
        <v>24</v>
      </c>
      <c r="D3458" t="s">
        <v>13</v>
      </c>
      <c r="E3458" s="68">
        <v>581</v>
      </c>
      <c r="F3458" s="68">
        <v>523</v>
      </c>
      <c r="G3458" s="68">
        <v>1104</v>
      </c>
    </row>
    <row r="3459" spans="1:7" x14ac:dyDescent="0.3">
      <c r="A3459" t="s">
        <v>977</v>
      </c>
      <c r="B3459" t="s">
        <v>588</v>
      </c>
      <c r="C3459" t="s">
        <v>24</v>
      </c>
      <c r="D3459" t="s">
        <v>14</v>
      </c>
      <c r="E3459" s="68">
        <v>501</v>
      </c>
      <c r="F3459" s="68">
        <v>415</v>
      </c>
      <c r="G3459" s="68">
        <v>916</v>
      </c>
    </row>
    <row r="3460" spans="1:7" x14ac:dyDescent="0.3">
      <c r="A3460" t="s">
        <v>977</v>
      </c>
      <c r="B3460" t="s">
        <v>588</v>
      </c>
      <c r="C3460" t="s">
        <v>24</v>
      </c>
      <c r="D3460" t="s">
        <v>15</v>
      </c>
      <c r="E3460" s="68">
        <v>458</v>
      </c>
      <c r="F3460" s="68">
        <v>394</v>
      </c>
      <c r="G3460" s="68">
        <v>852</v>
      </c>
    </row>
    <row r="3461" spans="1:7" x14ac:dyDescent="0.3">
      <c r="A3461" t="s">
        <v>977</v>
      </c>
      <c r="B3461" t="s">
        <v>588</v>
      </c>
      <c r="C3461" t="s">
        <v>24</v>
      </c>
      <c r="D3461" t="s">
        <v>16</v>
      </c>
      <c r="E3461" s="68">
        <v>429</v>
      </c>
      <c r="F3461" s="68">
        <v>393</v>
      </c>
      <c r="G3461" s="68">
        <v>822</v>
      </c>
    </row>
    <row r="3462" spans="1:7" x14ac:dyDescent="0.3">
      <c r="A3462" t="s">
        <v>977</v>
      </c>
      <c r="B3462" t="s">
        <v>588</v>
      </c>
      <c r="C3462" t="s">
        <v>24</v>
      </c>
      <c r="D3462" t="s">
        <v>17</v>
      </c>
      <c r="E3462" s="68">
        <v>368</v>
      </c>
      <c r="F3462" s="68">
        <v>331</v>
      </c>
      <c r="G3462" s="68">
        <v>699</v>
      </c>
    </row>
    <row r="3463" spans="1:7" x14ac:dyDescent="0.3">
      <c r="A3463" t="s">
        <v>977</v>
      </c>
      <c r="B3463" t="s">
        <v>588</v>
      </c>
      <c r="C3463" t="s">
        <v>24</v>
      </c>
      <c r="D3463" t="s">
        <v>18</v>
      </c>
      <c r="E3463" s="68">
        <v>370</v>
      </c>
      <c r="F3463" s="68">
        <v>289</v>
      </c>
      <c r="G3463" s="68">
        <v>659</v>
      </c>
    </row>
    <row r="3464" spans="1:7" x14ac:dyDescent="0.3">
      <c r="A3464" t="s">
        <v>977</v>
      </c>
      <c r="B3464" t="s">
        <v>588</v>
      </c>
      <c r="C3464" t="s">
        <v>24</v>
      </c>
      <c r="D3464" t="s">
        <v>19</v>
      </c>
      <c r="E3464" s="68">
        <v>269</v>
      </c>
      <c r="F3464" s="68">
        <v>250</v>
      </c>
      <c r="G3464" s="68">
        <v>519</v>
      </c>
    </row>
    <row r="3465" spans="1:7" x14ac:dyDescent="0.3">
      <c r="A3465" t="s">
        <v>977</v>
      </c>
      <c r="B3465" t="s">
        <v>588</v>
      </c>
      <c r="C3465" t="s">
        <v>24</v>
      </c>
      <c r="D3465" t="s">
        <v>20</v>
      </c>
      <c r="E3465" s="68">
        <v>200</v>
      </c>
      <c r="F3465" s="68">
        <v>185</v>
      </c>
      <c r="G3465" s="68">
        <v>385</v>
      </c>
    </row>
    <row r="3466" spans="1:7" x14ac:dyDescent="0.3">
      <c r="A3466" t="s">
        <v>977</v>
      </c>
      <c r="B3466" t="s">
        <v>588</v>
      </c>
      <c r="C3466" t="s">
        <v>24</v>
      </c>
      <c r="D3466" t="s">
        <v>21</v>
      </c>
      <c r="E3466" s="68">
        <v>144</v>
      </c>
      <c r="F3466" s="68">
        <v>137</v>
      </c>
      <c r="G3466" s="68">
        <v>281</v>
      </c>
    </row>
    <row r="3467" spans="1:7" x14ac:dyDescent="0.3">
      <c r="A3467" t="s">
        <v>977</v>
      </c>
      <c r="B3467" t="s">
        <v>588</v>
      </c>
      <c r="C3467" t="s">
        <v>24</v>
      </c>
      <c r="D3467" t="s">
        <v>22</v>
      </c>
      <c r="E3467" s="68">
        <v>99</v>
      </c>
      <c r="F3467" s="68">
        <v>84</v>
      </c>
      <c r="G3467" s="68">
        <v>183</v>
      </c>
    </row>
    <row r="3468" spans="1:7" x14ac:dyDescent="0.3">
      <c r="A3468" t="s">
        <v>977</v>
      </c>
      <c r="B3468" t="s">
        <v>588</v>
      </c>
      <c r="C3468" t="s">
        <v>24</v>
      </c>
      <c r="D3468" t="s">
        <v>23</v>
      </c>
      <c r="E3468" s="68">
        <v>119</v>
      </c>
      <c r="F3468" s="68">
        <v>89</v>
      </c>
      <c r="G3468" s="68">
        <v>208</v>
      </c>
    </row>
    <row r="3469" spans="1:7" x14ac:dyDescent="0.3">
      <c r="A3469" t="s">
        <v>977</v>
      </c>
      <c r="B3469" t="s">
        <v>26</v>
      </c>
      <c r="C3469" t="s">
        <v>6</v>
      </c>
      <c r="D3469" t="s">
        <v>7</v>
      </c>
      <c r="E3469" s="68">
        <v>2492</v>
      </c>
      <c r="F3469" s="68">
        <v>2627</v>
      </c>
      <c r="G3469" s="68">
        <v>5119</v>
      </c>
    </row>
    <row r="3470" spans="1:7" x14ac:dyDescent="0.3">
      <c r="A3470" t="s">
        <v>977</v>
      </c>
      <c r="B3470" t="s">
        <v>26</v>
      </c>
      <c r="C3470" t="s">
        <v>6</v>
      </c>
      <c r="D3470" t="s">
        <v>8</v>
      </c>
      <c r="E3470" s="68">
        <v>3170</v>
      </c>
      <c r="F3470" s="68">
        <v>3264</v>
      </c>
      <c r="G3470" s="68">
        <v>6434</v>
      </c>
    </row>
    <row r="3471" spans="1:7" x14ac:dyDescent="0.3">
      <c r="A3471" t="s">
        <v>977</v>
      </c>
      <c r="B3471" t="s">
        <v>26</v>
      </c>
      <c r="C3471" t="s">
        <v>6</v>
      </c>
      <c r="D3471" t="s">
        <v>9</v>
      </c>
      <c r="E3471" s="68">
        <v>3093</v>
      </c>
      <c r="F3471" s="68">
        <v>3245</v>
      </c>
      <c r="G3471" s="68">
        <v>6338</v>
      </c>
    </row>
    <row r="3472" spans="1:7" x14ac:dyDescent="0.3">
      <c r="A3472" t="s">
        <v>977</v>
      </c>
      <c r="B3472" t="s">
        <v>26</v>
      </c>
      <c r="C3472" t="s">
        <v>6</v>
      </c>
      <c r="D3472" t="s">
        <v>10</v>
      </c>
      <c r="E3472" s="68">
        <v>2917</v>
      </c>
      <c r="F3472" s="68">
        <v>3159</v>
      </c>
      <c r="G3472" s="68">
        <v>6076</v>
      </c>
    </row>
    <row r="3473" spans="1:7" x14ac:dyDescent="0.3">
      <c r="A3473" t="s">
        <v>977</v>
      </c>
      <c r="B3473" t="s">
        <v>26</v>
      </c>
      <c r="C3473" t="s">
        <v>6</v>
      </c>
      <c r="D3473" t="s">
        <v>11</v>
      </c>
      <c r="E3473" s="68">
        <v>3423</v>
      </c>
      <c r="F3473" s="68">
        <v>4693</v>
      </c>
      <c r="G3473" s="68">
        <v>8116</v>
      </c>
    </row>
    <row r="3474" spans="1:7" x14ac:dyDescent="0.3">
      <c r="A3474" t="s">
        <v>977</v>
      </c>
      <c r="B3474" t="s">
        <v>26</v>
      </c>
      <c r="C3474" t="s">
        <v>6</v>
      </c>
      <c r="D3474" t="s">
        <v>12</v>
      </c>
      <c r="E3474" s="68">
        <v>3866</v>
      </c>
      <c r="F3474" s="68">
        <v>5512</v>
      </c>
      <c r="G3474" s="68">
        <v>9378</v>
      </c>
    </row>
    <row r="3475" spans="1:7" x14ac:dyDescent="0.3">
      <c r="A3475" t="s">
        <v>977</v>
      </c>
      <c r="B3475" t="s">
        <v>26</v>
      </c>
      <c r="C3475" t="s">
        <v>6</v>
      </c>
      <c r="D3475" t="s">
        <v>13</v>
      </c>
      <c r="E3475" s="68">
        <v>4039</v>
      </c>
      <c r="F3475" s="68">
        <v>6003</v>
      </c>
      <c r="G3475" s="68">
        <v>10042</v>
      </c>
    </row>
    <row r="3476" spans="1:7" x14ac:dyDescent="0.3">
      <c r="A3476" t="s">
        <v>977</v>
      </c>
      <c r="B3476" t="s">
        <v>26</v>
      </c>
      <c r="C3476" t="s">
        <v>6</v>
      </c>
      <c r="D3476" t="s">
        <v>14</v>
      </c>
      <c r="E3476" s="68">
        <v>3658</v>
      </c>
      <c r="F3476" s="68">
        <v>5280</v>
      </c>
      <c r="G3476" s="68">
        <v>8938</v>
      </c>
    </row>
    <row r="3477" spans="1:7" x14ac:dyDescent="0.3">
      <c r="A3477" t="s">
        <v>977</v>
      </c>
      <c r="B3477" t="s">
        <v>26</v>
      </c>
      <c r="C3477" t="s">
        <v>6</v>
      </c>
      <c r="D3477" t="s">
        <v>15</v>
      </c>
      <c r="E3477" s="68">
        <v>3191</v>
      </c>
      <c r="F3477" s="68">
        <v>4402</v>
      </c>
      <c r="G3477" s="68">
        <v>7593</v>
      </c>
    </row>
    <row r="3478" spans="1:7" x14ac:dyDescent="0.3">
      <c r="A3478" t="s">
        <v>977</v>
      </c>
      <c r="B3478" t="s">
        <v>26</v>
      </c>
      <c r="C3478" t="s">
        <v>6</v>
      </c>
      <c r="D3478" t="s">
        <v>16</v>
      </c>
      <c r="E3478" s="68">
        <v>2845</v>
      </c>
      <c r="F3478" s="68">
        <v>3754</v>
      </c>
      <c r="G3478" s="68">
        <v>6599</v>
      </c>
    </row>
    <row r="3479" spans="1:7" x14ac:dyDescent="0.3">
      <c r="A3479" t="s">
        <v>977</v>
      </c>
      <c r="B3479" t="s">
        <v>26</v>
      </c>
      <c r="C3479" t="s">
        <v>6</v>
      </c>
      <c r="D3479" t="s">
        <v>17</v>
      </c>
      <c r="E3479" s="68">
        <v>2472</v>
      </c>
      <c r="F3479" s="68">
        <v>3208</v>
      </c>
      <c r="G3479" s="68">
        <v>5680</v>
      </c>
    </row>
    <row r="3480" spans="1:7" x14ac:dyDescent="0.3">
      <c r="A3480" t="s">
        <v>977</v>
      </c>
      <c r="B3480" t="s">
        <v>26</v>
      </c>
      <c r="C3480" t="s">
        <v>6</v>
      </c>
      <c r="D3480" t="s">
        <v>18</v>
      </c>
      <c r="E3480" s="68">
        <v>2353</v>
      </c>
      <c r="F3480" s="68">
        <v>2579</v>
      </c>
      <c r="G3480" s="68">
        <v>4932</v>
      </c>
    </row>
    <row r="3481" spans="1:7" x14ac:dyDescent="0.3">
      <c r="A3481" t="s">
        <v>977</v>
      </c>
      <c r="B3481" t="s">
        <v>26</v>
      </c>
      <c r="C3481" t="s">
        <v>6</v>
      </c>
      <c r="D3481" t="s">
        <v>19</v>
      </c>
      <c r="E3481" s="68">
        <v>2212</v>
      </c>
      <c r="F3481" s="68">
        <v>2203</v>
      </c>
      <c r="G3481" s="68">
        <v>4415</v>
      </c>
    </row>
    <row r="3482" spans="1:7" x14ac:dyDescent="0.3">
      <c r="A3482" t="s">
        <v>977</v>
      </c>
      <c r="B3482" t="s">
        <v>26</v>
      </c>
      <c r="C3482" t="s">
        <v>6</v>
      </c>
      <c r="D3482" t="s">
        <v>20</v>
      </c>
      <c r="E3482" s="68">
        <v>1693</v>
      </c>
      <c r="F3482" s="68">
        <v>1604</v>
      </c>
      <c r="G3482" s="68">
        <v>3297</v>
      </c>
    </row>
    <row r="3483" spans="1:7" x14ac:dyDescent="0.3">
      <c r="A3483" t="s">
        <v>977</v>
      </c>
      <c r="B3483" t="s">
        <v>26</v>
      </c>
      <c r="C3483" t="s">
        <v>6</v>
      </c>
      <c r="D3483" t="s">
        <v>21</v>
      </c>
      <c r="E3483" s="68">
        <v>1459</v>
      </c>
      <c r="F3483" s="68">
        <v>1192</v>
      </c>
      <c r="G3483" s="68">
        <v>2651</v>
      </c>
    </row>
    <row r="3484" spans="1:7" x14ac:dyDescent="0.3">
      <c r="A3484" t="s">
        <v>977</v>
      </c>
      <c r="B3484" t="s">
        <v>26</v>
      </c>
      <c r="C3484" t="s">
        <v>6</v>
      </c>
      <c r="D3484" t="s">
        <v>22</v>
      </c>
      <c r="E3484" s="68">
        <v>1008</v>
      </c>
      <c r="F3484" s="68">
        <v>852</v>
      </c>
      <c r="G3484" s="68">
        <v>1860</v>
      </c>
    </row>
    <row r="3485" spans="1:7" x14ac:dyDescent="0.3">
      <c r="A3485" t="s">
        <v>977</v>
      </c>
      <c r="B3485" t="s">
        <v>26</v>
      </c>
      <c r="C3485" t="s">
        <v>6</v>
      </c>
      <c r="D3485" t="s">
        <v>23</v>
      </c>
      <c r="E3485" s="68">
        <v>1434</v>
      </c>
      <c r="F3485" s="68">
        <v>980</v>
      </c>
      <c r="G3485" s="68">
        <v>2414</v>
      </c>
    </row>
    <row r="3486" spans="1:7" x14ac:dyDescent="0.3">
      <c r="A3486" t="s">
        <v>977</v>
      </c>
      <c r="B3486" t="s">
        <v>26</v>
      </c>
      <c r="C3486" t="s">
        <v>24</v>
      </c>
      <c r="D3486" t="s">
        <v>7</v>
      </c>
      <c r="E3486" s="68">
        <v>12060</v>
      </c>
      <c r="F3486" s="68">
        <v>12802</v>
      </c>
      <c r="G3486" s="68">
        <v>24862</v>
      </c>
    </row>
    <row r="3487" spans="1:7" x14ac:dyDescent="0.3">
      <c r="A3487" t="s">
        <v>977</v>
      </c>
      <c r="B3487" t="s">
        <v>26</v>
      </c>
      <c r="C3487" t="s">
        <v>24</v>
      </c>
      <c r="D3487" t="s">
        <v>8</v>
      </c>
      <c r="E3487" s="68">
        <v>13909</v>
      </c>
      <c r="F3487" s="68">
        <v>14554</v>
      </c>
      <c r="G3487" s="68">
        <v>28463</v>
      </c>
    </row>
    <row r="3488" spans="1:7" x14ac:dyDescent="0.3">
      <c r="A3488" t="s">
        <v>977</v>
      </c>
      <c r="B3488" t="s">
        <v>26</v>
      </c>
      <c r="C3488" t="s">
        <v>24</v>
      </c>
      <c r="D3488" t="s">
        <v>9</v>
      </c>
      <c r="E3488" s="68">
        <v>12494</v>
      </c>
      <c r="F3488" s="68">
        <v>12995</v>
      </c>
      <c r="G3488" s="68">
        <v>25489</v>
      </c>
    </row>
    <row r="3489" spans="1:7" x14ac:dyDescent="0.3">
      <c r="A3489" t="s">
        <v>977</v>
      </c>
      <c r="B3489" t="s">
        <v>26</v>
      </c>
      <c r="C3489" t="s">
        <v>24</v>
      </c>
      <c r="D3489" t="s">
        <v>10</v>
      </c>
      <c r="E3489" s="68">
        <v>13902</v>
      </c>
      <c r="F3489" s="68">
        <v>12957</v>
      </c>
      <c r="G3489" s="68">
        <v>26859</v>
      </c>
    </row>
    <row r="3490" spans="1:7" x14ac:dyDescent="0.3">
      <c r="A3490" t="s">
        <v>977</v>
      </c>
      <c r="B3490" t="s">
        <v>26</v>
      </c>
      <c r="C3490" t="s">
        <v>24</v>
      </c>
      <c r="D3490" t="s">
        <v>11</v>
      </c>
      <c r="E3490" s="68">
        <v>14428</v>
      </c>
      <c r="F3490" s="68">
        <v>10091</v>
      </c>
      <c r="G3490" s="68">
        <v>24519</v>
      </c>
    </row>
    <row r="3491" spans="1:7" x14ac:dyDescent="0.3">
      <c r="A3491" t="s">
        <v>977</v>
      </c>
      <c r="B3491" t="s">
        <v>26</v>
      </c>
      <c r="C3491" t="s">
        <v>24</v>
      </c>
      <c r="D3491" t="s">
        <v>12</v>
      </c>
      <c r="E3491" s="68">
        <v>13855</v>
      </c>
      <c r="F3491" s="68">
        <v>9983</v>
      </c>
      <c r="G3491" s="68">
        <v>23838</v>
      </c>
    </row>
    <row r="3492" spans="1:7" x14ac:dyDescent="0.3">
      <c r="A3492" t="s">
        <v>977</v>
      </c>
      <c r="B3492" t="s">
        <v>26</v>
      </c>
      <c r="C3492" t="s">
        <v>24</v>
      </c>
      <c r="D3492" t="s">
        <v>13</v>
      </c>
      <c r="E3492" s="68">
        <v>12648</v>
      </c>
      <c r="F3492" s="68">
        <v>10140</v>
      </c>
      <c r="G3492" s="68">
        <v>22788</v>
      </c>
    </row>
    <row r="3493" spans="1:7" x14ac:dyDescent="0.3">
      <c r="A3493" t="s">
        <v>977</v>
      </c>
      <c r="B3493" t="s">
        <v>26</v>
      </c>
      <c r="C3493" t="s">
        <v>24</v>
      </c>
      <c r="D3493" t="s">
        <v>14</v>
      </c>
      <c r="E3493" s="68">
        <v>10763</v>
      </c>
      <c r="F3493" s="68">
        <v>8758</v>
      </c>
      <c r="G3493" s="68">
        <v>19521</v>
      </c>
    </row>
    <row r="3494" spans="1:7" x14ac:dyDescent="0.3">
      <c r="A3494" t="s">
        <v>977</v>
      </c>
      <c r="B3494" t="s">
        <v>26</v>
      </c>
      <c r="C3494" t="s">
        <v>24</v>
      </c>
      <c r="D3494" t="s">
        <v>15</v>
      </c>
      <c r="E3494" s="68">
        <v>9545</v>
      </c>
      <c r="F3494" s="68">
        <v>8124</v>
      </c>
      <c r="G3494" s="68">
        <v>17669</v>
      </c>
    </row>
    <row r="3495" spans="1:7" x14ac:dyDescent="0.3">
      <c r="A3495" t="s">
        <v>977</v>
      </c>
      <c r="B3495" t="s">
        <v>26</v>
      </c>
      <c r="C3495" t="s">
        <v>24</v>
      </c>
      <c r="D3495" t="s">
        <v>16</v>
      </c>
      <c r="E3495" s="68">
        <v>9250</v>
      </c>
      <c r="F3495" s="68">
        <v>8177</v>
      </c>
      <c r="G3495" s="68">
        <v>17427</v>
      </c>
    </row>
    <row r="3496" spans="1:7" x14ac:dyDescent="0.3">
      <c r="A3496" t="s">
        <v>977</v>
      </c>
      <c r="B3496" t="s">
        <v>26</v>
      </c>
      <c r="C3496" t="s">
        <v>24</v>
      </c>
      <c r="D3496" t="s">
        <v>17</v>
      </c>
      <c r="E3496" s="68">
        <v>8528</v>
      </c>
      <c r="F3496" s="68">
        <v>7744</v>
      </c>
      <c r="G3496" s="68">
        <v>16272</v>
      </c>
    </row>
    <row r="3497" spans="1:7" x14ac:dyDescent="0.3">
      <c r="A3497" t="s">
        <v>977</v>
      </c>
      <c r="B3497" t="s">
        <v>26</v>
      </c>
      <c r="C3497" t="s">
        <v>24</v>
      </c>
      <c r="D3497" t="s">
        <v>18</v>
      </c>
      <c r="E3497" s="68">
        <v>7509</v>
      </c>
      <c r="F3497" s="68">
        <v>7082</v>
      </c>
      <c r="G3497" s="68">
        <v>14591</v>
      </c>
    </row>
    <row r="3498" spans="1:7" x14ac:dyDescent="0.3">
      <c r="A3498" t="s">
        <v>977</v>
      </c>
      <c r="B3498" t="s">
        <v>26</v>
      </c>
      <c r="C3498" t="s">
        <v>24</v>
      </c>
      <c r="D3498" t="s">
        <v>19</v>
      </c>
      <c r="E3498" s="68">
        <v>6415</v>
      </c>
      <c r="F3498" s="68">
        <v>6225</v>
      </c>
      <c r="G3498" s="68">
        <v>12640</v>
      </c>
    </row>
    <row r="3499" spans="1:7" x14ac:dyDescent="0.3">
      <c r="A3499" t="s">
        <v>977</v>
      </c>
      <c r="B3499" t="s">
        <v>26</v>
      </c>
      <c r="C3499" t="s">
        <v>24</v>
      </c>
      <c r="D3499" t="s">
        <v>20</v>
      </c>
      <c r="E3499" s="68">
        <v>4892</v>
      </c>
      <c r="F3499" s="68">
        <v>5050</v>
      </c>
      <c r="G3499" s="68">
        <v>9942</v>
      </c>
    </row>
    <row r="3500" spans="1:7" x14ac:dyDescent="0.3">
      <c r="A3500" t="s">
        <v>977</v>
      </c>
      <c r="B3500" t="s">
        <v>26</v>
      </c>
      <c r="C3500" t="s">
        <v>24</v>
      </c>
      <c r="D3500" t="s">
        <v>21</v>
      </c>
      <c r="E3500" s="68">
        <v>3604</v>
      </c>
      <c r="F3500" s="68">
        <v>3745</v>
      </c>
      <c r="G3500" s="68">
        <v>7349</v>
      </c>
    </row>
    <row r="3501" spans="1:7" x14ac:dyDescent="0.3">
      <c r="A3501" t="s">
        <v>977</v>
      </c>
      <c r="B3501" t="s">
        <v>26</v>
      </c>
      <c r="C3501" t="s">
        <v>24</v>
      </c>
      <c r="D3501" t="s">
        <v>22</v>
      </c>
      <c r="E3501" s="68">
        <v>2586</v>
      </c>
      <c r="F3501" s="68">
        <v>2813</v>
      </c>
      <c r="G3501" s="68">
        <v>5399</v>
      </c>
    </row>
    <row r="3502" spans="1:7" x14ac:dyDescent="0.3">
      <c r="A3502" t="s">
        <v>977</v>
      </c>
      <c r="B3502" t="s">
        <v>26</v>
      </c>
      <c r="C3502" t="s">
        <v>24</v>
      </c>
      <c r="D3502" t="s">
        <v>23</v>
      </c>
      <c r="E3502" s="68">
        <v>3133</v>
      </c>
      <c r="F3502" s="68">
        <v>3397</v>
      </c>
      <c r="G3502" s="68">
        <v>6530</v>
      </c>
    </row>
    <row r="3503" spans="1:7" x14ac:dyDescent="0.3">
      <c r="A3503" t="s">
        <v>977</v>
      </c>
      <c r="B3503" t="s">
        <v>27</v>
      </c>
      <c r="C3503" t="s">
        <v>28</v>
      </c>
      <c r="D3503" t="s">
        <v>7</v>
      </c>
      <c r="E3503" s="68">
        <v>364</v>
      </c>
      <c r="F3503" s="68">
        <v>354</v>
      </c>
      <c r="G3503" s="68">
        <v>718</v>
      </c>
    </row>
    <row r="3504" spans="1:7" x14ac:dyDescent="0.3">
      <c r="A3504" t="s">
        <v>977</v>
      </c>
      <c r="B3504" t="s">
        <v>27</v>
      </c>
      <c r="C3504" t="s">
        <v>28</v>
      </c>
      <c r="D3504" t="s">
        <v>8</v>
      </c>
      <c r="E3504" s="68">
        <v>477</v>
      </c>
      <c r="F3504" s="68">
        <v>452</v>
      </c>
      <c r="G3504" s="68">
        <v>929</v>
      </c>
    </row>
    <row r="3505" spans="1:7" x14ac:dyDescent="0.3">
      <c r="A3505" t="s">
        <v>977</v>
      </c>
      <c r="B3505" t="s">
        <v>27</v>
      </c>
      <c r="C3505" t="s">
        <v>28</v>
      </c>
      <c r="D3505" t="s">
        <v>9</v>
      </c>
      <c r="E3505" s="68">
        <v>677</v>
      </c>
      <c r="F3505" s="68">
        <v>707</v>
      </c>
      <c r="G3505" s="68">
        <v>1384</v>
      </c>
    </row>
    <row r="3506" spans="1:7" x14ac:dyDescent="0.3">
      <c r="A3506" t="s">
        <v>977</v>
      </c>
      <c r="B3506" t="s">
        <v>27</v>
      </c>
      <c r="C3506" t="s">
        <v>28</v>
      </c>
      <c r="D3506" t="s">
        <v>10</v>
      </c>
      <c r="E3506" s="68">
        <v>927</v>
      </c>
      <c r="F3506" s="68">
        <v>1003</v>
      </c>
      <c r="G3506" s="68">
        <v>1930</v>
      </c>
    </row>
    <row r="3507" spans="1:7" x14ac:dyDescent="0.3">
      <c r="A3507" t="s">
        <v>977</v>
      </c>
      <c r="B3507" t="s">
        <v>27</v>
      </c>
      <c r="C3507" t="s">
        <v>28</v>
      </c>
      <c r="D3507" t="s">
        <v>11</v>
      </c>
      <c r="E3507" s="68">
        <v>839</v>
      </c>
      <c r="F3507" s="68">
        <v>801</v>
      </c>
      <c r="G3507" s="68">
        <v>1640</v>
      </c>
    </row>
    <row r="3508" spans="1:7" x14ac:dyDescent="0.3">
      <c r="A3508" t="s">
        <v>977</v>
      </c>
      <c r="B3508" t="s">
        <v>27</v>
      </c>
      <c r="C3508" t="s">
        <v>28</v>
      </c>
      <c r="D3508" t="s">
        <v>12</v>
      </c>
      <c r="E3508" s="68">
        <v>463</v>
      </c>
      <c r="F3508" s="68">
        <v>342</v>
      </c>
      <c r="G3508" s="68">
        <v>805</v>
      </c>
    </row>
    <row r="3509" spans="1:7" x14ac:dyDescent="0.3">
      <c r="A3509" t="s">
        <v>977</v>
      </c>
      <c r="B3509" t="s">
        <v>27</v>
      </c>
      <c r="C3509" t="s">
        <v>28</v>
      </c>
      <c r="D3509" t="s">
        <v>13</v>
      </c>
      <c r="E3509" s="68">
        <v>691</v>
      </c>
      <c r="F3509" s="68">
        <v>450</v>
      </c>
      <c r="G3509" s="68">
        <v>1141</v>
      </c>
    </row>
    <row r="3510" spans="1:7" x14ac:dyDescent="0.3">
      <c r="A3510" t="s">
        <v>977</v>
      </c>
      <c r="B3510" t="s">
        <v>27</v>
      </c>
      <c r="C3510" t="s">
        <v>28</v>
      </c>
      <c r="D3510" t="s">
        <v>14</v>
      </c>
      <c r="E3510" s="68">
        <v>768</v>
      </c>
      <c r="F3510" s="68">
        <v>499</v>
      </c>
      <c r="G3510" s="68">
        <v>1267</v>
      </c>
    </row>
    <row r="3511" spans="1:7" x14ac:dyDescent="0.3">
      <c r="A3511" t="s">
        <v>977</v>
      </c>
      <c r="B3511" t="s">
        <v>27</v>
      </c>
      <c r="C3511" t="s">
        <v>28</v>
      </c>
      <c r="D3511" t="s">
        <v>15</v>
      </c>
      <c r="E3511" s="68">
        <v>885</v>
      </c>
      <c r="F3511" s="68">
        <v>566</v>
      </c>
      <c r="G3511" s="68">
        <v>1451</v>
      </c>
    </row>
    <row r="3512" spans="1:7" x14ac:dyDescent="0.3">
      <c r="A3512" t="s">
        <v>977</v>
      </c>
      <c r="B3512" t="s">
        <v>27</v>
      </c>
      <c r="C3512" t="s">
        <v>28</v>
      </c>
      <c r="D3512" t="s">
        <v>16</v>
      </c>
      <c r="E3512" s="68">
        <v>981</v>
      </c>
      <c r="F3512" s="68">
        <v>611</v>
      </c>
      <c r="G3512" s="68">
        <v>1592</v>
      </c>
    </row>
    <row r="3513" spans="1:7" x14ac:dyDescent="0.3">
      <c r="A3513" t="s">
        <v>977</v>
      </c>
      <c r="B3513" t="s">
        <v>27</v>
      </c>
      <c r="C3513" t="s">
        <v>28</v>
      </c>
      <c r="D3513" t="s">
        <v>17</v>
      </c>
      <c r="E3513" s="68">
        <v>1343</v>
      </c>
      <c r="F3513" s="68">
        <v>753</v>
      </c>
      <c r="G3513" s="68">
        <v>2096</v>
      </c>
    </row>
    <row r="3514" spans="1:7" x14ac:dyDescent="0.3">
      <c r="A3514" t="s">
        <v>977</v>
      </c>
      <c r="B3514" t="s">
        <v>27</v>
      </c>
      <c r="C3514" t="s">
        <v>28</v>
      </c>
      <c r="D3514" t="s">
        <v>18</v>
      </c>
      <c r="E3514" s="68">
        <v>1674</v>
      </c>
      <c r="F3514" s="68">
        <v>1021</v>
      </c>
      <c r="G3514" s="68">
        <v>2695</v>
      </c>
    </row>
    <row r="3515" spans="1:7" x14ac:dyDescent="0.3">
      <c r="A3515" t="s">
        <v>977</v>
      </c>
      <c r="B3515" t="s">
        <v>27</v>
      </c>
      <c r="C3515" t="s">
        <v>28</v>
      </c>
      <c r="D3515" t="s">
        <v>19</v>
      </c>
      <c r="E3515" s="68">
        <v>1354</v>
      </c>
      <c r="F3515" s="68">
        <v>832</v>
      </c>
      <c r="G3515" s="68">
        <v>2186</v>
      </c>
    </row>
    <row r="3516" spans="1:7" x14ac:dyDescent="0.3">
      <c r="A3516" t="s">
        <v>977</v>
      </c>
      <c r="B3516" t="s">
        <v>27</v>
      </c>
      <c r="C3516" t="s">
        <v>28</v>
      </c>
      <c r="D3516" t="s">
        <v>20</v>
      </c>
      <c r="E3516" s="68">
        <v>1119</v>
      </c>
      <c r="F3516" s="68">
        <v>721</v>
      </c>
      <c r="G3516" s="68">
        <v>1840</v>
      </c>
    </row>
    <row r="3517" spans="1:7" x14ac:dyDescent="0.3">
      <c r="A3517" t="s">
        <v>977</v>
      </c>
      <c r="B3517" t="s">
        <v>27</v>
      </c>
      <c r="C3517" t="s">
        <v>28</v>
      </c>
      <c r="D3517" t="s">
        <v>21</v>
      </c>
      <c r="E3517" s="68">
        <v>929</v>
      </c>
      <c r="F3517" s="68">
        <v>666</v>
      </c>
      <c r="G3517" s="68">
        <v>1595</v>
      </c>
    </row>
    <row r="3518" spans="1:7" x14ac:dyDescent="0.3">
      <c r="A3518" t="s">
        <v>977</v>
      </c>
      <c r="B3518" t="s">
        <v>27</v>
      </c>
      <c r="C3518" t="s">
        <v>28</v>
      </c>
      <c r="D3518" t="s">
        <v>22</v>
      </c>
      <c r="E3518" s="68">
        <v>530</v>
      </c>
      <c r="F3518" s="68">
        <v>395</v>
      </c>
      <c r="G3518" s="68">
        <v>925</v>
      </c>
    </row>
    <row r="3519" spans="1:7" x14ac:dyDescent="0.3">
      <c r="A3519" t="s">
        <v>977</v>
      </c>
      <c r="B3519" t="s">
        <v>27</v>
      </c>
      <c r="C3519" t="s">
        <v>28</v>
      </c>
      <c r="D3519" t="s">
        <v>23</v>
      </c>
      <c r="E3519" s="68">
        <v>402</v>
      </c>
      <c r="F3519" s="68">
        <v>249</v>
      </c>
      <c r="G3519" s="68">
        <v>651</v>
      </c>
    </row>
    <row r="3520" spans="1:7" x14ac:dyDescent="0.3">
      <c r="A3520" t="s">
        <v>977</v>
      </c>
      <c r="B3520" t="s">
        <v>27</v>
      </c>
      <c r="C3520" t="s">
        <v>29</v>
      </c>
      <c r="D3520" t="s">
        <v>11</v>
      </c>
      <c r="E3520" s="68">
        <v>9</v>
      </c>
      <c r="F3520" s="68">
        <v>91</v>
      </c>
      <c r="G3520" s="68">
        <v>100</v>
      </c>
    </row>
    <row r="3521" spans="1:7" x14ac:dyDescent="0.3">
      <c r="A3521" t="s">
        <v>977</v>
      </c>
      <c r="B3521" t="s">
        <v>27</v>
      </c>
      <c r="C3521" t="s">
        <v>29</v>
      </c>
      <c r="D3521" t="s">
        <v>12</v>
      </c>
      <c r="E3521" s="68">
        <v>15</v>
      </c>
      <c r="F3521" s="68">
        <v>242</v>
      </c>
      <c r="G3521" s="68">
        <v>257</v>
      </c>
    </row>
    <row r="3522" spans="1:7" x14ac:dyDescent="0.3">
      <c r="A3522" t="s">
        <v>977</v>
      </c>
      <c r="B3522" t="s">
        <v>27</v>
      </c>
      <c r="C3522" t="s">
        <v>29</v>
      </c>
      <c r="D3522" t="s">
        <v>13</v>
      </c>
      <c r="E3522" s="68">
        <v>22</v>
      </c>
      <c r="F3522" s="68">
        <v>252</v>
      </c>
      <c r="G3522" s="68">
        <v>274</v>
      </c>
    </row>
    <row r="3523" spans="1:7" x14ac:dyDescent="0.3">
      <c r="A3523" t="s">
        <v>977</v>
      </c>
      <c r="B3523" t="s">
        <v>27</v>
      </c>
      <c r="C3523" t="s">
        <v>29</v>
      </c>
      <c r="D3523" t="s">
        <v>14</v>
      </c>
      <c r="E3523" s="68">
        <v>9</v>
      </c>
      <c r="F3523" s="68">
        <v>167</v>
      </c>
      <c r="G3523" s="68">
        <v>176</v>
      </c>
    </row>
    <row r="3524" spans="1:7" x14ac:dyDescent="0.3">
      <c r="A3524" t="s">
        <v>977</v>
      </c>
      <c r="B3524" t="s">
        <v>27</v>
      </c>
      <c r="C3524" t="s">
        <v>29</v>
      </c>
      <c r="D3524" t="s">
        <v>15</v>
      </c>
      <c r="E3524" s="68">
        <v>13</v>
      </c>
      <c r="F3524" s="68">
        <v>137</v>
      </c>
      <c r="G3524" s="68">
        <v>150</v>
      </c>
    </row>
    <row r="3525" spans="1:7" x14ac:dyDescent="0.3">
      <c r="A3525" t="s">
        <v>977</v>
      </c>
      <c r="B3525" t="s">
        <v>27</v>
      </c>
      <c r="C3525" t="s">
        <v>29</v>
      </c>
      <c r="D3525" t="s">
        <v>16</v>
      </c>
      <c r="E3525" s="68">
        <v>4</v>
      </c>
      <c r="F3525" s="68">
        <v>104</v>
      </c>
      <c r="G3525" s="68">
        <v>108</v>
      </c>
    </row>
    <row r="3526" spans="1:7" x14ac:dyDescent="0.3">
      <c r="A3526" t="s">
        <v>977</v>
      </c>
      <c r="B3526" t="s">
        <v>27</v>
      </c>
      <c r="C3526" t="s">
        <v>29</v>
      </c>
      <c r="D3526" t="s">
        <v>17</v>
      </c>
      <c r="E3526" s="68">
        <v>4</v>
      </c>
      <c r="F3526" s="68">
        <v>85</v>
      </c>
      <c r="G3526" s="68">
        <v>89</v>
      </c>
    </row>
    <row r="3527" spans="1:7" x14ac:dyDescent="0.3">
      <c r="A3527" t="s">
        <v>977</v>
      </c>
      <c r="B3527" t="s">
        <v>27</v>
      </c>
      <c r="C3527" t="s">
        <v>29</v>
      </c>
      <c r="D3527" t="s">
        <v>18</v>
      </c>
      <c r="E3527" s="68"/>
      <c r="F3527" s="68">
        <v>41</v>
      </c>
      <c r="G3527" s="68">
        <v>41</v>
      </c>
    </row>
    <row r="3528" spans="1:7" x14ac:dyDescent="0.3">
      <c r="A3528" t="s">
        <v>977</v>
      </c>
      <c r="B3528" t="s">
        <v>27</v>
      </c>
      <c r="C3528" t="s">
        <v>29</v>
      </c>
      <c r="D3528" t="s">
        <v>19</v>
      </c>
      <c r="E3528" s="68">
        <v>1</v>
      </c>
      <c r="F3528" s="68">
        <v>21</v>
      </c>
      <c r="G3528" s="68">
        <v>22</v>
      </c>
    </row>
    <row r="3529" spans="1:7" x14ac:dyDescent="0.3">
      <c r="A3529" t="s">
        <v>977</v>
      </c>
      <c r="B3529" t="s">
        <v>27</v>
      </c>
      <c r="C3529" t="s">
        <v>29</v>
      </c>
      <c r="D3529" t="s">
        <v>20</v>
      </c>
      <c r="E3529" s="68">
        <v>1</v>
      </c>
      <c r="F3529" s="68">
        <v>12</v>
      </c>
      <c r="G3529" s="68">
        <v>13</v>
      </c>
    </row>
    <row r="3530" spans="1:7" x14ac:dyDescent="0.3">
      <c r="A3530" t="s">
        <v>977</v>
      </c>
      <c r="B3530" t="s">
        <v>27</v>
      </c>
      <c r="C3530" t="s">
        <v>29</v>
      </c>
      <c r="D3530" t="s">
        <v>21</v>
      </c>
      <c r="E3530" s="68"/>
      <c r="F3530" s="68">
        <v>6</v>
      </c>
      <c r="G3530" s="68">
        <v>6</v>
      </c>
    </row>
    <row r="3531" spans="1:7" x14ac:dyDescent="0.3">
      <c r="A3531" t="s">
        <v>977</v>
      </c>
      <c r="B3531" t="s">
        <v>27</v>
      </c>
      <c r="C3531" t="s">
        <v>29</v>
      </c>
      <c r="D3531" t="s">
        <v>22</v>
      </c>
      <c r="E3531" s="68"/>
      <c r="F3531" s="68">
        <v>4</v>
      </c>
      <c r="G3531" s="68">
        <v>4</v>
      </c>
    </row>
    <row r="3532" spans="1:7" x14ac:dyDescent="0.3">
      <c r="A3532" t="s">
        <v>977</v>
      </c>
      <c r="B3532" t="s">
        <v>27</v>
      </c>
      <c r="C3532" t="s">
        <v>29</v>
      </c>
      <c r="D3532" t="s">
        <v>23</v>
      </c>
      <c r="E3532" s="68"/>
      <c r="F3532" s="68">
        <v>1</v>
      </c>
      <c r="G3532" s="68">
        <v>1</v>
      </c>
    </row>
    <row r="3533" spans="1:7" x14ac:dyDescent="0.3">
      <c r="A3533" t="s">
        <v>977</v>
      </c>
      <c r="B3533" t="s">
        <v>36</v>
      </c>
      <c r="C3533" t="s">
        <v>6</v>
      </c>
      <c r="D3533" t="s">
        <v>7</v>
      </c>
      <c r="E3533" s="68">
        <v>4265</v>
      </c>
      <c r="F3533" s="68">
        <v>4462</v>
      </c>
      <c r="G3533" s="68">
        <v>8727</v>
      </c>
    </row>
    <row r="3534" spans="1:7" x14ac:dyDescent="0.3">
      <c r="A3534" t="s">
        <v>977</v>
      </c>
      <c r="B3534" t="s">
        <v>36</v>
      </c>
      <c r="C3534" t="s">
        <v>6</v>
      </c>
      <c r="D3534" t="s">
        <v>8</v>
      </c>
      <c r="E3534" s="68">
        <v>5951</v>
      </c>
      <c r="F3534" s="68">
        <v>6237</v>
      </c>
      <c r="G3534" s="68">
        <v>12188</v>
      </c>
    </row>
    <row r="3535" spans="1:7" x14ac:dyDescent="0.3">
      <c r="A3535" t="s">
        <v>977</v>
      </c>
      <c r="B3535" t="s">
        <v>36</v>
      </c>
      <c r="C3535" t="s">
        <v>6</v>
      </c>
      <c r="D3535" t="s">
        <v>9</v>
      </c>
      <c r="E3535" s="68">
        <v>6395</v>
      </c>
      <c r="F3535" s="68">
        <v>6572</v>
      </c>
      <c r="G3535" s="68">
        <v>12967</v>
      </c>
    </row>
    <row r="3536" spans="1:7" x14ac:dyDescent="0.3">
      <c r="A3536" t="s">
        <v>977</v>
      </c>
      <c r="B3536" t="s">
        <v>36</v>
      </c>
      <c r="C3536" t="s">
        <v>6</v>
      </c>
      <c r="D3536" t="s">
        <v>10</v>
      </c>
      <c r="E3536" s="68">
        <v>5884</v>
      </c>
      <c r="F3536" s="68">
        <v>5827</v>
      </c>
      <c r="G3536" s="68">
        <v>11711</v>
      </c>
    </row>
    <row r="3537" spans="1:7" x14ac:dyDescent="0.3">
      <c r="A3537" t="s">
        <v>977</v>
      </c>
      <c r="B3537" t="s">
        <v>36</v>
      </c>
      <c r="C3537" t="s">
        <v>6</v>
      </c>
      <c r="D3537" t="s">
        <v>11</v>
      </c>
      <c r="E3537" s="68">
        <v>4749</v>
      </c>
      <c r="F3537" s="68">
        <v>5382</v>
      </c>
      <c r="G3537" s="68">
        <v>10131</v>
      </c>
    </row>
    <row r="3538" spans="1:7" x14ac:dyDescent="0.3">
      <c r="A3538" t="s">
        <v>977</v>
      </c>
      <c r="B3538" t="s">
        <v>36</v>
      </c>
      <c r="C3538" t="s">
        <v>6</v>
      </c>
      <c r="D3538" t="s">
        <v>12</v>
      </c>
      <c r="E3538" s="68">
        <v>5045</v>
      </c>
      <c r="F3538" s="68">
        <v>5508</v>
      </c>
      <c r="G3538" s="68">
        <v>10553</v>
      </c>
    </row>
    <row r="3539" spans="1:7" x14ac:dyDescent="0.3">
      <c r="A3539" t="s">
        <v>977</v>
      </c>
      <c r="B3539" t="s">
        <v>36</v>
      </c>
      <c r="C3539" t="s">
        <v>6</v>
      </c>
      <c r="D3539" t="s">
        <v>13</v>
      </c>
      <c r="E3539" s="68">
        <v>6636</v>
      </c>
      <c r="F3539" s="68">
        <v>7071</v>
      </c>
      <c r="G3539" s="68">
        <v>13707</v>
      </c>
    </row>
    <row r="3540" spans="1:7" x14ac:dyDescent="0.3">
      <c r="A3540" t="s">
        <v>977</v>
      </c>
      <c r="B3540" t="s">
        <v>36</v>
      </c>
      <c r="C3540" t="s">
        <v>6</v>
      </c>
      <c r="D3540" t="s">
        <v>14</v>
      </c>
      <c r="E3540" s="68">
        <v>6649</v>
      </c>
      <c r="F3540" s="68">
        <v>7464</v>
      </c>
      <c r="G3540" s="68">
        <v>14113</v>
      </c>
    </row>
    <row r="3541" spans="1:7" x14ac:dyDescent="0.3">
      <c r="A3541" t="s">
        <v>977</v>
      </c>
      <c r="B3541" t="s">
        <v>36</v>
      </c>
      <c r="C3541" t="s">
        <v>6</v>
      </c>
      <c r="D3541" t="s">
        <v>15</v>
      </c>
      <c r="E3541" s="68">
        <v>5847</v>
      </c>
      <c r="F3541" s="68">
        <v>6519</v>
      </c>
      <c r="G3541" s="68">
        <v>12366</v>
      </c>
    </row>
    <row r="3542" spans="1:7" x14ac:dyDescent="0.3">
      <c r="A3542" t="s">
        <v>977</v>
      </c>
      <c r="B3542" t="s">
        <v>36</v>
      </c>
      <c r="C3542" t="s">
        <v>6</v>
      </c>
      <c r="D3542" t="s">
        <v>16</v>
      </c>
      <c r="E3542" s="68">
        <v>4702</v>
      </c>
      <c r="F3542" s="68">
        <v>5240</v>
      </c>
      <c r="G3542" s="68">
        <v>9942</v>
      </c>
    </row>
    <row r="3543" spans="1:7" x14ac:dyDescent="0.3">
      <c r="A3543" t="s">
        <v>977</v>
      </c>
      <c r="B3543" t="s">
        <v>36</v>
      </c>
      <c r="C3543" t="s">
        <v>6</v>
      </c>
      <c r="D3543" t="s">
        <v>17</v>
      </c>
      <c r="E3543" s="68">
        <v>3365</v>
      </c>
      <c r="F3543" s="68">
        <v>3851</v>
      </c>
      <c r="G3543" s="68">
        <v>7216</v>
      </c>
    </row>
    <row r="3544" spans="1:7" x14ac:dyDescent="0.3">
      <c r="A3544" t="s">
        <v>977</v>
      </c>
      <c r="B3544" t="s">
        <v>36</v>
      </c>
      <c r="C3544" t="s">
        <v>6</v>
      </c>
      <c r="D3544" t="s">
        <v>18</v>
      </c>
      <c r="E3544" s="68">
        <v>2573</v>
      </c>
      <c r="F3544" s="68">
        <v>2830</v>
      </c>
      <c r="G3544" s="68">
        <v>5403</v>
      </c>
    </row>
    <row r="3545" spans="1:7" x14ac:dyDescent="0.3">
      <c r="A3545" t="s">
        <v>977</v>
      </c>
      <c r="B3545" t="s">
        <v>36</v>
      </c>
      <c r="C3545" t="s">
        <v>6</v>
      </c>
      <c r="D3545" t="s">
        <v>19</v>
      </c>
      <c r="E3545" s="68">
        <v>1964</v>
      </c>
      <c r="F3545" s="68">
        <v>2074</v>
      </c>
      <c r="G3545" s="68">
        <v>4038</v>
      </c>
    </row>
    <row r="3546" spans="1:7" x14ac:dyDescent="0.3">
      <c r="A3546" t="s">
        <v>977</v>
      </c>
      <c r="B3546" t="s">
        <v>36</v>
      </c>
      <c r="C3546" t="s">
        <v>6</v>
      </c>
      <c r="D3546" t="s">
        <v>20</v>
      </c>
      <c r="E3546" s="68">
        <v>1425</v>
      </c>
      <c r="F3546" s="68">
        <v>1365</v>
      </c>
      <c r="G3546" s="68">
        <v>2790</v>
      </c>
    </row>
    <row r="3547" spans="1:7" x14ac:dyDescent="0.3">
      <c r="A3547" t="s">
        <v>977</v>
      </c>
      <c r="B3547" t="s">
        <v>36</v>
      </c>
      <c r="C3547" t="s">
        <v>6</v>
      </c>
      <c r="D3547" t="s">
        <v>21</v>
      </c>
      <c r="E3547" s="68">
        <v>931</v>
      </c>
      <c r="F3547" s="68">
        <v>819</v>
      </c>
      <c r="G3547" s="68">
        <v>1750</v>
      </c>
    </row>
    <row r="3548" spans="1:7" x14ac:dyDescent="0.3">
      <c r="A3548" t="s">
        <v>977</v>
      </c>
      <c r="B3548" t="s">
        <v>36</v>
      </c>
      <c r="C3548" t="s">
        <v>6</v>
      </c>
      <c r="D3548" t="s">
        <v>22</v>
      </c>
      <c r="E3548" s="68">
        <v>563</v>
      </c>
      <c r="F3548" s="68">
        <v>540</v>
      </c>
      <c r="G3548" s="68">
        <v>1103</v>
      </c>
    </row>
    <row r="3549" spans="1:7" x14ac:dyDescent="0.3">
      <c r="A3549" t="s">
        <v>977</v>
      </c>
      <c r="B3549" t="s">
        <v>36</v>
      </c>
      <c r="C3549" t="s">
        <v>6</v>
      </c>
      <c r="D3549" t="s">
        <v>23</v>
      </c>
      <c r="E3549" s="68">
        <v>692</v>
      </c>
      <c r="F3549" s="68">
        <v>477</v>
      </c>
      <c r="G3549" s="68">
        <v>1169</v>
      </c>
    </row>
    <row r="3550" spans="1:7" x14ac:dyDescent="0.3">
      <c r="A3550" t="s">
        <v>977</v>
      </c>
      <c r="B3550" t="s">
        <v>36</v>
      </c>
      <c r="C3550" t="s">
        <v>24</v>
      </c>
      <c r="D3550" t="s">
        <v>7</v>
      </c>
      <c r="E3550" s="68">
        <v>2650</v>
      </c>
      <c r="F3550" s="68">
        <v>2641</v>
      </c>
      <c r="G3550" s="68">
        <v>5291</v>
      </c>
    </row>
    <row r="3551" spans="1:7" x14ac:dyDescent="0.3">
      <c r="A3551" t="s">
        <v>977</v>
      </c>
      <c r="B3551" t="s">
        <v>36</v>
      </c>
      <c r="C3551" t="s">
        <v>24</v>
      </c>
      <c r="D3551" t="s">
        <v>8</v>
      </c>
      <c r="E3551" s="68">
        <v>2624</v>
      </c>
      <c r="F3551" s="68">
        <v>2837</v>
      </c>
      <c r="G3551" s="68">
        <v>5461</v>
      </c>
    </row>
    <row r="3552" spans="1:7" x14ac:dyDescent="0.3">
      <c r="A3552" t="s">
        <v>977</v>
      </c>
      <c r="B3552" t="s">
        <v>36</v>
      </c>
      <c r="C3552" t="s">
        <v>24</v>
      </c>
      <c r="D3552" t="s">
        <v>9</v>
      </c>
      <c r="E3552" s="68">
        <v>3285</v>
      </c>
      <c r="F3552" s="68">
        <v>3475</v>
      </c>
      <c r="G3552" s="68">
        <v>6760</v>
      </c>
    </row>
    <row r="3553" spans="1:7" x14ac:dyDescent="0.3">
      <c r="A3553" t="s">
        <v>977</v>
      </c>
      <c r="B3553" t="s">
        <v>36</v>
      </c>
      <c r="C3553" t="s">
        <v>24</v>
      </c>
      <c r="D3553" t="s">
        <v>10</v>
      </c>
      <c r="E3553" s="68">
        <v>3531</v>
      </c>
      <c r="F3553" s="68">
        <v>3519</v>
      </c>
      <c r="G3553" s="68">
        <v>7050</v>
      </c>
    </row>
    <row r="3554" spans="1:7" x14ac:dyDescent="0.3">
      <c r="A3554" t="s">
        <v>977</v>
      </c>
      <c r="B3554" t="s">
        <v>36</v>
      </c>
      <c r="C3554" t="s">
        <v>24</v>
      </c>
      <c r="D3554" t="s">
        <v>11</v>
      </c>
      <c r="E3554" s="68">
        <v>3666</v>
      </c>
      <c r="F3554" s="68">
        <v>3040</v>
      </c>
      <c r="G3554" s="68">
        <v>6706</v>
      </c>
    </row>
    <row r="3555" spans="1:7" x14ac:dyDescent="0.3">
      <c r="A3555" t="s">
        <v>977</v>
      </c>
      <c r="B3555" t="s">
        <v>36</v>
      </c>
      <c r="C3555" t="s">
        <v>24</v>
      </c>
      <c r="D3555" t="s">
        <v>12</v>
      </c>
      <c r="E3555" s="68">
        <v>4025</v>
      </c>
      <c r="F3555" s="68">
        <v>3465</v>
      </c>
      <c r="G3555" s="68">
        <v>7490</v>
      </c>
    </row>
    <row r="3556" spans="1:7" x14ac:dyDescent="0.3">
      <c r="A3556" t="s">
        <v>977</v>
      </c>
      <c r="B3556" t="s">
        <v>36</v>
      </c>
      <c r="C3556" t="s">
        <v>24</v>
      </c>
      <c r="D3556" t="s">
        <v>13</v>
      </c>
      <c r="E3556" s="68">
        <v>3420</v>
      </c>
      <c r="F3556" s="68">
        <v>2765</v>
      </c>
      <c r="G3556" s="68">
        <v>6185</v>
      </c>
    </row>
    <row r="3557" spans="1:7" x14ac:dyDescent="0.3">
      <c r="A3557" t="s">
        <v>977</v>
      </c>
      <c r="B3557" t="s">
        <v>36</v>
      </c>
      <c r="C3557" t="s">
        <v>24</v>
      </c>
      <c r="D3557" t="s">
        <v>14</v>
      </c>
      <c r="E3557" s="68">
        <v>2863</v>
      </c>
      <c r="F3557" s="68">
        <v>2532</v>
      </c>
      <c r="G3557" s="68">
        <v>5395</v>
      </c>
    </row>
    <row r="3558" spans="1:7" x14ac:dyDescent="0.3">
      <c r="A3558" t="s">
        <v>977</v>
      </c>
      <c r="B3558" t="s">
        <v>36</v>
      </c>
      <c r="C3558" t="s">
        <v>24</v>
      </c>
      <c r="D3558" t="s">
        <v>15</v>
      </c>
      <c r="E3558" s="68">
        <v>2600</v>
      </c>
      <c r="F3558" s="68">
        <v>2251</v>
      </c>
      <c r="G3558" s="68">
        <v>4851</v>
      </c>
    </row>
    <row r="3559" spans="1:7" x14ac:dyDescent="0.3">
      <c r="A3559" t="s">
        <v>977</v>
      </c>
      <c r="B3559" t="s">
        <v>36</v>
      </c>
      <c r="C3559" t="s">
        <v>24</v>
      </c>
      <c r="D3559" t="s">
        <v>16</v>
      </c>
      <c r="E3559" s="68">
        <v>2234</v>
      </c>
      <c r="F3559" s="68">
        <v>1936</v>
      </c>
      <c r="G3559" s="68">
        <v>4170</v>
      </c>
    </row>
    <row r="3560" spans="1:7" x14ac:dyDescent="0.3">
      <c r="A3560" t="s">
        <v>977</v>
      </c>
      <c r="B3560" t="s">
        <v>36</v>
      </c>
      <c r="C3560" t="s">
        <v>24</v>
      </c>
      <c r="D3560" t="s">
        <v>17</v>
      </c>
      <c r="E3560" s="68">
        <v>1887</v>
      </c>
      <c r="F3560" s="68">
        <v>1538</v>
      </c>
      <c r="G3560" s="68">
        <v>3425</v>
      </c>
    </row>
    <row r="3561" spans="1:7" x14ac:dyDescent="0.3">
      <c r="A3561" t="s">
        <v>977</v>
      </c>
      <c r="B3561" t="s">
        <v>36</v>
      </c>
      <c r="C3561" t="s">
        <v>24</v>
      </c>
      <c r="D3561" t="s">
        <v>18</v>
      </c>
      <c r="E3561" s="68">
        <v>1754</v>
      </c>
      <c r="F3561" s="68">
        <v>1499</v>
      </c>
      <c r="G3561" s="68">
        <v>3253</v>
      </c>
    </row>
    <row r="3562" spans="1:7" x14ac:dyDescent="0.3">
      <c r="A3562" t="s">
        <v>977</v>
      </c>
      <c r="B3562" t="s">
        <v>36</v>
      </c>
      <c r="C3562" t="s">
        <v>24</v>
      </c>
      <c r="D3562" t="s">
        <v>19</v>
      </c>
      <c r="E3562" s="68">
        <v>1456</v>
      </c>
      <c r="F3562" s="68">
        <v>1270</v>
      </c>
      <c r="G3562" s="68">
        <v>2726</v>
      </c>
    </row>
    <row r="3563" spans="1:7" x14ac:dyDescent="0.3">
      <c r="A3563" t="s">
        <v>977</v>
      </c>
      <c r="B3563" t="s">
        <v>36</v>
      </c>
      <c r="C3563" t="s">
        <v>24</v>
      </c>
      <c r="D3563" t="s">
        <v>20</v>
      </c>
      <c r="E3563" s="68">
        <v>1070</v>
      </c>
      <c r="F3563" s="68">
        <v>881</v>
      </c>
      <c r="G3563" s="68">
        <v>1951</v>
      </c>
    </row>
    <row r="3564" spans="1:7" x14ac:dyDescent="0.3">
      <c r="A3564" t="s">
        <v>977</v>
      </c>
      <c r="B3564" t="s">
        <v>36</v>
      </c>
      <c r="C3564" t="s">
        <v>24</v>
      </c>
      <c r="D3564" t="s">
        <v>21</v>
      </c>
      <c r="E3564" s="68">
        <v>802</v>
      </c>
      <c r="F3564" s="68">
        <v>633</v>
      </c>
      <c r="G3564" s="68">
        <v>1435</v>
      </c>
    </row>
    <row r="3565" spans="1:7" x14ac:dyDescent="0.3">
      <c r="A3565" t="s">
        <v>977</v>
      </c>
      <c r="B3565" t="s">
        <v>36</v>
      </c>
      <c r="C3565" t="s">
        <v>24</v>
      </c>
      <c r="D3565" t="s">
        <v>22</v>
      </c>
      <c r="E3565" s="68">
        <v>520</v>
      </c>
      <c r="F3565" s="68">
        <v>420</v>
      </c>
      <c r="G3565" s="68">
        <v>940</v>
      </c>
    </row>
    <row r="3566" spans="1:7" x14ac:dyDescent="0.3">
      <c r="A3566" t="s">
        <v>977</v>
      </c>
      <c r="B3566" t="s">
        <v>36</v>
      </c>
      <c r="C3566" t="s">
        <v>24</v>
      </c>
      <c r="D3566" t="s">
        <v>23</v>
      </c>
      <c r="E3566" s="68">
        <v>628</v>
      </c>
      <c r="F3566" s="68">
        <v>526</v>
      </c>
      <c r="G3566" s="68">
        <v>1154</v>
      </c>
    </row>
    <row r="3567" spans="1:7" x14ac:dyDescent="0.3">
      <c r="A3567" t="s">
        <v>1003</v>
      </c>
      <c r="B3567" t="s">
        <v>30</v>
      </c>
      <c r="C3567" t="s">
        <v>24</v>
      </c>
      <c r="D3567" t="s">
        <v>19</v>
      </c>
      <c r="E3567" s="68"/>
      <c r="F3567" s="68">
        <v>1</v>
      </c>
      <c r="G3567" s="68">
        <v>1</v>
      </c>
    </row>
    <row r="3568" spans="1:7" x14ac:dyDescent="0.3">
      <c r="A3568" t="s">
        <v>1003</v>
      </c>
      <c r="B3568" t="s">
        <v>30</v>
      </c>
      <c r="C3568" t="s">
        <v>24</v>
      </c>
      <c r="D3568" t="s">
        <v>20</v>
      </c>
      <c r="E3568" s="68"/>
      <c r="F3568" s="68">
        <v>1</v>
      </c>
      <c r="G3568" s="68">
        <v>1</v>
      </c>
    </row>
    <row r="3569" spans="1:7" x14ac:dyDescent="0.3">
      <c r="A3569" t="s">
        <v>1003</v>
      </c>
      <c r="B3569" t="s">
        <v>1005</v>
      </c>
      <c r="C3569" t="s">
        <v>6</v>
      </c>
      <c r="D3569" t="s">
        <v>7</v>
      </c>
      <c r="E3569" s="68">
        <v>6</v>
      </c>
      <c r="F3569" s="68">
        <v>5</v>
      </c>
      <c r="G3569" s="68">
        <v>11</v>
      </c>
    </row>
    <row r="3570" spans="1:7" x14ac:dyDescent="0.3">
      <c r="A3570" t="s">
        <v>1003</v>
      </c>
      <c r="B3570" t="s">
        <v>1005</v>
      </c>
      <c r="C3570" t="s">
        <v>6</v>
      </c>
      <c r="D3570" t="s">
        <v>8</v>
      </c>
      <c r="E3570" s="68">
        <v>7</v>
      </c>
      <c r="F3570" s="68">
        <v>2</v>
      </c>
      <c r="G3570" s="68">
        <v>9</v>
      </c>
    </row>
    <row r="3571" spans="1:7" x14ac:dyDescent="0.3">
      <c r="A3571" t="s">
        <v>1003</v>
      </c>
      <c r="B3571" t="s">
        <v>1005</v>
      </c>
      <c r="C3571" t="s">
        <v>6</v>
      </c>
      <c r="D3571" t="s">
        <v>9</v>
      </c>
      <c r="E3571" s="68">
        <v>11</v>
      </c>
      <c r="F3571" s="68">
        <v>9</v>
      </c>
      <c r="G3571" s="68">
        <v>20</v>
      </c>
    </row>
    <row r="3572" spans="1:7" x14ac:dyDescent="0.3">
      <c r="A3572" t="s">
        <v>1003</v>
      </c>
      <c r="B3572" t="s">
        <v>1005</v>
      </c>
      <c r="C3572" t="s">
        <v>6</v>
      </c>
      <c r="D3572" t="s">
        <v>10</v>
      </c>
      <c r="E3572" s="68">
        <v>37</v>
      </c>
      <c r="F3572" s="68">
        <v>35</v>
      </c>
      <c r="G3572" s="68">
        <v>72</v>
      </c>
    </row>
    <row r="3573" spans="1:7" x14ac:dyDescent="0.3">
      <c r="A3573" t="s">
        <v>1003</v>
      </c>
      <c r="B3573" t="s">
        <v>1005</v>
      </c>
      <c r="C3573" t="s">
        <v>6</v>
      </c>
      <c r="D3573" t="s">
        <v>11</v>
      </c>
      <c r="E3573" s="68">
        <v>152</v>
      </c>
      <c r="F3573" s="68">
        <v>156</v>
      </c>
      <c r="G3573" s="68">
        <v>308</v>
      </c>
    </row>
    <row r="3574" spans="1:7" x14ac:dyDescent="0.3">
      <c r="A3574" t="s">
        <v>1003</v>
      </c>
      <c r="B3574" t="s">
        <v>1005</v>
      </c>
      <c r="C3574" t="s">
        <v>6</v>
      </c>
      <c r="D3574" t="s">
        <v>12</v>
      </c>
      <c r="E3574" s="68">
        <v>260</v>
      </c>
      <c r="F3574" s="68">
        <v>274</v>
      </c>
      <c r="G3574" s="68">
        <v>534</v>
      </c>
    </row>
    <row r="3575" spans="1:7" x14ac:dyDescent="0.3">
      <c r="A3575" t="s">
        <v>1003</v>
      </c>
      <c r="B3575" t="s">
        <v>1005</v>
      </c>
      <c r="C3575" t="s">
        <v>6</v>
      </c>
      <c r="D3575" t="s">
        <v>13</v>
      </c>
      <c r="E3575" s="68">
        <v>369</v>
      </c>
      <c r="F3575" s="68">
        <v>325</v>
      </c>
      <c r="G3575" s="68">
        <v>694</v>
      </c>
    </row>
    <row r="3576" spans="1:7" x14ac:dyDescent="0.3">
      <c r="A3576" t="s">
        <v>1003</v>
      </c>
      <c r="B3576" t="s">
        <v>1005</v>
      </c>
      <c r="C3576" t="s">
        <v>6</v>
      </c>
      <c r="D3576" t="s">
        <v>14</v>
      </c>
      <c r="E3576" s="68">
        <v>279</v>
      </c>
      <c r="F3576" s="68">
        <v>252</v>
      </c>
      <c r="G3576" s="68">
        <v>531</v>
      </c>
    </row>
    <row r="3577" spans="1:7" x14ac:dyDescent="0.3">
      <c r="A3577" t="s">
        <v>1003</v>
      </c>
      <c r="B3577" t="s">
        <v>1005</v>
      </c>
      <c r="C3577" t="s">
        <v>6</v>
      </c>
      <c r="D3577" t="s">
        <v>15</v>
      </c>
      <c r="E3577" s="68">
        <v>228</v>
      </c>
      <c r="F3577" s="68">
        <v>167</v>
      </c>
      <c r="G3577" s="68">
        <v>395</v>
      </c>
    </row>
    <row r="3578" spans="1:7" x14ac:dyDescent="0.3">
      <c r="A3578" t="s">
        <v>1003</v>
      </c>
      <c r="B3578" t="s">
        <v>1005</v>
      </c>
      <c r="C3578" t="s">
        <v>6</v>
      </c>
      <c r="D3578" t="s">
        <v>16</v>
      </c>
      <c r="E3578" s="68">
        <v>140</v>
      </c>
      <c r="F3578" s="68">
        <v>148</v>
      </c>
      <c r="G3578" s="68">
        <v>288</v>
      </c>
    </row>
    <row r="3579" spans="1:7" x14ac:dyDescent="0.3">
      <c r="A3579" t="s">
        <v>1003</v>
      </c>
      <c r="B3579" t="s">
        <v>1005</v>
      </c>
      <c r="C3579" t="s">
        <v>6</v>
      </c>
      <c r="D3579" t="s">
        <v>17</v>
      </c>
      <c r="E3579" s="68">
        <v>96</v>
      </c>
      <c r="F3579" s="68">
        <v>81</v>
      </c>
      <c r="G3579" s="68">
        <v>177</v>
      </c>
    </row>
    <row r="3580" spans="1:7" x14ac:dyDescent="0.3">
      <c r="A3580" t="s">
        <v>1003</v>
      </c>
      <c r="B3580" t="s">
        <v>1005</v>
      </c>
      <c r="C3580" t="s">
        <v>6</v>
      </c>
      <c r="D3580" t="s">
        <v>18</v>
      </c>
      <c r="E3580" s="68">
        <v>56</v>
      </c>
      <c r="F3580" s="68">
        <v>65</v>
      </c>
      <c r="G3580" s="68">
        <v>121</v>
      </c>
    </row>
    <row r="3581" spans="1:7" x14ac:dyDescent="0.3">
      <c r="A3581" t="s">
        <v>1003</v>
      </c>
      <c r="B3581" t="s">
        <v>1005</v>
      </c>
      <c r="C3581" t="s">
        <v>6</v>
      </c>
      <c r="D3581" t="s">
        <v>19</v>
      </c>
      <c r="E3581" s="68">
        <v>49</v>
      </c>
      <c r="F3581" s="68">
        <v>49</v>
      </c>
      <c r="G3581" s="68">
        <v>98</v>
      </c>
    </row>
    <row r="3582" spans="1:7" x14ac:dyDescent="0.3">
      <c r="A3582" t="s">
        <v>1003</v>
      </c>
      <c r="B3582" t="s">
        <v>1005</v>
      </c>
      <c r="C3582" t="s">
        <v>6</v>
      </c>
      <c r="D3582" t="s">
        <v>20</v>
      </c>
      <c r="E3582" s="68">
        <v>35</v>
      </c>
      <c r="F3582" s="68">
        <v>36</v>
      </c>
      <c r="G3582" s="68">
        <v>71</v>
      </c>
    </row>
    <row r="3583" spans="1:7" x14ac:dyDescent="0.3">
      <c r="A3583" t="s">
        <v>1003</v>
      </c>
      <c r="B3583" t="s">
        <v>1005</v>
      </c>
      <c r="C3583" t="s">
        <v>6</v>
      </c>
      <c r="D3583" t="s">
        <v>21</v>
      </c>
      <c r="E3583" s="68">
        <v>24</v>
      </c>
      <c r="F3583" s="68">
        <v>23</v>
      </c>
      <c r="G3583" s="68">
        <v>47</v>
      </c>
    </row>
    <row r="3584" spans="1:7" x14ac:dyDescent="0.3">
      <c r="A3584" t="s">
        <v>1003</v>
      </c>
      <c r="B3584" t="s">
        <v>1005</v>
      </c>
      <c r="C3584" t="s">
        <v>6</v>
      </c>
      <c r="D3584" t="s">
        <v>22</v>
      </c>
      <c r="E3584" s="68">
        <v>9</v>
      </c>
      <c r="F3584" s="68">
        <v>7</v>
      </c>
      <c r="G3584" s="68">
        <v>16</v>
      </c>
    </row>
    <row r="3585" spans="1:7" x14ac:dyDescent="0.3">
      <c r="A3585" t="s">
        <v>1003</v>
      </c>
      <c r="B3585" t="s">
        <v>1005</v>
      </c>
      <c r="C3585" t="s">
        <v>6</v>
      </c>
      <c r="D3585" t="s">
        <v>23</v>
      </c>
      <c r="E3585" s="68">
        <v>13</v>
      </c>
      <c r="F3585" s="68">
        <v>12</v>
      </c>
      <c r="G3585" s="68">
        <v>25</v>
      </c>
    </row>
    <row r="3586" spans="1:7" x14ac:dyDescent="0.3">
      <c r="A3586" t="s">
        <v>1003</v>
      </c>
      <c r="B3586" t="s">
        <v>1005</v>
      </c>
      <c r="C3586" t="s">
        <v>24</v>
      </c>
      <c r="D3586" t="s">
        <v>7</v>
      </c>
      <c r="E3586" s="68">
        <v>5988</v>
      </c>
      <c r="F3586" s="68">
        <v>6082</v>
      </c>
      <c r="G3586" s="68">
        <v>12070</v>
      </c>
    </row>
    <row r="3587" spans="1:7" x14ac:dyDescent="0.3">
      <c r="A3587" t="s">
        <v>1003</v>
      </c>
      <c r="B3587" t="s">
        <v>1005</v>
      </c>
      <c r="C3587" t="s">
        <v>24</v>
      </c>
      <c r="D3587" t="s">
        <v>8</v>
      </c>
      <c r="E3587" s="68">
        <v>9748</v>
      </c>
      <c r="F3587" s="68">
        <v>10130</v>
      </c>
      <c r="G3587" s="68">
        <v>19878</v>
      </c>
    </row>
    <row r="3588" spans="1:7" x14ac:dyDescent="0.3">
      <c r="A3588" t="s">
        <v>1003</v>
      </c>
      <c r="B3588" t="s">
        <v>1005</v>
      </c>
      <c r="C3588" t="s">
        <v>24</v>
      </c>
      <c r="D3588" t="s">
        <v>9</v>
      </c>
      <c r="E3588" s="68">
        <v>10436</v>
      </c>
      <c r="F3588" s="68">
        <v>10815</v>
      </c>
      <c r="G3588" s="68">
        <v>21251</v>
      </c>
    </row>
    <row r="3589" spans="1:7" x14ac:dyDescent="0.3">
      <c r="A3589" t="s">
        <v>1003</v>
      </c>
      <c r="B3589" t="s">
        <v>1005</v>
      </c>
      <c r="C3589" t="s">
        <v>24</v>
      </c>
      <c r="D3589" t="s">
        <v>10</v>
      </c>
      <c r="E3589" s="68">
        <v>9375</v>
      </c>
      <c r="F3589" s="68">
        <v>9571</v>
      </c>
      <c r="G3589" s="68">
        <v>18946</v>
      </c>
    </row>
    <row r="3590" spans="1:7" x14ac:dyDescent="0.3">
      <c r="A3590" t="s">
        <v>1003</v>
      </c>
      <c r="B3590" t="s">
        <v>1005</v>
      </c>
      <c r="C3590" t="s">
        <v>24</v>
      </c>
      <c r="D3590" t="s">
        <v>11</v>
      </c>
      <c r="E3590" s="68">
        <v>7818</v>
      </c>
      <c r="F3590" s="68">
        <v>7649</v>
      </c>
      <c r="G3590" s="68">
        <v>15467</v>
      </c>
    </row>
    <row r="3591" spans="1:7" x14ac:dyDescent="0.3">
      <c r="A3591" t="s">
        <v>1003</v>
      </c>
      <c r="B3591" t="s">
        <v>1005</v>
      </c>
      <c r="C3591" t="s">
        <v>24</v>
      </c>
      <c r="D3591" t="s">
        <v>12</v>
      </c>
      <c r="E3591" s="68">
        <v>6400</v>
      </c>
      <c r="F3591" s="68">
        <v>5806</v>
      </c>
      <c r="G3591" s="68">
        <v>12206</v>
      </c>
    </row>
    <row r="3592" spans="1:7" x14ac:dyDescent="0.3">
      <c r="A3592" t="s">
        <v>1003</v>
      </c>
      <c r="B3592" t="s">
        <v>1005</v>
      </c>
      <c r="C3592" t="s">
        <v>24</v>
      </c>
      <c r="D3592" t="s">
        <v>13</v>
      </c>
      <c r="E3592" s="68">
        <v>5826</v>
      </c>
      <c r="F3592" s="68">
        <v>5375</v>
      </c>
      <c r="G3592" s="68">
        <v>11201</v>
      </c>
    </row>
    <row r="3593" spans="1:7" x14ac:dyDescent="0.3">
      <c r="A3593" t="s">
        <v>1003</v>
      </c>
      <c r="B3593" t="s">
        <v>1005</v>
      </c>
      <c r="C3593" t="s">
        <v>24</v>
      </c>
      <c r="D3593" t="s">
        <v>14</v>
      </c>
      <c r="E3593" s="68">
        <v>5335</v>
      </c>
      <c r="F3593" s="68">
        <v>4791</v>
      </c>
      <c r="G3593" s="68">
        <v>10126</v>
      </c>
    </row>
    <row r="3594" spans="1:7" x14ac:dyDescent="0.3">
      <c r="A3594" t="s">
        <v>1003</v>
      </c>
      <c r="B3594" t="s">
        <v>1005</v>
      </c>
      <c r="C3594" t="s">
        <v>24</v>
      </c>
      <c r="D3594" t="s">
        <v>15</v>
      </c>
      <c r="E3594" s="68">
        <v>4450</v>
      </c>
      <c r="F3594" s="68">
        <v>4186</v>
      </c>
      <c r="G3594" s="68">
        <v>8636</v>
      </c>
    </row>
    <row r="3595" spans="1:7" x14ac:dyDescent="0.3">
      <c r="A3595" t="s">
        <v>1003</v>
      </c>
      <c r="B3595" t="s">
        <v>1005</v>
      </c>
      <c r="C3595" t="s">
        <v>24</v>
      </c>
      <c r="D3595" t="s">
        <v>16</v>
      </c>
      <c r="E3595" s="68">
        <v>3515</v>
      </c>
      <c r="F3595" s="68">
        <v>3537</v>
      </c>
      <c r="G3595" s="68">
        <v>7052</v>
      </c>
    </row>
    <row r="3596" spans="1:7" x14ac:dyDescent="0.3">
      <c r="A3596" t="s">
        <v>1003</v>
      </c>
      <c r="B3596" t="s">
        <v>1005</v>
      </c>
      <c r="C3596" t="s">
        <v>24</v>
      </c>
      <c r="D3596" t="s">
        <v>17</v>
      </c>
      <c r="E3596" s="68">
        <v>2888</v>
      </c>
      <c r="F3596" s="68">
        <v>2900</v>
      </c>
      <c r="G3596" s="68">
        <v>5788</v>
      </c>
    </row>
    <row r="3597" spans="1:7" x14ac:dyDescent="0.3">
      <c r="A3597" t="s">
        <v>1003</v>
      </c>
      <c r="B3597" t="s">
        <v>1005</v>
      </c>
      <c r="C3597" t="s">
        <v>24</v>
      </c>
      <c r="D3597" t="s">
        <v>18</v>
      </c>
      <c r="E3597" s="68">
        <v>2442</v>
      </c>
      <c r="F3597" s="68">
        <v>2590</v>
      </c>
      <c r="G3597" s="68">
        <v>5032</v>
      </c>
    </row>
    <row r="3598" spans="1:7" x14ac:dyDescent="0.3">
      <c r="A3598" t="s">
        <v>1003</v>
      </c>
      <c r="B3598" t="s">
        <v>1005</v>
      </c>
      <c r="C3598" t="s">
        <v>24</v>
      </c>
      <c r="D3598" t="s">
        <v>19</v>
      </c>
      <c r="E3598" s="68">
        <v>2183</v>
      </c>
      <c r="F3598" s="68">
        <v>2371</v>
      </c>
      <c r="G3598" s="68">
        <v>4554</v>
      </c>
    </row>
    <row r="3599" spans="1:7" x14ac:dyDescent="0.3">
      <c r="A3599" t="s">
        <v>1003</v>
      </c>
      <c r="B3599" t="s">
        <v>1005</v>
      </c>
      <c r="C3599" t="s">
        <v>24</v>
      </c>
      <c r="D3599" t="s">
        <v>20</v>
      </c>
      <c r="E3599" s="68">
        <v>1854</v>
      </c>
      <c r="F3599" s="68">
        <v>1941</v>
      </c>
      <c r="G3599" s="68">
        <v>3795</v>
      </c>
    </row>
    <row r="3600" spans="1:7" x14ac:dyDescent="0.3">
      <c r="A3600" t="s">
        <v>1003</v>
      </c>
      <c r="B3600" t="s">
        <v>1005</v>
      </c>
      <c r="C3600" t="s">
        <v>24</v>
      </c>
      <c r="D3600" t="s">
        <v>21</v>
      </c>
      <c r="E3600" s="68">
        <v>1203</v>
      </c>
      <c r="F3600" s="68">
        <v>1234</v>
      </c>
      <c r="G3600" s="68">
        <v>2437</v>
      </c>
    </row>
    <row r="3601" spans="1:7" x14ac:dyDescent="0.3">
      <c r="A3601" t="s">
        <v>1003</v>
      </c>
      <c r="B3601" t="s">
        <v>1005</v>
      </c>
      <c r="C3601" t="s">
        <v>24</v>
      </c>
      <c r="D3601" t="s">
        <v>22</v>
      </c>
      <c r="E3601" s="68">
        <v>896</v>
      </c>
      <c r="F3601" s="68">
        <v>839</v>
      </c>
      <c r="G3601" s="68">
        <v>1735</v>
      </c>
    </row>
    <row r="3602" spans="1:7" x14ac:dyDescent="0.3">
      <c r="A3602" t="s">
        <v>1003</v>
      </c>
      <c r="B3602" t="s">
        <v>1005</v>
      </c>
      <c r="C3602" t="s">
        <v>24</v>
      </c>
      <c r="D3602" t="s">
        <v>23</v>
      </c>
      <c r="E3602" s="68">
        <v>2078</v>
      </c>
      <c r="F3602" s="68">
        <v>1809</v>
      </c>
      <c r="G3602" s="68">
        <v>3887</v>
      </c>
    </row>
    <row r="3603" spans="1:7" x14ac:dyDescent="0.3">
      <c r="A3603" t="s">
        <v>1003</v>
      </c>
      <c r="B3603" t="s">
        <v>31</v>
      </c>
      <c r="C3603" t="s">
        <v>6</v>
      </c>
      <c r="D3603" t="s">
        <v>7</v>
      </c>
      <c r="E3603" s="68">
        <v>34</v>
      </c>
      <c r="F3603" s="68">
        <v>22</v>
      </c>
      <c r="G3603" s="68">
        <v>56</v>
      </c>
    </row>
    <row r="3604" spans="1:7" x14ac:dyDescent="0.3">
      <c r="A3604" t="s">
        <v>1003</v>
      </c>
      <c r="B3604" t="s">
        <v>31</v>
      </c>
      <c r="C3604" t="s">
        <v>6</v>
      </c>
      <c r="D3604" t="s">
        <v>8</v>
      </c>
      <c r="E3604" s="68">
        <v>23</v>
      </c>
      <c r="F3604" s="68">
        <v>35</v>
      </c>
      <c r="G3604" s="68">
        <v>58</v>
      </c>
    </row>
    <row r="3605" spans="1:7" x14ac:dyDescent="0.3">
      <c r="A3605" t="s">
        <v>1003</v>
      </c>
      <c r="B3605" t="s">
        <v>31</v>
      </c>
      <c r="C3605" t="s">
        <v>6</v>
      </c>
      <c r="D3605" t="s">
        <v>9</v>
      </c>
      <c r="E3605" s="68">
        <v>36</v>
      </c>
      <c r="F3605" s="68">
        <v>53</v>
      </c>
      <c r="G3605" s="68">
        <v>89</v>
      </c>
    </row>
    <row r="3606" spans="1:7" x14ac:dyDescent="0.3">
      <c r="A3606" t="s">
        <v>1003</v>
      </c>
      <c r="B3606" t="s">
        <v>31</v>
      </c>
      <c r="C3606" t="s">
        <v>6</v>
      </c>
      <c r="D3606" t="s">
        <v>10</v>
      </c>
      <c r="E3606" s="68">
        <v>42</v>
      </c>
      <c r="F3606" s="68">
        <v>37</v>
      </c>
      <c r="G3606" s="68">
        <v>79</v>
      </c>
    </row>
    <row r="3607" spans="1:7" x14ac:dyDescent="0.3">
      <c r="A3607" t="s">
        <v>1003</v>
      </c>
      <c r="B3607" t="s">
        <v>31</v>
      </c>
      <c r="C3607" t="s">
        <v>6</v>
      </c>
      <c r="D3607" t="s">
        <v>11</v>
      </c>
      <c r="E3607" s="68">
        <v>63</v>
      </c>
      <c r="F3607" s="68">
        <v>54</v>
      </c>
      <c r="G3607" s="68">
        <v>117</v>
      </c>
    </row>
    <row r="3608" spans="1:7" x14ac:dyDescent="0.3">
      <c r="A3608" t="s">
        <v>1003</v>
      </c>
      <c r="B3608" t="s">
        <v>31</v>
      </c>
      <c r="C3608" t="s">
        <v>6</v>
      </c>
      <c r="D3608" t="s">
        <v>12</v>
      </c>
      <c r="E3608" s="68">
        <v>48</v>
      </c>
      <c r="F3608" s="68">
        <v>46</v>
      </c>
      <c r="G3608" s="68">
        <v>94</v>
      </c>
    </row>
    <row r="3609" spans="1:7" x14ac:dyDescent="0.3">
      <c r="A3609" t="s">
        <v>1003</v>
      </c>
      <c r="B3609" t="s">
        <v>31</v>
      </c>
      <c r="C3609" t="s">
        <v>6</v>
      </c>
      <c r="D3609" t="s">
        <v>13</v>
      </c>
      <c r="E3609" s="68">
        <v>97</v>
      </c>
      <c r="F3609" s="68">
        <v>51</v>
      </c>
      <c r="G3609" s="68">
        <v>148</v>
      </c>
    </row>
    <row r="3610" spans="1:7" x14ac:dyDescent="0.3">
      <c r="A3610" t="s">
        <v>1003</v>
      </c>
      <c r="B3610" t="s">
        <v>31</v>
      </c>
      <c r="C3610" t="s">
        <v>6</v>
      </c>
      <c r="D3610" t="s">
        <v>14</v>
      </c>
      <c r="E3610" s="68">
        <v>85</v>
      </c>
      <c r="F3610" s="68">
        <v>54</v>
      </c>
      <c r="G3610" s="68">
        <v>139</v>
      </c>
    </row>
    <row r="3611" spans="1:7" x14ac:dyDescent="0.3">
      <c r="A3611" t="s">
        <v>1003</v>
      </c>
      <c r="B3611" t="s">
        <v>31</v>
      </c>
      <c r="C3611" t="s">
        <v>6</v>
      </c>
      <c r="D3611" t="s">
        <v>15</v>
      </c>
      <c r="E3611" s="68">
        <v>83</v>
      </c>
      <c r="F3611" s="68">
        <v>63</v>
      </c>
      <c r="G3611" s="68">
        <v>146</v>
      </c>
    </row>
    <row r="3612" spans="1:7" x14ac:dyDescent="0.3">
      <c r="A3612" t="s">
        <v>1003</v>
      </c>
      <c r="B3612" t="s">
        <v>31</v>
      </c>
      <c r="C3612" t="s">
        <v>6</v>
      </c>
      <c r="D3612" t="s">
        <v>16</v>
      </c>
      <c r="E3612" s="68">
        <v>77</v>
      </c>
      <c r="F3612" s="68">
        <v>44</v>
      </c>
      <c r="G3612" s="68">
        <v>121</v>
      </c>
    </row>
    <row r="3613" spans="1:7" x14ac:dyDescent="0.3">
      <c r="A3613" t="s">
        <v>1003</v>
      </c>
      <c r="B3613" t="s">
        <v>31</v>
      </c>
      <c r="C3613" t="s">
        <v>6</v>
      </c>
      <c r="D3613" t="s">
        <v>17</v>
      </c>
      <c r="E3613" s="68">
        <v>52</v>
      </c>
      <c r="F3613" s="68">
        <v>34</v>
      </c>
      <c r="G3613" s="68">
        <v>86</v>
      </c>
    </row>
    <row r="3614" spans="1:7" x14ac:dyDescent="0.3">
      <c r="A3614" t="s">
        <v>1003</v>
      </c>
      <c r="B3614" t="s">
        <v>31</v>
      </c>
      <c r="C3614" t="s">
        <v>6</v>
      </c>
      <c r="D3614" t="s">
        <v>18</v>
      </c>
      <c r="E3614" s="68">
        <v>31</v>
      </c>
      <c r="F3614" s="68">
        <v>29</v>
      </c>
      <c r="G3614" s="68">
        <v>60</v>
      </c>
    </row>
    <row r="3615" spans="1:7" x14ac:dyDescent="0.3">
      <c r="A3615" t="s">
        <v>1003</v>
      </c>
      <c r="B3615" t="s">
        <v>31</v>
      </c>
      <c r="C3615" t="s">
        <v>6</v>
      </c>
      <c r="D3615" t="s">
        <v>19</v>
      </c>
      <c r="E3615" s="68">
        <v>20</v>
      </c>
      <c r="F3615" s="68">
        <v>22</v>
      </c>
      <c r="G3615" s="68">
        <v>42</v>
      </c>
    </row>
    <row r="3616" spans="1:7" x14ac:dyDescent="0.3">
      <c r="A3616" t="s">
        <v>1003</v>
      </c>
      <c r="B3616" t="s">
        <v>31</v>
      </c>
      <c r="C3616" t="s">
        <v>6</v>
      </c>
      <c r="D3616" t="s">
        <v>20</v>
      </c>
      <c r="E3616" s="68">
        <v>21</v>
      </c>
      <c r="F3616" s="68">
        <v>21</v>
      </c>
      <c r="G3616" s="68">
        <v>42</v>
      </c>
    </row>
    <row r="3617" spans="1:7" x14ac:dyDescent="0.3">
      <c r="A3617" t="s">
        <v>1003</v>
      </c>
      <c r="B3617" t="s">
        <v>31</v>
      </c>
      <c r="C3617" t="s">
        <v>6</v>
      </c>
      <c r="D3617" t="s">
        <v>21</v>
      </c>
      <c r="E3617" s="68">
        <v>14</v>
      </c>
      <c r="F3617" s="68">
        <v>11</v>
      </c>
      <c r="G3617" s="68">
        <v>25</v>
      </c>
    </row>
    <row r="3618" spans="1:7" x14ac:dyDescent="0.3">
      <c r="A3618" t="s">
        <v>1003</v>
      </c>
      <c r="B3618" t="s">
        <v>31</v>
      </c>
      <c r="C3618" t="s">
        <v>6</v>
      </c>
      <c r="D3618" t="s">
        <v>22</v>
      </c>
      <c r="E3618" s="68">
        <v>6</v>
      </c>
      <c r="F3618" s="68">
        <v>10</v>
      </c>
      <c r="G3618" s="68">
        <v>16</v>
      </c>
    </row>
    <row r="3619" spans="1:7" x14ac:dyDescent="0.3">
      <c r="A3619" t="s">
        <v>1003</v>
      </c>
      <c r="B3619" t="s">
        <v>31</v>
      </c>
      <c r="C3619" t="s">
        <v>6</v>
      </c>
      <c r="D3619" t="s">
        <v>23</v>
      </c>
      <c r="E3619" s="68">
        <v>7</v>
      </c>
      <c r="F3619" s="68">
        <v>6</v>
      </c>
      <c r="G3619" s="68">
        <v>13</v>
      </c>
    </row>
    <row r="3620" spans="1:7" x14ac:dyDescent="0.3">
      <c r="A3620" t="s">
        <v>1003</v>
      </c>
      <c r="B3620" t="s">
        <v>31</v>
      </c>
      <c r="C3620" t="s">
        <v>24</v>
      </c>
      <c r="D3620" t="s">
        <v>7</v>
      </c>
      <c r="E3620" s="68">
        <v>193</v>
      </c>
      <c r="F3620" s="68">
        <v>237</v>
      </c>
      <c r="G3620" s="68">
        <v>430</v>
      </c>
    </row>
    <row r="3621" spans="1:7" x14ac:dyDescent="0.3">
      <c r="A3621" t="s">
        <v>1003</v>
      </c>
      <c r="B3621" t="s">
        <v>31</v>
      </c>
      <c r="C3621" t="s">
        <v>24</v>
      </c>
      <c r="D3621" t="s">
        <v>8</v>
      </c>
      <c r="E3621" s="68">
        <v>331</v>
      </c>
      <c r="F3621" s="68">
        <v>409</v>
      </c>
      <c r="G3621" s="68">
        <v>740</v>
      </c>
    </row>
    <row r="3622" spans="1:7" x14ac:dyDescent="0.3">
      <c r="A3622" t="s">
        <v>1003</v>
      </c>
      <c r="B3622" t="s">
        <v>31</v>
      </c>
      <c r="C3622" t="s">
        <v>24</v>
      </c>
      <c r="D3622" t="s">
        <v>9</v>
      </c>
      <c r="E3622" s="68">
        <v>396</v>
      </c>
      <c r="F3622" s="68">
        <v>379</v>
      </c>
      <c r="G3622" s="68">
        <v>775</v>
      </c>
    </row>
    <row r="3623" spans="1:7" x14ac:dyDescent="0.3">
      <c r="A3623" t="s">
        <v>1003</v>
      </c>
      <c r="B3623" t="s">
        <v>31</v>
      </c>
      <c r="C3623" t="s">
        <v>24</v>
      </c>
      <c r="D3623" t="s">
        <v>10</v>
      </c>
      <c r="E3623" s="68">
        <v>350</v>
      </c>
      <c r="F3623" s="68">
        <v>288</v>
      </c>
      <c r="G3623" s="68">
        <v>638</v>
      </c>
    </row>
    <row r="3624" spans="1:7" x14ac:dyDescent="0.3">
      <c r="A3624" t="s">
        <v>1003</v>
      </c>
      <c r="B3624" t="s">
        <v>31</v>
      </c>
      <c r="C3624" t="s">
        <v>24</v>
      </c>
      <c r="D3624" t="s">
        <v>11</v>
      </c>
      <c r="E3624" s="68">
        <v>330</v>
      </c>
      <c r="F3624" s="68">
        <v>236</v>
      </c>
      <c r="G3624" s="68">
        <v>566</v>
      </c>
    </row>
    <row r="3625" spans="1:7" x14ac:dyDescent="0.3">
      <c r="A3625" t="s">
        <v>1003</v>
      </c>
      <c r="B3625" t="s">
        <v>31</v>
      </c>
      <c r="C3625" t="s">
        <v>24</v>
      </c>
      <c r="D3625" t="s">
        <v>12</v>
      </c>
      <c r="E3625" s="68">
        <v>286</v>
      </c>
      <c r="F3625" s="68">
        <v>154</v>
      </c>
      <c r="G3625" s="68">
        <v>440</v>
      </c>
    </row>
    <row r="3626" spans="1:7" x14ac:dyDescent="0.3">
      <c r="A3626" t="s">
        <v>1003</v>
      </c>
      <c r="B3626" t="s">
        <v>31</v>
      </c>
      <c r="C3626" t="s">
        <v>24</v>
      </c>
      <c r="D3626" t="s">
        <v>13</v>
      </c>
      <c r="E3626" s="68">
        <v>364</v>
      </c>
      <c r="F3626" s="68">
        <v>129</v>
      </c>
      <c r="G3626" s="68">
        <v>493</v>
      </c>
    </row>
    <row r="3627" spans="1:7" x14ac:dyDescent="0.3">
      <c r="A3627" t="s">
        <v>1003</v>
      </c>
      <c r="B3627" t="s">
        <v>31</v>
      </c>
      <c r="C3627" t="s">
        <v>24</v>
      </c>
      <c r="D3627" t="s">
        <v>14</v>
      </c>
      <c r="E3627" s="68">
        <v>278</v>
      </c>
      <c r="F3627" s="68">
        <v>197</v>
      </c>
      <c r="G3627" s="68">
        <v>475</v>
      </c>
    </row>
    <row r="3628" spans="1:7" x14ac:dyDescent="0.3">
      <c r="A3628" t="s">
        <v>1003</v>
      </c>
      <c r="B3628" t="s">
        <v>31</v>
      </c>
      <c r="C3628" t="s">
        <v>24</v>
      </c>
      <c r="D3628" t="s">
        <v>15</v>
      </c>
      <c r="E3628" s="68">
        <v>283</v>
      </c>
      <c r="F3628" s="68">
        <v>188</v>
      </c>
      <c r="G3628" s="68">
        <v>471</v>
      </c>
    </row>
    <row r="3629" spans="1:7" x14ac:dyDescent="0.3">
      <c r="A3629" t="s">
        <v>1003</v>
      </c>
      <c r="B3629" t="s">
        <v>31</v>
      </c>
      <c r="C3629" t="s">
        <v>24</v>
      </c>
      <c r="D3629" t="s">
        <v>16</v>
      </c>
      <c r="E3629" s="68">
        <v>224</v>
      </c>
      <c r="F3629" s="68">
        <v>193</v>
      </c>
      <c r="G3629" s="68">
        <v>417</v>
      </c>
    </row>
    <row r="3630" spans="1:7" x14ac:dyDescent="0.3">
      <c r="A3630" t="s">
        <v>1003</v>
      </c>
      <c r="B3630" t="s">
        <v>31</v>
      </c>
      <c r="C3630" t="s">
        <v>24</v>
      </c>
      <c r="D3630" t="s">
        <v>17</v>
      </c>
      <c r="E3630" s="68">
        <v>191</v>
      </c>
      <c r="F3630" s="68">
        <v>149</v>
      </c>
      <c r="G3630" s="68">
        <v>340</v>
      </c>
    </row>
    <row r="3631" spans="1:7" x14ac:dyDescent="0.3">
      <c r="A3631" t="s">
        <v>1003</v>
      </c>
      <c r="B3631" t="s">
        <v>31</v>
      </c>
      <c r="C3631" t="s">
        <v>24</v>
      </c>
      <c r="D3631" t="s">
        <v>18</v>
      </c>
      <c r="E3631" s="68">
        <v>156</v>
      </c>
      <c r="F3631" s="68">
        <v>142</v>
      </c>
      <c r="G3631" s="68">
        <v>298</v>
      </c>
    </row>
    <row r="3632" spans="1:7" x14ac:dyDescent="0.3">
      <c r="A3632" t="s">
        <v>1003</v>
      </c>
      <c r="B3632" t="s">
        <v>31</v>
      </c>
      <c r="C3632" t="s">
        <v>24</v>
      </c>
      <c r="D3632" t="s">
        <v>19</v>
      </c>
      <c r="E3632" s="68">
        <v>122</v>
      </c>
      <c r="F3632" s="68">
        <v>112</v>
      </c>
      <c r="G3632" s="68">
        <v>234</v>
      </c>
    </row>
    <row r="3633" spans="1:7" x14ac:dyDescent="0.3">
      <c r="A3633" t="s">
        <v>1003</v>
      </c>
      <c r="B3633" t="s">
        <v>31</v>
      </c>
      <c r="C3633" t="s">
        <v>24</v>
      </c>
      <c r="D3633" t="s">
        <v>20</v>
      </c>
      <c r="E3633" s="68">
        <v>110</v>
      </c>
      <c r="F3633" s="68">
        <v>73</v>
      </c>
      <c r="G3633" s="68">
        <v>183</v>
      </c>
    </row>
    <row r="3634" spans="1:7" x14ac:dyDescent="0.3">
      <c r="A3634" t="s">
        <v>1003</v>
      </c>
      <c r="B3634" t="s">
        <v>31</v>
      </c>
      <c r="C3634" t="s">
        <v>24</v>
      </c>
      <c r="D3634" t="s">
        <v>21</v>
      </c>
      <c r="E3634" s="68">
        <v>52</v>
      </c>
      <c r="F3634" s="68">
        <v>50</v>
      </c>
      <c r="G3634" s="68">
        <v>102</v>
      </c>
    </row>
    <row r="3635" spans="1:7" x14ac:dyDescent="0.3">
      <c r="A3635" t="s">
        <v>1003</v>
      </c>
      <c r="B3635" t="s">
        <v>31</v>
      </c>
      <c r="C3635" t="s">
        <v>24</v>
      </c>
      <c r="D3635" t="s">
        <v>22</v>
      </c>
      <c r="E3635" s="68">
        <v>35</v>
      </c>
      <c r="F3635" s="68">
        <v>26</v>
      </c>
      <c r="G3635" s="68">
        <v>61</v>
      </c>
    </row>
    <row r="3636" spans="1:7" x14ac:dyDescent="0.3">
      <c r="A3636" t="s">
        <v>1003</v>
      </c>
      <c r="B3636" t="s">
        <v>31</v>
      </c>
      <c r="C3636" t="s">
        <v>24</v>
      </c>
      <c r="D3636" t="s">
        <v>23</v>
      </c>
      <c r="E3636" s="68">
        <v>71</v>
      </c>
      <c r="F3636" s="68">
        <v>34</v>
      </c>
      <c r="G3636" s="68">
        <v>105</v>
      </c>
    </row>
    <row r="3637" spans="1:7" x14ac:dyDescent="0.3">
      <c r="A3637" t="s">
        <v>1003</v>
      </c>
      <c r="B3637" t="s">
        <v>5</v>
      </c>
      <c r="C3637" t="s">
        <v>6</v>
      </c>
      <c r="D3637" t="s">
        <v>7</v>
      </c>
      <c r="E3637" s="68">
        <v>446</v>
      </c>
      <c r="F3637" s="68">
        <v>432</v>
      </c>
      <c r="G3637" s="68">
        <v>878</v>
      </c>
    </row>
    <row r="3638" spans="1:7" x14ac:dyDescent="0.3">
      <c r="A3638" t="s">
        <v>1003</v>
      </c>
      <c r="B3638" t="s">
        <v>5</v>
      </c>
      <c r="C3638" t="s">
        <v>6</v>
      </c>
      <c r="D3638" t="s">
        <v>8</v>
      </c>
      <c r="E3638" s="68">
        <v>650</v>
      </c>
      <c r="F3638" s="68">
        <v>610</v>
      </c>
      <c r="G3638" s="68">
        <v>1260</v>
      </c>
    </row>
    <row r="3639" spans="1:7" x14ac:dyDescent="0.3">
      <c r="A3639" t="s">
        <v>1003</v>
      </c>
      <c r="B3639" t="s">
        <v>5</v>
      </c>
      <c r="C3639" t="s">
        <v>6</v>
      </c>
      <c r="D3639" t="s">
        <v>9</v>
      </c>
      <c r="E3639" s="68">
        <v>632</v>
      </c>
      <c r="F3639" s="68">
        <v>695</v>
      </c>
      <c r="G3639" s="68">
        <v>1327</v>
      </c>
    </row>
    <row r="3640" spans="1:7" x14ac:dyDescent="0.3">
      <c r="A3640" t="s">
        <v>1003</v>
      </c>
      <c r="B3640" t="s">
        <v>5</v>
      </c>
      <c r="C3640" t="s">
        <v>6</v>
      </c>
      <c r="D3640" t="s">
        <v>10</v>
      </c>
      <c r="E3640" s="68">
        <v>503</v>
      </c>
      <c r="F3640" s="68">
        <v>532</v>
      </c>
      <c r="G3640" s="68">
        <v>1035</v>
      </c>
    </row>
    <row r="3641" spans="1:7" x14ac:dyDescent="0.3">
      <c r="A3641" t="s">
        <v>1003</v>
      </c>
      <c r="B3641" t="s">
        <v>5</v>
      </c>
      <c r="C3641" t="s">
        <v>6</v>
      </c>
      <c r="D3641" t="s">
        <v>11</v>
      </c>
      <c r="E3641" s="68">
        <v>483</v>
      </c>
      <c r="F3641" s="68">
        <v>362</v>
      </c>
      <c r="G3641" s="68">
        <v>845</v>
      </c>
    </row>
    <row r="3642" spans="1:7" x14ac:dyDescent="0.3">
      <c r="A3642" t="s">
        <v>1003</v>
      </c>
      <c r="B3642" t="s">
        <v>5</v>
      </c>
      <c r="C3642" t="s">
        <v>6</v>
      </c>
      <c r="D3642" t="s">
        <v>12</v>
      </c>
      <c r="E3642" s="68">
        <v>632</v>
      </c>
      <c r="F3642" s="68">
        <v>409</v>
      </c>
      <c r="G3642" s="68">
        <v>1041</v>
      </c>
    </row>
    <row r="3643" spans="1:7" x14ac:dyDescent="0.3">
      <c r="A3643" t="s">
        <v>1003</v>
      </c>
      <c r="B3643" t="s">
        <v>5</v>
      </c>
      <c r="C3643" t="s">
        <v>6</v>
      </c>
      <c r="D3643" t="s">
        <v>13</v>
      </c>
      <c r="E3643" s="68">
        <v>896</v>
      </c>
      <c r="F3643" s="68">
        <v>554</v>
      </c>
      <c r="G3643" s="68">
        <v>1450</v>
      </c>
    </row>
    <row r="3644" spans="1:7" x14ac:dyDescent="0.3">
      <c r="A3644" t="s">
        <v>1003</v>
      </c>
      <c r="B3644" t="s">
        <v>5</v>
      </c>
      <c r="C3644" t="s">
        <v>6</v>
      </c>
      <c r="D3644" t="s">
        <v>14</v>
      </c>
      <c r="E3644" s="68">
        <v>1016</v>
      </c>
      <c r="F3644" s="68">
        <v>664</v>
      </c>
      <c r="G3644" s="68">
        <v>1680</v>
      </c>
    </row>
    <row r="3645" spans="1:7" x14ac:dyDescent="0.3">
      <c r="A3645" t="s">
        <v>1003</v>
      </c>
      <c r="B3645" t="s">
        <v>5</v>
      </c>
      <c r="C3645" t="s">
        <v>6</v>
      </c>
      <c r="D3645" t="s">
        <v>15</v>
      </c>
      <c r="E3645" s="68">
        <v>962</v>
      </c>
      <c r="F3645" s="68">
        <v>615</v>
      </c>
      <c r="G3645" s="68">
        <v>1577</v>
      </c>
    </row>
    <row r="3646" spans="1:7" x14ac:dyDescent="0.3">
      <c r="A3646" t="s">
        <v>1003</v>
      </c>
      <c r="B3646" t="s">
        <v>5</v>
      </c>
      <c r="C3646" t="s">
        <v>6</v>
      </c>
      <c r="D3646" t="s">
        <v>16</v>
      </c>
      <c r="E3646" s="68">
        <v>705</v>
      </c>
      <c r="F3646" s="68">
        <v>549</v>
      </c>
      <c r="G3646" s="68">
        <v>1254</v>
      </c>
    </row>
    <row r="3647" spans="1:7" x14ac:dyDescent="0.3">
      <c r="A3647" t="s">
        <v>1003</v>
      </c>
      <c r="B3647" t="s">
        <v>5</v>
      </c>
      <c r="C3647" t="s">
        <v>6</v>
      </c>
      <c r="D3647" t="s">
        <v>17</v>
      </c>
      <c r="E3647" s="68">
        <v>498</v>
      </c>
      <c r="F3647" s="68">
        <v>325</v>
      </c>
      <c r="G3647" s="68">
        <v>823</v>
      </c>
    </row>
    <row r="3648" spans="1:7" x14ac:dyDescent="0.3">
      <c r="A3648" t="s">
        <v>1003</v>
      </c>
      <c r="B3648" t="s">
        <v>5</v>
      </c>
      <c r="C3648" t="s">
        <v>6</v>
      </c>
      <c r="D3648" t="s">
        <v>18</v>
      </c>
      <c r="E3648" s="68">
        <v>400</v>
      </c>
      <c r="F3648" s="68">
        <v>272</v>
      </c>
      <c r="G3648" s="68">
        <v>672</v>
      </c>
    </row>
    <row r="3649" spans="1:7" x14ac:dyDescent="0.3">
      <c r="A3649" t="s">
        <v>1003</v>
      </c>
      <c r="B3649" t="s">
        <v>5</v>
      </c>
      <c r="C3649" t="s">
        <v>6</v>
      </c>
      <c r="D3649" t="s">
        <v>19</v>
      </c>
      <c r="E3649" s="68">
        <v>289</v>
      </c>
      <c r="F3649" s="68">
        <v>215</v>
      </c>
      <c r="G3649" s="68">
        <v>504</v>
      </c>
    </row>
    <row r="3650" spans="1:7" x14ac:dyDescent="0.3">
      <c r="A3650" t="s">
        <v>1003</v>
      </c>
      <c r="B3650" t="s">
        <v>5</v>
      </c>
      <c r="C3650" t="s">
        <v>6</v>
      </c>
      <c r="D3650" t="s">
        <v>20</v>
      </c>
      <c r="E3650" s="68">
        <v>255</v>
      </c>
      <c r="F3650" s="68">
        <v>168</v>
      </c>
      <c r="G3650" s="68">
        <v>423</v>
      </c>
    </row>
    <row r="3651" spans="1:7" x14ac:dyDescent="0.3">
      <c r="A3651" t="s">
        <v>1003</v>
      </c>
      <c r="B3651" t="s">
        <v>5</v>
      </c>
      <c r="C3651" t="s">
        <v>6</v>
      </c>
      <c r="D3651" t="s">
        <v>21</v>
      </c>
      <c r="E3651" s="68">
        <v>187</v>
      </c>
      <c r="F3651" s="68">
        <v>123</v>
      </c>
      <c r="G3651" s="68">
        <v>310</v>
      </c>
    </row>
    <row r="3652" spans="1:7" x14ac:dyDescent="0.3">
      <c r="A3652" t="s">
        <v>1003</v>
      </c>
      <c r="B3652" t="s">
        <v>5</v>
      </c>
      <c r="C3652" t="s">
        <v>6</v>
      </c>
      <c r="D3652" t="s">
        <v>22</v>
      </c>
      <c r="E3652" s="68">
        <v>130</v>
      </c>
      <c r="F3652" s="68">
        <v>82</v>
      </c>
      <c r="G3652" s="68">
        <v>212</v>
      </c>
    </row>
    <row r="3653" spans="1:7" x14ac:dyDescent="0.3">
      <c r="A3653" t="s">
        <v>1003</v>
      </c>
      <c r="B3653" t="s">
        <v>5</v>
      </c>
      <c r="C3653" t="s">
        <v>6</v>
      </c>
      <c r="D3653" t="s">
        <v>23</v>
      </c>
      <c r="E3653" s="68">
        <v>254</v>
      </c>
      <c r="F3653" s="68">
        <v>102</v>
      </c>
      <c r="G3653" s="68">
        <v>356</v>
      </c>
    </row>
    <row r="3654" spans="1:7" x14ac:dyDescent="0.3">
      <c r="A3654" t="s">
        <v>1003</v>
      </c>
      <c r="B3654" t="s">
        <v>5</v>
      </c>
      <c r="C3654" t="s">
        <v>24</v>
      </c>
      <c r="D3654" t="s">
        <v>7</v>
      </c>
      <c r="E3654" s="68">
        <v>971</v>
      </c>
      <c r="F3654" s="68">
        <v>954</v>
      </c>
      <c r="G3654" s="68">
        <v>1925</v>
      </c>
    </row>
    <row r="3655" spans="1:7" x14ac:dyDescent="0.3">
      <c r="A3655" t="s">
        <v>1003</v>
      </c>
      <c r="B3655" t="s">
        <v>5</v>
      </c>
      <c r="C3655" t="s">
        <v>24</v>
      </c>
      <c r="D3655" t="s">
        <v>8</v>
      </c>
      <c r="E3655" s="68">
        <v>1840</v>
      </c>
      <c r="F3655" s="68">
        <v>1947</v>
      </c>
      <c r="G3655" s="68">
        <v>3787</v>
      </c>
    </row>
    <row r="3656" spans="1:7" x14ac:dyDescent="0.3">
      <c r="A3656" t="s">
        <v>1003</v>
      </c>
      <c r="B3656" t="s">
        <v>5</v>
      </c>
      <c r="C3656" t="s">
        <v>24</v>
      </c>
      <c r="D3656" t="s">
        <v>9</v>
      </c>
      <c r="E3656" s="68">
        <v>2349</v>
      </c>
      <c r="F3656" s="68">
        <v>2453</v>
      </c>
      <c r="G3656" s="68">
        <v>4802</v>
      </c>
    </row>
    <row r="3657" spans="1:7" x14ac:dyDescent="0.3">
      <c r="A3657" t="s">
        <v>1003</v>
      </c>
      <c r="B3657" t="s">
        <v>5</v>
      </c>
      <c r="C3657" t="s">
        <v>24</v>
      </c>
      <c r="D3657" t="s">
        <v>10</v>
      </c>
      <c r="E3657" s="68">
        <v>1731</v>
      </c>
      <c r="F3657" s="68">
        <v>1808</v>
      </c>
      <c r="G3657" s="68">
        <v>3539</v>
      </c>
    </row>
    <row r="3658" spans="1:7" x14ac:dyDescent="0.3">
      <c r="A3658" t="s">
        <v>1003</v>
      </c>
      <c r="B3658" t="s">
        <v>5</v>
      </c>
      <c r="C3658" t="s">
        <v>24</v>
      </c>
      <c r="D3658" t="s">
        <v>11</v>
      </c>
      <c r="E3658" s="68">
        <v>1203</v>
      </c>
      <c r="F3658" s="68">
        <v>951</v>
      </c>
      <c r="G3658" s="68">
        <v>2154</v>
      </c>
    </row>
    <row r="3659" spans="1:7" x14ac:dyDescent="0.3">
      <c r="A3659" t="s">
        <v>1003</v>
      </c>
      <c r="B3659" t="s">
        <v>5</v>
      </c>
      <c r="C3659" t="s">
        <v>24</v>
      </c>
      <c r="D3659" t="s">
        <v>12</v>
      </c>
      <c r="E3659" s="68">
        <v>1144</v>
      </c>
      <c r="F3659" s="68">
        <v>869</v>
      </c>
      <c r="G3659" s="68">
        <v>2013</v>
      </c>
    </row>
    <row r="3660" spans="1:7" x14ac:dyDescent="0.3">
      <c r="A3660" t="s">
        <v>1003</v>
      </c>
      <c r="B3660" t="s">
        <v>5</v>
      </c>
      <c r="C3660" t="s">
        <v>24</v>
      </c>
      <c r="D3660" t="s">
        <v>13</v>
      </c>
      <c r="E3660" s="68">
        <v>1207</v>
      </c>
      <c r="F3660" s="68">
        <v>790</v>
      </c>
      <c r="G3660" s="68">
        <v>1997</v>
      </c>
    </row>
    <row r="3661" spans="1:7" x14ac:dyDescent="0.3">
      <c r="A3661" t="s">
        <v>1003</v>
      </c>
      <c r="B3661" t="s">
        <v>5</v>
      </c>
      <c r="C3661" t="s">
        <v>24</v>
      </c>
      <c r="D3661" t="s">
        <v>14</v>
      </c>
      <c r="E3661" s="68">
        <v>1060</v>
      </c>
      <c r="F3661" s="68">
        <v>804</v>
      </c>
      <c r="G3661" s="68">
        <v>1864</v>
      </c>
    </row>
    <row r="3662" spans="1:7" x14ac:dyDescent="0.3">
      <c r="A3662" t="s">
        <v>1003</v>
      </c>
      <c r="B3662" t="s">
        <v>5</v>
      </c>
      <c r="C3662" t="s">
        <v>24</v>
      </c>
      <c r="D3662" t="s">
        <v>15</v>
      </c>
      <c r="E3662" s="68">
        <v>869</v>
      </c>
      <c r="F3662" s="68">
        <v>705</v>
      </c>
      <c r="G3662" s="68">
        <v>1574</v>
      </c>
    </row>
    <row r="3663" spans="1:7" x14ac:dyDescent="0.3">
      <c r="A3663" t="s">
        <v>1003</v>
      </c>
      <c r="B3663" t="s">
        <v>5</v>
      </c>
      <c r="C3663" t="s">
        <v>24</v>
      </c>
      <c r="D3663" t="s">
        <v>16</v>
      </c>
      <c r="E3663" s="68">
        <v>668</v>
      </c>
      <c r="F3663" s="68">
        <v>547</v>
      </c>
      <c r="G3663" s="68">
        <v>1215</v>
      </c>
    </row>
    <row r="3664" spans="1:7" x14ac:dyDescent="0.3">
      <c r="A3664" t="s">
        <v>1003</v>
      </c>
      <c r="B3664" t="s">
        <v>5</v>
      </c>
      <c r="C3664" t="s">
        <v>24</v>
      </c>
      <c r="D3664" t="s">
        <v>17</v>
      </c>
      <c r="E3664" s="68">
        <v>544</v>
      </c>
      <c r="F3664" s="68">
        <v>472</v>
      </c>
      <c r="G3664" s="68">
        <v>1016</v>
      </c>
    </row>
    <row r="3665" spans="1:7" x14ac:dyDescent="0.3">
      <c r="A3665" t="s">
        <v>1003</v>
      </c>
      <c r="B3665" t="s">
        <v>5</v>
      </c>
      <c r="C3665" t="s">
        <v>24</v>
      </c>
      <c r="D3665" t="s">
        <v>18</v>
      </c>
      <c r="E3665" s="68">
        <v>496</v>
      </c>
      <c r="F3665" s="68">
        <v>407</v>
      </c>
      <c r="G3665" s="68">
        <v>903</v>
      </c>
    </row>
    <row r="3666" spans="1:7" x14ac:dyDescent="0.3">
      <c r="A3666" t="s">
        <v>1003</v>
      </c>
      <c r="B3666" t="s">
        <v>5</v>
      </c>
      <c r="C3666" t="s">
        <v>24</v>
      </c>
      <c r="D3666" t="s">
        <v>19</v>
      </c>
      <c r="E3666" s="68">
        <v>517</v>
      </c>
      <c r="F3666" s="68">
        <v>404</v>
      </c>
      <c r="G3666" s="68">
        <v>921</v>
      </c>
    </row>
    <row r="3667" spans="1:7" x14ac:dyDescent="0.3">
      <c r="A3667" t="s">
        <v>1003</v>
      </c>
      <c r="B3667" t="s">
        <v>5</v>
      </c>
      <c r="C3667" t="s">
        <v>24</v>
      </c>
      <c r="D3667" t="s">
        <v>20</v>
      </c>
      <c r="E3667" s="68">
        <v>435</v>
      </c>
      <c r="F3667" s="68">
        <v>391</v>
      </c>
      <c r="G3667" s="68">
        <v>826</v>
      </c>
    </row>
    <row r="3668" spans="1:7" x14ac:dyDescent="0.3">
      <c r="A3668" t="s">
        <v>1003</v>
      </c>
      <c r="B3668" t="s">
        <v>5</v>
      </c>
      <c r="C3668" t="s">
        <v>24</v>
      </c>
      <c r="D3668" t="s">
        <v>21</v>
      </c>
      <c r="E3668" s="68">
        <v>323</v>
      </c>
      <c r="F3668" s="68">
        <v>268</v>
      </c>
      <c r="G3668" s="68">
        <v>591</v>
      </c>
    </row>
    <row r="3669" spans="1:7" x14ac:dyDescent="0.3">
      <c r="A3669" t="s">
        <v>1003</v>
      </c>
      <c r="B3669" t="s">
        <v>5</v>
      </c>
      <c r="C3669" t="s">
        <v>24</v>
      </c>
      <c r="D3669" t="s">
        <v>22</v>
      </c>
      <c r="E3669" s="68">
        <v>201</v>
      </c>
      <c r="F3669" s="68">
        <v>171</v>
      </c>
      <c r="G3669" s="68">
        <v>372</v>
      </c>
    </row>
    <row r="3670" spans="1:7" x14ac:dyDescent="0.3">
      <c r="A3670" t="s">
        <v>1003</v>
      </c>
      <c r="B3670" t="s">
        <v>5</v>
      </c>
      <c r="C3670" t="s">
        <v>24</v>
      </c>
      <c r="D3670" t="s">
        <v>23</v>
      </c>
      <c r="E3670" s="68">
        <v>620</v>
      </c>
      <c r="F3670" s="68">
        <v>482</v>
      </c>
      <c r="G3670" s="68">
        <v>1102</v>
      </c>
    </row>
    <row r="3671" spans="1:7" x14ac:dyDescent="0.3">
      <c r="A3671" t="s">
        <v>1003</v>
      </c>
      <c r="B3671" t="s">
        <v>26</v>
      </c>
      <c r="C3671" t="s">
        <v>6</v>
      </c>
      <c r="D3671" t="s">
        <v>7</v>
      </c>
      <c r="E3671" s="68">
        <v>1093</v>
      </c>
      <c r="F3671" s="68">
        <v>1161</v>
      </c>
      <c r="G3671" s="68">
        <v>2254</v>
      </c>
    </row>
    <row r="3672" spans="1:7" x14ac:dyDescent="0.3">
      <c r="A3672" t="s">
        <v>1003</v>
      </c>
      <c r="B3672" t="s">
        <v>26</v>
      </c>
      <c r="C3672" t="s">
        <v>6</v>
      </c>
      <c r="D3672" t="s">
        <v>8</v>
      </c>
      <c r="E3672" s="68">
        <v>1088</v>
      </c>
      <c r="F3672" s="68">
        <v>1035</v>
      </c>
      <c r="G3672" s="68">
        <v>2123</v>
      </c>
    </row>
    <row r="3673" spans="1:7" x14ac:dyDescent="0.3">
      <c r="A3673" t="s">
        <v>1003</v>
      </c>
      <c r="B3673" t="s">
        <v>26</v>
      </c>
      <c r="C3673" t="s">
        <v>6</v>
      </c>
      <c r="D3673" t="s">
        <v>9</v>
      </c>
      <c r="E3673" s="68">
        <v>952</v>
      </c>
      <c r="F3673" s="68">
        <v>986</v>
      </c>
      <c r="G3673" s="68">
        <v>1938</v>
      </c>
    </row>
    <row r="3674" spans="1:7" x14ac:dyDescent="0.3">
      <c r="A3674" t="s">
        <v>1003</v>
      </c>
      <c r="B3674" t="s">
        <v>26</v>
      </c>
      <c r="C3674" t="s">
        <v>6</v>
      </c>
      <c r="D3674" t="s">
        <v>10</v>
      </c>
      <c r="E3674" s="68">
        <v>861</v>
      </c>
      <c r="F3674" s="68">
        <v>899</v>
      </c>
      <c r="G3674" s="68">
        <v>1760</v>
      </c>
    </row>
    <row r="3675" spans="1:7" x14ac:dyDescent="0.3">
      <c r="A3675" t="s">
        <v>1003</v>
      </c>
      <c r="B3675" t="s">
        <v>26</v>
      </c>
      <c r="C3675" t="s">
        <v>6</v>
      </c>
      <c r="D3675" t="s">
        <v>11</v>
      </c>
      <c r="E3675" s="68">
        <v>1114</v>
      </c>
      <c r="F3675" s="68">
        <v>1453</v>
      </c>
      <c r="G3675" s="68">
        <v>2567</v>
      </c>
    </row>
    <row r="3676" spans="1:7" x14ac:dyDescent="0.3">
      <c r="A3676" t="s">
        <v>1003</v>
      </c>
      <c r="B3676" t="s">
        <v>26</v>
      </c>
      <c r="C3676" t="s">
        <v>6</v>
      </c>
      <c r="D3676" t="s">
        <v>12</v>
      </c>
      <c r="E3676" s="68">
        <v>1516</v>
      </c>
      <c r="F3676" s="68">
        <v>1752</v>
      </c>
      <c r="G3676" s="68">
        <v>3268</v>
      </c>
    </row>
    <row r="3677" spans="1:7" x14ac:dyDescent="0.3">
      <c r="A3677" t="s">
        <v>1003</v>
      </c>
      <c r="B3677" t="s">
        <v>26</v>
      </c>
      <c r="C3677" t="s">
        <v>6</v>
      </c>
      <c r="D3677" t="s">
        <v>13</v>
      </c>
      <c r="E3677" s="68">
        <v>1804</v>
      </c>
      <c r="F3677" s="68">
        <v>1987</v>
      </c>
      <c r="G3677" s="68">
        <v>3791</v>
      </c>
    </row>
    <row r="3678" spans="1:7" x14ac:dyDescent="0.3">
      <c r="A3678" t="s">
        <v>1003</v>
      </c>
      <c r="B3678" t="s">
        <v>26</v>
      </c>
      <c r="C3678" t="s">
        <v>6</v>
      </c>
      <c r="D3678" t="s">
        <v>14</v>
      </c>
      <c r="E3678" s="68">
        <v>1730</v>
      </c>
      <c r="F3678" s="68">
        <v>1866</v>
      </c>
      <c r="G3678" s="68">
        <v>3596</v>
      </c>
    </row>
    <row r="3679" spans="1:7" x14ac:dyDescent="0.3">
      <c r="A3679" t="s">
        <v>1003</v>
      </c>
      <c r="B3679" t="s">
        <v>26</v>
      </c>
      <c r="C3679" t="s">
        <v>6</v>
      </c>
      <c r="D3679" t="s">
        <v>15</v>
      </c>
      <c r="E3679" s="68">
        <v>1566</v>
      </c>
      <c r="F3679" s="68">
        <v>1680</v>
      </c>
      <c r="G3679" s="68">
        <v>3246</v>
      </c>
    </row>
    <row r="3680" spans="1:7" x14ac:dyDescent="0.3">
      <c r="A3680" t="s">
        <v>1003</v>
      </c>
      <c r="B3680" t="s">
        <v>26</v>
      </c>
      <c r="C3680" t="s">
        <v>6</v>
      </c>
      <c r="D3680" t="s">
        <v>16</v>
      </c>
      <c r="E3680" s="68">
        <v>1110</v>
      </c>
      <c r="F3680" s="68">
        <v>1254</v>
      </c>
      <c r="G3680" s="68">
        <v>2364</v>
      </c>
    </row>
    <row r="3681" spans="1:7" x14ac:dyDescent="0.3">
      <c r="A3681" t="s">
        <v>1003</v>
      </c>
      <c r="B3681" t="s">
        <v>26</v>
      </c>
      <c r="C3681" t="s">
        <v>6</v>
      </c>
      <c r="D3681" t="s">
        <v>17</v>
      </c>
      <c r="E3681" s="68">
        <v>881</v>
      </c>
      <c r="F3681" s="68">
        <v>826</v>
      </c>
      <c r="G3681" s="68">
        <v>1707</v>
      </c>
    </row>
    <row r="3682" spans="1:7" x14ac:dyDescent="0.3">
      <c r="A3682" t="s">
        <v>1003</v>
      </c>
      <c r="B3682" t="s">
        <v>26</v>
      </c>
      <c r="C3682" t="s">
        <v>6</v>
      </c>
      <c r="D3682" t="s">
        <v>18</v>
      </c>
      <c r="E3682" s="68">
        <v>810</v>
      </c>
      <c r="F3682" s="68">
        <v>729</v>
      </c>
      <c r="G3682" s="68">
        <v>1539</v>
      </c>
    </row>
    <row r="3683" spans="1:7" x14ac:dyDescent="0.3">
      <c r="A3683" t="s">
        <v>1003</v>
      </c>
      <c r="B3683" t="s">
        <v>26</v>
      </c>
      <c r="C3683" t="s">
        <v>6</v>
      </c>
      <c r="D3683" t="s">
        <v>19</v>
      </c>
      <c r="E3683" s="68">
        <v>650</v>
      </c>
      <c r="F3683" s="68">
        <v>554</v>
      </c>
      <c r="G3683" s="68">
        <v>1204</v>
      </c>
    </row>
    <row r="3684" spans="1:7" x14ac:dyDescent="0.3">
      <c r="A3684" t="s">
        <v>1003</v>
      </c>
      <c r="B3684" t="s">
        <v>26</v>
      </c>
      <c r="C3684" t="s">
        <v>6</v>
      </c>
      <c r="D3684" t="s">
        <v>20</v>
      </c>
      <c r="E3684" s="68">
        <v>537</v>
      </c>
      <c r="F3684" s="68">
        <v>451</v>
      </c>
      <c r="G3684" s="68">
        <v>988</v>
      </c>
    </row>
    <row r="3685" spans="1:7" x14ac:dyDescent="0.3">
      <c r="A3685" t="s">
        <v>1003</v>
      </c>
      <c r="B3685" t="s">
        <v>26</v>
      </c>
      <c r="C3685" t="s">
        <v>6</v>
      </c>
      <c r="D3685" t="s">
        <v>21</v>
      </c>
      <c r="E3685" s="68">
        <v>376</v>
      </c>
      <c r="F3685" s="68">
        <v>278</v>
      </c>
      <c r="G3685" s="68">
        <v>654</v>
      </c>
    </row>
    <row r="3686" spans="1:7" x14ac:dyDescent="0.3">
      <c r="A3686" t="s">
        <v>1003</v>
      </c>
      <c r="B3686" t="s">
        <v>26</v>
      </c>
      <c r="C3686" t="s">
        <v>6</v>
      </c>
      <c r="D3686" t="s">
        <v>22</v>
      </c>
      <c r="E3686" s="68">
        <v>245</v>
      </c>
      <c r="F3686" s="68">
        <v>182</v>
      </c>
      <c r="G3686" s="68">
        <v>427</v>
      </c>
    </row>
    <row r="3687" spans="1:7" x14ac:dyDescent="0.3">
      <c r="A3687" t="s">
        <v>1003</v>
      </c>
      <c r="B3687" t="s">
        <v>26</v>
      </c>
      <c r="C3687" t="s">
        <v>6</v>
      </c>
      <c r="D3687" t="s">
        <v>23</v>
      </c>
      <c r="E3687" s="68">
        <v>426</v>
      </c>
      <c r="F3687" s="68">
        <v>214</v>
      </c>
      <c r="G3687" s="68">
        <v>640</v>
      </c>
    </row>
    <row r="3688" spans="1:7" x14ac:dyDescent="0.3">
      <c r="A3688" t="s">
        <v>1003</v>
      </c>
      <c r="B3688" t="s">
        <v>26</v>
      </c>
      <c r="C3688" t="s">
        <v>24</v>
      </c>
      <c r="D3688" t="s">
        <v>7</v>
      </c>
      <c r="E3688" s="68">
        <v>11457</v>
      </c>
      <c r="F3688" s="68">
        <v>11650</v>
      </c>
      <c r="G3688" s="68">
        <v>23107</v>
      </c>
    </row>
    <row r="3689" spans="1:7" x14ac:dyDescent="0.3">
      <c r="A3689" t="s">
        <v>1003</v>
      </c>
      <c r="B3689" t="s">
        <v>26</v>
      </c>
      <c r="C3689" t="s">
        <v>24</v>
      </c>
      <c r="D3689" t="s">
        <v>8</v>
      </c>
      <c r="E3689" s="68">
        <v>10061</v>
      </c>
      <c r="F3689" s="68">
        <v>10823</v>
      </c>
      <c r="G3689" s="68">
        <v>20884</v>
      </c>
    </row>
    <row r="3690" spans="1:7" x14ac:dyDescent="0.3">
      <c r="A3690" t="s">
        <v>1003</v>
      </c>
      <c r="B3690" t="s">
        <v>26</v>
      </c>
      <c r="C3690" t="s">
        <v>24</v>
      </c>
      <c r="D3690" t="s">
        <v>9</v>
      </c>
      <c r="E3690" s="68">
        <v>10047</v>
      </c>
      <c r="F3690" s="68">
        <v>10286</v>
      </c>
      <c r="G3690" s="68">
        <v>20333</v>
      </c>
    </row>
    <row r="3691" spans="1:7" x14ac:dyDescent="0.3">
      <c r="A3691" t="s">
        <v>1003</v>
      </c>
      <c r="B3691" t="s">
        <v>26</v>
      </c>
      <c r="C3691" t="s">
        <v>24</v>
      </c>
      <c r="D3691" t="s">
        <v>10</v>
      </c>
      <c r="E3691" s="68">
        <v>10245</v>
      </c>
      <c r="F3691" s="68">
        <v>10141</v>
      </c>
      <c r="G3691" s="68">
        <v>20386</v>
      </c>
    </row>
    <row r="3692" spans="1:7" x14ac:dyDescent="0.3">
      <c r="A3692" t="s">
        <v>1003</v>
      </c>
      <c r="B3692" t="s">
        <v>26</v>
      </c>
      <c r="C3692" t="s">
        <v>24</v>
      </c>
      <c r="D3692" t="s">
        <v>11</v>
      </c>
      <c r="E3692" s="68">
        <v>8260</v>
      </c>
      <c r="F3692" s="68">
        <v>6306</v>
      </c>
      <c r="G3692" s="68">
        <v>14566</v>
      </c>
    </row>
    <row r="3693" spans="1:7" x14ac:dyDescent="0.3">
      <c r="A3693" t="s">
        <v>1003</v>
      </c>
      <c r="B3693" t="s">
        <v>26</v>
      </c>
      <c r="C3693" t="s">
        <v>24</v>
      </c>
      <c r="D3693" t="s">
        <v>12</v>
      </c>
      <c r="E3693" s="68">
        <v>7427</v>
      </c>
      <c r="F3693" s="68">
        <v>5690</v>
      </c>
      <c r="G3693" s="68">
        <v>13117</v>
      </c>
    </row>
    <row r="3694" spans="1:7" x14ac:dyDescent="0.3">
      <c r="A3694" t="s">
        <v>1003</v>
      </c>
      <c r="B3694" t="s">
        <v>26</v>
      </c>
      <c r="C3694" t="s">
        <v>24</v>
      </c>
      <c r="D3694" t="s">
        <v>13</v>
      </c>
      <c r="E3694" s="68">
        <v>6557</v>
      </c>
      <c r="F3694" s="68">
        <v>5248</v>
      </c>
      <c r="G3694" s="68">
        <v>11805</v>
      </c>
    </row>
    <row r="3695" spans="1:7" x14ac:dyDescent="0.3">
      <c r="A3695" t="s">
        <v>1003</v>
      </c>
      <c r="B3695" t="s">
        <v>26</v>
      </c>
      <c r="C3695" t="s">
        <v>24</v>
      </c>
      <c r="D3695" t="s">
        <v>14</v>
      </c>
      <c r="E3695" s="68">
        <v>5864</v>
      </c>
      <c r="F3695" s="68">
        <v>4768</v>
      </c>
      <c r="G3695" s="68">
        <v>10632</v>
      </c>
    </row>
    <row r="3696" spans="1:7" x14ac:dyDescent="0.3">
      <c r="A3696" t="s">
        <v>1003</v>
      </c>
      <c r="B3696" t="s">
        <v>26</v>
      </c>
      <c r="C3696" t="s">
        <v>24</v>
      </c>
      <c r="D3696" t="s">
        <v>15</v>
      </c>
      <c r="E3696" s="68">
        <v>5055</v>
      </c>
      <c r="F3696" s="68">
        <v>4281</v>
      </c>
      <c r="G3696" s="68">
        <v>9336</v>
      </c>
    </row>
    <row r="3697" spans="1:7" x14ac:dyDescent="0.3">
      <c r="A3697" t="s">
        <v>1003</v>
      </c>
      <c r="B3697" t="s">
        <v>26</v>
      </c>
      <c r="C3697" t="s">
        <v>24</v>
      </c>
      <c r="D3697" t="s">
        <v>16</v>
      </c>
      <c r="E3697" s="68">
        <v>4395</v>
      </c>
      <c r="F3697" s="68">
        <v>3695</v>
      </c>
      <c r="G3697" s="68">
        <v>8090</v>
      </c>
    </row>
    <row r="3698" spans="1:7" x14ac:dyDescent="0.3">
      <c r="A3698" t="s">
        <v>1003</v>
      </c>
      <c r="B3698" t="s">
        <v>26</v>
      </c>
      <c r="C3698" t="s">
        <v>24</v>
      </c>
      <c r="D3698" t="s">
        <v>17</v>
      </c>
      <c r="E3698" s="68">
        <v>3644</v>
      </c>
      <c r="F3698" s="68">
        <v>3308</v>
      </c>
      <c r="G3698" s="68">
        <v>6952</v>
      </c>
    </row>
    <row r="3699" spans="1:7" x14ac:dyDescent="0.3">
      <c r="A3699" t="s">
        <v>1003</v>
      </c>
      <c r="B3699" t="s">
        <v>26</v>
      </c>
      <c r="C3699" t="s">
        <v>24</v>
      </c>
      <c r="D3699" t="s">
        <v>18</v>
      </c>
      <c r="E3699" s="68">
        <v>3217</v>
      </c>
      <c r="F3699" s="68">
        <v>2913</v>
      </c>
      <c r="G3699" s="68">
        <v>6130</v>
      </c>
    </row>
    <row r="3700" spans="1:7" x14ac:dyDescent="0.3">
      <c r="A3700" t="s">
        <v>1003</v>
      </c>
      <c r="B3700" t="s">
        <v>26</v>
      </c>
      <c r="C3700" t="s">
        <v>24</v>
      </c>
      <c r="D3700" t="s">
        <v>19</v>
      </c>
      <c r="E3700" s="68">
        <v>2764</v>
      </c>
      <c r="F3700" s="68">
        <v>2581</v>
      </c>
      <c r="G3700" s="68">
        <v>5345</v>
      </c>
    </row>
    <row r="3701" spans="1:7" x14ac:dyDescent="0.3">
      <c r="A3701" t="s">
        <v>1003</v>
      </c>
      <c r="B3701" t="s">
        <v>26</v>
      </c>
      <c r="C3701" t="s">
        <v>24</v>
      </c>
      <c r="D3701" t="s">
        <v>20</v>
      </c>
      <c r="E3701" s="68">
        <v>2390</v>
      </c>
      <c r="F3701" s="68">
        <v>2231</v>
      </c>
      <c r="G3701" s="68">
        <v>4621</v>
      </c>
    </row>
    <row r="3702" spans="1:7" x14ac:dyDescent="0.3">
      <c r="A3702" t="s">
        <v>1003</v>
      </c>
      <c r="B3702" t="s">
        <v>26</v>
      </c>
      <c r="C3702" t="s">
        <v>24</v>
      </c>
      <c r="D3702" t="s">
        <v>21</v>
      </c>
      <c r="E3702" s="68">
        <v>1517</v>
      </c>
      <c r="F3702" s="68">
        <v>1387</v>
      </c>
      <c r="G3702" s="68">
        <v>2904</v>
      </c>
    </row>
    <row r="3703" spans="1:7" x14ac:dyDescent="0.3">
      <c r="A3703" t="s">
        <v>1003</v>
      </c>
      <c r="B3703" t="s">
        <v>26</v>
      </c>
      <c r="C3703" t="s">
        <v>24</v>
      </c>
      <c r="D3703" t="s">
        <v>22</v>
      </c>
      <c r="E3703" s="68">
        <v>1098</v>
      </c>
      <c r="F3703" s="68">
        <v>1015</v>
      </c>
      <c r="G3703" s="68">
        <v>2113</v>
      </c>
    </row>
    <row r="3704" spans="1:7" x14ac:dyDescent="0.3">
      <c r="A3704" t="s">
        <v>1003</v>
      </c>
      <c r="B3704" t="s">
        <v>26</v>
      </c>
      <c r="C3704" t="s">
        <v>24</v>
      </c>
      <c r="D3704" t="s">
        <v>23</v>
      </c>
      <c r="E3704" s="68">
        <v>2482</v>
      </c>
      <c r="F3704" s="68">
        <v>1920</v>
      </c>
      <c r="G3704" s="68">
        <v>4402</v>
      </c>
    </row>
    <row r="3705" spans="1:7" x14ac:dyDescent="0.3">
      <c r="A3705" t="s">
        <v>1003</v>
      </c>
      <c r="B3705" t="s">
        <v>27</v>
      </c>
      <c r="C3705" t="s">
        <v>28</v>
      </c>
      <c r="D3705" t="s">
        <v>7</v>
      </c>
      <c r="E3705" s="68">
        <v>136</v>
      </c>
      <c r="F3705" s="68">
        <v>175</v>
      </c>
      <c r="G3705" s="68">
        <v>311</v>
      </c>
    </row>
    <row r="3706" spans="1:7" x14ac:dyDescent="0.3">
      <c r="A3706" t="s">
        <v>1003</v>
      </c>
      <c r="B3706" t="s">
        <v>27</v>
      </c>
      <c r="C3706" t="s">
        <v>28</v>
      </c>
      <c r="D3706" t="s">
        <v>8</v>
      </c>
      <c r="E3706" s="68">
        <v>235</v>
      </c>
      <c r="F3706" s="68">
        <v>293</v>
      </c>
      <c r="G3706" s="68">
        <v>528</v>
      </c>
    </row>
    <row r="3707" spans="1:7" x14ac:dyDescent="0.3">
      <c r="A3707" t="s">
        <v>1003</v>
      </c>
      <c r="B3707" t="s">
        <v>27</v>
      </c>
      <c r="C3707" t="s">
        <v>28</v>
      </c>
      <c r="D3707" t="s">
        <v>9</v>
      </c>
      <c r="E3707" s="68">
        <v>435</v>
      </c>
      <c r="F3707" s="68">
        <v>428</v>
      </c>
      <c r="G3707" s="68">
        <v>863</v>
      </c>
    </row>
    <row r="3708" spans="1:7" x14ac:dyDescent="0.3">
      <c r="A3708" t="s">
        <v>1003</v>
      </c>
      <c r="B3708" t="s">
        <v>27</v>
      </c>
      <c r="C3708" t="s">
        <v>28</v>
      </c>
      <c r="D3708" t="s">
        <v>10</v>
      </c>
      <c r="E3708" s="68">
        <v>466</v>
      </c>
      <c r="F3708" s="68">
        <v>485</v>
      </c>
      <c r="G3708" s="68">
        <v>951</v>
      </c>
    </row>
    <row r="3709" spans="1:7" x14ac:dyDescent="0.3">
      <c r="A3709" t="s">
        <v>1003</v>
      </c>
      <c r="B3709" t="s">
        <v>27</v>
      </c>
      <c r="C3709" t="s">
        <v>28</v>
      </c>
      <c r="D3709" t="s">
        <v>11</v>
      </c>
      <c r="E3709" s="68">
        <v>318</v>
      </c>
      <c r="F3709" s="68">
        <v>272</v>
      </c>
      <c r="G3709" s="68">
        <v>590</v>
      </c>
    </row>
    <row r="3710" spans="1:7" x14ac:dyDescent="0.3">
      <c r="A3710" t="s">
        <v>1003</v>
      </c>
      <c r="B3710" t="s">
        <v>27</v>
      </c>
      <c r="C3710" t="s">
        <v>28</v>
      </c>
      <c r="D3710" t="s">
        <v>12</v>
      </c>
      <c r="E3710" s="68">
        <v>142</v>
      </c>
      <c r="F3710" s="68">
        <v>78</v>
      </c>
      <c r="G3710" s="68">
        <v>220</v>
      </c>
    </row>
    <row r="3711" spans="1:7" x14ac:dyDescent="0.3">
      <c r="A3711" t="s">
        <v>1003</v>
      </c>
      <c r="B3711" t="s">
        <v>27</v>
      </c>
      <c r="C3711" t="s">
        <v>28</v>
      </c>
      <c r="D3711" t="s">
        <v>13</v>
      </c>
      <c r="E3711" s="68">
        <v>274</v>
      </c>
      <c r="F3711" s="68">
        <v>119</v>
      </c>
      <c r="G3711" s="68">
        <v>393</v>
      </c>
    </row>
    <row r="3712" spans="1:7" x14ac:dyDescent="0.3">
      <c r="A3712" t="s">
        <v>1003</v>
      </c>
      <c r="B3712" t="s">
        <v>27</v>
      </c>
      <c r="C3712" t="s">
        <v>28</v>
      </c>
      <c r="D3712" t="s">
        <v>14</v>
      </c>
      <c r="E3712" s="68">
        <v>514</v>
      </c>
      <c r="F3712" s="68">
        <v>255</v>
      </c>
      <c r="G3712" s="68">
        <v>769</v>
      </c>
    </row>
    <row r="3713" spans="1:7" x14ac:dyDescent="0.3">
      <c r="A3713" t="s">
        <v>1003</v>
      </c>
      <c r="B3713" t="s">
        <v>27</v>
      </c>
      <c r="C3713" t="s">
        <v>28</v>
      </c>
      <c r="D3713" t="s">
        <v>15</v>
      </c>
      <c r="E3713" s="68">
        <v>569</v>
      </c>
      <c r="F3713" s="68">
        <v>304</v>
      </c>
      <c r="G3713" s="68">
        <v>873</v>
      </c>
    </row>
    <row r="3714" spans="1:7" x14ac:dyDescent="0.3">
      <c r="A3714" t="s">
        <v>1003</v>
      </c>
      <c r="B3714" t="s">
        <v>27</v>
      </c>
      <c r="C3714" t="s">
        <v>28</v>
      </c>
      <c r="D3714" t="s">
        <v>16</v>
      </c>
      <c r="E3714" s="68">
        <v>513</v>
      </c>
      <c r="F3714" s="68">
        <v>311</v>
      </c>
      <c r="G3714" s="68">
        <v>824</v>
      </c>
    </row>
    <row r="3715" spans="1:7" x14ac:dyDescent="0.3">
      <c r="A3715" t="s">
        <v>1003</v>
      </c>
      <c r="B3715" t="s">
        <v>27</v>
      </c>
      <c r="C3715" t="s">
        <v>28</v>
      </c>
      <c r="D3715" t="s">
        <v>17</v>
      </c>
      <c r="E3715" s="68">
        <v>654</v>
      </c>
      <c r="F3715" s="68">
        <v>327</v>
      </c>
      <c r="G3715" s="68">
        <v>981</v>
      </c>
    </row>
    <row r="3716" spans="1:7" x14ac:dyDescent="0.3">
      <c r="A3716" t="s">
        <v>1003</v>
      </c>
      <c r="B3716" t="s">
        <v>27</v>
      </c>
      <c r="C3716" t="s">
        <v>28</v>
      </c>
      <c r="D3716" t="s">
        <v>18</v>
      </c>
      <c r="E3716" s="68">
        <v>764</v>
      </c>
      <c r="F3716" s="68">
        <v>393</v>
      </c>
      <c r="G3716" s="68">
        <v>1157</v>
      </c>
    </row>
    <row r="3717" spans="1:7" x14ac:dyDescent="0.3">
      <c r="A3717" t="s">
        <v>1003</v>
      </c>
      <c r="B3717" t="s">
        <v>27</v>
      </c>
      <c r="C3717" t="s">
        <v>28</v>
      </c>
      <c r="D3717" t="s">
        <v>19</v>
      </c>
      <c r="E3717" s="68">
        <v>877</v>
      </c>
      <c r="F3717" s="68">
        <v>402</v>
      </c>
      <c r="G3717" s="68">
        <v>1279</v>
      </c>
    </row>
    <row r="3718" spans="1:7" x14ac:dyDescent="0.3">
      <c r="A3718" t="s">
        <v>1003</v>
      </c>
      <c r="B3718" t="s">
        <v>27</v>
      </c>
      <c r="C3718" t="s">
        <v>28</v>
      </c>
      <c r="D3718" t="s">
        <v>20</v>
      </c>
      <c r="E3718" s="68">
        <v>779</v>
      </c>
      <c r="F3718" s="68">
        <v>399</v>
      </c>
      <c r="G3718" s="68">
        <v>1178</v>
      </c>
    </row>
    <row r="3719" spans="1:7" x14ac:dyDescent="0.3">
      <c r="A3719" t="s">
        <v>1003</v>
      </c>
      <c r="B3719" t="s">
        <v>27</v>
      </c>
      <c r="C3719" t="s">
        <v>28</v>
      </c>
      <c r="D3719" t="s">
        <v>21</v>
      </c>
      <c r="E3719" s="68">
        <v>584</v>
      </c>
      <c r="F3719" s="68">
        <v>311</v>
      </c>
      <c r="G3719" s="68">
        <v>895</v>
      </c>
    </row>
    <row r="3720" spans="1:7" x14ac:dyDescent="0.3">
      <c r="A3720" t="s">
        <v>1003</v>
      </c>
      <c r="B3720" t="s">
        <v>27</v>
      </c>
      <c r="C3720" t="s">
        <v>28</v>
      </c>
      <c r="D3720" t="s">
        <v>22</v>
      </c>
      <c r="E3720" s="68">
        <v>316</v>
      </c>
      <c r="F3720" s="68">
        <v>190</v>
      </c>
      <c r="G3720" s="68">
        <v>506</v>
      </c>
    </row>
    <row r="3721" spans="1:7" x14ac:dyDescent="0.3">
      <c r="A3721" t="s">
        <v>1003</v>
      </c>
      <c r="B3721" t="s">
        <v>27</v>
      </c>
      <c r="C3721" t="s">
        <v>28</v>
      </c>
      <c r="D3721" t="s">
        <v>23</v>
      </c>
      <c r="E3721" s="68">
        <v>224</v>
      </c>
      <c r="F3721" s="68">
        <v>133</v>
      </c>
      <c r="G3721" s="68">
        <v>357</v>
      </c>
    </row>
    <row r="3722" spans="1:7" x14ac:dyDescent="0.3">
      <c r="A3722" t="s">
        <v>1003</v>
      </c>
      <c r="B3722" t="s">
        <v>27</v>
      </c>
      <c r="C3722" t="s">
        <v>29</v>
      </c>
      <c r="D3722" t="s">
        <v>10</v>
      </c>
      <c r="E3722" s="68"/>
      <c r="F3722" s="68">
        <v>13</v>
      </c>
      <c r="G3722" s="68">
        <v>13</v>
      </c>
    </row>
    <row r="3723" spans="1:7" x14ac:dyDescent="0.3">
      <c r="A3723" t="s">
        <v>1003</v>
      </c>
      <c r="B3723" t="s">
        <v>27</v>
      </c>
      <c r="C3723" t="s">
        <v>29</v>
      </c>
      <c r="D3723" t="s">
        <v>11</v>
      </c>
      <c r="E3723" s="68">
        <v>1</v>
      </c>
      <c r="F3723" s="68">
        <v>172</v>
      </c>
      <c r="G3723" s="68">
        <v>173</v>
      </c>
    </row>
    <row r="3724" spans="1:7" x14ac:dyDescent="0.3">
      <c r="A3724" t="s">
        <v>1003</v>
      </c>
      <c r="B3724" t="s">
        <v>27</v>
      </c>
      <c r="C3724" t="s">
        <v>29</v>
      </c>
      <c r="D3724" t="s">
        <v>12</v>
      </c>
      <c r="E3724" s="68">
        <v>6</v>
      </c>
      <c r="F3724" s="68">
        <v>200</v>
      </c>
      <c r="G3724" s="68">
        <v>206</v>
      </c>
    </row>
    <row r="3725" spans="1:7" x14ac:dyDescent="0.3">
      <c r="A3725" t="s">
        <v>1003</v>
      </c>
      <c r="B3725" t="s">
        <v>27</v>
      </c>
      <c r="C3725" t="s">
        <v>29</v>
      </c>
      <c r="D3725" t="s">
        <v>13</v>
      </c>
      <c r="E3725" s="68">
        <v>3</v>
      </c>
      <c r="F3725" s="68">
        <v>159</v>
      </c>
      <c r="G3725" s="68">
        <v>162</v>
      </c>
    </row>
    <row r="3726" spans="1:7" x14ac:dyDescent="0.3">
      <c r="A3726" t="s">
        <v>1003</v>
      </c>
      <c r="B3726" t="s">
        <v>27</v>
      </c>
      <c r="C3726" t="s">
        <v>29</v>
      </c>
      <c r="D3726" t="s">
        <v>14</v>
      </c>
      <c r="E3726" s="68">
        <v>2</v>
      </c>
      <c r="F3726" s="68">
        <v>109</v>
      </c>
      <c r="G3726" s="68">
        <v>111</v>
      </c>
    </row>
    <row r="3727" spans="1:7" x14ac:dyDescent="0.3">
      <c r="A3727" t="s">
        <v>1003</v>
      </c>
      <c r="B3727" t="s">
        <v>27</v>
      </c>
      <c r="C3727" t="s">
        <v>29</v>
      </c>
      <c r="D3727" t="s">
        <v>15</v>
      </c>
      <c r="E3727" s="68">
        <v>3</v>
      </c>
      <c r="F3727" s="68">
        <v>86</v>
      </c>
      <c r="G3727" s="68">
        <v>89</v>
      </c>
    </row>
    <row r="3728" spans="1:7" x14ac:dyDescent="0.3">
      <c r="A3728" t="s">
        <v>1003</v>
      </c>
      <c r="B3728" t="s">
        <v>27</v>
      </c>
      <c r="C3728" t="s">
        <v>29</v>
      </c>
      <c r="D3728" t="s">
        <v>16</v>
      </c>
      <c r="E3728" s="68">
        <v>3</v>
      </c>
      <c r="F3728" s="68">
        <v>49</v>
      </c>
      <c r="G3728" s="68">
        <v>52</v>
      </c>
    </row>
    <row r="3729" spans="1:7" x14ac:dyDescent="0.3">
      <c r="A3729" t="s">
        <v>1003</v>
      </c>
      <c r="B3729" t="s">
        <v>27</v>
      </c>
      <c r="C3729" t="s">
        <v>29</v>
      </c>
      <c r="D3729" t="s">
        <v>17</v>
      </c>
      <c r="E3729" s="68"/>
      <c r="F3729" s="68">
        <v>15</v>
      </c>
      <c r="G3729" s="68">
        <v>15</v>
      </c>
    </row>
    <row r="3730" spans="1:7" x14ac:dyDescent="0.3">
      <c r="A3730" t="s">
        <v>1003</v>
      </c>
      <c r="B3730" t="s">
        <v>27</v>
      </c>
      <c r="C3730" t="s">
        <v>29</v>
      </c>
      <c r="D3730" t="s">
        <v>18</v>
      </c>
      <c r="E3730" s="68">
        <v>1</v>
      </c>
      <c r="F3730" s="68">
        <v>19</v>
      </c>
      <c r="G3730" s="68">
        <v>20</v>
      </c>
    </row>
    <row r="3731" spans="1:7" x14ac:dyDescent="0.3">
      <c r="A3731" t="s">
        <v>1003</v>
      </c>
      <c r="B3731" t="s">
        <v>27</v>
      </c>
      <c r="C3731" t="s">
        <v>29</v>
      </c>
      <c r="D3731" t="s">
        <v>19</v>
      </c>
      <c r="E3731" s="68">
        <v>1</v>
      </c>
      <c r="F3731" s="68">
        <v>13</v>
      </c>
      <c r="G3731" s="68">
        <v>14</v>
      </c>
    </row>
    <row r="3732" spans="1:7" x14ac:dyDescent="0.3">
      <c r="A3732" t="s">
        <v>1003</v>
      </c>
      <c r="B3732" t="s">
        <v>27</v>
      </c>
      <c r="C3732" t="s">
        <v>29</v>
      </c>
      <c r="D3732" t="s">
        <v>20</v>
      </c>
      <c r="E3732" s="68"/>
      <c r="F3732" s="68">
        <v>7</v>
      </c>
      <c r="G3732" s="68">
        <v>7</v>
      </c>
    </row>
    <row r="3733" spans="1:7" x14ac:dyDescent="0.3">
      <c r="A3733" t="s">
        <v>1003</v>
      </c>
      <c r="B3733" t="s">
        <v>27</v>
      </c>
      <c r="C3733" t="s">
        <v>29</v>
      </c>
      <c r="D3733" t="s">
        <v>21</v>
      </c>
      <c r="E3733" s="68"/>
      <c r="F3733" s="68">
        <v>3</v>
      </c>
      <c r="G3733" s="68">
        <v>3</v>
      </c>
    </row>
    <row r="3734" spans="1:7" x14ac:dyDescent="0.3">
      <c r="A3734" t="s">
        <v>1003</v>
      </c>
      <c r="B3734" t="s">
        <v>27</v>
      </c>
      <c r="C3734" t="s">
        <v>29</v>
      </c>
      <c r="D3734" t="s">
        <v>22</v>
      </c>
      <c r="E3734" s="68"/>
      <c r="F3734" s="68">
        <v>2</v>
      </c>
      <c r="G3734" s="68">
        <v>2</v>
      </c>
    </row>
    <row r="3735" spans="1:7" x14ac:dyDescent="0.3">
      <c r="A3735" t="s">
        <v>1003</v>
      </c>
      <c r="B3735" t="s">
        <v>27</v>
      </c>
      <c r="C3735" t="s">
        <v>29</v>
      </c>
      <c r="D3735" t="s">
        <v>23</v>
      </c>
      <c r="E3735" s="68"/>
      <c r="F3735" s="68">
        <v>3</v>
      </c>
      <c r="G3735" s="68">
        <v>3</v>
      </c>
    </row>
    <row r="3736" spans="1:7" x14ac:dyDescent="0.3">
      <c r="A3736" t="s">
        <v>1003</v>
      </c>
      <c r="B3736" t="s">
        <v>36</v>
      </c>
      <c r="C3736" t="s">
        <v>6</v>
      </c>
      <c r="D3736" t="s">
        <v>7</v>
      </c>
      <c r="E3736" s="68">
        <v>6</v>
      </c>
      <c r="F3736" s="68">
        <v>12</v>
      </c>
      <c r="G3736" s="68">
        <v>18</v>
      </c>
    </row>
    <row r="3737" spans="1:7" x14ac:dyDescent="0.3">
      <c r="A3737" t="s">
        <v>1003</v>
      </c>
      <c r="B3737" t="s">
        <v>36</v>
      </c>
      <c r="C3737" t="s">
        <v>6</v>
      </c>
      <c r="D3737" t="s">
        <v>8</v>
      </c>
      <c r="E3737" s="68">
        <v>11</v>
      </c>
      <c r="F3737" s="68">
        <v>12</v>
      </c>
      <c r="G3737" s="68">
        <v>23</v>
      </c>
    </row>
    <row r="3738" spans="1:7" x14ac:dyDescent="0.3">
      <c r="A3738" t="s">
        <v>1003</v>
      </c>
      <c r="B3738" t="s">
        <v>36</v>
      </c>
      <c r="C3738" t="s">
        <v>6</v>
      </c>
      <c r="D3738" t="s">
        <v>9</v>
      </c>
      <c r="E3738" s="68">
        <v>14</v>
      </c>
      <c r="F3738" s="68">
        <v>18</v>
      </c>
      <c r="G3738" s="68">
        <v>32</v>
      </c>
    </row>
    <row r="3739" spans="1:7" x14ac:dyDescent="0.3">
      <c r="A3739" t="s">
        <v>1003</v>
      </c>
      <c r="B3739" t="s">
        <v>36</v>
      </c>
      <c r="C3739" t="s">
        <v>6</v>
      </c>
      <c r="D3739" t="s">
        <v>10</v>
      </c>
      <c r="E3739" s="68">
        <v>12</v>
      </c>
      <c r="F3739" s="68">
        <v>19</v>
      </c>
      <c r="G3739" s="68">
        <v>31</v>
      </c>
    </row>
    <row r="3740" spans="1:7" x14ac:dyDescent="0.3">
      <c r="A3740" t="s">
        <v>1003</v>
      </c>
      <c r="B3740" t="s">
        <v>36</v>
      </c>
      <c r="C3740" t="s">
        <v>6</v>
      </c>
      <c r="D3740" t="s">
        <v>11</v>
      </c>
      <c r="E3740" s="68">
        <v>23</v>
      </c>
      <c r="F3740" s="68">
        <v>55</v>
      </c>
      <c r="G3740" s="68">
        <v>78</v>
      </c>
    </row>
    <row r="3741" spans="1:7" x14ac:dyDescent="0.3">
      <c r="A3741" t="s">
        <v>1003</v>
      </c>
      <c r="B3741" t="s">
        <v>36</v>
      </c>
      <c r="C3741" t="s">
        <v>6</v>
      </c>
      <c r="D3741" t="s">
        <v>12</v>
      </c>
      <c r="E3741" s="68">
        <v>16</v>
      </c>
      <c r="F3741" s="68">
        <v>38</v>
      </c>
      <c r="G3741" s="68">
        <v>54</v>
      </c>
    </row>
    <row r="3742" spans="1:7" x14ac:dyDescent="0.3">
      <c r="A3742" t="s">
        <v>1003</v>
      </c>
      <c r="B3742" t="s">
        <v>36</v>
      </c>
      <c r="C3742" t="s">
        <v>6</v>
      </c>
      <c r="D3742" t="s">
        <v>13</v>
      </c>
      <c r="E3742" s="68">
        <v>17</v>
      </c>
      <c r="F3742" s="68">
        <v>16</v>
      </c>
      <c r="G3742" s="68">
        <v>33</v>
      </c>
    </row>
    <row r="3743" spans="1:7" x14ac:dyDescent="0.3">
      <c r="A3743" t="s">
        <v>1003</v>
      </c>
      <c r="B3743" t="s">
        <v>36</v>
      </c>
      <c r="C3743" t="s">
        <v>6</v>
      </c>
      <c r="D3743" t="s">
        <v>14</v>
      </c>
      <c r="E3743" s="68">
        <v>8</v>
      </c>
      <c r="F3743" s="68">
        <v>20</v>
      </c>
      <c r="G3743" s="68">
        <v>28</v>
      </c>
    </row>
    <row r="3744" spans="1:7" x14ac:dyDescent="0.3">
      <c r="A3744" t="s">
        <v>1003</v>
      </c>
      <c r="B3744" t="s">
        <v>36</v>
      </c>
      <c r="C3744" t="s">
        <v>6</v>
      </c>
      <c r="D3744" t="s">
        <v>15</v>
      </c>
      <c r="E3744" s="68">
        <v>8</v>
      </c>
      <c r="F3744" s="68">
        <v>9</v>
      </c>
      <c r="G3744" s="68">
        <v>17</v>
      </c>
    </row>
    <row r="3745" spans="1:7" x14ac:dyDescent="0.3">
      <c r="A3745" t="s">
        <v>1003</v>
      </c>
      <c r="B3745" t="s">
        <v>36</v>
      </c>
      <c r="C3745" t="s">
        <v>6</v>
      </c>
      <c r="D3745" t="s">
        <v>16</v>
      </c>
      <c r="E3745" s="68">
        <v>6</v>
      </c>
      <c r="F3745" s="68">
        <v>8</v>
      </c>
      <c r="G3745" s="68">
        <v>14</v>
      </c>
    </row>
    <row r="3746" spans="1:7" x14ac:dyDescent="0.3">
      <c r="A3746" t="s">
        <v>1003</v>
      </c>
      <c r="B3746" t="s">
        <v>36</v>
      </c>
      <c r="C3746" t="s">
        <v>6</v>
      </c>
      <c r="D3746" t="s">
        <v>17</v>
      </c>
      <c r="E3746" s="68">
        <v>2</v>
      </c>
      <c r="F3746" s="68">
        <v>6</v>
      </c>
      <c r="G3746" s="68">
        <v>8</v>
      </c>
    </row>
    <row r="3747" spans="1:7" x14ac:dyDescent="0.3">
      <c r="A3747" t="s">
        <v>1003</v>
      </c>
      <c r="B3747" t="s">
        <v>36</v>
      </c>
      <c r="C3747" t="s">
        <v>6</v>
      </c>
      <c r="D3747" t="s">
        <v>18</v>
      </c>
      <c r="E3747" s="68">
        <v>2</v>
      </c>
      <c r="F3747" s="68">
        <v>4</v>
      </c>
      <c r="G3747" s="68">
        <v>6</v>
      </c>
    </row>
    <row r="3748" spans="1:7" x14ac:dyDescent="0.3">
      <c r="A3748" t="s">
        <v>1003</v>
      </c>
      <c r="B3748" t="s">
        <v>36</v>
      </c>
      <c r="C3748" t="s">
        <v>6</v>
      </c>
      <c r="D3748" t="s">
        <v>19</v>
      </c>
      <c r="E3748" s="68"/>
      <c r="F3748" s="68">
        <v>2</v>
      </c>
      <c r="G3748" s="68">
        <v>2</v>
      </c>
    </row>
    <row r="3749" spans="1:7" x14ac:dyDescent="0.3">
      <c r="A3749" t="s">
        <v>1003</v>
      </c>
      <c r="B3749" t="s">
        <v>36</v>
      </c>
      <c r="C3749" t="s">
        <v>6</v>
      </c>
      <c r="D3749" t="s">
        <v>21</v>
      </c>
      <c r="E3749" s="68">
        <v>1</v>
      </c>
      <c r="F3749" s="68"/>
      <c r="G3749" s="68">
        <v>1</v>
      </c>
    </row>
    <row r="3750" spans="1:7" x14ac:dyDescent="0.3">
      <c r="A3750" t="s">
        <v>1003</v>
      </c>
      <c r="B3750" t="s">
        <v>36</v>
      </c>
      <c r="C3750" t="s">
        <v>6</v>
      </c>
      <c r="D3750" t="s">
        <v>22</v>
      </c>
      <c r="E3750" s="68">
        <v>1</v>
      </c>
      <c r="F3750" s="68"/>
      <c r="G3750" s="68">
        <v>1</v>
      </c>
    </row>
    <row r="3751" spans="1:7" x14ac:dyDescent="0.3">
      <c r="A3751" t="s">
        <v>1003</v>
      </c>
      <c r="B3751" t="s">
        <v>36</v>
      </c>
      <c r="C3751" t="s">
        <v>6</v>
      </c>
      <c r="D3751" t="s">
        <v>23</v>
      </c>
      <c r="E3751" s="68">
        <v>1</v>
      </c>
      <c r="F3751" s="68"/>
      <c r="G3751" s="68">
        <v>1</v>
      </c>
    </row>
    <row r="3752" spans="1:7" x14ac:dyDescent="0.3">
      <c r="A3752" t="s">
        <v>1003</v>
      </c>
      <c r="B3752" t="s">
        <v>36</v>
      </c>
      <c r="C3752" t="s">
        <v>24</v>
      </c>
      <c r="D3752" t="s">
        <v>7</v>
      </c>
      <c r="E3752" s="68">
        <v>8</v>
      </c>
      <c r="F3752" s="68">
        <v>7</v>
      </c>
      <c r="G3752" s="68">
        <v>15</v>
      </c>
    </row>
    <row r="3753" spans="1:7" x14ac:dyDescent="0.3">
      <c r="A3753" t="s">
        <v>1003</v>
      </c>
      <c r="B3753" t="s">
        <v>36</v>
      </c>
      <c r="C3753" t="s">
        <v>24</v>
      </c>
      <c r="D3753" t="s">
        <v>8</v>
      </c>
      <c r="E3753" s="68">
        <v>11</v>
      </c>
      <c r="F3753" s="68">
        <v>14</v>
      </c>
      <c r="G3753" s="68">
        <v>25</v>
      </c>
    </row>
    <row r="3754" spans="1:7" x14ac:dyDescent="0.3">
      <c r="A3754" t="s">
        <v>1003</v>
      </c>
      <c r="B3754" t="s">
        <v>36</v>
      </c>
      <c r="C3754" t="s">
        <v>24</v>
      </c>
      <c r="D3754" t="s">
        <v>9</v>
      </c>
      <c r="E3754" s="68">
        <v>11</v>
      </c>
      <c r="F3754" s="68">
        <v>15</v>
      </c>
      <c r="G3754" s="68">
        <v>26</v>
      </c>
    </row>
    <row r="3755" spans="1:7" x14ac:dyDescent="0.3">
      <c r="A3755" t="s">
        <v>1003</v>
      </c>
      <c r="B3755" t="s">
        <v>36</v>
      </c>
      <c r="C3755" t="s">
        <v>24</v>
      </c>
      <c r="D3755" t="s">
        <v>10</v>
      </c>
      <c r="E3755" s="68">
        <v>3</v>
      </c>
      <c r="F3755" s="68">
        <v>6</v>
      </c>
      <c r="G3755" s="68">
        <v>9</v>
      </c>
    </row>
    <row r="3756" spans="1:7" x14ac:dyDescent="0.3">
      <c r="A3756" t="s">
        <v>1003</v>
      </c>
      <c r="B3756" t="s">
        <v>36</v>
      </c>
      <c r="C3756" t="s">
        <v>24</v>
      </c>
      <c r="D3756" t="s">
        <v>11</v>
      </c>
      <c r="E3756" s="68">
        <v>14</v>
      </c>
      <c r="F3756" s="68">
        <v>32</v>
      </c>
      <c r="G3756" s="68">
        <v>46</v>
      </c>
    </row>
    <row r="3757" spans="1:7" x14ac:dyDescent="0.3">
      <c r="A3757" t="s">
        <v>1003</v>
      </c>
      <c r="B3757" t="s">
        <v>36</v>
      </c>
      <c r="C3757" t="s">
        <v>24</v>
      </c>
      <c r="D3757" t="s">
        <v>12</v>
      </c>
      <c r="E3757" s="68">
        <v>16</v>
      </c>
      <c r="F3757" s="68">
        <v>25</v>
      </c>
      <c r="G3757" s="68">
        <v>41</v>
      </c>
    </row>
    <row r="3758" spans="1:7" x14ac:dyDescent="0.3">
      <c r="A3758" t="s">
        <v>1003</v>
      </c>
      <c r="B3758" t="s">
        <v>36</v>
      </c>
      <c r="C3758" t="s">
        <v>24</v>
      </c>
      <c r="D3758" t="s">
        <v>13</v>
      </c>
      <c r="E3758" s="68">
        <v>11</v>
      </c>
      <c r="F3758" s="68">
        <v>19</v>
      </c>
      <c r="G3758" s="68">
        <v>30</v>
      </c>
    </row>
    <row r="3759" spans="1:7" x14ac:dyDescent="0.3">
      <c r="A3759" t="s">
        <v>1003</v>
      </c>
      <c r="B3759" t="s">
        <v>36</v>
      </c>
      <c r="C3759" t="s">
        <v>24</v>
      </c>
      <c r="D3759" t="s">
        <v>14</v>
      </c>
      <c r="E3759" s="68">
        <v>4</v>
      </c>
      <c r="F3759" s="68">
        <v>12</v>
      </c>
      <c r="G3759" s="68">
        <v>16</v>
      </c>
    </row>
    <row r="3760" spans="1:7" x14ac:dyDescent="0.3">
      <c r="A3760" t="s">
        <v>1003</v>
      </c>
      <c r="B3760" t="s">
        <v>36</v>
      </c>
      <c r="C3760" t="s">
        <v>24</v>
      </c>
      <c r="D3760" t="s">
        <v>15</v>
      </c>
      <c r="E3760" s="68">
        <v>3</v>
      </c>
      <c r="F3760" s="68">
        <v>10</v>
      </c>
      <c r="G3760" s="68">
        <v>13</v>
      </c>
    </row>
    <row r="3761" spans="1:7" x14ac:dyDescent="0.3">
      <c r="A3761" t="s">
        <v>1003</v>
      </c>
      <c r="B3761" t="s">
        <v>36</v>
      </c>
      <c r="C3761" t="s">
        <v>24</v>
      </c>
      <c r="D3761" t="s">
        <v>16</v>
      </c>
      <c r="E3761" s="68">
        <v>1</v>
      </c>
      <c r="F3761" s="68">
        <v>2</v>
      </c>
      <c r="G3761" s="68">
        <v>3</v>
      </c>
    </row>
    <row r="3762" spans="1:7" x14ac:dyDescent="0.3">
      <c r="A3762" t="s">
        <v>1003</v>
      </c>
      <c r="B3762" t="s">
        <v>36</v>
      </c>
      <c r="C3762" t="s">
        <v>24</v>
      </c>
      <c r="D3762" t="s">
        <v>17</v>
      </c>
      <c r="E3762" s="68">
        <v>1</v>
      </c>
      <c r="F3762" s="68">
        <v>4</v>
      </c>
      <c r="G3762" s="68">
        <v>5</v>
      </c>
    </row>
    <row r="3763" spans="1:7" x14ac:dyDescent="0.3">
      <c r="A3763" t="s">
        <v>1003</v>
      </c>
      <c r="B3763" t="s">
        <v>36</v>
      </c>
      <c r="C3763" t="s">
        <v>24</v>
      </c>
      <c r="D3763" t="s">
        <v>18</v>
      </c>
      <c r="E3763" s="68">
        <v>2</v>
      </c>
      <c r="F3763" s="68">
        <v>1</v>
      </c>
      <c r="G3763" s="68">
        <v>3</v>
      </c>
    </row>
    <row r="3764" spans="1:7" x14ac:dyDescent="0.3">
      <c r="A3764" t="s">
        <v>1003</v>
      </c>
      <c r="B3764" t="s">
        <v>36</v>
      </c>
      <c r="C3764" t="s">
        <v>24</v>
      </c>
      <c r="D3764" t="s">
        <v>19</v>
      </c>
      <c r="E3764" s="68"/>
      <c r="F3764" s="68">
        <v>2</v>
      </c>
      <c r="G3764" s="68">
        <v>2</v>
      </c>
    </row>
    <row r="3765" spans="1:7" x14ac:dyDescent="0.3">
      <c r="A3765" t="s">
        <v>1003</v>
      </c>
      <c r="B3765" t="s">
        <v>36</v>
      </c>
      <c r="C3765" t="s">
        <v>24</v>
      </c>
      <c r="D3765" t="s">
        <v>20</v>
      </c>
      <c r="E3765" s="68"/>
      <c r="F3765" s="68">
        <v>1</v>
      </c>
      <c r="G3765" s="68">
        <v>1</v>
      </c>
    </row>
    <row r="3766" spans="1:7" x14ac:dyDescent="0.3">
      <c r="A3766" t="s">
        <v>1003</v>
      </c>
      <c r="B3766" t="s">
        <v>36</v>
      </c>
      <c r="C3766" t="s">
        <v>24</v>
      </c>
      <c r="D3766" t="s">
        <v>21</v>
      </c>
      <c r="E3766" s="68">
        <v>1</v>
      </c>
      <c r="F3766" s="68"/>
      <c r="G3766" s="68">
        <v>1</v>
      </c>
    </row>
    <row r="3767" spans="1:7" x14ac:dyDescent="0.3">
      <c r="A3767" t="s">
        <v>1003</v>
      </c>
      <c r="B3767" t="s">
        <v>36</v>
      </c>
      <c r="C3767" t="s">
        <v>24</v>
      </c>
      <c r="D3767" t="s">
        <v>23</v>
      </c>
      <c r="E3767" s="68">
        <v>1</v>
      </c>
      <c r="F3767" s="68"/>
      <c r="G3767" s="68">
        <v>1</v>
      </c>
    </row>
    <row r="3768" spans="1:7" x14ac:dyDescent="0.3">
      <c r="A3768" t="s">
        <v>724</v>
      </c>
      <c r="B3768" t="s">
        <v>30</v>
      </c>
      <c r="C3768" t="s">
        <v>6</v>
      </c>
      <c r="D3768" t="s">
        <v>7</v>
      </c>
      <c r="E3768" s="68">
        <v>20</v>
      </c>
      <c r="F3768" s="68">
        <v>16</v>
      </c>
      <c r="G3768" s="68">
        <v>36</v>
      </c>
    </row>
    <row r="3769" spans="1:7" x14ac:dyDescent="0.3">
      <c r="A3769" t="s">
        <v>724</v>
      </c>
      <c r="B3769" t="s">
        <v>30</v>
      </c>
      <c r="C3769" t="s">
        <v>6</v>
      </c>
      <c r="D3769" t="s">
        <v>8</v>
      </c>
      <c r="E3769" s="68">
        <v>21</v>
      </c>
      <c r="F3769" s="68">
        <v>30</v>
      </c>
      <c r="G3769" s="68">
        <v>51</v>
      </c>
    </row>
    <row r="3770" spans="1:7" x14ac:dyDescent="0.3">
      <c r="A3770" t="s">
        <v>724</v>
      </c>
      <c r="B3770" t="s">
        <v>30</v>
      </c>
      <c r="C3770" t="s">
        <v>6</v>
      </c>
      <c r="D3770" t="s">
        <v>9</v>
      </c>
      <c r="E3770" s="68">
        <v>33</v>
      </c>
      <c r="F3770" s="68">
        <v>32</v>
      </c>
      <c r="G3770" s="68">
        <v>65</v>
      </c>
    </row>
    <row r="3771" spans="1:7" x14ac:dyDescent="0.3">
      <c r="A3771" t="s">
        <v>724</v>
      </c>
      <c r="B3771" t="s">
        <v>30</v>
      </c>
      <c r="C3771" t="s">
        <v>6</v>
      </c>
      <c r="D3771" t="s">
        <v>10</v>
      </c>
      <c r="E3771" s="68">
        <v>66</v>
      </c>
      <c r="F3771" s="68">
        <v>95</v>
      </c>
      <c r="G3771" s="68">
        <v>161</v>
      </c>
    </row>
    <row r="3772" spans="1:7" x14ac:dyDescent="0.3">
      <c r="A3772" t="s">
        <v>724</v>
      </c>
      <c r="B3772" t="s">
        <v>30</v>
      </c>
      <c r="C3772" t="s">
        <v>6</v>
      </c>
      <c r="D3772" t="s">
        <v>11</v>
      </c>
      <c r="E3772" s="68">
        <v>210</v>
      </c>
      <c r="F3772" s="68">
        <v>367</v>
      </c>
      <c r="G3772" s="68">
        <v>577</v>
      </c>
    </row>
    <row r="3773" spans="1:7" x14ac:dyDescent="0.3">
      <c r="A3773" t="s">
        <v>724</v>
      </c>
      <c r="B3773" t="s">
        <v>30</v>
      </c>
      <c r="C3773" t="s">
        <v>6</v>
      </c>
      <c r="D3773" t="s">
        <v>12</v>
      </c>
      <c r="E3773" s="68">
        <v>237</v>
      </c>
      <c r="F3773" s="68">
        <v>373</v>
      </c>
      <c r="G3773" s="68">
        <v>610</v>
      </c>
    </row>
    <row r="3774" spans="1:7" x14ac:dyDescent="0.3">
      <c r="A3774" t="s">
        <v>724</v>
      </c>
      <c r="B3774" t="s">
        <v>30</v>
      </c>
      <c r="C3774" t="s">
        <v>6</v>
      </c>
      <c r="D3774" t="s">
        <v>13</v>
      </c>
      <c r="E3774" s="68">
        <v>203</v>
      </c>
      <c r="F3774" s="68">
        <v>319</v>
      </c>
      <c r="G3774" s="68">
        <v>522</v>
      </c>
    </row>
    <row r="3775" spans="1:7" x14ac:dyDescent="0.3">
      <c r="A3775" t="s">
        <v>724</v>
      </c>
      <c r="B3775" t="s">
        <v>30</v>
      </c>
      <c r="C3775" t="s">
        <v>6</v>
      </c>
      <c r="D3775" t="s">
        <v>14</v>
      </c>
      <c r="E3775" s="68">
        <v>139</v>
      </c>
      <c r="F3775" s="68">
        <v>241</v>
      </c>
      <c r="G3775" s="68">
        <v>380</v>
      </c>
    </row>
    <row r="3776" spans="1:7" x14ac:dyDescent="0.3">
      <c r="A3776" t="s">
        <v>724</v>
      </c>
      <c r="B3776" t="s">
        <v>30</v>
      </c>
      <c r="C3776" t="s">
        <v>6</v>
      </c>
      <c r="D3776" t="s">
        <v>15</v>
      </c>
      <c r="E3776" s="68">
        <v>108</v>
      </c>
      <c r="F3776" s="68">
        <v>169</v>
      </c>
      <c r="G3776" s="68">
        <v>277</v>
      </c>
    </row>
    <row r="3777" spans="1:7" x14ac:dyDescent="0.3">
      <c r="A3777" t="s">
        <v>724</v>
      </c>
      <c r="B3777" t="s">
        <v>30</v>
      </c>
      <c r="C3777" t="s">
        <v>6</v>
      </c>
      <c r="D3777" t="s">
        <v>16</v>
      </c>
      <c r="E3777" s="68">
        <v>97</v>
      </c>
      <c r="F3777" s="68">
        <v>143</v>
      </c>
      <c r="G3777" s="68">
        <v>240</v>
      </c>
    </row>
    <row r="3778" spans="1:7" x14ac:dyDescent="0.3">
      <c r="A3778" t="s">
        <v>724</v>
      </c>
      <c r="B3778" t="s">
        <v>30</v>
      </c>
      <c r="C3778" t="s">
        <v>6</v>
      </c>
      <c r="D3778" t="s">
        <v>17</v>
      </c>
      <c r="E3778" s="68">
        <v>58</v>
      </c>
      <c r="F3778" s="68">
        <v>103</v>
      </c>
      <c r="G3778" s="68">
        <v>161</v>
      </c>
    </row>
    <row r="3779" spans="1:7" x14ac:dyDescent="0.3">
      <c r="A3779" t="s">
        <v>724</v>
      </c>
      <c r="B3779" t="s">
        <v>30</v>
      </c>
      <c r="C3779" t="s">
        <v>6</v>
      </c>
      <c r="D3779" t="s">
        <v>18</v>
      </c>
      <c r="E3779" s="68">
        <v>39</v>
      </c>
      <c r="F3779" s="68">
        <v>89</v>
      </c>
      <c r="G3779" s="68">
        <v>128</v>
      </c>
    </row>
    <row r="3780" spans="1:7" x14ac:dyDescent="0.3">
      <c r="A3780" t="s">
        <v>724</v>
      </c>
      <c r="B3780" t="s">
        <v>30</v>
      </c>
      <c r="C3780" t="s">
        <v>6</v>
      </c>
      <c r="D3780" t="s">
        <v>19</v>
      </c>
      <c r="E3780" s="68">
        <v>33</v>
      </c>
      <c r="F3780" s="68">
        <v>68</v>
      </c>
      <c r="G3780" s="68">
        <v>101</v>
      </c>
    </row>
    <row r="3781" spans="1:7" x14ac:dyDescent="0.3">
      <c r="A3781" t="s">
        <v>724</v>
      </c>
      <c r="B3781" t="s">
        <v>30</v>
      </c>
      <c r="C3781" t="s">
        <v>6</v>
      </c>
      <c r="D3781" t="s">
        <v>20</v>
      </c>
      <c r="E3781" s="68">
        <v>24</v>
      </c>
      <c r="F3781" s="68">
        <v>37</v>
      </c>
      <c r="G3781" s="68">
        <v>61</v>
      </c>
    </row>
    <row r="3782" spans="1:7" x14ac:dyDescent="0.3">
      <c r="A3782" t="s">
        <v>724</v>
      </c>
      <c r="B3782" t="s">
        <v>30</v>
      </c>
      <c r="C3782" t="s">
        <v>6</v>
      </c>
      <c r="D3782" t="s">
        <v>21</v>
      </c>
      <c r="E3782" s="68">
        <v>4</v>
      </c>
      <c r="F3782" s="68">
        <v>18</v>
      </c>
      <c r="G3782" s="68">
        <v>22</v>
      </c>
    </row>
    <row r="3783" spans="1:7" x14ac:dyDescent="0.3">
      <c r="A3783" t="s">
        <v>724</v>
      </c>
      <c r="B3783" t="s">
        <v>30</v>
      </c>
      <c r="C3783" t="s">
        <v>6</v>
      </c>
      <c r="D3783" t="s">
        <v>22</v>
      </c>
      <c r="E3783" s="68">
        <v>16</v>
      </c>
      <c r="F3783" s="68">
        <v>11</v>
      </c>
      <c r="G3783" s="68">
        <v>27</v>
      </c>
    </row>
    <row r="3784" spans="1:7" x14ac:dyDescent="0.3">
      <c r="A3784" t="s">
        <v>724</v>
      </c>
      <c r="B3784" t="s">
        <v>30</v>
      </c>
      <c r="C3784" t="s">
        <v>6</v>
      </c>
      <c r="D3784" t="s">
        <v>23</v>
      </c>
      <c r="E3784" s="68">
        <v>13</v>
      </c>
      <c r="F3784" s="68">
        <v>12</v>
      </c>
      <c r="G3784" s="68">
        <v>25</v>
      </c>
    </row>
    <row r="3785" spans="1:7" x14ac:dyDescent="0.3">
      <c r="A3785" t="s">
        <v>724</v>
      </c>
      <c r="B3785" t="s">
        <v>30</v>
      </c>
      <c r="C3785" t="s">
        <v>24</v>
      </c>
      <c r="D3785" t="s">
        <v>7</v>
      </c>
      <c r="E3785" s="68">
        <v>4179</v>
      </c>
      <c r="F3785" s="68">
        <v>4404</v>
      </c>
      <c r="G3785" s="68">
        <v>8583</v>
      </c>
    </row>
    <row r="3786" spans="1:7" x14ac:dyDescent="0.3">
      <c r="A3786" t="s">
        <v>724</v>
      </c>
      <c r="B3786" t="s">
        <v>30</v>
      </c>
      <c r="C3786" t="s">
        <v>24</v>
      </c>
      <c r="D3786" t="s">
        <v>8</v>
      </c>
      <c r="E3786" s="68">
        <v>6133</v>
      </c>
      <c r="F3786" s="68">
        <v>6533</v>
      </c>
      <c r="G3786" s="68">
        <v>12666</v>
      </c>
    </row>
    <row r="3787" spans="1:7" x14ac:dyDescent="0.3">
      <c r="A3787" t="s">
        <v>724</v>
      </c>
      <c r="B3787" t="s">
        <v>30</v>
      </c>
      <c r="C3787" t="s">
        <v>24</v>
      </c>
      <c r="D3787" t="s">
        <v>9</v>
      </c>
      <c r="E3787" s="68">
        <v>6532</v>
      </c>
      <c r="F3787" s="68">
        <v>6698</v>
      </c>
      <c r="G3787" s="68">
        <v>13230</v>
      </c>
    </row>
    <row r="3788" spans="1:7" x14ac:dyDescent="0.3">
      <c r="A3788" t="s">
        <v>724</v>
      </c>
      <c r="B3788" t="s">
        <v>30</v>
      </c>
      <c r="C3788" t="s">
        <v>24</v>
      </c>
      <c r="D3788" t="s">
        <v>10</v>
      </c>
      <c r="E3788" s="68">
        <v>6695</v>
      </c>
      <c r="F3788" s="68">
        <v>7108</v>
      </c>
      <c r="G3788" s="68">
        <v>13803</v>
      </c>
    </row>
    <row r="3789" spans="1:7" x14ac:dyDescent="0.3">
      <c r="A3789" t="s">
        <v>724</v>
      </c>
      <c r="B3789" t="s">
        <v>30</v>
      </c>
      <c r="C3789" t="s">
        <v>24</v>
      </c>
      <c r="D3789" t="s">
        <v>11</v>
      </c>
      <c r="E3789" s="68">
        <v>5994</v>
      </c>
      <c r="F3789" s="68">
        <v>5732</v>
      </c>
      <c r="G3789" s="68">
        <v>11726</v>
      </c>
    </row>
    <row r="3790" spans="1:7" x14ac:dyDescent="0.3">
      <c r="A3790" t="s">
        <v>724</v>
      </c>
      <c r="B3790" t="s">
        <v>30</v>
      </c>
      <c r="C3790" t="s">
        <v>24</v>
      </c>
      <c r="D3790" t="s">
        <v>12</v>
      </c>
      <c r="E3790" s="68">
        <v>4849</v>
      </c>
      <c r="F3790" s="68">
        <v>4203</v>
      </c>
      <c r="G3790" s="68">
        <v>9052</v>
      </c>
    </row>
    <row r="3791" spans="1:7" x14ac:dyDescent="0.3">
      <c r="A3791" t="s">
        <v>724</v>
      </c>
      <c r="B3791" t="s">
        <v>30</v>
      </c>
      <c r="C3791" t="s">
        <v>24</v>
      </c>
      <c r="D3791" t="s">
        <v>13</v>
      </c>
      <c r="E3791" s="68">
        <v>4573</v>
      </c>
      <c r="F3791" s="68">
        <v>3888</v>
      </c>
      <c r="G3791" s="68">
        <v>8461</v>
      </c>
    </row>
    <row r="3792" spans="1:7" x14ac:dyDescent="0.3">
      <c r="A3792" t="s">
        <v>724</v>
      </c>
      <c r="B3792" t="s">
        <v>30</v>
      </c>
      <c r="C3792" t="s">
        <v>24</v>
      </c>
      <c r="D3792" t="s">
        <v>14</v>
      </c>
      <c r="E3792" s="68">
        <v>4306</v>
      </c>
      <c r="F3792" s="68">
        <v>3487</v>
      </c>
      <c r="G3792" s="68">
        <v>7793</v>
      </c>
    </row>
    <row r="3793" spans="1:7" x14ac:dyDescent="0.3">
      <c r="A3793" t="s">
        <v>724</v>
      </c>
      <c r="B3793" t="s">
        <v>30</v>
      </c>
      <c r="C3793" t="s">
        <v>24</v>
      </c>
      <c r="D3793" t="s">
        <v>15</v>
      </c>
      <c r="E3793" s="68">
        <v>3870</v>
      </c>
      <c r="F3793" s="68">
        <v>3289</v>
      </c>
      <c r="G3793" s="68">
        <v>7159</v>
      </c>
    </row>
    <row r="3794" spans="1:7" x14ac:dyDescent="0.3">
      <c r="A3794" t="s">
        <v>724</v>
      </c>
      <c r="B3794" t="s">
        <v>30</v>
      </c>
      <c r="C3794" t="s">
        <v>24</v>
      </c>
      <c r="D3794" t="s">
        <v>16</v>
      </c>
      <c r="E3794" s="68">
        <v>3691</v>
      </c>
      <c r="F3794" s="68">
        <v>3328</v>
      </c>
      <c r="G3794" s="68">
        <v>7019</v>
      </c>
    </row>
    <row r="3795" spans="1:7" x14ac:dyDescent="0.3">
      <c r="A3795" t="s">
        <v>724</v>
      </c>
      <c r="B3795" t="s">
        <v>30</v>
      </c>
      <c r="C3795" t="s">
        <v>24</v>
      </c>
      <c r="D3795" t="s">
        <v>17</v>
      </c>
      <c r="E3795" s="68">
        <v>3513</v>
      </c>
      <c r="F3795" s="68">
        <v>3354</v>
      </c>
      <c r="G3795" s="68">
        <v>6867</v>
      </c>
    </row>
    <row r="3796" spans="1:7" x14ac:dyDescent="0.3">
      <c r="A3796" t="s">
        <v>724</v>
      </c>
      <c r="B3796" t="s">
        <v>30</v>
      </c>
      <c r="C3796" t="s">
        <v>24</v>
      </c>
      <c r="D3796" t="s">
        <v>18</v>
      </c>
      <c r="E3796" s="68">
        <v>3257</v>
      </c>
      <c r="F3796" s="68">
        <v>3560</v>
      </c>
      <c r="G3796" s="68">
        <v>6817</v>
      </c>
    </row>
    <row r="3797" spans="1:7" x14ac:dyDescent="0.3">
      <c r="A3797" t="s">
        <v>724</v>
      </c>
      <c r="B3797" t="s">
        <v>30</v>
      </c>
      <c r="C3797" t="s">
        <v>24</v>
      </c>
      <c r="D3797" t="s">
        <v>19</v>
      </c>
      <c r="E3797" s="68">
        <v>2522</v>
      </c>
      <c r="F3797" s="68">
        <v>2869</v>
      </c>
      <c r="G3797" s="68">
        <v>5391</v>
      </c>
    </row>
    <row r="3798" spans="1:7" x14ac:dyDescent="0.3">
      <c r="A3798" t="s">
        <v>724</v>
      </c>
      <c r="B3798" t="s">
        <v>30</v>
      </c>
      <c r="C3798" t="s">
        <v>24</v>
      </c>
      <c r="D3798" t="s">
        <v>20</v>
      </c>
      <c r="E3798" s="68">
        <v>2004</v>
      </c>
      <c r="F3798" s="68">
        <v>2339</v>
      </c>
      <c r="G3798" s="68">
        <v>4343</v>
      </c>
    </row>
    <row r="3799" spans="1:7" x14ac:dyDescent="0.3">
      <c r="A3799" t="s">
        <v>724</v>
      </c>
      <c r="B3799" t="s">
        <v>30</v>
      </c>
      <c r="C3799" t="s">
        <v>24</v>
      </c>
      <c r="D3799" t="s">
        <v>21</v>
      </c>
      <c r="E3799" s="68">
        <v>1492</v>
      </c>
      <c r="F3799" s="68">
        <v>1784</v>
      </c>
      <c r="G3799" s="68">
        <v>3276</v>
      </c>
    </row>
    <row r="3800" spans="1:7" x14ac:dyDescent="0.3">
      <c r="A3800" t="s">
        <v>724</v>
      </c>
      <c r="B3800" t="s">
        <v>30</v>
      </c>
      <c r="C3800" t="s">
        <v>24</v>
      </c>
      <c r="D3800" t="s">
        <v>22</v>
      </c>
      <c r="E3800" s="68">
        <v>1084</v>
      </c>
      <c r="F3800" s="68">
        <v>1212</v>
      </c>
      <c r="G3800" s="68">
        <v>2296</v>
      </c>
    </row>
    <row r="3801" spans="1:7" x14ac:dyDescent="0.3">
      <c r="A3801" t="s">
        <v>724</v>
      </c>
      <c r="B3801" t="s">
        <v>30</v>
      </c>
      <c r="C3801" t="s">
        <v>24</v>
      </c>
      <c r="D3801" t="s">
        <v>23</v>
      </c>
      <c r="E3801" s="68">
        <v>1911</v>
      </c>
      <c r="F3801" s="68">
        <v>2029</v>
      </c>
      <c r="G3801" s="68">
        <v>3940</v>
      </c>
    </row>
    <row r="3802" spans="1:7" x14ac:dyDescent="0.3">
      <c r="A3802" t="s">
        <v>724</v>
      </c>
      <c r="B3802" t="s">
        <v>31</v>
      </c>
      <c r="C3802" t="s">
        <v>6</v>
      </c>
      <c r="D3802" t="s">
        <v>7</v>
      </c>
      <c r="E3802" s="68">
        <v>104</v>
      </c>
      <c r="F3802" s="68">
        <v>114</v>
      </c>
      <c r="G3802" s="68">
        <v>218</v>
      </c>
    </row>
    <row r="3803" spans="1:7" x14ac:dyDescent="0.3">
      <c r="A3803" t="s">
        <v>724</v>
      </c>
      <c r="B3803" t="s">
        <v>31</v>
      </c>
      <c r="C3803" t="s">
        <v>6</v>
      </c>
      <c r="D3803" t="s">
        <v>8</v>
      </c>
      <c r="E3803" s="68">
        <v>87</v>
      </c>
      <c r="F3803" s="68">
        <v>109</v>
      </c>
      <c r="G3803" s="68">
        <v>196</v>
      </c>
    </row>
    <row r="3804" spans="1:7" x14ac:dyDescent="0.3">
      <c r="A3804" t="s">
        <v>724</v>
      </c>
      <c r="B3804" t="s">
        <v>31</v>
      </c>
      <c r="C3804" t="s">
        <v>6</v>
      </c>
      <c r="D3804" t="s">
        <v>9</v>
      </c>
      <c r="E3804" s="68">
        <v>61</v>
      </c>
      <c r="F3804" s="68">
        <v>60</v>
      </c>
      <c r="G3804" s="68">
        <v>121</v>
      </c>
    </row>
    <row r="3805" spans="1:7" x14ac:dyDescent="0.3">
      <c r="A3805" t="s">
        <v>724</v>
      </c>
      <c r="B3805" t="s">
        <v>31</v>
      </c>
      <c r="C3805" t="s">
        <v>6</v>
      </c>
      <c r="D3805" t="s">
        <v>10</v>
      </c>
      <c r="E3805" s="68">
        <v>168</v>
      </c>
      <c r="F3805" s="68">
        <v>206</v>
      </c>
      <c r="G3805" s="68">
        <v>374</v>
      </c>
    </row>
    <row r="3806" spans="1:7" x14ac:dyDescent="0.3">
      <c r="A3806" t="s">
        <v>724</v>
      </c>
      <c r="B3806" t="s">
        <v>31</v>
      </c>
      <c r="C3806" t="s">
        <v>6</v>
      </c>
      <c r="D3806" t="s">
        <v>11</v>
      </c>
      <c r="E3806" s="68">
        <v>344</v>
      </c>
      <c r="F3806" s="68">
        <v>650</v>
      </c>
      <c r="G3806" s="68">
        <v>994</v>
      </c>
    </row>
    <row r="3807" spans="1:7" x14ac:dyDescent="0.3">
      <c r="A3807" t="s">
        <v>724</v>
      </c>
      <c r="B3807" t="s">
        <v>31</v>
      </c>
      <c r="C3807" t="s">
        <v>6</v>
      </c>
      <c r="D3807" t="s">
        <v>12</v>
      </c>
      <c r="E3807" s="68">
        <v>367</v>
      </c>
      <c r="F3807" s="68">
        <v>522</v>
      </c>
      <c r="G3807" s="68">
        <v>889</v>
      </c>
    </row>
    <row r="3808" spans="1:7" x14ac:dyDescent="0.3">
      <c r="A3808" t="s">
        <v>724</v>
      </c>
      <c r="B3808" t="s">
        <v>31</v>
      </c>
      <c r="C3808" t="s">
        <v>6</v>
      </c>
      <c r="D3808" t="s">
        <v>13</v>
      </c>
      <c r="E3808" s="68">
        <v>282</v>
      </c>
      <c r="F3808" s="68">
        <v>401</v>
      </c>
      <c r="G3808" s="68">
        <v>683</v>
      </c>
    </row>
    <row r="3809" spans="1:7" x14ac:dyDescent="0.3">
      <c r="A3809" t="s">
        <v>724</v>
      </c>
      <c r="B3809" t="s">
        <v>31</v>
      </c>
      <c r="C3809" t="s">
        <v>6</v>
      </c>
      <c r="D3809" t="s">
        <v>14</v>
      </c>
      <c r="E3809" s="68">
        <v>225</v>
      </c>
      <c r="F3809" s="68">
        <v>285</v>
      </c>
      <c r="G3809" s="68">
        <v>510</v>
      </c>
    </row>
    <row r="3810" spans="1:7" x14ac:dyDescent="0.3">
      <c r="A3810" t="s">
        <v>724</v>
      </c>
      <c r="B3810" t="s">
        <v>31</v>
      </c>
      <c r="C3810" t="s">
        <v>6</v>
      </c>
      <c r="D3810" t="s">
        <v>15</v>
      </c>
      <c r="E3810" s="68">
        <v>218</v>
      </c>
      <c r="F3810" s="68">
        <v>257</v>
      </c>
      <c r="G3810" s="68">
        <v>475</v>
      </c>
    </row>
    <row r="3811" spans="1:7" x14ac:dyDescent="0.3">
      <c r="A3811" t="s">
        <v>724</v>
      </c>
      <c r="B3811" t="s">
        <v>31</v>
      </c>
      <c r="C3811" t="s">
        <v>6</v>
      </c>
      <c r="D3811" t="s">
        <v>16</v>
      </c>
      <c r="E3811" s="68">
        <v>153</v>
      </c>
      <c r="F3811" s="68">
        <v>197</v>
      </c>
      <c r="G3811" s="68">
        <v>350</v>
      </c>
    </row>
    <row r="3812" spans="1:7" x14ac:dyDescent="0.3">
      <c r="A3812" t="s">
        <v>724</v>
      </c>
      <c r="B3812" t="s">
        <v>31</v>
      </c>
      <c r="C3812" t="s">
        <v>6</v>
      </c>
      <c r="D3812" t="s">
        <v>17</v>
      </c>
      <c r="E3812" s="68">
        <v>116</v>
      </c>
      <c r="F3812" s="68">
        <v>160</v>
      </c>
      <c r="G3812" s="68">
        <v>276</v>
      </c>
    </row>
    <row r="3813" spans="1:7" x14ac:dyDescent="0.3">
      <c r="A3813" t="s">
        <v>724</v>
      </c>
      <c r="B3813" t="s">
        <v>31</v>
      </c>
      <c r="C3813" t="s">
        <v>6</v>
      </c>
      <c r="D3813" t="s">
        <v>18</v>
      </c>
      <c r="E3813" s="68">
        <v>78</v>
      </c>
      <c r="F3813" s="68">
        <v>107</v>
      </c>
      <c r="G3813" s="68">
        <v>185</v>
      </c>
    </row>
    <row r="3814" spans="1:7" x14ac:dyDescent="0.3">
      <c r="A3814" t="s">
        <v>724</v>
      </c>
      <c r="B3814" t="s">
        <v>31</v>
      </c>
      <c r="C3814" t="s">
        <v>6</v>
      </c>
      <c r="D3814" t="s">
        <v>19</v>
      </c>
      <c r="E3814" s="68">
        <v>56</v>
      </c>
      <c r="F3814" s="68">
        <v>78</v>
      </c>
      <c r="G3814" s="68">
        <v>134</v>
      </c>
    </row>
    <row r="3815" spans="1:7" x14ac:dyDescent="0.3">
      <c r="A3815" t="s">
        <v>724</v>
      </c>
      <c r="B3815" t="s">
        <v>31</v>
      </c>
      <c r="C3815" t="s">
        <v>6</v>
      </c>
      <c r="D3815" t="s">
        <v>20</v>
      </c>
      <c r="E3815" s="68">
        <v>42</v>
      </c>
      <c r="F3815" s="68">
        <v>55</v>
      </c>
      <c r="G3815" s="68">
        <v>97</v>
      </c>
    </row>
    <row r="3816" spans="1:7" x14ac:dyDescent="0.3">
      <c r="A3816" t="s">
        <v>724</v>
      </c>
      <c r="B3816" t="s">
        <v>31</v>
      </c>
      <c r="C3816" t="s">
        <v>6</v>
      </c>
      <c r="D3816" t="s">
        <v>21</v>
      </c>
      <c r="E3816" s="68">
        <v>20</v>
      </c>
      <c r="F3816" s="68">
        <v>44</v>
      </c>
      <c r="G3816" s="68">
        <v>64</v>
      </c>
    </row>
    <row r="3817" spans="1:7" x14ac:dyDescent="0.3">
      <c r="A3817" t="s">
        <v>724</v>
      </c>
      <c r="B3817" t="s">
        <v>31</v>
      </c>
      <c r="C3817" t="s">
        <v>6</v>
      </c>
      <c r="D3817" t="s">
        <v>22</v>
      </c>
      <c r="E3817" s="68">
        <v>12</v>
      </c>
      <c r="F3817" s="68">
        <v>13</v>
      </c>
      <c r="G3817" s="68">
        <v>25</v>
      </c>
    </row>
    <row r="3818" spans="1:7" x14ac:dyDescent="0.3">
      <c r="A3818" t="s">
        <v>724</v>
      </c>
      <c r="B3818" t="s">
        <v>31</v>
      </c>
      <c r="C3818" t="s">
        <v>6</v>
      </c>
      <c r="D3818" t="s">
        <v>23</v>
      </c>
      <c r="E3818" s="68">
        <v>9</v>
      </c>
      <c r="F3818" s="68">
        <v>20</v>
      </c>
      <c r="G3818" s="68">
        <v>29</v>
      </c>
    </row>
    <row r="3819" spans="1:7" x14ac:dyDescent="0.3">
      <c r="A3819" t="s">
        <v>724</v>
      </c>
      <c r="B3819" t="s">
        <v>31</v>
      </c>
      <c r="C3819" t="s">
        <v>24</v>
      </c>
      <c r="D3819" t="s">
        <v>7</v>
      </c>
      <c r="E3819" s="68">
        <v>3198</v>
      </c>
      <c r="F3819" s="68">
        <v>3294</v>
      </c>
      <c r="G3819" s="68">
        <v>6492</v>
      </c>
    </row>
    <row r="3820" spans="1:7" x14ac:dyDescent="0.3">
      <c r="A3820" t="s">
        <v>724</v>
      </c>
      <c r="B3820" t="s">
        <v>31</v>
      </c>
      <c r="C3820" t="s">
        <v>24</v>
      </c>
      <c r="D3820" t="s">
        <v>8</v>
      </c>
      <c r="E3820" s="68">
        <v>4249</v>
      </c>
      <c r="F3820" s="68">
        <v>4639</v>
      </c>
      <c r="G3820" s="68">
        <v>8888</v>
      </c>
    </row>
    <row r="3821" spans="1:7" x14ac:dyDescent="0.3">
      <c r="A3821" t="s">
        <v>724</v>
      </c>
      <c r="B3821" t="s">
        <v>31</v>
      </c>
      <c r="C3821" t="s">
        <v>24</v>
      </c>
      <c r="D3821" t="s">
        <v>9</v>
      </c>
      <c r="E3821" s="68">
        <v>5563</v>
      </c>
      <c r="F3821" s="68">
        <v>5789</v>
      </c>
      <c r="G3821" s="68">
        <v>11352</v>
      </c>
    </row>
    <row r="3822" spans="1:7" x14ac:dyDescent="0.3">
      <c r="A3822" t="s">
        <v>724</v>
      </c>
      <c r="B3822" t="s">
        <v>31</v>
      </c>
      <c r="C3822" t="s">
        <v>24</v>
      </c>
      <c r="D3822" t="s">
        <v>10</v>
      </c>
      <c r="E3822" s="68">
        <v>6177</v>
      </c>
      <c r="F3822" s="68">
        <v>6413</v>
      </c>
      <c r="G3822" s="68">
        <v>12590</v>
      </c>
    </row>
    <row r="3823" spans="1:7" x14ac:dyDescent="0.3">
      <c r="A3823" t="s">
        <v>724</v>
      </c>
      <c r="B3823" t="s">
        <v>31</v>
      </c>
      <c r="C3823" t="s">
        <v>24</v>
      </c>
      <c r="D3823" t="s">
        <v>11</v>
      </c>
      <c r="E3823" s="68">
        <v>4748</v>
      </c>
      <c r="F3823" s="68">
        <v>4126</v>
      </c>
      <c r="G3823" s="68">
        <v>8874</v>
      </c>
    </row>
    <row r="3824" spans="1:7" x14ac:dyDescent="0.3">
      <c r="A3824" t="s">
        <v>724</v>
      </c>
      <c r="B3824" t="s">
        <v>31</v>
      </c>
      <c r="C3824" t="s">
        <v>24</v>
      </c>
      <c r="D3824" t="s">
        <v>12</v>
      </c>
      <c r="E3824" s="68">
        <v>3722</v>
      </c>
      <c r="F3824" s="68">
        <v>2979</v>
      </c>
      <c r="G3824" s="68">
        <v>6701</v>
      </c>
    </row>
    <row r="3825" spans="1:7" x14ac:dyDescent="0.3">
      <c r="A3825" t="s">
        <v>724</v>
      </c>
      <c r="B3825" t="s">
        <v>31</v>
      </c>
      <c r="C3825" t="s">
        <v>24</v>
      </c>
      <c r="D3825" t="s">
        <v>13</v>
      </c>
      <c r="E3825" s="68">
        <v>3656</v>
      </c>
      <c r="F3825" s="68">
        <v>2537</v>
      </c>
      <c r="G3825" s="68">
        <v>6193</v>
      </c>
    </row>
    <row r="3826" spans="1:7" x14ac:dyDescent="0.3">
      <c r="A3826" t="s">
        <v>724</v>
      </c>
      <c r="B3826" t="s">
        <v>31</v>
      </c>
      <c r="C3826" t="s">
        <v>24</v>
      </c>
      <c r="D3826" t="s">
        <v>14</v>
      </c>
      <c r="E3826" s="68">
        <v>3280</v>
      </c>
      <c r="F3826" s="68">
        <v>2275</v>
      </c>
      <c r="G3826" s="68">
        <v>5555</v>
      </c>
    </row>
    <row r="3827" spans="1:7" x14ac:dyDescent="0.3">
      <c r="A3827" t="s">
        <v>724</v>
      </c>
      <c r="B3827" t="s">
        <v>31</v>
      </c>
      <c r="C3827" t="s">
        <v>24</v>
      </c>
      <c r="D3827" t="s">
        <v>15</v>
      </c>
      <c r="E3827" s="68">
        <v>3280</v>
      </c>
      <c r="F3827" s="68">
        <v>2554</v>
      </c>
      <c r="G3827" s="68">
        <v>5834</v>
      </c>
    </row>
    <row r="3828" spans="1:7" x14ac:dyDescent="0.3">
      <c r="A3828" t="s">
        <v>724</v>
      </c>
      <c r="B3828" t="s">
        <v>31</v>
      </c>
      <c r="C3828" t="s">
        <v>24</v>
      </c>
      <c r="D3828" t="s">
        <v>16</v>
      </c>
      <c r="E3828" s="68">
        <v>3163</v>
      </c>
      <c r="F3828" s="68">
        <v>2675</v>
      </c>
      <c r="G3828" s="68">
        <v>5838</v>
      </c>
    </row>
    <row r="3829" spans="1:7" x14ac:dyDescent="0.3">
      <c r="A3829" t="s">
        <v>724</v>
      </c>
      <c r="B3829" t="s">
        <v>31</v>
      </c>
      <c r="C3829" t="s">
        <v>24</v>
      </c>
      <c r="D3829" t="s">
        <v>17</v>
      </c>
      <c r="E3829" s="68">
        <v>2792</v>
      </c>
      <c r="F3829" s="68">
        <v>2610</v>
      </c>
      <c r="G3829" s="68">
        <v>5402</v>
      </c>
    </row>
    <row r="3830" spans="1:7" x14ac:dyDescent="0.3">
      <c r="A3830" t="s">
        <v>724</v>
      </c>
      <c r="B3830" t="s">
        <v>31</v>
      </c>
      <c r="C3830" t="s">
        <v>24</v>
      </c>
      <c r="D3830" t="s">
        <v>18</v>
      </c>
      <c r="E3830" s="68">
        <v>2640</v>
      </c>
      <c r="F3830" s="68">
        <v>2721</v>
      </c>
      <c r="G3830" s="68">
        <v>5361</v>
      </c>
    </row>
    <row r="3831" spans="1:7" x14ac:dyDescent="0.3">
      <c r="A3831" t="s">
        <v>724</v>
      </c>
      <c r="B3831" t="s">
        <v>31</v>
      </c>
      <c r="C3831" t="s">
        <v>24</v>
      </c>
      <c r="D3831" t="s">
        <v>19</v>
      </c>
      <c r="E3831" s="68">
        <v>2290</v>
      </c>
      <c r="F3831" s="68">
        <v>2517</v>
      </c>
      <c r="G3831" s="68">
        <v>4807</v>
      </c>
    </row>
    <row r="3832" spans="1:7" x14ac:dyDescent="0.3">
      <c r="A3832" t="s">
        <v>724</v>
      </c>
      <c r="B3832" t="s">
        <v>31</v>
      </c>
      <c r="C3832" t="s">
        <v>24</v>
      </c>
      <c r="D3832" t="s">
        <v>20</v>
      </c>
      <c r="E3832" s="68">
        <v>1962</v>
      </c>
      <c r="F3832" s="68">
        <v>2152</v>
      </c>
      <c r="G3832" s="68">
        <v>4114</v>
      </c>
    </row>
    <row r="3833" spans="1:7" x14ac:dyDescent="0.3">
      <c r="A3833" t="s">
        <v>724</v>
      </c>
      <c r="B3833" t="s">
        <v>31</v>
      </c>
      <c r="C3833" t="s">
        <v>24</v>
      </c>
      <c r="D3833" t="s">
        <v>21</v>
      </c>
      <c r="E3833" s="68">
        <v>1307</v>
      </c>
      <c r="F3833" s="68">
        <v>1431</v>
      </c>
      <c r="G3833" s="68">
        <v>2738</v>
      </c>
    </row>
    <row r="3834" spans="1:7" x14ac:dyDescent="0.3">
      <c r="A3834" t="s">
        <v>724</v>
      </c>
      <c r="B3834" t="s">
        <v>31</v>
      </c>
      <c r="C3834" t="s">
        <v>24</v>
      </c>
      <c r="D3834" t="s">
        <v>22</v>
      </c>
      <c r="E3834" s="68">
        <v>967</v>
      </c>
      <c r="F3834" s="68">
        <v>1013</v>
      </c>
      <c r="G3834" s="68">
        <v>1980</v>
      </c>
    </row>
    <row r="3835" spans="1:7" x14ac:dyDescent="0.3">
      <c r="A3835" t="s">
        <v>724</v>
      </c>
      <c r="B3835" t="s">
        <v>31</v>
      </c>
      <c r="C3835" t="s">
        <v>24</v>
      </c>
      <c r="D3835" t="s">
        <v>23</v>
      </c>
      <c r="E3835" s="68">
        <v>1585</v>
      </c>
      <c r="F3835" s="68">
        <v>1761</v>
      </c>
      <c r="G3835" s="68">
        <v>3346</v>
      </c>
    </row>
    <row r="3836" spans="1:7" x14ac:dyDescent="0.3">
      <c r="A3836" t="s">
        <v>724</v>
      </c>
      <c r="B3836" t="s">
        <v>553</v>
      </c>
      <c r="C3836" t="s">
        <v>6</v>
      </c>
      <c r="D3836" t="s">
        <v>21</v>
      </c>
      <c r="E3836" s="68"/>
      <c r="F3836" s="68">
        <v>1</v>
      </c>
      <c r="G3836" s="68">
        <v>1</v>
      </c>
    </row>
    <row r="3837" spans="1:7" x14ac:dyDescent="0.3">
      <c r="A3837" t="s">
        <v>724</v>
      </c>
      <c r="B3837" t="s">
        <v>32</v>
      </c>
      <c r="C3837" t="s">
        <v>6</v>
      </c>
      <c r="D3837" t="s">
        <v>7</v>
      </c>
      <c r="E3837" s="68">
        <v>1</v>
      </c>
      <c r="F3837" s="68">
        <v>1</v>
      </c>
      <c r="G3837" s="68">
        <v>2</v>
      </c>
    </row>
    <row r="3838" spans="1:7" x14ac:dyDescent="0.3">
      <c r="A3838" t="s">
        <v>724</v>
      </c>
      <c r="B3838" t="s">
        <v>32</v>
      </c>
      <c r="C3838" t="s">
        <v>6</v>
      </c>
      <c r="D3838" t="s">
        <v>8</v>
      </c>
      <c r="E3838" s="68">
        <v>1</v>
      </c>
      <c r="F3838" s="68"/>
      <c r="G3838" s="68">
        <v>1</v>
      </c>
    </row>
    <row r="3839" spans="1:7" x14ac:dyDescent="0.3">
      <c r="A3839" t="s">
        <v>724</v>
      </c>
      <c r="B3839" t="s">
        <v>32</v>
      </c>
      <c r="C3839" t="s">
        <v>6</v>
      </c>
      <c r="D3839" t="s">
        <v>9</v>
      </c>
      <c r="E3839" s="68">
        <v>3</v>
      </c>
      <c r="F3839" s="68">
        <v>3</v>
      </c>
      <c r="G3839" s="68">
        <v>6</v>
      </c>
    </row>
    <row r="3840" spans="1:7" x14ac:dyDescent="0.3">
      <c r="A3840" t="s">
        <v>724</v>
      </c>
      <c r="B3840" t="s">
        <v>32</v>
      </c>
      <c r="C3840" t="s">
        <v>6</v>
      </c>
      <c r="D3840" t="s">
        <v>10</v>
      </c>
      <c r="E3840" s="68">
        <v>4</v>
      </c>
      <c r="F3840" s="68">
        <v>6</v>
      </c>
      <c r="G3840" s="68">
        <v>10</v>
      </c>
    </row>
    <row r="3841" spans="1:7" x14ac:dyDescent="0.3">
      <c r="A3841" t="s">
        <v>724</v>
      </c>
      <c r="B3841" t="s">
        <v>32</v>
      </c>
      <c r="C3841" t="s">
        <v>6</v>
      </c>
      <c r="D3841" t="s">
        <v>11</v>
      </c>
      <c r="E3841" s="68">
        <v>15</v>
      </c>
      <c r="F3841" s="68">
        <v>63</v>
      </c>
      <c r="G3841" s="68">
        <v>78</v>
      </c>
    </row>
    <row r="3842" spans="1:7" x14ac:dyDescent="0.3">
      <c r="A3842" t="s">
        <v>724</v>
      </c>
      <c r="B3842" t="s">
        <v>32</v>
      </c>
      <c r="C3842" t="s">
        <v>6</v>
      </c>
      <c r="D3842" t="s">
        <v>12</v>
      </c>
      <c r="E3842" s="68">
        <v>24</v>
      </c>
      <c r="F3842" s="68">
        <v>44</v>
      </c>
      <c r="G3842" s="68">
        <v>68</v>
      </c>
    </row>
    <row r="3843" spans="1:7" x14ac:dyDescent="0.3">
      <c r="A3843" t="s">
        <v>724</v>
      </c>
      <c r="B3843" t="s">
        <v>32</v>
      </c>
      <c r="C3843" t="s">
        <v>6</v>
      </c>
      <c r="D3843" t="s">
        <v>13</v>
      </c>
      <c r="E3843" s="68">
        <v>14</v>
      </c>
      <c r="F3843" s="68">
        <v>25</v>
      </c>
      <c r="G3843" s="68">
        <v>39</v>
      </c>
    </row>
    <row r="3844" spans="1:7" x14ac:dyDescent="0.3">
      <c r="A3844" t="s">
        <v>724</v>
      </c>
      <c r="B3844" t="s">
        <v>32</v>
      </c>
      <c r="C3844" t="s">
        <v>6</v>
      </c>
      <c r="D3844" t="s">
        <v>14</v>
      </c>
      <c r="E3844" s="68">
        <v>10</v>
      </c>
      <c r="F3844" s="68">
        <v>18</v>
      </c>
      <c r="G3844" s="68">
        <v>28</v>
      </c>
    </row>
    <row r="3845" spans="1:7" x14ac:dyDescent="0.3">
      <c r="A3845" t="s">
        <v>724</v>
      </c>
      <c r="B3845" t="s">
        <v>32</v>
      </c>
      <c r="C3845" t="s">
        <v>6</v>
      </c>
      <c r="D3845" t="s">
        <v>15</v>
      </c>
      <c r="E3845" s="68">
        <v>8</v>
      </c>
      <c r="F3845" s="68">
        <v>17</v>
      </c>
      <c r="G3845" s="68">
        <v>25</v>
      </c>
    </row>
    <row r="3846" spans="1:7" x14ac:dyDescent="0.3">
      <c r="A3846" t="s">
        <v>724</v>
      </c>
      <c r="B3846" t="s">
        <v>32</v>
      </c>
      <c r="C3846" t="s">
        <v>6</v>
      </c>
      <c r="D3846" t="s">
        <v>16</v>
      </c>
      <c r="E3846" s="68">
        <v>4</v>
      </c>
      <c r="F3846" s="68">
        <v>7</v>
      </c>
      <c r="G3846" s="68">
        <v>11</v>
      </c>
    </row>
    <row r="3847" spans="1:7" x14ac:dyDescent="0.3">
      <c r="A3847" t="s">
        <v>724</v>
      </c>
      <c r="B3847" t="s">
        <v>32</v>
      </c>
      <c r="C3847" t="s">
        <v>6</v>
      </c>
      <c r="D3847" t="s">
        <v>17</v>
      </c>
      <c r="E3847" s="68">
        <v>3</v>
      </c>
      <c r="F3847" s="68">
        <v>7</v>
      </c>
      <c r="G3847" s="68">
        <v>10</v>
      </c>
    </row>
    <row r="3848" spans="1:7" x14ac:dyDescent="0.3">
      <c r="A3848" t="s">
        <v>724</v>
      </c>
      <c r="B3848" t="s">
        <v>32</v>
      </c>
      <c r="C3848" t="s">
        <v>6</v>
      </c>
      <c r="D3848" t="s">
        <v>18</v>
      </c>
      <c r="E3848" s="68">
        <v>3</v>
      </c>
      <c r="F3848" s="68">
        <v>7</v>
      </c>
      <c r="G3848" s="68">
        <v>10</v>
      </c>
    </row>
    <row r="3849" spans="1:7" x14ac:dyDescent="0.3">
      <c r="A3849" t="s">
        <v>724</v>
      </c>
      <c r="B3849" t="s">
        <v>32</v>
      </c>
      <c r="C3849" t="s">
        <v>6</v>
      </c>
      <c r="D3849" t="s">
        <v>19</v>
      </c>
      <c r="E3849" s="68">
        <v>1</v>
      </c>
      <c r="F3849" s="68">
        <v>3</v>
      </c>
      <c r="G3849" s="68">
        <v>4</v>
      </c>
    </row>
    <row r="3850" spans="1:7" x14ac:dyDescent="0.3">
      <c r="A3850" t="s">
        <v>724</v>
      </c>
      <c r="B3850" t="s">
        <v>32</v>
      </c>
      <c r="C3850" t="s">
        <v>6</v>
      </c>
      <c r="D3850" t="s">
        <v>20</v>
      </c>
      <c r="E3850" s="68"/>
      <c r="F3850" s="68">
        <v>2</v>
      </c>
      <c r="G3850" s="68">
        <v>2</v>
      </c>
    </row>
    <row r="3851" spans="1:7" x14ac:dyDescent="0.3">
      <c r="A3851" t="s">
        <v>724</v>
      </c>
      <c r="B3851" t="s">
        <v>32</v>
      </c>
      <c r="C3851" t="s">
        <v>6</v>
      </c>
      <c r="D3851" t="s">
        <v>21</v>
      </c>
      <c r="E3851" s="68">
        <v>1</v>
      </c>
      <c r="F3851" s="68"/>
      <c r="G3851" s="68">
        <v>1</v>
      </c>
    </row>
    <row r="3852" spans="1:7" x14ac:dyDescent="0.3">
      <c r="A3852" t="s">
        <v>724</v>
      </c>
      <c r="B3852" t="s">
        <v>32</v>
      </c>
      <c r="C3852" t="s">
        <v>24</v>
      </c>
      <c r="D3852" t="s">
        <v>7</v>
      </c>
      <c r="E3852" s="68">
        <v>318</v>
      </c>
      <c r="F3852" s="68">
        <v>339</v>
      </c>
      <c r="G3852" s="68">
        <v>657</v>
      </c>
    </row>
    <row r="3853" spans="1:7" x14ac:dyDescent="0.3">
      <c r="A3853" t="s">
        <v>724</v>
      </c>
      <c r="B3853" t="s">
        <v>32</v>
      </c>
      <c r="C3853" t="s">
        <v>24</v>
      </c>
      <c r="D3853" t="s">
        <v>8</v>
      </c>
      <c r="E3853" s="68">
        <v>568</v>
      </c>
      <c r="F3853" s="68">
        <v>567</v>
      </c>
      <c r="G3853" s="68">
        <v>1135</v>
      </c>
    </row>
    <row r="3854" spans="1:7" x14ac:dyDescent="0.3">
      <c r="A3854" t="s">
        <v>724</v>
      </c>
      <c r="B3854" t="s">
        <v>32</v>
      </c>
      <c r="C3854" t="s">
        <v>24</v>
      </c>
      <c r="D3854" t="s">
        <v>9</v>
      </c>
      <c r="E3854" s="68">
        <v>588</v>
      </c>
      <c r="F3854" s="68">
        <v>608</v>
      </c>
      <c r="G3854" s="68">
        <v>1196</v>
      </c>
    </row>
    <row r="3855" spans="1:7" x14ac:dyDescent="0.3">
      <c r="A3855" t="s">
        <v>724</v>
      </c>
      <c r="B3855" t="s">
        <v>32</v>
      </c>
      <c r="C3855" t="s">
        <v>24</v>
      </c>
      <c r="D3855" t="s">
        <v>10</v>
      </c>
      <c r="E3855" s="68">
        <v>694</v>
      </c>
      <c r="F3855" s="68">
        <v>635</v>
      </c>
      <c r="G3855" s="68">
        <v>1329</v>
      </c>
    </row>
    <row r="3856" spans="1:7" x14ac:dyDescent="0.3">
      <c r="A3856" t="s">
        <v>724</v>
      </c>
      <c r="B3856" t="s">
        <v>32</v>
      </c>
      <c r="C3856" t="s">
        <v>24</v>
      </c>
      <c r="D3856" t="s">
        <v>11</v>
      </c>
      <c r="E3856" s="68">
        <v>472</v>
      </c>
      <c r="F3856" s="68">
        <v>690</v>
      </c>
      <c r="G3856" s="68">
        <v>1162</v>
      </c>
    </row>
    <row r="3857" spans="1:7" x14ac:dyDescent="0.3">
      <c r="A3857" t="s">
        <v>724</v>
      </c>
      <c r="B3857" t="s">
        <v>32</v>
      </c>
      <c r="C3857" t="s">
        <v>24</v>
      </c>
      <c r="D3857" t="s">
        <v>12</v>
      </c>
      <c r="E3857" s="68">
        <v>424</v>
      </c>
      <c r="F3857" s="68">
        <v>558</v>
      </c>
      <c r="G3857" s="68">
        <v>982</v>
      </c>
    </row>
    <row r="3858" spans="1:7" x14ac:dyDescent="0.3">
      <c r="A3858" t="s">
        <v>724</v>
      </c>
      <c r="B3858" t="s">
        <v>32</v>
      </c>
      <c r="C3858" t="s">
        <v>24</v>
      </c>
      <c r="D3858" t="s">
        <v>13</v>
      </c>
      <c r="E3858" s="68">
        <v>467</v>
      </c>
      <c r="F3858" s="68">
        <v>370</v>
      </c>
      <c r="G3858" s="68">
        <v>837</v>
      </c>
    </row>
    <row r="3859" spans="1:7" x14ac:dyDescent="0.3">
      <c r="A3859" t="s">
        <v>724</v>
      </c>
      <c r="B3859" t="s">
        <v>32</v>
      </c>
      <c r="C3859" t="s">
        <v>24</v>
      </c>
      <c r="D3859" t="s">
        <v>14</v>
      </c>
      <c r="E3859" s="68">
        <v>421</v>
      </c>
      <c r="F3859" s="68">
        <v>246</v>
      </c>
      <c r="G3859" s="68">
        <v>667</v>
      </c>
    </row>
    <row r="3860" spans="1:7" x14ac:dyDescent="0.3">
      <c r="A3860" t="s">
        <v>724</v>
      </c>
      <c r="B3860" t="s">
        <v>32</v>
      </c>
      <c r="C3860" t="s">
        <v>24</v>
      </c>
      <c r="D3860" t="s">
        <v>15</v>
      </c>
      <c r="E3860" s="68">
        <v>411</v>
      </c>
      <c r="F3860" s="68">
        <v>268</v>
      </c>
      <c r="G3860" s="68">
        <v>679</v>
      </c>
    </row>
    <row r="3861" spans="1:7" x14ac:dyDescent="0.3">
      <c r="A3861" t="s">
        <v>724</v>
      </c>
      <c r="B3861" t="s">
        <v>32</v>
      </c>
      <c r="C3861" t="s">
        <v>24</v>
      </c>
      <c r="D3861" t="s">
        <v>16</v>
      </c>
      <c r="E3861" s="68">
        <v>402</v>
      </c>
      <c r="F3861" s="68">
        <v>266</v>
      </c>
      <c r="G3861" s="68">
        <v>668</v>
      </c>
    </row>
    <row r="3862" spans="1:7" x14ac:dyDescent="0.3">
      <c r="A3862" t="s">
        <v>724</v>
      </c>
      <c r="B3862" t="s">
        <v>32</v>
      </c>
      <c r="C3862" t="s">
        <v>24</v>
      </c>
      <c r="D3862" t="s">
        <v>17</v>
      </c>
      <c r="E3862" s="68">
        <v>336</v>
      </c>
      <c r="F3862" s="68">
        <v>239</v>
      </c>
      <c r="G3862" s="68">
        <v>575</v>
      </c>
    </row>
    <row r="3863" spans="1:7" x14ac:dyDescent="0.3">
      <c r="A3863" t="s">
        <v>724</v>
      </c>
      <c r="B3863" t="s">
        <v>32</v>
      </c>
      <c r="C3863" t="s">
        <v>24</v>
      </c>
      <c r="D3863" t="s">
        <v>18</v>
      </c>
      <c r="E3863" s="68">
        <v>301</v>
      </c>
      <c r="F3863" s="68">
        <v>256</v>
      </c>
      <c r="G3863" s="68">
        <v>557</v>
      </c>
    </row>
    <row r="3864" spans="1:7" x14ac:dyDescent="0.3">
      <c r="A3864" t="s">
        <v>724</v>
      </c>
      <c r="B3864" t="s">
        <v>32</v>
      </c>
      <c r="C3864" t="s">
        <v>24</v>
      </c>
      <c r="D3864" t="s">
        <v>19</v>
      </c>
      <c r="E3864" s="68">
        <v>249</v>
      </c>
      <c r="F3864" s="68">
        <v>233</v>
      </c>
      <c r="G3864" s="68">
        <v>482</v>
      </c>
    </row>
    <row r="3865" spans="1:7" x14ac:dyDescent="0.3">
      <c r="A3865" t="s">
        <v>724</v>
      </c>
      <c r="B3865" t="s">
        <v>32</v>
      </c>
      <c r="C3865" t="s">
        <v>24</v>
      </c>
      <c r="D3865" t="s">
        <v>20</v>
      </c>
      <c r="E3865" s="68">
        <v>169</v>
      </c>
      <c r="F3865" s="68">
        <v>193</v>
      </c>
      <c r="G3865" s="68">
        <v>362</v>
      </c>
    </row>
    <row r="3866" spans="1:7" x14ac:dyDescent="0.3">
      <c r="A3866" t="s">
        <v>724</v>
      </c>
      <c r="B3866" t="s">
        <v>32</v>
      </c>
      <c r="C3866" t="s">
        <v>24</v>
      </c>
      <c r="D3866" t="s">
        <v>21</v>
      </c>
      <c r="E3866" s="68">
        <v>106</v>
      </c>
      <c r="F3866" s="68">
        <v>120</v>
      </c>
      <c r="G3866" s="68">
        <v>226</v>
      </c>
    </row>
    <row r="3867" spans="1:7" x14ac:dyDescent="0.3">
      <c r="A3867" t="s">
        <v>724</v>
      </c>
      <c r="B3867" t="s">
        <v>32</v>
      </c>
      <c r="C3867" t="s">
        <v>24</v>
      </c>
      <c r="D3867" t="s">
        <v>22</v>
      </c>
      <c r="E3867" s="68">
        <v>58</v>
      </c>
      <c r="F3867" s="68">
        <v>78</v>
      </c>
      <c r="G3867" s="68">
        <v>136</v>
      </c>
    </row>
    <row r="3868" spans="1:7" x14ac:dyDescent="0.3">
      <c r="A3868" t="s">
        <v>724</v>
      </c>
      <c r="B3868" t="s">
        <v>32</v>
      </c>
      <c r="C3868" t="s">
        <v>24</v>
      </c>
      <c r="D3868" t="s">
        <v>23</v>
      </c>
      <c r="E3868" s="68">
        <v>68</v>
      </c>
      <c r="F3868" s="68">
        <v>95</v>
      </c>
      <c r="G3868" s="68">
        <v>163</v>
      </c>
    </row>
    <row r="3869" spans="1:7" x14ac:dyDescent="0.3">
      <c r="A3869" t="s">
        <v>724</v>
      </c>
      <c r="B3869" t="s">
        <v>5</v>
      </c>
      <c r="C3869" t="s">
        <v>6</v>
      </c>
      <c r="D3869" t="s">
        <v>7</v>
      </c>
      <c r="E3869" s="68">
        <v>1092</v>
      </c>
      <c r="F3869" s="68">
        <v>1161</v>
      </c>
      <c r="G3869" s="68">
        <v>2253</v>
      </c>
    </row>
    <row r="3870" spans="1:7" x14ac:dyDescent="0.3">
      <c r="A3870" t="s">
        <v>724</v>
      </c>
      <c r="B3870" t="s">
        <v>5</v>
      </c>
      <c r="C3870" t="s">
        <v>6</v>
      </c>
      <c r="D3870" t="s">
        <v>8</v>
      </c>
      <c r="E3870" s="68">
        <v>1407</v>
      </c>
      <c r="F3870" s="68">
        <v>1488</v>
      </c>
      <c r="G3870" s="68">
        <v>2895</v>
      </c>
    </row>
    <row r="3871" spans="1:7" x14ac:dyDescent="0.3">
      <c r="A3871" t="s">
        <v>724</v>
      </c>
      <c r="B3871" t="s">
        <v>5</v>
      </c>
      <c r="C3871" t="s">
        <v>6</v>
      </c>
      <c r="D3871" t="s">
        <v>9</v>
      </c>
      <c r="E3871" s="68">
        <v>1715</v>
      </c>
      <c r="F3871" s="68">
        <v>1591</v>
      </c>
      <c r="G3871" s="68">
        <v>3306</v>
      </c>
    </row>
    <row r="3872" spans="1:7" x14ac:dyDescent="0.3">
      <c r="A3872" t="s">
        <v>724</v>
      </c>
      <c r="B3872" t="s">
        <v>5</v>
      </c>
      <c r="C3872" t="s">
        <v>6</v>
      </c>
      <c r="D3872" t="s">
        <v>10</v>
      </c>
      <c r="E3872" s="68">
        <v>1493</v>
      </c>
      <c r="F3872" s="68">
        <v>1608</v>
      </c>
      <c r="G3872" s="68">
        <v>3101</v>
      </c>
    </row>
    <row r="3873" spans="1:7" x14ac:dyDescent="0.3">
      <c r="A3873" t="s">
        <v>724</v>
      </c>
      <c r="B3873" t="s">
        <v>5</v>
      </c>
      <c r="C3873" t="s">
        <v>6</v>
      </c>
      <c r="D3873" t="s">
        <v>11</v>
      </c>
      <c r="E3873" s="68">
        <v>1268</v>
      </c>
      <c r="F3873" s="68">
        <v>1235</v>
      </c>
      <c r="G3873" s="68">
        <v>2503</v>
      </c>
    </row>
    <row r="3874" spans="1:7" x14ac:dyDescent="0.3">
      <c r="A3874" t="s">
        <v>724</v>
      </c>
      <c r="B3874" t="s">
        <v>5</v>
      </c>
      <c r="C3874" t="s">
        <v>6</v>
      </c>
      <c r="D3874" t="s">
        <v>12</v>
      </c>
      <c r="E3874" s="68">
        <v>1395</v>
      </c>
      <c r="F3874" s="68">
        <v>1170</v>
      </c>
      <c r="G3874" s="68">
        <v>2565</v>
      </c>
    </row>
    <row r="3875" spans="1:7" x14ac:dyDescent="0.3">
      <c r="A3875" t="s">
        <v>724</v>
      </c>
      <c r="B3875" t="s">
        <v>5</v>
      </c>
      <c r="C3875" t="s">
        <v>6</v>
      </c>
      <c r="D3875" t="s">
        <v>13</v>
      </c>
      <c r="E3875" s="68">
        <v>1949</v>
      </c>
      <c r="F3875" s="68">
        <v>1630</v>
      </c>
      <c r="G3875" s="68">
        <v>3579</v>
      </c>
    </row>
    <row r="3876" spans="1:7" x14ac:dyDescent="0.3">
      <c r="A3876" t="s">
        <v>724</v>
      </c>
      <c r="B3876" t="s">
        <v>5</v>
      </c>
      <c r="C3876" t="s">
        <v>6</v>
      </c>
      <c r="D3876" t="s">
        <v>14</v>
      </c>
      <c r="E3876" s="68">
        <v>2073</v>
      </c>
      <c r="F3876" s="68">
        <v>1838</v>
      </c>
      <c r="G3876" s="68">
        <v>3911</v>
      </c>
    </row>
    <row r="3877" spans="1:7" x14ac:dyDescent="0.3">
      <c r="A3877" t="s">
        <v>724</v>
      </c>
      <c r="B3877" t="s">
        <v>5</v>
      </c>
      <c r="C3877" t="s">
        <v>6</v>
      </c>
      <c r="D3877" t="s">
        <v>15</v>
      </c>
      <c r="E3877" s="68">
        <v>2061</v>
      </c>
      <c r="F3877" s="68">
        <v>1925</v>
      </c>
      <c r="G3877" s="68">
        <v>3986</v>
      </c>
    </row>
    <row r="3878" spans="1:7" x14ac:dyDescent="0.3">
      <c r="A3878" t="s">
        <v>724</v>
      </c>
      <c r="B3878" t="s">
        <v>5</v>
      </c>
      <c r="C3878" t="s">
        <v>6</v>
      </c>
      <c r="D3878" t="s">
        <v>16</v>
      </c>
      <c r="E3878" s="68">
        <v>1671</v>
      </c>
      <c r="F3878" s="68">
        <v>1702</v>
      </c>
      <c r="G3878" s="68">
        <v>3373</v>
      </c>
    </row>
    <row r="3879" spans="1:7" x14ac:dyDescent="0.3">
      <c r="A3879" t="s">
        <v>724</v>
      </c>
      <c r="B3879" t="s">
        <v>5</v>
      </c>
      <c r="C3879" t="s">
        <v>6</v>
      </c>
      <c r="D3879" t="s">
        <v>17</v>
      </c>
      <c r="E3879" s="68">
        <v>1239</v>
      </c>
      <c r="F3879" s="68">
        <v>1233</v>
      </c>
      <c r="G3879" s="68">
        <v>2472</v>
      </c>
    </row>
    <row r="3880" spans="1:7" x14ac:dyDescent="0.3">
      <c r="A3880" t="s">
        <v>724</v>
      </c>
      <c r="B3880" t="s">
        <v>5</v>
      </c>
      <c r="C3880" t="s">
        <v>6</v>
      </c>
      <c r="D3880" t="s">
        <v>18</v>
      </c>
      <c r="E3880" s="68">
        <v>1161</v>
      </c>
      <c r="F3880" s="68">
        <v>1054</v>
      </c>
      <c r="G3880" s="68">
        <v>2215</v>
      </c>
    </row>
    <row r="3881" spans="1:7" x14ac:dyDescent="0.3">
      <c r="A3881" t="s">
        <v>724</v>
      </c>
      <c r="B3881" t="s">
        <v>5</v>
      </c>
      <c r="C3881" t="s">
        <v>6</v>
      </c>
      <c r="D3881" t="s">
        <v>19</v>
      </c>
      <c r="E3881" s="68">
        <v>1162</v>
      </c>
      <c r="F3881" s="68">
        <v>903</v>
      </c>
      <c r="G3881" s="68">
        <v>2065</v>
      </c>
    </row>
    <row r="3882" spans="1:7" x14ac:dyDescent="0.3">
      <c r="A3882" t="s">
        <v>724</v>
      </c>
      <c r="B3882" t="s">
        <v>5</v>
      </c>
      <c r="C3882" t="s">
        <v>6</v>
      </c>
      <c r="D3882" t="s">
        <v>20</v>
      </c>
      <c r="E3882" s="68">
        <v>866</v>
      </c>
      <c r="F3882" s="68">
        <v>798</v>
      </c>
      <c r="G3882" s="68">
        <v>1664</v>
      </c>
    </row>
    <row r="3883" spans="1:7" x14ac:dyDescent="0.3">
      <c r="A3883" t="s">
        <v>724</v>
      </c>
      <c r="B3883" t="s">
        <v>5</v>
      </c>
      <c r="C3883" t="s">
        <v>6</v>
      </c>
      <c r="D3883" t="s">
        <v>21</v>
      </c>
      <c r="E3883" s="68">
        <v>660</v>
      </c>
      <c r="F3883" s="68">
        <v>555</v>
      </c>
      <c r="G3883" s="68">
        <v>1215</v>
      </c>
    </row>
    <row r="3884" spans="1:7" x14ac:dyDescent="0.3">
      <c r="A3884" t="s">
        <v>724</v>
      </c>
      <c r="B3884" t="s">
        <v>5</v>
      </c>
      <c r="C3884" t="s">
        <v>6</v>
      </c>
      <c r="D3884" t="s">
        <v>22</v>
      </c>
      <c r="E3884" s="68">
        <v>484</v>
      </c>
      <c r="F3884" s="68">
        <v>372</v>
      </c>
      <c r="G3884" s="68">
        <v>856</v>
      </c>
    </row>
    <row r="3885" spans="1:7" x14ac:dyDescent="0.3">
      <c r="A3885" t="s">
        <v>724</v>
      </c>
      <c r="B3885" t="s">
        <v>5</v>
      </c>
      <c r="C3885" t="s">
        <v>6</v>
      </c>
      <c r="D3885" t="s">
        <v>23</v>
      </c>
      <c r="E3885" s="68">
        <v>668</v>
      </c>
      <c r="F3885" s="68">
        <v>432</v>
      </c>
      <c r="G3885" s="68">
        <v>1100</v>
      </c>
    </row>
    <row r="3886" spans="1:7" x14ac:dyDescent="0.3">
      <c r="A3886" t="s">
        <v>724</v>
      </c>
      <c r="B3886" t="s">
        <v>5</v>
      </c>
      <c r="C3886" t="s">
        <v>24</v>
      </c>
      <c r="D3886" t="s">
        <v>7</v>
      </c>
      <c r="E3886" s="68">
        <v>457</v>
      </c>
      <c r="F3886" s="68">
        <v>465</v>
      </c>
      <c r="G3886" s="68">
        <v>922</v>
      </c>
    </row>
    <row r="3887" spans="1:7" x14ac:dyDescent="0.3">
      <c r="A3887" t="s">
        <v>724</v>
      </c>
      <c r="B3887" t="s">
        <v>5</v>
      </c>
      <c r="C3887" t="s">
        <v>24</v>
      </c>
      <c r="D3887" t="s">
        <v>8</v>
      </c>
      <c r="E3887" s="68">
        <v>586</v>
      </c>
      <c r="F3887" s="68">
        <v>578</v>
      </c>
      <c r="G3887" s="68">
        <v>1164</v>
      </c>
    </row>
    <row r="3888" spans="1:7" x14ac:dyDescent="0.3">
      <c r="A3888" t="s">
        <v>724</v>
      </c>
      <c r="B3888" t="s">
        <v>5</v>
      </c>
      <c r="C3888" t="s">
        <v>24</v>
      </c>
      <c r="D3888" t="s">
        <v>9</v>
      </c>
      <c r="E3888" s="68">
        <v>745</v>
      </c>
      <c r="F3888" s="68">
        <v>797</v>
      </c>
      <c r="G3888" s="68">
        <v>1542</v>
      </c>
    </row>
    <row r="3889" spans="1:7" x14ac:dyDescent="0.3">
      <c r="A3889" t="s">
        <v>724</v>
      </c>
      <c r="B3889" t="s">
        <v>5</v>
      </c>
      <c r="C3889" t="s">
        <v>24</v>
      </c>
      <c r="D3889" t="s">
        <v>10</v>
      </c>
      <c r="E3889" s="68">
        <v>740</v>
      </c>
      <c r="F3889" s="68">
        <v>736</v>
      </c>
      <c r="G3889" s="68">
        <v>1476</v>
      </c>
    </row>
    <row r="3890" spans="1:7" x14ac:dyDescent="0.3">
      <c r="A3890" t="s">
        <v>724</v>
      </c>
      <c r="B3890" t="s">
        <v>5</v>
      </c>
      <c r="C3890" t="s">
        <v>24</v>
      </c>
      <c r="D3890" t="s">
        <v>11</v>
      </c>
      <c r="E3890" s="68">
        <v>642</v>
      </c>
      <c r="F3890" s="68">
        <v>610</v>
      </c>
      <c r="G3890" s="68">
        <v>1252</v>
      </c>
    </row>
    <row r="3891" spans="1:7" x14ac:dyDescent="0.3">
      <c r="A3891" t="s">
        <v>724</v>
      </c>
      <c r="B3891" t="s">
        <v>5</v>
      </c>
      <c r="C3891" t="s">
        <v>24</v>
      </c>
      <c r="D3891" t="s">
        <v>12</v>
      </c>
      <c r="E3891" s="68">
        <v>810</v>
      </c>
      <c r="F3891" s="68">
        <v>695</v>
      </c>
      <c r="G3891" s="68">
        <v>1505</v>
      </c>
    </row>
    <row r="3892" spans="1:7" x14ac:dyDescent="0.3">
      <c r="A3892" t="s">
        <v>724</v>
      </c>
      <c r="B3892" t="s">
        <v>5</v>
      </c>
      <c r="C3892" t="s">
        <v>24</v>
      </c>
      <c r="D3892" t="s">
        <v>13</v>
      </c>
      <c r="E3892" s="68">
        <v>720</v>
      </c>
      <c r="F3892" s="68">
        <v>558</v>
      </c>
      <c r="G3892" s="68">
        <v>1278</v>
      </c>
    </row>
    <row r="3893" spans="1:7" x14ac:dyDescent="0.3">
      <c r="A3893" t="s">
        <v>724</v>
      </c>
      <c r="B3893" t="s">
        <v>5</v>
      </c>
      <c r="C3893" t="s">
        <v>24</v>
      </c>
      <c r="D3893" t="s">
        <v>14</v>
      </c>
      <c r="E3893" s="68">
        <v>673</v>
      </c>
      <c r="F3893" s="68">
        <v>559</v>
      </c>
      <c r="G3893" s="68">
        <v>1232</v>
      </c>
    </row>
    <row r="3894" spans="1:7" x14ac:dyDescent="0.3">
      <c r="A3894" t="s">
        <v>724</v>
      </c>
      <c r="B3894" t="s">
        <v>5</v>
      </c>
      <c r="C3894" t="s">
        <v>24</v>
      </c>
      <c r="D3894" t="s">
        <v>15</v>
      </c>
      <c r="E3894" s="68">
        <v>660</v>
      </c>
      <c r="F3894" s="68">
        <v>535</v>
      </c>
      <c r="G3894" s="68">
        <v>1195</v>
      </c>
    </row>
    <row r="3895" spans="1:7" x14ac:dyDescent="0.3">
      <c r="A3895" t="s">
        <v>724</v>
      </c>
      <c r="B3895" t="s">
        <v>5</v>
      </c>
      <c r="C3895" t="s">
        <v>24</v>
      </c>
      <c r="D3895" t="s">
        <v>16</v>
      </c>
      <c r="E3895" s="68">
        <v>600</v>
      </c>
      <c r="F3895" s="68">
        <v>497</v>
      </c>
      <c r="G3895" s="68">
        <v>1097</v>
      </c>
    </row>
    <row r="3896" spans="1:7" x14ac:dyDescent="0.3">
      <c r="A3896" t="s">
        <v>724</v>
      </c>
      <c r="B3896" t="s">
        <v>5</v>
      </c>
      <c r="C3896" t="s">
        <v>24</v>
      </c>
      <c r="D3896" t="s">
        <v>17</v>
      </c>
      <c r="E3896" s="68">
        <v>454</v>
      </c>
      <c r="F3896" s="68">
        <v>438</v>
      </c>
      <c r="G3896" s="68">
        <v>892</v>
      </c>
    </row>
    <row r="3897" spans="1:7" x14ac:dyDescent="0.3">
      <c r="A3897" t="s">
        <v>724</v>
      </c>
      <c r="B3897" t="s">
        <v>5</v>
      </c>
      <c r="C3897" t="s">
        <v>24</v>
      </c>
      <c r="D3897" t="s">
        <v>18</v>
      </c>
      <c r="E3897" s="68">
        <v>465</v>
      </c>
      <c r="F3897" s="68">
        <v>441</v>
      </c>
      <c r="G3897" s="68">
        <v>906</v>
      </c>
    </row>
    <row r="3898" spans="1:7" x14ac:dyDescent="0.3">
      <c r="A3898" t="s">
        <v>724</v>
      </c>
      <c r="B3898" t="s">
        <v>5</v>
      </c>
      <c r="C3898" t="s">
        <v>24</v>
      </c>
      <c r="D3898" t="s">
        <v>19</v>
      </c>
      <c r="E3898" s="68">
        <v>416</v>
      </c>
      <c r="F3898" s="68">
        <v>357</v>
      </c>
      <c r="G3898" s="68">
        <v>773</v>
      </c>
    </row>
    <row r="3899" spans="1:7" x14ac:dyDescent="0.3">
      <c r="A3899" t="s">
        <v>724</v>
      </c>
      <c r="B3899" t="s">
        <v>5</v>
      </c>
      <c r="C3899" t="s">
        <v>24</v>
      </c>
      <c r="D3899" t="s">
        <v>20</v>
      </c>
      <c r="E3899" s="68">
        <v>325</v>
      </c>
      <c r="F3899" s="68">
        <v>309</v>
      </c>
      <c r="G3899" s="68">
        <v>634</v>
      </c>
    </row>
    <row r="3900" spans="1:7" x14ac:dyDescent="0.3">
      <c r="A3900" t="s">
        <v>724</v>
      </c>
      <c r="B3900" t="s">
        <v>5</v>
      </c>
      <c r="C3900" t="s">
        <v>24</v>
      </c>
      <c r="D3900" t="s">
        <v>21</v>
      </c>
      <c r="E3900" s="68">
        <v>204</v>
      </c>
      <c r="F3900" s="68">
        <v>186</v>
      </c>
      <c r="G3900" s="68">
        <v>390</v>
      </c>
    </row>
    <row r="3901" spans="1:7" x14ac:dyDescent="0.3">
      <c r="A3901" t="s">
        <v>724</v>
      </c>
      <c r="B3901" t="s">
        <v>5</v>
      </c>
      <c r="C3901" t="s">
        <v>24</v>
      </c>
      <c r="D3901" t="s">
        <v>22</v>
      </c>
      <c r="E3901" s="68">
        <v>146</v>
      </c>
      <c r="F3901" s="68">
        <v>135</v>
      </c>
      <c r="G3901" s="68">
        <v>281</v>
      </c>
    </row>
    <row r="3902" spans="1:7" x14ac:dyDescent="0.3">
      <c r="A3902" t="s">
        <v>724</v>
      </c>
      <c r="B3902" t="s">
        <v>5</v>
      </c>
      <c r="C3902" t="s">
        <v>24</v>
      </c>
      <c r="D3902" t="s">
        <v>23</v>
      </c>
      <c r="E3902" s="68">
        <v>179</v>
      </c>
      <c r="F3902" s="68">
        <v>174</v>
      </c>
      <c r="G3902" s="68">
        <v>353</v>
      </c>
    </row>
    <row r="3903" spans="1:7" x14ac:dyDescent="0.3">
      <c r="A3903" t="s">
        <v>724</v>
      </c>
      <c r="B3903" t="s">
        <v>34</v>
      </c>
      <c r="C3903" t="s">
        <v>6</v>
      </c>
      <c r="D3903" t="s">
        <v>7</v>
      </c>
      <c r="E3903" s="68">
        <v>329</v>
      </c>
      <c r="F3903" s="68">
        <v>393</v>
      </c>
      <c r="G3903" s="68">
        <v>722</v>
      </c>
    </row>
    <row r="3904" spans="1:7" x14ac:dyDescent="0.3">
      <c r="A3904" t="s">
        <v>724</v>
      </c>
      <c r="B3904" t="s">
        <v>34</v>
      </c>
      <c r="C3904" t="s">
        <v>6</v>
      </c>
      <c r="D3904" t="s">
        <v>8</v>
      </c>
      <c r="E3904" s="68">
        <v>399</v>
      </c>
      <c r="F3904" s="68">
        <v>434</v>
      </c>
      <c r="G3904" s="68">
        <v>833</v>
      </c>
    </row>
    <row r="3905" spans="1:7" x14ac:dyDescent="0.3">
      <c r="A3905" t="s">
        <v>724</v>
      </c>
      <c r="B3905" t="s">
        <v>34</v>
      </c>
      <c r="C3905" t="s">
        <v>6</v>
      </c>
      <c r="D3905" t="s">
        <v>9</v>
      </c>
      <c r="E3905" s="68">
        <v>387</v>
      </c>
      <c r="F3905" s="68">
        <v>385</v>
      </c>
      <c r="G3905" s="68">
        <v>772</v>
      </c>
    </row>
    <row r="3906" spans="1:7" x14ac:dyDescent="0.3">
      <c r="A3906" t="s">
        <v>724</v>
      </c>
      <c r="B3906" t="s">
        <v>34</v>
      </c>
      <c r="C3906" t="s">
        <v>6</v>
      </c>
      <c r="D3906" t="s">
        <v>10</v>
      </c>
      <c r="E3906" s="68">
        <v>325</v>
      </c>
      <c r="F3906" s="68">
        <v>304</v>
      </c>
      <c r="G3906" s="68">
        <v>629</v>
      </c>
    </row>
    <row r="3907" spans="1:7" x14ac:dyDescent="0.3">
      <c r="A3907" t="s">
        <v>724</v>
      </c>
      <c r="B3907" t="s">
        <v>34</v>
      </c>
      <c r="C3907" t="s">
        <v>6</v>
      </c>
      <c r="D3907" t="s">
        <v>11</v>
      </c>
      <c r="E3907" s="68">
        <v>332</v>
      </c>
      <c r="F3907" s="68">
        <v>303</v>
      </c>
      <c r="G3907" s="68">
        <v>635</v>
      </c>
    </row>
    <row r="3908" spans="1:7" x14ac:dyDescent="0.3">
      <c r="A3908" t="s">
        <v>724</v>
      </c>
      <c r="B3908" t="s">
        <v>34</v>
      </c>
      <c r="C3908" t="s">
        <v>6</v>
      </c>
      <c r="D3908" t="s">
        <v>12</v>
      </c>
      <c r="E3908" s="68">
        <v>506</v>
      </c>
      <c r="F3908" s="68">
        <v>418</v>
      </c>
      <c r="G3908" s="68">
        <v>924</v>
      </c>
    </row>
    <row r="3909" spans="1:7" x14ac:dyDescent="0.3">
      <c r="A3909" t="s">
        <v>724</v>
      </c>
      <c r="B3909" t="s">
        <v>34</v>
      </c>
      <c r="C3909" t="s">
        <v>6</v>
      </c>
      <c r="D3909" t="s">
        <v>13</v>
      </c>
      <c r="E3909" s="68">
        <v>662</v>
      </c>
      <c r="F3909" s="68">
        <v>588</v>
      </c>
      <c r="G3909" s="68">
        <v>1250</v>
      </c>
    </row>
    <row r="3910" spans="1:7" x14ac:dyDescent="0.3">
      <c r="A3910" t="s">
        <v>724</v>
      </c>
      <c r="B3910" t="s">
        <v>34</v>
      </c>
      <c r="C3910" t="s">
        <v>6</v>
      </c>
      <c r="D3910" t="s">
        <v>14</v>
      </c>
      <c r="E3910" s="68">
        <v>566</v>
      </c>
      <c r="F3910" s="68">
        <v>564</v>
      </c>
      <c r="G3910" s="68">
        <v>1130</v>
      </c>
    </row>
    <row r="3911" spans="1:7" x14ac:dyDescent="0.3">
      <c r="A3911" t="s">
        <v>724</v>
      </c>
      <c r="B3911" t="s">
        <v>34</v>
      </c>
      <c r="C3911" t="s">
        <v>6</v>
      </c>
      <c r="D3911" t="s">
        <v>15</v>
      </c>
      <c r="E3911" s="68">
        <v>511</v>
      </c>
      <c r="F3911" s="68">
        <v>463</v>
      </c>
      <c r="G3911" s="68">
        <v>974</v>
      </c>
    </row>
    <row r="3912" spans="1:7" x14ac:dyDescent="0.3">
      <c r="A3912" t="s">
        <v>724</v>
      </c>
      <c r="B3912" t="s">
        <v>34</v>
      </c>
      <c r="C3912" t="s">
        <v>6</v>
      </c>
      <c r="D3912" t="s">
        <v>16</v>
      </c>
      <c r="E3912" s="68">
        <v>348</v>
      </c>
      <c r="F3912" s="68">
        <v>371</v>
      </c>
      <c r="G3912" s="68">
        <v>719</v>
      </c>
    </row>
    <row r="3913" spans="1:7" x14ac:dyDescent="0.3">
      <c r="A3913" t="s">
        <v>724</v>
      </c>
      <c r="B3913" t="s">
        <v>34</v>
      </c>
      <c r="C3913" t="s">
        <v>6</v>
      </c>
      <c r="D3913" t="s">
        <v>17</v>
      </c>
      <c r="E3913" s="68">
        <v>285</v>
      </c>
      <c r="F3913" s="68">
        <v>233</v>
      </c>
      <c r="G3913" s="68">
        <v>518</v>
      </c>
    </row>
    <row r="3914" spans="1:7" x14ac:dyDescent="0.3">
      <c r="A3914" t="s">
        <v>724</v>
      </c>
      <c r="B3914" t="s">
        <v>34</v>
      </c>
      <c r="C3914" t="s">
        <v>6</v>
      </c>
      <c r="D3914" t="s">
        <v>18</v>
      </c>
      <c r="E3914" s="68">
        <v>215</v>
      </c>
      <c r="F3914" s="68">
        <v>226</v>
      </c>
      <c r="G3914" s="68">
        <v>441</v>
      </c>
    </row>
    <row r="3915" spans="1:7" x14ac:dyDescent="0.3">
      <c r="A3915" t="s">
        <v>724</v>
      </c>
      <c r="B3915" t="s">
        <v>34</v>
      </c>
      <c r="C3915" t="s">
        <v>6</v>
      </c>
      <c r="D3915" t="s">
        <v>19</v>
      </c>
      <c r="E3915" s="68">
        <v>243</v>
      </c>
      <c r="F3915" s="68">
        <v>194</v>
      </c>
      <c r="G3915" s="68">
        <v>437</v>
      </c>
    </row>
    <row r="3916" spans="1:7" x14ac:dyDescent="0.3">
      <c r="A3916" t="s">
        <v>724</v>
      </c>
      <c r="B3916" t="s">
        <v>34</v>
      </c>
      <c r="C3916" t="s">
        <v>6</v>
      </c>
      <c r="D3916" t="s">
        <v>20</v>
      </c>
      <c r="E3916" s="68">
        <v>161</v>
      </c>
      <c r="F3916" s="68">
        <v>155</v>
      </c>
      <c r="G3916" s="68">
        <v>316</v>
      </c>
    </row>
    <row r="3917" spans="1:7" x14ac:dyDescent="0.3">
      <c r="A3917" t="s">
        <v>724</v>
      </c>
      <c r="B3917" t="s">
        <v>34</v>
      </c>
      <c r="C3917" t="s">
        <v>6</v>
      </c>
      <c r="D3917" t="s">
        <v>21</v>
      </c>
      <c r="E3917" s="68">
        <v>88</v>
      </c>
      <c r="F3917" s="68">
        <v>91</v>
      </c>
      <c r="G3917" s="68">
        <v>179</v>
      </c>
    </row>
    <row r="3918" spans="1:7" x14ac:dyDescent="0.3">
      <c r="A3918" t="s">
        <v>724</v>
      </c>
      <c r="B3918" t="s">
        <v>34</v>
      </c>
      <c r="C3918" t="s">
        <v>6</v>
      </c>
      <c r="D3918" t="s">
        <v>22</v>
      </c>
      <c r="E3918" s="68">
        <v>54</v>
      </c>
      <c r="F3918" s="68">
        <v>47</v>
      </c>
      <c r="G3918" s="68">
        <v>101</v>
      </c>
    </row>
    <row r="3919" spans="1:7" x14ac:dyDescent="0.3">
      <c r="A3919" t="s">
        <v>724</v>
      </c>
      <c r="B3919" t="s">
        <v>34</v>
      </c>
      <c r="C3919" t="s">
        <v>6</v>
      </c>
      <c r="D3919" t="s">
        <v>23</v>
      </c>
      <c r="E3919" s="68">
        <v>75</v>
      </c>
      <c r="F3919" s="68">
        <v>50</v>
      </c>
      <c r="G3919" s="68">
        <v>125</v>
      </c>
    </row>
    <row r="3920" spans="1:7" x14ac:dyDescent="0.3">
      <c r="A3920" t="s">
        <v>724</v>
      </c>
      <c r="B3920" t="s">
        <v>34</v>
      </c>
      <c r="C3920" t="s">
        <v>24</v>
      </c>
      <c r="D3920" t="s">
        <v>7</v>
      </c>
      <c r="E3920" s="68">
        <v>103</v>
      </c>
      <c r="F3920" s="68">
        <v>91</v>
      </c>
      <c r="G3920" s="68">
        <v>194</v>
      </c>
    </row>
    <row r="3921" spans="1:7" x14ac:dyDescent="0.3">
      <c r="A3921" t="s">
        <v>724</v>
      </c>
      <c r="B3921" t="s">
        <v>34</v>
      </c>
      <c r="C3921" t="s">
        <v>24</v>
      </c>
      <c r="D3921" t="s">
        <v>8</v>
      </c>
      <c r="E3921" s="68">
        <v>78</v>
      </c>
      <c r="F3921" s="68">
        <v>94</v>
      </c>
      <c r="G3921" s="68">
        <v>172</v>
      </c>
    </row>
    <row r="3922" spans="1:7" x14ac:dyDescent="0.3">
      <c r="A3922" t="s">
        <v>724</v>
      </c>
      <c r="B3922" t="s">
        <v>34</v>
      </c>
      <c r="C3922" t="s">
        <v>24</v>
      </c>
      <c r="D3922" t="s">
        <v>9</v>
      </c>
      <c r="E3922" s="68">
        <v>76</v>
      </c>
      <c r="F3922" s="68">
        <v>85</v>
      </c>
      <c r="G3922" s="68">
        <v>161</v>
      </c>
    </row>
    <row r="3923" spans="1:7" x14ac:dyDescent="0.3">
      <c r="A3923" t="s">
        <v>724</v>
      </c>
      <c r="B3923" t="s">
        <v>34</v>
      </c>
      <c r="C3923" t="s">
        <v>24</v>
      </c>
      <c r="D3923" t="s">
        <v>10</v>
      </c>
      <c r="E3923" s="68">
        <v>66</v>
      </c>
      <c r="F3923" s="68">
        <v>62</v>
      </c>
      <c r="G3923" s="68">
        <v>128</v>
      </c>
    </row>
    <row r="3924" spans="1:7" x14ac:dyDescent="0.3">
      <c r="A3924" t="s">
        <v>724</v>
      </c>
      <c r="B3924" t="s">
        <v>34</v>
      </c>
      <c r="C3924" t="s">
        <v>24</v>
      </c>
      <c r="D3924" t="s">
        <v>11</v>
      </c>
      <c r="E3924" s="68">
        <v>110</v>
      </c>
      <c r="F3924" s="68">
        <v>84</v>
      </c>
      <c r="G3924" s="68">
        <v>194</v>
      </c>
    </row>
    <row r="3925" spans="1:7" x14ac:dyDescent="0.3">
      <c r="A3925" t="s">
        <v>724</v>
      </c>
      <c r="B3925" t="s">
        <v>34</v>
      </c>
      <c r="C3925" t="s">
        <v>24</v>
      </c>
      <c r="D3925" t="s">
        <v>12</v>
      </c>
      <c r="E3925" s="68">
        <v>185</v>
      </c>
      <c r="F3925" s="68">
        <v>156</v>
      </c>
      <c r="G3925" s="68">
        <v>341</v>
      </c>
    </row>
    <row r="3926" spans="1:7" x14ac:dyDescent="0.3">
      <c r="A3926" t="s">
        <v>724</v>
      </c>
      <c r="B3926" t="s">
        <v>34</v>
      </c>
      <c r="C3926" t="s">
        <v>24</v>
      </c>
      <c r="D3926" t="s">
        <v>13</v>
      </c>
      <c r="E3926" s="68">
        <v>162</v>
      </c>
      <c r="F3926" s="68">
        <v>131</v>
      </c>
      <c r="G3926" s="68">
        <v>293</v>
      </c>
    </row>
    <row r="3927" spans="1:7" x14ac:dyDescent="0.3">
      <c r="A3927" t="s">
        <v>724</v>
      </c>
      <c r="B3927" t="s">
        <v>34</v>
      </c>
      <c r="C3927" t="s">
        <v>24</v>
      </c>
      <c r="D3927" t="s">
        <v>14</v>
      </c>
      <c r="E3927" s="68">
        <v>123</v>
      </c>
      <c r="F3927" s="68">
        <v>122</v>
      </c>
      <c r="G3927" s="68">
        <v>245</v>
      </c>
    </row>
    <row r="3928" spans="1:7" x14ac:dyDescent="0.3">
      <c r="A3928" t="s">
        <v>724</v>
      </c>
      <c r="B3928" t="s">
        <v>34</v>
      </c>
      <c r="C3928" t="s">
        <v>24</v>
      </c>
      <c r="D3928" t="s">
        <v>15</v>
      </c>
      <c r="E3928" s="68">
        <v>70</v>
      </c>
      <c r="F3928" s="68">
        <v>83</v>
      </c>
      <c r="G3928" s="68">
        <v>153</v>
      </c>
    </row>
    <row r="3929" spans="1:7" x14ac:dyDescent="0.3">
      <c r="A3929" t="s">
        <v>724</v>
      </c>
      <c r="B3929" t="s">
        <v>34</v>
      </c>
      <c r="C3929" t="s">
        <v>24</v>
      </c>
      <c r="D3929" t="s">
        <v>16</v>
      </c>
      <c r="E3929" s="68">
        <v>81</v>
      </c>
      <c r="F3929" s="68">
        <v>47</v>
      </c>
      <c r="G3929" s="68">
        <v>128</v>
      </c>
    </row>
    <row r="3930" spans="1:7" x14ac:dyDescent="0.3">
      <c r="A3930" t="s">
        <v>724</v>
      </c>
      <c r="B3930" t="s">
        <v>34</v>
      </c>
      <c r="C3930" t="s">
        <v>24</v>
      </c>
      <c r="D3930" t="s">
        <v>17</v>
      </c>
      <c r="E3930" s="68">
        <v>47</v>
      </c>
      <c r="F3930" s="68">
        <v>46</v>
      </c>
      <c r="G3930" s="68">
        <v>93</v>
      </c>
    </row>
    <row r="3931" spans="1:7" x14ac:dyDescent="0.3">
      <c r="A3931" t="s">
        <v>724</v>
      </c>
      <c r="B3931" t="s">
        <v>34</v>
      </c>
      <c r="C3931" t="s">
        <v>24</v>
      </c>
      <c r="D3931" t="s">
        <v>18</v>
      </c>
      <c r="E3931" s="68">
        <v>52</v>
      </c>
      <c r="F3931" s="68">
        <v>38</v>
      </c>
      <c r="G3931" s="68">
        <v>90</v>
      </c>
    </row>
    <row r="3932" spans="1:7" x14ac:dyDescent="0.3">
      <c r="A3932" t="s">
        <v>724</v>
      </c>
      <c r="B3932" t="s">
        <v>34</v>
      </c>
      <c r="C3932" t="s">
        <v>24</v>
      </c>
      <c r="D3932" t="s">
        <v>19</v>
      </c>
      <c r="E3932" s="68">
        <v>40</v>
      </c>
      <c r="F3932" s="68">
        <v>32</v>
      </c>
      <c r="G3932" s="68">
        <v>72</v>
      </c>
    </row>
    <row r="3933" spans="1:7" x14ac:dyDescent="0.3">
      <c r="A3933" t="s">
        <v>724</v>
      </c>
      <c r="B3933" t="s">
        <v>34</v>
      </c>
      <c r="C3933" t="s">
        <v>24</v>
      </c>
      <c r="D3933" t="s">
        <v>20</v>
      </c>
      <c r="E3933" s="68">
        <v>19</v>
      </c>
      <c r="F3933" s="68">
        <v>9</v>
      </c>
      <c r="G3933" s="68">
        <v>28</v>
      </c>
    </row>
    <row r="3934" spans="1:7" x14ac:dyDescent="0.3">
      <c r="A3934" t="s">
        <v>724</v>
      </c>
      <c r="B3934" t="s">
        <v>34</v>
      </c>
      <c r="C3934" t="s">
        <v>24</v>
      </c>
      <c r="D3934" t="s">
        <v>21</v>
      </c>
      <c r="E3934" s="68">
        <v>13</v>
      </c>
      <c r="F3934" s="68">
        <v>8</v>
      </c>
      <c r="G3934" s="68">
        <v>21</v>
      </c>
    </row>
    <row r="3935" spans="1:7" x14ac:dyDescent="0.3">
      <c r="A3935" t="s">
        <v>724</v>
      </c>
      <c r="B3935" t="s">
        <v>34</v>
      </c>
      <c r="C3935" t="s">
        <v>24</v>
      </c>
      <c r="D3935" t="s">
        <v>22</v>
      </c>
      <c r="E3935" s="68">
        <v>7</v>
      </c>
      <c r="F3935" s="68">
        <v>3</v>
      </c>
      <c r="G3935" s="68">
        <v>10</v>
      </c>
    </row>
    <row r="3936" spans="1:7" x14ac:dyDescent="0.3">
      <c r="A3936" t="s">
        <v>724</v>
      </c>
      <c r="B3936" t="s">
        <v>34</v>
      </c>
      <c r="C3936" t="s">
        <v>24</v>
      </c>
      <c r="D3936" t="s">
        <v>23</v>
      </c>
      <c r="E3936" s="68">
        <v>3</v>
      </c>
      <c r="F3936" s="68">
        <v>5</v>
      </c>
      <c r="G3936" s="68">
        <v>8</v>
      </c>
    </row>
    <row r="3937" spans="1:7" x14ac:dyDescent="0.3">
      <c r="A3937" t="s">
        <v>724</v>
      </c>
      <c r="B3937" t="s">
        <v>37</v>
      </c>
      <c r="C3937" t="s">
        <v>6</v>
      </c>
      <c r="D3937" t="s">
        <v>8</v>
      </c>
      <c r="E3937" s="68">
        <v>1</v>
      </c>
      <c r="F3937" s="68"/>
      <c r="G3937" s="68">
        <v>1</v>
      </c>
    </row>
    <row r="3938" spans="1:7" x14ac:dyDescent="0.3">
      <c r="A3938" t="s">
        <v>724</v>
      </c>
      <c r="B3938" t="s">
        <v>37</v>
      </c>
      <c r="C3938" t="s">
        <v>6</v>
      </c>
      <c r="D3938" t="s">
        <v>12</v>
      </c>
      <c r="E3938" s="68">
        <v>1</v>
      </c>
      <c r="F3938" s="68"/>
      <c r="G3938" s="68">
        <v>1</v>
      </c>
    </row>
    <row r="3939" spans="1:7" x14ac:dyDescent="0.3">
      <c r="A3939" t="s">
        <v>724</v>
      </c>
      <c r="B3939" t="s">
        <v>588</v>
      </c>
      <c r="C3939" t="s">
        <v>6</v>
      </c>
      <c r="D3939" t="s">
        <v>7</v>
      </c>
      <c r="E3939" s="68">
        <v>1819</v>
      </c>
      <c r="F3939" s="68">
        <v>1996</v>
      </c>
      <c r="G3939" s="68">
        <v>3815</v>
      </c>
    </row>
    <row r="3940" spans="1:7" x14ac:dyDescent="0.3">
      <c r="A3940" t="s">
        <v>724</v>
      </c>
      <c r="B3940" t="s">
        <v>588</v>
      </c>
      <c r="C3940" t="s">
        <v>6</v>
      </c>
      <c r="D3940" t="s">
        <v>8</v>
      </c>
      <c r="E3940" s="68">
        <v>2341</v>
      </c>
      <c r="F3940" s="68">
        <v>2295</v>
      </c>
      <c r="G3940" s="68">
        <v>4636</v>
      </c>
    </row>
    <row r="3941" spans="1:7" x14ac:dyDescent="0.3">
      <c r="A3941" t="s">
        <v>724</v>
      </c>
      <c r="B3941" t="s">
        <v>588</v>
      </c>
      <c r="C3941" t="s">
        <v>6</v>
      </c>
      <c r="D3941" t="s">
        <v>9</v>
      </c>
      <c r="E3941" s="68">
        <v>2193</v>
      </c>
      <c r="F3941" s="68">
        <v>2285</v>
      </c>
      <c r="G3941" s="68">
        <v>4478</v>
      </c>
    </row>
    <row r="3942" spans="1:7" x14ac:dyDescent="0.3">
      <c r="A3942" t="s">
        <v>724</v>
      </c>
      <c r="B3942" t="s">
        <v>588</v>
      </c>
      <c r="C3942" t="s">
        <v>6</v>
      </c>
      <c r="D3942" t="s">
        <v>10</v>
      </c>
      <c r="E3942" s="68">
        <v>2082</v>
      </c>
      <c r="F3942" s="68">
        <v>2183</v>
      </c>
      <c r="G3942" s="68">
        <v>4265</v>
      </c>
    </row>
    <row r="3943" spans="1:7" x14ac:dyDescent="0.3">
      <c r="A3943" t="s">
        <v>724</v>
      </c>
      <c r="B3943" t="s">
        <v>588</v>
      </c>
      <c r="C3943" t="s">
        <v>6</v>
      </c>
      <c r="D3943" t="s">
        <v>11</v>
      </c>
      <c r="E3943" s="68">
        <v>3199</v>
      </c>
      <c r="F3943" s="68">
        <v>3481</v>
      </c>
      <c r="G3943" s="68">
        <v>6680</v>
      </c>
    </row>
    <row r="3944" spans="1:7" x14ac:dyDescent="0.3">
      <c r="A3944" t="s">
        <v>724</v>
      </c>
      <c r="B3944" t="s">
        <v>588</v>
      </c>
      <c r="C3944" t="s">
        <v>6</v>
      </c>
      <c r="D3944" t="s">
        <v>12</v>
      </c>
      <c r="E3944" s="68">
        <v>4398</v>
      </c>
      <c r="F3944" s="68">
        <v>4309</v>
      </c>
      <c r="G3944" s="68">
        <v>8707</v>
      </c>
    </row>
    <row r="3945" spans="1:7" x14ac:dyDescent="0.3">
      <c r="A3945" t="s">
        <v>724</v>
      </c>
      <c r="B3945" t="s">
        <v>588</v>
      </c>
      <c r="C3945" t="s">
        <v>6</v>
      </c>
      <c r="D3945" t="s">
        <v>13</v>
      </c>
      <c r="E3945" s="68">
        <v>4410</v>
      </c>
      <c r="F3945" s="68">
        <v>4626</v>
      </c>
      <c r="G3945" s="68">
        <v>9036</v>
      </c>
    </row>
    <row r="3946" spans="1:7" x14ac:dyDescent="0.3">
      <c r="A3946" t="s">
        <v>724</v>
      </c>
      <c r="B3946" t="s">
        <v>588</v>
      </c>
      <c r="C3946" t="s">
        <v>6</v>
      </c>
      <c r="D3946" t="s">
        <v>14</v>
      </c>
      <c r="E3946" s="68">
        <v>3392</v>
      </c>
      <c r="F3946" s="68">
        <v>3937</v>
      </c>
      <c r="G3946" s="68">
        <v>7329</v>
      </c>
    </row>
    <row r="3947" spans="1:7" x14ac:dyDescent="0.3">
      <c r="A3947" t="s">
        <v>724</v>
      </c>
      <c r="B3947" t="s">
        <v>588</v>
      </c>
      <c r="C3947" t="s">
        <v>6</v>
      </c>
      <c r="D3947" t="s">
        <v>15</v>
      </c>
      <c r="E3947" s="68">
        <v>2866</v>
      </c>
      <c r="F3947" s="68">
        <v>3267</v>
      </c>
      <c r="G3947" s="68">
        <v>6133</v>
      </c>
    </row>
    <row r="3948" spans="1:7" x14ac:dyDescent="0.3">
      <c r="A3948" t="s">
        <v>724</v>
      </c>
      <c r="B3948" t="s">
        <v>588</v>
      </c>
      <c r="C3948" t="s">
        <v>6</v>
      </c>
      <c r="D3948" t="s">
        <v>16</v>
      </c>
      <c r="E3948" s="68">
        <v>2107</v>
      </c>
      <c r="F3948" s="68">
        <v>2643</v>
      </c>
      <c r="G3948" s="68">
        <v>4750</v>
      </c>
    </row>
    <row r="3949" spans="1:7" x14ac:dyDescent="0.3">
      <c r="A3949" t="s">
        <v>724</v>
      </c>
      <c r="B3949" t="s">
        <v>588</v>
      </c>
      <c r="C3949" t="s">
        <v>6</v>
      </c>
      <c r="D3949" t="s">
        <v>17</v>
      </c>
      <c r="E3949" s="68">
        <v>1485</v>
      </c>
      <c r="F3949" s="68">
        <v>1901</v>
      </c>
      <c r="G3949" s="68">
        <v>3386</v>
      </c>
    </row>
    <row r="3950" spans="1:7" x14ac:dyDescent="0.3">
      <c r="A3950" t="s">
        <v>724</v>
      </c>
      <c r="B3950" t="s">
        <v>588</v>
      </c>
      <c r="C3950" t="s">
        <v>6</v>
      </c>
      <c r="D3950" t="s">
        <v>18</v>
      </c>
      <c r="E3950" s="68">
        <v>1261</v>
      </c>
      <c r="F3950" s="68">
        <v>1426</v>
      </c>
      <c r="G3950" s="68">
        <v>2687</v>
      </c>
    </row>
    <row r="3951" spans="1:7" x14ac:dyDescent="0.3">
      <c r="A3951" t="s">
        <v>724</v>
      </c>
      <c r="B3951" t="s">
        <v>588</v>
      </c>
      <c r="C3951" t="s">
        <v>6</v>
      </c>
      <c r="D3951" t="s">
        <v>19</v>
      </c>
      <c r="E3951" s="68">
        <v>805</v>
      </c>
      <c r="F3951" s="68">
        <v>1049</v>
      </c>
      <c r="G3951" s="68">
        <v>1854</v>
      </c>
    </row>
    <row r="3952" spans="1:7" x14ac:dyDescent="0.3">
      <c r="A3952" t="s">
        <v>724</v>
      </c>
      <c r="B3952" t="s">
        <v>588</v>
      </c>
      <c r="C3952" t="s">
        <v>6</v>
      </c>
      <c r="D3952" t="s">
        <v>20</v>
      </c>
      <c r="E3952" s="68">
        <v>509</v>
      </c>
      <c r="F3952" s="68">
        <v>629</v>
      </c>
      <c r="G3952" s="68">
        <v>1138</v>
      </c>
    </row>
    <row r="3953" spans="1:7" x14ac:dyDescent="0.3">
      <c r="A3953" t="s">
        <v>724</v>
      </c>
      <c r="B3953" t="s">
        <v>588</v>
      </c>
      <c r="C3953" t="s">
        <v>6</v>
      </c>
      <c r="D3953" t="s">
        <v>21</v>
      </c>
      <c r="E3953" s="68">
        <v>332</v>
      </c>
      <c r="F3953" s="68">
        <v>326</v>
      </c>
      <c r="G3953" s="68">
        <v>658</v>
      </c>
    </row>
    <row r="3954" spans="1:7" x14ac:dyDescent="0.3">
      <c r="A3954" t="s">
        <v>724</v>
      </c>
      <c r="B3954" t="s">
        <v>588</v>
      </c>
      <c r="C3954" t="s">
        <v>6</v>
      </c>
      <c r="D3954" t="s">
        <v>22</v>
      </c>
      <c r="E3954" s="68">
        <v>223</v>
      </c>
      <c r="F3954" s="68">
        <v>163</v>
      </c>
      <c r="G3954" s="68">
        <v>386</v>
      </c>
    </row>
    <row r="3955" spans="1:7" x14ac:dyDescent="0.3">
      <c r="A3955" t="s">
        <v>724</v>
      </c>
      <c r="B3955" t="s">
        <v>588</v>
      </c>
      <c r="C3955" t="s">
        <v>6</v>
      </c>
      <c r="D3955" t="s">
        <v>23</v>
      </c>
      <c r="E3955" s="68">
        <v>338</v>
      </c>
      <c r="F3955" s="68">
        <v>214</v>
      </c>
      <c r="G3955" s="68">
        <v>552</v>
      </c>
    </row>
    <row r="3956" spans="1:7" x14ac:dyDescent="0.3">
      <c r="A3956" t="s">
        <v>724</v>
      </c>
      <c r="B3956" t="s">
        <v>588</v>
      </c>
      <c r="C3956" t="s">
        <v>24</v>
      </c>
      <c r="D3956" t="s">
        <v>7</v>
      </c>
      <c r="E3956" s="68">
        <v>15562</v>
      </c>
      <c r="F3956" s="68">
        <v>16478</v>
      </c>
      <c r="G3956" s="68">
        <v>32040</v>
      </c>
    </row>
    <row r="3957" spans="1:7" x14ac:dyDescent="0.3">
      <c r="A3957" t="s">
        <v>724</v>
      </c>
      <c r="B3957" t="s">
        <v>588</v>
      </c>
      <c r="C3957" t="s">
        <v>24</v>
      </c>
      <c r="D3957" t="s">
        <v>8</v>
      </c>
      <c r="E3957" s="68">
        <v>19372</v>
      </c>
      <c r="F3957" s="68">
        <v>20672</v>
      </c>
      <c r="G3957" s="68">
        <v>40044</v>
      </c>
    </row>
    <row r="3958" spans="1:7" x14ac:dyDescent="0.3">
      <c r="A3958" t="s">
        <v>724</v>
      </c>
      <c r="B3958" t="s">
        <v>588</v>
      </c>
      <c r="C3958" t="s">
        <v>24</v>
      </c>
      <c r="D3958" t="s">
        <v>9</v>
      </c>
      <c r="E3958" s="68">
        <v>24395</v>
      </c>
      <c r="F3958" s="68">
        <v>25985</v>
      </c>
      <c r="G3958" s="68">
        <v>50380</v>
      </c>
    </row>
    <row r="3959" spans="1:7" x14ac:dyDescent="0.3">
      <c r="A3959" t="s">
        <v>724</v>
      </c>
      <c r="B3959" t="s">
        <v>588</v>
      </c>
      <c r="C3959" t="s">
        <v>24</v>
      </c>
      <c r="D3959" t="s">
        <v>10</v>
      </c>
      <c r="E3959" s="68">
        <v>25047</v>
      </c>
      <c r="F3959" s="68">
        <v>25060</v>
      </c>
      <c r="G3959" s="68">
        <v>50107</v>
      </c>
    </row>
    <row r="3960" spans="1:7" x14ac:dyDescent="0.3">
      <c r="A3960" t="s">
        <v>724</v>
      </c>
      <c r="B3960" t="s">
        <v>588</v>
      </c>
      <c r="C3960" t="s">
        <v>24</v>
      </c>
      <c r="D3960" t="s">
        <v>11</v>
      </c>
      <c r="E3960" s="68">
        <v>22489</v>
      </c>
      <c r="F3960" s="68">
        <v>18003</v>
      </c>
      <c r="G3960" s="68">
        <v>40492</v>
      </c>
    </row>
    <row r="3961" spans="1:7" x14ac:dyDescent="0.3">
      <c r="A3961" t="s">
        <v>724</v>
      </c>
      <c r="B3961" t="s">
        <v>588</v>
      </c>
      <c r="C3961" t="s">
        <v>24</v>
      </c>
      <c r="D3961" t="s">
        <v>12</v>
      </c>
      <c r="E3961" s="68">
        <v>21005</v>
      </c>
      <c r="F3961" s="68">
        <v>14994</v>
      </c>
      <c r="G3961" s="68">
        <v>35999</v>
      </c>
    </row>
    <row r="3962" spans="1:7" x14ac:dyDescent="0.3">
      <c r="A3962" t="s">
        <v>724</v>
      </c>
      <c r="B3962" t="s">
        <v>588</v>
      </c>
      <c r="C3962" t="s">
        <v>24</v>
      </c>
      <c r="D3962" t="s">
        <v>13</v>
      </c>
      <c r="E3962" s="68">
        <v>19402</v>
      </c>
      <c r="F3962" s="68">
        <v>14543</v>
      </c>
      <c r="G3962" s="68">
        <v>33945</v>
      </c>
    </row>
    <row r="3963" spans="1:7" x14ac:dyDescent="0.3">
      <c r="A3963" t="s">
        <v>724</v>
      </c>
      <c r="B3963" t="s">
        <v>588</v>
      </c>
      <c r="C3963" t="s">
        <v>24</v>
      </c>
      <c r="D3963" t="s">
        <v>14</v>
      </c>
      <c r="E3963" s="68">
        <v>18215</v>
      </c>
      <c r="F3963" s="68">
        <v>14983</v>
      </c>
      <c r="G3963" s="68">
        <v>33198</v>
      </c>
    </row>
    <row r="3964" spans="1:7" x14ac:dyDescent="0.3">
      <c r="A3964" t="s">
        <v>724</v>
      </c>
      <c r="B3964" t="s">
        <v>588</v>
      </c>
      <c r="C3964" t="s">
        <v>24</v>
      </c>
      <c r="D3964" t="s">
        <v>15</v>
      </c>
      <c r="E3964" s="68">
        <v>18729</v>
      </c>
      <c r="F3964" s="68">
        <v>15895</v>
      </c>
      <c r="G3964" s="68">
        <v>34624</v>
      </c>
    </row>
    <row r="3965" spans="1:7" x14ac:dyDescent="0.3">
      <c r="A3965" t="s">
        <v>724</v>
      </c>
      <c r="B3965" t="s">
        <v>588</v>
      </c>
      <c r="C3965" t="s">
        <v>24</v>
      </c>
      <c r="D3965" t="s">
        <v>16</v>
      </c>
      <c r="E3965" s="68">
        <v>17263</v>
      </c>
      <c r="F3965" s="68">
        <v>15536</v>
      </c>
      <c r="G3965" s="68">
        <v>32799</v>
      </c>
    </row>
    <row r="3966" spans="1:7" x14ac:dyDescent="0.3">
      <c r="A3966" t="s">
        <v>724</v>
      </c>
      <c r="B3966" t="s">
        <v>588</v>
      </c>
      <c r="C3966" t="s">
        <v>24</v>
      </c>
      <c r="D3966" t="s">
        <v>17</v>
      </c>
      <c r="E3966" s="68">
        <v>16699</v>
      </c>
      <c r="F3966" s="68">
        <v>15521</v>
      </c>
      <c r="G3966" s="68">
        <v>32220</v>
      </c>
    </row>
    <row r="3967" spans="1:7" x14ac:dyDescent="0.3">
      <c r="A3967" t="s">
        <v>724</v>
      </c>
      <c r="B3967" t="s">
        <v>588</v>
      </c>
      <c r="C3967" t="s">
        <v>24</v>
      </c>
      <c r="D3967" t="s">
        <v>18</v>
      </c>
      <c r="E3967" s="68">
        <v>17366</v>
      </c>
      <c r="F3967" s="68">
        <v>16805</v>
      </c>
      <c r="G3967" s="68">
        <v>34171</v>
      </c>
    </row>
    <row r="3968" spans="1:7" x14ac:dyDescent="0.3">
      <c r="A3968" t="s">
        <v>724</v>
      </c>
      <c r="B3968" t="s">
        <v>588</v>
      </c>
      <c r="C3968" t="s">
        <v>24</v>
      </c>
      <c r="D3968" t="s">
        <v>19</v>
      </c>
      <c r="E3968" s="68">
        <v>15947</v>
      </c>
      <c r="F3968" s="68">
        <v>15811</v>
      </c>
      <c r="G3968" s="68">
        <v>31758</v>
      </c>
    </row>
    <row r="3969" spans="1:7" x14ac:dyDescent="0.3">
      <c r="A3969" t="s">
        <v>724</v>
      </c>
      <c r="B3969" t="s">
        <v>588</v>
      </c>
      <c r="C3969" t="s">
        <v>24</v>
      </c>
      <c r="D3969" t="s">
        <v>20</v>
      </c>
      <c r="E3969" s="68">
        <v>12466</v>
      </c>
      <c r="F3969" s="68">
        <v>12415</v>
      </c>
      <c r="G3969" s="68">
        <v>24881</v>
      </c>
    </row>
    <row r="3970" spans="1:7" x14ac:dyDescent="0.3">
      <c r="A3970" t="s">
        <v>724</v>
      </c>
      <c r="B3970" t="s">
        <v>588</v>
      </c>
      <c r="C3970" t="s">
        <v>24</v>
      </c>
      <c r="D3970" t="s">
        <v>21</v>
      </c>
      <c r="E3970" s="68">
        <v>9233</v>
      </c>
      <c r="F3970" s="68">
        <v>8955</v>
      </c>
      <c r="G3970" s="68">
        <v>18188</v>
      </c>
    </row>
    <row r="3971" spans="1:7" x14ac:dyDescent="0.3">
      <c r="A3971" t="s">
        <v>724</v>
      </c>
      <c r="B3971" t="s">
        <v>588</v>
      </c>
      <c r="C3971" t="s">
        <v>24</v>
      </c>
      <c r="D3971" t="s">
        <v>22</v>
      </c>
      <c r="E3971" s="68">
        <v>7054</v>
      </c>
      <c r="F3971" s="68">
        <v>6536</v>
      </c>
      <c r="G3971" s="68">
        <v>13590</v>
      </c>
    </row>
    <row r="3972" spans="1:7" x14ac:dyDescent="0.3">
      <c r="A3972" t="s">
        <v>724</v>
      </c>
      <c r="B3972" t="s">
        <v>588</v>
      </c>
      <c r="C3972" t="s">
        <v>24</v>
      </c>
      <c r="D3972" t="s">
        <v>23</v>
      </c>
      <c r="E3972" s="68">
        <v>11301</v>
      </c>
      <c r="F3972" s="68">
        <v>10530</v>
      </c>
      <c r="G3972" s="68">
        <v>21831</v>
      </c>
    </row>
    <row r="3973" spans="1:7" x14ac:dyDescent="0.3">
      <c r="A3973" t="s">
        <v>724</v>
      </c>
      <c r="B3973" t="s">
        <v>26</v>
      </c>
      <c r="C3973" t="s">
        <v>6</v>
      </c>
      <c r="D3973" t="s">
        <v>7</v>
      </c>
      <c r="E3973" s="68">
        <v>2492</v>
      </c>
      <c r="F3973" s="68">
        <v>2650</v>
      </c>
      <c r="G3973" s="68">
        <v>5142</v>
      </c>
    </row>
    <row r="3974" spans="1:7" x14ac:dyDescent="0.3">
      <c r="A3974" t="s">
        <v>724</v>
      </c>
      <c r="B3974" t="s">
        <v>26</v>
      </c>
      <c r="C3974" t="s">
        <v>6</v>
      </c>
      <c r="D3974" t="s">
        <v>8</v>
      </c>
      <c r="E3974" s="68">
        <v>3635</v>
      </c>
      <c r="F3974" s="68">
        <v>3774</v>
      </c>
      <c r="G3974" s="68">
        <v>7409</v>
      </c>
    </row>
    <row r="3975" spans="1:7" x14ac:dyDescent="0.3">
      <c r="A3975" t="s">
        <v>724</v>
      </c>
      <c r="B3975" t="s">
        <v>26</v>
      </c>
      <c r="C3975" t="s">
        <v>6</v>
      </c>
      <c r="D3975" t="s">
        <v>9</v>
      </c>
      <c r="E3975" s="68">
        <v>3242</v>
      </c>
      <c r="F3975" s="68">
        <v>3467</v>
      </c>
      <c r="G3975" s="68">
        <v>6709</v>
      </c>
    </row>
    <row r="3976" spans="1:7" x14ac:dyDescent="0.3">
      <c r="A3976" t="s">
        <v>724</v>
      </c>
      <c r="B3976" t="s">
        <v>26</v>
      </c>
      <c r="C3976" t="s">
        <v>6</v>
      </c>
      <c r="D3976" t="s">
        <v>10</v>
      </c>
      <c r="E3976" s="68">
        <v>3561</v>
      </c>
      <c r="F3976" s="68">
        <v>3927</v>
      </c>
      <c r="G3976" s="68">
        <v>7488</v>
      </c>
    </row>
    <row r="3977" spans="1:7" x14ac:dyDescent="0.3">
      <c r="A3977" t="s">
        <v>724</v>
      </c>
      <c r="B3977" t="s">
        <v>26</v>
      </c>
      <c r="C3977" t="s">
        <v>6</v>
      </c>
      <c r="D3977" t="s">
        <v>11</v>
      </c>
      <c r="E3977" s="68">
        <v>4066</v>
      </c>
      <c r="F3977" s="68">
        <v>5082</v>
      </c>
      <c r="G3977" s="68">
        <v>9148</v>
      </c>
    </row>
    <row r="3978" spans="1:7" x14ac:dyDescent="0.3">
      <c r="A3978" t="s">
        <v>724</v>
      </c>
      <c r="B3978" t="s">
        <v>26</v>
      </c>
      <c r="C3978" t="s">
        <v>6</v>
      </c>
      <c r="D3978" t="s">
        <v>12</v>
      </c>
      <c r="E3978" s="68">
        <v>3962</v>
      </c>
      <c r="F3978" s="68">
        <v>5577</v>
      </c>
      <c r="G3978" s="68">
        <v>9539</v>
      </c>
    </row>
    <row r="3979" spans="1:7" x14ac:dyDescent="0.3">
      <c r="A3979" t="s">
        <v>724</v>
      </c>
      <c r="B3979" t="s">
        <v>26</v>
      </c>
      <c r="C3979" t="s">
        <v>6</v>
      </c>
      <c r="D3979" t="s">
        <v>13</v>
      </c>
      <c r="E3979" s="68">
        <v>4201</v>
      </c>
      <c r="F3979" s="68">
        <v>5719</v>
      </c>
      <c r="G3979" s="68">
        <v>9920</v>
      </c>
    </row>
    <row r="3980" spans="1:7" x14ac:dyDescent="0.3">
      <c r="A3980" t="s">
        <v>724</v>
      </c>
      <c r="B3980" t="s">
        <v>26</v>
      </c>
      <c r="C3980" t="s">
        <v>6</v>
      </c>
      <c r="D3980" t="s">
        <v>14</v>
      </c>
      <c r="E3980" s="68">
        <v>3881</v>
      </c>
      <c r="F3980" s="68">
        <v>4959</v>
      </c>
      <c r="G3980" s="68">
        <v>8840</v>
      </c>
    </row>
    <row r="3981" spans="1:7" x14ac:dyDescent="0.3">
      <c r="A3981" t="s">
        <v>724</v>
      </c>
      <c r="B3981" t="s">
        <v>26</v>
      </c>
      <c r="C3981" t="s">
        <v>6</v>
      </c>
      <c r="D3981" t="s">
        <v>15</v>
      </c>
      <c r="E3981" s="68">
        <v>3837</v>
      </c>
      <c r="F3981" s="68">
        <v>4474</v>
      </c>
      <c r="G3981" s="68">
        <v>8311</v>
      </c>
    </row>
    <row r="3982" spans="1:7" x14ac:dyDescent="0.3">
      <c r="A3982" t="s">
        <v>724</v>
      </c>
      <c r="B3982" t="s">
        <v>26</v>
      </c>
      <c r="C3982" t="s">
        <v>6</v>
      </c>
      <c r="D3982" t="s">
        <v>16</v>
      </c>
      <c r="E3982" s="68">
        <v>3549</v>
      </c>
      <c r="F3982" s="68">
        <v>4012</v>
      </c>
      <c r="G3982" s="68">
        <v>7561</v>
      </c>
    </row>
    <row r="3983" spans="1:7" x14ac:dyDescent="0.3">
      <c r="A3983" t="s">
        <v>724</v>
      </c>
      <c r="B3983" t="s">
        <v>26</v>
      </c>
      <c r="C3983" t="s">
        <v>6</v>
      </c>
      <c r="D3983" t="s">
        <v>17</v>
      </c>
      <c r="E3983" s="68">
        <v>3040</v>
      </c>
      <c r="F3983" s="68">
        <v>3330</v>
      </c>
      <c r="G3983" s="68">
        <v>6370</v>
      </c>
    </row>
    <row r="3984" spans="1:7" x14ac:dyDescent="0.3">
      <c r="A3984" t="s">
        <v>724</v>
      </c>
      <c r="B3984" t="s">
        <v>26</v>
      </c>
      <c r="C3984" t="s">
        <v>6</v>
      </c>
      <c r="D3984" t="s">
        <v>18</v>
      </c>
      <c r="E3984" s="68">
        <v>3121</v>
      </c>
      <c r="F3984" s="68">
        <v>2878</v>
      </c>
      <c r="G3984" s="68">
        <v>5999</v>
      </c>
    </row>
    <row r="3985" spans="1:7" x14ac:dyDescent="0.3">
      <c r="A3985" t="s">
        <v>724</v>
      </c>
      <c r="B3985" t="s">
        <v>26</v>
      </c>
      <c r="C3985" t="s">
        <v>6</v>
      </c>
      <c r="D3985" t="s">
        <v>19</v>
      </c>
      <c r="E3985" s="68">
        <v>2812</v>
      </c>
      <c r="F3985" s="68">
        <v>2611</v>
      </c>
      <c r="G3985" s="68">
        <v>5423</v>
      </c>
    </row>
    <row r="3986" spans="1:7" x14ac:dyDescent="0.3">
      <c r="A3986" t="s">
        <v>724</v>
      </c>
      <c r="B3986" t="s">
        <v>26</v>
      </c>
      <c r="C3986" t="s">
        <v>6</v>
      </c>
      <c r="D3986" t="s">
        <v>20</v>
      </c>
      <c r="E3986" s="68">
        <v>2552</v>
      </c>
      <c r="F3986" s="68">
        <v>2087</v>
      </c>
      <c r="G3986" s="68">
        <v>4639</v>
      </c>
    </row>
    <row r="3987" spans="1:7" x14ac:dyDescent="0.3">
      <c r="A3987" t="s">
        <v>724</v>
      </c>
      <c r="B3987" t="s">
        <v>26</v>
      </c>
      <c r="C3987" t="s">
        <v>6</v>
      </c>
      <c r="D3987" t="s">
        <v>21</v>
      </c>
      <c r="E3987" s="68">
        <v>2028</v>
      </c>
      <c r="F3987" s="68">
        <v>1617</v>
      </c>
      <c r="G3987" s="68">
        <v>3645</v>
      </c>
    </row>
    <row r="3988" spans="1:7" x14ac:dyDescent="0.3">
      <c r="A3988" t="s">
        <v>724</v>
      </c>
      <c r="B3988" t="s">
        <v>26</v>
      </c>
      <c r="C3988" t="s">
        <v>6</v>
      </c>
      <c r="D3988" t="s">
        <v>22</v>
      </c>
      <c r="E3988" s="68">
        <v>1524</v>
      </c>
      <c r="F3988" s="68">
        <v>1199</v>
      </c>
      <c r="G3988" s="68">
        <v>2723</v>
      </c>
    </row>
    <row r="3989" spans="1:7" x14ac:dyDescent="0.3">
      <c r="A3989" t="s">
        <v>724</v>
      </c>
      <c r="B3989" t="s">
        <v>26</v>
      </c>
      <c r="C3989" t="s">
        <v>6</v>
      </c>
      <c r="D3989" t="s">
        <v>23</v>
      </c>
      <c r="E3989" s="68">
        <v>2113</v>
      </c>
      <c r="F3989" s="68">
        <v>1563</v>
      </c>
      <c r="G3989" s="68">
        <v>3676</v>
      </c>
    </row>
    <row r="3990" spans="1:7" x14ac:dyDescent="0.3">
      <c r="A3990" t="s">
        <v>724</v>
      </c>
      <c r="B3990" t="s">
        <v>26</v>
      </c>
      <c r="C3990" t="s">
        <v>24</v>
      </c>
      <c r="D3990" t="s">
        <v>7</v>
      </c>
      <c r="E3990" s="68">
        <v>14831</v>
      </c>
      <c r="F3990" s="68">
        <v>15610</v>
      </c>
      <c r="G3990" s="68">
        <v>30441</v>
      </c>
    </row>
    <row r="3991" spans="1:7" x14ac:dyDescent="0.3">
      <c r="A3991" t="s">
        <v>724</v>
      </c>
      <c r="B3991" t="s">
        <v>26</v>
      </c>
      <c r="C3991" t="s">
        <v>24</v>
      </c>
      <c r="D3991" t="s">
        <v>8</v>
      </c>
      <c r="E3991" s="68">
        <v>17331</v>
      </c>
      <c r="F3991" s="68">
        <v>18085</v>
      </c>
      <c r="G3991" s="68">
        <v>35416</v>
      </c>
    </row>
    <row r="3992" spans="1:7" x14ac:dyDescent="0.3">
      <c r="A3992" t="s">
        <v>724</v>
      </c>
      <c r="B3992" t="s">
        <v>26</v>
      </c>
      <c r="C3992" t="s">
        <v>24</v>
      </c>
      <c r="D3992" t="s">
        <v>9</v>
      </c>
      <c r="E3992" s="68">
        <v>16896</v>
      </c>
      <c r="F3992" s="68">
        <v>17722</v>
      </c>
      <c r="G3992" s="68">
        <v>34618</v>
      </c>
    </row>
    <row r="3993" spans="1:7" x14ac:dyDescent="0.3">
      <c r="A3993" t="s">
        <v>724</v>
      </c>
      <c r="B3993" t="s">
        <v>26</v>
      </c>
      <c r="C3993" t="s">
        <v>24</v>
      </c>
      <c r="D3993" t="s">
        <v>10</v>
      </c>
      <c r="E3993" s="68">
        <v>21010</v>
      </c>
      <c r="F3993" s="68">
        <v>20610</v>
      </c>
      <c r="G3993" s="68">
        <v>41620</v>
      </c>
    </row>
    <row r="3994" spans="1:7" x14ac:dyDescent="0.3">
      <c r="A3994" t="s">
        <v>724</v>
      </c>
      <c r="B3994" t="s">
        <v>26</v>
      </c>
      <c r="C3994" t="s">
        <v>24</v>
      </c>
      <c r="D3994" t="s">
        <v>11</v>
      </c>
      <c r="E3994" s="68">
        <v>18869</v>
      </c>
      <c r="F3994" s="68">
        <v>14106</v>
      </c>
      <c r="G3994" s="68">
        <v>32975</v>
      </c>
    </row>
    <row r="3995" spans="1:7" x14ac:dyDescent="0.3">
      <c r="A3995" t="s">
        <v>724</v>
      </c>
      <c r="B3995" t="s">
        <v>26</v>
      </c>
      <c r="C3995" t="s">
        <v>24</v>
      </c>
      <c r="D3995" t="s">
        <v>12</v>
      </c>
      <c r="E3995" s="68">
        <v>17557</v>
      </c>
      <c r="F3995" s="68">
        <v>13937</v>
      </c>
      <c r="G3995" s="68">
        <v>31494</v>
      </c>
    </row>
    <row r="3996" spans="1:7" x14ac:dyDescent="0.3">
      <c r="A3996" t="s">
        <v>724</v>
      </c>
      <c r="B3996" t="s">
        <v>26</v>
      </c>
      <c r="C3996" t="s">
        <v>24</v>
      </c>
      <c r="D3996" t="s">
        <v>13</v>
      </c>
      <c r="E3996" s="68">
        <v>16394</v>
      </c>
      <c r="F3996" s="68">
        <v>13224</v>
      </c>
      <c r="G3996" s="68">
        <v>29618</v>
      </c>
    </row>
    <row r="3997" spans="1:7" x14ac:dyDescent="0.3">
      <c r="A3997" t="s">
        <v>724</v>
      </c>
      <c r="B3997" t="s">
        <v>26</v>
      </c>
      <c r="C3997" t="s">
        <v>24</v>
      </c>
      <c r="D3997" t="s">
        <v>14</v>
      </c>
      <c r="E3997" s="68">
        <v>14200</v>
      </c>
      <c r="F3997" s="68">
        <v>11996</v>
      </c>
      <c r="G3997" s="68">
        <v>26196</v>
      </c>
    </row>
    <row r="3998" spans="1:7" x14ac:dyDescent="0.3">
      <c r="A3998" t="s">
        <v>724</v>
      </c>
      <c r="B3998" t="s">
        <v>26</v>
      </c>
      <c r="C3998" t="s">
        <v>24</v>
      </c>
      <c r="D3998" t="s">
        <v>15</v>
      </c>
      <c r="E3998" s="68">
        <v>13139</v>
      </c>
      <c r="F3998" s="68">
        <v>11602</v>
      </c>
      <c r="G3998" s="68">
        <v>24741</v>
      </c>
    </row>
    <row r="3999" spans="1:7" x14ac:dyDescent="0.3">
      <c r="A3999" t="s">
        <v>724</v>
      </c>
      <c r="B3999" t="s">
        <v>26</v>
      </c>
      <c r="C3999" t="s">
        <v>24</v>
      </c>
      <c r="D3999" t="s">
        <v>16</v>
      </c>
      <c r="E3999" s="68">
        <v>12870</v>
      </c>
      <c r="F3999" s="68">
        <v>11819</v>
      </c>
      <c r="G3999" s="68">
        <v>24689</v>
      </c>
    </row>
    <row r="4000" spans="1:7" x14ac:dyDescent="0.3">
      <c r="A4000" t="s">
        <v>724</v>
      </c>
      <c r="B4000" t="s">
        <v>26</v>
      </c>
      <c r="C4000" t="s">
        <v>24</v>
      </c>
      <c r="D4000" t="s">
        <v>17</v>
      </c>
      <c r="E4000" s="68">
        <v>12366</v>
      </c>
      <c r="F4000" s="68">
        <v>11836</v>
      </c>
      <c r="G4000" s="68">
        <v>24202</v>
      </c>
    </row>
    <row r="4001" spans="1:7" x14ac:dyDescent="0.3">
      <c r="A4001" t="s">
        <v>724</v>
      </c>
      <c r="B4001" t="s">
        <v>26</v>
      </c>
      <c r="C4001" t="s">
        <v>24</v>
      </c>
      <c r="D4001" t="s">
        <v>18</v>
      </c>
      <c r="E4001" s="68">
        <v>11390</v>
      </c>
      <c r="F4001" s="68">
        <v>11809</v>
      </c>
      <c r="G4001" s="68">
        <v>23199</v>
      </c>
    </row>
    <row r="4002" spans="1:7" x14ac:dyDescent="0.3">
      <c r="A4002" t="s">
        <v>724</v>
      </c>
      <c r="B4002" t="s">
        <v>26</v>
      </c>
      <c r="C4002" t="s">
        <v>24</v>
      </c>
      <c r="D4002" t="s">
        <v>19</v>
      </c>
      <c r="E4002" s="68">
        <v>9715</v>
      </c>
      <c r="F4002" s="68">
        <v>10399</v>
      </c>
      <c r="G4002" s="68">
        <v>20114</v>
      </c>
    </row>
    <row r="4003" spans="1:7" x14ac:dyDescent="0.3">
      <c r="A4003" t="s">
        <v>724</v>
      </c>
      <c r="B4003" t="s">
        <v>26</v>
      </c>
      <c r="C4003" t="s">
        <v>24</v>
      </c>
      <c r="D4003" t="s">
        <v>20</v>
      </c>
      <c r="E4003" s="68">
        <v>8237</v>
      </c>
      <c r="F4003" s="68">
        <v>8590</v>
      </c>
      <c r="G4003" s="68">
        <v>16827</v>
      </c>
    </row>
    <row r="4004" spans="1:7" x14ac:dyDescent="0.3">
      <c r="A4004" t="s">
        <v>724</v>
      </c>
      <c r="B4004" t="s">
        <v>26</v>
      </c>
      <c r="C4004" t="s">
        <v>24</v>
      </c>
      <c r="D4004" t="s">
        <v>21</v>
      </c>
      <c r="E4004" s="68">
        <v>6021</v>
      </c>
      <c r="F4004" s="68">
        <v>6439</v>
      </c>
      <c r="G4004" s="68">
        <v>12460</v>
      </c>
    </row>
    <row r="4005" spans="1:7" x14ac:dyDescent="0.3">
      <c r="A4005" t="s">
        <v>724</v>
      </c>
      <c r="B4005" t="s">
        <v>26</v>
      </c>
      <c r="C4005" t="s">
        <v>24</v>
      </c>
      <c r="D4005" t="s">
        <v>22</v>
      </c>
      <c r="E4005" s="68">
        <v>4470</v>
      </c>
      <c r="F4005" s="68">
        <v>4696</v>
      </c>
      <c r="G4005" s="68">
        <v>9166</v>
      </c>
    </row>
    <row r="4006" spans="1:7" x14ac:dyDescent="0.3">
      <c r="A4006" t="s">
        <v>724</v>
      </c>
      <c r="B4006" t="s">
        <v>26</v>
      </c>
      <c r="C4006" t="s">
        <v>24</v>
      </c>
      <c r="D4006" t="s">
        <v>23</v>
      </c>
      <c r="E4006" s="68">
        <v>6911</v>
      </c>
      <c r="F4006" s="68">
        <v>7073</v>
      </c>
      <c r="G4006" s="68">
        <v>13984</v>
      </c>
    </row>
    <row r="4007" spans="1:7" x14ac:dyDescent="0.3">
      <c r="A4007" t="s">
        <v>724</v>
      </c>
      <c r="B4007" t="s">
        <v>27</v>
      </c>
      <c r="C4007" t="s">
        <v>28</v>
      </c>
      <c r="D4007" t="s">
        <v>7</v>
      </c>
      <c r="E4007" s="68">
        <v>564</v>
      </c>
      <c r="F4007" s="68">
        <v>630</v>
      </c>
      <c r="G4007" s="68">
        <v>1194</v>
      </c>
    </row>
    <row r="4008" spans="1:7" x14ac:dyDescent="0.3">
      <c r="A4008" t="s">
        <v>724</v>
      </c>
      <c r="B4008" t="s">
        <v>27</v>
      </c>
      <c r="C4008" t="s">
        <v>28</v>
      </c>
      <c r="D4008" t="s">
        <v>8</v>
      </c>
      <c r="E4008" s="68">
        <v>808</v>
      </c>
      <c r="F4008" s="68">
        <v>881</v>
      </c>
      <c r="G4008" s="68">
        <v>1689</v>
      </c>
    </row>
    <row r="4009" spans="1:7" x14ac:dyDescent="0.3">
      <c r="A4009" t="s">
        <v>724</v>
      </c>
      <c r="B4009" t="s">
        <v>27</v>
      </c>
      <c r="C4009" t="s">
        <v>28</v>
      </c>
      <c r="D4009" t="s">
        <v>9</v>
      </c>
      <c r="E4009" s="68">
        <v>1186</v>
      </c>
      <c r="F4009" s="68">
        <v>1376</v>
      </c>
      <c r="G4009" s="68">
        <v>2562</v>
      </c>
    </row>
    <row r="4010" spans="1:7" x14ac:dyDescent="0.3">
      <c r="A4010" t="s">
        <v>724</v>
      </c>
      <c r="B4010" t="s">
        <v>27</v>
      </c>
      <c r="C4010" t="s">
        <v>28</v>
      </c>
      <c r="D4010" t="s">
        <v>10</v>
      </c>
      <c r="E4010" s="68">
        <v>1677</v>
      </c>
      <c r="F4010" s="68">
        <v>1759</v>
      </c>
      <c r="G4010" s="68">
        <v>3436</v>
      </c>
    </row>
    <row r="4011" spans="1:7" x14ac:dyDescent="0.3">
      <c r="A4011" t="s">
        <v>724</v>
      </c>
      <c r="B4011" t="s">
        <v>27</v>
      </c>
      <c r="C4011" t="s">
        <v>28</v>
      </c>
      <c r="D4011" t="s">
        <v>11</v>
      </c>
      <c r="E4011" s="68">
        <v>1488</v>
      </c>
      <c r="F4011" s="68">
        <v>1629</v>
      </c>
      <c r="G4011" s="68">
        <v>3117</v>
      </c>
    </row>
    <row r="4012" spans="1:7" x14ac:dyDescent="0.3">
      <c r="A4012" t="s">
        <v>724</v>
      </c>
      <c r="B4012" t="s">
        <v>27</v>
      </c>
      <c r="C4012" t="s">
        <v>28</v>
      </c>
      <c r="D4012" t="s">
        <v>12</v>
      </c>
      <c r="E4012" s="68">
        <v>542</v>
      </c>
      <c r="F4012" s="68">
        <v>474</v>
      </c>
      <c r="G4012" s="68">
        <v>1016</v>
      </c>
    </row>
    <row r="4013" spans="1:7" x14ac:dyDescent="0.3">
      <c r="A4013" t="s">
        <v>724</v>
      </c>
      <c r="B4013" t="s">
        <v>27</v>
      </c>
      <c r="C4013" t="s">
        <v>28</v>
      </c>
      <c r="D4013" t="s">
        <v>13</v>
      </c>
      <c r="E4013" s="68">
        <v>793</v>
      </c>
      <c r="F4013" s="68">
        <v>558</v>
      </c>
      <c r="G4013" s="68">
        <v>1351</v>
      </c>
    </row>
    <row r="4014" spans="1:7" x14ac:dyDescent="0.3">
      <c r="A4014" t="s">
        <v>724</v>
      </c>
      <c r="B4014" t="s">
        <v>27</v>
      </c>
      <c r="C4014" t="s">
        <v>28</v>
      </c>
      <c r="D4014" t="s">
        <v>14</v>
      </c>
      <c r="E4014" s="68">
        <v>1055</v>
      </c>
      <c r="F4014" s="68">
        <v>820</v>
      </c>
      <c r="G4014" s="68">
        <v>1875</v>
      </c>
    </row>
    <row r="4015" spans="1:7" x14ac:dyDescent="0.3">
      <c r="A4015" t="s">
        <v>724</v>
      </c>
      <c r="B4015" t="s">
        <v>27</v>
      </c>
      <c r="C4015" t="s">
        <v>28</v>
      </c>
      <c r="D4015" t="s">
        <v>15</v>
      </c>
      <c r="E4015" s="68">
        <v>1362</v>
      </c>
      <c r="F4015" s="68">
        <v>996</v>
      </c>
      <c r="G4015" s="68">
        <v>2358</v>
      </c>
    </row>
    <row r="4016" spans="1:7" x14ac:dyDescent="0.3">
      <c r="A4016" t="s">
        <v>724</v>
      </c>
      <c r="B4016" t="s">
        <v>27</v>
      </c>
      <c r="C4016" t="s">
        <v>28</v>
      </c>
      <c r="D4016" t="s">
        <v>16</v>
      </c>
      <c r="E4016" s="68">
        <v>1832</v>
      </c>
      <c r="F4016" s="68">
        <v>1218</v>
      </c>
      <c r="G4016" s="68">
        <v>3050</v>
      </c>
    </row>
    <row r="4017" spans="1:7" x14ac:dyDescent="0.3">
      <c r="A4017" t="s">
        <v>724</v>
      </c>
      <c r="B4017" t="s">
        <v>27</v>
      </c>
      <c r="C4017" t="s">
        <v>28</v>
      </c>
      <c r="D4017" t="s">
        <v>17</v>
      </c>
      <c r="E4017" s="68">
        <v>1874</v>
      </c>
      <c r="F4017" s="68">
        <v>1315</v>
      </c>
      <c r="G4017" s="68">
        <v>3189</v>
      </c>
    </row>
    <row r="4018" spans="1:7" x14ac:dyDescent="0.3">
      <c r="A4018" t="s">
        <v>724</v>
      </c>
      <c r="B4018" t="s">
        <v>27</v>
      </c>
      <c r="C4018" t="s">
        <v>28</v>
      </c>
      <c r="D4018" t="s">
        <v>18</v>
      </c>
      <c r="E4018" s="68">
        <v>2183</v>
      </c>
      <c r="F4018" s="68">
        <v>1630</v>
      </c>
      <c r="G4018" s="68">
        <v>3813</v>
      </c>
    </row>
    <row r="4019" spans="1:7" x14ac:dyDescent="0.3">
      <c r="A4019" t="s">
        <v>724</v>
      </c>
      <c r="B4019" t="s">
        <v>27</v>
      </c>
      <c r="C4019" t="s">
        <v>28</v>
      </c>
      <c r="D4019" t="s">
        <v>19</v>
      </c>
      <c r="E4019" s="68">
        <v>1961</v>
      </c>
      <c r="F4019" s="68">
        <v>1560</v>
      </c>
      <c r="G4019" s="68">
        <v>3521</v>
      </c>
    </row>
    <row r="4020" spans="1:7" x14ac:dyDescent="0.3">
      <c r="A4020" t="s">
        <v>724</v>
      </c>
      <c r="B4020" t="s">
        <v>27</v>
      </c>
      <c r="C4020" t="s">
        <v>28</v>
      </c>
      <c r="D4020" t="s">
        <v>20</v>
      </c>
      <c r="E4020" s="68">
        <v>1893</v>
      </c>
      <c r="F4020" s="68">
        <v>1370</v>
      </c>
      <c r="G4020" s="68">
        <v>3263</v>
      </c>
    </row>
    <row r="4021" spans="1:7" x14ac:dyDescent="0.3">
      <c r="A4021" t="s">
        <v>724</v>
      </c>
      <c r="B4021" t="s">
        <v>27</v>
      </c>
      <c r="C4021" t="s">
        <v>28</v>
      </c>
      <c r="D4021" t="s">
        <v>21</v>
      </c>
      <c r="E4021" s="68">
        <v>1728</v>
      </c>
      <c r="F4021" s="68">
        <v>1360</v>
      </c>
      <c r="G4021" s="68">
        <v>3088</v>
      </c>
    </row>
    <row r="4022" spans="1:7" x14ac:dyDescent="0.3">
      <c r="A4022" t="s">
        <v>724</v>
      </c>
      <c r="B4022" t="s">
        <v>27</v>
      </c>
      <c r="C4022" t="s">
        <v>28</v>
      </c>
      <c r="D4022" t="s">
        <v>22</v>
      </c>
      <c r="E4022" s="68">
        <v>1022</v>
      </c>
      <c r="F4022" s="68">
        <v>846</v>
      </c>
      <c r="G4022" s="68">
        <v>1868</v>
      </c>
    </row>
    <row r="4023" spans="1:7" x14ac:dyDescent="0.3">
      <c r="A4023" t="s">
        <v>724</v>
      </c>
      <c r="B4023" t="s">
        <v>27</v>
      </c>
      <c r="C4023" t="s">
        <v>28</v>
      </c>
      <c r="D4023" t="s">
        <v>23</v>
      </c>
      <c r="E4023" s="68">
        <v>893</v>
      </c>
      <c r="F4023" s="68">
        <v>658</v>
      </c>
      <c r="G4023" s="68">
        <v>1551</v>
      </c>
    </row>
    <row r="4024" spans="1:7" x14ac:dyDescent="0.3">
      <c r="A4024" t="s">
        <v>724</v>
      </c>
      <c r="B4024" t="s">
        <v>27</v>
      </c>
      <c r="C4024" t="s">
        <v>29</v>
      </c>
      <c r="D4024" t="s">
        <v>10</v>
      </c>
      <c r="E4024" s="68">
        <v>2</v>
      </c>
      <c r="F4024" s="68">
        <v>2</v>
      </c>
      <c r="G4024" s="68">
        <v>4</v>
      </c>
    </row>
    <row r="4025" spans="1:7" x14ac:dyDescent="0.3">
      <c r="A4025" t="s">
        <v>724</v>
      </c>
      <c r="B4025" t="s">
        <v>27</v>
      </c>
      <c r="C4025" t="s">
        <v>29</v>
      </c>
      <c r="D4025" t="s">
        <v>11</v>
      </c>
      <c r="E4025" s="68">
        <v>7</v>
      </c>
      <c r="F4025" s="68">
        <v>78</v>
      </c>
      <c r="G4025" s="68">
        <v>85</v>
      </c>
    </row>
    <row r="4026" spans="1:7" x14ac:dyDescent="0.3">
      <c r="A4026" t="s">
        <v>724</v>
      </c>
      <c r="B4026" t="s">
        <v>27</v>
      </c>
      <c r="C4026" t="s">
        <v>29</v>
      </c>
      <c r="D4026" t="s">
        <v>12</v>
      </c>
      <c r="E4026" s="68">
        <v>15</v>
      </c>
      <c r="F4026" s="68">
        <v>170</v>
      </c>
      <c r="G4026" s="68">
        <v>185</v>
      </c>
    </row>
    <row r="4027" spans="1:7" x14ac:dyDescent="0.3">
      <c r="A4027" t="s">
        <v>724</v>
      </c>
      <c r="B4027" t="s">
        <v>27</v>
      </c>
      <c r="C4027" t="s">
        <v>29</v>
      </c>
      <c r="D4027" t="s">
        <v>13</v>
      </c>
      <c r="E4027" s="68">
        <v>13</v>
      </c>
      <c r="F4027" s="68">
        <v>210</v>
      </c>
      <c r="G4027" s="68">
        <v>223</v>
      </c>
    </row>
    <row r="4028" spans="1:7" x14ac:dyDescent="0.3">
      <c r="A4028" t="s">
        <v>724</v>
      </c>
      <c r="B4028" t="s">
        <v>27</v>
      </c>
      <c r="C4028" t="s">
        <v>29</v>
      </c>
      <c r="D4028" t="s">
        <v>14</v>
      </c>
      <c r="E4028" s="68">
        <v>11</v>
      </c>
      <c r="F4028" s="68">
        <v>164</v>
      </c>
      <c r="G4028" s="68">
        <v>175</v>
      </c>
    </row>
    <row r="4029" spans="1:7" x14ac:dyDescent="0.3">
      <c r="A4029" t="s">
        <v>724</v>
      </c>
      <c r="B4029" t="s">
        <v>27</v>
      </c>
      <c r="C4029" t="s">
        <v>29</v>
      </c>
      <c r="D4029" t="s">
        <v>15</v>
      </c>
      <c r="E4029" s="68">
        <v>11</v>
      </c>
      <c r="F4029" s="68">
        <v>142</v>
      </c>
      <c r="G4029" s="68">
        <v>153</v>
      </c>
    </row>
    <row r="4030" spans="1:7" x14ac:dyDescent="0.3">
      <c r="A4030" t="s">
        <v>724</v>
      </c>
      <c r="B4030" t="s">
        <v>27</v>
      </c>
      <c r="C4030" t="s">
        <v>29</v>
      </c>
      <c r="D4030" t="s">
        <v>16</v>
      </c>
      <c r="E4030" s="68">
        <v>4</v>
      </c>
      <c r="F4030" s="68">
        <v>95</v>
      </c>
      <c r="G4030" s="68">
        <v>99</v>
      </c>
    </row>
    <row r="4031" spans="1:7" x14ac:dyDescent="0.3">
      <c r="A4031" t="s">
        <v>724</v>
      </c>
      <c r="B4031" t="s">
        <v>27</v>
      </c>
      <c r="C4031" t="s">
        <v>29</v>
      </c>
      <c r="D4031" t="s">
        <v>17</v>
      </c>
      <c r="E4031" s="68">
        <v>3</v>
      </c>
      <c r="F4031" s="68">
        <v>57</v>
      </c>
      <c r="G4031" s="68">
        <v>60</v>
      </c>
    </row>
    <row r="4032" spans="1:7" x14ac:dyDescent="0.3">
      <c r="A4032" t="s">
        <v>724</v>
      </c>
      <c r="B4032" t="s">
        <v>27</v>
      </c>
      <c r="C4032" t="s">
        <v>29</v>
      </c>
      <c r="D4032" t="s">
        <v>18</v>
      </c>
      <c r="E4032" s="68">
        <v>2</v>
      </c>
      <c r="F4032" s="68">
        <v>42</v>
      </c>
      <c r="G4032" s="68">
        <v>44</v>
      </c>
    </row>
    <row r="4033" spans="1:7" x14ac:dyDescent="0.3">
      <c r="A4033" t="s">
        <v>724</v>
      </c>
      <c r="B4033" t="s">
        <v>27</v>
      </c>
      <c r="C4033" t="s">
        <v>29</v>
      </c>
      <c r="D4033" t="s">
        <v>19</v>
      </c>
      <c r="E4033" s="68"/>
      <c r="F4033" s="68">
        <v>20</v>
      </c>
      <c r="G4033" s="68">
        <v>20</v>
      </c>
    </row>
    <row r="4034" spans="1:7" x14ac:dyDescent="0.3">
      <c r="A4034" t="s">
        <v>724</v>
      </c>
      <c r="B4034" t="s">
        <v>27</v>
      </c>
      <c r="C4034" t="s">
        <v>29</v>
      </c>
      <c r="D4034" t="s">
        <v>20</v>
      </c>
      <c r="E4034" s="68"/>
      <c r="F4034" s="68">
        <v>20</v>
      </c>
      <c r="G4034" s="68">
        <v>20</v>
      </c>
    </row>
    <row r="4035" spans="1:7" x14ac:dyDescent="0.3">
      <c r="A4035" t="s">
        <v>724</v>
      </c>
      <c r="B4035" t="s">
        <v>27</v>
      </c>
      <c r="C4035" t="s">
        <v>29</v>
      </c>
      <c r="D4035" t="s">
        <v>21</v>
      </c>
      <c r="E4035" s="68">
        <v>1</v>
      </c>
      <c r="F4035" s="68">
        <v>11</v>
      </c>
      <c r="G4035" s="68">
        <v>12</v>
      </c>
    </row>
    <row r="4036" spans="1:7" x14ac:dyDescent="0.3">
      <c r="A4036" t="s">
        <v>724</v>
      </c>
      <c r="B4036" t="s">
        <v>27</v>
      </c>
      <c r="C4036" t="s">
        <v>29</v>
      </c>
      <c r="D4036" t="s">
        <v>22</v>
      </c>
      <c r="E4036" s="68"/>
      <c r="F4036" s="68">
        <v>3</v>
      </c>
      <c r="G4036" s="68">
        <v>3</v>
      </c>
    </row>
    <row r="4037" spans="1:7" x14ac:dyDescent="0.3">
      <c r="A4037" t="s">
        <v>724</v>
      </c>
      <c r="B4037" t="s">
        <v>36</v>
      </c>
      <c r="C4037" t="s">
        <v>6</v>
      </c>
      <c r="D4037" t="s">
        <v>7</v>
      </c>
      <c r="E4037" s="68">
        <v>2898</v>
      </c>
      <c r="F4037" s="68">
        <v>2975</v>
      </c>
      <c r="G4037" s="68">
        <v>5873</v>
      </c>
    </row>
    <row r="4038" spans="1:7" x14ac:dyDescent="0.3">
      <c r="A4038" t="s">
        <v>724</v>
      </c>
      <c r="B4038" t="s">
        <v>36</v>
      </c>
      <c r="C4038" t="s">
        <v>6</v>
      </c>
      <c r="D4038" t="s">
        <v>8</v>
      </c>
      <c r="E4038" s="68">
        <v>4100</v>
      </c>
      <c r="F4038" s="68">
        <v>4315</v>
      </c>
      <c r="G4038" s="68">
        <v>8415</v>
      </c>
    </row>
    <row r="4039" spans="1:7" x14ac:dyDescent="0.3">
      <c r="A4039" t="s">
        <v>724</v>
      </c>
      <c r="B4039" t="s">
        <v>36</v>
      </c>
      <c r="C4039" t="s">
        <v>6</v>
      </c>
      <c r="D4039" t="s">
        <v>9</v>
      </c>
      <c r="E4039" s="68">
        <v>4422</v>
      </c>
      <c r="F4039" s="68">
        <v>4525</v>
      </c>
      <c r="G4039" s="68">
        <v>8947</v>
      </c>
    </row>
    <row r="4040" spans="1:7" x14ac:dyDescent="0.3">
      <c r="A4040" t="s">
        <v>724</v>
      </c>
      <c r="B4040" t="s">
        <v>36</v>
      </c>
      <c r="C4040" t="s">
        <v>6</v>
      </c>
      <c r="D4040" t="s">
        <v>10</v>
      </c>
      <c r="E4040" s="68">
        <v>4174</v>
      </c>
      <c r="F4040" s="68">
        <v>4373</v>
      </c>
      <c r="G4040" s="68">
        <v>8547</v>
      </c>
    </row>
    <row r="4041" spans="1:7" x14ac:dyDescent="0.3">
      <c r="A4041" t="s">
        <v>724</v>
      </c>
      <c r="B4041" t="s">
        <v>36</v>
      </c>
      <c r="C4041" t="s">
        <v>6</v>
      </c>
      <c r="D4041" t="s">
        <v>11</v>
      </c>
      <c r="E4041" s="68">
        <v>4021</v>
      </c>
      <c r="F4041" s="68">
        <v>4098</v>
      </c>
      <c r="G4041" s="68">
        <v>8119</v>
      </c>
    </row>
    <row r="4042" spans="1:7" x14ac:dyDescent="0.3">
      <c r="A4042" t="s">
        <v>724</v>
      </c>
      <c r="B4042" t="s">
        <v>36</v>
      </c>
      <c r="C4042" t="s">
        <v>6</v>
      </c>
      <c r="D4042" t="s">
        <v>12</v>
      </c>
      <c r="E4042" s="68">
        <v>4278</v>
      </c>
      <c r="F4042" s="68">
        <v>4209</v>
      </c>
      <c r="G4042" s="68">
        <v>8487</v>
      </c>
    </row>
    <row r="4043" spans="1:7" x14ac:dyDescent="0.3">
      <c r="A4043" t="s">
        <v>724</v>
      </c>
      <c r="B4043" t="s">
        <v>36</v>
      </c>
      <c r="C4043" t="s">
        <v>6</v>
      </c>
      <c r="D4043" t="s">
        <v>13</v>
      </c>
      <c r="E4043" s="68">
        <v>5498</v>
      </c>
      <c r="F4043" s="68">
        <v>5291</v>
      </c>
      <c r="G4043" s="68">
        <v>10789</v>
      </c>
    </row>
    <row r="4044" spans="1:7" x14ac:dyDescent="0.3">
      <c r="A4044" t="s">
        <v>724</v>
      </c>
      <c r="B4044" t="s">
        <v>36</v>
      </c>
      <c r="C4044" t="s">
        <v>6</v>
      </c>
      <c r="D4044" t="s">
        <v>14</v>
      </c>
      <c r="E4044" s="68">
        <v>5585</v>
      </c>
      <c r="F4044" s="68">
        <v>5233</v>
      </c>
      <c r="G4044" s="68">
        <v>10818</v>
      </c>
    </row>
    <row r="4045" spans="1:7" x14ac:dyDescent="0.3">
      <c r="A4045" t="s">
        <v>724</v>
      </c>
      <c r="B4045" t="s">
        <v>36</v>
      </c>
      <c r="C4045" t="s">
        <v>6</v>
      </c>
      <c r="D4045" t="s">
        <v>15</v>
      </c>
      <c r="E4045" s="68">
        <v>5104</v>
      </c>
      <c r="F4045" s="68">
        <v>4895</v>
      </c>
      <c r="G4045" s="68">
        <v>9999</v>
      </c>
    </row>
    <row r="4046" spans="1:7" x14ac:dyDescent="0.3">
      <c r="A4046" t="s">
        <v>724</v>
      </c>
      <c r="B4046" t="s">
        <v>36</v>
      </c>
      <c r="C4046" t="s">
        <v>6</v>
      </c>
      <c r="D4046" t="s">
        <v>16</v>
      </c>
      <c r="E4046" s="68">
        <v>4103</v>
      </c>
      <c r="F4046" s="68">
        <v>4214</v>
      </c>
      <c r="G4046" s="68">
        <v>8317</v>
      </c>
    </row>
    <row r="4047" spans="1:7" x14ac:dyDescent="0.3">
      <c r="A4047" t="s">
        <v>724</v>
      </c>
      <c r="B4047" t="s">
        <v>36</v>
      </c>
      <c r="C4047" t="s">
        <v>6</v>
      </c>
      <c r="D4047" t="s">
        <v>17</v>
      </c>
      <c r="E4047" s="68">
        <v>2880</v>
      </c>
      <c r="F4047" s="68">
        <v>3024</v>
      </c>
      <c r="G4047" s="68">
        <v>5904</v>
      </c>
    </row>
    <row r="4048" spans="1:7" x14ac:dyDescent="0.3">
      <c r="A4048" t="s">
        <v>724</v>
      </c>
      <c r="B4048" t="s">
        <v>36</v>
      </c>
      <c r="C4048" t="s">
        <v>6</v>
      </c>
      <c r="D4048" t="s">
        <v>18</v>
      </c>
      <c r="E4048" s="68">
        <v>2547</v>
      </c>
      <c r="F4048" s="68">
        <v>2486</v>
      </c>
      <c r="G4048" s="68">
        <v>5033</v>
      </c>
    </row>
    <row r="4049" spans="1:7" x14ac:dyDescent="0.3">
      <c r="A4049" t="s">
        <v>724</v>
      </c>
      <c r="B4049" t="s">
        <v>36</v>
      </c>
      <c r="C4049" t="s">
        <v>6</v>
      </c>
      <c r="D4049" t="s">
        <v>19</v>
      </c>
      <c r="E4049" s="68">
        <v>2216</v>
      </c>
      <c r="F4049" s="68">
        <v>1928</v>
      </c>
      <c r="G4049" s="68">
        <v>4144</v>
      </c>
    </row>
    <row r="4050" spans="1:7" x14ac:dyDescent="0.3">
      <c r="A4050" t="s">
        <v>724</v>
      </c>
      <c r="B4050" t="s">
        <v>36</v>
      </c>
      <c r="C4050" t="s">
        <v>6</v>
      </c>
      <c r="D4050" t="s">
        <v>20</v>
      </c>
      <c r="E4050" s="68">
        <v>1554</v>
      </c>
      <c r="F4050" s="68">
        <v>1462</v>
      </c>
      <c r="G4050" s="68">
        <v>3016</v>
      </c>
    </row>
    <row r="4051" spans="1:7" x14ac:dyDescent="0.3">
      <c r="A4051" t="s">
        <v>724</v>
      </c>
      <c r="B4051" t="s">
        <v>36</v>
      </c>
      <c r="C4051" t="s">
        <v>6</v>
      </c>
      <c r="D4051" t="s">
        <v>21</v>
      </c>
      <c r="E4051" s="68">
        <v>1080</v>
      </c>
      <c r="F4051" s="68">
        <v>910</v>
      </c>
      <c r="G4051" s="68">
        <v>1990</v>
      </c>
    </row>
    <row r="4052" spans="1:7" x14ac:dyDescent="0.3">
      <c r="A4052" t="s">
        <v>724</v>
      </c>
      <c r="B4052" t="s">
        <v>36</v>
      </c>
      <c r="C4052" t="s">
        <v>6</v>
      </c>
      <c r="D4052" t="s">
        <v>22</v>
      </c>
      <c r="E4052" s="68">
        <v>772</v>
      </c>
      <c r="F4052" s="68">
        <v>604</v>
      </c>
      <c r="G4052" s="68">
        <v>1376</v>
      </c>
    </row>
    <row r="4053" spans="1:7" x14ac:dyDescent="0.3">
      <c r="A4053" t="s">
        <v>724</v>
      </c>
      <c r="B4053" t="s">
        <v>36</v>
      </c>
      <c r="C4053" t="s">
        <v>6</v>
      </c>
      <c r="D4053" t="s">
        <v>23</v>
      </c>
      <c r="E4053" s="68">
        <v>956</v>
      </c>
      <c r="F4053" s="68">
        <v>662</v>
      </c>
      <c r="G4053" s="68">
        <v>1618</v>
      </c>
    </row>
    <row r="4054" spans="1:7" x14ac:dyDescent="0.3">
      <c r="A4054" t="s">
        <v>724</v>
      </c>
      <c r="B4054" t="s">
        <v>36</v>
      </c>
      <c r="C4054" t="s">
        <v>24</v>
      </c>
      <c r="D4054" t="s">
        <v>7</v>
      </c>
      <c r="E4054" s="68">
        <v>1514</v>
      </c>
      <c r="F4054" s="68">
        <v>1589</v>
      </c>
      <c r="G4054" s="68">
        <v>3103</v>
      </c>
    </row>
    <row r="4055" spans="1:7" x14ac:dyDescent="0.3">
      <c r="A4055" t="s">
        <v>724</v>
      </c>
      <c r="B4055" t="s">
        <v>36</v>
      </c>
      <c r="C4055" t="s">
        <v>24</v>
      </c>
      <c r="D4055" t="s">
        <v>8</v>
      </c>
      <c r="E4055" s="68">
        <v>1887</v>
      </c>
      <c r="F4055" s="68">
        <v>1988</v>
      </c>
      <c r="G4055" s="68">
        <v>3875</v>
      </c>
    </row>
    <row r="4056" spans="1:7" x14ac:dyDescent="0.3">
      <c r="A4056" t="s">
        <v>724</v>
      </c>
      <c r="B4056" t="s">
        <v>36</v>
      </c>
      <c r="C4056" t="s">
        <v>24</v>
      </c>
      <c r="D4056" t="s">
        <v>9</v>
      </c>
      <c r="E4056" s="68">
        <v>2332</v>
      </c>
      <c r="F4056" s="68">
        <v>2484</v>
      </c>
      <c r="G4056" s="68">
        <v>4816</v>
      </c>
    </row>
    <row r="4057" spans="1:7" x14ac:dyDescent="0.3">
      <c r="A4057" t="s">
        <v>724</v>
      </c>
      <c r="B4057" t="s">
        <v>36</v>
      </c>
      <c r="C4057" t="s">
        <v>24</v>
      </c>
      <c r="D4057" t="s">
        <v>10</v>
      </c>
      <c r="E4057" s="68">
        <v>2062</v>
      </c>
      <c r="F4057" s="68">
        <v>2057</v>
      </c>
      <c r="G4057" s="68">
        <v>4119</v>
      </c>
    </row>
    <row r="4058" spans="1:7" x14ac:dyDescent="0.3">
      <c r="A4058" t="s">
        <v>724</v>
      </c>
      <c r="B4058" t="s">
        <v>36</v>
      </c>
      <c r="C4058" t="s">
        <v>24</v>
      </c>
      <c r="D4058" t="s">
        <v>11</v>
      </c>
      <c r="E4058" s="68">
        <v>2340</v>
      </c>
      <c r="F4058" s="68">
        <v>2011</v>
      </c>
      <c r="G4058" s="68">
        <v>4351</v>
      </c>
    </row>
    <row r="4059" spans="1:7" x14ac:dyDescent="0.3">
      <c r="A4059" t="s">
        <v>724</v>
      </c>
      <c r="B4059" t="s">
        <v>36</v>
      </c>
      <c r="C4059" t="s">
        <v>24</v>
      </c>
      <c r="D4059" t="s">
        <v>12</v>
      </c>
      <c r="E4059" s="68">
        <v>2869</v>
      </c>
      <c r="F4059" s="68">
        <v>2573</v>
      </c>
      <c r="G4059" s="68">
        <v>5442</v>
      </c>
    </row>
    <row r="4060" spans="1:7" x14ac:dyDescent="0.3">
      <c r="A4060" t="s">
        <v>724</v>
      </c>
      <c r="B4060" t="s">
        <v>36</v>
      </c>
      <c r="C4060" t="s">
        <v>24</v>
      </c>
      <c r="D4060" t="s">
        <v>13</v>
      </c>
      <c r="E4060" s="68">
        <v>2437</v>
      </c>
      <c r="F4060" s="68">
        <v>2086</v>
      </c>
      <c r="G4060" s="68">
        <v>4523</v>
      </c>
    </row>
    <row r="4061" spans="1:7" x14ac:dyDescent="0.3">
      <c r="A4061" t="s">
        <v>724</v>
      </c>
      <c r="B4061" t="s">
        <v>36</v>
      </c>
      <c r="C4061" t="s">
        <v>24</v>
      </c>
      <c r="D4061" t="s">
        <v>14</v>
      </c>
      <c r="E4061" s="68">
        <v>2032</v>
      </c>
      <c r="F4061" s="68">
        <v>1662</v>
      </c>
      <c r="G4061" s="68">
        <v>3694</v>
      </c>
    </row>
    <row r="4062" spans="1:7" x14ac:dyDescent="0.3">
      <c r="A4062" t="s">
        <v>724</v>
      </c>
      <c r="B4062" t="s">
        <v>36</v>
      </c>
      <c r="C4062" t="s">
        <v>24</v>
      </c>
      <c r="D4062" t="s">
        <v>15</v>
      </c>
      <c r="E4062" s="68">
        <v>2010</v>
      </c>
      <c r="F4062" s="68">
        <v>1653</v>
      </c>
      <c r="G4062" s="68">
        <v>3663</v>
      </c>
    </row>
    <row r="4063" spans="1:7" x14ac:dyDescent="0.3">
      <c r="A4063" t="s">
        <v>724</v>
      </c>
      <c r="B4063" t="s">
        <v>36</v>
      </c>
      <c r="C4063" t="s">
        <v>24</v>
      </c>
      <c r="D4063" t="s">
        <v>16</v>
      </c>
      <c r="E4063" s="68">
        <v>1826</v>
      </c>
      <c r="F4063" s="68">
        <v>1583</v>
      </c>
      <c r="G4063" s="68">
        <v>3409</v>
      </c>
    </row>
    <row r="4064" spans="1:7" x14ac:dyDescent="0.3">
      <c r="A4064" t="s">
        <v>724</v>
      </c>
      <c r="B4064" t="s">
        <v>36</v>
      </c>
      <c r="C4064" t="s">
        <v>24</v>
      </c>
      <c r="D4064" t="s">
        <v>17</v>
      </c>
      <c r="E4064" s="68">
        <v>1523</v>
      </c>
      <c r="F4064" s="68">
        <v>1306</v>
      </c>
      <c r="G4064" s="68">
        <v>2829</v>
      </c>
    </row>
    <row r="4065" spans="1:7" x14ac:dyDescent="0.3">
      <c r="A4065" t="s">
        <v>724</v>
      </c>
      <c r="B4065" t="s">
        <v>36</v>
      </c>
      <c r="C4065" t="s">
        <v>24</v>
      </c>
      <c r="D4065" t="s">
        <v>18</v>
      </c>
      <c r="E4065" s="68">
        <v>1477</v>
      </c>
      <c r="F4065" s="68">
        <v>1252</v>
      </c>
      <c r="G4065" s="68">
        <v>2729</v>
      </c>
    </row>
    <row r="4066" spans="1:7" x14ac:dyDescent="0.3">
      <c r="A4066" t="s">
        <v>724</v>
      </c>
      <c r="B4066" t="s">
        <v>36</v>
      </c>
      <c r="C4066" t="s">
        <v>24</v>
      </c>
      <c r="D4066" t="s">
        <v>19</v>
      </c>
      <c r="E4066" s="68">
        <v>1309</v>
      </c>
      <c r="F4066" s="68">
        <v>1115</v>
      </c>
      <c r="G4066" s="68">
        <v>2424</v>
      </c>
    </row>
    <row r="4067" spans="1:7" x14ac:dyDescent="0.3">
      <c r="A4067" t="s">
        <v>724</v>
      </c>
      <c r="B4067" t="s">
        <v>36</v>
      </c>
      <c r="C4067" t="s">
        <v>24</v>
      </c>
      <c r="D4067" t="s">
        <v>20</v>
      </c>
      <c r="E4067" s="68">
        <v>969</v>
      </c>
      <c r="F4067" s="68">
        <v>829</v>
      </c>
      <c r="G4067" s="68">
        <v>1798</v>
      </c>
    </row>
    <row r="4068" spans="1:7" x14ac:dyDescent="0.3">
      <c r="A4068" t="s">
        <v>724</v>
      </c>
      <c r="B4068" t="s">
        <v>36</v>
      </c>
      <c r="C4068" t="s">
        <v>24</v>
      </c>
      <c r="D4068" t="s">
        <v>21</v>
      </c>
      <c r="E4068" s="68">
        <v>585</v>
      </c>
      <c r="F4068" s="68">
        <v>550</v>
      </c>
      <c r="G4068" s="68">
        <v>1135</v>
      </c>
    </row>
    <row r="4069" spans="1:7" x14ac:dyDescent="0.3">
      <c r="A4069" t="s">
        <v>724</v>
      </c>
      <c r="B4069" t="s">
        <v>36</v>
      </c>
      <c r="C4069" t="s">
        <v>24</v>
      </c>
      <c r="D4069" t="s">
        <v>22</v>
      </c>
      <c r="E4069" s="68">
        <v>437</v>
      </c>
      <c r="F4069" s="68">
        <v>345</v>
      </c>
      <c r="G4069" s="68">
        <v>782</v>
      </c>
    </row>
    <row r="4070" spans="1:7" x14ac:dyDescent="0.3">
      <c r="A4070" t="s">
        <v>724</v>
      </c>
      <c r="B4070" t="s">
        <v>36</v>
      </c>
      <c r="C4070" t="s">
        <v>24</v>
      </c>
      <c r="D4070" t="s">
        <v>23</v>
      </c>
      <c r="E4070" s="68">
        <v>575</v>
      </c>
      <c r="F4070" s="68">
        <v>457</v>
      </c>
      <c r="G4070" s="68">
        <v>1032</v>
      </c>
    </row>
    <row r="4071" spans="1:7" x14ac:dyDescent="0.3">
      <c r="A4071" t="s">
        <v>724</v>
      </c>
      <c r="B4071" t="s">
        <v>538</v>
      </c>
      <c r="C4071" t="s">
        <v>24</v>
      </c>
      <c r="D4071" t="s">
        <v>8</v>
      </c>
      <c r="E4071" s="68"/>
      <c r="F4071" s="68">
        <v>1</v>
      </c>
      <c r="G4071" s="68">
        <v>1</v>
      </c>
    </row>
    <row r="4072" spans="1:7" x14ac:dyDescent="0.3">
      <c r="A4072" t="s">
        <v>1064</v>
      </c>
      <c r="B4072" t="s">
        <v>691</v>
      </c>
      <c r="C4072" t="s">
        <v>6</v>
      </c>
      <c r="D4072" t="s">
        <v>7</v>
      </c>
      <c r="E4072" s="68"/>
      <c r="F4072" s="68">
        <v>1</v>
      </c>
      <c r="G4072" s="68">
        <v>1</v>
      </c>
    </row>
    <row r="4073" spans="1:7" x14ac:dyDescent="0.3">
      <c r="A4073" t="s">
        <v>1064</v>
      </c>
      <c r="B4073" t="s">
        <v>691</v>
      </c>
      <c r="C4073" t="s">
        <v>6</v>
      </c>
      <c r="D4073" t="s">
        <v>10</v>
      </c>
      <c r="E4073" s="68"/>
      <c r="F4073" s="68">
        <v>1</v>
      </c>
      <c r="G4073" s="68">
        <v>1</v>
      </c>
    </row>
    <row r="4074" spans="1:7" x14ac:dyDescent="0.3">
      <c r="A4074" t="s">
        <v>1064</v>
      </c>
      <c r="B4074" t="s">
        <v>691</v>
      </c>
      <c r="C4074" t="s">
        <v>6</v>
      </c>
      <c r="D4074" t="s">
        <v>11</v>
      </c>
      <c r="E4074" s="68"/>
      <c r="F4074" s="68">
        <v>1</v>
      </c>
      <c r="G4074" s="68">
        <v>1</v>
      </c>
    </row>
    <row r="4075" spans="1:7" x14ac:dyDescent="0.3">
      <c r="A4075" t="s">
        <v>1064</v>
      </c>
      <c r="B4075" t="s">
        <v>691</v>
      </c>
      <c r="C4075" t="s">
        <v>6</v>
      </c>
      <c r="D4075" t="s">
        <v>20</v>
      </c>
      <c r="E4075" s="68"/>
      <c r="F4075" s="68">
        <v>1</v>
      </c>
      <c r="G4075" s="68">
        <v>1</v>
      </c>
    </row>
    <row r="4076" spans="1:7" x14ac:dyDescent="0.3">
      <c r="A4076" t="s">
        <v>1064</v>
      </c>
      <c r="B4076" t="s">
        <v>30</v>
      </c>
      <c r="C4076" t="s">
        <v>24</v>
      </c>
      <c r="D4076" t="s">
        <v>7</v>
      </c>
      <c r="E4076" s="68"/>
      <c r="F4076" s="68">
        <v>1</v>
      </c>
      <c r="G4076" s="68">
        <v>1</v>
      </c>
    </row>
    <row r="4077" spans="1:7" x14ac:dyDescent="0.3">
      <c r="A4077" t="s">
        <v>1064</v>
      </c>
      <c r="B4077" t="s">
        <v>30</v>
      </c>
      <c r="C4077" t="s">
        <v>24</v>
      </c>
      <c r="D4077" t="s">
        <v>8</v>
      </c>
      <c r="E4077" s="68">
        <v>1</v>
      </c>
      <c r="F4077" s="68"/>
      <c r="G4077" s="68">
        <v>1</v>
      </c>
    </row>
    <row r="4078" spans="1:7" x14ac:dyDescent="0.3">
      <c r="A4078" t="s">
        <v>1064</v>
      </c>
      <c r="B4078" t="s">
        <v>30</v>
      </c>
      <c r="C4078" t="s">
        <v>24</v>
      </c>
      <c r="D4078" t="s">
        <v>9</v>
      </c>
      <c r="E4078" s="68"/>
      <c r="F4078" s="68">
        <v>1</v>
      </c>
      <c r="G4078" s="68">
        <v>1</v>
      </c>
    </row>
    <row r="4079" spans="1:7" x14ac:dyDescent="0.3">
      <c r="A4079" t="s">
        <v>1064</v>
      </c>
      <c r="B4079" t="s">
        <v>30</v>
      </c>
      <c r="C4079" t="s">
        <v>24</v>
      </c>
      <c r="D4079" t="s">
        <v>12</v>
      </c>
      <c r="E4079" s="68">
        <v>1</v>
      </c>
      <c r="F4079" s="68"/>
      <c r="G4079" s="68">
        <v>1</v>
      </c>
    </row>
    <row r="4080" spans="1:7" x14ac:dyDescent="0.3">
      <c r="A4080" t="s">
        <v>1064</v>
      </c>
      <c r="B4080" t="s">
        <v>587</v>
      </c>
      <c r="C4080" t="s">
        <v>6</v>
      </c>
      <c r="D4080" t="s">
        <v>7</v>
      </c>
      <c r="E4080" s="68">
        <v>20</v>
      </c>
      <c r="F4080" s="68">
        <v>16</v>
      </c>
      <c r="G4080" s="68">
        <v>36</v>
      </c>
    </row>
    <row r="4081" spans="1:7" x14ac:dyDescent="0.3">
      <c r="A4081" t="s">
        <v>1064</v>
      </c>
      <c r="B4081" t="s">
        <v>587</v>
      </c>
      <c r="C4081" t="s">
        <v>6</v>
      </c>
      <c r="D4081" t="s">
        <v>8</v>
      </c>
      <c r="E4081" s="68">
        <v>26</v>
      </c>
      <c r="F4081" s="68">
        <v>23</v>
      </c>
      <c r="G4081" s="68">
        <v>49</v>
      </c>
    </row>
    <row r="4082" spans="1:7" x14ac:dyDescent="0.3">
      <c r="A4082" t="s">
        <v>1064</v>
      </c>
      <c r="B4082" t="s">
        <v>587</v>
      </c>
      <c r="C4082" t="s">
        <v>6</v>
      </c>
      <c r="D4082" t="s">
        <v>9</v>
      </c>
      <c r="E4082" s="68">
        <v>34</v>
      </c>
      <c r="F4082" s="68">
        <v>24</v>
      </c>
      <c r="G4082" s="68">
        <v>58</v>
      </c>
    </row>
    <row r="4083" spans="1:7" x14ac:dyDescent="0.3">
      <c r="A4083" t="s">
        <v>1064</v>
      </c>
      <c r="B4083" t="s">
        <v>587</v>
      </c>
      <c r="C4083" t="s">
        <v>6</v>
      </c>
      <c r="D4083" t="s">
        <v>10</v>
      </c>
      <c r="E4083" s="68">
        <v>43</v>
      </c>
      <c r="F4083" s="68">
        <v>55</v>
      </c>
      <c r="G4083" s="68">
        <v>98</v>
      </c>
    </row>
    <row r="4084" spans="1:7" x14ac:dyDescent="0.3">
      <c r="A4084" t="s">
        <v>1064</v>
      </c>
      <c r="B4084" t="s">
        <v>587</v>
      </c>
      <c r="C4084" t="s">
        <v>6</v>
      </c>
      <c r="D4084" t="s">
        <v>11</v>
      </c>
      <c r="E4084" s="68">
        <v>88</v>
      </c>
      <c r="F4084" s="68">
        <v>134</v>
      </c>
      <c r="G4084" s="68">
        <v>222</v>
      </c>
    </row>
    <row r="4085" spans="1:7" x14ac:dyDescent="0.3">
      <c r="A4085" t="s">
        <v>1064</v>
      </c>
      <c r="B4085" t="s">
        <v>587</v>
      </c>
      <c r="C4085" t="s">
        <v>6</v>
      </c>
      <c r="D4085" t="s">
        <v>12</v>
      </c>
      <c r="E4085" s="68">
        <v>84</v>
      </c>
      <c r="F4085" s="68">
        <v>100</v>
      </c>
      <c r="G4085" s="68">
        <v>184</v>
      </c>
    </row>
    <row r="4086" spans="1:7" x14ac:dyDescent="0.3">
      <c r="A4086" t="s">
        <v>1064</v>
      </c>
      <c r="B4086" t="s">
        <v>587</v>
      </c>
      <c r="C4086" t="s">
        <v>6</v>
      </c>
      <c r="D4086" t="s">
        <v>13</v>
      </c>
      <c r="E4086" s="68">
        <v>65</v>
      </c>
      <c r="F4086" s="68">
        <v>61</v>
      </c>
      <c r="G4086" s="68">
        <v>126</v>
      </c>
    </row>
    <row r="4087" spans="1:7" x14ac:dyDescent="0.3">
      <c r="A4087" t="s">
        <v>1064</v>
      </c>
      <c r="B4087" t="s">
        <v>587</v>
      </c>
      <c r="C4087" t="s">
        <v>6</v>
      </c>
      <c r="D4087" t="s">
        <v>14</v>
      </c>
      <c r="E4087" s="68">
        <v>35</v>
      </c>
      <c r="F4087" s="68">
        <v>32</v>
      </c>
      <c r="G4087" s="68">
        <v>67</v>
      </c>
    </row>
    <row r="4088" spans="1:7" x14ac:dyDescent="0.3">
      <c r="A4088" t="s">
        <v>1064</v>
      </c>
      <c r="B4088" t="s">
        <v>587</v>
      </c>
      <c r="C4088" t="s">
        <v>6</v>
      </c>
      <c r="D4088" t="s">
        <v>15</v>
      </c>
      <c r="E4088" s="68">
        <v>30</v>
      </c>
      <c r="F4088" s="68">
        <v>30</v>
      </c>
      <c r="G4088" s="68">
        <v>60</v>
      </c>
    </row>
    <row r="4089" spans="1:7" x14ac:dyDescent="0.3">
      <c r="A4089" t="s">
        <v>1064</v>
      </c>
      <c r="B4089" t="s">
        <v>587</v>
      </c>
      <c r="C4089" t="s">
        <v>6</v>
      </c>
      <c r="D4089" t="s">
        <v>16</v>
      </c>
      <c r="E4089" s="68">
        <v>23</v>
      </c>
      <c r="F4089" s="68">
        <v>25</v>
      </c>
      <c r="G4089" s="68">
        <v>48</v>
      </c>
    </row>
    <row r="4090" spans="1:7" x14ac:dyDescent="0.3">
      <c r="A4090" t="s">
        <v>1064</v>
      </c>
      <c r="B4090" t="s">
        <v>587</v>
      </c>
      <c r="C4090" t="s">
        <v>6</v>
      </c>
      <c r="D4090" t="s">
        <v>17</v>
      </c>
      <c r="E4090" s="68">
        <v>15</v>
      </c>
      <c r="F4090" s="68">
        <v>25</v>
      </c>
      <c r="G4090" s="68">
        <v>40</v>
      </c>
    </row>
    <row r="4091" spans="1:7" x14ac:dyDescent="0.3">
      <c r="A4091" t="s">
        <v>1064</v>
      </c>
      <c r="B4091" t="s">
        <v>587</v>
      </c>
      <c r="C4091" t="s">
        <v>6</v>
      </c>
      <c r="D4091" t="s">
        <v>18</v>
      </c>
      <c r="E4091" s="68">
        <v>11</v>
      </c>
      <c r="F4091" s="68">
        <v>13</v>
      </c>
      <c r="G4091" s="68">
        <v>24</v>
      </c>
    </row>
    <row r="4092" spans="1:7" x14ac:dyDescent="0.3">
      <c r="A4092" t="s">
        <v>1064</v>
      </c>
      <c r="B4092" t="s">
        <v>587</v>
      </c>
      <c r="C4092" t="s">
        <v>6</v>
      </c>
      <c r="D4092" t="s">
        <v>19</v>
      </c>
      <c r="E4092" s="68">
        <v>9</v>
      </c>
      <c r="F4092" s="68">
        <v>12</v>
      </c>
      <c r="G4092" s="68">
        <v>21</v>
      </c>
    </row>
    <row r="4093" spans="1:7" x14ac:dyDescent="0.3">
      <c r="A4093" t="s">
        <v>1064</v>
      </c>
      <c r="B4093" t="s">
        <v>587</v>
      </c>
      <c r="C4093" t="s">
        <v>6</v>
      </c>
      <c r="D4093" t="s">
        <v>20</v>
      </c>
      <c r="E4093" s="68">
        <v>4</v>
      </c>
      <c r="F4093" s="68">
        <v>6</v>
      </c>
      <c r="G4093" s="68">
        <v>10</v>
      </c>
    </row>
    <row r="4094" spans="1:7" x14ac:dyDescent="0.3">
      <c r="A4094" t="s">
        <v>1064</v>
      </c>
      <c r="B4094" t="s">
        <v>587</v>
      </c>
      <c r="C4094" t="s">
        <v>6</v>
      </c>
      <c r="D4094" t="s">
        <v>21</v>
      </c>
      <c r="E4094" s="68">
        <v>2</v>
      </c>
      <c r="F4094" s="68">
        <v>1</v>
      </c>
      <c r="G4094" s="68">
        <v>3</v>
      </c>
    </row>
    <row r="4095" spans="1:7" x14ac:dyDescent="0.3">
      <c r="A4095" t="s">
        <v>1064</v>
      </c>
      <c r="B4095" t="s">
        <v>587</v>
      </c>
      <c r="C4095" t="s">
        <v>6</v>
      </c>
      <c r="D4095" t="s">
        <v>22</v>
      </c>
      <c r="E4095" s="68">
        <v>2</v>
      </c>
      <c r="F4095" s="68">
        <v>1</v>
      </c>
      <c r="G4095" s="68">
        <v>3</v>
      </c>
    </row>
    <row r="4096" spans="1:7" x14ac:dyDescent="0.3">
      <c r="A4096" t="s">
        <v>1064</v>
      </c>
      <c r="B4096" t="s">
        <v>587</v>
      </c>
      <c r="C4096" t="s">
        <v>6</v>
      </c>
      <c r="D4096" t="s">
        <v>23</v>
      </c>
      <c r="E4096" s="68">
        <v>1</v>
      </c>
      <c r="F4096" s="68"/>
      <c r="G4096" s="68">
        <v>1</v>
      </c>
    </row>
    <row r="4097" spans="1:7" x14ac:dyDescent="0.3">
      <c r="A4097" t="s">
        <v>1064</v>
      </c>
      <c r="B4097" t="s">
        <v>587</v>
      </c>
      <c r="C4097" t="s">
        <v>24</v>
      </c>
      <c r="D4097" t="s">
        <v>7</v>
      </c>
      <c r="E4097" s="68">
        <v>275</v>
      </c>
      <c r="F4097" s="68">
        <v>317</v>
      </c>
      <c r="G4097" s="68">
        <v>592</v>
      </c>
    </row>
    <row r="4098" spans="1:7" x14ac:dyDescent="0.3">
      <c r="A4098" t="s">
        <v>1064</v>
      </c>
      <c r="B4098" t="s">
        <v>587</v>
      </c>
      <c r="C4098" t="s">
        <v>24</v>
      </c>
      <c r="D4098" t="s">
        <v>8</v>
      </c>
      <c r="E4098" s="68">
        <v>365</v>
      </c>
      <c r="F4098" s="68">
        <v>419</v>
      </c>
      <c r="G4098" s="68">
        <v>784</v>
      </c>
    </row>
    <row r="4099" spans="1:7" x14ac:dyDescent="0.3">
      <c r="A4099" t="s">
        <v>1064</v>
      </c>
      <c r="B4099" t="s">
        <v>587</v>
      </c>
      <c r="C4099" t="s">
        <v>24</v>
      </c>
      <c r="D4099" t="s">
        <v>9</v>
      </c>
      <c r="E4099" s="68">
        <v>376</v>
      </c>
      <c r="F4099" s="68">
        <v>415</v>
      </c>
      <c r="G4099" s="68">
        <v>791</v>
      </c>
    </row>
    <row r="4100" spans="1:7" x14ac:dyDescent="0.3">
      <c r="A4100" t="s">
        <v>1064</v>
      </c>
      <c r="B4100" t="s">
        <v>587</v>
      </c>
      <c r="C4100" t="s">
        <v>24</v>
      </c>
      <c r="D4100" t="s">
        <v>10</v>
      </c>
      <c r="E4100" s="68">
        <v>372</v>
      </c>
      <c r="F4100" s="68">
        <v>376</v>
      </c>
      <c r="G4100" s="68">
        <v>748</v>
      </c>
    </row>
    <row r="4101" spans="1:7" x14ac:dyDescent="0.3">
      <c r="A4101" t="s">
        <v>1064</v>
      </c>
      <c r="B4101" t="s">
        <v>587</v>
      </c>
      <c r="C4101" t="s">
        <v>24</v>
      </c>
      <c r="D4101" t="s">
        <v>11</v>
      </c>
      <c r="E4101" s="68">
        <v>380</v>
      </c>
      <c r="F4101" s="68">
        <v>354</v>
      </c>
      <c r="G4101" s="68">
        <v>734</v>
      </c>
    </row>
    <row r="4102" spans="1:7" x14ac:dyDescent="0.3">
      <c r="A4102" t="s">
        <v>1064</v>
      </c>
      <c r="B4102" t="s">
        <v>587</v>
      </c>
      <c r="C4102" t="s">
        <v>24</v>
      </c>
      <c r="D4102" t="s">
        <v>12</v>
      </c>
      <c r="E4102" s="68">
        <v>461</v>
      </c>
      <c r="F4102" s="68">
        <v>445</v>
      </c>
      <c r="G4102" s="68">
        <v>906</v>
      </c>
    </row>
    <row r="4103" spans="1:7" x14ac:dyDescent="0.3">
      <c r="A4103" t="s">
        <v>1064</v>
      </c>
      <c r="B4103" t="s">
        <v>587</v>
      </c>
      <c r="C4103" t="s">
        <v>24</v>
      </c>
      <c r="D4103" t="s">
        <v>13</v>
      </c>
      <c r="E4103" s="68">
        <v>423</v>
      </c>
      <c r="F4103" s="68">
        <v>390</v>
      </c>
      <c r="G4103" s="68">
        <v>813</v>
      </c>
    </row>
    <row r="4104" spans="1:7" x14ac:dyDescent="0.3">
      <c r="A4104" t="s">
        <v>1064</v>
      </c>
      <c r="B4104" t="s">
        <v>587</v>
      </c>
      <c r="C4104" t="s">
        <v>24</v>
      </c>
      <c r="D4104" t="s">
        <v>14</v>
      </c>
      <c r="E4104" s="68">
        <v>356</v>
      </c>
      <c r="F4104" s="68">
        <v>339</v>
      </c>
      <c r="G4104" s="68">
        <v>695</v>
      </c>
    </row>
    <row r="4105" spans="1:7" x14ac:dyDescent="0.3">
      <c r="A4105" t="s">
        <v>1064</v>
      </c>
      <c r="B4105" t="s">
        <v>587</v>
      </c>
      <c r="C4105" t="s">
        <v>24</v>
      </c>
      <c r="D4105" t="s">
        <v>15</v>
      </c>
      <c r="E4105" s="68">
        <v>362</v>
      </c>
      <c r="F4105" s="68">
        <v>256</v>
      </c>
      <c r="G4105" s="68">
        <v>618</v>
      </c>
    </row>
    <row r="4106" spans="1:7" x14ac:dyDescent="0.3">
      <c r="A4106" t="s">
        <v>1064</v>
      </c>
      <c r="B4106" t="s">
        <v>587</v>
      </c>
      <c r="C4106" t="s">
        <v>24</v>
      </c>
      <c r="D4106" t="s">
        <v>16</v>
      </c>
      <c r="E4106" s="68">
        <v>316</v>
      </c>
      <c r="F4106" s="68">
        <v>283</v>
      </c>
      <c r="G4106" s="68">
        <v>599</v>
      </c>
    </row>
    <row r="4107" spans="1:7" x14ac:dyDescent="0.3">
      <c r="A4107" t="s">
        <v>1064</v>
      </c>
      <c r="B4107" t="s">
        <v>587</v>
      </c>
      <c r="C4107" t="s">
        <v>24</v>
      </c>
      <c r="D4107" t="s">
        <v>17</v>
      </c>
      <c r="E4107" s="68">
        <v>334</v>
      </c>
      <c r="F4107" s="68">
        <v>243</v>
      </c>
      <c r="G4107" s="68">
        <v>577</v>
      </c>
    </row>
    <row r="4108" spans="1:7" x14ac:dyDescent="0.3">
      <c r="A4108" t="s">
        <v>1064</v>
      </c>
      <c r="B4108" t="s">
        <v>587</v>
      </c>
      <c r="C4108" t="s">
        <v>24</v>
      </c>
      <c r="D4108" t="s">
        <v>18</v>
      </c>
      <c r="E4108" s="68">
        <v>301</v>
      </c>
      <c r="F4108" s="68">
        <v>230</v>
      </c>
      <c r="G4108" s="68">
        <v>531</v>
      </c>
    </row>
    <row r="4109" spans="1:7" x14ac:dyDescent="0.3">
      <c r="A4109" t="s">
        <v>1064</v>
      </c>
      <c r="B4109" t="s">
        <v>587</v>
      </c>
      <c r="C4109" t="s">
        <v>24</v>
      </c>
      <c r="D4109" t="s">
        <v>19</v>
      </c>
      <c r="E4109" s="68">
        <v>288</v>
      </c>
      <c r="F4109" s="68">
        <v>219</v>
      </c>
      <c r="G4109" s="68">
        <v>507</v>
      </c>
    </row>
    <row r="4110" spans="1:7" x14ac:dyDescent="0.3">
      <c r="A4110" t="s">
        <v>1064</v>
      </c>
      <c r="B4110" t="s">
        <v>587</v>
      </c>
      <c r="C4110" t="s">
        <v>24</v>
      </c>
      <c r="D4110" t="s">
        <v>20</v>
      </c>
      <c r="E4110" s="68">
        <v>219</v>
      </c>
      <c r="F4110" s="68">
        <v>193</v>
      </c>
      <c r="G4110" s="68">
        <v>412</v>
      </c>
    </row>
    <row r="4111" spans="1:7" x14ac:dyDescent="0.3">
      <c r="A4111" t="s">
        <v>1064</v>
      </c>
      <c r="B4111" t="s">
        <v>587</v>
      </c>
      <c r="C4111" t="s">
        <v>24</v>
      </c>
      <c r="D4111" t="s">
        <v>21</v>
      </c>
      <c r="E4111" s="68">
        <v>141</v>
      </c>
      <c r="F4111" s="68">
        <v>133</v>
      </c>
      <c r="G4111" s="68">
        <v>274</v>
      </c>
    </row>
    <row r="4112" spans="1:7" x14ac:dyDescent="0.3">
      <c r="A4112" t="s">
        <v>1064</v>
      </c>
      <c r="B4112" t="s">
        <v>587</v>
      </c>
      <c r="C4112" t="s">
        <v>24</v>
      </c>
      <c r="D4112" t="s">
        <v>22</v>
      </c>
      <c r="E4112" s="68">
        <v>90</v>
      </c>
      <c r="F4112" s="68">
        <v>75</v>
      </c>
      <c r="G4112" s="68">
        <v>165</v>
      </c>
    </row>
    <row r="4113" spans="1:7" x14ac:dyDescent="0.3">
      <c r="A4113" t="s">
        <v>1064</v>
      </c>
      <c r="B4113" t="s">
        <v>587</v>
      </c>
      <c r="C4113" t="s">
        <v>24</v>
      </c>
      <c r="D4113" t="s">
        <v>23</v>
      </c>
      <c r="E4113" s="68">
        <v>109</v>
      </c>
      <c r="F4113" s="68">
        <v>54</v>
      </c>
      <c r="G4113" s="68">
        <v>163</v>
      </c>
    </row>
    <row r="4114" spans="1:7" x14ac:dyDescent="0.3">
      <c r="A4114" t="s">
        <v>1064</v>
      </c>
      <c r="B4114" t="s">
        <v>712</v>
      </c>
      <c r="C4114" t="s">
        <v>6</v>
      </c>
      <c r="D4114" t="s">
        <v>7</v>
      </c>
      <c r="E4114" s="68">
        <v>3418</v>
      </c>
      <c r="F4114" s="68">
        <v>3472</v>
      </c>
      <c r="G4114" s="68">
        <v>6890</v>
      </c>
    </row>
    <row r="4115" spans="1:7" x14ac:dyDescent="0.3">
      <c r="A4115" t="s">
        <v>1064</v>
      </c>
      <c r="B4115" t="s">
        <v>712</v>
      </c>
      <c r="C4115" t="s">
        <v>6</v>
      </c>
      <c r="D4115" t="s">
        <v>8</v>
      </c>
      <c r="E4115" s="68">
        <v>5767</v>
      </c>
      <c r="F4115" s="68">
        <v>6119</v>
      </c>
      <c r="G4115" s="68">
        <v>11886</v>
      </c>
    </row>
    <row r="4116" spans="1:7" x14ac:dyDescent="0.3">
      <c r="A4116" t="s">
        <v>1064</v>
      </c>
      <c r="B4116" t="s">
        <v>712</v>
      </c>
      <c r="C4116" t="s">
        <v>6</v>
      </c>
      <c r="D4116" t="s">
        <v>9</v>
      </c>
      <c r="E4116" s="68">
        <v>6163</v>
      </c>
      <c r="F4116" s="68">
        <v>6696</v>
      </c>
      <c r="G4116" s="68">
        <v>12859</v>
      </c>
    </row>
    <row r="4117" spans="1:7" x14ac:dyDescent="0.3">
      <c r="A4117" t="s">
        <v>1064</v>
      </c>
      <c r="B4117" t="s">
        <v>712</v>
      </c>
      <c r="C4117" t="s">
        <v>6</v>
      </c>
      <c r="D4117" t="s">
        <v>10</v>
      </c>
      <c r="E4117" s="68">
        <v>6909</v>
      </c>
      <c r="F4117" s="68">
        <v>6969</v>
      </c>
      <c r="G4117" s="68">
        <v>13878</v>
      </c>
    </row>
    <row r="4118" spans="1:7" x14ac:dyDescent="0.3">
      <c r="A4118" t="s">
        <v>1064</v>
      </c>
      <c r="B4118" t="s">
        <v>712</v>
      </c>
      <c r="C4118" t="s">
        <v>6</v>
      </c>
      <c r="D4118" t="s">
        <v>11</v>
      </c>
      <c r="E4118" s="68">
        <v>7389</v>
      </c>
      <c r="F4118" s="68">
        <v>7472</v>
      </c>
      <c r="G4118" s="68">
        <v>14861</v>
      </c>
    </row>
    <row r="4119" spans="1:7" x14ac:dyDescent="0.3">
      <c r="A4119" t="s">
        <v>1064</v>
      </c>
      <c r="B4119" t="s">
        <v>712</v>
      </c>
      <c r="C4119" t="s">
        <v>6</v>
      </c>
      <c r="D4119" t="s">
        <v>12</v>
      </c>
      <c r="E4119" s="68">
        <v>8926</v>
      </c>
      <c r="F4119" s="68">
        <v>8026</v>
      </c>
      <c r="G4119" s="68">
        <v>16952</v>
      </c>
    </row>
    <row r="4120" spans="1:7" x14ac:dyDescent="0.3">
      <c r="A4120" t="s">
        <v>1064</v>
      </c>
      <c r="B4120" t="s">
        <v>712</v>
      </c>
      <c r="C4120" t="s">
        <v>6</v>
      </c>
      <c r="D4120" t="s">
        <v>13</v>
      </c>
      <c r="E4120" s="68">
        <v>10531</v>
      </c>
      <c r="F4120" s="68">
        <v>8637</v>
      </c>
      <c r="G4120" s="68">
        <v>19168</v>
      </c>
    </row>
    <row r="4121" spans="1:7" x14ac:dyDescent="0.3">
      <c r="A4121" t="s">
        <v>1064</v>
      </c>
      <c r="B4121" t="s">
        <v>712</v>
      </c>
      <c r="C4121" t="s">
        <v>6</v>
      </c>
      <c r="D4121" t="s">
        <v>14</v>
      </c>
      <c r="E4121" s="68">
        <v>9763</v>
      </c>
      <c r="F4121" s="68">
        <v>8141</v>
      </c>
      <c r="G4121" s="68">
        <v>17904</v>
      </c>
    </row>
    <row r="4122" spans="1:7" x14ac:dyDescent="0.3">
      <c r="A4122" t="s">
        <v>1064</v>
      </c>
      <c r="B4122" t="s">
        <v>712</v>
      </c>
      <c r="C4122" t="s">
        <v>6</v>
      </c>
      <c r="D4122" t="s">
        <v>15</v>
      </c>
      <c r="E4122" s="68">
        <v>9405</v>
      </c>
      <c r="F4122" s="68">
        <v>7958</v>
      </c>
      <c r="G4122" s="68">
        <v>17363</v>
      </c>
    </row>
    <row r="4123" spans="1:7" x14ac:dyDescent="0.3">
      <c r="A4123" t="s">
        <v>1064</v>
      </c>
      <c r="B4123" t="s">
        <v>712</v>
      </c>
      <c r="C4123" t="s">
        <v>6</v>
      </c>
      <c r="D4123" t="s">
        <v>16</v>
      </c>
      <c r="E4123" s="68">
        <v>8138</v>
      </c>
      <c r="F4123" s="68">
        <v>6993</v>
      </c>
      <c r="G4123" s="68">
        <v>15131</v>
      </c>
    </row>
    <row r="4124" spans="1:7" x14ac:dyDescent="0.3">
      <c r="A4124" t="s">
        <v>1064</v>
      </c>
      <c r="B4124" t="s">
        <v>712</v>
      </c>
      <c r="C4124" t="s">
        <v>6</v>
      </c>
      <c r="D4124" t="s">
        <v>17</v>
      </c>
      <c r="E4124" s="68">
        <v>6586</v>
      </c>
      <c r="F4124" s="68">
        <v>5825</v>
      </c>
      <c r="G4124" s="68">
        <v>12411</v>
      </c>
    </row>
    <row r="4125" spans="1:7" x14ac:dyDescent="0.3">
      <c r="A4125" t="s">
        <v>1064</v>
      </c>
      <c r="B4125" t="s">
        <v>712</v>
      </c>
      <c r="C4125" t="s">
        <v>6</v>
      </c>
      <c r="D4125" t="s">
        <v>18</v>
      </c>
      <c r="E4125" s="68">
        <v>6199</v>
      </c>
      <c r="F4125" s="68">
        <v>5231</v>
      </c>
      <c r="G4125" s="68">
        <v>11430</v>
      </c>
    </row>
    <row r="4126" spans="1:7" x14ac:dyDescent="0.3">
      <c r="A4126" t="s">
        <v>1064</v>
      </c>
      <c r="B4126" t="s">
        <v>712</v>
      </c>
      <c r="C4126" t="s">
        <v>6</v>
      </c>
      <c r="D4126" t="s">
        <v>19</v>
      </c>
      <c r="E4126" s="68">
        <v>5951</v>
      </c>
      <c r="F4126" s="68">
        <v>4895</v>
      </c>
      <c r="G4126" s="68">
        <v>10846</v>
      </c>
    </row>
    <row r="4127" spans="1:7" x14ac:dyDescent="0.3">
      <c r="A4127" t="s">
        <v>1064</v>
      </c>
      <c r="B4127" t="s">
        <v>712</v>
      </c>
      <c r="C4127" t="s">
        <v>6</v>
      </c>
      <c r="D4127" t="s">
        <v>20</v>
      </c>
      <c r="E4127" s="68">
        <v>4346</v>
      </c>
      <c r="F4127" s="68">
        <v>3829</v>
      </c>
      <c r="G4127" s="68">
        <v>8175</v>
      </c>
    </row>
    <row r="4128" spans="1:7" x14ac:dyDescent="0.3">
      <c r="A4128" t="s">
        <v>1064</v>
      </c>
      <c r="B4128" t="s">
        <v>712</v>
      </c>
      <c r="C4128" t="s">
        <v>6</v>
      </c>
      <c r="D4128" t="s">
        <v>21</v>
      </c>
      <c r="E4128" s="68">
        <v>3036</v>
      </c>
      <c r="F4128" s="68">
        <v>2532</v>
      </c>
      <c r="G4128" s="68">
        <v>5568</v>
      </c>
    </row>
    <row r="4129" spans="1:7" x14ac:dyDescent="0.3">
      <c r="A4129" t="s">
        <v>1064</v>
      </c>
      <c r="B4129" t="s">
        <v>712</v>
      </c>
      <c r="C4129" t="s">
        <v>6</v>
      </c>
      <c r="D4129" t="s">
        <v>22</v>
      </c>
      <c r="E4129" s="68">
        <v>1929</v>
      </c>
      <c r="F4129" s="68">
        <v>1578</v>
      </c>
      <c r="G4129" s="68">
        <v>3507</v>
      </c>
    </row>
    <row r="4130" spans="1:7" x14ac:dyDescent="0.3">
      <c r="A4130" t="s">
        <v>1064</v>
      </c>
      <c r="B4130" t="s">
        <v>712</v>
      </c>
      <c r="C4130" t="s">
        <v>6</v>
      </c>
      <c r="D4130" t="s">
        <v>23</v>
      </c>
      <c r="E4130" s="68">
        <v>2071</v>
      </c>
      <c r="F4130" s="68">
        <v>1474</v>
      </c>
      <c r="G4130" s="68">
        <v>3545</v>
      </c>
    </row>
    <row r="4131" spans="1:7" x14ac:dyDescent="0.3">
      <c r="A4131" t="s">
        <v>1064</v>
      </c>
      <c r="B4131" t="s">
        <v>712</v>
      </c>
      <c r="C4131" t="s">
        <v>24</v>
      </c>
      <c r="D4131" t="s">
        <v>7</v>
      </c>
      <c r="E4131" s="68">
        <v>1723</v>
      </c>
      <c r="F4131" s="68">
        <v>1714</v>
      </c>
      <c r="G4131" s="68">
        <v>3437</v>
      </c>
    </row>
    <row r="4132" spans="1:7" x14ac:dyDescent="0.3">
      <c r="A4132" t="s">
        <v>1064</v>
      </c>
      <c r="B4132" t="s">
        <v>712</v>
      </c>
      <c r="C4132" t="s">
        <v>24</v>
      </c>
      <c r="D4132" t="s">
        <v>8</v>
      </c>
      <c r="E4132" s="68">
        <v>2813</v>
      </c>
      <c r="F4132" s="68">
        <v>2841</v>
      </c>
      <c r="G4132" s="68">
        <v>5654</v>
      </c>
    </row>
    <row r="4133" spans="1:7" x14ac:dyDescent="0.3">
      <c r="A4133" t="s">
        <v>1064</v>
      </c>
      <c r="B4133" t="s">
        <v>712</v>
      </c>
      <c r="C4133" t="s">
        <v>24</v>
      </c>
      <c r="D4133" t="s">
        <v>9</v>
      </c>
      <c r="E4133" s="68">
        <v>2905</v>
      </c>
      <c r="F4133" s="68">
        <v>3011</v>
      </c>
      <c r="G4133" s="68">
        <v>5916</v>
      </c>
    </row>
    <row r="4134" spans="1:7" x14ac:dyDescent="0.3">
      <c r="A4134" t="s">
        <v>1064</v>
      </c>
      <c r="B4134" t="s">
        <v>712</v>
      </c>
      <c r="C4134" t="s">
        <v>24</v>
      </c>
      <c r="D4134" t="s">
        <v>10</v>
      </c>
      <c r="E4134" s="68">
        <v>3353</v>
      </c>
      <c r="F4134" s="68">
        <v>3413</v>
      </c>
      <c r="G4134" s="68">
        <v>6766</v>
      </c>
    </row>
    <row r="4135" spans="1:7" x14ac:dyDescent="0.3">
      <c r="A4135" t="s">
        <v>1064</v>
      </c>
      <c r="B4135" t="s">
        <v>712</v>
      </c>
      <c r="C4135" t="s">
        <v>24</v>
      </c>
      <c r="D4135" t="s">
        <v>11</v>
      </c>
      <c r="E4135" s="68">
        <v>3037</v>
      </c>
      <c r="F4135" s="68">
        <v>2879</v>
      </c>
      <c r="G4135" s="68">
        <v>5916</v>
      </c>
    </row>
    <row r="4136" spans="1:7" x14ac:dyDescent="0.3">
      <c r="A4136" t="s">
        <v>1064</v>
      </c>
      <c r="B4136" t="s">
        <v>712</v>
      </c>
      <c r="C4136" t="s">
        <v>24</v>
      </c>
      <c r="D4136" t="s">
        <v>12</v>
      </c>
      <c r="E4136" s="68">
        <v>3322</v>
      </c>
      <c r="F4136" s="68">
        <v>2616</v>
      </c>
      <c r="G4136" s="68">
        <v>5938</v>
      </c>
    </row>
    <row r="4137" spans="1:7" x14ac:dyDescent="0.3">
      <c r="A4137" t="s">
        <v>1064</v>
      </c>
      <c r="B4137" t="s">
        <v>712</v>
      </c>
      <c r="C4137" t="s">
        <v>24</v>
      </c>
      <c r="D4137" t="s">
        <v>13</v>
      </c>
      <c r="E4137" s="68">
        <v>3151</v>
      </c>
      <c r="F4137" s="68">
        <v>2158</v>
      </c>
      <c r="G4137" s="68">
        <v>5309</v>
      </c>
    </row>
    <row r="4138" spans="1:7" x14ac:dyDescent="0.3">
      <c r="A4138" t="s">
        <v>1064</v>
      </c>
      <c r="B4138" t="s">
        <v>712</v>
      </c>
      <c r="C4138" t="s">
        <v>24</v>
      </c>
      <c r="D4138" t="s">
        <v>14</v>
      </c>
      <c r="E4138" s="68">
        <v>2954</v>
      </c>
      <c r="F4138" s="68">
        <v>2029</v>
      </c>
      <c r="G4138" s="68">
        <v>4983</v>
      </c>
    </row>
    <row r="4139" spans="1:7" x14ac:dyDescent="0.3">
      <c r="A4139" t="s">
        <v>1064</v>
      </c>
      <c r="B4139" t="s">
        <v>712</v>
      </c>
      <c r="C4139" t="s">
        <v>24</v>
      </c>
      <c r="D4139" t="s">
        <v>15</v>
      </c>
      <c r="E4139" s="68">
        <v>3029</v>
      </c>
      <c r="F4139" s="68">
        <v>2118</v>
      </c>
      <c r="G4139" s="68">
        <v>5147</v>
      </c>
    </row>
    <row r="4140" spans="1:7" x14ac:dyDescent="0.3">
      <c r="A4140" t="s">
        <v>1064</v>
      </c>
      <c r="B4140" t="s">
        <v>712</v>
      </c>
      <c r="C4140" t="s">
        <v>24</v>
      </c>
      <c r="D4140" t="s">
        <v>16</v>
      </c>
      <c r="E4140" s="68">
        <v>2861</v>
      </c>
      <c r="F4140" s="68">
        <v>2024</v>
      </c>
      <c r="G4140" s="68">
        <v>4885</v>
      </c>
    </row>
    <row r="4141" spans="1:7" x14ac:dyDescent="0.3">
      <c r="A4141" t="s">
        <v>1064</v>
      </c>
      <c r="B4141" t="s">
        <v>712</v>
      </c>
      <c r="C4141" t="s">
        <v>24</v>
      </c>
      <c r="D4141" t="s">
        <v>17</v>
      </c>
      <c r="E4141" s="68">
        <v>2775</v>
      </c>
      <c r="F4141" s="68">
        <v>2035</v>
      </c>
      <c r="G4141" s="68">
        <v>4810</v>
      </c>
    </row>
    <row r="4142" spans="1:7" x14ac:dyDescent="0.3">
      <c r="A4142" t="s">
        <v>1064</v>
      </c>
      <c r="B4142" t="s">
        <v>712</v>
      </c>
      <c r="C4142" t="s">
        <v>24</v>
      </c>
      <c r="D4142" t="s">
        <v>18</v>
      </c>
      <c r="E4142" s="68">
        <v>2687</v>
      </c>
      <c r="F4142" s="68">
        <v>2141</v>
      </c>
      <c r="G4142" s="68">
        <v>4828</v>
      </c>
    </row>
    <row r="4143" spans="1:7" x14ac:dyDescent="0.3">
      <c r="A4143" t="s">
        <v>1064</v>
      </c>
      <c r="B4143" t="s">
        <v>712</v>
      </c>
      <c r="C4143" t="s">
        <v>24</v>
      </c>
      <c r="D4143" t="s">
        <v>19</v>
      </c>
      <c r="E4143" s="68">
        <v>2420</v>
      </c>
      <c r="F4143" s="68">
        <v>2014</v>
      </c>
      <c r="G4143" s="68">
        <v>4434</v>
      </c>
    </row>
    <row r="4144" spans="1:7" x14ac:dyDescent="0.3">
      <c r="A4144" t="s">
        <v>1064</v>
      </c>
      <c r="B4144" t="s">
        <v>712</v>
      </c>
      <c r="C4144" t="s">
        <v>24</v>
      </c>
      <c r="D4144" t="s">
        <v>20</v>
      </c>
      <c r="E4144" s="68">
        <v>1735</v>
      </c>
      <c r="F4144" s="68">
        <v>1675</v>
      </c>
      <c r="G4144" s="68">
        <v>3410</v>
      </c>
    </row>
    <row r="4145" spans="1:7" x14ac:dyDescent="0.3">
      <c r="A4145" t="s">
        <v>1064</v>
      </c>
      <c r="B4145" t="s">
        <v>712</v>
      </c>
      <c r="C4145" t="s">
        <v>24</v>
      </c>
      <c r="D4145" t="s">
        <v>21</v>
      </c>
      <c r="E4145" s="68">
        <v>1297</v>
      </c>
      <c r="F4145" s="68">
        <v>1284</v>
      </c>
      <c r="G4145" s="68">
        <v>2581</v>
      </c>
    </row>
    <row r="4146" spans="1:7" x14ac:dyDescent="0.3">
      <c r="A4146" t="s">
        <v>1064</v>
      </c>
      <c r="B4146" t="s">
        <v>712</v>
      </c>
      <c r="C4146" t="s">
        <v>24</v>
      </c>
      <c r="D4146" t="s">
        <v>22</v>
      </c>
      <c r="E4146" s="68">
        <v>941</v>
      </c>
      <c r="F4146" s="68">
        <v>848</v>
      </c>
      <c r="G4146" s="68">
        <v>1789</v>
      </c>
    </row>
    <row r="4147" spans="1:7" x14ac:dyDescent="0.3">
      <c r="A4147" t="s">
        <v>1064</v>
      </c>
      <c r="B4147" t="s">
        <v>712</v>
      </c>
      <c r="C4147" t="s">
        <v>24</v>
      </c>
      <c r="D4147" t="s">
        <v>23</v>
      </c>
      <c r="E4147" s="68">
        <v>1316</v>
      </c>
      <c r="F4147" s="68">
        <v>903</v>
      </c>
      <c r="G4147" s="68">
        <v>2219</v>
      </c>
    </row>
    <row r="4148" spans="1:7" x14ac:dyDescent="0.3">
      <c r="A4148" t="s">
        <v>1064</v>
      </c>
      <c r="B4148" t="s">
        <v>31</v>
      </c>
      <c r="C4148" t="s">
        <v>6</v>
      </c>
      <c r="D4148" t="s">
        <v>7</v>
      </c>
      <c r="E4148" s="68">
        <v>86</v>
      </c>
      <c r="F4148" s="68">
        <v>101</v>
      </c>
      <c r="G4148" s="68">
        <v>187</v>
      </c>
    </row>
    <row r="4149" spans="1:7" x14ac:dyDescent="0.3">
      <c r="A4149" t="s">
        <v>1064</v>
      </c>
      <c r="B4149" t="s">
        <v>31</v>
      </c>
      <c r="C4149" t="s">
        <v>6</v>
      </c>
      <c r="D4149" t="s">
        <v>8</v>
      </c>
      <c r="E4149" s="68">
        <v>115</v>
      </c>
      <c r="F4149" s="68">
        <v>115</v>
      </c>
      <c r="G4149" s="68">
        <v>230</v>
      </c>
    </row>
    <row r="4150" spans="1:7" x14ac:dyDescent="0.3">
      <c r="A4150" t="s">
        <v>1064</v>
      </c>
      <c r="B4150" t="s">
        <v>31</v>
      </c>
      <c r="C4150" t="s">
        <v>6</v>
      </c>
      <c r="D4150" t="s">
        <v>9</v>
      </c>
      <c r="E4150" s="68">
        <v>111</v>
      </c>
      <c r="F4150" s="68">
        <v>115</v>
      </c>
      <c r="G4150" s="68">
        <v>226</v>
      </c>
    </row>
    <row r="4151" spans="1:7" x14ac:dyDescent="0.3">
      <c r="A4151" t="s">
        <v>1064</v>
      </c>
      <c r="B4151" t="s">
        <v>31</v>
      </c>
      <c r="C4151" t="s">
        <v>6</v>
      </c>
      <c r="D4151" t="s">
        <v>10</v>
      </c>
      <c r="E4151" s="68">
        <v>177</v>
      </c>
      <c r="F4151" s="68">
        <v>191</v>
      </c>
      <c r="G4151" s="68">
        <v>368</v>
      </c>
    </row>
    <row r="4152" spans="1:7" x14ac:dyDescent="0.3">
      <c r="A4152" t="s">
        <v>1064</v>
      </c>
      <c r="B4152" t="s">
        <v>31</v>
      </c>
      <c r="C4152" t="s">
        <v>6</v>
      </c>
      <c r="D4152" t="s">
        <v>11</v>
      </c>
      <c r="E4152" s="68">
        <v>341</v>
      </c>
      <c r="F4152" s="68">
        <v>467</v>
      </c>
      <c r="G4152" s="68">
        <v>808</v>
      </c>
    </row>
    <row r="4153" spans="1:7" x14ac:dyDescent="0.3">
      <c r="A4153" t="s">
        <v>1064</v>
      </c>
      <c r="B4153" t="s">
        <v>31</v>
      </c>
      <c r="C4153" t="s">
        <v>6</v>
      </c>
      <c r="D4153" t="s">
        <v>12</v>
      </c>
      <c r="E4153" s="68">
        <v>275</v>
      </c>
      <c r="F4153" s="68">
        <v>393</v>
      </c>
      <c r="G4153" s="68">
        <v>668</v>
      </c>
    </row>
    <row r="4154" spans="1:7" x14ac:dyDescent="0.3">
      <c r="A4154" t="s">
        <v>1064</v>
      </c>
      <c r="B4154" t="s">
        <v>31</v>
      </c>
      <c r="C4154" t="s">
        <v>6</v>
      </c>
      <c r="D4154" t="s">
        <v>13</v>
      </c>
      <c r="E4154" s="68">
        <v>232</v>
      </c>
      <c r="F4154" s="68">
        <v>226</v>
      </c>
      <c r="G4154" s="68">
        <v>458</v>
      </c>
    </row>
    <row r="4155" spans="1:7" x14ac:dyDescent="0.3">
      <c r="A4155" t="s">
        <v>1064</v>
      </c>
      <c r="B4155" t="s">
        <v>31</v>
      </c>
      <c r="C4155" t="s">
        <v>6</v>
      </c>
      <c r="D4155" t="s">
        <v>14</v>
      </c>
      <c r="E4155" s="68">
        <v>167</v>
      </c>
      <c r="F4155" s="68">
        <v>153</v>
      </c>
      <c r="G4155" s="68">
        <v>320</v>
      </c>
    </row>
    <row r="4156" spans="1:7" x14ac:dyDescent="0.3">
      <c r="A4156" t="s">
        <v>1064</v>
      </c>
      <c r="B4156" t="s">
        <v>31</v>
      </c>
      <c r="C4156" t="s">
        <v>6</v>
      </c>
      <c r="D4156" t="s">
        <v>15</v>
      </c>
      <c r="E4156" s="68">
        <v>154</v>
      </c>
      <c r="F4156" s="68">
        <v>162</v>
      </c>
      <c r="G4156" s="68">
        <v>316</v>
      </c>
    </row>
    <row r="4157" spans="1:7" x14ac:dyDescent="0.3">
      <c r="A4157" t="s">
        <v>1064</v>
      </c>
      <c r="B4157" t="s">
        <v>31</v>
      </c>
      <c r="C4157" t="s">
        <v>6</v>
      </c>
      <c r="D4157" t="s">
        <v>16</v>
      </c>
      <c r="E4157" s="68">
        <v>126</v>
      </c>
      <c r="F4157" s="68">
        <v>141</v>
      </c>
      <c r="G4157" s="68">
        <v>267</v>
      </c>
    </row>
    <row r="4158" spans="1:7" x14ac:dyDescent="0.3">
      <c r="A4158" t="s">
        <v>1064</v>
      </c>
      <c r="B4158" t="s">
        <v>31</v>
      </c>
      <c r="C4158" t="s">
        <v>6</v>
      </c>
      <c r="D4158" t="s">
        <v>17</v>
      </c>
      <c r="E4158" s="68">
        <v>72</v>
      </c>
      <c r="F4158" s="68">
        <v>102</v>
      </c>
      <c r="G4158" s="68">
        <v>174</v>
      </c>
    </row>
    <row r="4159" spans="1:7" x14ac:dyDescent="0.3">
      <c r="A4159" t="s">
        <v>1064</v>
      </c>
      <c r="B4159" t="s">
        <v>31</v>
      </c>
      <c r="C4159" t="s">
        <v>6</v>
      </c>
      <c r="D4159" t="s">
        <v>18</v>
      </c>
      <c r="E4159" s="68">
        <v>65</v>
      </c>
      <c r="F4159" s="68">
        <v>83</v>
      </c>
      <c r="G4159" s="68">
        <v>148</v>
      </c>
    </row>
    <row r="4160" spans="1:7" x14ac:dyDescent="0.3">
      <c r="A4160" t="s">
        <v>1064</v>
      </c>
      <c r="B4160" t="s">
        <v>31</v>
      </c>
      <c r="C4160" t="s">
        <v>6</v>
      </c>
      <c r="D4160" t="s">
        <v>19</v>
      </c>
      <c r="E4160" s="68">
        <v>64</v>
      </c>
      <c r="F4160" s="68">
        <v>83</v>
      </c>
      <c r="G4160" s="68">
        <v>147</v>
      </c>
    </row>
    <row r="4161" spans="1:7" x14ac:dyDescent="0.3">
      <c r="A4161" t="s">
        <v>1064</v>
      </c>
      <c r="B4161" t="s">
        <v>31</v>
      </c>
      <c r="C4161" t="s">
        <v>6</v>
      </c>
      <c r="D4161" t="s">
        <v>20</v>
      </c>
      <c r="E4161" s="68">
        <v>39</v>
      </c>
      <c r="F4161" s="68">
        <v>67</v>
      </c>
      <c r="G4161" s="68">
        <v>106</v>
      </c>
    </row>
    <row r="4162" spans="1:7" x14ac:dyDescent="0.3">
      <c r="A4162" t="s">
        <v>1064</v>
      </c>
      <c r="B4162" t="s">
        <v>31</v>
      </c>
      <c r="C4162" t="s">
        <v>6</v>
      </c>
      <c r="D4162" t="s">
        <v>21</v>
      </c>
      <c r="E4162" s="68">
        <v>14</v>
      </c>
      <c r="F4162" s="68">
        <v>27</v>
      </c>
      <c r="G4162" s="68">
        <v>41</v>
      </c>
    </row>
    <row r="4163" spans="1:7" x14ac:dyDescent="0.3">
      <c r="A4163" t="s">
        <v>1064</v>
      </c>
      <c r="B4163" t="s">
        <v>31</v>
      </c>
      <c r="C4163" t="s">
        <v>6</v>
      </c>
      <c r="D4163" t="s">
        <v>22</v>
      </c>
      <c r="E4163" s="68">
        <v>9</v>
      </c>
      <c r="F4163" s="68">
        <v>11</v>
      </c>
      <c r="G4163" s="68">
        <v>20</v>
      </c>
    </row>
    <row r="4164" spans="1:7" x14ac:dyDescent="0.3">
      <c r="A4164" t="s">
        <v>1064</v>
      </c>
      <c r="B4164" t="s">
        <v>31</v>
      </c>
      <c r="C4164" t="s">
        <v>6</v>
      </c>
      <c r="D4164" t="s">
        <v>23</v>
      </c>
      <c r="E4164" s="68">
        <v>11</v>
      </c>
      <c r="F4164" s="68">
        <v>10</v>
      </c>
      <c r="G4164" s="68">
        <v>21</v>
      </c>
    </row>
    <row r="4165" spans="1:7" x14ac:dyDescent="0.3">
      <c r="A4165" t="s">
        <v>1064</v>
      </c>
      <c r="B4165" t="s">
        <v>31</v>
      </c>
      <c r="C4165" t="s">
        <v>24</v>
      </c>
      <c r="D4165" t="s">
        <v>7</v>
      </c>
      <c r="E4165" s="68">
        <v>1455</v>
      </c>
      <c r="F4165" s="68">
        <v>1495</v>
      </c>
      <c r="G4165" s="68">
        <v>2950</v>
      </c>
    </row>
    <row r="4166" spans="1:7" x14ac:dyDescent="0.3">
      <c r="A4166" t="s">
        <v>1064</v>
      </c>
      <c r="B4166" t="s">
        <v>31</v>
      </c>
      <c r="C4166" t="s">
        <v>24</v>
      </c>
      <c r="D4166" t="s">
        <v>8</v>
      </c>
      <c r="E4166" s="68">
        <v>2103</v>
      </c>
      <c r="F4166" s="68">
        <v>2268</v>
      </c>
      <c r="G4166" s="68">
        <v>4371</v>
      </c>
    </row>
    <row r="4167" spans="1:7" x14ac:dyDescent="0.3">
      <c r="A4167" t="s">
        <v>1064</v>
      </c>
      <c r="B4167" t="s">
        <v>31</v>
      </c>
      <c r="C4167" t="s">
        <v>24</v>
      </c>
      <c r="D4167" t="s">
        <v>9</v>
      </c>
      <c r="E4167" s="68">
        <v>2305</v>
      </c>
      <c r="F4167" s="68">
        <v>2387</v>
      </c>
      <c r="G4167" s="68">
        <v>4692</v>
      </c>
    </row>
    <row r="4168" spans="1:7" x14ac:dyDescent="0.3">
      <c r="A4168" t="s">
        <v>1064</v>
      </c>
      <c r="B4168" t="s">
        <v>31</v>
      </c>
      <c r="C4168" t="s">
        <v>24</v>
      </c>
      <c r="D4168" t="s">
        <v>10</v>
      </c>
      <c r="E4168" s="68">
        <v>2140</v>
      </c>
      <c r="F4168" s="68">
        <v>2121</v>
      </c>
      <c r="G4168" s="68">
        <v>4261</v>
      </c>
    </row>
    <row r="4169" spans="1:7" x14ac:dyDescent="0.3">
      <c r="A4169" t="s">
        <v>1064</v>
      </c>
      <c r="B4169" t="s">
        <v>31</v>
      </c>
      <c r="C4169" t="s">
        <v>24</v>
      </c>
      <c r="D4169" t="s">
        <v>11</v>
      </c>
      <c r="E4169" s="68">
        <v>1746</v>
      </c>
      <c r="F4169" s="68">
        <v>1438</v>
      </c>
      <c r="G4169" s="68">
        <v>3184</v>
      </c>
    </row>
    <row r="4170" spans="1:7" x14ac:dyDescent="0.3">
      <c r="A4170" t="s">
        <v>1064</v>
      </c>
      <c r="B4170" t="s">
        <v>31</v>
      </c>
      <c r="C4170" t="s">
        <v>24</v>
      </c>
      <c r="D4170" t="s">
        <v>12</v>
      </c>
      <c r="E4170" s="68">
        <v>2003</v>
      </c>
      <c r="F4170" s="68">
        <v>1735</v>
      </c>
      <c r="G4170" s="68">
        <v>3738</v>
      </c>
    </row>
    <row r="4171" spans="1:7" x14ac:dyDescent="0.3">
      <c r="A4171" t="s">
        <v>1064</v>
      </c>
      <c r="B4171" t="s">
        <v>31</v>
      </c>
      <c r="C4171" t="s">
        <v>24</v>
      </c>
      <c r="D4171" t="s">
        <v>13</v>
      </c>
      <c r="E4171" s="68">
        <v>1979</v>
      </c>
      <c r="F4171" s="68">
        <v>1648</v>
      </c>
      <c r="G4171" s="68">
        <v>3627</v>
      </c>
    </row>
    <row r="4172" spans="1:7" x14ac:dyDescent="0.3">
      <c r="A4172" t="s">
        <v>1064</v>
      </c>
      <c r="B4172" t="s">
        <v>31</v>
      </c>
      <c r="C4172" t="s">
        <v>24</v>
      </c>
      <c r="D4172" t="s">
        <v>14</v>
      </c>
      <c r="E4172" s="68">
        <v>1695</v>
      </c>
      <c r="F4172" s="68">
        <v>1322</v>
      </c>
      <c r="G4172" s="68">
        <v>3017</v>
      </c>
    </row>
    <row r="4173" spans="1:7" x14ac:dyDescent="0.3">
      <c r="A4173" t="s">
        <v>1064</v>
      </c>
      <c r="B4173" t="s">
        <v>31</v>
      </c>
      <c r="C4173" t="s">
        <v>24</v>
      </c>
      <c r="D4173" t="s">
        <v>15</v>
      </c>
      <c r="E4173" s="68">
        <v>1804</v>
      </c>
      <c r="F4173" s="68">
        <v>1467</v>
      </c>
      <c r="G4173" s="68">
        <v>3271</v>
      </c>
    </row>
    <row r="4174" spans="1:7" x14ac:dyDescent="0.3">
      <c r="A4174" t="s">
        <v>1064</v>
      </c>
      <c r="B4174" t="s">
        <v>31</v>
      </c>
      <c r="C4174" t="s">
        <v>24</v>
      </c>
      <c r="D4174" t="s">
        <v>16</v>
      </c>
      <c r="E4174" s="68">
        <v>1728</v>
      </c>
      <c r="F4174" s="68">
        <v>1452</v>
      </c>
      <c r="G4174" s="68">
        <v>3180</v>
      </c>
    </row>
    <row r="4175" spans="1:7" x14ac:dyDescent="0.3">
      <c r="A4175" t="s">
        <v>1064</v>
      </c>
      <c r="B4175" t="s">
        <v>31</v>
      </c>
      <c r="C4175" t="s">
        <v>24</v>
      </c>
      <c r="D4175" t="s">
        <v>17</v>
      </c>
      <c r="E4175" s="68">
        <v>1581</v>
      </c>
      <c r="F4175" s="68">
        <v>1336</v>
      </c>
      <c r="G4175" s="68">
        <v>2917</v>
      </c>
    </row>
    <row r="4176" spans="1:7" x14ac:dyDescent="0.3">
      <c r="A4176" t="s">
        <v>1064</v>
      </c>
      <c r="B4176" t="s">
        <v>31</v>
      </c>
      <c r="C4176" t="s">
        <v>24</v>
      </c>
      <c r="D4176" t="s">
        <v>18</v>
      </c>
      <c r="E4176" s="68">
        <v>1697</v>
      </c>
      <c r="F4176" s="68">
        <v>1528</v>
      </c>
      <c r="G4176" s="68">
        <v>3225</v>
      </c>
    </row>
    <row r="4177" spans="1:7" x14ac:dyDescent="0.3">
      <c r="A4177" t="s">
        <v>1064</v>
      </c>
      <c r="B4177" t="s">
        <v>31</v>
      </c>
      <c r="C4177" t="s">
        <v>24</v>
      </c>
      <c r="D4177" t="s">
        <v>19</v>
      </c>
      <c r="E4177" s="68">
        <v>1840</v>
      </c>
      <c r="F4177" s="68">
        <v>1720</v>
      </c>
      <c r="G4177" s="68">
        <v>3560</v>
      </c>
    </row>
    <row r="4178" spans="1:7" x14ac:dyDescent="0.3">
      <c r="A4178" t="s">
        <v>1064</v>
      </c>
      <c r="B4178" t="s">
        <v>31</v>
      </c>
      <c r="C4178" t="s">
        <v>24</v>
      </c>
      <c r="D4178" t="s">
        <v>20</v>
      </c>
      <c r="E4178" s="68">
        <v>1407</v>
      </c>
      <c r="F4178" s="68">
        <v>1366</v>
      </c>
      <c r="G4178" s="68">
        <v>2773</v>
      </c>
    </row>
    <row r="4179" spans="1:7" x14ac:dyDescent="0.3">
      <c r="A4179" t="s">
        <v>1064</v>
      </c>
      <c r="B4179" t="s">
        <v>31</v>
      </c>
      <c r="C4179" t="s">
        <v>24</v>
      </c>
      <c r="D4179" t="s">
        <v>21</v>
      </c>
      <c r="E4179" s="68">
        <v>1075</v>
      </c>
      <c r="F4179" s="68">
        <v>997</v>
      </c>
      <c r="G4179" s="68">
        <v>2072</v>
      </c>
    </row>
    <row r="4180" spans="1:7" x14ac:dyDescent="0.3">
      <c r="A4180" t="s">
        <v>1064</v>
      </c>
      <c r="B4180" t="s">
        <v>31</v>
      </c>
      <c r="C4180" t="s">
        <v>24</v>
      </c>
      <c r="D4180" t="s">
        <v>22</v>
      </c>
      <c r="E4180" s="68">
        <v>774</v>
      </c>
      <c r="F4180" s="68">
        <v>592</v>
      </c>
      <c r="G4180" s="68">
        <v>1366</v>
      </c>
    </row>
    <row r="4181" spans="1:7" x14ac:dyDescent="0.3">
      <c r="A4181" t="s">
        <v>1064</v>
      </c>
      <c r="B4181" t="s">
        <v>31</v>
      </c>
      <c r="C4181" t="s">
        <v>24</v>
      </c>
      <c r="D4181" t="s">
        <v>23</v>
      </c>
      <c r="E4181" s="68">
        <v>1063</v>
      </c>
      <c r="F4181" s="68">
        <v>676</v>
      </c>
      <c r="G4181" s="68">
        <v>1739</v>
      </c>
    </row>
    <row r="4182" spans="1:7" x14ac:dyDescent="0.3">
      <c r="A4182" t="s">
        <v>1064</v>
      </c>
      <c r="B4182" t="s">
        <v>537</v>
      </c>
      <c r="C4182" t="s">
        <v>24</v>
      </c>
      <c r="D4182" t="s">
        <v>10</v>
      </c>
      <c r="E4182" s="68"/>
      <c r="F4182" s="68">
        <v>1</v>
      </c>
      <c r="G4182" s="68">
        <v>1</v>
      </c>
    </row>
    <row r="4183" spans="1:7" x14ac:dyDescent="0.3">
      <c r="A4183" t="s">
        <v>1064</v>
      </c>
      <c r="B4183" t="s">
        <v>537</v>
      </c>
      <c r="C4183" t="s">
        <v>24</v>
      </c>
      <c r="D4183" t="s">
        <v>11</v>
      </c>
      <c r="E4183" s="68">
        <v>1</v>
      </c>
      <c r="F4183" s="68"/>
      <c r="G4183" s="68">
        <v>1</v>
      </c>
    </row>
    <row r="4184" spans="1:7" x14ac:dyDescent="0.3">
      <c r="A4184" t="s">
        <v>1064</v>
      </c>
      <c r="B4184" t="s">
        <v>32</v>
      </c>
      <c r="C4184" t="s">
        <v>6</v>
      </c>
      <c r="D4184" t="s">
        <v>9</v>
      </c>
      <c r="E4184" s="68">
        <v>1</v>
      </c>
      <c r="F4184" s="68">
        <v>1</v>
      </c>
      <c r="G4184" s="68">
        <v>2</v>
      </c>
    </row>
    <row r="4185" spans="1:7" x14ac:dyDescent="0.3">
      <c r="A4185" t="s">
        <v>1064</v>
      </c>
      <c r="B4185" t="s">
        <v>32</v>
      </c>
      <c r="C4185" t="s">
        <v>6</v>
      </c>
      <c r="D4185" t="s">
        <v>10</v>
      </c>
      <c r="E4185" s="68">
        <v>2</v>
      </c>
      <c r="F4185" s="68">
        <v>12</v>
      </c>
      <c r="G4185" s="68">
        <v>14</v>
      </c>
    </row>
    <row r="4186" spans="1:7" x14ac:dyDescent="0.3">
      <c r="A4186" t="s">
        <v>1064</v>
      </c>
      <c r="B4186" t="s">
        <v>32</v>
      </c>
      <c r="C4186" t="s">
        <v>6</v>
      </c>
      <c r="D4186" t="s">
        <v>11</v>
      </c>
      <c r="E4186" s="68">
        <v>7</v>
      </c>
      <c r="F4186" s="68">
        <v>10</v>
      </c>
      <c r="G4186" s="68">
        <v>17</v>
      </c>
    </row>
    <row r="4187" spans="1:7" x14ac:dyDescent="0.3">
      <c r="A4187" t="s">
        <v>1064</v>
      </c>
      <c r="B4187" t="s">
        <v>32</v>
      </c>
      <c r="C4187" t="s">
        <v>6</v>
      </c>
      <c r="D4187" t="s">
        <v>12</v>
      </c>
      <c r="E4187" s="68">
        <v>10</v>
      </c>
      <c r="F4187" s="68">
        <v>11</v>
      </c>
      <c r="G4187" s="68">
        <v>21</v>
      </c>
    </row>
    <row r="4188" spans="1:7" x14ac:dyDescent="0.3">
      <c r="A4188" t="s">
        <v>1064</v>
      </c>
      <c r="B4188" t="s">
        <v>32</v>
      </c>
      <c r="C4188" t="s">
        <v>6</v>
      </c>
      <c r="D4188" t="s">
        <v>13</v>
      </c>
      <c r="E4188" s="68">
        <v>5</v>
      </c>
      <c r="F4188" s="68">
        <v>4</v>
      </c>
      <c r="G4188" s="68">
        <v>9</v>
      </c>
    </row>
    <row r="4189" spans="1:7" x14ac:dyDescent="0.3">
      <c r="A4189" t="s">
        <v>1064</v>
      </c>
      <c r="B4189" t="s">
        <v>32</v>
      </c>
      <c r="C4189" t="s">
        <v>6</v>
      </c>
      <c r="D4189" t="s">
        <v>14</v>
      </c>
      <c r="E4189" s="68">
        <v>1</v>
      </c>
      <c r="F4189" s="68">
        <v>2</v>
      </c>
      <c r="G4189" s="68">
        <v>3</v>
      </c>
    </row>
    <row r="4190" spans="1:7" x14ac:dyDescent="0.3">
      <c r="A4190" t="s">
        <v>1064</v>
      </c>
      <c r="B4190" t="s">
        <v>32</v>
      </c>
      <c r="C4190" t="s">
        <v>6</v>
      </c>
      <c r="D4190" t="s">
        <v>15</v>
      </c>
      <c r="E4190" s="68"/>
      <c r="F4190" s="68">
        <v>2</v>
      </c>
      <c r="G4190" s="68">
        <v>2</v>
      </c>
    </row>
    <row r="4191" spans="1:7" x14ac:dyDescent="0.3">
      <c r="A4191" t="s">
        <v>1064</v>
      </c>
      <c r="B4191" t="s">
        <v>32</v>
      </c>
      <c r="C4191" t="s">
        <v>6</v>
      </c>
      <c r="D4191" t="s">
        <v>16</v>
      </c>
      <c r="E4191" s="68">
        <v>1</v>
      </c>
      <c r="F4191" s="68">
        <v>3</v>
      </c>
      <c r="G4191" s="68">
        <v>4</v>
      </c>
    </row>
    <row r="4192" spans="1:7" x14ac:dyDescent="0.3">
      <c r="A4192" t="s">
        <v>1064</v>
      </c>
      <c r="B4192" t="s">
        <v>32</v>
      </c>
      <c r="C4192" t="s">
        <v>6</v>
      </c>
      <c r="D4192" t="s">
        <v>17</v>
      </c>
      <c r="E4192" s="68">
        <v>1</v>
      </c>
      <c r="F4192" s="68">
        <v>2</v>
      </c>
      <c r="G4192" s="68">
        <v>3</v>
      </c>
    </row>
    <row r="4193" spans="1:7" x14ac:dyDescent="0.3">
      <c r="A4193" t="s">
        <v>1064</v>
      </c>
      <c r="B4193" t="s">
        <v>32</v>
      </c>
      <c r="C4193" t="s">
        <v>6</v>
      </c>
      <c r="D4193" t="s">
        <v>18</v>
      </c>
      <c r="E4193" s="68"/>
      <c r="F4193" s="68">
        <v>1</v>
      </c>
      <c r="G4193" s="68">
        <v>1</v>
      </c>
    </row>
    <row r="4194" spans="1:7" x14ac:dyDescent="0.3">
      <c r="A4194" t="s">
        <v>1064</v>
      </c>
      <c r="B4194" t="s">
        <v>32</v>
      </c>
      <c r="C4194" t="s">
        <v>6</v>
      </c>
      <c r="D4194" t="s">
        <v>19</v>
      </c>
      <c r="E4194" s="68"/>
      <c r="F4194" s="68">
        <v>1</v>
      </c>
      <c r="G4194" s="68">
        <v>1</v>
      </c>
    </row>
    <row r="4195" spans="1:7" x14ac:dyDescent="0.3">
      <c r="A4195" t="s">
        <v>1064</v>
      </c>
      <c r="B4195" t="s">
        <v>32</v>
      </c>
      <c r="C4195" t="s">
        <v>6</v>
      </c>
      <c r="D4195" t="s">
        <v>20</v>
      </c>
      <c r="E4195" s="68"/>
      <c r="F4195" s="68">
        <v>4</v>
      </c>
      <c r="G4195" s="68">
        <v>4</v>
      </c>
    </row>
    <row r="4196" spans="1:7" x14ac:dyDescent="0.3">
      <c r="A4196" t="s">
        <v>1064</v>
      </c>
      <c r="B4196" t="s">
        <v>32</v>
      </c>
      <c r="C4196" t="s">
        <v>6</v>
      </c>
      <c r="D4196" t="s">
        <v>23</v>
      </c>
      <c r="E4196" s="68">
        <v>1</v>
      </c>
      <c r="F4196" s="68"/>
      <c r="G4196" s="68">
        <v>1</v>
      </c>
    </row>
    <row r="4197" spans="1:7" x14ac:dyDescent="0.3">
      <c r="A4197" t="s">
        <v>1064</v>
      </c>
      <c r="B4197" t="s">
        <v>32</v>
      </c>
      <c r="C4197" t="s">
        <v>24</v>
      </c>
      <c r="D4197" t="s">
        <v>7</v>
      </c>
      <c r="E4197" s="68">
        <v>42</v>
      </c>
      <c r="F4197" s="68">
        <v>37</v>
      </c>
      <c r="G4197" s="68">
        <v>79</v>
      </c>
    </row>
    <row r="4198" spans="1:7" x14ac:dyDescent="0.3">
      <c r="A4198" t="s">
        <v>1064</v>
      </c>
      <c r="B4198" t="s">
        <v>32</v>
      </c>
      <c r="C4198" t="s">
        <v>24</v>
      </c>
      <c r="D4198" t="s">
        <v>8</v>
      </c>
      <c r="E4198" s="68">
        <v>84</v>
      </c>
      <c r="F4198" s="68">
        <v>105</v>
      </c>
      <c r="G4198" s="68">
        <v>189</v>
      </c>
    </row>
    <row r="4199" spans="1:7" x14ac:dyDescent="0.3">
      <c r="A4199" t="s">
        <v>1064</v>
      </c>
      <c r="B4199" t="s">
        <v>32</v>
      </c>
      <c r="C4199" t="s">
        <v>24</v>
      </c>
      <c r="D4199" t="s">
        <v>9</v>
      </c>
      <c r="E4199" s="68">
        <v>91</v>
      </c>
      <c r="F4199" s="68">
        <v>77</v>
      </c>
      <c r="G4199" s="68">
        <v>168</v>
      </c>
    </row>
    <row r="4200" spans="1:7" x14ac:dyDescent="0.3">
      <c r="A4200" t="s">
        <v>1064</v>
      </c>
      <c r="B4200" t="s">
        <v>32</v>
      </c>
      <c r="C4200" t="s">
        <v>24</v>
      </c>
      <c r="D4200" t="s">
        <v>10</v>
      </c>
      <c r="E4200" s="68">
        <v>68</v>
      </c>
      <c r="F4200" s="68">
        <v>79</v>
      </c>
      <c r="G4200" s="68">
        <v>147</v>
      </c>
    </row>
    <row r="4201" spans="1:7" x14ac:dyDescent="0.3">
      <c r="A4201" t="s">
        <v>1064</v>
      </c>
      <c r="B4201" t="s">
        <v>32</v>
      </c>
      <c r="C4201" t="s">
        <v>24</v>
      </c>
      <c r="D4201" t="s">
        <v>11</v>
      </c>
      <c r="E4201" s="68">
        <v>50</v>
      </c>
      <c r="F4201" s="68">
        <v>55</v>
      </c>
      <c r="G4201" s="68">
        <v>105</v>
      </c>
    </row>
    <row r="4202" spans="1:7" x14ac:dyDescent="0.3">
      <c r="A4202" t="s">
        <v>1064</v>
      </c>
      <c r="B4202" t="s">
        <v>32</v>
      </c>
      <c r="C4202" t="s">
        <v>24</v>
      </c>
      <c r="D4202" t="s">
        <v>12</v>
      </c>
      <c r="E4202" s="68">
        <v>61</v>
      </c>
      <c r="F4202" s="68">
        <v>39</v>
      </c>
      <c r="G4202" s="68">
        <v>100</v>
      </c>
    </row>
    <row r="4203" spans="1:7" x14ac:dyDescent="0.3">
      <c r="A4203" t="s">
        <v>1064</v>
      </c>
      <c r="B4203" t="s">
        <v>32</v>
      </c>
      <c r="C4203" t="s">
        <v>24</v>
      </c>
      <c r="D4203" t="s">
        <v>13</v>
      </c>
      <c r="E4203" s="68">
        <v>62</v>
      </c>
      <c r="F4203" s="68">
        <v>36</v>
      </c>
      <c r="G4203" s="68">
        <v>98</v>
      </c>
    </row>
    <row r="4204" spans="1:7" x14ac:dyDescent="0.3">
      <c r="A4204" t="s">
        <v>1064</v>
      </c>
      <c r="B4204" t="s">
        <v>32</v>
      </c>
      <c r="C4204" t="s">
        <v>24</v>
      </c>
      <c r="D4204" t="s">
        <v>14</v>
      </c>
      <c r="E4204" s="68">
        <v>65</v>
      </c>
      <c r="F4204" s="68">
        <v>36</v>
      </c>
      <c r="G4204" s="68">
        <v>101</v>
      </c>
    </row>
    <row r="4205" spans="1:7" x14ac:dyDescent="0.3">
      <c r="A4205" t="s">
        <v>1064</v>
      </c>
      <c r="B4205" t="s">
        <v>32</v>
      </c>
      <c r="C4205" t="s">
        <v>24</v>
      </c>
      <c r="D4205" t="s">
        <v>15</v>
      </c>
      <c r="E4205" s="68">
        <v>41</v>
      </c>
      <c r="F4205" s="68">
        <v>34</v>
      </c>
      <c r="G4205" s="68">
        <v>75</v>
      </c>
    </row>
    <row r="4206" spans="1:7" x14ac:dyDescent="0.3">
      <c r="A4206" t="s">
        <v>1064</v>
      </c>
      <c r="B4206" t="s">
        <v>32</v>
      </c>
      <c r="C4206" t="s">
        <v>24</v>
      </c>
      <c r="D4206" t="s">
        <v>16</v>
      </c>
      <c r="E4206" s="68">
        <v>56</v>
      </c>
      <c r="F4206" s="68">
        <v>35</v>
      </c>
      <c r="G4206" s="68">
        <v>91</v>
      </c>
    </row>
    <row r="4207" spans="1:7" x14ac:dyDescent="0.3">
      <c r="A4207" t="s">
        <v>1064</v>
      </c>
      <c r="B4207" t="s">
        <v>32</v>
      </c>
      <c r="C4207" t="s">
        <v>24</v>
      </c>
      <c r="D4207" t="s">
        <v>17</v>
      </c>
      <c r="E4207" s="68">
        <v>55</v>
      </c>
      <c r="F4207" s="68">
        <v>31</v>
      </c>
      <c r="G4207" s="68">
        <v>86</v>
      </c>
    </row>
    <row r="4208" spans="1:7" x14ac:dyDescent="0.3">
      <c r="A4208" t="s">
        <v>1064</v>
      </c>
      <c r="B4208" t="s">
        <v>32</v>
      </c>
      <c r="C4208" t="s">
        <v>24</v>
      </c>
      <c r="D4208" t="s">
        <v>18</v>
      </c>
      <c r="E4208" s="68">
        <v>45</v>
      </c>
      <c r="F4208" s="68">
        <v>32</v>
      </c>
      <c r="G4208" s="68">
        <v>77</v>
      </c>
    </row>
    <row r="4209" spans="1:7" x14ac:dyDescent="0.3">
      <c r="A4209" t="s">
        <v>1064</v>
      </c>
      <c r="B4209" t="s">
        <v>32</v>
      </c>
      <c r="C4209" t="s">
        <v>24</v>
      </c>
      <c r="D4209" t="s">
        <v>19</v>
      </c>
      <c r="E4209" s="68">
        <v>39</v>
      </c>
      <c r="F4209" s="68">
        <v>36</v>
      </c>
      <c r="G4209" s="68">
        <v>75</v>
      </c>
    </row>
    <row r="4210" spans="1:7" x14ac:dyDescent="0.3">
      <c r="A4210" t="s">
        <v>1064</v>
      </c>
      <c r="B4210" t="s">
        <v>32</v>
      </c>
      <c r="C4210" t="s">
        <v>24</v>
      </c>
      <c r="D4210" t="s">
        <v>20</v>
      </c>
      <c r="E4210" s="68">
        <v>20</v>
      </c>
      <c r="F4210" s="68">
        <v>27</v>
      </c>
      <c r="G4210" s="68">
        <v>47</v>
      </c>
    </row>
    <row r="4211" spans="1:7" x14ac:dyDescent="0.3">
      <c r="A4211" t="s">
        <v>1064</v>
      </c>
      <c r="B4211" t="s">
        <v>32</v>
      </c>
      <c r="C4211" t="s">
        <v>24</v>
      </c>
      <c r="D4211" t="s">
        <v>21</v>
      </c>
      <c r="E4211" s="68">
        <v>17</v>
      </c>
      <c r="F4211" s="68">
        <v>17</v>
      </c>
      <c r="G4211" s="68">
        <v>34</v>
      </c>
    </row>
    <row r="4212" spans="1:7" x14ac:dyDescent="0.3">
      <c r="A4212" t="s">
        <v>1064</v>
      </c>
      <c r="B4212" t="s">
        <v>32</v>
      </c>
      <c r="C4212" t="s">
        <v>24</v>
      </c>
      <c r="D4212" t="s">
        <v>22</v>
      </c>
      <c r="E4212" s="68">
        <v>5</v>
      </c>
      <c r="F4212" s="68">
        <v>4</v>
      </c>
      <c r="G4212" s="68">
        <v>9</v>
      </c>
    </row>
    <row r="4213" spans="1:7" x14ac:dyDescent="0.3">
      <c r="A4213" t="s">
        <v>1064</v>
      </c>
      <c r="B4213" t="s">
        <v>32</v>
      </c>
      <c r="C4213" t="s">
        <v>24</v>
      </c>
      <c r="D4213" t="s">
        <v>23</v>
      </c>
      <c r="E4213" s="68">
        <v>6</v>
      </c>
      <c r="F4213" s="68">
        <v>6</v>
      </c>
      <c r="G4213" s="68">
        <v>12</v>
      </c>
    </row>
    <row r="4214" spans="1:7" x14ac:dyDescent="0.3">
      <c r="A4214" t="s">
        <v>1064</v>
      </c>
      <c r="B4214" t="s">
        <v>5</v>
      </c>
      <c r="C4214" t="s">
        <v>6</v>
      </c>
      <c r="D4214" t="s">
        <v>7</v>
      </c>
      <c r="E4214" s="68">
        <v>6463</v>
      </c>
      <c r="F4214" s="68">
        <v>6845</v>
      </c>
      <c r="G4214" s="68">
        <v>13308</v>
      </c>
    </row>
    <row r="4215" spans="1:7" x14ac:dyDescent="0.3">
      <c r="A4215" t="s">
        <v>1064</v>
      </c>
      <c r="B4215" t="s">
        <v>5</v>
      </c>
      <c r="C4215" t="s">
        <v>6</v>
      </c>
      <c r="D4215" t="s">
        <v>8</v>
      </c>
      <c r="E4215" s="68">
        <v>9370</v>
      </c>
      <c r="F4215" s="68">
        <v>9765</v>
      </c>
      <c r="G4215" s="68">
        <v>19135</v>
      </c>
    </row>
    <row r="4216" spans="1:7" x14ac:dyDescent="0.3">
      <c r="A4216" t="s">
        <v>1064</v>
      </c>
      <c r="B4216" t="s">
        <v>5</v>
      </c>
      <c r="C4216" t="s">
        <v>6</v>
      </c>
      <c r="D4216" t="s">
        <v>9</v>
      </c>
      <c r="E4216" s="68">
        <v>11073</v>
      </c>
      <c r="F4216" s="68">
        <v>11671</v>
      </c>
      <c r="G4216" s="68">
        <v>22744</v>
      </c>
    </row>
    <row r="4217" spans="1:7" x14ac:dyDescent="0.3">
      <c r="A4217" t="s">
        <v>1064</v>
      </c>
      <c r="B4217" t="s">
        <v>5</v>
      </c>
      <c r="C4217" t="s">
        <v>6</v>
      </c>
      <c r="D4217" t="s">
        <v>10</v>
      </c>
      <c r="E4217" s="68">
        <v>11688</v>
      </c>
      <c r="F4217" s="68">
        <v>11896</v>
      </c>
      <c r="G4217" s="68">
        <v>23584</v>
      </c>
    </row>
    <row r="4218" spans="1:7" x14ac:dyDescent="0.3">
      <c r="A4218" t="s">
        <v>1064</v>
      </c>
      <c r="B4218" t="s">
        <v>5</v>
      </c>
      <c r="C4218" t="s">
        <v>6</v>
      </c>
      <c r="D4218" t="s">
        <v>11</v>
      </c>
      <c r="E4218" s="68">
        <v>11334</v>
      </c>
      <c r="F4218" s="68">
        <v>10912</v>
      </c>
      <c r="G4218" s="68">
        <v>22246</v>
      </c>
    </row>
    <row r="4219" spans="1:7" x14ac:dyDescent="0.3">
      <c r="A4219" t="s">
        <v>1064</v>
      </c>
      <c r="B4219" t="s">
        <v>5</v>
      </c>
      <c r="C4219" t="s">
        <v>6</v>
      </c>
      <c r="D4219" t="s">
        <v>12</v>
      </c>
      <c r="E4219" s="68">
        <v>13879</v>
      </c>
      <c r="F4219" s="68">
        <v>12013</v>
      </c>
      <c r="G4219" s="68">
        <v>25892</v>
      </c>
    </row>
    <row r="4220" spans="1:7" x14ac:dyDescent="0.3">
      <c r="A4220" t="s">
        <v>1064</v>
      </c>
      <c r="B4220" t="s">
        <v>5</v>
      </c>
      <c r="C4220" t="s">
        <v>6</v>
      </c>
      <c r="D4220" t="s">
        <v>13</v>
      </c>
      <c r="E4220" s="68">
        <v>16044</v>
      </c>
      <c r="F4220" s="68">
        <v>13585</v>
      </c>
      <c r="G4220" s="68">
        <v>29629</v>
      </c>
    </row>
    <row r="4221" spans="1:7" x14ac:dyDescent="0.3">
      <c r="A4221" t="s">
        <v>1064</v>
      </c>
      <c r="B4221" t="s">
        <v>5</v>
      </c>
      <c r="C4221" t="s">
        <v>6</v>
      </c>
      <c r="D4221" t="s">
        <v>14</v>
      </c>
      <c r="E4221" s="68">
        <v>15941</v>
      </c>
      <c r="F4221" s="68">
        <v>13311</v>
      </c>
      <c r="G4221" s="68">
        <v>29252</v>
      </c>
    </row>
    <row r="4222" spans="1:7" x14ac:dyDescent="0.3">
      <c r="A4222" t="s">
        <v>1064</v>
      </c>
      <c r="B4222" t="s">
        <v>5</v>
      </c>
      <c r="C4222" t="s">
        <v>6</v>
      </c>
      <c r="D4222" t="s">
        <v>15</v>
      </c>
      <c r="E4222" s="68">
        <v>15381</v>
      </c>
      <c r="F4222" s="68">
        <v>13205</v>
      </c>
      <c r="G4222" s="68">
        <v>28586</v>
      </c>
    </row>
    <row r="4223" spans="1:7" x14ac:dyDescent="0.3">
      <c r="A4223" t="s">
        <v>1064</v>
      </c>
      <c r="B4223" t="s">
        <v>5</v>
      </c>
      <c r="C4223" t="s">
        <v>6</v>
      </c>
      <c r="D4223" t="s">
        <v>16</v>
      </c>
      <c r="E4223" s="68">
        <v>12916</v>
      </c>
      <c r="F4223" s="68">
        <v>11224</v>
      </c>
      <c r="G4223" s="68">
        <v>24140</v>
      </c>
    </row>
    <row r="4224" spans="1:7" x14ac:dyDescent="0.3">
      <c r="A4224" t="s">
        <v>1064</v>
      </c>
      <c r="B4224" t="s">
        <v>5</v>
      </c>
      <c r="C4224" t="s">
        <v>6</v>
      </c>
      <c r="D4224" t="s">
        <v>17</v>
      </c>
      <c r="E4224" s="68">
        <v>10267</v>
      </c>
      <c r="F4224" s="68">
        <v>8874</v>
      </c>
      <c r="G4224" s="68">
        <v>19141</v>
      </c>
    </row>
    <row r="4225" spans="1:7" x14ac:dyDescent="0.3">
      <c r="A4225" t="s">
        <v>1064</v>
      </c>
      <c r="B4225" t="s">
        <v>5</v>
      </c>
      <c r="C4225" t="s">
        <v>6</v>
      </c>
      <c r="D4225" t="s">
        <v>18</v>
      </c>
      <c r="E4225" s="68">
        <v>9388</v>
      </c>
      <c r="F4225" s="68">
        <v>7808</v>
      </c>
      <c r="G4225" s="68">
        <v>17196</v>
      </c>
    </row>
    <row r="4226" spans="1:7" x14ac:dyDescent="0.3">
      <c r="A4226" t="s">
        <v>1064</v>
      </c>
      <c r="B4226" t="s">
        <v>5</v>
      </c>
      <c r="C4226" t="s">
        <v>6</v>
      </c>
      <c r="D4226" t="s">
        <v>19</v>
      </c>
      <c r="E4226" s="68">
        <v>8667</v>
      </c>
      <c r="F4226" s="68">
        <v>7102</v>
      </c>
      <c r="G4226" s="68">
        <v>15769</v>
      </c>
    </row>
    <row r="4227" spans="1:7" x14ac:dyDescent="0.3">
      <c r="A4227" t="s">
        <v>1064</v>
      </c>
      <c r="B4227" t="s">
        <v>5</v>
      </c>
      <c r="C4227" t="s">
        <v>6</v>
      </c>
      <c r="D4227" t="s">
        <v>20</v>
      </c>
      <c r="E4227" s="68">
        <v>6870</v>
      </c>
      <c r="F4227" s="68">
        <v>5603</v>
      </c>
      <c r="G4227" s="68">
        <v>12473</v>
      </c>
    </row>
    <row r="4228" spans="1:7" x14ac:dyDescent="0.3">
      <c r="A4228" t="s">
        <v>1064</v>
      </c>
      <c r="B4228" t="s">
        <v>5</v>
      </c>
      <c r="C4228" t="s">
        <v>6</v>
      </c>
      <c r="D4228" t="s">
        <v>21</v>
      </c>
      <c r="E4228" s="68">
        <v>4915</v>
      </c>
      <c r="F4228" s="68">
        <v>3894</v>
      </c>
      <c r="G4228" s="68">
        <v>8809</v>
      </c>
    </row>
    <row r="4229" spans="1:7" x14ac:dyDescent="0.3">
      <c r="A4229" t="s">
        <v>1064</v>
      </c>
      <c r="B4229" t="s">
        <v>5</v>
      </c>
      <c r="C4229" t="s">
        <v>6</v>
      </c>
      <c r="D4229" t="s">
        <v>22</v>
      </c>
      <c r="E4229" s="68">
        <v>3231</v>
      </c>
      <c r="F4229" s="68">
        <v>2622</v>
      </c>
      <c r="G4229" s="68">
        <v>5853</v>
      </c>
    </row>
    <row r="4230" spans="1:7" x14ac:dyDescent="0.3">
      <c r="A4230" t="s">
        <v>1064</v>
      </c>
      <c r="B4230" t="s">
        <v>5</v>
      </c>
      <c r="C4230" t="s">
        <v>6</v>
      </c>
      <c r="D4230" t="s">
        <v>23</v>
      </c>
      <c r="E4230" s="68">
        <v>4061</v>
      </c>
      <c r="F4230" s="68">
        <v>2581</v>
      </c>
      <c r="G4230" s="68">
        <v>6642</v>
      </c>
    </row>
    <row r="4231" spans="1:7" x14ac:dyDescent="0.3">
      <c r="A4231" t="s">
        <v>1064</v>
      </c>
      <c r="B4231" t="s">
        <v>5</v>
      </c>
      <c r="C4231" t="s">
        <v>24</v>
      </c>
      <c r="D4231" t="s">
        <v>7</v>
      </c>
      <c r="E4231" s="68">
        <v>1879</v>
      </c>
      <c r="F4231" s="68">
        <v>2055</v>
      </c>
      <c r="G4231" s="68">
        <v>3934</v>
      </c>
    </row>
    <row r="4232" spans="1:7" x14ac:dyDescent="0.3">
      <c r="A4232" t="s">
        <v>1064</v>
      </c>
      <c r="B4232" t="s">
        <v>5</v>
      </c>
      <c r="C4232" t="s">
        <v>24</v>
      </c>
      <c r="D4232" t="s">
        <v>8</v>
      </c>
      <c r="E4232" s="68">
        <v>3024</v>
      </c>
      <c r="F4232" s="68">
        <v>3244</v>
      </c>
      <c r="G4232" s="68">
        <v>6268</v>
      </c>
    </row>
    <row r="4233" spans="1:7" x14ac:dyDescent="0.3">
      <c r="A4233" t="s">
        <v>1064</v>
      </c>
      <c r="B4233" t="s">
        <v>5</v>
      </c>
      <c r="C4233" t="s">
        <v>24</v>
      </c>
      <c r="D4233" t="s">
        <v>9</v>
      </c>
      <c r="E4233" s="68">
        <v>3237</v>
      </c>
      <c r="F4233" s="68">
        <v>3491</v>
      </c>
      <c r="G4233" s="68">
        <v>6728</v>
      </c>
    </row>
    <row r="4234" spans="1:7" x14ac:dyDescent="0.3">
      <c r="A4234" t="s">
        <v>1064</v>
      </c>
      <c r="B4234" t="s">
        <v>5</v>
      </c>
      <c r="C4234" t="s">
        <v>24</v>
      </c>
      <c r="D4234" t="s">
        <v>10</v>
      </c>
      <c r="E4234" s="68">
        <v>3502</v>
      </c>
      <c r="F4234" s="68">
        <v>3683</v>
      </c>
      <c r="G4234" s="68">
        <v>7185</v>
      </c>
    </row>
    <row r="4235" spans="1:7" x14ac:dyDescent="0.3">
      <c r="A4235" t="s">
        <v>1064</v>
      </c>
      <c r="B4235" t="s">
        <v>5</v>
      </c>
      <c r="C4235" t="s">
        <v>24</v>
      </c>
      <c r="D4235" t="s">
        <v>11</v>
      </c>
      <c r="E4235" s="68">
        <v>3404</v>
      </c>
      <c r="F4235" s="68">
        <v>3417</v>
      </c>
      <c r="G4235" s="68">
        <v>6821</v>
      </c>
    </row>
    <row r="4236" spans="1:7" x14ac:dyDescent="0.3">
      <c r="A4236" t="s">
        <v>1064</v>
      </c>
      <c r="B4236" t="s">
        <v>5</v>
      </c>
      <c r="C4236" t="s">
        <v>24</v>
      </c>
      <c r="D4236" t="s">
        <v>12</v>
      </c>
      <c r="E4236" s="68">
        <v>3707</v>
      </c>
      <c r="F4236" s="68">
        <v>3275</v>
      </c>
      <c r="G4236" s="68">
        <v>6982</v>
      </c>
    </row>
    <row r="4237" spans="1:7" x14ac:dyDescent="0.3">
      <c r="A4237" t="s">
        <v>1064</v>
      </c>
      <c r="B4237" t="s">
        <v>5</v>
      </c>
      <c r="C4237" t="s">
        <v>24</v>
      </c>
      <c r="D4237" t="s">
        <v>13</v>
      </c>
      <c r="E4237" s="68">
        <v>3333</v>
      </c>
      <c r="F4237" s="68">
        <v>2800</v>
      </c>
      <c r="G4237" s="68">
        <v>6133</v>
      </c>
    </row>
    <row r="4238" spans="1:7" x14ac:dyDescent="0.3">
      <c r="A4238" t="s">
        <v>1064</v>
      </c>
      <c r="B4238" t="s">
        <v>5</v>
      </c>
      <c r="C4238" t="s">
        <v>24</v>
      </c>
      <c r="D4238" t="s">
        <v>14</v>
      </c>
      <c r="E4238" s="68">
        <v>3066</v>
      </c>
      <c r="F4238" s="68">
        <v>2456</v>
      </c>
      <c r="G4238" s="68">
        <v>5522</v>
      </c>
    </row>
    <row r="4239" spans="1:7" x14ac:dyDescent="0.3">
      <c r="A4239" t="s">
        <v>1064</v>
      </c>
      <c r="B4239" t="s">
        <v>5</v>
      </c>
      <c r="C4239" t="s">
        <v>24</v>
      </c>
      <c r="D4239" t="s">
        <v>15</v>
      </c>
      <c r="E4239" s="68">
        <v>2985</v>
      </c>
      <c r="F4239" s="68">
        <v>2381</v>
      </c>
      <c r="G4239" s="68">
        <v>5366</v>
      </c>
    </row>
    <row r="4240" spans="1:7" x14ac:dyDescent="0.3">
      <c r="A4240" t="s">
        <v>1064</v>
      </c>
      <c r="B4240" t="s">
        <v>5</v>
      </c>
      <c r="C4240" t="s">
        <v>24</v>
      </c>
      <c r="D4240" t="s">
        <v>16</v>
      </c>
      <c r="E4240" s="68">
        <v>2915</v>
      </c>
      <c r="F4240" s="68">
        <v>2459</v>
      </c>
      <c r="G4240" s="68">
        <v>5374</v>
      </c>
    </row>
    <row r="4241" spans="1:7" x14ac:dyDescent="0.3">
      <c r="A4241" t="s">
        <v>1064</v>
      </c>
      <c r="B4241" t="s">
        <v>5</v>
      </c>
      <c r="C4241" t="s">
        <v>24</v>
      </c>
      <c r="D4241" t="s">
        <v>17</v>
      </c>
      <c r="E4241" s="68">
        <v>2865</v>
      </c>
      <c r="F4241" s="68">
        <v>2401</v>
      </c>
      <c r="G4241" s="68">
        <v>5266</v>
      </c>
    </row>
    <row r="4242" spans="1:7" x14ac:dyDescent="0.3">
      <c r="A4242" t="s">
        <v>1064</v>
      </c>
      <c r="B4242" t="s">
        <v>5</v>
      </c>
      <c r="C4242" t="s">
        <v>24</v>
      </c>
      <c r="D4242" t="s">
        <v>18</v>
      </c>
      <c r="E4242" s="68">
        <v>2845</v>
      </c>
      <c r="F4242" s="68">
        <v>2730</v>
      </c>
      <c r="G4242" s="68">
        <v>5575</v>
      </c>
    </row>
    <row r="4243" spans="1:7" x14ac:dyDescent="0.3">
      <c r="A4243" t="s">
        <v>1064</v>
      </c>
      <c r="B4243" t="s">
        <v>5</v>
      </c>
      <c r="C4243" t="s">
        <v>24</v>
      </c>
      <c r="D4243" t="s">
        <v>19</v>
      </c>
      <c r="E4243" s="68">
        <v>2613</v>
      </c>
      <c r="F4243" s="68">
        <v>2540</v>
      </c>
      <c r="G4243" s="68">
        <v>5153</v>
      </c>
    </row>
    <row r="4244" spans="1:7" x14ac:dyDescent="0.3">
      <c r="A4244" t="s">
        <v>1064</v>
      </c>
      <c r="B4244" t="s">
        <v>5</v>
      </c>
      <c r="C4244" t="s">
        <v>24</v>
      </c>
      <c r="D4244" t="s">
        <v>20</v>
      </c>
      <c r="E4244" s="68">
        <v>2223</v>
      </c>
      <c r="F4244" s="68">
        <v>2199</v>
      </c>
      <c r="G4244" s="68">
        <v>4422</v>
      </c>
    </row>
    <row r="4245" spans="1:7" x14ac:dyDescent="0.3">
      <c r="A4245" t="s">
        <v>1064</v>
      </c>
      <c r="B4245" t="s">
        <v>5</v>
      </c>
      <c r="C4245" t="s">
        <v>24</v>
      </c>
      <c r="D4245" t="s">
        <v>21</v>
      </c>
      <c r="E4245" s="68">
        <v>1801</v>
      </c>
      <c r="F4245" s="68">
        <v>1821</v>
      </c>
      <c r="G4245" s="68">
        <v>3622</v>
      </c>
    </row>
    <row r="4246" spans="1:7" x14ac:dyDescent="0.3">
      <c r="A4246" t="s">
        <v>1064</v>
      </c>
      <c r="B4246" t="s">
        <v>5</v>
      </c>
      <c r="C4246" t="s">
        <v>24</v>
      </c>
      <c r="D4246" t="s">
        <v>22</v>
      </c>
      <c r="E4246" s="68">
        <v>1374</v>
      </c>
      <c r="F4246" s="68">
        <v>1328</v>
      </c>
      <c r="G4246" s="68">
        <v>2702</v>
      </c>
    </row>
    <row r="4247" spans="1:7" x14ac:dyDescent="0.3">
      <c r="A4247" t="s">
        <v>1064</v>
      </c>
      <c r="B4247" t="s">
        <v>5</v>
      </c>
      <c r="C4247" t="s">
        <v>24</v>
      </c>
      <c r="D4247" t="s">
        <v>23</v>
      </c>
      <c r="E4247" s="68">
        <v>1992</v>
      </c>
      <c r="F4247" s="68">
        <v>1520</v>
      </c>
      <c r="G4247" s="68">
        <v>3512</v>
      </c>
    </row>
    <row r="4248" spans="1:7" x14ac:dyDescent="0.3">
      <c r="A4248" t="s">
        <v>1064</v>
      </c>
      <c r="B4248" t="s">
        <v>33</v>
      </c>
      <c r="C4248" t="s">
        <v>6</v>
      </c>
      <c r="D4248" t="s">
        <v>10</v>
      </c>
      <c r="E4248" s="68"/>
      <c r="F4248" s="68">
        <v>1</v>
      </c>
      <c r="G4248" s="68">
        <v>1</v>
      </c>
    </row>
    <row r="4249" spans="1:7" x14ac:dyDescent="0.3">
      <c r="A4249" t="s">
        <v>1064</v>
      </c>
      <c r="B4249" t="s">
        <v>33</v>
      </c>
      <c r="C4249" t="s">
        <v>6</v>
      </c>
      <c r="D4249" t="s">
        <v>17</v>
      </c>
      <c r="E4249" s="68"/>
      <c r="F4249" s="68">
        <v>1</v>
      </c>
      <c r="G4249" s="68">
        <v>1</v>
      </c>
    </row>
    <row r="4250" spans="1:7" x14ac:dyDescent="0.3">
      <c r="A4250" t="s">
        <v>1064</v>
      </c>
      <c r="B4250" t="s">
        <v>34</v>
      </c>
      <c r="C4250" t="s">
        <v>6</v>
      </c>
      <c r="D4250" t="s">
        <v>7</v>
      </c>
      <c r="E4250" s="68">
        <v>1872</v>
      </c>
      <c r="F4250" s="68">
        <v>1909</v>
      </c>
      <c r="G4250" s="68">
        <v>3781</v>
      </c>
    </row>
    <row r="4251" spans="1:7" x14ac:dyDescent="0.3">
      <c r="A4251" t="s">
        <v>1064</v>
      </c>
      <c r="B4251" t="s">
        <v>34</v>
      </c>
      <c r="C4251" t="s">
        <v>6</v>
      </c>
      <c r="D4251" t="s">
        <v>8</v>
      </c>
      <c r="E4251" s="68">
        <v>2583</v>
      </c>
      <c r="F4251" s="68">
        <v>2674</v>
      </c>
      <c r="G4251" s="68">
        <v>5257</v>
      </c>
    </row>
    <row r="4252" spans="1:7" x14ac:dyDescent="0.3">
      <c r="A4252" t="s">
        <v>1064</v>
      </c>
      <c r="B4252" t="s">
        <v>34</v>
      </c>
      <c r="C4252" t="s">
        <v>6</v>
      </c>
      <c r="D4252" t="s">
        <v>9</v>
      </c>
      <c r="E4252" s="68">
        <v>2996</v>
      </c>
      <c r="F4252" s="68">
        <v>3112</v>
      </c>
      <c r="G4252" s="68">
        <v>6108</v>
      </c>
    </row>
    <row r="4253" spans="1:7" x14ac:dyDescent="0.3">
      <c r="A4253" t="s">
        <v>1064</v>
      </c>
      <c r="B4253" t="s">
        <v>34</v>
      </c>
      <c r="C4253" t="s">
        <v>6</v>
      </c>
      <c r="D4253" t="s">
        <v>10</v>
      </c>
      <c r="E4253" s="68">
        <v>3038</v>
      </c>
      <c r="F4253" s="68">
        <v>3181</v>
      </c>
      <c r="G4253" s="68">
        <v>6219</v>
      </c>
    </row>
    <row r="4254" spans="1:7" x14ac:dyDescent="0.3">
      <c r="A4254" t="s">
        <v>1064</v>
      </c>
      <c r="B4254" t="s">
        <v>34</v>
      </c>
      <c r="C4254" t="s">
        <v>6</v>
      </c>
      <c r="D4254" t="s">
        <v>11</v>
      </c>
      <c r="E4254" s="68">
        <v>3177</v>
      </c>
      <c r="F4254" s="68">
        <v>3344</v>
      </c>
      <c r="G4254" s="68">
        <v>6521</v>
      </c>
    </row>
    <row r="4255" spans="1:7" x14ac:dyDescent="0.3">
      <c r="A4255" t="s">
        <v>1064</v>
      </c>
      <c r="B4255" t="s">
        <v>34</v>
      </c>
      <c r="C4255" t="s">
        <v>6</v>
      </c>
      <c r="D4255" t="s">
        <v>12</v>
      </c>
      <c r="E4255" s="68">
        <v>3985</v>
      </c>
      <c r="F4255" s="68">
        <v>3513</v>
      </c>
      <c r="G4255" s="68">
        <v>7498</v>
      </c>
    </row>
    <row r="4256" spans="1:7" x14ac:dyDescent="0.3">
      <c r="A4256" t="s">
        <v>1064</v>
      </c>
      <c r="B4256" t="s">
        <v>34</v>
      </c>
      <c r="C4256" t="s">
        <v>6</v>
      </c>
      <c r="D4256" t="s">
        <v>13</v>
      </c>
      <c r="E4256" s="68">
        <v>4683</v>
      </c>
      <c r="F4256" s="68">
        <v>4297</v>
      </c>
      <c r="G4256" s="68">
        <v>8980</v>
      </c>
    </row>
    <row r="4257" spans="1:7" x14ac:dyDescent="0.3">
      <c r="A4257" t="s">
        <v>1064</v>
      </c>
      <c r="B4257" t="s">
        <v>34</v>
      </c>
      <c r="C4257" t="s">
        <v>6</v>
      </c>
      <c r="D4257" t="s">
        <v>14</v>
      </c>
      <c r="E4257" s="68">
        <v>4418</v>
      </c>
      <c r="F4257" s="68">
        <v>3989</v>
      </c>
      <c r="G4257" s="68">
        <v>8407</v>
      </c>
    </row>
    <row r="4258" spans="1:7" x14ac:dyDescent="0.3">
      <c r="A4258" t="s">
        <v>1064</v>
      </c>
      <c r="B4258" t="s">
        <v>34</v>
      </c>
      <c r="C4258" t="s">
        <v>6</v>
      </c>
      <c r="D4258" t="s">
        <v>15</v>
      </c>
      <c r="E4258" s="68">
        <v>3627</v>
      </c>
      <c r="F4258" s="68">
        <v>3325</v>
      </c>
      <c r="G4258" s="68">
        <v>6952</v>
      </c>
    </row>
    <row r="4259" spans="1:7" x14ac:dyDescent="0.3">
      <c r="A4259" t="s">
        <v>1064</v>
      </c>
      <c r="B4259" t="s">
        <v>34</v>
      </c>
      <c r="C4259" t="s">
        <v>6</v>
      </c>
      <c r="D4259" t="s">
        <v>16</v>
      </c>
      <c r="E4259" s="68">
        <v>2892</v>
      </c>
      <c r="F4259" s="68">
        <v>2716</v>
      </c>
      <c r="G4259" s="68">
        <v>5608</v>
      </c>
    </row>
    <row r="4260" spans="1:7" x14ac:dyDescent="0.3">
      <c r="A4260" t="s">
        <v>1064</v>
      </c>
      <c r="B4260" t="s">
        <v>34</v>
      </c>
      <c r="C4260" t="s">
        <v>6</v>
      </c>
      <c r="D4260" t="s">
        <v>17</v>
      </c>
      <c r="E4260" s="68">
        <v>2267</v>
      </c>
      <c r="F4260" s="68">
        <v>2098</v>
      </c>
      <c r="G4260" s="68">
        <v>4365</v>
      </c>
    </row>
    <row r="4261" spans="1:7" x14ac:dyDescent="0.3">
      <c r="A4261" t="s">
        <v>1064</v>
      </c>
      <c r="B4261" t="s">
        <v>34</v>
      </c>
      <c r="C4261" t="s">
        <v>6</v>
      </c>
      <c r="D4261" t="s">
        <v>18</v>
      </c>
      <c r="E4261" s="68">
        <v>2096</v>
      </c>
      <c r="F4261" s="68">
        <v>1836</v>
      </c>
      <c r="G4261" s="68">
        <v>3932</v>
      </c>
    </row>
    <row r="4262" spans="1:7" x14ac:dyDescent="0.3">
      <c r="A4262" t="s">
        <v>1064</v>
      </c>
      <c r="B4262" t="s">
        <v>34</v>
      </c>
      <c r="C4262" t="s">
        <v>6</v>
      </c>
      <c r="D4262" t="s">
        <v>19</v>
      </c>
      <c r="E4262" s="68">
        <v>1834</v>
      </c>
      <c r="F4262" s="68">
        <v>1628</v>
      </c>
      <c r="G4262" s="68">
        <v>3462</v>
      </c>
    </row>
    <row r="4263" spans="1:7" x14ac:dyDescent="0.3">
      <c r="A4263" t="s">
        <v>1064</v>
      </c>
      <c r="B4263" t="s">
        <v>34</v>
      </c>
      <c r="C4263" t="s">
        <v>6</v>
      </c>
      <c r="D4263" t="s">
        <v>20</v>
      </c>
      <c r="E4263" s="68">
        <v>1274</v>
      </c>
      <c r="F4263" s="68">
        <v>1103</v>
      </c>
      <c r="G4263" s="68">
        <v>2377</v>
      </c>
    </row>
    <row r="4264" spans="1:7" x14ac:dyDescent="0.3">
      <c r="A4264" t="s">
        <v>1064</v>
      </c>
      <c r="B4264" t="s">
        <v>34</v>
      </c>
      <c r="C4264" t="s">
        <v>6</v>
      </c>
      <c r="D4264" t="s">
        <v>21</v>
      </c>
      <c r="E4264" s="68">
        <v>842</v>
      </c>
      <c r="F4264" s="68">
        <v>733</v>
      </c>
      <c r="G4264" s="68">
        <v>1575</v>
      </c>
    </row>
    <row r="4265" spans="1:7" x14ac:dyDescent="0.3">
      <c r="A4265" t="s">
        <v>1064</v>
      </c>
      <c r="B4265" t="s">
        <v>34</v>
      </c>
      <c r="C4265" t="s">
        <v>6</v>
      </c>
      <c r="D4265" t="s">
        <v>22</v>
      </c>
      <c r="E4265" s="68">
        <v>427</v>
      </c>
      <c r="F4265" s="68">
        <v>378</v>
      </c>
      <c r="G4265" s="68">
        <v>805</v>
      </c>
    </row>
    <row r="4266" spans="1:7" x14ac:dyDescent="0.3">
      <c r="A4266" t="s">
        <v>1064</v>
      </c>
      <c r="B4266" t="s">
        <v>34</v>
      </c>
      <c r="C4266" t="s">
        <v>6</v>
      </c>
      <c r="D4266" t="s">
        <v>23</v>
      </c>
      <c r="E4266" s="68">
        <v>452</v>
      </c>
      <c r="F4266" s="68">
        <v>294</v>
      </c>
      <c r="G4266" s="68">
        <v>746</v>
      </c>
    </row>
    <row r="4267" spans="1:7" x14ac:dyDescent="0.3">
      <c r="A4267" t="s">
        <v>1064</v>
      </c>
      <c r="B4267" t="s">
        <v>34</v>
      </c>
      <c r="C4267" t="s">
        <v>24</v>
      </c>
      <c r="D4267" t="s">
        <v>7</v>
      </c>
      <c r="E4267" s="68">
        <v>506</v>
      </c>
      <c r="F4267" s="68">
        <v>542</v>
      </c>
      <c r="G4267" s="68">
        <v>1048</v>
      </c>
    </row>
    <row r="4268" spans="1:7" x14ac:dyDescent="0.3">
      <c r="A4268" t="s">
        <v>1064</v>
      </c>
      <c r="B4268" t="s">
        <v>34</v>
      </c>
      <c r="C4268" t="s">
        <v>24</v>
      </c>
      <c r="D4268" t="s">
        <v>8</v>
      </c>
      <c r="E4268" s="68">
        <v>813</v>
      </c>
      <c r="F4268" s="68">
        <v>846</v>
      </c>
      <c r="G4268" s="68">
        <v>1659</v>
      </c>
    </row>
    <row r="4269" spans="1:7" x14ac:dyDescent="0.3">
      <c r="A4269" t="s">
        <v>1064</v>
      </c>
      <c r="B4269" t="s">
        <v>34</v>
      </c>
      <c r="C4269" t="s">
        <v>24</v>
      </c>
      <c r="D4269" t="s">
        <v>9</v>
      </c>
      <c r="E4269" s="68">
        <v>869</v>
      </c>
      <c r="F4269" s="68">
        <v>928</v>
      </c>
      <c r="G4269" s="68">
        <v>1797</v>
      </c>
    </row>
    <row r="4270" spans="1:7" x14ac:dyDescent="0.3">
      <c r="A4270" t="s">
        <v>1064</v>
      </c>
      <c r="B4270" t="s">
        <v>34</v>
      </c>
      <c r="C4270" t="s">
        <v>24</v>
      </c>
      <c r="D4270" t="s">
        <v>10</v>
      </c>
      <c r="E4270" s="68">
        <v>817</v>
      </c>
      <c r="F4270" s="68">
        <v>807</v>
      </c>
      <c r="G4270" s="68">
        <v>1624</v>
      </c>
    </row>
    <row r="4271" spans="1:7" x14ac:dyDescent="0.3">
      <c r="A4271" t="s">
        <v>1064</v>
      </c>
      <c r="B4271" t="s">
        <v>34</v>
      </c>
      <c r="C4271" t="s">
        <v>24</v>
      </c>
      <c r="D4271" t="s">
        <v>11</v>
      </c>
      <c r="E4271" s="68">
        <v>690</v>
      </c>
      <c r="F4271" s="68">
        <v>646</v>
      </c>
      <c r="G4271" s="68">
        <v>1336</v>
      </c>
    </row>
    <row r="4272" spans="1:7" x14ac:dyDescent="0.3">
      <c r="A4272" t="s">
        <v>1064</v>
      </c>
      <c r="B4272" t="s">
        <v>34</v>
      </c>
      <c r="C4272" t="s">
        <v>24</v>
      </c>
      <c r="D4272" t="s">
        <v>12</v>
      </c>
      <c r="E4272" s="68">
        <v>1015</v>
      </c>
      <c r="F4272" s="68">
        <v>826</v>
      </c>
      <c r="G4272" s="68">
        <v>1841</v>
      </c>
    </row>
    <row r="4273" spans="1:7" x14ac:dyDescent="0.3">
      <c r="A4273" t="s">
        <v>1064</v>
      </c>
      <c r="B4273" t="s">
        <v>34</v>
      </c>
      <c r="C4273" t="s">
        <v>24</v>
      </c>
      <c r="D4273" t="s">
        <v>13</v>
      </c>
      <c r="E4273" s="68">
        <v>970</v>
      </c>
      <c r="F4273" s="68">
        <v>676</v>
      </c>
      <c r="G4273" s="68">
        <v>1646</v>
      </c>
    </row>
    <row r="4274" spans="1:7" x14ac:dyDescent="0.3">
      <c r="A4274" t="s">
        <v>1064</v>
      </c>
      <c r="B4274" t="s">
        <v>34</v>
      </c>
      <c r="C4274" t="s">
        <v>24</v>
      </c>
      <c r="D4274" t="s">
        <v>14</v>
      </c>
      <c r="E4274" s="68">
        <v>831</v>
      </c>
      <c r="F4274" s="68">
        <v>610</v>
      </c>
      <c r="G4274" s="68">
        <v>1441</v>
      </c>
    </row>
    <row r="4275" spans="1:7" x14ac:dyDescent="0.3">
      <c r="A4275" t="s">
        <v>1064</v>
      </c>
      <c r="B4275" t="s">
        <v>34</v>
      </c>
      <c r="C4275" t="s">
        <v>24</v>
      </c>
      <c r="D4275" t="s">
        <v>15</v>
      </c>
      <c r="E4275" s="68">
        <v>731</v>
      </c>
      <c r="F4275" s="68">
        <v>534</v>
      </c>
      <c r="G4275" s="68">
        <v>1265</v>
      </c>
    </row>
    <row r="4276" spans="1:7" x14ac:dyDescent="0.3">
      <c r="A4276" t="s">
        <v>1064</v>
      </c>
      <c r="B4276" t="s">
        <v>34</v>
      </c>
      <c r="C4276" t="s">
        <v>24</v>
      </c>
      <c r="D4276" t="s">
        <v>16</v>
      </c>
      <c r="E4276" s="68">
        <v>629</v>
      </c>
      <c r="F4276" s="68">
        <v>508</v>
      </c>
      <c r="G4276" s="68">
        <v>1137</v>
      </c>
    </row>
    <row r="4277" spans="1:7" x14ac:dyDescent="0.3">
      <c r="A4277" t="s">
        <v>1064</v>
      </c>
      <c r="B4277" t="s">
        <v>34</v>
      </c>
      <c r="C4277" t="s">
        <v>24</v>
      </c>
      <c r="D4277" t="s">
        <v>17</v>
      </c>
      <c r="E4277" s="68">
        <v>636</v>
      </c>
      <c r="F4277" s="68">
        <v>438</v>
      </c>
      <c r="G4277" s="68">
        <v>1074</v>
      </c>
    </row>
    <row r="4278" spans="1:7" x14ac:dyDescent="0.3">
      <c r="A4278" t="s">
        <v>1064</v>
      </c>
      <c r="B4278" t="s">
        <v>34</v>
      </c>
      <c r="C4278" t="s">
        <v>24</v>
      </c>
      <c r="D4278" t="s">
        <v>18</v>
      </c>
      <c r="E4278" s="68">
        <v>672</v>
      </c>
      <c r="F4278" s="68">
        <v>459</v>
      </c>
      <c r="G4278" s="68">
        <v>1131</v>
      </c>
    </row>
    <row r="4279" spans="1:7" x14ac:dyDescent="0.3">
      <c r="A4279" t="s">
        <v>1064</v>
      </c>
      <c r="B4279" t="s">
        <v>34</v>
      </c>
      <c r="C4279" t="s">
        <v>24</v>
      </c>
      <c r="D4279" t="s">
        <v>19</v>
      </c>
      <c r="E4279" s="68">
        <v>603</v>
      </c>
      <c r="F4279" s="68">
        <v>398</v>
      </c>
      <c r="G4279" s="68">
        <v>1001</v>
      </c>
    </row>
    <row r="4280" spans="1:7" x14ac:dyDescent="0.3">
      <c r="A4280" t="s">
        <v>1064</v>
      </c>
      <c r="B4280" t="s">
        <v>34</v>
      </c>
      <c r="C4280" t="s">
        <v>24</v>
      </c>
      <c r="D4280" t="s">
        <v>20</v>
      </c>
      <c r="E4280" s="68">
        <v>437</v>
      </c>
      <c r="F4280" s="68">
        <v>368</v>
      </c>
      <c r="G4280" s="68">
        <v>805</v>
      </c>
    </row>
    <row r="4281" spans="1:7" x14ac:dyDescent="0.3">
      <c r="A4281" t="s">
        <v>1064</v>
      </c>
      <c r="B4281" t="s">
        <v>34</v>
      </c>
      <c r="C4281" t="s">
        <v>24</v>
      </c>
      <c r="D4281" t="s">
        <v>21</v>
      </c>
      <c r="E4281" s="68">
        <v>333</v>
      </c>
      <c r="F4281" s="68">
        <v>259</v>
      </c>
      <c r="G4281" s="68">
        <v>592</v>
      </c>
    </row>
    <row r="4282" spans="1:7" x14ac:dyDescent="0.3">
      <c r="A4282" t="s">
        <v>1064</v>
      </c>
      <c r="B4282" t="s">
        <v>34</v>
      </c>
      <c r="C4282" t="s">
        <v>24</v>
      </c>
      <c r="D4282" t="s">
        <v>22</v>
      </c>
      <c r="E4282" s="68">
        <v>210</v>
      </c>
      <c r="F4282" s="68">
        <v>145</v>
      </c>
      <c r="G4282" s="68">
        <v>355</v>
      </c>
    </row>
    <row r="4283" spans="1:7" x14ac:dyDescent="0.3">
      <c r="A4283" t="s">
        <v>1064</v>
      </c>
      <c r="B4283" t="s">
        <v>34</v>
      </c>
      <c r="C4283" t="s">
        <v>24</v>
      </c>
      <c r="D4283" t="s">
        <v>23</v>
      </c>
      <c r="E4283" s="68">
        <v>274</v>
      </c>
      <c r="F4283" s="68">
        <v>142</v>
      </c>
      <c r="G4283" s="68">
        <v>416</v>
      </c>
    </row>
    <row r="4284" spans="1:7" x14ac:dyDescent="0.3">
      <c r="A4284" t="s">
        <v>1064</v>
      </c>
      <c r="B4284" t="s">
        <v>37</v>
      </c>
      <c r="C4284" t="s">
        <v>6</v>
      </c>
      <c r="D4284" t="s">
        <v>7</v>
      </c>
      <c r="E4284" s="68">
        <v>10691</v>
      </c>
      <c r="F4284" s="68">
        <v>11289</v>
      </c>
      <c r="G4284" s="68">
        <v>21980</v>
      </c>
    </row>
    <row r="4285" spans="1:7" x14ac:dyDescent="0.3">
      <c r="A4285" t="s">
        <v>1064</v>
      </c>
      <c r="B4285" t="s">
        <v>37</v>
      </c>
      <c r="C4285" t="s">
        <v>6</v>
      </c>
      <c r="D4285" t="s">
        <v>8</v>
      </c>
      <c r="E4285" s="68">
        <v>16080</v>
      </c>
      <c r="F4285" s="68">
        <v>16914</v>
      </c>
      <c r="G4285" s="68">
        <v>32994</v>
      </c>
    </row>
    <row r="4286" spans="1:7" x14ac:dyDescent="0.3">
      <c r="A4286" t="s">
        <v>1064</v>
      </c>
      <c r="B4286" t="s">
        <v>37</v>
      </c>
      <c r="C4286" t="s">
        <v>6</v>
      </c>
      <c r="D4286" t="s">
        <v>9</v>
      </c>
      <c r="E4286" s="68">
        <v>19005</v>
      </c>
      <c r="F4286" s="68">
        <v>19746</v>
      </c>
      <c r="G4286" s="68">
        <v>38751</v>
      </c>
    </row>
    <row r="4287" spans="1:7" x14ac:dyDescent="0.3">
      <c r="A4287" t="s">
        <v>1064</v>
      </c>
      <c r="B4287" t="s">
        <v>37</v>
      </c>
      <c r="C4287" t="s">
        <v>6</v>
      </c>
      <c r="D4287" t="s">
        <v>10</v>
      </c>
      <c r="E4287" s="68">
        <v>21188</v>
      </c>
      <c r="F4287" s="68">
        <v>21753</v>
      </c>
      <c r="G4287" s="68">
        <v>42941</v>
      </c>
    </row>
    <row r="4288" spans="1:7" x14ac:dyDescent="0.3">
      <c r="A4288" t="s">
        <v>1064</v>
      </c>
      <c r="B4288" t="s">
        <v>37</v>
      </c>
      <c r="C4288" t="s">
        <v>6</v>
      </c>
      <c r="D4288" t="s">
        <v>11</v>
      </c>
      <c r="E4288" s="68">
        <v>20074</v>
      </c>
      <c r="F4288" s="68">
        <v>22415</v>
      </c>
      <c r="G4288" s="68">
        <v>42489</v>
      </c>
    </row>
    <row r="4289" spans="1:7" x14ac:dyDescent="0.3">
      <c r="A4289" t="s">
        <v>1064</v>
      </c>
      <c r="B4289" t="s">
        <v>37</v>
      </c>
      <c r="C4289" t="s">
        <v>6</v>
      </c>
      <c r="D4289" t="s">
        <v>12</v>
      </c>
      <c r="E4289" s="68">
        <v>23301</v>
      </c>
      <c r="F4289" s="68">
        <v>25696</v>
      </c>
      <c r="G4289" s="68">
        <v>48997</v>
      </c>
    </row>
    <row r="4290" spans="1:7" x14ac:dyDescent="0.3">
      <c r="A4290" t="s">
        <v>1064</v>
      </c>
      <c r="B4290" t="s">
        <v>37</v>
      </c>
      <c r="C4290" t="s">
        <v>6</v>
      </c>
      <c r="D4290" t="s">
        <v>13</v>
      </c>
      <c r="E4290" s="68">
        <v>24296</v>
      </c>
      <c r="F4290" s="68">
        <v>25752</v>
      </c>
      <c r="G4290" s="68">
        <v>50048</v>
      </c>
    </row>
    <row r="4291" spans="1:7" x14ac:dyDescent="0.3">
      <c r="A4291" t="s">
        <v>1064</v>
      </c>
      <c r="B4291" t="s">
        <v>37</v>
      </c>
      <c r="C4291" t="s">
        <v>6</v>
      </c>
      <c r="D4291" t="s">
        <v>14</v>
      </c>
      <c r="E4291" s="68">
        <v>22234</v>
      </c>
      <c r="F4291" s="68">
        <v>22984</v>
      </c>
      <c r="G4291" s="68">
        <v>45218</v>
      </c>
    </row>
    <row r="4292" spans="1:7" x14ac:dyDescent="0.3">
      <c r="A4292" t="s">
        <v>1064</v>
      </c>
      <c r="B4292" t="s">
        <v>37</v>
      </c>
      <c r="C4292" t="s">
        <v>6</v>
      </c>
      <c r="D4292" t="s">
        <v>15</v>
      </c>
      <c r="E4292" s="68">
        <v>21140</v>
      </c>
      <c r="F4292" s="68">
        <v>21735</v>
      </c>
      <c r="G4292" s="68">
        <v>42875</v>
      </c>
    </row>
    <row r="4293" spans="1:7" x14ac:dyDescent="0.3">
      <c r="A4293" t="s">
        <v>1064</v>
      </c>
      <c r="B4293" t="s">
        <v>37</v>
      </c>
      <c r="C4293" t="s">
        <v>6</v>
      </c>
      <c r="D4293" t="s">
        <v>16</v>
      </c>
      <c r="E4293" s="68">
        <v>18362</v>
      </c>
      <c r="F4293" s="68">
        <v>18364</v>
      </c>
      <c r="G4293" s="68">
        <v>36726</v>
      </c>
    </row>
    <row r="4294" spans="1:7" x14ac:dyDescent="0.3">
      <c r="A4294" t="s">
        <v>1064</v>
      </c>
      <c r="B4294" t="s">
        <v>37</v>
      </c>
      <c r="C4294" t="s">
        <v>6</v>
      </c>
      <c r="D4294" t="s">
        <v>17</v>
      </c>
      <c r="E4294" s="68">
        <v>15398</v>
      </c>
      <c r="F4294" s="68">
        <v>15666</v>
      </c>
      <c r="G4294" s="68">
        <v>31064</v>
      </c>
    </row>
    <row r="4295" spans="1:7" x14ac:dyDescent="0.3">
      <c r="A4295" t="s">
        <v>1064</v>
      </c>
      <c r="B4295" t="s">
        <v>37</v>
      </c>
      <c r="C4295" t="s">
        <v>6</v>
      </c>
      <c r="D4295" t="s">
        <v>18</v>
      </c>
      <c r="E4295" s="68">
        <v>14427</v>
      </c>
      <c r="F4295" s="68">
        <v>14320</v>
      </c>
      <c r="G4295" s="68">
        <v>28747</v>
      </c>
    </row>
    <row r="4296" spans="1:7" x14ac:dyDescent="0.3">
      <c r="A4296" t="s">
        <v>1064</v>
      </c>
      <c r="B4296" t="s">
        <v>37</v>
      </c>
      <c r="C4296" t="s">
        <v>6</v>
      </c>
      <c r="D4296" t="s">
        <v>19</v>
      </c>
      <c r="E4296" s="68">
        <v>12467</v>
      </c>
      <c r="F4296" s="68">
        <v>12022</v>
      </c>
      <c r="G4296" s="68">
        <v>24489</v>
      </c>
    </row>
    <row r="4297" spans="1:7" x14ac:dyDescent="0.3">
      <c r="A4297" t="s">
        <v>1064</v>
      </c>
      <c r="B4297" t="s">
        <v>37</v>
      </c>
      <c r="C4297" t="s">
        <v>6</v>
      </c>
      <c r="D4297" t="s">
        <v>20</v>
      </c>
      <c r="E4297" s="68">
        <v>9325</v>
      </c>
      <c r="F4297" s="68">
        <v>9022</v>
      </c>
      <c r="G4297" s="68">
        <v>18347</v>
      </c>
    </row>
    <row r="4298" spans="1:7" x14ac:dyDescent="0.3">
      <c r="A4298" t="s">
        <v>1064</v>
      </c>
      <c r="B4298" t="s">
        <v>37</v>
      </c>
      <c r="C4298" t="s">
        <v>6</v>
      </c>
      <c r="D4298" t="s">
        <v>21</v>
      </c>
      <c r="E4298" s="68">
        <v>6446</v>
      </c>
      <c r="F4298" s="68">
        <v>5815</v>
      </c>
      <c r="G4298" s="68">
        <v>12261</v>
      </c>
    </row>
    <row r="4299" spans="1:7" x14ac:dyDescent="0.3">
      <c r="A4299" t="s">
        <v>1064</v>
      </c>
      <c r="B4299" t="s">
        <v>37</v>
      </c>
      <c r="C4299" t="s">
        <v>6</v>
      </c>
      <c r="D4299" t="s">
        <v>22</v>
      </c>
      <c r="E4299" s="68">
        <v>3913</v>
      </c>
      <c r="F4299" s="68">
        <v>3712</v>
      </c>
      <c r="G4299" s="68">
        <v>7625</v>
      </c>
    </row>
    <row r="4300" spans="1:7" x14ac:dyDescent="0.3">
      <c r="A4300" t="s">
        <v>1064</v>
      </c>
      <c r="B4300" t="s">
        <v>37</v>
      </c>
      <c r="C4300" t="s">
        <v>6</v>
      </c>
      <c r="D4300" t="s">
        <v>23</v>
      </c>
      <c r="E4300" s="68">
        <v>4652</v>
      </c>
      <c r="F4300" s="68">
        <v>3209</v>
      </c>
      <c r="G4300" s="68">
        <v>7861</v>
      </c>
    </row>
    <row r="4301" spans="1:7" x14ac:dyDescent="0.3">
      <c r="A4301" t="s">
        <v>1064</v>
      </c>
      <c r="B4301" t="s">
        <v>37</v>
      </c>
      <c r="C4301" t="s">
        <v>24</v>
      </c>
      <c r="D4301" t="s">
        <v>7</v>
      </c>
      <c r="E4301" s="68">
        <v>7206</v>
      </c>
      <c r="F4301" s="68">
        <v>7566</v>
      </c>
      <c r="G4301" s="68">
        <v>14772</v>
      </c>
    </row>
    <row r="4302" spans="1:7" x14ac:dyDescent="0.3">
      <c r="A4302" t="s">
        <v>1064</v>
      </c>
      <c r="B4302" t="s">
        <v>37</v>
      </c>
      <c r="C4302" t="s">
        <v>24</v>
      </c>
      <c r="D4302" t="s">
        <v>8</v>
      </c>
      <c r="E4302" s="68">
        <v>10311</v>
      </c>
      <c r="F4302" s="68">
        <v>10945</v>
      </c>
      <c r="G4302" s="68">
        <v>21256</v>
      </c>
    </row>
    <row r="4303" spans="1:7" x14ac:dyDescent="0.3">
      <c r="A4303" t="s">
        <v>1064</v>
      </c>
      <c r="B4303" t="s">
        <v>37</v>
      </c>
      <c r="C4303" t="s">
        <v>24</v>
      </c>
      <c r="D4303" t="s">
        <v>9</v>
      </c>
      <c r="E4303" s="68">
        <v>10675</v>
      </c>
      <c r="F4303" s="68">
        <v>11251</v>
      </c>
      <c r="G4303" s="68">
        <v>21926</v>
      </c>
    </row>
    <row r="4304" spans="1:7" x14ac:dyDescent="0.3">
      <c r="A4304" t="s">
        <v>1064</v>
      </c>
      <c r="B4304" t="s">
        <v>37</v>
      </c>
      <c r="C4304" t="s">
        <v>24</v>
      </c>
      <c r="D4304" t="s">
        <v>10</v>
      </c>
      <c r="E4304" s="68">
        <v>11820</v>
      </c>
      <c r="F4304" s="68">
        <v>12135</v>
      </c>
      <c r="G4304" s="68">
        <v>23955</v>
      </c>
    </row>
    <row r="4305" spans="1:7" x14ac:dyDescent="0.3">
      <c r="A4305" t="s">
        <v>1064</v>
      </c>
      <c r="B4305" t="s">
        <v>37</v>
      </c>
      <c r="C4305" t="s">
        <v>24</v>
      </c>
      <c r="D4305" t="s">
        <v>11</v>
      </c>
      <c r="E4305" s="68">
        <v>11482</v>
      </c>
      <c r="F4305" s="68">
        <v>11435</v>
      </c>
      <c r="G4305" s="68">
        <v>22917</v>
      </c>
    </row>
    <row r="4306" spans="1:7" x14ac:dyDescent="0.3">
      <c r="A4306" t="s">
        <v>1064</v>
      </c>
      <c r="B4306" t="s">
        <v>37</v>
      </c>
      <c r="C4306" t="s">
        <v>24</v>
      </c>
      <c r="D4306" t="s">
        <v>12</v>
      </c>
      <c r="E4306" s="68">
        <v>12550</v>
      </c>
      <c r="F4306" s="68">
        <v>12881</v>
      </c>
      <c r="G4306" s="68">
        <v>25431</v>
      </c>
    </row>
    <row r="4307" spans="1:7" x14ac:dyDescent="0.3">
      <c r="A4307" t="s">
        <v>1064</v>
      </c>
      <c r="B4307" t="s">
        <v>37</v>
      </c>
      <c r="C4307" t="s">
        <v>24</v>
      </c>
      <c r="D4307" t="s">
        <v>13</v>
      </c>
      <c r="E4307" s="68">
        <v>11172</v>
      </c>
      <c r="F4307" s="68">
        <v>11759</v>
      </c>
      <c r="G4307" s="68">
        <v>22931</v>
      </c>
    </row>
    <row r="4308" spans="1:7" x14ac:dyDescent="0.3">
      <c r="A4308" t="s">
        <v>1064</v>
      </c>
      <c r="B4308" t="s">
        <v>37</v>
      </c>
      <c r="C4308" t="s">
        <v>24</v>
      </c>
      <c r="D4308" t="s">
        <v>14</v>
      </c>
      <c r="E4308" s="68">
        <v>10417</v>
      </c>
      <c r="F4308" s="68">
        <v>10368</v>
      </c>
      <c r="G4308" s="68">
        <v>20785</v>
      </c>
    </row>
    <row r="4309" spans="1:7" x14ac:dyDescent="0.3">
      <c r="A4309" t="s">
        <v>1064</v>
      </c>
      <c r="B4309" t="s">
        <v>37</v>
      </c>
      <c r="C4309" t="s">
        <v>24</v>
      </c>
      <c r="D4309" t="s">
        <v>15</v>
      </c>
      <c r="E4309" s="68">
        <v>10379</v>
      </c>
      <c r="F4309" s="68">
        <v>10034</v>
      </c>
      <c r="G4309" s="68">
        <v>20413</v>
      </c>
    </row>
    <row r="4310" spans="1:7" x14ac:dyDescent="0.3">
      <c r="A4310" t="s">
        <v>1064</v>
      </c>
      <c r="B4310" t="s">
        <v>37</v>
      </c>
      <c r="C4310" t="s">
        <v>24</v>
      </c>
      <c r="D4310" t="s">
        <v>16</v>
      </c>
      <c r="E4310" s="68">
        <v>10075</v>
      </c>
      <c r="F4310" s="68">
        <v>9542</v>
      </c>
      <c r="G4310" s="68">
        <v>19617</v>
      </c>
    </row>
    <row r="4311" spans="1:7" x14ac:dyDescent="0.3">
      <c r="A4311" t="s">
        <v>1064</v>
      </c>
      <c r="B4311" t="s">
        <v>37</v>
      </c>
      <c r="C4311" t="s">
        <v>24</v>
      </c>
      <c r="D4311" t="s">
        <v>17</v>
      </c>
      <c r="E4311" s="68">
        <v>10209</v>
      </c>
      <c r="F4311" s="68">
        <v>9928</v>
      </c>
      <c r="G4311" s="68">
        <v>20137</v>
      </c>
    </row>
    <row r="4312" spans="1:7" x14ac:dyDescent="0.3">
      <c r="A4312" t="s">
        <v>1064</v>
      </c>
      <c r="B4312" t="s">
        <v>37</v>
      </c>
      <c r="C4312" t="s">
        <v>24</v>
      </c>
      <c r="D4312" t="s">
        <v>18</v>
      </c>
      <c r="E4312" s="68">
        <v>10554</v>
      </c>
      <c r="F4312" s="68">
        <v>10529</v>
      </c>
      <c r="G4312" s="68">
        <v>21083</v>
      </c>
    </row>
    <row r="4313" spans="1:7" x14ac:dyDescent="0.3">
      <c r="A4313" t="s">
        <v>1064</v>
      </c>
      <c r="B4313" t="s">
        <v>37</v>
      </c>
      <c r="C4313" t="s">
        <v>24</v>
      </c>
      <c r="D4313" t="s">
        <v>19</v>
      </c>
      <c r="E4313" s="68">
        <v>10106</v>
      </c>
      <c r="F4313" s="68">
        <v>10283</v>
      </c>
      <c r="G4313" s="68">
        <v>20389</v>
      </c>
    </row>
    <row r="4314" spans="1:7" x14ac:dyDescent="0.3">
      <c r="A4314" t="s">
        <v>1064</v>
      </c>
      <c r="B4314" t="s">
        <v>37</v>
      </c>
      <c r="C4314" t="s">
        <v>24</v>
      </c>
      <c r="D4314" t="s">
        <v>20</v>
      </c>
      <c r="E4314" s="68">
        <v>8395</v>
      </c>
      <c r="F4314" s="68">
        <v>8736</v>
      </c>
      <c r="G4314" s="68">
        <v>17131</v>
      </c>
    </row>
    <row r="4315" spans="1:7" x14ac:dyDescent="0.3">
      <c r="A4315" t="s">
        <v>1064</v>
      </c>
      <c r="B4315" t="s">
        <v>37</v>
      </c>
      <c r="C4315" t="s">
        <v>24</v>
      </c>
      <c r="D4315" t="s">
        <v>21</v>
      </c>
      <c r="E4315" s="68">
        <v>6459</v>
      </c>
      <c r="F4315" s="68">
        <v>6538</v>
      </c>
      <c r="G4315" s="68">
        <v>12997</v>
      </c>
    </row>
    <row r="4316" spans="1:7" x14ac:dyDescent="0.3">
      <c r="A4316" t="s">
        <v>1064</v>
      </c>
      <c r="B4316" t="s">
        <v>37</v>
      </c>
      <c r="C4316" t="s">
        <v>24</v>
      </c>
      <c r="D4316" t="s">
        <v>22</v>
      </c>
      <c r="E4316" s="68">
        <v>4896</v>
      </c>
      <c r="F4316" s="68">
        <v>4511</v>
      </c>
      <c r="G4316" s="68">
        <v>9407</v>
      </c>
    </row>
    <row r="4317" spans="1:7" x14ac:dyDescent="0.3">
      <c r="A4317" t="s">
        <v>1064</v>
      </c>
      <c r="B4317" t="s">
        <v>37</v>
      </c>
      <c r="C4317" t="s">
        <v>24</v>
      </c>
      <c r="D4317" t="s">
        <v>23</v>
      </c>
      <c r="E4317" s="68">
        <v>7339</v>
      </c>
      <c r="F4317" s="68">
        <v>5124</v>
      </c>
      <c r="G4317" s="68">
        <v>12463</v>
      </c>
    </row>
    <row r="4318" spans="1:7" x14ac:dyDescent="0.3">
      <c r="A4318" t="s">
        <v>1064</v>
      </c>
      <c r="B4318" t="s">
        <v>35</v>
      </c>
      <c r="C4318" t="s">
        <v>6</v>
      </c>
      <c r="D4318" t="s">
        <v>7</v>
      </c>
      <c r="E4318" s="68">
        <v>2</v>
      </c>
      <c r="F4318" s="68">
        <v>1</v>
      </c>
      <c r="G4318" s="68">
        <v>3</v>
      </c>
    </row>
    <row r="4319" spans="1:7" x14ac:dyDescent="0.3">
      <c r="A4319" t="s">
        <v>1064</v>
      </c>
      <c r="B4319" t="s">
        <v>35</v>
      </c>
      <c r="C4319" t="s">
        <v>6</v>
      </c>
      <c r="D4319" t="s">
        <v>9</v>
      </c>
      <c r="E4319" s="68">
        <v>5</v>
      </c>
      <c r="F4319" s="68">
        <v>7</v>
      </c>
      <c r="G4319" s="68">
        <v>12</v>
      </c>
    </row>
    <row r="4320" spans="1:7" x14ac:dyDescent="0.3">
      <c r="A4320" t="s">
        <v>1064</v>
      </c>
      <c r="B4320" t="s">
        <v>35</v>
      </c>
      <c r="C4320" t="s">
        <v>6</v>
      </c>
      <c r="D4320" t="s">
        <v>10</v>
      </c>
      <c r="E4320" s="68">
        <v>9</v>
      </c>
      <c r="F4320" s="68">
        <v>13</v>
      </c>
      <c r="G4320" s="68">
        <v>22</v>
      </c>
    </row>
    <row r="4321" spans="1:7" x14ac:dyDescent="0.3">
      <c r="A4321" t="s">
        <v>1064</v>
      </c>
      <c r="B4321" t="s">
        <v>35</v>
      </c>
      <c r="C4321" t="s">
        <v>6</v>
      </c>
      <c r="D4321" t="s">
        <v>11</v>
      </c>
      <c r="E4321" s="68">
        <v>2</v>
      </c>
      <c r="F4321" s="68">
        <v>9</v>
      </c>
      <c r="G4321" s="68">
        <v>11</v>
      </c>
    </row>
    <row r="4322" spans="1:7" x14ac:dyDescent="0.3">
      <c r="A4322" t="s">
        <v>1064</v>
      </c>
      <c r="B4322" t="s">
        <v>35</v>
      </c>
      <c r="C4322" t="s">
        <v>6</v>
      </c>
      <c r="D4322" t="s">
        <v>12</v>
      </c>
      <c r="E4322" s="68">
        <v>2</v>
      </c>
      <c r="F4322" s="68">
        <v>5</v>
      </c>
      <c r="G4322" s="68">
        <v>7</v>
      </c>
    </row>
    <row r="4323" spans="1:7" x14ac:dyDescent="0.3">
      <c r="A4323" t="s">
        <v>1064</v>
      </c>
      <c r="B4323" t="s">
        <v>35</v>
      </c>
      <c r="C4323" t="s">
        <v>6</v>
      </c>
      <c r="D4323" t="s">
        <v>13</v>
      </c>
      <c r="E4323" s="68">
        <v>1</v>
      </c>
      <c r="F4323" s="68"/>
      <c r="G4323" s="68">
        <v>1</v>
      </c>
    </row>
    <row r="4324" spans="1:7" x14ac:dyDescent="0.3">
      <c r="A4324" t="s">
        <v>1064</v>
      </c>
      <c r="B4324" t="s">
        <v>35</v>
      </c>
      <c r="C4324" t="s">
        <v>6</v>
      </c>
      <c r="D4324" t="s">
        <v>14</v>
      </c>
      <c r="E4324" s="68">
        <v>3</v>
      </c>
      <c r="F4324" s="68">
        <v>6</v>
      </c>
      <c r="G4324" s="68">
        <v>9</v>
      </c>
    </row>
    <row r="4325" spans="1:7" x14ac:dyDescent="0.3">
      <c r="A4325" t="s">
        <v>1064</v>
      </c>
      <c r="B4325" t="s">
        <v>35</v>
      </c>
      <c r="C4325" t="s">
        <v>6</v>
      </c>
      <c r="D4325" t="s">
        <v>15</v>
      </c>
      <c r="E4325" s="68">
        <v>7</v>
      </c>
      <c r="F4325" s="68">
        <v>5</v>
      </c>
      <c r="G4325" s="68">
        <v>12</v>
      </c>
    </row>
    <row r="4326" spans="1:7" x14ac:dyDescent="0.3">
      <c r="A4326" t="s">
        <v>1064</v>
      </c>
      <c r="B4326" t="s">
        <v>35</v>
      </c>
      <c r="C4326" t="s">
        <v>6</v>
      </c>
      <c r="D4326" t="s">
        <v>16</v>
      </c>
      <c r="E4326" s="68">
        <v>14</v>
      </c>
      <c r="F4326" s="68">
        <v>9</v>
      </c>
      <c r="G4326" s="68">
        <v>23</v>
      </c>
    </row>
    <row r="4327" spans="1:7" x14ac:dyDescent="0.3">
      <c r="A4327" t="s">
        <v>1064</v>
      </c>
      <c r="B4327" t="s">
        <v>35</v>
      </c>
      <c r="C4327" t="s">
        <v>6</v>
      </c>
      <c r="D4327" t="s">
        <v>17</v>
      </c>
      <c r="E4327" s="68">
        <v>25</v>
      </c>
      <c r="F4327" s="68">
        <v>7</v>
      </c>
      <c r="G4327" s="68">
        <v>32</v>
      </c>
    </row>
    <row r="4328" spans="1:7" x14ac:dyDescent="0.3">
      <c r="A4328" t="s">
        <v>1064</v>
      </c>
      <c r="B4328" t="s">
        <v>35</v>
      </c>
      <c r="C4328" t="s">
        <v>6</v>
      </c>
      <c r="D4328" t="s">
        <v>18</v>
      </c>
      <c r="E4328" s="68">
        <v>31</v>
      </c>
      <c r="F4328" s="68">
        <v>8</v>
      </c>
      <c r="G4328" s="68">
        <v>39</v>
      </c>
    </row>
    <row r="4329" spans="1:7" x14ac:dyDescent="0.3">
      <c r="A4329" t="s">
        <v>1064</v>
      </c>
      <c r="B4329" t="s">
        <v>35</v>
      </c>
      <c r="C4329" t="s">
        <v>6</v>
      </c>
      <c r="D4329" t="s">
        <v>19</v>
      </c>
      <c r="E4329" s="68">
        <v>117</v>
      </c>
      <c r="F4329" s="68">
        <v>17</v>
      </c>
      <c r="G4329" s="68">
        <v>134</v>
      </c>
    </row>
    <row r="4330" spans="1:7" x14ac:dyDescent="0.3">
      <c r="A4330" t="s">
        <v>1064</v>
      </c>
      <c r="B4330" t="s">
        <v>35</v>
      </c>
      <c r="C4330" t="s">
        <v>6</v>
      </c>
      <c r="D4330" t="s">
        <v>20</v>
      </c>
      <c r="E4330" s="68">
        <v>180</v>
      </c>
      <c r="F4330" s="68">
        <v>80</v>
      </c>
      <c r="G4330" s="68">
        <v>260</v>
      </c>
    </row>
    <row r="4331" spans="1:7" x14ac:dyDescent="0.3">
      <c r="A4331" t="s">
        <v>1064</v>
      </c>
      <c r="B4331" t="s">
        <v>35</v>
      </c>
      <c r="C4331" t="s">
        <v>6</v>
      </c>
      <c r="D4331" t="s">
        <v>21</v>
      </c>
      <c r="E4331" s="68">
        <v>207</v>
      </c>
      <c r="F4331" s="68">
        <v>185</v>
      </c>
      <c r="G4331" s="68">
        <v>392</v>
      </c>
    </row>
    <row r="4332" spans="1:7" x14ac:dyDescent="0.3">
      <c r="A4332" t="s">
        <v>1064</v>
      </c>
      <c r="B4332" t="s">
        <v>35</v>
      </c>
      <c r="C4332" t="s">
        <v>6</v>
      </c>
      <c r="D4332" t="s">
        <v>22</v>
      </c>
      <c r="E4332" s="68">
        <v>192</v>
      </c>
      <c r="F4332" s="68">
        <v>189</v>
      </c>
      <c r="G4332" s="68">
        <v>381</v>
      </c>
    </row>
    <row r="4333" spans="1:7" x14ac:dyDescent="0.3">
      <c r="A4333" t="s">
        <v>1064</v>
      </c>
      <c r="B4333" t="s">
        <v>35</v>
      </c>
      <c r="C4333" t="s">
        <v>6</v>
      </c>
      <c r="D4333" t="s">
        <v>23</v>
      </c>
      <c r="E4333" s="68">
        <v>306</v>
      </c>
      <c r="F4333" s="68">
        <v>246</v>
      </c>
      <c r="G4333" s="68">
        <v>552</v>
      </c>
    </row>
    <row r="4334" spans="1:7" x14ac:dyDescent="0.3">
      <c r="A4334" t="s">
        <v>1064</v>
      </c>
      <c r="B4334" t="s">
        <v>588</v>
      </c>
      <c r="C4334" t="s">
        <v>24</v>
      </c>
      <c r="D4334" t="s">
        <v>7</v>
      </c>
      <c r="E4334" s="68">
        <v>1</v>
      </c>
      <c r="F4334" s="68">
        <v>1</v>
      </c>
      <c r="G4334" s="68">
        <v>2</v>
      </c>
    </row>
    <row r="4335" spans="1:7" x14ac:dyDescent="0.3">
      <c r="A4335" t="s">
        <v>1064</v>
      </c>
      <c r="B4335" t="s">
        <v>588</v>
      </c>
      <c r="C4335" t="s">
        <v>24</v>
      </c>
      <c r="D4335" t="s">
        <v>8</v>
      </c>
      <c r="E4335" s="68"/>
      <c r="F4335" s="68">
        <v>1</v>
      </c>
      <c r="G4335" s="68">
        <v>1</v>
      </c>
    </row>
    <row r="4336" spans="1:7" x14ac:dyDescent="0.3">
      <c r="A4336" t="s">
        <v>1064</v>
      </c>
      <c r="B4336" t="s">
        <v>26</v>
      </c>
      <c r="C4336" t="s">
        <v>6</v>
      </c>
      <c r="D4336" t="s">
        <v>7</v>
      </c>
      <c r="E4336" s="68">
        <v>6140</v>
      </c>
      <c r="F4336" s="68">
        <v>6516</v>
      </c>
      <c r="G4336" s="68">
        <v>12656</v>
      </c>
    </row>
    <row r="4337" spans="1:7" x14ac:dyDescent="0.3">
      <c r="A4337" t="s">
        <v>1064</v>
      </c>
      <c r="B4337" t="s">
        <v>26</v>
      </c>
      <c r="C4337" t="s">
        <v>6</v>
      </c>
      <c r="D4337" t="s">
        <v>8</v>
      </c>
      <c r="E4337" s="68">
        <v>7796</v>
      </c>
      <c r="F4337" s="68">
        <v>8258</v>
      </c>
      <c r="G4337" s="68">
        <v>16054</v>
      </c>
    </row>
    <row r="4338" spans="1:7" x14ac:dyDescent="0.3">
      <c r="A4338" t="s">
        <v>1064</v>
      </c>
      <c r="B4338" t="s">
        <v>26</v>
      </c>
      <c r="C4338" t="s">
        <v>6</v>
      </c>
      <c r="D4338" t="s">
        <v>9</v>
      </c>
      <c r="E4338" s="68">
        <v>8140</v>
      </c>
      <c r="F4338" s="68">
        <v>8537</v>
      </c>
      <c r="G4338" s="68">
        <v>16677</v>
      </c>
    </row>
    <row r="4339" spans="1:7" x14ac:dyDescent="0.3">
      <c r="A4339" t="s">
        <v>1064</v>
      </c>
      <c r="B4339" t="s">
        <v>26</v>
      </c>
      <c r="C4339" t="s">
        <v>6</v>
      </c>
      <c r="D4339" t="s">
        <v>10</v>
      </c>
      <c r="E4339" s="68">
        <v>9207</v>
      </c>
      <c r="F4339" s="68">
        <v>9716</v>
      </c>
      <c r="G4339" s="68">
        <v>18923</v>
      </c>
    </row>
    <row r="4340" spans="1:7" x14ac:dyDescent="0.3">
      <c r="A4340" t="s">
        <v>1064</v>
      </c>
      <c r="B4340" t="s">
        <v>26</v>
      </c>
      <c r="C4340" t="s">
        <v>6</v>
      </c>
      <c r="D4340" t="s">
        <v>11</v>
      </c>
      <c r="E4340" s="68">
        <v>13387</v>
      </c>
      <c r="F4340" s="68">
        <v>16587</v>
      </c>
      <c r="G4340" s="68">
        <v>29974</v>
      </c>
    </row>
    <row r="4341" spans="1:7" x14ac:dyDescent="0.3">
      <c r="A4341" t="s">
        <v>1064</v>
      </c>
      <c r="B4341" t="s">
        <v>26</v>
      </c>
      <c r="C4341" t="s">
        <v>6</v>
      </c>
      <c r="D4341" t="s">
        <v>12</v>
      </c>
      <c r="E4341" s="68">
        <v>14045</v>
      </c>
      <c r="F4341" s="68">
        <v>17051</v>
      </c>
      <c r="G4341" s="68">
        <v>31096</v>
      </c>
    </row>
    <row r="4342" spans="1:7" x14ac:dyDescent="0.3">
      <c r="A4342" t="s">
        <v>1064</v>
      </c>
      <c r="B4342" t="s">
        <v>26</v>
      </c>
      <c r="C4342" t="s">
        <v>6</v>
      </c>
      <c r="D4342" t="s">
        <v>13</v>
      </c>
      <c r="E4342" s="68">
        <v>12669</v>
      </c>
      <c r="F4342" s="68">
        <v>14575</v>
      </c>
      <c r="G4342" s="68">
        <v>27244</v>
      </c>
    </row>
    <row r="4343" spans="1:7" x14ac:dyDescent="0.3">
      <c r="A4343" t="s">
        <v>1064</v>
      </c>
      <c r="B4343" t="s">
        <v>26</v>
      </c>
      <c r="C4343" t="s">
        <v>6</v>
      </c>
      <c r="D4343" t="s">
        <v>14</v>
      </c>
      <c r="E4343" s="68">
        <v>9869</v>
      </c>
      <c r="F4343" s="68">
        <v>10661</v>
      </c>
      <c r="G4343" s="68">
        <v>20530</v>
      </c>
    </row>
    <row r="4344" spans="1:7" x14ac:dyDescent="0.3">
      <c r="A4344" t="s">
        <v>1064</v>
      </c>
      <c r="B4344" t="s">
        <v>26</v>
      </c>
      <c r="C4344" t="s">
        <v>6</v>
      </c>
      <c r="D4344" t="s">
        <v>15</v>
      </c>
      <c r="E4344" s="68">
        <v>8196</v>
      </c>
      <c r="F4344" s="68">
        <v>8930</v>
      </c>
      <c r="G4344" s="68">
        <v>17126</v>
      </c>
    </row>
    <row r="4345" spans="1:7" x14ac:dyDescent="0.3">
      <c r="A4345" t="s">
        <v>1064</v>
      </c>
      <c r="B4345" t="s">
        <v>26</v>
      </c>
      <c r="C4345" t="s">
        <v>6</v>
      </c>
      <c r="D4345" t="s">
        <v>16</v>
      </c>
      <c r="E4345" s="68">
        <v>7242</v>
      </c>
      <c r="F4345" s="68">
        <v>7556</v>
      </c>
      <c r="G4345" s="68">
        <v>14798</v>
      </c>
    </row>
    <row r="4346" spans="1:7" x14ac:dyDescent="0.3">
      <c r="A4346" t="s">
        <v>1064</v>
      </c>
      <c r="B4346" t="s">
        <v>26</v>
      </c>
      <c r="C4346" t="s">
        <v>6</v>
      </c>
      <c r="D4346" t="s">
        <v>17</v>
      </c>
      <c r="E4346" s="68">
        <v>7069</v>
      </c>
      <c r="F4346" s="68">
        <v>7069</v>
      </c>
      <c r="G4346" s="68">
        <v>14138</v>
      </c>
    </row>
    <row r="4347" spans="1:7" x14ac:dyDescent="0.3">
      <c r="A4347" t="s">
        <v>1064</v>
      </c>
      <c r="B4347" t="s">
        <v>26</v>
      </c>
      <c r="C4347" t="s">
        <v>6</v>
      </c>
      <c r="D4347" t="s">
        <v>18</v>
      </c>
      <c r="E4347" s="68">
        <v>7890</v>
      </c>
      <c r="F4347" s="68">
        <v>7422</v>
      </c>
      <c r="G4347" s="68">
        <v>15312</v>
      </c>
    </row>
    <row r="4348" spans="1:7" x14ac:dyDescent="0.3">
      <c r="A4348" t="s">
        <v>1064</v>
      </c>
      <c r="B4348" t="s">
        <v>26</v>
      </c>
      <c r="C4348" t="s">
        <v>6</v>
      </c>
      <c r="D4348" t="s">
        <v>19</v>
      </c>
      <c r="E4348" s="68">
        <v>8106</v>
      </c>
      <c r="F4348" s="68">
        <v>7080</v>
      </c>
      <c r="G4348" s="68">
        <v>15186</v>
      </c>
    </row>
    <row r="4349" spans="1:7" x14ac:dyDescent="0.3">
      <c r="A4349" t="s">
        <v>1064</v>
      </c>
      <c r="B4349" t="s">
        <v>26</v>
      </c>
      <c r="C4349" t="s">
        <v>6</v>
      </c>
      <c r="D4349" t="s">
        <v>20</v>
      </c>
      <c r="E4349" s="68">
        <v>7833</v>
      </c>
      <c r="F4349" s="68">
        <v>6245</v>
      </c>
      <c r="G4349" s="68">
        <v>14078</v>
      </c>
    </row>
    <row r="4350" spans="1:7" x14ac:dyDescent="0.3">
      <c r="A4350" t="s">
        <v>1064</v>
      </c>
      <c r="B4350" t="s">
        <v>26</v>
      </c>
      <c r="C4350" t="s">
        <v>6</v>
      </c>
      <c r="D4350" t="s">
        <v>21</v>
      </c>
      <c r="E4350" s="68">
        <v>6837</v>
      </c>
      <c r="F4350" s="68">
        <v>5278</v>
      </c>
      <c r="G4350" s="68">
        <v>12115</v>
      </c>
    </row>
    <row r="4351" spans="1:7" x14ac:dyDescent="0.3">
      <c r="A4351" t="s">
        <v>1064</v>
      </c>
      <c r="B4351" t="s">
        <v>26</v>
      </c>
      <c r="C4351" t="s">
        <v>6</v>
      </c>
      <c r="D4351" t="s">
        <v>22</v>
      </c>
      <c r="E4351" s="68">
        <v>5525</v>
      </c>
      <c r="F4351" s="68">
        <v>4221</v>
      </c>
      <c r="G4351" s="68">
        <v>9746</v>
      </c>
    </row>
    <row r="4352" spans="1:7" x14ac:dyDescent="0.3">
      <c r="A4352" t="s">
        <v>1064</v>
      </c>
      <c r="B4352" t="s">
        <v>26</v>
      </c>
      <c r="C4352" t="s">
        <v>6</v>
      </c>
      <c r="D4352" t="s">
        <v>23</v>
      </c>
      <c r="E4352" s="68">
        <v>7685</v>
      </c>
      <c r="F4352" s="68">
        <v>5032</v>
      </c>
      <c r="G4352" s="68">
        <v>12717</v>
      </c>
    </row>
    <row r="4353" spans="1:7" x14ac:dyDescent="0.3">
      <c r="A4353" t="s">
        <v>1064</v>
      </c>
      <c r="B4353" t="s">
        <v>26</v>
      </c>
      <c r="C4353" t="s">
        <v>24</v>
      </c>
      <c r="D4353" t="s">
        <v>7</v>
      </c>
      <c r="E4353" s="68">
        <v>9881</v>
      </c>
      <c r="F4353" s="68">
        <v>10268</v>
      </c>
      <c r="G4353" s="68">
        <v>20149</v>
      </c>
    </row>
    <row r="4354" spans="1:7" x14ac:dyDescent="0.3">
      <c r="A4354" t="s">
        <v>1064</v>
      </c>
      <c r="B4354" t="s">
        <v>26</v>
      </c>
      <c r="C4354" t="s">
        <v>24</v>
      </c>
      <c r="D4354" t="s">
        <v>8</v>
      </c>
      <c r="E4354" s="68">
        <v>11034</v>
      </c>
      <c r="F4354" s="68">
        <v>11401</v>
      </c>
      <c r="G4354" s="68">
        <v>22435</v>
      </c>
    </row>
    <row r="4355" spans="1:7" x14ac:dyDescent="0.3">
      <c r="A4355" t="s">
        <v>1064</v>
      </c>
      <c r="B4355" t="s">
        <v>26</v>
      </c>
      <c r="C4355" t="s">
        <v>24</v>
      </c>
      <c r="D4355" t="s">
        <v>9</v>
      </c>
      <c r="E4355" s="68">
        <v>11216</v>
      </c>
      <c r="F4355" s="68">
        <v>11591</v>
      </c>
      <c r="G4355" s="68">
        <v>22807</v>
      </c>
    </row>
    <row r="4356" spans="1:7" x14ac:dyDescent="0.3">
      <c r="A4356" t="s">
        <v>1064</v>
      </c>
      <c r="B4356" t="s">
        <v>26</v>
      </c>
      <c r="C4356" t="s">
        <v>24</v>
      </c>
      <c r="D4356" t="s">
        <v>10</v>
      </c>
      <c r="E4356" s="68">
        <v>12175</v>
      </c>
      <c r="F4356" s="68">
        <v>11718</v>
      </c>
      <c r="G4356" s="68">
        <v>23893</v>
      </c>
    </row>
    <row r="4357" spans="1:7" x14ac:dyDescent="0.3">
      <c r="A4357" t="s">
        <v>1064</v>
      </c>
      <c r="B4357" t="s">
        <v>26</v>
      </c>
      <c r="C4357" t="s">
        <v>24</v>
      </c>
      <c r="D4357" t="s">
        <v>11</v>
      </c>
      <c r="E4357" s="68">
        <v>13428</v>
      </c>
      <c r="F4357" s="68">
        <v>12026</v>
      </c>
      <c r="G4357" s="68">
        <v>25454</v>
      </c>
    </row>
    <row r="4358" spans="1:7" x14ac:dyDescent="0.3">
      <c r="A4358" t="s">
        <v>1064</v>
      </c>
      <c r="B4358" t="s">
        <v>26</v>
      </c>
      <c r="C4358" t="s">
        <v>24</v>
      </c>
      <c r="D4358" t="s">
        <v>12</v>
      </c>
      <c r="E4358" s="68">
        <v>13299</v>
      </c>
      <c r="F4358" s="68">
        <v>12226</v>
      </c>
      <c r="G4358" s="68">
        <v>25525</v>
      </c>
    </row>
    <row r="4359" spans="1:7" x14ac:dyDescent="0.3">
      <c r="A4359" t="s">
        <v>1064</v>
      </c>
      <c r="B4359" t="s">
        <v>26</v>
      </c>
      <c r="C4359" t="s">
        <v>24</v>
      </c>
      <c r="D4359" t="s">
        <v>13</v>
      </c>
      <c r="E4359" s="68">
        <v>12013</v>
      </c>
      <c r="F4359" s="68">
        <v>11000</v>
      </c>
      <c r="G4359" s="68">
        <v>23013</v>
      </c>
    </row>
    <row r="4360" spans="1:7" x14ac:dyDescent="0.3">
      <c r="A4360" t="s">
        <v>1064</v>
      </c>
      <c r="B4360" t="s">
        <v>26</v>
      </c>
      <c r="C4360" t="s">
        <v>24</v>
      </c>
      <c r="D4360" t="s">
        <v>14</v>
      </c>
      <c r="E4360" s="68">
        <v>10223</v>
      </c>
      <c r="F4360" s="68">
        <v>8990</v>
      </c>
      <c r="G4360" s="68">
        <v>19213</v>
      </c>
    </row>
    <row r="4361" spans="1:7" x14ac:dyDescent="0.3">
      <c r="A4361" t="s">
        <v>1064</v>
      </c>
      <c r="B4361" t="s">
        <v>26</v>
      </c>
      <c r="C4361" t="s">
        <v>24</v>
      </c>
      <c r="D4361" t="s">
        <v>15</v>
      </c>
      <c r="E4361" s="68">
        <v>9902</v>
      </c>
      <c r="F4361" s="68">
        <v>8558</v>
      </c>
      <c r="G4361" s="68">
        <v>18460</v>
      </c>
    </row>
    <row r="4362" spans="1:7" x14ac:dyDescent="0.3">
      <c r="A4362" t="s">
        <v>1064</v>
      </c>
      <c r="B4362" t="s">
        <v>26</v>
      </c>
      <c r="C4362" t="s">
        <v>24</v>
      </c>
      <c r="D4362" t="s">
        <v>16</v>
      </c>
      <c r="E4362" s="68">
        <v>9827</v>
      </c>
      <c r="F4362" s="68">
        <v>8638</v>
      </c>
      <c r="G4362" s="68">
        <v>18465</v>
      </c>
    </row>
    <row r="4363" spans="1:7" x14ac:dyDescent="0.3">
      <c r="A4363" t="s">
        <v>1064</v>
      </c>
      <c r="B4363" t="s">
        <v>26</v>
      </c>
      <c r="C4363" t="s">
        <v>24</v>
      </c>
      <c r="D4363" t="s">
        <v>17</v>
      </c>
      <c r="E4363" s="68">
        <v>9682</v>
      </c>
      <c r="F4363" s="68">
        <v>8843</v>
      </c>
      <c r="G4363" s="68">
        <v>18525</v>
      </c>
    </row>
    <row r="4364" spans="1:7" x14ac:dyDescent="0.3">
      <c r="A4364" t="s">
        <v>1064</v>
      </c>
      <c r="B4364" t="s">
        <v>26</v>
      </c>
      <c r="C4364" t="s">
        <v>24</v>
      </c>
      <c r="D4364" t="s">
        <v>18</v>
      </c>
      <c r="E4364" s="68">
        <v>9931</v>
      </c>
      <c r="F4364" s="68">
        <v>9417</v>
      </c>
      <c r="G4364" s="68">
        <v>19348</v>
      </c>
    </row>
    <row r="4365" spans="1:7" x14ac:dyDescent="0.3">
      <c r="A4365" t="s">
        <v>1064</v>
      </c>
      <c r="B4365" t="s">
        <v>26</v>
      </c>
      <c r="C4365" t="s">
        <v>24</v>
      </c>
      <c r="D4365" t="s">
        <v>19</v>
      </c>
      <c r="E4365" s="68">
        <v>9102</v>
      </c>
      <c r="F4365" s="68">
        <v>9147</v>
      </c>
      <c r="G4365" s="68">
        <v>18249</v>
      </c>
    </row>
    <row r="4366" spans="1:7" x14ac:dyDescent="0.3">
      <c r="A4366" t="s">
        <v>1064</v>
      </c>
      <c r="B4366" t="s">
        <v>26</v>
      </c>
      <c r="C4366" t="s">
        <v>24</v>
      </c>
      <c r="D4366" t="s">
        <v>20</v>
      </c>
      <c r="E4366" s="68">
        <v>7342</v>
      </c>
      <c r="F4366" s="68">
        <v>7705</v>
      </c>
      <c r="G4366" s="68">
        <v>15047</v>
      </c>
    </row>
    <row r="4367" spans="1:7" x14ac:dyDescent="0.3">
      <c r="A4367" t="s">
        <v>1064</v>
      </c>
      <c r="B4367" t="s">
        <v>26</v>
      </c>
      <c r="C4367" t="s">
        <v>24</v>
      </c>
      <c r="D4367" t="s">
        <v>21</v>
      </c>
      <c r="E4367" s="68">
        <v>5422</v>
      </c>
      <c r="F4367" s="68">
        <v>5892</v>
      </c>
      <c r="G4367" s="68">
        <v>11314</v>
      </c>
    </row>
    <row r="4368" spans="1:7" x14ac:dyDescent="0.3">
      <c r="A4368" t="s">
        <v>1064</v>
      </c>
      <c r="B4368" t="s">
        <v>26</v>
      </c>
      <c r="C4368" t="s">
        <v>24</v>
      </c>
      <c r="D4368" t="s">
        <v>22</v>
      </c>
      <c r="E4368" s="68">
        <v>4119</v>
      </c>
      <c r="F4368" s="68">
        <v>3974</v>
      </c>
      <c r="G4368" s="68">
        <v>8093</v>
      </c>
    </row>
    <row r="4369" spans="1:7" x14ac:dyDescent="0.3">
      <c r="A4369" t="s">
        <v>1064</v>
      </c>
      <c r="B4369" t="s">
        <v>26</v>
      </c>
      <c r="C4369" t="s">
        <v>24</v>
      </c>
      <c r="D4369" t="s">
        <v>23</v>
      </c>
      <c r="E4369" s="68">
        <v>6258</v>
      </c>
      <c r="F4369" s="68">
        <v>4707</v>
      </c>
      <c r="G4369" s="68">
        <v>10965</v>
      </c>
    </row>
    <row r="4370" spans="1:7" x14ac:dyDescent="0.3">
      <c r="A4370" t="s">
        <v>1064</v>
      </c>
      <c r="B4370" t="s">
        <v>1077</v>
      </c>
      <c r="C4370" t="s">
        <v>6</v>
      </c>
      <c r="D4370" t="s">
        <v>7</v>
      </c>
      <c r="E4370" s="68">
        <v>1</v>
      </c>
      <c r="F4370" s="68"/>
      <c r="G4370" s="68">
        <v>1</v>
      </c>
    </row>
    <row r="4371" spans="1:7" x14ac:dyDescent="0.3">
      <c r="A4371" t="s">
        <v>1064</v>
      </c>
      <c r="B4371" t="s">
        <v>1077</v>
      </c>
      <c r="C4371" t="s">
        <v>6</v>
      </c>
      <c r="D4371" t="s">
        <v>9</v>
      </c>
      <c r="E4371" s="68">
        <v>1</v>
      </c>
      <c r="F4371" s="68"/>
      <c r="G4371" s="68">
        <v>1</v>
      </c>
    </row>
    <row r="4372" spans="1:7" x14ac:dyDescent="0.3">
      <c r="A4372" t="s">
        <v>1064</v>
      </c>
      <c r="B4372" t="s">
        <v>1077</v>
      </c>
      <c r="C4372" t="s">
        <v>6</v>
      </c>
      <c r="D4372" t="s">
        <v>10</v>
      </c>
      <c r="E4372" s="68">
        <v>1</v>
      </c>
      <c r="F4372" s="68"/>
      <c r="G4372" s="68">
        <v>1</v>
      </c>
    </row>
    <row r="4373" spans="1:7" x14ac:dyDescent="0.3">
      <c r="A4373" t="s">
        <v>1064</v>
      </c>
      <c r="B4373" t="s">
        <v>1077</v>
      </c>
      <c r="C4373" t="s">
        <v>6</v>
      </c>
      <c r="D4373" t="s">
        <v>11</v>
      </c>
      <c r="E4373" s="68">
        <v>4</v>
      </c>
      <c r="F4373" s="68">
        <v>1</v>
      </c>
      <c r="G4373" s="68">
        <v>5</v>
      </c>
    </row>
    <row r="4374" spans="1:7" x14ac:dyDescent="0.3">
      <c r="A4374" t="s">
        <v>1064</v>
      </c>
      <c r="B4374" t="s">
        <v>1077</v>
      </c>
      <c r="C4374" t="s">
        <v>6</v>
      </c>
      <c r="D4374" t="s">
        <v>12</v>
      </c>
      <c r="E4374" s="68">
        <v>1</v>
      </c>
      <c r="F4374" s="68"/>
      <c r="G4374" s="68">
        <v>1</v>
      </c>
    </row>
    <row r="4375" spans="1:7" x14ac:dyDescent="0.3">
      <c r="A4375" t="s">
        <v>1064</v>
      </c>
      <c r="B4375" t="s">
        <v>1077</v>
      </c>
      <c r="C4375" t="s">
        <v>6</v>
      </c>
      <c r="D4375" t="s">
        <v>13</v>
      </c>
      <c r="E4375" s="68">
        <v>1</v>
      </c>
      <c r="F4375" s="68"/>
      <c r="G4375" s="68">
        <v>1</v>
      </c>
    </row>
    <row r="4376" spans="1:7" x14ac:dyDescent="0.3">
      <c r="A4376" t="s">
        <v>1064</v>
      </c>
      <c r="B4376" t="s">
        <v>1077</v>
      </c>
      <c r="C4376" t="s">
        <v>6</v>
      </c>
      <c r="D4376" t="s">
        <v>14</v>
      </c>
      <c r="E4376" s="68">
        <v>1</v>
      </c>
      <c r="F4376" s="68">
        <v>1</v>
      </c>
      <c r="G4376" s="68">
        <v>2</v>
      </c>
    </row>
    <row r="4377" spans="1:7" x14ac:dyDescent="0.3">
      <c r="A4377" t="s">
        <v>1064</v>
      </c>
      <c r="B4377" t="s">
        <v>1077</v>
      </c>
      <c r="C4377" t="s">
        <v>6</v>
      </c>
      <c r="D4377" t="s">
        <v>15</v>
      </c>
      <c r="E4377" s="68">
        <v>1</v>
      </c>
      <c r="F4377" s="68"/>
      <c r="G4377" s="68">
        <v>1</v>
      </c>
    </row>
    <row r="4378" spans="1:7" x14ac:dyDescent="0.3">
      <c r="A4378" t="s">
        <v>1064</v>
      </c>
      <c r="B4378" t="s">
        <v>1077</v>
      </c>
      <c r="C4378" t="s">
        <v>6</v>
      </c>
      <c r="D4378" t="s">
        <v>22</v>
      </c>
      <c r="E4378" s="68">
        <v>1</v>
      </c>
      <c r="F4378" s="68"/>
      <c r="G4378" s="68">
        <v>1</v>
      </c>
    </row>
    <row r="4379" spans="1:7" x14ac:dyDescent="0.3">
      <c r="A4379" t="s">
        <v>1064</v>
      </c>
      <c r="B4379" t="s">
        <v>27</v>
      </c>
      <c r="C4379" t="s">
        <v>28</v>
      </c>
      <c r="D4379" t="s">
        <v>7</v>
      </c>
      <c r="E4379" s="68">
        <v>360</v>
      </c>
      <c r="F4379" s="68">
        <v>354</v>
      </c>
      <c r="G4379" s="68">
        <v>714</v>
      </c>
    </row>
    <row r="4380" spans="1:7" x14ac:dyDescent="0.3">
      <c r="A4380" t="s">
        <v>1064</v>
      </c>
      <c r="B4380" t="s">
        <v>27</v>
      </c>
      <c r="C4380" t="s">
        <v>28</v>
      </c>
      <c r="D4380" t="s">
        <v>8</v>
      </c>
      <c r="E4380" s="68">
        <v>623</v>
      </c>
      <c r="F4380" s="68">
        <v>612</v>
      </c>
      <c r="G4380" s="68">
        <v>1235</v>
      </c>
    </row>
    <row r="4381" spans="1:7" x14ac:dyDescent="0.3">
      <c r="A4381" t="s">
        <v>1064</v>
      </c>
      <c r="B4381" t="s">
        <v>27</v>
      </c>
      <c r="C4381" t="s">
        <v>28</v>
      </c>
      <c r="D4381" t="s">
        <v>9</v>
      </c>
      <c r="E4381" s="68">
        <v>913</v>
      </c>
      <c r="F4381" s="68">
        <v>985</v>
      </c>
      <c r="G4381" s="68">
        <v>1898</v>
      </c>
    </row>
    <row r="4382" spans="1:7" x14ac:dyDescent="0.3">
      <c r="A4382" t="s">
        <v>1064</v>
      </c>
      <c r="B4382" t="s">
        <v>27</v>
      </c>
      <c r="C4382" t="s">
        <v>28</v>
      </c>
      <c r="D4382" t="s">
        <v>10</v>
      </c>
      <c r="E4382" s="68">
        <v>1243</v>
      </c>
      <c r="F4382" s="68">
        <v>1162</v>
      </c>
      <c r="G4382" s="68">
        <v>2405</v>
      </c>
    </row>
    <row r="4383" spans="1:7" x14ac:dyDescent="0.3">
      <c r="A4383" t="s">
        <v>1064</v>
      </c>
      <c r="B4383" t="s">
        <v>27</v>
      </c>
      <c r="C4383" t="s">
        <v>28</v>
      </c>
      <c r="D4383" t="s">
        <v>11</v>
      </c>
      <c r="E4383" s="68">
        <v>850</v>
      </c>
      <c r="F4383" s="68">
        <v>871</v>
      </c>
      <c r="G4383" s="68">
        <v>1721</v>
      </c>
    </row>
    <row r="4384" spans="1:7" x14ac:dyDescent="0.3">
      <c r="A4384" t="s">
        <v>1064</v>
      </c>
      <c r="B4384" t="s">
        <v>27</v>
      </c>
      <c r="C4384" t="s">
        <v>28</v>
      </c>
      <c r="D4384" t="s">
        <v>12</v>
      </c>
      <c r="E4384" s="68">
        <v>436</v>
      </c>
      <c r="F4384" s="68">
        <v>308</v>
      </c>
      <c r="G4384" s="68">
        <v>744</v>
      </c>
    </row>
    <row r="4385" spans="1:7" x14ac:dyDescent="0.3">
      <c r="A4385" t="s">
        <v>1064</v>
      </c>
      <c r="B4385" t="s">
        <v>27</v>
      </c>
      <c r="C4385" t="s">
        <v>28</v>
      </c>
      <c r="D4385" t="s">
        <v>13</v>
      </c>
      <c r="E4385" s="68">
        <v>942</v>
      </c>
      <c r="F4385" s="68">
        <v>477</v>
      </c>
      <c r="G4385" s="68">
        <v>1419</v>
      </c>
    </row>
    <row r="4386" spans="1:7" x14ac:dyDescent="0.3">
      <c r="A4386" t="s">
        <v>1064</v>
      </c>
      <c r="B4386" t="s">
        <v>27</v>
      </c>
      <c r="C4386" t="s">
        <v>28</v>
      </c>
      <c r="D4386" t="s">
        <v>14</v>
      </c>
      <c r="E4386" s="68">
        <v>1410</v>
      </c>
      <c r="F4386" s="68">
        <v>811</v>
      </c>
      <c r="G4386" s="68">
        <v>2221</v>
      </c>
    </row>
    <row r="4387" spans="1:7" x14ac:dyDescent="0.3">
      <c r="A4387" t="s">
        <v>1064</v>
      </c>
      <c r="B4387" t="s">
        <v>27</v>
      </c>
      <c r="C4387" t="s">
        <v>28</v>
      </c>
      <c r="D4387" t="s">
        <v>15</v>
      </c>
      <c r="E4387" s="68">
        <v>1808</v>
      </c>
      <c r="F4387" s="68">
        <v>1057</v>
      </c>
      <c r="G4387" s="68">
        <v>2865</v>
      </c>
    </row>
    <row r="4388" spans="1:7" x14ac:dyDescent="0.3">
      <c r="A4388" t="s">
        <v>1064</v>
      </c>
      <c r="B4388" t="s">
        <v>27</v>
      </c>
      <c r="C4388" t="s">
        <v>28</v>
      </c>
      <c r="D4388" t="s">
        <v>16</v>
      </c>
      <c r="E4388" s="68">
        <v>1751</v>
      </c>
      <c r="F4388" s="68">
        <v>986</v>
      </c>
      <c r="G4388" s="68">
        <v>2737</v>
      </c>
    </row>
    <row r="4389" spans="1:7" x14ac:dyDescent="0.3">
      <c r="A4389" t="s">
        <v>1064</v>
      </c>
      <c r="B4389" t="s">
        <v>27</v>
      </c>
      <c r="C4389" t="s">
        <v>28</v>
      </c>
      <c r="D4389" t="s">
        <v>17</v>
      </c>
      <c r="E4389" s="68">
        <v>1696</v>
      </c>
      <c r="F4389" s="68">
        <v>881</v>
      </c>
      <c r="G4389" s="68">
        <v>2577</v>
      </c>
    </row>
    <row r="4390" spans="1:7" x14ac:dyDescent="0.3">
      <c r="A4390" t="s">
        <v>1064</v>
      </c>
      <c r="B4390" t="s">
        <v>27</v>
      </c>
      <c r="C4390" t="s">
        <v>28</v>
      </c>
      <c r="D4390" t="s">
        <v>18</v>
      </c>
      <c r="E4390" s="68">
        <v>1691</v>
      </c>
      <c r="F4390" s="68">
        <v>951</v>
      </c>
      <c r="G4390" s="68">
        <v>2642</v>
      </c>
    </row>
    <row r="4391" spans="1:7" x14ac:dyDescent="0.3">
      <c r="A4391" t="s">
        <v>1064</v>
      </c>
      <c r="B4391" t="s">
        <v>27</v>
      </c>
      <c r="C4391" t="s">
        <v>28</v>
      </c>
      <c r="D4391" t="s">
        <v>19</v>
      </c>
      <c r="E4391" s="68">
        <v>1629</v>
      </c>
      <c r="F4391" s="68">
        <v>984</v>
      </c>
      <c r="G4391" s="68">
        <v>2613</v>
      </c>
    </row>
    <row r="4392" spans="1:7" x14ac:dyDescent="0.3">
      <c r="A4392" t="s">
        <v>1064</v>
      </c>
      <c r="B4392" t="s">
        <v>27</v>
      </c>
      <c r="C4392" t="s">
        <v>28</v>
      </c>
      <c r="D4392" t="s">
        <v>20</v>
      </c>
      <c r="E4392" s="68">
        <v>1793</v>
      </c>
      <c r="F4392" s="68">
        <v>1028</v>
      </c>
      <c r="G4392" s="68">
        <v>2821</v>
      </c>
    </row>
    <row r="4393" spans="1:7" x14ac:dyDescent="0.3">
      <c r="A4393" t="s">
        <v>1064</v>
      </c>
      <c r="B4393" t="s">
        <v>27</v>
      </c>
      <c r="C4393" t="s">
        <v>28</v>
      </c>
      <c r="D4393" t="s">
        <v>21</v>
      </c>
      <c r="E4393" s="68">
        <v>1947</v>
      </c>
      <c r="F4393" s="68">
        <v>1031</v>
      </c>
      <c r="G4393" s="68">
        <v>2978</v>
      </c>
    </row>
    <row r="4394" spans="1:7" x14ac:dyDescent="0.3">
      <c r="A4394" t="s">
        <v>1064</v>
      </c>
      <c r="B4394" t="s">
        <v>27</v>
      </c>
      <c r="C4394" t="s">
        <v>28</v>
      </c>
      <c r="D4394" t="s">
        <v>22</v>
      </c>
      <c r="E4394" s="68">
        <v>1283</v>
      </c>
      <c r="F4394" s="68">
        <v>650</v>
      </c>
      <c r="G4394" s="68">
        <v>1933</v>
      </c>
    </row>
    <row r="4395" spans="1:7" x14ac:dyDescent="0.3">
      <c r="A4395" t="s">
        <v>1064</v>
      </c>
      <c r="B4395" t="s">
        <v>27</v>
      </c>
      <c r="C4395" t="s">
        <v>28</v>
      </c>
      <c r="D4395" t="s">
        <v>23</v>
      </c>
      <c r="E4395" s="68">
        <v>910</v>
      </c>
      <c r="F4395" s="68">
        <v>536</v>
      </c>
      <c r="G4395" s="68">
        <v>1446</v>
      </c>
    </row>
    <row r="4396" spans="1:7" x14ac:dyDescent="0.3">
      <c r="A4396" t="s">
        <v>1064</v>
      </c>
      <c r="B4396" t="s">
        <v>27</v>
      </c>
      <c r="C4396" t="s">
        <v>29</v>
      </c>
      <c r="D4396" t="s">
        <v>10</v>
      </c>
      <c r="E4396" s="68"/>
      <c r="F4396" s="68">
        <v>9</v>
      </c>
      <c r="G4396" s="68">
        <v>9</v>
      </c>
    </row>
    <row r="4397" spans="1:7" x14ac:dyDescent="0.3">
      <c r="A4397" t="s">
        <v>1064</v>
      </c>
      <c r="B4397" t="s">
        <v>27</v>
      </c>
      <c r="C4397" t="s">
        <v>29</v>
      </c>
      <c r="D4397" t="s">
        <v>11</v>
      </c>
      <c r="E4397" s="68">
        <v>26</v>
      </c>
      <c r="F4397" s="68">
        <v>330</v>
      </c>
      <c r="G4397" s="68">
        <v>356</v>
      </c>
    </row>
    <row r="4398" spans="1:7" x14ac:dyDescent="0.3">
      <c r="A4398" t="s">
        <v>1064</v>
      </c>
      <c r="B4398" t="s">
        <v>27</v>
      </c>
      <c r="C4398" t="s">
        <v>29</v>
      </c>
      <c r="D4398" t="s">
        <v>12</v>
      </c>
      <c r="E4398" s="68">
        <v>71</v>
      </c>
      <c r="F4398" s="68">
        <v>694</v>
      </c>
      <c r="G4398" s="68">
        <v>765</v>
      </c>
    </row>
    <row r="4399" spans="1:7" x14ac:dyDescent="0.3">
      <c r="A4399" t="s">
        <v>1064</v>
      </c>
      <c r="B4399" t="s">
        <v>27</v>
      </c>
      <c r="C4399" t="s">
        <v>29</v>
      </c>
      <c r="D4399" t="s">
        <v>13</v>
      </c>
      <c r="E4399" s="68">
        <v>41</v>
      </c>
      <c r="F4399" s="68">
        <v>641</v>
      </c>
      <c r="G4399" s="68">
        <v>682</v>
      </c>
    </row>
    <row r="4400" spans="1:7" x14ac:dyDescent="0.3">
      <c r="A4400" t="s">
        <v>1064</v>
      </c>
      <c r="B4400" t="s">
        <v>27</v>
      </c>
      <c r="C4400" t="s">
        <v>29</v>
      </c>
      <c r="D4400" t="s">
        <v>14</v>
      </c>
      <c r="E4400" s="68">
        <v>36</v>
      </c>
      <c r="F4400" s="68">
        <v>464</v>
      </c>
      <c r="G4400" s="68">
        <v>500</v>
      </c>
    </row>
    <row r="4401" spans="1:7" x14ac:dyDescent="0.3">
      <c r="A4401" t="s">
        <v>1064</v>
      </c>
      <c r="B4401" t="s">
        <v>27</v>
      </c>
      <c r="C4401" t="s">
        <v>29</v>
      </c>
      <c r="D4401" t="s">
        <v>15</v>
      </c>
      <c r="E4401" s="68">
        <v>23</v>
      </c>
      <c r="F4401" s="68">
        <v>390</v>
      </c>
      <c r="G4401" s="68">
        <v>413</v>
      </c>
    </row>
    <row r="4402" spans="1:7" x14ac:dyDescent="0.3">
      <c r="A4402" t="s">
        <v>1064</v>
      </c>
      <c r="B4402" t="s">
        <v>27</v>
      </c>
      <c r="C4402" t="s">
        <v>29</v>
      </c>
      <c r="D4402" t="s">
        <v>16</v>
      </c>
      <c r="E4402" s="68">
        <v>14</v>
      </c>
      <c r="F4402" s="68">
        <v>237</v>
      </c>
      <c r="G4402" s="68">
        <v>251</v>
      </c>
    </row>
    <row r="4403" spans="1:7" x14ac:dyDescent="0.3">
      <c r="A4403" t="s">
        <v>1064</v>
      </c>
      <c r="B4403" t="s">
        <v>27</v>
      </c>
      <c r="C4403" t="s">
        <v>29</v>
      </c>
      <c r="D4403" t="s">
        <v>17</v>
      </c>
      <c r="E4403" s="68">
        <v>12</v>
      </c>
      <c r="F4403" s="68">
        <v>184</v>
      </c>
      <c r="G4403" s="68">
        <v>196</v>
      </c>
    </row>
    <row r="4404" spans="1:7" x14ac:dyDescent="0.3">
      <c r="A4404" t="s">
        <v>1064</v>
      </c>
      <c r="B4404" t="s">
        <v>27</v>
      </c>
      <c r="C4404" t="s">
        <v>29</v>
      </c>
      <c r="D4404" t="s">
        <v>18</v>
      </c>
      <c r="E4404" s="68">
        <v>4</v>
      </c>
      <c r="F4404" s="68">
        <v>145</v>
      </c>
      <c r="G4404" s="68">
        <v>149</v>
      </c>
    </row>
    <row r="4405" spans="1:7" x14ac:dyDescent="0.3">
      <c r="A4405" t="s">
        <v>1064</v>
      </c>
      <c r="B4405" t="s">
        <v>27</v>
      </c>
      <c r="C4405" t="s">
        <v>29</v>
      </c>
      <c r="D4405" t="s">
        <v>19</v>
      </c>
      <c r="E4405" s="68">
        <v>3</v>
      </c>
      <c r="F4405" s="68">
        <v>78</v>
      </c>
      <c r="G4405" s="68">
        <v>81</v>
      </c>
    </row>
    <row r="4406" spans="1:7" x14ac:dyDescent="0.3">
      <c r="A4406" t="s">
        <v>1064</v>
      </c>
      <c r="B4406" t="s">
        <v>27</v>
      </c>
      <c r="C4406" t="s">
        <v>29</v>
      </c>
      <c r="D4406" t="s">
        <v>20</v>
      </c>
      <c r="E4406" s="68">
        <v>1</v>
      </c>
      <c r="F4406" s="68">
        <v>57</v>
      </c>
      <c r="G4406" s="68">
        <v>58</v>
      </c>
    </row>
    <row r="4407" spans="1:7" x14ac:dyDescent="0.3">
      <c r="A4407" t="s">
        <v>1064</v>
      </c>
      <c r="B4407" t="s">
        <v>27</v>
      </c>
      <c r="C4407" t="s">
        <v>29</v>
      </c>
      <c r="D4407" t="s">
        <v>21</v>
      </c>
      <c r="E4407" s="68"/>
      <c r="F4407" s="68">
        <v>29</v>
      </c>
      <c r="G4407" s="68">
        <v>29</v>
      </c>
    </row>
    <row r="4408" spans="1:7" x14ac:dyDescent="0.3">
      <c r="A4408" t="s">
        <v>1064</v>
      </c>
      <c r="B4408" t="s">
        <v>27</v>
      </c>
      <c r="C4408" t="s">
        <v>29</v>
      </c>
      <c r="D4408" t="s">
        <v>22</v>
      </c>
      <c r="E4408" s="68"/>
      <c r="F4408" s="68">
        <v>8</v>
      </c>
      <c r="G4408" s="68">
        <v>8</v>
      </c>
    </row>
    <row r="4409" spans="1:7" x14ac:dyDescent="0.3">
      <c r="A4409" t="s">
        <v>1064</v>
      </c>
      <c r="B4409" t="s">
        <v>27</v>
      </c>
      <c r="C4409" t="s">
        <v>29</v>
      </c>
      <c r="D4409" t="s">
        <v>23</v>
      </c>
      <c r="E4409" s="68"/>
      <c r="F4409" s="68">
        <v>5</v>
      </c>
      <c r="G4409" s="68">
        <v>5</v>
      </c>
    </row>
    <row r="4410" spans="1:7" x14ac:dyDescent="0.3">
      <c r="A4410" t="s">
        <v>1064</v>
      </c>
      <c r="B4410" t="s">
        <v>36</v>
      </c>
      <c r="C4410" t="s">
        <v>6</v>
      </c>
      <c r="D4410" t="s">
        <v>7</v>
      </c>
      <c r="E4410" s="68">
        <v>6665</v>
      </c>
      <c r="F4410" s="68">
        <v>6945</v>
      </c>
      <c r="G4410" s="68">
        <v>13610</v>
      </c>
    </row>
    <row r="4411" spans="1:7" x14ac:dyDescent="0.3">
      <c r="A4411" t="s">
        <v>1064</v>
      </c>
      <c r="B4411" t="s">
        <v>36</v>
      </c>
      <c r="C4411" t="s">
        <v>6</v>
      </c>
      <c r="D4411" t="s">
        <v>8</v>
      </c>
      <c r="E4411" s="68">
        <v>9869</v>
      </c>
      <c r="F4411" s="68">
        <v>10295</v>
      </c>
      <c r="G4411" s="68">
        <v>20164</v>
      </c>
    </row>
    <row r="4412" spans="1:7" x14ac:dyDescent="0.3">
      <c r="A4412" t="s">
        <v>1064</v>
      </c>
      <c r="B4412" t="s">
        <v>36</v>
      </c>
      <c r="C4412" t="s">
        <v>6</v>
      </c>
      <c r="D4412" t="s">
        <v>9</v>
      </c>
      <c r="E4412" s="68">
        <v>11337</v>
      </c>
      <c r="F4412" s="68">
        <v>12119</v>
      </c>
      <c r="G4412" s="68">
        <v>23456</v>
      </c>
    </row>
    <row r="4413" spans="1:7" x14ac:dyDescent="0.3">
      <c r="A4413" t="s">
        <v>1064</v>
      </c>
      <c r="B4413" t="s">
        <v>36</v>
      </c>
      <c r="C4413" t="s">
        <v>6</v>
      </c>
      <c r="D4413" t="s">
        <v>10</v>
      </c>
      <c r="E4413" s="68">
        <v>12150</v>
      </c>
      <c r="F4413" s="68">
        <v>12294</v>
      </c>
      <c r="G4413" s="68">
        <v>24444</v>
      </c>
    </row>
    <row r="4414" spans="1:7" x14ac:dyDescent="0.3">
      <c r="A4414" t="s">
        <v>1064</v>
      </c>
      <c r="B4414" t="s">
        <v>36</v>
      </c>
      <c r="C4414" t="s">
        <v>6</v>
      </c>
      <c r="D4414" t="s">
        <v>11</v>
      </c>
      <c r="E4414" s="68">
        <v>12610</v>
      </c>
      <c r="F4414" s="68">
        <v>13919</v>
      </c>
      <c r="G4414" s="68">
        <v>26529</v>
      </c>
    </row>
    <row r="4415" spans="1:7" x14ac:dyDescent="0.3">
      <c r="A4415" t="s">
        <v>1064</v>
      </c>
      <c r="B4415" t="s">
        <v>36</v>
      </c>
      <c r="C4415" t="s">
        <v>6</v>
      </c>
      <c r="D4415" t="s">
        <v>12</v>
      </c>
      <c r="E4415" s="68">
        <v>13163</v>
      </c>
      <c r="F4415" s="68">
        <v>14397</v>
      </c>
      <c r="G4415" s="68">
        <v>27560</v>
      </c>
    </row>
    <row r="4416" spans="1:7" x14ac:dyDescent="0.3">
      <c r="A4416" t="s">
        <v>1064</v>
      </c>
      <c r="B4416" t="s">
        <v>36</v>
      </c>
      <c r="C4416" t="s">
        <v>6</v>
      </c>
      <c r="D4416" t="s">
        <v>13</v>
      </c>
      <c r="E4416" s="68">
        <v>13394</v>
      </c>
      <c r="F4416" s="68">
        <v>13670</v>
      </c>
      <c r="G4416" s="68">
        <v>27064</v>
      </c>
    </row>
    <row r="4417" spans="1:7" x14ac:dyDescent="0.3">
      <c r="A4417" t="s">
        <v>1064</v>
      </c>
      <c r="B4417" t="s">
        <v>36</v>
      </c>
      <c r="C4417" t="s">
        <v>6</v>
      </c>
      <c r="D4417" t="s">
        <v>14</v>
      </c>
      <c r="E4417" s="68">
        <v>12465</v>
      </c>
      <c r="F4417" s="68">
        <v>11978</v>
      </c>
      <c r="G4417" s="68">
        <v>24443</v>
      </c>
    </row>
    <row r="4418" spans="1:7" x14ac:dyDescent="0.3">
      <c r="A4418" t="s">
        <v>1064</v>
      </c>
      <c r="B4418" t="s">
        <v>36</v>
      </c>
      <c r="C4418" t="s">
        <v>6</v>
      </c>
      <c r="D4418" t="s">
        <v>15</v>
      </c>
      <c r="E4418" s="68">
        <v>11173</v>
      </c>
      <c r="F4418" s="68">
        <v>10943</v>
      </c>
      <c r="G4418" s="68">
        <v>22116</v>
      </c>
    </row>
    <row r="4419" spans="1:7" x14ac:dyDescent="0.3">
      <c r="A4419" t="s">
        <v>1064</v>
      </c>
      <c r="B4419" t="s">
        <v>36</v>
      </c>
      <c r="C4419" t="s">
        <v>6</v>
      </c>
      <c r="D4419" t="s">
        <v>16</v>
      </c>
      <c r="E4419" s="68">
        <v>8933</v>
      </c>
      <c r="F4419" s="68">
        <v>8846</v>
      </c>
      <c r="G4419" s="68">
        <v>17779</v>
      </c>
    </row>
    <row r="4420" spans="1:7" x14ac:dyDescent="0.3">
      <c r="A4420" t="s">
        <v>1064</v>
      </c>
      <c r="B4420" t="s">
        <v>36</v>
      </c>
      <c r="C4420" t="s">
        <v>6</v>
      </c>
      <c r="D4420" t="s">
        <v>17</v>
      </c>
      <c r="E4420" s="68">
        <v>6897</v>
      </c>
      <c r="F4420" s="68">
        <v>6910</v>
      </c>
      <c r="G4420" s="68">
        <v>13807</v>
      </c>
    </row>
    <row r="4421" spans="1:7" x14ac:dyDescent="0.3">
      <c r="A4421" t="s">
        <v>1064</v>
      </c>
      <c r="B4421" t="s">
        <v>36</v>
      </c>
      <c r="C4421" t="s">
        <v>6</v>
      </c>
      <c r="D4421" t="s">
        <v>18</v>
      </c>
      <c r="E4421" s="68">
        <v>5762</v>
      </c>
      <c r="F4421" s="68">
        <v>5689</v>
      </c>
      <c r="G4421" s="68">
        <v>11451</v>
      </c>
    </row>
    <row r="4422" spans="1:7" x14ac:dyDescent="0.3">
      <c r="A4422" t="s">
        <v>1064</v>
      </c>
      <c r="B4422" t="s">
        <v>36</v>
      </c>
      <c r="C4422" t="s">
        <v>6</v>
      </c>
      <c r="D4422" t="s">
        <v>19</v>
      </c>
      <c r="E4422" s="68">
        <v>4725</v>
      </c>
      <c r="F4422" s="68">
        <v>4439</v>
      </c>
      <c r="G4422" s="68">
        <v>9164</v>
      </c>
    </row>
    <row r="4423" spans="1:7" x14ac:dyDescent="0.3">
      <c r="A4423" t="s">
        <v>1064</v>
      </c>
      <c r="B4423" t="s">
        <v>36</v>
      </c>
      <c r="C4423" t="s">
        <v>6</v>
      </c>
      <c r="D4423" t="s">
        <v>20</v>
      </c>
      <c r="E4423" s="68">
        <v>3358</v>
      </c>
      <c r="F4423" s="68">
        <v>3086</v>
      </c>
      <c r="G4423" s="68">
        <v>6444</v>
      </c>
    </row>
    <row r="4424" spans="1:7" x14ac:dyDescent="0.3">
      <c r="A4424" t="s">
        <v>1064</v>
      </c>
      <c r="B4424" t="s">
        <v>36</v>
      </c>
      <c r="C4424" t="s">
        <v>6</v>
      </c>
      <c r="D4424" t="s">
        <v>21</v>
      </c>
      <c r="E4424" s="68">
        <v>2241</v>
      </c>
      <c r="F4424" s="68">
        <v>2121</v>
      </c>
      <c r="G4424" s="68">
        <v>4362</v>
      </c>
    </row>
    <row r="4425" spans="1:7" x14ac:dyDescent="0.3">
      <c r="A4425" t="s">
        <v>1064</v>
      </c>
      <c r="B4425" t="s">
        <v>36</v>
      </c>
      <c r="C4425" t="s">
        <v>6</v>
      </c>
      <c r="D4425" t="s">
        <v>22</v>
      </c>
      <c r="E4425" s="68">
        <v>1269</v>
      </c>
      <c r="F4425" s="68">
        <v>1211</v>
      </c>
      <c r="G4425" s="68">
        <v>2480</v>
      </c>
    </row>
    <row r="4426" spans="1:7" x14ac:dyDescent="0.3">
      <c r="A4426" t="s">
        <v>1064</v>
      </c>
      <c r="B4426" t="s">
        <v>36</v>
      </c>
      <c r="C4426" t="s">
        <v>6</v>
      </c>
      <c r="D4426" t="s">
        <v>23</v>
      </c>
      <c r="E4426" s="68">
        <v>1325</v>
      </c>
      <c r="F4426" s="68">
        <v>957</v>
      </c>
      <c r="G4426" s="68">
        <v>2282</v>
      </c>
    </row>
    <row r="4427" spans="1:7" x14ac:dyDescent="0.3">
      <c r="A4427" t="s">
        <v>1064</v>
      </c>
      <c r="B4427" t="s">
        <v>36</v>
      </c>
      <c r="C4427" t="s">
        <v>24</v>
      </c>
      <c r="D4427" t="s">
        <v>7</v>
      </c>
      <c r="E4427" s="68">
        <v>3577</v>
      </c>
      <c r="F4427" s="68">
        <v>3874</v>
      </c>
      <c r="G4427" s="68">
        <v>7451</v>
      </c>
    </row>
    <row r="4428" spans="1:7" x14ac:dyDescent="0.3">
      <c r="A4428" t="s">
        <v>1064</v>
      </c>
      <c r="B4428" t="s">
        <v>36</v>
      </c>
      <c r="C4428" t="s">
        <v>24</v>
      </c>
      <c r="D4428" t="s">
        <v>8</v>
      </c>
      <c r="E4428" s="68">
        <v>4964</v>
      </c>
      <c r="F4428" s="68">
        <v>5170</v>
      </c>
      <c r="G4428" s="68">
        <v>10134</v>
      </c>
    </row>
    <row r="4429" spans="1:7" x14ac:dyDescent="0.3">
      <c r="A4429" t="s">
        <v>1064</v>
      </c>
      <c r="B4429" t="s">
        <v>36</v>
      </c>
      <c r="C4429" t="s">
        <v>24</v>
      </c>
      <c r="D4429" t="s">
        <v>9</v>
      </c>
      <c r="E4429" s="68">
        <v>5035</v>
      </c>
      <c r="F4429" s="68">
        <v>5411</v>
      </c>
      <c r="G4429" s="68">
        <v>10446</v>
      </c>
    </row>
    <row r="4430" spans="1:7" x14ac:dyDescent="0.3">
      <c r="A4430" t="s">
        <v>1064</v>
      </c>
      <c r="B4430" t="s">
        <v>36</v>
      </c>
      <c r="C4430" t="s">
        <v>24</v>
      </c>
      <c r="D4430" t="s">
        <v>10</v>
      </c>
      <c r="E4430" s="68">
        <v>5365</v>
      </c>
      <c r="F4430" s="68">
        <v>5621</v>
      </c>
      <c r="G4430" s="68">
        <v>10986</v>
      </c>
    </row>
    <row r="4431" spans="1:7" x14ac:dyDescent="0.3">
      <c r="A4431" t="s">
        <v>1064</v>
      </c>
      <c r="B4431" t="s">
        <v>36</v>
      </c>
      <c r="C4431" t="s">
        <v>24</v>
      </c>
      <c r="D4431" t="s">
        <v>11</v>
      </c>
      <c r="E4431" s="68">
        <v>5406</v>
      </c>
      <c r="F4431" s="68">
        <v>5049</v>
      </c>
      <c r="G4431" s="68">
        <v>10455</v>
      </c>
    </row>
    <row r="4432" spans="1:7" x14ac:dyDescent="0.3">
      <c r="A4432" t="s">
        <v>1064</v>
      </c>
      <c r="B4432" t="s">
        <v>36</v>
      </c>
      <c r="C4432" t="s">
        <v>24</v>
      </c>
      <c r="D4432" t="s">
        <v>12</v>
      </c>
      <c r="E4432" s="68">
        <v>5367</v>
      </c>
      <c r="F4432" s="68">
        <v>4848</v>
      </c>
      <c r="G4432" s="68">
        <v>10215</v>
      </c>
    </row>
    <row r="4433" spans="1:7" x14ac:dyDescent="0.3">
      <c r="A4433" t="s">
        <v>1064</v>
      </c>
      <c r="B4433" t="s">
        <v>36</v>
      </c>
      <c r="C4433" t="s">
        <v>24</v>
      </c>
      <c r="D4433" t="s">
        <v>13</v>
      </c>
      <c r="E4433" s="68">
        <v>4773</v>
      </c>
      <c r="F4433" s="68">
        <v>4201</v>
      </c>
      <c r="G4433" s="68">
        <v>8974</v>
      </c>
    </row>
    <row r="4434" spans="1:7" x14ac:dyDescent="0.3">
      <c r="A4434" t="s">
        <v>1064</v>
      </c>
      <c r="B4434" t="s">
        <v>36</v>
      </c>
      <c r="C4434" t="s">
        <v>24</v>
      </c>
      <c r="D4434" t="s">
        <v>14</v>
      </c>
      <c r="E4434" s="68">
        <v>4277</v>
      </c>
      <c r="F4434" s="68">
        <v>3595</v>
      </c>
      <c r="G4434" s="68">
        <v>7872</v>
      </c>
    </row>
    <row r="4435" spans="1:7" x14ac:dyDescent="0.3">
      <c r="A4435" t="s">
        <v>1064</v>
      </c>
      <c r="B4435" t="s">
        <v>36</v>
      </c>
      <c r="C4435" t="s">
        <v>24</v>
      </c>
      <c r="D4435" t="s">
        <v>15</v>
      </c>
      <c r="E4435" s="68">
        <v>4215</v>
      </c>
      <c r="F4435" s="68">
        <v>3362</v>
      </c>
      <c r="G4435" s="68">
        <v>7577</v>
      </c>
    </row>
    <row r="4436" spans="1:7" x14ac:dyDescent="0.3">
      <c r="A4436" t="s">
        <v>1064</v>
      </c>
      <c r="B4436" t="s">
        <v>36</v>
      </c>
      <c r="C4436" t="s">
        <v>24</v>
      </c>
      <c r="D4436" t="s">
        <v>16</v>
      </c>
      <c r="E4436" s="68">
        <v>4121</v>
      </c>
      <c r="F4436" s="68">
        <v>3335</v>
      </c>
      <c r="G4436" s="68">
        <v>7456</v>
      </c>
    </row>
    <row r="4437" spans="1:7" x14ac:dyDescent="0.3">
      <c r="A4437" t="s">
        <v>1064</v>
      </c>
      <c r="B4437" t="s">
        <v>36</v>
      </c>
      <c r="C4437" t="s">
        <v>24</v>
      </c>
      <c r="D4437" t="s">
        <v>17</v>
      </c>
      <c r="E4437" s="68">
        <v>3821</v>
      </c>
      <c r="F4437" s="68">
        <v>3442</v>
      </c>
      <c r="G4437" s="68">
        <v>7263</v>
      </c>
    </row>
    <row r="4438" spans="1:7" x14ac:dyDescent="0.3">
      <c r="A4438" t="s">
        <v>1064</v>
      </c>
      <c r="B4438" t="s">
        <v>36</v>
      </c>
      <c r="C4438" t="s">
        <v>24</v>
      </c>
      <c r="D4438" t="s">
        <v>18</v>
      </c>
      <c r="E4438" s="68">
        <v>3769</v>
      </c>
      <c r="F4438" s="68">
        <v>3611</v>
      </c>
      <c r="G4438" s="68">
        <v>7380</v>
      </c>
    </row>
    <row r="4439" spans="1:7" x14ac:dyDescent="0.3">
      <c r="A4439" t="s">
        <v>1064</v>
      </c>
      <c r="B4439" t="s">
        <v>36</v>
      </c>
      <c r="C4439" t="s">
        <v>24</v>
      </c>
      <c r="D4439" t="s">
        <v>19</v>
      </c>
      <c r="E4439" s="68">
        <v>3575</v>
      </c>
      <c r="F4439" s="68">
        <v>3573</v>
      </c>
      <c r="G4439" s="68">
        <v>7148</v>
      </c>
    </row>
    <row r="4440" spans="1:7" x14ac:dyDescent="0.3">
      <c r="A4440" t="s">
        <v>1064</v>
      </c>
      <c r="B4440" t="s">
        <v>36</v>
      </c>
      <c r="C4440" t="s">
        <v>24</v>
      </c>
      <c r="D4440" t="s">
        <v>20</v>
      </c>
      <c r="E4440" s="68">
        <v>2855</v>
      </c>
      <c r="F4440" s="68">
        <v>3075</v>
      </c>
      <c r="G4440" s="68">
        <v>5930</v>
      </c>
    </row>
    <row r="4441" spans="1:7" x14ac:dyDescent="0.3">
      <c r="A4441" t="s">
        <v>1064</v>
      </c>
      <c r="B4441" t="s">
        <v>36</v>
      </c>
      <c r="C4441" t="s">
        <v>24</v>
      </c>
      <c r="D4441" t="s">
        <v>21</v>
      </c>
      <c r="E4441" s="68">
        <v>2043</v>
      </c>
      <c r="F4441" s="68">
        <v>2316</v>
      </c>
      <c r="G4441" s="68">
        <v>4359</v>
      </c>
    </row>
    <row r="4442" spans="1:7" x14ac:dyDescent="0.3">
      <c r="A4442" t="s">
        <v>1064</v>
      </c>
      <c r="B4442" t="s">
        <v>36</v>
      </c>
      <c r="C4442" t="s">
        <v>24</v>
      </c>
      <c r="D4442" t="s">
        <v>22</v>
      </c>
      <c r="E4442" s="68">
        <v>1526</v>
      </c>
      <c r="F4442" s="68">
        <v>1584</v>
      </c>
      <c r="G4442" s="68">
        <v>3110</v>
      </c>
    </row>
    <row r="4443" spans="1:7" x14ac:dyDescent="0.3">
      <c r="A4443" t="s">
        <v>1064</v>
      </c>
      <c r="B4443" t="s">
        <v>36</v>
      </c>
      <c r="C4443" t="s">
        <v>24</v>
      </c>
      <c r="D4443" t="s">
        <v>23</v>
      </c>
      <c r="E4443" s="68">
        <v>2137</v>
      </c>
      <c r="F4443" s="68">
        <v>1763</v>
      </c>
      <c r="G4443" s="68">
        <v>3900</v>
      </c>
    </row>
    <row r="4444" spans="1:7" x14ac:dyDescent="0.3">
      <c r="A4444" t="s">
        <v>1176</v>
      </c>
      <c r="B4444" t="s">
        <v>31</v>
      </c>
      <c r="C4444" t="s">
        <v>6</v>
      </c>
      <c r="D4444" t="s">
        <v>12</v>
      </c>
      <c r="E4444" s="68">
        <v>1</v>
      </c>
      <c r="F4444" s="68"/>
      <c r="G4444" s="68">
        <v>1</v>
      </c>
    </row>
    <row r="4445" spans="1:7" x14ac:dyDescent="0.3">
      <c r="A4445" t="s">
        <v>1176</v>
      </c>
      <c r="B4445" t="s">
        <v>31</v>
      </c>
      <c r="C4445" t="s">
        <v>6</v>
      </c>
      <c r="D4445" t="s">
        <v>13</v>
      </c>
      <c r="E4445" s="68"/>
      <c r="F4445" s="68">
        <v>1</v>
      </c>
      <c r="G4445" s="68">
        <v>1</v>
      </c>
    </row>
    <row r="4446" spans="1:7" x14ac:dyDescent="0.3">
      <c r="A4446" t="s">
        <v>1176</v>
      </c>
      <c r="B4446" t="s">
        <v>26</v>
      </c>
      <c r="C4446" t="s">
        <v>6</v>
      </c>
      <c r="D4446" t="s">
        <v>7</v>
      </c>
      <c r="E4446" s="68">
        <v>134</v>
      </c>
      <c r="F4446" s="68">
        <v>147</v>
      </c>
      <c r="G4446" s="68">
        <v>281</v>
      </c>
    </row>
    <row r="4447" spans="1:7" x14ac:dyDescent="0.3">
      <c r="A4447" t="s">
        <v>1176</v>
      </c>
      <c r="B4447" t="s">
        <v>26</v>
      </c>
      <c r="C4447" t="s">
        <v>6</v>
      </c>
      <c r="D4447" t="s">
        <v>8</v>
      </c>
      <c r="E4447" s="68">
        <v>114</v>
      </c>
      <c r="F4447" s="68">
        <v>120</v>
      </c>
      <c r="G4447" s="68">
        <v>234</v>
      </c>
    </row>
    <row r="4448" spans="1:7" x14ac:dyDescent="0.3">
      <c r="A4448" t="s">
        <v>1176</v>
      </c>
      <c r="B4448" t="s">
        <v>26</v>
      </c>
      <c r="C4448" t="s">
        <v>6</v>
      </c>
      <c r="D4448" t="s">
        <v>9</v>
      </c>
      <c r="E4448" s="68">
        <v>121</v>
      </c>
      <c r="F4448" s="68">
        <v>131</v>
      </c>
      <c r="G4448" s="68">
        <v>252</v>
      </c>
    </row>
    <row r="4449" spans="1:7" x14ac:dyDescent="0.3">
      <c r="A4449" t="s">
        <v>1176</v>
      </c>
      <c r="B4449" t="s">
        <v>26</v>
      </c>
      <c r="C4449" t="s">
        <v>6</v>
      </c>
      <c r="D4449" t="s">
        <v>10</v>
      </c>
      <c r="E4449" s="68">
        <v>111</v>
      </c>
      <c r="F4449" s="68">
        <v>112</v>
      </c>
      <c r="G4449" s="68">
        <v>223</v>
      </c>
    </row>
    <row r="4450" spans="1:7" x14ac:dyDescent="0.3">
      <c r="A4450" t="s">
        <v>1176</v>
      </c>
      <c r="B4450" t="s">
        <v>26</v>
      </c>
      <c r="C4450" t="s">
        <v>6</v>
      </c>
      <c r="D4450" t="s">
        <v>11</v>
      </c>
      <c r="E4450" s="68">
        <v>256</v>
      </c>
      <c r="F4450" s="68">
        <v>257</v>
      </c>
      <c r="G4450" s="68">
        <v>513</v>
      </c>
    </row>
    <row r="4451" spans="1:7" x14ac:dyDescent="0.3">
      <c r="A4451" t="s">
        <v>1176</v>
      </c>
      <c r="B4451" t="s">
        <v>26</v>
      </c>
      <c r="C4451" t="s">
        <v>6</v>
      </c>
      <c r="D4451" t="s">
        <v>12</v>
      </c>
      <c r="E4451" s="68">
        <v>463</v>
      </c>
      <c r="F4451" s="68">
        <v>490</v>
      </c>
      <c r="G4451" s="68">
        <v>953</v>
      </c>
    </row>
    <row r="4452" spans="1:7" x14ac:dyDescent="0.3">
      <c r="A4452" t="s">
        <v>1176</v>
      </c>
      <c r="B4452" t="s">
        <v>26</v>
      </c>
      <c r="C4452" t="s">
        <v>6</v>
      </c>
      <c r="D4452" t="s">
        <v>13</v>
      </c>
      <c r="E4452" s="68">
        <v>491</v>
      </c>
      <c r="F4452" s="68">
        <v>472</v>
      </c>
      <c r="G4452" s="68">
        <v>963</v>
      </c>
    </row>
    <row r="4453" spans="1:7" x14ac:dyDescent="0.3">
      <c r="A4453" t="s">
        <v>1176</v>
      </c>
      <c r="B4453" t="s">
        <v>26</v>
      </c>
      <c r="C4453" t="s">
        <v>6</v>
      </c>
      <c r="D4453" t="s">
        <v>14</v>
      </c>
      <c r="E4453" s="68">
        <v>387</v>
      </c>
      <c r="F4453" s="68">
        <v>397</v>
      </c>
      <c r="G4453" s="68">
        <v>784</v>
      </c>
    </row>
    <row r="4454" spans="1:7" x14ac:dyDescent="0.3">
      <c r="A4454" t="s">
        <v>1176</v>
      </c>
      <c r="B4454" t="s">
        <v>26</v>
      </c>
      <c r="C4454" t="s">
        <v>6</v>
      </c>
      <c r="D4454" t="s">
        <v>15</v>
      </c>
      <c r="E4454" s="68">
        <v>305</v>
      </c>
      <c r="F4454" s="68">
        <v>281</v>
      </c>
      <c r="G4454" s="68">
        <v>586</v>
      </c>
    </row>
    <row r="4455" spans="1:7" x14ac:dyDescent="0.3">
      <c r="A4455" t="s">
        <v>1176</v>
      </c>
      <c r="B4455" t="s">
        <v>26</v>
      </c>
      <c r="C4455" t="s">
        <v>6</v>
      </c>
      <c r="D4455" t="s">
        <v>16</v>
      </c>
      <c r="E4455" s="68">
        <v>224</v>
      </c>
      <c r="F4455" s="68">
        <v>221</v>
      </c>
      <c r="G4455" s="68">
        <v>445</v>
      </c>
    </row>
    <row r="4456" spans="1:7" x14ac:dyDescent="0.3">
      <c r="A4456" t="s">
        <v>1176</v>
      </c>
      <c r="B4456" t="s">
        <v>26</v>
      </c>
      <c r="C4456" t="s">
        <v>6</v>
      </c>
      <c r="D4456" t="s">
        <v>17</v>
      </c>
      <c r="E4456" s="68">
        <v>179</v>
      </c>
      <c r="F4456" s="68">
        <v>177</v>
      </c>
      <c r="G4456" s="68">
        <v>356</v>
      </c>
    </row>
    <row r="4457" spans="1:7" x14ac:dyDescent="0.3">
      <c r="A4457" t="s">
        <v>1176</v>
      </c>
      <c r="B4457" t="s">
        <v>26</v>
      </c>
      <c r="C4457" t="s">
        <v>6</v>
      </c>
      <c r="D4457" t="s">
        <v>18</v>
      </c>
      <c r="E4457" s="68">
        <v>127</v>
      </c>
      <c r="F4457" s="68">
        <v>137</v>
      </c>
      <c r="G4457" s="68">
        <v>264</v>
      </c>
    </row>
    <row r="4458" spans="1:7" x14ac:dyDescent="0.3">
      <c r="A4458" t="s">
        <v>1176</v>
      </c>
      <c r="B4458" t="s">
        <v>26</v>
      </c>
      <c r="C4458" t="s">
        <v>6</v>
      </c>
      <c r="D4458" t="s">
        <v>19</v>
      </c>
      <c r="E4458" s="68">
        <v>101</v>
      </c>
      <c r="F4458" s="68">
        <v>102</v>
      </c>
      <c r="G4458" s="68">
        <v>203</v>
      </c>
    </row>
    <row r="4459" spans="1:7" x14ac:dyDescent="0.3">
      <c r="A4459" t="s">
        <v>1176</v>
      </c>
      <c r="B4459" t="s">
        <v>26</v>
      </c>
      <c r="C4459" t="s">
        <v>6</v>
      </c>
      <c r="D4459" t="s">
        <v>20</v>
      </c>
      <c r="E4459" s="68">
        <v>70</v>
      </c>
      <c r="F4459" s="68">
        <v>70</v>
      </c>
      <c r="G4459" s="68">
        <v>140</v>
      </c>
    </row>
    <row r="4460" spans="1:7" x14ac:dyDescent="0.3">
      <c r="A4460" t="s">
        <v>1176</v>
      </c>
      <c r="B4460" t="s">
        <v>26</v>
      </c>
      <c r="C4460" t="s">
        <v>6</v>
      </c>
      <c r="D4460" t="s">
        <v>21</v>
      </c>
      <c r="E4460" s="68">
        <v>39</v>
      </c>
      <c r="F4460" s="68">
        <v>37</v>
      </c>
      <c r="G4460" s="68">
        <v>76</v>
      </c>
    </row>
    <row r="4461" spans="1:7" x14ac:dyDescent="0.3">
      <c r="A4461" t="s">
        <v>1176</v>
      </c>
      <c r="B4461" t="s">
        <v>26</v>
      </c>
      <c r="C4461" t="s">
        <v>6</v>
      </c>
      <c r="D4461" t="s">
        <v>22</v>
      </c>
      <c r="E4461" s="68">
        <v>19</v>
      </c>
      <c r="F4461" s="68">
        <v>28</v>
      </c>
      <c r="G4461" s="68">
        <v>47</v>
      </c>
    </row>
    <row r="4462" spans="1:7" x14ac:dyDescent="0.3">
      <c r="A4462" t="s">
        <v>1176</v>
      </c>
      <c r="B4462" t="s">
        <v>26</v>
      </c>
      <c r="C4462" t="s">
        <v>6</v>
      </c>
      <c r="D4462" t="s">
        <v>23</v>
      </c>
      <c r="E4462" s="68">
        <v>21</v>
      </c>
      <c r="F4462" s="68">
        <v>18</v>
      </c>
      <c r="G4462" s="68">
        <v>39</v>
      </c>
    </row>
    <row r="4463" spans="1:7" x14ac:dyDescent="0.3">
      <c r="A4463" t="s">
        <v>1176</v>
      </c>
      <c r="B4463" t="s">
        <v>26</v>
      </c>
      <c r="C4463" t="s">
        <v>24</v>
      </c>
      <c r="D4463" t="s">
        <v>7</v>
      </c>
      <c r="E4463" s="68">
        <v>2564</v>
      </c>
      <c r="F4463" s="68">
        <v>2674</v>
      </c>
      <c r="G4463" s="68">
        <v>5238</v>
      </c>
    </row>
    <row r="4464" spans="1:7" x14ac:dyDescent="0.3">
      <c r="A4464" t="s">
        <v>1176</v>
      </c>
      <c r="B4464" t="s">
        <v>26</v>
      </c>
      <c r="C4464" t="s">
        <v>24</v>
      </c>
      <c r="D4464" t="s">
        <v>8</v>
      </c>
      <c r="E4464" s="68">
        <v>2782</v>
      </c>
      <c r="F4464" s="68">
        <v>2887</v>
      </c>
      <c r="G4464" s="68">
        <v>5669</v>
      </c>
    </row>
    <row r="4465" spans="1:7" x14ac:dyDescent="0.3">
      <c r="A4465" t="s">
        <v>1176</v>
      </c>
      <c r="B4465" t="s">
        <v>26</v>
      </c>
      <c r="C4465" t="s">
        <v>24</v>
      </c>
      <c r="D4465" t="s">
        <v>9</v>
      </c>
      <c r="E4465" s="68">
        <v>2804</v>
      </c>
      <c r="F4465" s="68">
        <v>2817</v>
      </c>
      <c r="G4465" s="68">
        <v>5621</v>
      </c>
    </row>
    <row r="4466" spans="1:7" x14ac:dyDescent="0.3">
      <c r="A4466" t="s">
        <v>1176</v>
      </c>
      <c r="B4466" t="s">
        <v>26</v>
      </c>
      <c r="C4466" t="s">
        <v>24</v>
      </c>
      <c r="D4466" t="s">
        <v>10</v>
      </c>
      <c r="E4466" s="68">
        <v>2563</v>
      </c>
      <c r="F4466" s="68">
        <v>2695</v>
      </c>
      <c r="G4466" s="68">
        <v>5258</v>
      </c>
    </row>
    <row r="4467" spans="1:7" x14ac:dyDescent="0.3">
      <c r="A4467" t="s">
        <v>1176</v>
      </c>
      <c r="B4467" t="s">
        <v>26</v>
      </c>
      <c r="C4467" t="s">
        <v>24</v>
      </c>
      <c r="D4467" t="s">
        <v>11</v>
      </c>
      <c r="E4467" s="68">
        <v>2060</v>
      </c>
      <c r="F4467" s="68">
        <v>1689</v>
      </c>
      <c r="G4467" s="68">
        <v>3749</v>
      </c>
    </row>
    <row r="4468" spans="1:7" x14ac:dyDescent="0.3">
      <c r="A4468" t="s">
        <v>1176</v>
      </c>
      <c r="B4468" t="s">
        <v>26</v>
      </c>
      <c r="C4468" t="s">
        <v>24</v>
      </c>
      <c r="D4468" t="s">
        <v>12</v>
      </c>
      <c r="E4468" s="68">
        <v>1910</v>
      </c>
      <c r="F4468" s="68">
        <v>1758</v>
      </c>
      <c r="G4468" s="68">
        <v>3668</v>
      </c>
    </row>
    <row r="4469" spans="1:7" x14ac:dyDescent="0.3">
      <c r="A4469" t="s">
        <v>1176</v>
      </c>
      <c r="B4469" t="s">
        <v>26</v>
      </c>
      <c r="C4469" t="s">
        <v>24</v>
      </c>
      <c r="D4469" t="s">
        <v>13</v>
      </c>
      <c r="E4469" s="68">
        <v>1594</v>
      </c>
      <c r="F4469" s="68">
        <v>1498</v>
      </c>
      <c r="G4469" s="68">
        <v>3092</v>
      </c>
    </row>
    <row r="4470" spans="1:7" x14ac:dyDescent="0.3">
      <c r="A4470" t="s">
        <v>1176</v>
      </c>
      <c r="B4470" t="s">
        <v>26</v>
      </c>
      <c r="C4470" t="s">
        <v>24</v>
      </c>
      <c r="D4470" t="s">
        <v>14</v>
      </c>
      <c r="E4470" s="68">
        <v>1355</v>
      </c>
      <c r="F4470" s="68">
        <v>1288</v>
      </c>
      <c r="G4470" s="68">
        <v>2643</v>
      </c>
    </row>
    <row r="4471" spans="1:7" x14ac:dyDescent="0.3">
      <c r="A4471" t="s">
        <v>1176</v>
      </c>
      <c r="B4471" t="s">
        <v>26</v>
      </c>
      <c r="C4471" t="s">
        <v>24</v>
      </c>
      <c r="D4471" t="s">
        <v>15</v>
      </c>
      <c r="E4471" s="68">
        <v>1183</v>
      </c>
      <c r="F4471" s="68">
        <v>1211</v>
      </c>
      <c r="G4471" s="68">
        <v>2394</v>
      </c>
    </row>
    <row r="4472" spans="1:7" x14ac:dyDescent="0.3">
      <c r="A4472" t="s">
        <v>1176</v>
      </c>
      <c r="B4472" t="s">
        <v>26</v>
      </c>
      <c r="C4472" t="s">
        <v>24</v>
      </c>
      <c r="D4472" t="s">
        <v>16</v>
      </c>
      <c r="E4472" s="68">
        <v>1070</v>
      </c>
      <c r="F4472" s="68">
        <v>1159</v>
      </c>
      <c r="G4472" s="68">
        <v>2229</v>
      </c>
    </row>
    <row r="4473" spans="1:7" x14ac:dyDescent="0.3">
      <c r="A4473" t="s">
        <v>1176</v>
      </c>
      <c r="B4473" t="s">
        <v>26</v>
      </c>
      <c r="C4473" t="s">
        <v>24</v>
      </c>
      <c r="D4473" t="s">
        <v>17</v>
      </c>
      <c r="E4473" s="68">
        <v>865</v>
      </c>
      <c r="F4473" s="68">
        <v>1046</v>
      </c>
      <c r="G4473" s="68">
        <v>1911</v>
      </c>
    </row>
    <row r="4474" spans="1:7" x14ac:dyDescent="0.3">
      <c r="A4474" t="s">
        <v>1176</v>
      </c>
      <c r="B4474" t="s">
        <v>26</v>
      </c>
      <c r="C4474" t="s">
        <v>24</v>
      </c>
      <c r="D4474" t="s">
        <v>18</v>
      </c>
      <c r="E4474" s="68">
        <v>820</v>
      </c>
      <c r="F4474" s="68">
        <v>926</v>
      </c>
      <c r="G4474" s="68">
        <v>1746</v>
      </c>
    </row>
    <row r="4475" spans="1:7" x14ac:dyDescent="0.3">
      <c r="A4475" t="s">
        <v>1176</v>
      </c>
      <c r="B4475" t="s">
        <v>26</v>
      </c>
      <c r="C4475" t="s">
        <v>24</v>
      </c>
      <c r="D4475" t="s">
        <v>19</v>
      </c>
      <c r="E4475" s="68">
        <v>607</v>
      </c>
      <c r="F4475" s="68">
        <v>777</v>
      </c>
      <c r="G4475" s="68">
        <v>1384</v>
      </c>
    </row>
    <row r="4476" spans="1:7" x14ac:dyDescent="0.3">
      <c r="A4476" t="s">
        <v>1176</v>
      </c>
      <c r="B4476" t="s">
        <v>26</v>
      </c>
      <c r="C4476" t="s">
        <v>24</v>
      </c>
      <c r="D4476" t="s">
        <v>20</v>
      </c>
      <c r="E4476" s="68">
        <v>439</v>
      </c>
      <c r="F4476" s="68">
        <v>656</v>
      </c>
      <c r="G4476" s="68">
        <v>1095</v>
      </c>
    </row>
    <row r="4477" spans="1:7" x14ac:dyDescent="0.3">
      <c r="A4477" t="s">
        <v>1176</v>
      </c>
      <c r="B4477" t="s">
        <v>26</v>
      </c>
      <c r="C4477" t="s">
        <v>24</v>
      </c>
      <c r="D4477" t="s">
        <v>21</v>
      </c>
      <c r="E4477" s="68">
        <v>229</v>
      </c>
      <c r="F4477" s="68">
        <v>324</v>
      </c>
      <c r="G4477" s="68">
        <v>553</v>
      </c>
    </row>
    <row r="4478" spans="1:7" x14ac:dyDescent="0.3">
      <c r="A4478" t="s">
        <v>1176</v>
      </c>
      <c r="B4478" t="s">
        <v>26</v>
      </c>
      <c r="C4478" t="s">
        <v>24</v>
      </c>
      <c r="D4478" t="s">
        <v>22</v>
      </c>
      <c r="E4478" s="68">
        <v>277</v>
      </c>
      <c r="F4478" s="68">
        <v>342</v>
      </c>
      <c r="G4478" s="68">
        <v>619</v>
      </c>
    </row>
    <row r="4479" spans="1:7" x14ac:dyDescent="0.3">
      <c r="A4479" t="s">
        <v>1176</v>
      </c>
      <c r="B4479" t="s">
        <v>26</v>
      </c>
      <c r="C4479" t="s">
        <v>24</v>
      </c>
      <c r="D4479" t="s">
        <v>23</v>
      </c>
      <c r="E4479" s="68">
        <v>384</v>
      </c>
      <c r="F4479" s="68">
        <v>442</v>
      </c>
      <c r="G4479" s="68">
        <v>826</v>
      </c>
    </row>
    <row r="4480" spans="1:7" x14ac:dyDescent="0.3">
      <c r="A4480" t="s">
        <v>1176</v>
      </c>
      <c r="B4480" t="s">
        <v>27</v>
      </c>
      <c r="C4480" t="s">
        <v>28</v>
      </c>
      <c r="D4480" t="s">
        <v>7</v>
      </c>
      <c r="E4480" s="68">
        <v>27</v>
      </c>
      <c r="F4480" s="68">
        <v>17</v>
      </c>
      <c r="G4480" s="68">
        <v>44</v>
      </c>
    </row>
    <row r="4481" spans="1:7" x14ac:dyDescent="0.3">
      <c r="A4481" t="s">
        <v>1176</v>
      </c>
      <c r="B4481" t="s">
        <v>27</v>
      </c>
      <c r="C4481" t="s">
        <v>28</v>
      </c>
      <c r="D4481" t="s">
        <v>8</v>
      </c>
      <c r="E4481" s="68">
        <v>28</v>
      </c>
      <c r="F4481" s="68">
        <v>39</v>
      </c>
      <c r="G4481" s="68">
        <v>67</v>
      </c>
    </row>
    <row r="4482" spans="1:7" x14ac:dyDescent="0.3">
      <c r="A4482" t="s">
        <v>1176</v>
      </c>
      <c r="B4482" t="s">
        <v>27</v>
      </c>
      <c r="C4482" t="s">
        <v>28</v>
      </c>
      <c r="D4482" t="s">
        <v>9</v>
      </c>
      <c r="E4482" s="68">
        <v>50</v>
      </c>
      <c r="F4482" s="68">
        <v>40</v>
      </c>
      <c r="G4482" s="68">
        <v>90</v>
      </c>
    </row>
    <row r="4483" spans="1:7" x14ac:dyDescent="0.3">
      <c r="A4483" t="s">
        <v>1176</v>
      </c>
      <c r="B4483" t="s">
        <v>27</v>
      </c>
      <c r="C4483" t="s">
        <v>28</v>
      </c>
      <c r="D4483" t="s">
        <v>10</v>
      </c>
      <c r="E4483" s="68">
        <v>52</v>
      </c>
      <c r="F4483" s="68">
        <v>50</v>
      </c>
      <c r="G4483" s="68">
        <v>102</v>
      </c>
    </row>
    <row r="4484" spans="1:7" x14ac:dyDescent="0.3">
      <c r="A4484" t="s">
        <v>1176</v>
      </c>
      <c r="B4484" t="s">
        <v>27</v>
      </c>
      <c r="C4484" t="s">
        <v>28</v>
      </c>
      <c r="D4484" t="s">
        <v>11</v>
      </c>
      <c r="E4484" s="68">
        <v>31</v>
      </c>
      <c r="F4484" s="68">
        <v>28</v>
      </c>
      <c r="G4484" s="68">
        <v>59</v>
      </c>
    </row>
    <row r="4485" spans="1:7" x14ac:dyDescent="0.3">
      <c r="A4485" t="s">
        <v>1176</v>
      </c>
      <c r="B4485" t="s">
        <v>27</v>
      </c>
      <c r="C4485" t="s">
        <v>28</v>
      </c>
      <c r="D4485" t="s">
        <v>12</v>
      </c>
      <c r="E4485" s="68">
        <v>27</v>
      </c>
      <c r="F4485" s="68">
        <v>17</v>
      </c>
      <c r="G4485" s="68">
        <v>44</v>
      </c>
    </row>
    <row r="4486" spans="1:7" x14ac:dyDescent="0.3">
      <c r="A4486" t="s">
        <v>1176</v>
      </c>
      <c r="B4486" t="s">
        <v>27</v>
      </c>
      <c r="C4486" t="s">
        <v>28</v>
      </c>
      <c r="D4486" t="s">
        <v>13</v>
      </c>
      <c r="E4486" s="68">
        <v>31</v>
      </c>
      <c r="F4486" s="68">
        <v>26</v>
      </c>
      <c r="G4486" s="68">
        <v>57</v>
      </c>
    </row>
    <row r="4487" spans="1:7" x14ac:dyDescent="0.3">
      <c r="A4487" t="s">
        <v>1176</v>
      </c>
      <c r="B4487" t="s">
        <v>27</v>
      </c>
      <c r="C4487" t="s">
        <v>28</v>
      </c>
      <c r="D4487" t="s">
        <v>14</v>
      </c>
      <c r="E4487" s="68">
        <v>42</v>
      </c>
      <c r="F4487" s="68">
        <v>44</v>
      </c>
      <c r="G4487" s="68">
        <v>86</v>
      </c>
    </row>
    <row r="4488" spans="1:7" x14ac:dyDescent="0.3">
      <c r="A4488" t="s">
        <v>1176</v>
      </c>
      <c r="B4488" t="s">
        <v>27</v>
      </c>
      <c r="C4488" t="s">
        <v>28</v>
      </c>
      <c r="D4488" t="s">
        <v>15</v>
      </c>
      <c r="E4488" s="68">
        <v>43</v>
      </c>
      <c r="F4488" s="68">
        <v>43</v>
      </c>
      <c r="G4488" s="68">
        <v>86</v>
      </c>
    </row>
    <row r="4489" spans="1:7" x14ac:dyDescent="0.3">
      <c r="A4489" t="s">
        <v>1176</v>
      </c>
      <c r="B4489" t="s">
        <v>27</v>
      </c>
      <c r="C4489" t="s">
        <v>28</v>
      </c>
      <c r="D4489" t="s">
        <v>16</v>
      </c>
      <c r="E4489" s="68">
        <v>36</v>
      </c>
      <c r="F4489" s="68">
        <v>39</v>
      </c>
      <c r="G4489" s="68">
        <v>75</v>
      </c>
    </row>
    <row r="4490" spans="1:7" x14ac:dyDescent="0.3">
      <c r="A4490" t="s">
        <v>1176</v>
      </c>
      <c r="B4490" t="s">
        <v>27</v>
      </c>
      <c r="C4490" t="s">
        <v>28</v>
      </c>
      <c r="D4490" t="s">
        <v>17</v>
      </c>
      <c r="E4490" s="68">
        <v>49</v>
      </c>
      <c r="F4490" s="68">
        <v>64</v>
      </c>
      <c r="G4490" s="68">
        <v>113</v>
      </c>
    </row>
    <row r="4491" spans="1:7" x14ac:dyDescent="0.3">
      <c r="A4491" t="s">
        <v>1176</v>
      </c>
      <c r="B4491" t="s">
        <v>27</v>
      </c>
      <c r="C4491" t="s">
        <v>28</v>
      </c>
      <c r="D4491" t="s">
        <v>18</v>
      </c>
      <c r="E4491" s="68">
        <v>37</v>
      </c>
      <c r="F4491" s="68">
        <v>40</v>
      </c>
      <c r="G4491" s="68">
        <v>77</v>
      </c>
    </row>
    <row r="4492" spans="1:7" x14ac:dyDescent="0.3">
      <c r="A4492" t="s">
        <v>1176</v>
      </c>
      <c r="B4492" t="s">
        <v>27</v>
      </c>
      <c r="C4492" t="s">
        <v>28</v>
      </c>
      <c r="D4492" t="s">
        <v>19</v>
      </c>
      <c r="E4492" s="68">
        <v>20</v>
      </c>
      <c r="F4492" s="68">
        <v>32</v>
      </c>
      <c r="G4492" s="68">
        <v>52</v>
      </c>
    </row>
    <row r="4493" spans="1:7" x14ac:dyDescent="0.3">
      <c r="A4493" t="s">
        <v>1176</v>
      </c>
      <c r="B4493" t="s">
        <v>27</v>
      </c>
      <c r="C4493" t="s">
        <v>28</v>
      </c>
      <c r="D4493" t="s">
        <v>20</v>
      </c>
      <c r="E4493" s="68">
        <v>28</v>
      </c>
      <c r="F4493" s="68">
        <v>31</v>
      </c>
      <c r="G4493" s="68">
        <v>59</v>
      </c>
    </row>
    <row r="4494" spans="1:7" x14ac:dyDescent="0.3">
      <c r="A4494" t="s">
        <v>1176</v>
      </c>
      <c r="B4494" t="s">
        <v>27</v>
      </c>
      <c r="C4494" t="s">
        <v>28</v>
      </c>
      <c r="D4494" t="s">
        <v>21</v>
      </c>
      <c r="E4494" s="68">
        <v>12</v>
      </c>
      <c r="F4494" s="68">
        <v>14</v>
      </c>
      <c r="G4494" s="68">
        <v>26</v>
      </c>
    </row>
    <row r="4495" spans="1:7" x14ac:dyDescent="0.3">
      <c r="A4495" t="s">
        <v>1176</v>
      </c>
      <c r="B4495" t="s">
        <v>27</v>
      </c>
      <c r="C4495" t="s">
        <v>28</v>
      </c>
      <c r="D4495" t="s">
        <v>22</v>
      </c>
      <c r="E4495" s="68">
        <v>7</v>
      </c>
      <c r="F4495" s="68">
        <v>11</v>
      </c>
      <c r="G4495" s="68">
        <v>18</v>
      </c>
    </row>
    <row r="4496" spans="1:7" x14ac:dyDescent="0.3">
      <c r="A4496" t="s">
        <v>1176</v>
      </c>
      <c r="B4496" t="s">
        <v>27</v>
      </c>
      <c r="C4496" t="s">
        <v>28</v>
      </c>
      <c r="D4496" t="s">
        <v>23</v>
      </c>
      <c r="E4496" s="68">
        <v>3</v>
      </c>
      <c r="F4496" s="68">
        <v>4</v>
      </c>
      <c r="G4496" s="68">
        <v>7</v>
      </c>
    </row>
    <row r="4497" spans="1:7" x14ac:dyDescent="0.3">
      <c r="A4497" t="s">
        <v>1176</v>
      </c>
      <c r="B4497" t="s">
        <v>27</v>
      </c>
      <c r="C4497" t="s">
        <v>29</v>
      </c>
      <c r="D4497" t="s">
        <v>11</v>
      </c>
      <c r="E4497" s="68"/>
      <c r="F4497" s="68">
        <v>1</v>
      </c>
      <c r="G4497" s="68">
        <v>1</v>
      </c>
    </row>
    <row r="4498" spans="1:7" x14ac:dyDescent="0.3">
      <c r="A4498" t="s">
        <v>1176</v>
      </c>
      <c r="B4498" t="s">
        <v>27</v>
      </c>
      <c r="C4498" t="s">
        <v>29</v>
      </c>
      <c r="D4498" t="s">
        <v>12</v>
      </c>
      <c r="E4498" s="68"/>
      <c r="F4498" s="68">
        <v>8</v>
      </c>
      <c r="G4498" s="68">
        <v>8</v>
      </c>
    </row>
    <row r="4499" spans="1:7" x14ac:dyDescent="0.3">
      <c r="A4499" t="s">
        <v>1176</v>
      </c>
      <c r="B4499" t="s">
        <v>27</v>
      </c>
      <c r="C4499" t="s">
        <v>29</v>
      </c>
      <c r="D4499" t="s">
        <v>13</v>
      </c>
      <c r="E4499" s="68">
        <v>1</v>
      </c>
      <c r="F4499" s="68">
        <v>6</v>
      </c>
      <c r="G4499" s="68">
        <v>7</v>
      </c>
    </row>
    <row r="4500" spans="1:7" x14ac:dyDescent="0.3">
      <c r="A4500" t="s">
        <v>1176</v>
      </c>
      <c r="B4500" t="s">
        <v>27</v>
      </c>
      <c r="C4500" t="s">
        <v>29</v>
      </c>
      <c r="D4500" t="s">
        <v>14</v>
      </c>
      <c r="E4500" s="68">
        <v>2</v>
      </c>
      <c r="F4500" s="68">
        <v>4</v>
      </c>
      <c r="G4500" s="68">
        <v>6</v>
      </c>
    </row>
    <row r="4501" spans="1:7" x14ac:dyDescent="0.3">
      <c r="A4501" t="s">
        <v>1176</v>
      </c>
      <c r="B4501" t="s">
        <v>27</v>
      </c>
      <c r="C4501" t="s">
        <v>29</v>
      </c>
      <c r="D4501" t="s">
        <v>15</v>
      </c>
      <c r="E4501" s="68"/>
      <c r="F4501" s="68">
        <v>2</v>
      </c>
      <c r="G4501" s="68">
        <v>2</v>
      </c>
    </row>
    <row r="4502" spans="1:7" x14ac:dyDescent="0.3">
      <c r="A4502" t="s">
        <v>1176</v>
      </c>
      <c r="B4502" t="s">
        <v>27</v>
      </c>
      <c r="C4502" t="s">
        <v>29</v>
      </c>
      <c r="D4502" t="s">
        <v>16</v>
      </c>
      <c r="E4502" s="68">
        <v>1</v>
      </c>
      <c r="F4502" s="68">
        <v>1</v>
      </c>
      <c r="G4502" s="68">
        <v>2</v>
      </c>
    </row>
    <row r="4503" spans="1:7" x14ac:dyDescent="0.3">
      <c r="A4503" t="s">
        <v>1176</v>
      </c>
      <c r="B4503" t="s">
        <v>27</v>
      </c>
      <c r="C4503" t="s">
        <v>29</v>
      </c>
      <c r="D4503" t="s">
        <v>17</v>
      </c>
      <c r="E4503" s="68"/>
      <c r="F4503" s="68">
        <v>4</v>
      </c>
      <c r="G4503" s="68">
        <v>4</v>
      </c>
    </row>
    <row r="4504" spans="1:7" x14ac:dyDescent="0.3">
      <c r="A4504" t="s">
        <v>1176</v>
      </c>
      <c r="B4504" t="s">
        <v>27</v>
      </c>
      <c r="C4504" t="s">
        <v>29</v>
      </c>
      <c r="D4504" t="s">
        <v>18</v>
      </c>
      <c r="E4504" s="68"/>
      <c r="F4504" s="68">
        <v>4</v>
      </c>
      <c r="G4504" s="68">
        <v>4</v>
      </c>
    </row>
    <row r="4505" spans="1:7" x14ac:dyDescent="0.3">
      <c r="A4505" t="s">
        <v>1176</v>
      </c>
      <c r="B4505" t="s">
        <v>27</v>
      </c>
      <c r="C4505" t="s">
        <v>29</v>
      </c>
      <c r="D4505" t="s">
        <v>19</v>
      </c>
      <c r="E4505" s="68"/>
      <c r="F4505" s="68">
        <v>4</v>
      </c>
      <c r="G4505" s="68">
        <v>4</v>
      </c>
    </row>
    <row r="4506" spans="1:7" x14ac:dyDescent="0.3">
      <c r="A4506" t="s">
        <v>1176</v>
      </c>
      <c r="B4506" t="s">
        <v>27</v>
      </c>
      <c r="C4506" t="s">
        <v>29</v>
      </c>
      <c r="D4506" t="s">
        <v>20</v>
      </c>
      <c r="E4506" s="68"/>
      <c r="F4506" s="68">
        <v>2</v>
      </c>
      <c r="G4506" s="68">
        <v>2</v>
      </c>
    </row>
    <row r="4507" spans="1:7" x14ac:dyDescent="0.3">
      <c r="A4507" t="s">
        <v>1176</v>
      </c>
      <c r="B4507" t="s">
        <v>27</v>
      </c>
      <c r="C4507" t="s">
        <v>29</v>
      </c>
      <c r="D4507" t="s">
        <v>23</v>
      </c>
      <c r="E4507" s="68"/>
      <c r="F4507" s="68">
        <v>1</v>
      </c>
      <c r="G4507" s="68">
        <v>1</v>
      </c>
    </row>
    <row r="4508" spans="1:7" x14ac:dyDescent="0.3">
      <c r="A4508" t="s">
        <v>1186</v>
      </c>
      <c r="B4508" t="s">
        <v>31</v>
      </c>
      <c r="C4508" t="s">
        <v>24</v>
      </c>
      <c r="D4508" t="s">
        <v>20</v>
      </c>
      <c r="E4508" s="68"/>
      <c r="F4508" s="68">
        <v>1</v>
      </c>
      <c r="G4508" s="68">
        <v>1</v>
      </c>
    </row>
    <row r="4509" spans="1:7" x14ac:dyDescent="0.3">
      <c r="A4509" t="s">
        <v>1186</v>
      </c>
      <c r="B4509" t="s">
        <v>26</v>
      </c>
      <c r="C4509" t="s">
        <v>6</v>
      </c>
      <c r="D4509" t="s">
        <v>7</v>
      </c>
      <c r="E4509" s="68">
        <v>522</v>
      </c>
      <c r="F4509" s="68">
        <v>618</v>
      </c>
      <c r="G4509" s="68">
        <v>1140</v>
      </c>
    </row>
    <row r="4510" spans="1:7" x14ac:dyDescent="0.3">
      <c r="A4510" t="s">
        <v>1186</v>
      </c>
      <c r="B4510" t="s">
        <v>26</v>
      </c>
      <c r="C4510" t="s">
        <v>6</v>
      </c>
      <c r="D4510" t="s">
        <v>8</v>
      </c>
      <c r="E4510" s="68">
        <v>768</v>
      </c>
      <c r="F4510" s="68">
        <v>843</v>
      </c>
      <c r="G4510" s="68">
        <v>1611</v>
      </c>
    </row>
    <row r="4511" spans="1:7" x14ac:dyDescent="0.3">
      <c r="A4511" t="s">
        <v>1186</v>
      </c>
      <c r="B4511" t="s">
        <v>26</v>
      </c>
      <c r="C4511" t="s">
        <v>6</v>
      </c>
      <c r="D4511" t="s">
        <v>9</v>
      </c>
      <c r="E4511" s="68">
        <v>684</v>
      </c>
      <c r="F4511" s="68">
        <v>693</v>
      </c>
      <c r="G4511" s="68">
        <v>1377</v>
      </c>
    </row>
    <row r="4512" spans="1:7" x14ac:dyDescent="0.3">
      <c r="A4512" t="s">
        <v>1186</v>
      </c>
      <c r="B4512" t="s">
        <v>26</v>
      </c>
      <c r="C4512" t="s">
        <v>6</v>
      </c>
      <c r="D4512" t="s">
        <v>10</v>
      </c>
      <c r="E4512" s="68">
        <v>705</v>
      </c>
      <c r="F4512" s="68">
        <v>740</v>
      </c>
      <c r="G4512" s="68">
        <v>1445</v>
      </c>
    </row>
    <row r="4513" spans="1:7" x14ac:dyDescent="0.3">
      <c r="A4513" t="s">
        <v>1186</v>
      </c>
      <c r="B4513" t="s">
        <v>26</v>
      </c>
      <c r="C4513" t="s">
        <v>6</v>
      </c>
      <c r="D4513" t="s">
        <v>11</v>
      </c>
      <c r="E4513" s="68">
        <v>843</v>
      </c>
      <c r="F4513" s="68">
        <v>904</v>
      </c>
      <c r="G4513" s="68">
        <v>1747</v>
      </c>
    </row>
    <row r="4514" spans="1:7" x14ac:dyDescent="0.3">
      <c r="A4514" t="s">
        <v>1186</v>
      </c>
      <c r="B4514" t="s">
        <v>26</v>
      </c>
      <c r="C4514" t="s">
        <v>6</v>
      </c>
      <c r="D4514" t="s">
        <v>12</v>
      </c>
      <c r="E4514" s="68">
        <v>1237</v>
      </c>
      <c r="F4514" s="68">
        <v>1113</v>
      </c>
      <c r="G4514" s="68">
        <v>2350</v>
      </c>
    </row>
    <row r="4515" spans="1:7" x14ac:dyDescent="0.3">
      <c r="A4515" t="s">
        <v>1186</v>
      </c>
      <c r="B4515" t="s">
        <v>26</v>
      </c>
      <c r="C4515" t="s">
        <v>6</v>
      </c>
      <c r="D4515" t="s">
        <v>13</v>
      </c>
      <c r="E4515" s="68">
        <v>1258</v>
      </c>
      <c r="F4515" s="68">
        <v>1065</v>
      </c>
      <c r="G4515" s="68">
        <v>2323</v>
      </c>
    </row>
    <row r="4516" spans="1:7" x14ac:dyDescent="0.3">
      <c r="A4516" t="s">
        <v>1186</v>
      </c>
      <c r="B4516" t="s">
        <v>26</v>
      </c>
      <c r="C4516" t="s">
        <v>6</v>
      </c>
      <c r="D4516" t="s">
        <v>14</v>
      </c>
      <c r="E4516" s="68">
        <v>1015</v>
      </c>
      <c r="F4516" s="68">
        <v>940</v>
      </c>
      <c r="G4516" s="68">
        <v>1955</v>
      </c>
    </row>
    <row r="4517" spans="1:7" x14ac:dyDescent="0.3">
      <c r="A4517" t="s">
        <v>1186</v>
      </c>
      <c r="B4517" t="s">
        <v>26</v>
      </c>
      <c r="C4517" t="s">
        <v>6</v>
      </c>
      <c r="D4517" t="s">
        <v>15</v>
      </c>
      <c r="E4517" s="68">
        <v>834</v>
      </c>
      <c r="F4517" s="68">
        <v>786</v>
      </c>
      <c r="G4517" s="68">
        <v>1620</v>
      </c>
    </row>
    <row r="4518" spans="1:7" x14ac:dyDescent="0.3">
      <c r="A4518" t="s">
        <v>1186</v>
      </c>
      <c r="B4518" t="s">
        <v>26</v>
      </c>
      <c r="C4518" t="s">
        <v>6</v>
      </c>
      <c r="D4518" t="s">
        <v>16</v>
      </c>
      <c r="E4518" s="68">
        <v>664</v>
      </c>
      <c r="F4518" s="68">
        <v>659</v>
      </c>
      <c r="G4518" s="68">
        <v>1323</v>
      </c>
    </row>
    <row r="4519" spans="1:7" x14ac:dyDescent="0.3">
      <c r="A4519" t="s">
        <v>1186</v>
      </c>
      <c r="B4519" t="s">
        <v>26</v>
      </c>
      <c r="C4519" t="s">
        <v>6</v>
      </c>
      <c r="D4519" t="s">
        <v>17</v>
      </c>
      <c r="E4519" s="68">
        <v>497</v>
      </c>
      <c r="F4519" s="68">
        <v>556</v>
      </c>
      <c r="G4519" s="68">
        <v>1053</v>
      </c>
    </row>
    <row r="4520" spans="1:7" x14ac:dyDescent="0.3">
      <c r="A4520" t="s">
        <v>1186</v>
      </c>
      <c r="B4520" t="s">
        <v>26</v>
      </c>
      <c r="C4520" t="s">
        <v>6</v>
      </c>
      <c r="D4520" t="s">
        <v>18</v>
      </c>
      <c r="E4520" s="68">
        <v>366</v>
      </c>
      <c r="F4520" s="68">
        <v>441</v>
      </c>
      <c r="G4520" s="68">
        <v>807</v>
      </c>
    </row>
    <row r="4521" spans="1:7" x14ac:dyDescent="0.3">
      <c r="A4521" t="s">
        <v>1186</v>
      </c>
      <c r="B4521" t="s">
        <v>26</v>
      </c>
      <c r="C4521" t="s">
        <v>6</v>
      </c>
      <c r="D4521" t="s">
        <v>19</v>
      </c>
      <c r="E4521" s="68">
        <v>313</v>
      </c>
      <c r="F4521" s="68">
        <v>369</v>
      </c>
      <c r="G4521" s="68">
        <v>682</v>
      </c>
    </row>
    <row r="4522" spans="1:7" x14ac:dyDescent="0.3">
      <c r="A4522" t="s">
        <v>1186</v>
      </c>
      <c r="B4522" t="s">
        <v>26</v>
      </c>
      <c r="C4522" t="s">
        <v>6</v>
      </c>
      <c r="D4522" t="s">
        <v>20</v>
      </c>
      <c r="E4522" s="68">
        <v>168</v>
      </c>
      <c r="F4522" s="68">
        <v>259</v>
      </c>
      <c r="G4522" s="68">
        <v>427</v>
      </c>
    </row>
    <row r="4523" spans="1:7" x14ac:dyDescent="0.3">
      <c r="A4523" t="s">
        <v>1186</v>
      </c>
      <c r="B4523" t="s">
        <v>26</v>
      </c>
      <c r="C4523" t="s">
        <v>6</v>
      </c>
      <c r="D4523" t="s">
        <v>21</v>
      </c>
      <c r="E4523" s="68">
        <v>115</v>
      </c>
      <c r="F4523" s="68">
        <v>126</v>
      </c>
      <c r="G4523" s="68">
        <v>241</v>
      </c>
    </row>
    <row r="4524" spans="1:7" x14ac:dyDescent="0.3">
      <c r="A4524" t="s">
        <v>1186</v>
      </c>
      <c r="B4524" t="s">
        <v>26</v>
      </c>
      <c r="C4524" t="s">
        <v>6</v>
      </c>
      <c r="D4524" t="s">
        <v>22</v>
      </c>
      <c r="E4524" s="68">
        <v>77</v>
      </c>
      <c r="F4524" s="68">
        <v>71</v>
      </c>
      <c r="G4524" s="68">
        <v>148</v>
      </c>
    </row>
    <row r="4525" spans="1:7" x14ac:dyDescent="0.3">
      <c r="A4525" t="s">
        <v>1186</v>
      </c>
      <c r="B4525" t="s">
        <v>26</v>
      </c>
      <c r="C4525" t="s">
        <v>6</v>
      </c>
      <c r="D4525" t="s">
        <v>23</v>
      </c>
      <c r="E4525" s="68">
        <v>57</v>
      </c>
      <c r="F4525" s="68">
        <v>61</v>
      </c>
      <c r="G4525" s="68">
        <v>118</v>
      </c>
    </row>
    <row r="4526" spans="1:7" x14ac:dyDescent="0.3">
      <c r="A4526" t="s">
        <v>1186</v>
      </c>
      <c r="B4526" t="s">
        <v>26</v>
      </c>
      <c r="C4526" t="s">
        <v>24</v>
      </c>
      <c r="D4526" t="s">
        <v>7</v>
      </c>
      <c r="E4526" s="68">
        <v>2107</v>
      </c>
      <c r="F4526" s="68">
        <v>2188</v>
      </c>
      <c r="G4526" s="68">
        <v>4295</v>
      </c>
    </row>
    <row r="4527" spans="1:7" x14ac:dyDescent="0.3">
      <c r="A4527" t="s">
        <v>1186</v>
      </c>
      <c r="B4527" t="s">
        <v>26</v>
      </c>
      <c r="C4527" t="s">
        <v>24</v>
      </c>
      <c r="D4527" t="s">
        <v>8</v>
      </c>
      <c r="E4527" s="68">
        <v>2443</v>
      </c>
      <c r="F4527" s="68">
        <v>2657</v>
      </c>
      <c r="G4527" s="68">
        <v>5100</v>
      </c>
    </row>
    <row r="4528" spans="1:7" x14ac:dyDescent="0.3">
      <c r="A4528" t="s">
        <v>1186</v>
      </c>
      <c r="B4528" t="s">
        <v>26</v>
      </c>
      <c r="C4528" t="s">
        <v>24</v>
      </c>
      <c r="D4528" t="s">
        <v>9</v>
      </c>
      <c r="E4528" s="68">
        <v>2647</v>
      </c>
      <c r="F4528" s="68">
        <v>2760</v>
      </c>
      <c r="G4528" s="68">
        <v>5407</v>
      </c>
    </row>
    <row r="4529" spans="1:7" x14ac:dyDescent="0.3">
      <c r="A4529" t="s">
        <v>1186</v>
      </c>
      <c r="B4529" t="s">
        <v>26</v>
      </c>
      <c r="C4529" t="s">
        <v>24</v>
      </c>
      <c r="D4529" t="s">
        <v>10</v>
      </c>
      <c r="E4529" s="68">
        <v>2990</v>
      </c>
      <c r="F4529" s="68">
        <v>3040</v>
      </c>
      <c r="G4529" s="68">
        <v>6030</v>
      </c>
    </row>
    <row r="4530" spans="1:7" x14ac:dyDescent="0.3">
      <c r="A4530" t="s">
        <v>1186</v>
      </c>
      <c r="B4530" t="s">
        <v>26</v>
      </c>
      <c r="C4530" t="s">
        <v>24</v>
      </c>
      <c r="D4530" t="s">
        <v>11</v>
      </c>
      <c r="E4530" s="68">
        <v>2554</v>
      </c>
      <c r="F4530" s="68">
        <v>2336</v>
      </c>
      <c r="G4530" s="68">
        <v>4890</v>
      </c>
    </row>
    <row r="4531" spans="1:7" x14ac:dyDescent="0.3">
      <c r="A4531" t="s">
        <v>1186</v>
      </c>
      <c r="B4531" t="s">
        <v>26</v>
      </c>
      <c r="C4531" t="s">
        <v>24</v>
      </c>
      <c r="D4531" t="s">
        <v>12</v>
      </c>
      <c r="E4531" s="68">
        <v>2589</v>
      </c>
      <c r="F4531" s="68">
        <v>2540</v>
      </c>
      <c r="G4531" s="68">
        <v>5129</v>
      </c>
    </row>
    <row r="4532" spans="1:7" x14ac:dyDescent="0.3">
      <c r="A4532" t="s">
        <v>1186</v>
      </c>
      <c r="B4532" t="s">
        <v>26</v>
      </c>
      <c r="C4532" t="s">
        <v>24</v>
      </c>
      <c r="D4532" t="s">
        <v>13</v>
      </c>
      <c r="E4532" s="68">
        <v>2315</v>
      </c>
      <c r="F4532" s="68">
        <v>2297</v>
      </c>
      <c r="G4532" s="68">
        <v>4612</v>
      </c>
    </row>
    <row r="4533" spans="1:7" x14ac:dyDescent="0.3">
      <c r="A4533" t="s">
        <v>1186</v>
      </c>
      <c r="B4533" t="s">
        <v>26</v>
      </c>
      <c r="C4533" t="s">
        <v>24</v>
      </c>
      <c r="D4533" t="s">
        <v>14</v>
      </c>
      <c r="E4533" s="68">
        <v>2069</v>
      </c>
      <c r="F4533" s="68">
        <v>2105</v>
      </c>
      <c r="G4533" s="68">
        <v>4174</v>
      </c>
    </row>
    <row r="4534" spans="1:7" x14ac:dyDescent="0.3">
      <c r="A4534" t="s">
        <v>1186</v>
      </c>
      <c r="B4534" t="s">
        <v>26</v>
      </c>
      <c r="C4534" t="s">
        <v>24</v>
      </c>
      <c r="D4534" t="s">
        <v>15</v>
      </c>
      <c r="E4534" s="68">
        <v>1906</v>
      </c>
      <c r="F4534" s="68">
        <v>2049</v>
      </c>
      <c r="G4534" s="68">
        <v>3955</v>
      </c>
    </row>
    <row r="4535" spans="1:7" x14ac:dyDescent="0.3">
      <c r="A4535" t="s">
        <v>1186</v>
      </c>
      <c r="B4535" t="s">
        <v>26</v>
      </c>
      <c r="C4535" t="s">
        <v>24</v>
      </c>
      <c r="D4535" t="s">
        <v>16</v>
      </c>
      <c r="E4535" s="68">
        <v>1852</v>
      </c>
      <c r="F4535" s="68">
        <v>2190</v>
      </c>
      <c r="G4535" s="68">
        <v>4042</v>
      </c>
    </row>
    <row r="4536" spans="1:7" x14ac:dyDescent="0.3">
      <c r="A4536" t="s">
        <v>1186</v>
      </c>
      <c r="B4536" t="s">
        <v>26</v>
      </c>
      <c r="C4536" t="s">
        <v>24</v>
      </c>
      <c r="D4536" t="s">
        <v>17</v>
      </c>
      <c r="E4536" s="68">
        <v>1746</v>
      </c>
      <c r="F4536" s="68">
        <v>2341</v>
      </c>
      <c r="G4536" s="68">
        <v>4087</v>
      </c>
    </row>
    <row r="4537" spans="1:7" x14ac:dyDescent="0.3">
      <c r="A4537" t="s">
        <v>1186</v>
      </c>
      <c r="B4537" t="s">
        <v>26</v>
      </c>
      <c r="C4537" t="s">
        <v>24</v>
      </c>
      <c r="D4537" t="s">
        <v>18</v>
      </c>
      <c r="E4537" s="68">
        <v>1550</v>
      </c>
      <c r="F4537" s="68">
        <v>2303</v>
      </c>
      <c r="G4537" s="68">
        <v>3853</v>
      </c>
    </row>
    <row r="4538" spans="1:7" x14ac:dyDescent="0.3">
      <c r="A4538" t="s">
        <v>1186</v>
      </c>
      <c r="B4538" t="s">
        <v>26</v>
      </c>
      <c r="C4538" t="s">
        <v>24</v>
      </c>
      <c r="D4538" t="s">
        <v>19</v>
      </c>
      <c r="E4538" s="68">
        <v>1301</v>
      </c>
      <c r="F4538" s="68">
        <v>2172</v>
      </c>
      <c r="G4538" s="68">
        <v>3473</v>
      </c>
    </row>
    <row r="4539" spans="1:7" x14ac:dyDescent="0.3">
      <c r="A4539" t="s">
        <v>1186</v>
      </c>
      <c r="B4539" t="s">
        <v>26</v>
      </c>
      <c r="C4539" t="s">
        <v>24</v>
      </c>
      <c r="D4539" t="s">
        <v>20</v>
      </c>
      <c r="E4539" s="68">
        <v>954</v>
      </c>
      <c r="F4539" s="68">
        <v>1603</v>
      </c>
      <c r="G4539" s="68">
        <v>2557</v>
      </c>
    </row>
    <row r="4540" spans="1:7" x14ac:dyDescent="0.3">
      <c r="A4540" t="s">
        <v>1186</v>
      </c>
      <c r="B4540" t="s">
        <v>26</v>
      </c>
      <c r="C4540" t="s">
        <v>24</v>
      </c>
      <c r="D4540" t="s">
        <v>21</v>
      </c>
      <c r="E4540" s="68">
        <v>602</v>
      </c>
      <c r="F4540" s="68">
        <v>1094</v>
      </c>
      <c r="G4540" s="68">
        <v>1696</v>
      </c>
    </row>
    <row r="4541" spans="1:7" x14ac:dyDescent="0.3">
      <c r="A4541" t="s">
        <v>1186</v>
      </c>
      <c r="B4541" t="s">
        <v>26</v>
      </c>
      <c r="C4541" t="s">
        <v>24</v>
      </c>
      <c r="D4541" t="s">
        <v>22</v>
      </c>
      <c r="E4541" s="68">
        <v>387</v>
      </c>
      <c r="F4541" s="68">
        <v>669</v>
      </c>
      <c r="G4541" s="68">
        <v>1056</v>
      </c>
    </row>
    <row r="4542" spans="1:7" x14ac:dyDescent="0.3">
      <c r="A4542" t="s">
        <v>1186</v>
      </c>
      <c r="B4542" t="s">
        <v>26</v>
      </c>
      <c r="C4542" t="s">
        <v>24</v>
      </c>
      <c r="D4542" t="s">
        <v>23</v>
      </c>
      <c r="E4542" s="68">
        <v>447</v>
      </c>
      <c r="F4542" s="68">
        <v>773</v>
      </c>
      <c r="G4542" s="68">
        <v>1220</v>
      </c>
    </row>
    <row r="4543" spans="1:7" x14ac:dyDescent="0.3">
      <c r="A4543" t="s">
        <v>1186</v>
      </c>
      <c r="B4543" t="s">
        <v>27</v>
      </c>
      <c r="C4543" t="s">
        <v>28</v>
      </c>
      <c r="D4543" t="s">
        <v>7</v>
      </c>
      <c r="E4543" s="68">
        <v>40</v>
      </c>
      <c r="F4543" s="68">
        <v>32</v>
      </c>
      <c r="G4543" s="68">
        <v>72</v>
      </c>
    </row>
    <row r="4544" spans="1:7" x14ac:dyDescent="0.3">
      <c r="A4544" t="s">
        <v>1186</v>
      </c>
      <c r="B4544" t="s">
        <v>27</v>
      </c>
      <c r="C4544" t="s">
        <v>28</v>
      </c>
      <c r="D4544" t="s">
        <v>8</v>
      </c>
      <c r="E4544" s="68">
        <v>55</v>
      </c>
      <c r="F4544" s="68">
        <v>56</v>
      </c>
      <c r="G4544" s="68">
        <v>111</v>
      </c>
    </row>
    <row r="4545" spans="1:7" x14ac:dyDescent="0.3">
      <c r="A4545" t="s">
        <v>1186</v>
      </c>
      <c r="B4545" t="s">
        <v>27</v>
      </c>
      <c r="C4545" t="s">
        <v>28</v>
      </c>
      <c r="D4545" t="s">
        <v>9</v>
      </c>
      <c r="E4545" s="68">
        <v>73</v>
      </c>
      <c r="F4545" s="68">
        <v>82</v>
      </c>
      <c r="G4545" s="68">
        <v>155</v>
      </c>
    </row>
    <row r="4546" spans="1:7" x14ac:dyDescent="0.3">
      <c r="A4546" t="s">
        <v>1186</v>
      </c>
      <c r="B4546" t="s">
        <v>27</v>
      </c>
      <c r="C4546" t="s">
        <v>28</v>
      </c>
      <c r="D4546" t="s">
        <v>10</v>
      </c>
      <c r="E4546" s="68">
        <v>105</v>
      </c>
      <c r="F4546" s="68">
        <v>107</v>
      </c>
      <c r="G4546" s="68">
        <v>212</v>
      </c>
    </row>
    <row r="4547" spans="1:7" x14ac:dyDescent="0.3">
      <c r="A4547" t="s">
        <v>1186</v>
      </c>
      <c r="B4547" t="s">
        <v>27</v>
      </c>
      <c r="C4547" t="s">
        <v>28</v>
      </c>
      <c r="D4547" t="s">
        <v>11</v>
      </c>
      <c r="E4547" s="68">
        <v>68</v>
      </c>
      <c r="F4547" s="68">
        <v>81</v>
      </c>
      <c r="G4547" s="68">
        <v>149</v>
      </c>
    </row>
    <row r="4548" spans="1:7" x14ac:dyDescent="0.3">
      <c r="A4548" t="s">
        <v>1186</v>
      </c>
      <c r="B4548" t="s">
        <v>27</v>
      </c>
      <c r="C4548" t="s">
        <v>28</v>
      </c>
      <c r="D4548" t="s">
        <v>12</v>
      </c>
      <c r="E4548" s="68">
        <v>37</v>
      </c>
      <c r="F4548" s="68">
        <v>23</v>
      </c>
      <c r="G4548" s="68">
        <v>60</v>
      </c>
    </row>
    <row r="4549" spans="1:7" x14ac:dyDescent="0.3">
      <c r="A4549" t="s">
        <v>1186</v>
      </c>
      <c r="B4549" t="s">
        <v>27</v>
      </c>
      <c r="C4549" t="s">
        <v>28</v>
      </c>
      <c r="D4549" t="s">
        <v>13</v>
      </c>
      <c r="E4549" s="68">
        <v>55</v>
      </c>
      <c r="F4549" s="68">
        <v>50</v>
      </c>
      <c r="G4549" s="68">
        <v>105</v>
      </c>
    </row>
    <row r="4550" spans="1:7" x14ac:dyDescent="0.3">
      <c r="A4550" t="s">
        <v>1186</v>
      </c>
      <c r="B4550" t="s">
        <v>27</v>
      </c>
      <c r="C4550" t="s">
        <v>28</v>
      </c>
      <c r="D4550" t="s">
        <v>14</v>
      </c>
      <c r="E4550" s="68">
        <v>87</v>
      </c>
      <c r="F4550" s="68">
        <v>75</v>
      </c>
      <c r="G4550" s="68">
        <v>162</v>
      </c>
    </row>
    <row r="4551" spans="1:7" x14ac:dyDescent="0.3">
      <c r="A4551" t="s">
        <v>1186</v>
      </c>
      <c r="B4551" t="s">
        <v>27</v>
      </c>
      <c r="C4551" t="s">
        <v>28</v>
      </c>
      <c r="D4551" t="s">
        <v>15</v>
      </c>
      <c r="E4551" s="68">
        <v>86</v>
      </c>
      <c r="F4551" s="68">
        <v>72</v>
      </c>
      <c r="G4551" s="68">
        <v>158</v>
      </c>
    </row>
    <row r="4552" spans="1:7" x14ac:dyDescent="0.3">
      <c r="A4552" t="s">
        <v>1186</v>
      </c>
      <c r="B4552" t="s">
        <v>27</v>
      </c>
      <c r="C4552" t="s">
        <v>28</v>
      </c>
      <c r="D4552" t="s">
        <v>16</v>
      </c>
      <c r="E4552" s="68">
        <v>132</v>
      </c>
      <c r="F4552" s="68">
        <v>88</v>
      </c>
      <c r="G4552" s="68">
        <v>220</v>
      </c>
    </row>
    <row r="4553" spans="1:7" x14ac:dyDescent="0.3">
      <c r="A4553" t="s">
        <v>1186</v>
      </c>
      <c r="B4553" t="s">
        <v>27</v>
      </c>
      <c r="C4553" t="s">
        <v>28</v>
      </c>
      <c r="D4553" t="s">
        <v>17</v>
      </c>
      <c r="E4553" s="68">
        <v>111</v>
      </c>
      <c r="F4553" s="68">
        <v>93</v>
      </c>
      <c r="G4553" s="68">
        <v>204</v>
      </c>
    </row>
    <row r="4554" spans="1:7" x14ac:dyDescent="0.3">
      <c r="A4554" t="s">
        <v>1186</v>
      </c>
      <c r="B4554" t="s">
        <v>27</v>
      </c>
      <c r="C4554" t="s">
        <v>28</v>
      </c>
      <c r="D4554" t="s">
        <v>18</v>
      </c>
      <c r="E4554" s="68">
        <v>99</v>
      </c>
      <c r="F4554" s="68">
        <v>75</v>
      </c>
      <c r="G4554" s="68">
        <v>174</v>
      </c>
    </row>
    <row r="4555" spans="1:7" x14ac:dyDescent="0.3">
      <c r="A4555" t="s">
        <v>1186</v>
      </c>
      <c r="B4555" t="s">
        <v>27</v>
      </c>
      <c r="C4555" t="s">
        <v>28</v>
      </c>
      <c r="D4555" t="s">
        <v>19</v>
      </c>
      <c r="E4555" s="68">
        <v>100</v>
      </c>
      <c r="F4555" s="68">
        <v>71</v>
      </c>
      <c r="G4555" s="68">
        <v>171</v>
      </c>
    </row>
    <row r="4556" spans="1:7" x14ac:dyDescent="0.3">
      <c r="A4556" t="s">
        <v>1186</v>
      </c>
      <c r="B4556" t="s">
        <v>27</v>
      </c>
      <c r="C4556" t="s">
        <v>28</v>
      </c>
      <c r="D4556" t="s">
        <v>20</v>
      </c>
      <c r="E4556" s="68">
        <v>62</v>
      </c>
      <c r="F4556" s="68">
        <v>65</v>
      </c>
      <c r="G4556" s="68">
        <v>127</v>
      </c>
    </row>
    <row r="4557" spans="1:7" x14ac:dyDescent="0.3">
      <c r="A4557" t="s">
        <v>1186</v>
      </c>
      <c r="B4557" t="s">
        <v>27</v>
      </c>
      <c r="C4557" t="s">
        <v>28</v>
      </c>
      <c r="D4557" t="s">
        <v>21</v>
      </c>
      <c r="E4557" s="68">
        <v>26</v>
      </c>
      <c r="F4557" s="68">
        <v>25</v>
      </c>
      <c r="G4557" s="68">
        <v>51</v>
      </c>
    </row>
    <row r="4558" spans="1:7" x14ac:dyDescent="0.3">
      <c r="A4558" t="s">
        <v>1186</v>
      </c>
      <c r="B4558" t="s">
        <v>27</v>
      </c>
      <c r="C4558" t="s">
        <v>28</v>
      </c>
      <c r="D4558" t="s">
        <v>22</v>
      </c>
      <c r="E4558" s="68">
        <v>16</v>
      </c>
      <c r="F4558" s="68">
        <v>14</v>
      </c>
      <c r="G4558" s="68">
        <v>30</v>
      </c>
    </row>
    <row r="4559" spans="1:7" x14ac:dyDescent="0.3">
      <c r="A4559" t="s">
        <v>1186</v>
      </c>
      <c r="B4559" t="s">
        <v>27</v>
      </c>
      <c r="C4559" t="s">
        <v>28</v>
      </c>
      <c r="D4559" t="s">
        <v>23</v>
      </c>
      <c r="E4559" s="68">
        <v>8</v>
      </c>
      <c r="F4559" s="68">
        <v>7</v>
      </c>
      <c r="G4559" s="68">
        <v>15</v>
      </c>
    </row>
    <row r="4560" spans="1:7" x14ac:dyDescent="0.3">
      <c r="A4560" t="s">
        <v>1186</v>
      </c>
      <c r="B4560" t="s">
        <v>27</v>
      </c>
      <c r="C4560" t="s">
        <v>29</v>
      </c>
      <c r="D4560" t="s">
        <v>11</v>
      </c>
      <c r="E4560" s="68"/>
      <c r="F4560" s="68">
        <v>24</v>
      </c>
      <c r="G4560" s="68">
        <v>24</v>
      </c>
    </row>
    <row r="4561" spans="1:7" x14ac:dyDescent="0.3">
      <c r="A4561" t="s">
        <v>1186</v>
      </c>
      <c r="B4561" t="s">
        <v>27</v>
      </c>
      <c r="C4561" t="s">
        <v>29</v>
      </c>
      <c r="D4561" t="s">
        <v>12</v>
      </c>
      <c r="E4561" s="68">
        <v>2</v>
      </c>
      <c r="F4561" s="68">
        <v>33</v>
      </c>
      <c r="G4561" s="68">
        <v>35</v>
      </c>
    </row>
    <row r="4562" spans="1:7" x14ac:dyDescent="0.3">
      <c r="A4562" t="s">
        <v>1186</v>
      </c>
      <c r="B4562" t="s">
        <v>27</v>
      </c>
      <c r="C4562" t="s">
        <v>29</v>
      </c>
      <c r="D4562" t="s">
        <v>13</v>
      </c>
      <c r="E4562" s="68"/>
      <c r="F4562" s="68">
        <v>46</v>
      </c>
      <c r="G4562" s="68">
        <v>46</v>
      </c>
    </row>
    <row r="4563" spans="1:7" x14ac:dyDescent="0.3">
      <c r="A4563" t="s">
        <v>1186</v>
      </c>
      <c r="B4563" t="s">
        <v>27</v>
      </c>
      <c r="C4563" t="s">
        <v>29</v>
      </c>
      <c r="D4563" t="s">
        <v>14</v>
      </c>
      <c r="E4563" s="68"/>
      <c r="F4563" s="68">
        <v>28</v>
      </c>
      <c r="G4563" s="68">
        <v>28</v>
      </c>
    </row>
    <row r="4564" spans="1:7" x14ac:dyDescent="0.3">
      <c r="A4564" t="s">
        <v>1186</v>
      </c>
      <c r="B4564" t="s">
        <v>27</v>
      </c>
      <c r="C4564" t="s">
        <v>29</v>
      </c>
      <c r="D4564" t="s">
        <v>15</v>
      </c>
      <c r="E4564" s="68">
        <v>1</v>
      </c>
      <c r="F4564" s="68">
        <v>16</v>
      </c>
      <c r="G4564" s="68">
        <v>17</v>
      </c>
    </row>
    <row r="4565" spans="1:7" x14ac:dyDescent="0.3">
      <c r="A4565" t="s">
        <v>1186</v>
      </c>
      <c r="B4565" t="s">
        <v>27</v>
      </c>
      <c r="C4565" t="s">
        <v>29</v>
      </c>
      <c r="D4565" t="s">
        <v>16</v>
      </c>
      <c r="E4565" s="68">
        <v>2</v>
      </c>
      <c r="F4565" s="68">
        <v>17</v>
      </c>
      <c r="G4565" s="68">
        <v>19</v>
      </c>
    </row>
    <row r="4566" spans="1:7" x14ac:dyDescent="0.3">
      <c r="A4566" t="s">
        <v>1186</v>
      </c>
      <c r="B4566" t="s">
        <v>27</v>
      </c>
      <c r="C4566" t="s">
        <v>29</v>
      </c>
      <c r="D4566" t="s">
        <v>17</v>
      </c>
      <c r="E4566" s="68">
        <v>2</v>
      </c>
      <c r="F4566" s="68">
        <v>25</v>
      </c>
      <c r="G4566" s="68">
        <v>27</v>
      </c>
    </row>
    <row r="4567" spans="1:7" x14ac:dyDescent="0.3">
      <c r="A4567" t="s">
        <v>1186</v>
      </c>
      <c r="B4567" t="s">
        <v>27</v>
      </c>
      <c r="C4567" t="s">
        <v>29</v>
      </c>
      <c r="D4567" t="s">
        <v>18</v>
      </c>
      <c r="E4567" s="68"/>
      <c r="F4567" s="68">
        <v>12</v>
      </c>
      <c r="G4567" s="68">
        <v>12</v>
      </c>
    </row>
    <row r="4568" spans="1:7" x14ac:dyDescent="0.3">
      <c r="A4568" t="s">
        <v>1186</v>
      </c>
      <c r="B4568" t="s">
        <v>27</v>
      </c>
      <c r="C4568" t="s">
        <v>29</v>
      </c>
      <c r="D4568" t="s">
        <v>19</v>
      </c>
      <c r="E4568" s="68">
        <v>1</v>
      </c>
      <c r="F4568" s="68">
        <v>4</v>
      </c>
      <c r="G4568" s="68">
        <v>5</v>
      </c>
    </row>
    <row r="4569" spans="1:7" x14ac:dyDescent="0.3">
      <c r="A4569" t="s">
        <v>1186</v>
      </c>
      <c r="B4569" t="s">
        <v>27</v>
      </c>
      <c r="C4569" t="s">
        <v>29</v>
      </c>
      <c r="D4569" t="s">
        <v>20</v>
      </c>
      <c r="E4569" s="68"/>
      <c r="F4569" s="68">
        <v>3</v>
      </c>
      <c r="G4569" s="68">
        <v>3</v>
      </c>
    </row>
    <row r="4570" spans="1:7" x14ac:dyDescent="0.3">
      <c r="A4570" t="s">
        <v>1186</v>
      </c>
      <c r="B4570" t="s">
        <v>27</v>
      </c>
      <c r="C4570" t="s">
        <v>29</v>
      </c>
      <c r="D4570" t="s">
        <v>21</v>
      </c>
      <c r="E4570" s="68"/>
      <c r="F4570" s="68">
        <v>3</v>
      </c>
      <c r="G4570" s="68">
        <v>3</v>
      </c>
    </row>
    <row r="4571" spans="1:7" x14ac:dyDescent="0.3">
      <c r="A4571" t="s">
        <v>1186</v>
      </c>
      <c r="B4571" t="s">
        <v>27</v>
      </c>
      <c r="C4571" t="s">
        <v>29</v>
      </c>
      <c r="D4571" t="s">
        <v>22</v>
      </c>
      <c r="E4571" s="68"/>
      <c r="F4571" s="68">
        <v>1</v>
      </c>
      <c r="G4571" s="68">
        <v>1</v>
      </c>
    </row>
    <row r="4572" spans="1:7" x14ac:dyDescent="0.3">
      <c r="A4572" t="s">
        <v>1189</v>
      </c>
      <c r="B4572" t="s">
        <v>38</v>
      </c>
      <c r="C4572" t="s">
        <v>6</v>
      </c>
      <c r="D4572" t="s">
        <v>7</v>
      </c>
      <c r="E4572" s="68">
        <v>30</v>
      </c>
      <c r="F4572" s="68">
        <v>37</v>
      </c>
      <c r="G4572" s="68">
        <v>67</v>
      </c>
    </row>
    <row r="4573" spans="1:7" x14ac:dyDescent="0.3">
      <c r="A4573" t="s">
        <v>1189</v>
      </c>
      <c r="B4573" t="s">
        <v>38</v>
      </c>
      <c r="C4573" t="s">
        <v>6</v>
      </c>
      <c r="D4573" t="s">
        <v>8</v>
      </c>
      <c r="E4573" s="68">
        <v>17</v>
      </c>
      <c r="F4573" s="68">
        <v>26</v>
      </c>
      <c r="G4573" s="68">
        <v>43</v>
      </c>
    </row>
    <row r="4574" spans="1:7" x14ac:dyDescent="0.3">
      <c r="A4574" t="s">
        <v>1189</v>
      </c>
      <c r="B4574" t="s">
        <v>38</v>
      </c>
      <c r="C4574" t="s">
        <v>6</v>
      </c>
      <c r="D4574" t="s">
        <v>9</v>
      </c>
      <c r="E4574" s="68">
        <v>21</v>
      </c>
      <c r="F4574" s="68">
        <v>26</v>
      </c>
      <c r="G4574" s="68">
        <v>47</v>
      </c>
    </row>
    <row r="4575" spans="1:7" x14ac:dyDescent="0.3">
      <c r="A4575" t="s">
        <v>1189</v>
      </c>
      <c r="B4575" t="s">
        <v>38</v>
      </c>
      <c r="C4575" t="s">
        <v>6</v>
      </c>
      <c r="D4575" t="s">
        <v>10</v>
      </c>
      <c r="E4575" s="68">
        <v>81</v>
      </c>
      <c r="F4575" s="68">
        <v>91</v>
      </c>
      <c r="G4575" s="68">
        <v>172</v>
      </c>
    </row>
    <row r="4576" spans="1:7" x14ac:dyDescent="0.3">
      <c r="A4576" t="s">
        <v>1189</v>
      </c>
      <c r="B4576" t="s">
        <v>38</v>
      </c>
      <c r="C4576" t="s">
        <v>6</v>
      </c>
      <c r="D4576" t="s">
        <v>11</v>
      </c>
      <c r="E4576" s="68">
        <v>370</v>
      </c>
      <c r="F4576" s="68">
        <v>394</v>
      </c>
      <c r="G4576" s="68">
        <v>764</v>
      </c>
    </row>
    <row r="4577" spans="1:7" x14ac:dyDescent="0.3">
      <c r="A4577" t="s">
        <v>1189</v>
      </c>
      <c r="B4577" t="s">
        <v>38</v>
      </c>
      <c r="C4577" t="s">
        <v>6</v>
      </c>
      <c r="D4577" t="s">
        <v>12</v>
      </c>
      <c r="E4577" s="68">
        <v>383</v>
      </c>
      <c r="F4577" s="68">
        <v>447</v>
      </c>
      <c r="G4577" s="68">
        <v>830</v>
      </c>
    </row>
    <row r="4578" spans="1:7" x14ac:dyDescent="0.3">
      <c r="A4578" t="s">
        <v>1189</v>
      </c>
      <c r="B4578" t="s">
        <v>38</v>
      </c>
      <c r="C4578" t="s">
        <v>6</v>
      </c>
      <c r="D4578" t="s">
        <v>13</v>
      </c>
      <c r="E4578" s="68">
        <v>240</v>
      </c>
      <c r="F4578" s="68">
        <v>237</v>
      </c>
      <c r="G4578" s="68">
        <v>477</v>
      </c>
    </row>
    <row r="4579" spans="1:7" x14ac:dyDescent="0.3">
      <c r="A4579" t="s">
        <v>1189</v>
      </c>
      <c r="B4579" t="s">
        <v>38</v>
      </c>
      <c r="C4579" t="s">
        <v>6</v>
      </c>
      <c r="D4579" t="s">
        <v>14</v>
      </c>
      <c r="E4579" s="68">
        <v>133</v>
      </c>
      <c r="F4579" s="68">
        <v>154</v>
      </c>
      <c r="G4579" s="68">
        <v>287</v>
      </c>
    </row>
    <row r="4580" spans="1:7" x14ac:dyDescent="0.3">
      <c r="A4580" t="s">
        <v>1189</v>
      </c>
      <c r="B4580" t="s">
        <v>38</v>
      </c>
      <c r="C4580" t="s">
        <v>6</v>
      </c>
      <c r="D4580" t="s">
        <v>15</v>
      </c>
      <c r="E4580" s="68">
        <v>95</v>
      </c>
      <c r="F4580" s="68">
        <v>102</v>
      </c>
      <c r="G4580" s="68">
        <v>197</v>
      </c>
    </row>
    <row r="4581" spans="1:7" x14ac:dyDescent="0.3">
      <c r="A4581" t="s">
        <v>1189</v>
      </c>
      <c r="B4581" t="s">
        <v>38</v>
      </c>
      <c r="C4581" t="s">
        <v>6</v>
      </c>
      <c r="D4581" t="s">
        <v>16</v>
      </c>
      <c r="E4581" s="68">
        <v>58</v>
      </c>
      <c r="F4581" s="68">
        <v>119</v>
      </c>
      <c r="G4581" s="68">
        <v>177</v>
      </c>
    </row>
    <row r="4582" spans="1:7" x14ac:dyDescent="0.3">
      <c r="A4582" t="s">
        <v>1189</v>
      </c>
      <c r="B4582" t="s">
        <v>38</v>
      </c>
      <c r="C4582" t="s">
        <v>6</v>
      </c>
      <c r="D4582" t="s">
        <v>17</v>
      </c>
      <c r="E4582" s="68">
        <v>47</v>
      </c>
      <c r="F4582" s="68">
        <v>99</v>
      </c>
      <c r="G4582" s="68">
        <v>146</v>
      </c>
    </row>
    <row r="4583" spans="1:7" x14ac:dyDescent="0.3">
      <c r="A4583" t="s">
        <v>1189</v>
      </c>
      <c r="B4583" t="s">
        <v>38</v>
      </c>
      <c r="C4583" t="s">
        <v>6</v>
      </c>
      <c r="D4583" t="s">
        <v>18</v>
      </c>
      <c r="E4583" s="68">
        <v>32</v>
      </c>
      <c r="F4583" s="68">
        <v>65</v>
      </c>
      <c r="G4583" s="68">
        <v>97</v>
      </c>
    </row>
    <row r="4584" spans="1:7" x14ac:dyDescent="0.3">
      <c r="A4584" t="s">
        <v>1189</v>
      </c>
      <c r="B4584" t="s">
        <v>38</v>
      </c>
      <c r="C4584" t="s">
        <v>6</v>
      </c>
      <c r="D4584" t="s">
        <v>19</v>
      </c>
      <c r="E4584" s="68">
        <v>19</v>
      </c>
      <c r="F4584" s="68">
        <v>48</v>
      </c>
      <c r="G4584" s="68">
        <v>67</v>
      </c>
    </row>
    <row r="4585" spans="1:7" x14ac:dyDescent="0.3">
      <c r="A4585" t="s">
        <v>1189</v>
      </c>
      <c r="B4585" t="s">
        <v>38</v>
      </c>
      <c r="C4585" t="s">
        <v>6</v>
      </c>
      <c r="D4585" t="s">
        <v>20</v>
      </c>
      <c r="E4585" s="68">
        <v>12</v>
      </c>
      <c r="F4585" s="68">
        <v>33</v>
      </c>
      <c r="G4585" s="68">
        <v>45</v>
      </c>
    </row>
    <row r="4586" spans="1:7" x14ac:dyDescent="0.3">
      <c r="A4586" t="s">
        <v>1189</v>
      </c>
      <c r="B4586" t="s">
        <v>38</v>
      </c>
      <c r="C4586" t="s">
        <v>6</v>
      </c>
      <c r="D4586" t="s">
        <v>21</v>
      </c>
      <c r="E4586" s="68">
        <v>7</v>
      </c>
      <c r="F4586" s="68">
        <v>18</v>
      </c>
      <c r="G4586" s="68">
        <v>25</v>
      </c>
    </row>
    <row r="4587" spans="1:7" x14ac:dyDescent="0.3">
      <c r="A4587" t="s">
        <v>1189</v>
      </c>
      <c r="B4587" t="s">
        <v>38</v>
      </c>
      <c r="C4587" t="s">
        <v>6</v>
      </c>
      <c r="D4587" t="s">
        <v>22</v>
      </c>
      <c r="E4587" s="68">
        <v>4</v>
      </c>
      <c r="F4587" s="68">
        <v>12</v>
      </c>
      <c r="G4587" s="68">
        <v>16</v>
      </c>
    </row>
    <row r="4588" spans="1:7" x14ac:dyDescent="0.3">
      <c r="A4588" t="s">
        <v>1189</v>
      </c>
      <c r="B4588" t="s">
        <v>38</v>
      </c>
      <c r="C4588" t="s">
        <v>6</v>
      </c>
      <c r="D4588" t="s">
        <v>23</v>
      </c>
      <c r="E4588" s="68">
        <v>5</v>
      </c>
      <c r="F4588" s="68">
        <v>2</v>
      </c>
      <c r="G4588" s="68">
        <v>7</v>
      </c>
    </row>
    <row r="4589" spans="1:7" x14ac:dyDescent="0.3">
      <c r="A4589" t="s">
        <v>1189</v>
      </c>
      <c r="B4589" t="s">
        <v>38</v>
      </c>
      <c r="C4589" t="s">
        <v>24</v>
      </c>
      <c r="D4589" t="s">
        <v>7</v>
      </c>
      <c r="E4589" s="68">
        <v>3631</v>
      </c>
      <c r="F4589" s="68">
        <v>3893</v>
      </c>
      <c r="G4589" s="68">
        <v>7524</v>
      </c>
    </row>
    <row r="4590" spans="1:7" x14ac:dyDescent="0.3">
      <c r="A4590" t="s">
        <v>1189</v>
      </c>
      <c r="B4590" t="s">
        <v>38</v>
      </c>
      <c r="C4590" t="s">
        <v>24</v>
      </c>
      <c r="D4590" t="s">
        <v>8</v>
      </c>
      <c r="E4590" s="68">
        <v>4690</v>
      </c>
      <c r="F4590" s="68">
        <v>4865</v>
      </c>
      <c r="G4590" s="68">
        <v>9555</v>
      </c>
    </row>
    <row r="4591" spans="1:7" x14ac:dyDescent="0.3">
      <c r="A4591" t="s">
        <v>1189</v>
      </c>
      <c r="B4591" t="s">
        <v>38</v>
      </c>
      <c r="C4591" t="s">
        <v>24</v>
      </c>
      <c r="D4591" t="s">
        <v>9</v>
      </c>
      <c r="E4591" s="68">
        <v>5092</v>
      </c>
      <c r="F4591" s="68">
        <v>5320</v>
      </c>
      <c r="G4591" s="68">
        <v>10412</v>
      </c>
    </row>
    <row r="4592" spans="1:7" x14ac:dyDescent="0.3">
      <c r="A4592" t="s">
        <v>1189</v>
      </c>
      <c r="B4592" t="s">
        <v>38</v>
      </c>
      <c r="C4592" t="s">
        <v>24</v>
      </c>
      <c r="D4592" t="s">
        <v>10</v>
      </c>
      <c r="E4592" s="68">
        <v>5311</v>
      </c>
      <c r="F4592" s="68">
        <v>5313</v>
      </c>
      <c r="G4592" s="68">
        <v>10624</v>
      </c>
    </row>
    <row r="4593" spans="1:7" x14ac:dyDescent="0.3">
      <c r="A4593" t="s">
        <v>1189</v>
      </c>
      <c r="B4593" t="s">
        <v>38</v>
      </c>
      <c r="C4593" t="s">
        <v>24</v>
      </c>
      <c r="D4593" t="s">
        <v>11</v>
      </c>
      <c r="E4593" s="68">
        <v>5125</v>
      </c>
      <c r="F4593" s="68">
        <v>5000</v>
      </c>
      <c r="G4593" s="68">
        <v>10125</v>
      </c>
    </row>
    <row r="4594" spans="1:7" x14ac:dyDescent="0.3">
      <c r="A4594" t="s">
        <v>1189</v>
      </c>
      <c r="B4594" t="s">
        <v>38</v>
      </c>
      <c r="C4594" t="s">
        <v>24</v>
      </c>
      <c r="D4594" t="s">
        <v>12</v>
      </c>
      <c r="E4594" s="68">
        <v>4720</v>
      </c>
      <c r="F4594" s="68">
        <v>4867</v>
      </c>
      <c r="G4594" s="68">
        <v>9587</v>
      </c>
    </row>
    <row r="4595" spans="1:7" x14ac:dyDescent="0.3">
      <c r="A4595" t="s">
        <v>1189</v>
      </c>
      <c r="B4595" t="s">
        <v>38</v>
      </c>
      <c r="C4595" t="s">
        <v>24</v>
      </c>
      <c r="D4595" t="s">
        <v>13</v>
      </c>
      <c r="E4595" s="68">
        <v>4143</v>
      </c>
      <c r="F4595" s="68">
        <v>3988</v>
      </c>
      <c r="G4595" s="68">
        <v>8131</v>
      </c>
    </row>
    <row r="4596" spans="1:7" x14ac:dyDescent="0.3">
      <c r="A4596" t="s">
        <v>1189</v>
      </c>
      <c r="B4596" t="s">
        <v>38</v>
      </c>
      <c r="C4596" t="s">
        <v>24</v>
      </c>
      <c r="D4596" t="s">
        <v>14</v>
      </c>
      <c r="E4596" s="68">
        <v>3638</v>
      </c>
      <c r="F4596" s="68">
        <v>3569</v>
      </c>
      <c r="G4596" s="68">
        <v>7207</v>
      </c>
    </row>
    <row r="4597" spans="1:7" x14ac:dyDescent="0.3">
      <c r="A4597" t="s">
        <v>1189</v>
      </c>
      <c r="B4597" t="s">
        <v>38</v>
      </c>
      <c r="C4597" t="s">
        <v>24</v>
      </c>
      <c r="D4597" t="s">
        <v>15</v>
      </c>
      <c r="E4597" s="68">
        <v>3500</v>
      </c>
      <c r="F4597" s="68">
        <v>3288</v>
      </c>
      <c r="G4597" s="68">
        <v>6788</v>
      </c>
    </row>
    <row r="4598" spans="1:7" x14ac:dyDescent="0.3">
      <c r="A4598" t="s">
        <v>1189</v>
      </c>
      <c r="B4598" t="s">
        <v>38</v>
      </c>
      <c r="C4598" t="s">
        <v>24</v>
      </c>
      <c r="D4598" t="s">
        <v>16</v>
      </c>
      <c r="E4598" s="68">
        <v>3127</v>
      </c>
      <c r="F4598" s="68">
        <v>3283</v>
      </c>
      <c r="G4598" s="68">
        <v>6410</v>
      </c>
    </row>
    <row r="4599" spans="1:7" x14ac:dyDescent="0.3">
      <c r="A4599" t="s">
        <v>1189</v>
      </c>
      <c r="B4599" t="s">
        <v>38</v>
      </c>
      <c r="C4599" t="s">
        <v>24</v>
      </c>
      <c r="D4599" t="s">
        <v>17</v>
      </c>
      <c r="E4599" s="68">
        <v>2850</v>
      </c>
      <c r="F4599" s="68">
        <v>3074</v>
      </c>
      <c r="G4599" s="68">
        <v>5924</v>
      </c>
    </row>
    <row r="4600" spans="1:7" x14ac:dyDescent="0.3">
      <c r="A4600" t="s">
        <v>1189</v>
      </c>
      <c r="B4600" t="s">
        <v>38</v>
      </c>
      <c r="C4600" t="s">
        <v>24</v>
      </c>
      <c r="D4600" t="s">
        <v>18</v>
      </c>
      <c r="E4600" s="68">
        <v>2581</v>
      </c>
      <c r="F4600" s="68">
        <v>2830</v>
      </c>
      <c r="G4600" s="68">
        <v>5411</v>
      </c>
    </row>
    <row r="4601" spans="1:7" x14ac:dyDescent="0.3">
      <c r="A4601" t="s">
        <v>1189</v>
      </c>
      <c r="B4601" t="s">
        <v>38</v>
      </c>
      <c r="C4601" t="s">
        <v>24</v>
      </c>
      <c r="D4601" t="s">
        <v>19</v>
      </c>
      <c r="E4601" s="68">
        <v>2221</v>
      </c>
      <c r="F4601" s="68">
        <v>2496</v>
      </c>
      <c r="G4601" s="68">
        <v>4717</v>
      </c>
    </row>
    <row r="4602" spans="1:7" x14ac:dyDescent="0.3">
      <c r="A4602" t="s">
        <v>1189</v>
      </c>
      <c r="B4602" t="s">
        <v>38</v>
      </c>
      <c r="C4602" t="s">
        <v>24</v>
      </c>
      <c r="D4602" t="s">
        <v>20</v>
      </c>
      <c r="E4602" s="68">
        <v>1724</v>
      </c>
      <c r="F4602" s="68">
        <v>2074</v>
      </c>
      <c r="G4602" s="68">
        <v>3798</v>
      </c>
    </row>
    <row r="4603" spans="1:7" x14ac:dyDescent="0.3">
      <c r="A4603" t="s">
        <v>1189</v>
      </c>
      <c r="B4603" t="s">
        <v>38</v>
      </c>
      <c r="C4603" t="s">
        <v>24</v>
      </c>
      <c r="D4603" t="s">
        <v>21</v>
      </c>
      <c r="E4603" s="68">
        <v>1269</v>
      </c>
      <c r="F4603" s="68">
        <v>1541</v>
      </c>
      <c r="G4603" s="68">
        <v>2810</v>
      </c>
    </row>
    <row r="4604" spans="1:7" x14ac:dyDescent="0.3">
      <c r="A4604" t="s">
        <v>1189</v>
      </c>
      <c r="B4604" t="s">
        <v>38</v>
      </c>
      <c r="C4604" t="s">
        <v>24</v>
      </c>
      <c r="D4604" t="s">
        <v>22</v>
      </c>
      <c r="E4604" s="68">
        <v>921</v>
      </c>
      <c r="F4604" s="68">
        <v>1079</v>
      </c>
      <c r="G4604" s="68">
        <v>2000</v>
      </c>
    </row>
    <row r="4605" spans="1:7" x14ac:dyDescent="0.3">
      <c r="A4605" t="s">
        <v>1189</v>
      </c>
      <c r="B4605" t="s">
        <v>38</v>
      </c>
      <c r="C4605" t="s">
        <v>24</v>
      </c>
      <c r="D4605" t="s">
        <v>23</v>
      </c>
      <c r="E4605" s="68">
        <v>1461</v>
      </c>
      <c r="F4605" s="68">
        <v>1413</v>
      </c>
      <c r="G4605" s="68">
        <v>2874</v>
      </c>
    </row>
    <row r="4606" spans="1:7" x14ac:dyDescent="0.3">
      <c r="A4606" t="s">
        <v>1189</v>
      </c>
      <c r="B4606" t="s">
        <v>30</v>
      </c>
      <c r="C4606" t="s">
        <v>24</v>
      </c>
      <c r="D4606" t="s">
        <v>22</v>
      </c>
      <c r="E4606" s="68">
        <v>1</v>
      </c>
      <c r="F4606" s="68"/>
      <c r="G4606" s="68">
        <v>1</v>
      </c>
    </row>
    <row r="4607" spans="1:7" x14ac:dyDescent="0.3">
      <c r="A4607" t="s">
        <v>1189</v>
      </c>
      <c r="B4607" t="s">
        <v>31</v>
      </c>
      <c r="C4607" t="s">
        <v>6</v>
      </c>
      <c r="D4607" t="s">
        <v>7</v>
      </c>
      <c r="E4607" s="68">
        <v>3</v>
      </c>
      <c r="F4607" s="68">
        <v>3</v>
      </c>
      <c r="G4607" s="68">
        <v>6</v>
      </c>
    </row>
    <row r="4608" spans="1:7" x14ac:dyDescent="0.3">
      <c r="A4608" t="s">
        <v>1189</v>
      </c>
      <c r="B4608" t="s">
        <v>31</v>
      </c>
      <c r="C4608" t="s">
        <v>6</v>
      </c>
      <c r="D4608" t="s">
        <v>8</v>
      </c>
      <c r="E4608" s="68">
        <v>1</v>
      </c>
      <c r="F4608" s="68">
        <v>6</v>
      </c>
      <c r="G4608" s="68">
        <v>7</v>
      </c>
    </row>
    <row r="4609" spans="1:7" x14ac:dyDescent="0.3">
      <c r="A4609" t="s">
        <v>1189</v>
      </c>
      <c r="B4609" t="s">
        <v>31</v>
      </c>
      <c r="C4609" t="s">
        <v>6</v>
      </c>
      <c r="D4609" t="s">
        <v>9</v>
      </c>
      <c r="E4609" s="68">
        <v>4</v>
      </c>
      <c r="F4609" s="68">
        <v>7</v>
      </c>
      <c r="G4609" s="68">
        <v>11</v>
      </c>
    </row>
    <row r="4610" spans="1:7" x14ac:dyDescent="0.3">
      <c r="A4610" t="s">
        <v>1189</v>
      </c>
      <c r="B4610" t="s">
        <v>31</v>
      </c>
      <c r="C4610" t="s">
        <v>6</v>
      </c>
      <c r="D4610" t="s">
        <v>10</v>
      </c>
      <c r="E4610" s="68">
        <v>4</v>
      </c>
      <c r="F4610" s="68">
        <v>4</v>
      </c>
      <c r="G4610" s="68">
        <v>8</v>
      </c>
    </row>
    <row r="4611" spans="1:7" x14ac:dyDescent="0.3">
      <c r="A4611" t="s">
        <v>1189</v>
      </c>
      <c r="B4611" t="s">
        <v>31</v>
      </c>
      <c r="C4611" t="s">
        <v>6</v>
      </c>
      <c r="D4611" t="s">
        <v>11</v>
      </c>
      <c r="E4611" s="68">
        <v>12</v>
      </c>
      <c r="F4611" s="68">
        <v>18</v>
      </c>
      <c r="G4611" s="68">
        <v>30</v>
      </c>
    </row>
    <row r="4612" spans="1:7" x14ac:dyDescent="0.3">
      <c r="A4612" t="s">
        <v>1189</v>
      </c>
      <c r="B4612" t="s">
        <v>31</v>
      </c>
      <c r="C4612" t="s">
        <v>6</v>
      </c>
      <c r="D4612" t="s">
        <v>12</v>
      </c>
      <c r="E4612" s="68">
        <v>16</v>
      </c>
      <c r="F4612" s="68">
        <v>12</v>
      </c>
      <c r="G4612" s="68">
        <v>28</v>
      </c>
    </row>
    <row r="4613" spans="1:7" x14ac:dyDescent="0.3">
      <c r="A4613" t="s">
        <v>1189</v>
      </c>
      <c r="B4613" t="s">
        <v>31</v>
      </c>
      <c r="C4613" t="s">
        <v>6</v>
      </c>
      <c r="D4613" t="s">
        <v>13</v>
      </c>
      <c r="E4613" s="68">
        <v>8</v>
      </c>
      <c r="F4613" s="68">
        <v>7</v>
      </c>
      <c r="G4613" s="68">
        <v>15</v>
      </c>
    </row>
    <row r="4614" spans="1:7" x14ac:dyDescent="0.3">
      <c r="A4614" t="s">
        <v>1189</v>
      </c>
      <c r="B4614" t="s">
        <v>31</v>
      </c>
      <c r="C4614" t="s">
        <v>6</v>
      </c>
      <c r="D4614" t="s">
        <v>14</v>
      </c>
      <c r="E4614" s="68">
        <v>5</v>
      </c>
      <c r="F4614" s="68">
        <v>8</v>
      </c>
      <c r="G4614" s="68">
        <v>13</v>
      </c>
    </row>
    <row r="4615" spans="1:7" x14ac:dyDescent="0.3">
      <c r="A4615" t="s">
        <v>1189</v>
      </c>
      <c r="B4615" t="s">
        <v>31</v>
      </c>
      <c r="C4615" t="s">
        <v>6</v>
      </c>
      <c r="D4615" t="s">
        <v>15</v>
      </c>
      <c r="E4615" s="68">
        <v>3</v>
      </c>
      <c r="F4615" s="68">
        <v>6</v>
      </c>
      <c r="G4615" s="68">
        <v>9</v>
      </c>
    </row>
    <row r="4616" spans="1:7" x14ac:dyDescent="0.3">
      <c r="A4616" t="s">
        <v>1189</v>
      </c>
      <c r="B4616" t="s">
        <v>31</v>
      </c>
      <c r="C4616" t="s">
        <v>6</v>
      </c>
      <c r="D4616" t="s">
        <v>16</v>
      </c>
      <c r="E4616" s="68">
        <v>4</v>
      </c>
      <c r="F4616" s="68">
        <v>4</v>
      </c>
      <c r="G4616" s="68">
        <v>8</v>
      </c>
    </row>
    <row r="4617" spans="1:7" x14ac:dyDescent="0.3">
      <c r="A4617" t="s">
        <v>1189</v>
      </c>
      <c r="B4617" t="s">
        <v>31</v>
      </c>
      <c r="C4617" t="s">
        <v>6</v>
      </c>
      <c r="D4617" t="s">
        <v>17</v>
      </c>
      <c r="E4617" s="68">
        <v>5</v>
      </c>
      <c r="F4617" s="68">
        <v>4</v>
      </c>
      <c r="G4617" s="68">
        <v>9</v>
      </c>
    </row>
    <row r="4618" spans="1:7" x14ac:dyDescent="0.3">
      <c r="A4618" t="s">
        <v>1189</v>
      </c>
      <c r="B4618" t="s">
        <v>31</v>
      </c>
      <c r="C4618" t="s">
        <v>6</v>
      </c>
      <c r="D4618" t="s">
        <v>18</v>
      </c>
      <c r="E4618" s="68">
        <v>3</v>
      </c>
      <c r="F4618" s="68"/>
      <c r="G4618" s="68">
        <v>3</v>
      </c>
    </row>
    <row r="4619" spans="1:7" x14ac:dyDescent="0.3">
      <c r="A4619" t="s">
        <v>1189</v>
      </c>
      <c r="B4619" t="s">
        <v>31</v>
      </c>
      <c r="C4619" t="s">
        <v>6</v>
      </c>
      <c r="D4619" t="s">
        <v>19</v>
      </c>
      <c r="E4619" s="68">
        <v>1</v>
      </c>
      <c r="F4619" s="68">
        <v>2</v>
      </c>
      <c r="G4619" s="68">
        <v>3</v>
      </c>
    </row>
    <row r="4620" spans="1:7" x14ac:dyDescent="0.3">
      <c r="A4620" t="s">
        <v>1189</v>
      </c>
      <c r="B4620" t="s">
        <v>31</v>
      </c>
      <c r="C4620" t="s">
        <v>6</v>
      </c>
      <c r="D4620" t="s">
        <v>20</v>
      </c>
      <c r="E4620" s="68">
        <v>1</v>
      </c>
      <c r="F4620" s="68">
        <v>1</v>
      </c>
      <c r="G4620" s="68">
        <v>2</v>
      </c>
    </row>
    <row r="4621" spans="1:7" x14ac:dyDescent="0.3">
      <c r="A4621" t="s">
        <v>1189</v>
      </c>
      <c r="B4621" t="s">
        <v>31</v>
      </c>
      <c r="C4621" t="s">
        <v>6</v>
      </c>
      <c r="D4621" t="s">
        <v>21</v>
      </c>
      <c r="E4621" s="68"/>
      <c r="F4621" s="68">
        <v>1</v>
      </c>
      <c r="G4621" s="68">
        <v>1</v>
      </c>
    </row>
    <row r="4622" spans="1:7" x14ac:dyDescent="0.3">
      <c r="A4622" t="s">
        <v>1189</v>
      </c>
      <c r="B4622" t="s">
        <v>31</v>
      </c>
      <c r="C4622" t="s">
        <v>24</v>
      </c>
      <c r="D4622" t="s">
        <v>7</v>
      </c>
      <c r="E4622" s="68">
        <v>200</v>
      </c>
      <c r="F4622" s="68">
        <v>195</v>
      </c>
      <c r="G4622" s="68">
        <v>395</v>
      </c>
    </row>
    <row r="4623" spans="1:7" x14ac:dyDescent="0.3">
      <c r="A4623" t="s">
        <v>1189</v>
      </c>
      <c r="B4623" t="s">
        <v>31</v>
      </c>
      <c r="C4623" t="s">
        <v>24</v>
      </c>
      <c r="D4623" t="s">
        <v>8</v>
      </c>
      <c r="E4623" s="68">
        <v>279</v>
      </c>
      <c r="F4623" s="68">
        <v>310</v>
      </c>
      <c r="G4623" s="68">
        <v>589</v>
      </c>
    </row>
    <row r="4624" spans="1:7" x14ac:dyDescent="0.3">
      <c r="A4624" t="s">
        <v>1189</v>
      </c>
      <c r="B4624" t="s">
        <v>31</v>
      </c>
      <c r="C4624" t="s">
        <v>24</v>
      </c>
      <c r="D4624" t="s">
        <v>9</v>
      </c>
      <c r="E4624" s="68">
        <v>350</v>
      </c>
      <c r="F4624" s="68">
        <v>360</v>
      </c>
      <c r="G4624" s="68">
        <v>710</v>
      </c>
    </row>
    <row r="4625" spans="1:7" x14ac:dyDescent="0.3">
      <c r="A4625" t="s">
        <v>1189</v>
      </c>
      <c r="B4625" t="s">
        <v>31</v>
      </c>
      <c r="C4625" t="s">
        <v>24</v>
      </c>
      <c r="D4625" t="s">
        <v>10</v>
      </c>
      <c r="E4625" s="68">
        <v>369</v>
      </c>
      <c r="F4625" s="68">
        <v>389</v>
      </c>
      <c r="G4625" s="68">
        <v>758</v>
      </c>
    </row>
    <row r="4626" spans="1:7" x14ac:dyDescent="0.3">
      <c r="A4626" t="s">
        <v>1189</v>
      </c>
      <c r="B4626" t="s">
        <v>31</v>
      </c>
      <c r="C4626" t="s">
        <v>24</v>
      </c>
      <c r="D4626" t="s">
        <v>11</v>
      </c>
      <c r="E4626" s="68">
        <v>273</v>
      </c>
      <c r="F4626" s="68">
        <v>330</v>
      </c>
      <c r="G4626" s="68">
        <v>603</v>
      </c>
    </row>
    <row r="4627" spans="1:7" x14ac:dyDescent="0.3">
      <c r="A4627" t="s">
        <v>1189</v>
      </c>
      <c r="B4627" t="s">
        <v>31</v>
      </c>
      <c r="C4627" t="s">
        <v>24</v>
      </c>
      <c r="D4627" t="s">
        <v>12</v>
      </c>
      <c r="E4627" s="68">
        <v>229</v>
      </c>
      <c r="F4627" s="68">
        <v>272</v>
      </c>
      <c r="G4627" s="68">
        <v>501</v>
      </c>
    </row>
    <row r="4628" spans="1:7" x14ac:dyDescent="0.3">
      <c r="A4628" t="s">
        <v>1189</v>
      </c>
      <c r="B4628" t="s">
        <v>31</v>
      </c>
      <c r="C4628" t="s">
        <v>24</v>
      </c>
      <c r="D4628" t="s">
        <v>13</v>
      </c>
      <c r="E4628" s="68">
        <v>202</v>
      </c>
      <c r="F4628" s="68">
        <v>206</v>
      </c>
      <c r="G4628" s="68">
        <v>408</v>
      </c>
    </row>
    <row r="4629" spans="1:7" x14ac:dyDescent="0.3">
      <c r="A4629" t="s">
        <v>1189</v>
      </c>
      <c r="B4629" t="s">
        <v>31</v>
      </c>
      <c r="C4629" t="s">
        <v>24</v>
      </c>
      <c r="D4629" t="s">
        <v>14</v>
      </c>
      <c r="E4629" s="68">
        <v>208</v>
      </c>
      <c r="F4629" s="68">
        <v>196</v>
      </c>
      <c r="G4629" s="68">
        <v>404</v>
      </c>
    </row>
    <row r="4630" spans="1:7" x14ac:dyDescent="0.3">
      <c r="A4630" t="s">
        <v>1189</v>
      </c>
      <c r="B4630" t="s">
        <v>31</v>
      </c>
      <c r="C4630" t="s">
        <v>24</v>
      </c>
      <c r="D4630" t="s">
        <v>15</v>
      </c>
      <c r="E4630" s="68">
        <v>190</v>
      </c>
      <c r="F4630" s="68">
        <v>222</v>
      </c>
      <c r="G4630" s="68">
        <v>412</v>
      </c>
    </row>
    <row r="4631" spans="1:7" x14ac:dyDescent="0.3">
      <c r="A4631" t="s">
        <v>1189</v>
      </c>
      <c r="B4631" t="s">
        <v>31</v>
      </c>
      <c r="C4631" t="s">
        <v>24</v>
      </c>
      <c r="D4631" t="s">
        <v>16</v>
      </c>
      <c r="E4631" s="68">
        <v>180</v>
      </c>
      <c r="F4631" s="68">
        <v>216</v>
      </c>
      <c r="G4631" s="68">
        <v>396</v>
      </c>
    </row>
    <row r="4632" spans="1:7" x14ac:dyDescent="0.3">
      <c r="A4632" t="s">
        <v>1189</v>
      </c>
      <c r="B4632" t="s">
        <v>31</v>
      </c>
      <c r="C4632" t="s">
        <v>24</v>
      </c>
      <c r="D4632" t="s">
        <v>17</v>
      </c>
      <c r="E4632" s="68">
        <v>151</v>
      </c>
      <c r="F4632" s="68">
        <v>168</v>
      </c>
      <c r="G4632" s="68">
        <v>319</v>
      </c>
    </row>
    <row r="4633" spans="1:7" x14ac:dyDescent="0.3">
      <c r="A4633" t="s">
        <v>1189</v>
      </c>
      <c r="B4633" t="s">
        <v>31</v>
      </c>
      <c r="C4633" t="s">
        <v>24</v>
      </c>
      <c r="D4633" t="s">
        <v>18</v>
      </c>
      <c r="E4633" s="68">
        <v>122</v>
      </c>
      <c r="F4633" s="68">
        <v>148</v>
      </c>
      <c r="G4633" s="68">
        <v>270</v>
      </c>
    </row>
    <row r="4634" spans="1:7" x14ac:dyDescent="0.3">
      <c r="A4634" t="s">
        <v>1189</v>
      </c>
      <c r="B4634" t="s">
        <v>31</v>
      </c>
      <c r="C4634" t="s">
        <v>24</v>
      </c>
      <c r="D4634" t="s">
        <v>19</v>
      </c>
      <c r="E4634" s="68">
        <v>96</v>
      </c>
      <c r="F4634" s="68">
        <v>115</v>
      </c>
      <c r="G4634" s="68">
        <v>211</v>
      </c>
    </row>
    <row r="4635" spans="1:7" x14ac:dyDescent="0.3">
      <c r="A4635" t="s">
        <v>1189</v>
      </c>
      <c r="B4635" t="s">
        <v>31</v>
      </c>
      <c r="C4635" t="s">
        <v>24</v>
      </c>
      <c r="D4635" t="s">
        <v>20</v>
      </c>
      <c r="E4635" s="68">
        <v>86</v>
      </c>
      <c r="F4635" s="68">
        <v>126</v>
      </c>
      <c r="G4635" s="68">
        <v>212</v>
      </c>
    </row>
    <row r="4636" spans="1:7" x14ac:dyDescent="0.3">
      <c r="A4636" t="s">
        <v>1189</v>
      </c>
      <c r="B4636" t="s">
        <v>31</v>
      </c>
      <c r="C4636" t="s">
        <v>24</v>
      </c>
      <c r="D4636" t="s">
        <v>21</v>
      </c>
      <c r="E4636" s="68">
        <v>50</v>
      </c>
      <c r="F4636" s="68">
        <v>82</v>
      </c>
      <c r="G4636" s="68">
        <v>132</v>
      </c>
    </row>
    <row r="4637" spans="1:7" x14ac:dyDescent="0.3">
      <c r="A4637" t="s">
        <v>1189</v>
      </c>
      <c r="B4637" t="s">
        <v>31</v>
      </c>
      <c r="C4637" t="s">
        <v>24</v>
      </c>
      <c r="D4637" t="s">
        <v>22</v>
      </c>
      <c r="E4637" s="68">
        <v>48</v>
      </c>
      <c r="F4637" s="68">
        <v>63</v>
      </c>
      <c r="G4637" s="68">
        <v>111</v>
      </c>
    </row>
    <row r="4638" spans="1:7" x14ac:dyDescent="0.3">
      <c r="A4638" t="s">
        <v>1189</v>
      </c>
      <c r="B4638" t="s">
        <v>31</v>
      </c>
      <c r="C4638" t="s">
        <v>24</v>
      </c>
      <c r="D4638" t="s">
        <v>23</v>
      </c>
      <c r="E4638" s="68">
        <v>61</v>
      </c>
      <c r="F4638" s="68">
        <v>61</v>
      </c>
      <c r="G4638" s="68">
        <v>122</v>
      </c>
    </row>
    <row r="4639" spans="1:7" x14ac:dyDescent="0.3">
      <c r="A4639" t="s">
        <v>1189</v>
      </c>
      <c r="B4639" t="s">
        <v>40</v>
      </c>
      <c r="C4639" t="s">
        <v>24</v>
      </c>
      <c r="D4639" t="s">
        <v>19</v>
      </c>
      <c r="E4639" s="68">
        <v>1</v>
      </c>
      <c r="F4639" s="68"/>
      <c r="G4639" s="68">
        <v>1</v>
      </c>
    </row>
    <row r="4640" spans="1:7" x14ac:dyDescent="0.3">
      <c r="A4640" t="s">
        <v>1189</v>
      </c>
      <c r="B4640" t="s">
        <v>5</v>
      </c>
      <c r="C4640" t="s">
        <v>6</v>
      </c>
      <c r="D4640" t="s">
        <v>7</v>
      </c>
      <c r="E4640" s="68">
        <v>3024</v>
      </c>
      <c r="F4640" s="68">
        <v>3061</v>
      </c>
      <c r="G4640" s="68">
        <v>6085</v>
      </c>
    </row>
    <row r="4641" spans="1:7" x14ac:dyDescent="0.3">
      <c r="A4641" t="s">
        <v>1189</v>
      </c>
      <c r="B4641" t="s">
        <v>5</v>
      </c>
      <c r="C4641" t="s">
        <v>6</v>
      </c>
      <c r="D4641" t="s">
        <v>8</v>
      </c>
      <c r="E4641" s="68">
        <v>4126</v>
      </c>
      <c r="F4641" s="68">
        <v>4451</v>
      </c>
      <c r="G4641" s="68">
        <v>8577</v>
      </c>
    </row>
    <row r="4642" spans="1:7" x14ac:dyDescent="0.3">
      <c r="A4642" t="s">
        <v>1189</v>
      </c>
      <c r="B4642" t="s">
        <v>5</v>
      </c>
      <c r="C4642" t="s">
        <v>6</v>
      </c>
      <c r="D4642" t="s">
        <v>9</v>
      </c>
      <c r="E4642" s="68">
        <v>5006</v>
      </c>
      <c r="F4642" s="68">
        <v>5256</v>
      </c>
      <c r="G4642" s="68">
        <v>10262</v>
      </c>
    </row>
    <row r="4643" spans="1:7" x14ac:dyDescent="0.3">
      <c r="A4643" t="s">
        <v>1189</v>
      </c>
      <c r="B4643" t="s">
        <v>5</v>
      </c>
      <c r="C4643" t="s">
        <v>6</v>
      </c>
      <c r="D4643" t="s">
        <v>10</v>
      </c>
      <c r="E4643" s="68">
        <v>4648</v>
      </c>
      <c r="F4643" s="68">
        <v>4891</v>
      </c>
      <c r="G4643" s="68">
        <v>9539</v>
      </c>
    </row>
    <row r="4644" spans="1:7" x14ac:dyDescent="0.3">
      <c r="A4644" t="s">
        <v>1189</v>
      </c>
      <c r="B4644" t="s">
        <v>5</v>
      </c>
      <c r="C4644" t="s">
        <v>6</v>
      </c>
      <c r="D4644" t="s">
        <v>11</v>
      </c>
      <c r="E4644" s="68">
        <v>4785</v>
      </c>
      <c r="F4644" s="68">
        <v>4664</v>
      </c>
      <c r="G4644" s="68">
        <v>9449</v>
      </c>
    </row>
    <row r="4645" spans="1:7" x14ac:dyDescent="0.3">
      <c r="A4645" t="s">
        <v>1189</v>
      </c>
      <c r="B4645" t="s">
        <v>5</v>
      </c>
      <c r="C4645" t="s">
        <v>6</v>
      </c>
      <c r="D4645" t="s">
        <v>12</v>
      </c>
      <c r="E4645" s="68">
        <v>5430</v>
      </c>
      <c r="F4645" s="68">
        <v>4921</v>
      </c>
      <c r="G4645" s="68">
        <v>10351</v>
      </c>
    </row>
    <row r="4646" spans="1:7" x14ac:dyDescent="0.3">
      <c r="A4646" t="s">
        <v>1189</v>
      </c>
      <c r="B4646" t="s">
        <v>5</v>
      </c>
      <c r="C4646" t="s">
        <v>6</v>
      </c>
      <c r="D4646" t="s">
        <v>13</v>
      </c>
      <c r="E4646" s="68">
        <v>6260</v>
      </c>
      <c r="F4646" s="68">
        <v>5626</v>
      </c>
      <c r="G4646" s="68">
        <v>11886</v>
      </c>
    </row>
    <row r="4647" spans="1:7" x14ac:dyDescent="0.3">
      <c r="A4647" t="s">
        <v>1189</v>
      </c>
      <c r="B4647" t="s">
        <v>5</v>
      </c>
      <c r="C4647" t="s">
        <v>6</v>
      </c>
      <c r="D4647" t="s">
        <v>14</v>
      </c>
      <c r="E4647" s="68">
        <v>6235</v>
      </c>
      <c r="F4647" s="68">
        <v>5685</v>
      </c>
      <c r="G4647" s="68">
        <v>11920</v>
      </c>
    </row>
    <row r="4648" spans="1:7" x14ac:dyDescent="0.3">
      <c r="A4648" t="s">
        <v>1189</v>
      </c>
      <c r="B4648" t="s">
        <v>5</v>
      </c>
      <c r="C4648" t="s">
        <v>6</v>
      </c>
      <c r="D4648" t="s">
        <v>15</v>
      </c>
      <c r="E4648" s="68">
        <v>6126</v>
      </c>
      <c r="F4648" s="68">
        <v>5729</v>
      </c>
      <c r="G4648" s="68">
        <v>11855</v>
      </c>
    </row>
    <row r="4649" spans="1:7" x14ac:dyDescent="0.3">
      <c r="A4649" t="s">
        <v>1189</v>
      </c>
      <c r="B4649" t="s">
        <v>5</v>
      </c>
      <c r="C4649" t="s">
        <v>6</v>
      </c>
      <c r="D4649" t="s">
        <v>16</v>
      </c>
      <c r="E4649" s="68">
        <v>5002</v>
      </c>
      <c r="F4649" s="68">
        <v>4951</v>
      </c>
      <c r="G4649" s="68">
        <v>9953</v>
      </c>
    </row>
    <row r="4650" spans="1:7" x14ac:dyDescent="0.3">
      <c r="A4650" t="s">
        <v>1189</v>
      </c>
      <c r="B4650" t="s">
        <v>5</v>
      </c>
      <c r="C4650" t="s">
        <v>6</v>
      </c>
      <c r="D4650" t="s">
        <v>17</v>
      </c>
      <c r="E4650" s="68">
        <v>4121</v>
      </c>
      <c r="F4650" s="68">
        <v>3943</v>
      </c>
      <c r="G4650" s="68">
        <v>8064</v>
      </c>
    </row>
    <row r="4651" spans="1:7" x14ac:dyDescent="0.3">
      <c r="A4651" t="s">
        <v>1189</v>
      </c>
      <c r="B4651" t="s">
        <v>5</v>
      </c>
      <c r="C4651" t="s">
        <v>6</v>
      </c>
      <c r="D4651" t="s">
        <v>18</v>
      </c>
      <c r="E4651" s="68">
        <v>3768</v>
      </c>
      <c r="F4651" s="68">
        <v>3446</v>
      </c>
      <c r="G4651" s="68">
        <v>7214</v>
      </c>
    </row>
    <row r="4652" spans="1:7" x14ac:dyDescent="0.3">
      <c r="A4652" t="s">
        <v>1189</v>
      </c>
      <c r="B4652" t="s">
        <v>5</v>
      </c>
      <c r="C4652" t="s">
        <v>6</v>
      </c>
      <c r="D4652" t="s">
        <v>19</v>
      </c>
      <c r="E4652" s="68">
        <v>3723</v>
      </c>
      <c r="F4652" s="68">
        <v>3318</v>
      </c>
      <c r="G4652" s="68">
        <v>7041</v>
      </c>
    </row>
    <row r="4653" spans="1:7" x14ac:dyDescent="0.3">
      <c r="A4653" t="s">
        <v>1189</v>
      </c>
      <c r="B4653" t="s">
        <v>5</v>
      </c>
      <c r="C4653" t="s">
        <v>6</v>
      </c>
      <c r="D4653" t="s">
        <v>20</v>
      </c>
      <c r="E4653" s="68">
        <v>2965</v>
      </c>
      <c r="F4653" s="68">
        <v>2659</v>
      </c>
      <c r="G4653" s="68">
        <v>5624</v>
      </c>
    </row>
    <row r="4654" spans="1:7" x14ac:dyDescent="0.3">
      <c r="A4654" t="s">
        <v>1189</v>
      </c>
      <c r="B4654" t="s">
        <v>5</v>
      </c>
      <c r="C4654" t="s">
        <v>6</v>
      </c>
      <c r="D4654" t="s">
        <v>21</v>
      </c>
      <c r="E4654" s="68">
        <v>2265</v>
      </c>
      <c r="F4654" s="68">
        <v>1955</v>
      </c>
      <c r="G4654" s="68">
        <v>4220</v>
      </c>
    </row>
    <row r="4655" spans="1:7" x14ac:dyDescent="0.3">
      <c r="A4655" t="s">
        <v>1189</v>
      </c>
      <c r="B4655" t="s">
        <v>5</v>
      </c>
      <c r="C4655" t="s">
        <v>6</v>
      </c>
      <c r="D4655" t="s">
        <v>22</v>
      </c>
      <c r="E4655" s="68">
        <v>1543</v>
      </c>
      <c r="F4655" s="68">
        <v>1287</v>
      </c>
      <c r="G4655" s="68">
        <v>2830</v>
      </c>
    </row>
    <row r="4656" spans="1:7" x14ac:dyDescent="0.3">
      <c r="A4656" t="s">
        <v>1189</v>
      </c>
      <c r="B4656" t="s">
        <v>5</v>
      </c>
      <c r="C4656" t="s">
        <v>6</v>
      </c>
      <c r="D4656" t="s">
        <v>23</v>
      </c>
      <c r="E4656" s="68">
        <v>1709</v>
      </c>
      <c r="F4656" s="68">
        <v>1211</v>
      </c>
      <c r="G4656" s="68">
        <v>2920</v>
      </c>
    </row>
    <row r="4657" spans="1:7" x14ac:dyDescent="0.3">
      <c r="A4657" t="s">
        <v>1189</v>
      </c>
      <c r="B4657" t="s">
        <v>5</v>
      </c>
      <c r="C4657" t="s">
        <v>24</v>
      </c>
      <c r="D4657" t="s">
        <v>7</v>
      </c>
      <c r="E4657" s="68">
        <v>8533</v>
      </c>
      <c r="F4657" s="68">
        <v>8817</v>
      </c>
      <c r="G4657" s="68">
        <v>17350</v>
      </c>
    </row>
    <row r="4658" spans="1:7" x14ac:dyDescent="0.3">
      <c r="A4658" t="s">
        <v>1189</v>
      </c>
      <c r="B4658" t="s">
        <v>5</v>
      </c>
      <c r="C4658" t="s">
        <v>24</v>
      </c>
      <c r="D4658" t="s">
        <v>8</v>
      </c>
      <c r="E4658" s="68">
        <v>11445</v>
      </c>
      <c r="F4658" s="68">
        <v>11915</v>
      </c>
      <c r="G4658" s="68">
        <v>23360</v>
      </c>
    </row>
    <row r="4659" spans="1:7" x14ac:dyDescent="0.3">
      <c r="A4659" t="s">
        <v>1189</v>
      </c>
      <c r="B4659" t="s">
        <v>5</v>
      </c>
      <c r="C4659" t="s">
        <v>24</v>
      </c>
      <c r="D4659" t="s">
        <v>9</v>
      </c>
      <c r="E4659" s="68">
        <v>12716</v>
      </c>
      <c r="F4659" s="68">
        <v>13308</v>
      </c>
      <c r="G4659" s="68">
        <v>26024</v>
      </c>
    </row>
    <row r="4660" spans="1:7" x14ac:dyDescent="0.3">
      <c r="A4660" t="s">
        <v>1189</v>
      </c>
      <c r="B4660" t="s">
        <v>5</v>
      </c>
      <c r="C4660" t="s">
        <v>24</v>
      </c>
      <c r="D4660" t="s">
        <v>10</v>
      </c>
      <c r="E4660" s="68">
        <v>12242</v>
      </c>
      <c r="F4660" s="68">
        <v>12758</v>
      </c>
      <c r="G4660" s="68">
        <v>25000</v>
      </c>
    </row>
    <row r="4661" spans="1:7" x14ac:dyDescent="0.3">
      <c r="A4661" t="s">
        <v>1189</v>
      </c>
      <c r="B4661" t="s">
        <v>5</v>
      </c>
      <c r="C4661" t="s">
        <v>24</v>
      </c>
      <c r="D4661" t="s">
        <v>11</v>
      </c>
      <c r="E4661" s="68">
        <v>11520</v>
      </c>
      <c r="F4661" s="68">
        <v>10077</v>
      </c>
      <c r="G4661" s="68">
        <v>21597</v>
      </c>
    </row>
    <row r="4662" spans="1:7" x14ac:dyDescent="0.3">
      <c r="A4662" t="s">
        <v>1189</v>
      </c>
      <c r="B4662" t="s">
        <v>5</v>
      </c>
      <c r="C4662" t="s">
        <v>24</v>
      </c>
      <c r="D4662" t="s">
        <v>12</v>
      </c>
      <c r="E4662" s="68">
        <v>11463</v>
      </c>
      <c r="F4662" s="68">
        <v>10250</v>
      </c>
      <c r="G4662" s="68">
        <v>21713</v>
      </c>
    </row>
    <row r="4663" spans="1:7" x14ac:dyDescent="0.3">
      <c r="A4663" t="s">
        <v>1189</v>
      </c>
      <c r="B4663" t="s">
        <v>5</v>
      </c>
      <c r="C4663" t="s">
        <v>24</v>
      </c>
      <c r="D4663" t="s">
        <v>13</v>
      </c>
      <c r="E4663" s="68">
        <v>10598</v>
      </c>
      <c r="F4663" s="68">
        <v>8994</v>
      </c>
      <c r="G4663" s="68">
        <v>19592</v>
      </c>
    </row>
    <row r="4664" spans="1:7" x14ac:dyDescent="0.3">
      <c r="A4664" t="s">
        <v>1189</v>
      </c>
      <c r="B4664" t="s">
        <v>5</v>
      </c>
      <c r="C4664" t="s">
        <v>24</v>
      </c>
      <c r="D4664" t="s">
        <v>14</v>
      </c>
      <c r="E4664" s="68">
        <v>9596</v>
      </c>
      <c r="F4664" s="68">
        <v>8407</v>
      </c>
      <c r="G4664" s="68">
        <v>18003</v>
      </c>
    </row>
    <row r="4665" spans="1:7" x14ac:dyDescent="0.3">
      <c r="A4665" t="s">
        <v>1189</v>
      </c>
      <c r="B4665" t="s">
        <v>5</v>
      </c>
      <c r="C4665" t="s">
        <v>24</v>
      </c>
      <c r="D4665" t="s">
        <v>15</v>
      </c>
      <c r="E4665" s="68">
        <v>8865</v>
      </c>
      <c r="F4665" s="68">
        <v>8119</v>
      </c>
      <c r="G4665" s="68">
        <v>16984</v>
      </c>
    </row>
    <row r="4666" spans="1:7" x14ac:dyDescent="0.3">
      <c r="A4666" t="s">
        <v>1189</v>
      </c>
      <c r="B4666" t="s">
        <v>5</v>
      </c>
      <c r="C4666" t="s">
        <v>24</v>
      </c>
      <c r="D4666" t="s">
        <v>16</v>
      </c>
      <c r="E4666" s="68">
        <v>8104</v>
      </c>
      <c r="F4666" s="68">
        <v>7770</v>
      </c>
      <c r="G4666" s="68">
        <v>15874</v>
      </c>
    </row>
    <row r="4667" spans="1:7" x14ac:dyDescent="0.3">
      <c r="A4667" t="s">
        <v>1189</v>
      </c>
      <c r="B4667" t="s">
        <v>5</v>
      </c>
      <c r="C4667" t="s">
        <v>24</v>
      </c>
      <c r="D4667" t="s">
        <v>17</v>
      </c>
      <c r="E4667" s="68">
        <v>7225</v>
      </c>
      <c r="F4667" s="68">
        <v>6883</v>
      </c>
      <c r="G4667" s="68">
        <v>14108</v>
      </c>
    </row>
    <row r="4668" spans="1:7" x14ac:dyDescent="0.3">
      <c r="A4668" t="s">
        <v>1189</v>
      </c>
      <c r="B4668" t="s">
        <v>5</v>
      </c>
      <c r="C4668" t="s">
        <v>24</v>
      </c>
      <c r="D4668" t="s">
        <v>18</v>
      </c>
      <c r="E4668" s="68">
        <v>6908</v>
      </c>
      <c r="F4668" s="68">
        <v>6919</v>
      </c>
      <c r="G4668" s="68">
        <v>13827</v>
      </c>
    </row>
    <row r="4669" spans="1:7" x14ac:dyDescent="0.3">
      <c r="A4669" t="s">
        <v>1189</v>
      </c>
      <c r="B4669" t="s">
        <v>5</v>
      </c>
      <c r="C4669" t="s">
        <v>24</v>
      </c>
      <c r="D4669" t="s">
        <v>19</v>
      </c>
      <c r="E4669" s="68">
        <v>6146</v>
      </c>
      <c r="F4669" s="68">
        <v>6285</v>
      </c>
      <c r="G4669" s="68">
        <v>12431</v>
      </c>
    </row>
    <row r="4670" spans="1:7" x14ac:dyDescent="0.3">
      <c r="A4670" t="s">
        <v>1189</v>
      </c>
      <c r="B4670" t="s">
        <v>5</v>
      </c>
      <c r="C4670" t="s">
        <v>24</v>
      </c>
      <c r="D4670" t="s">
        <v>20</v>
      </c>
      <c r="E4670" s="68">
        <v>4902</v>
      </c>
      <c r="F4670" s="68">
        <v>5124</v>
      </c>
      <c r="G4670" s="68">
        <v>10026</v>
      </c>
    </row>
    <row r="4671" spans="1:7" x14ac:dyDescent="0.3">
      <c r="A4671" t="s">
        <v>1189</v>
      </c>
      <c r="B4671" t="s">
        <v>5</v>
      </c>
      <c r="C4671" t="s">
        <v>24</v>
      </c>
      <c r="D4671" t="s">
        <v>21</v>
      </c>
      <c r="E4671" s="68">
        <v>3621</v>
      </c>
      <c r="F4671" s="68">
        <v>3822</v>
      </c>
      <c r="G4671" s="68">
        <v>7443</v>
      </c>
    </row>
    <row r="4672" spans="1:7" x14ac:dyDescent="0.3">
      <c r="A4672" t="s">
        <v>1189</v>
      </c>
      <c r="B4672" t="s">
        <v>5</v>
      </c>
      <c r="C4672" t="s">
        <v>24</v>
      </c>
      <c r="D4672" t="s">
        <v>22</v>
      </c>
      <c r="E4672" s="68">
        <v>2632</v>
      </c>
      <c r="F4672" s="68">
        <v>2761</v>
      </c>
      <c r="G4672" s="68">
        <v>5393</v>
      </c>
    </row>
    <row r="4673" spans="1:7" x14ac:dyDescent="0.3">
      <c r="A4673" t="s">
        <v>1189</v>
      </c>
      <c r="B4673" t="s">
        <v>5</v>
      </c>
      <c r="C4673" t="s">
        <v>24</v>
      </c>
      <c r="D4673" t="s">
        <v>23</v>
      </c>
      <c r="E4673" s="68">
        <v>3549</v>
      </c>
      <c r="F4673" s="68">
        <v>3215</v>
      </c>
      <c r="G4673" s="68">
        <v>6764</v>
      </c>
    </row>
    <row r="4674" spans="1:7" x14ac:dyDescent="0.3">
      <c r="A4674" t="s">
        <v>1189</v>
      </c>
      <c r="B4674" t="s">
        <v>33</v>
      </c>
      <c r="C4674" t="s">
        <v>24</v>
      </c>
      <c r="D4674" t="s">
        <v>15</v>
      </c>
      <c r="E4674" s="68"/>
      <c r="F4674" s="68">
        <v>1</v>
      </c>
      <c r="G4674" s="68">
        <v>1</v>
      </c>
    </row>
    <row r="4675" spans="1:7" x14ac:dyDescent="0.3">
      <c r="A4675" t="s">
        <v>1189</v>
      </c>
      <c r="B4675" t="s">
        <v>33</v>
      </c>
      <c r="C4675" t="s">
        <v>24</v>
      </c>
      <c r="D4675" t="s">
        <v>18</v>
      </c>
      <c r="E4675" s="68"/>
      <c r="F4675" s="68">
        <v>1</v>
      </c>
      <c r="G4675" s="68">
        <v>1</v>
      </c>
    </row>
    <row r="4676" spans="1:7" x14ac:dyDescent="0.3">
      <c r="A4676" t="s">
        <v>1189</v>
      </c>
      <c r="B4676" t="s">
        <v>37</v>
      </c>
      <c r="C4676" t="s">
        <v>6</v>
      </c>
      <c r="D4676" t="s">
        <v>7</v>
      </c>
      <c r="E4676" s="68">
        <v>124</v>
      </c>
      <c r="F4676" s="68">
        <v>126</v>
      </c>
      <c r="G4676" s="68">
        <v>250</v>
      </c>
    </row>
    <row r="4677" spans="1:7" x14ac:dyDescent="0.3">
      <c r="A4677" t="s">
        <v>1189</v>
      </c>
      <c r="B4677" t="s">
        <v>37</v>
      </c>
      <c r="C4677" t="s">
        <v>6</v>
      </c>
      <c r="D4677" t="s">
        <v>8</v>
      </c>
      <c r="E4677" s="68">
        <v>168</v>
      </c>
      <c r="F4677" s="68">
        <v>148</v>
      </c>
      <c r="G4677" s="68">
        <v>316</v>
      </c>
    </row>
    <row r="4678" spans="1:7" x14ac:dyDescent="0.3">
      <c r="A4678" t="s">
        <v>1189</v>
      </c>
      <c r="B4678" t="s">
        <v>37</v>
      </c>
      <c r="C4678" t="s">
        <v>6</v>
      </c>
      <c r="D4678" t="s">
        <v>9</v>
      </c>
      <c r="E4678" s="68">
        <v>239</v>
      </c>
      <c r="F4678" s="68">
        <v>231</v>
      </c>
      <c r="G4678" s="68">
        <v>470</v>
      </c>
    </row>
    <row r="4679" spans="1:7" x14ac:dyDescent="0.3">
      <c r="A4679" t="s">
        <v>1189</v>
      </c>
      <c r="B4679" t="s">
        <v>37</v>
      </c>
      <c r="C4679" t="s">
        <v>6</v>
      </c>
      <c r="D4679" t="s">
        <v>10</v>
      </c>
      <c r="E4679" s="68">
        <v>217</v>
      </c>
      <c r="F4679" s="68">
        <v>243</v>
      </c>
      <c r="G4679" s="68">
        <v>460</v>
      </c>
    </row>
    <row r="4680" spans="1:7" x14ac:dyDescent="0.3">
      <c r="A4680" t="s">
        <v>1189</v>
      </c>
      <c r="B4680" t="s">
        <v>37</v>
      </c>
      <c r="C4680" t="s">
        <v>6</v>
      </c>
      <c r="D4680" t="s">
        <v>11</v>
      </c>
      <c r="E4680" s="68">
        <v>263</v>
      </c>
      <c r="F4680" s="68">
        <v>291</v>
      </c>
      <c r="G4680" s="68">
        <v>554</v>
      </c>
    </row>
    <row r="4681" spans="1:7" x14ac:dyDescent="0.3">
      <c r="A4681" t="s">
        <v>1189</v>
      </c>
      <c r="B4681" t="s">
        <v>37</v>
      </c>
      <c r="C4681" t="s">
        <v>6</v>
      </c>
      <c r="D4681" t="s">
        <v>12</v>
      </c>
      <c r="E4681" s="68">
        <v>266</v>
      </c>
      <c r="F4681" s="68">
        <v>258</v>
      </c>
      <c r="G4681" s="68">
        <v>524</v>
      </c>
    </row>
    <row r="4682" spans="1:7" x14ac:dyDescent="0.3">
      <c r="A4682" t="s">
        <v>1189</v>
      </c>
      <c r="B4682" t="s">
        <v>37</v>
      </c>
      <c r="C4682" t="s">
        <v>6</v>
      </c>
      <c r="D4682" t="s">
        <v>13</v>
      </c>
      <c r="E4682" s="68">
        <v>250</v>
      </c>
      <c r="F4682" s="68">
        <v>227</v>
      </c>
      <c r="G4682" s="68">
        <v>477</v>
      </c>
    </row>
    <row r="4683" spans="1:7" x14ac:dyDescent="0.3">
      <c r="A4683" t="s">
        <v>1189</v>
      </c>
      <c r="B4683" t="s">
        <v>37</v>
      </c>
      <c r="C4683" t="s">
        <v>6</v>
      </c>
      <c r="D4683" t="s">
        <v>14</v>
      </c>
      <c r="E4683" s="68">
        <v>246</v>
      </c>
      <c r="F4683" s="68">
        <v>213</v>
      </c>
      <c r="G4683" s="68">
        <v>459</v>
      </c>
    </row>
    <row r="4684" spans="1:7" x14ac:dyDescent="0.3">
      <c r="A4684" t="s">
        <v>1189</v>
      </c>
      <c r="B4684" t="s">
        <v>37</v>
      </c>
      <c r="C4684" t="s">
        <v>6</v>
      </c>
      <c r="D4684" t="s">
        <v>15</v>
      </c>
      <c r="E4684" s="68">
        <v>221</v>
      </c>
      <c r="F4684" s="68">
        <v>237</v>
      </c>
      <c r="G4684" s="68">
        <v>458</v>
      </c>
    </row>
    <row r="4685" spans="1:7" x14ac:dyDescent="0.3">
      <c r="A4685" t="s">
        <v>1189</v>
      </c>
      <c r="B4685" t="s">
        <v>37</v>
      </c>
      <c r="C4685" t="s">
        <v>6</v>
      </c>
      <c r="D4685" t="s">
        <v>16</v>
      </c>
      <c r="E4685" s="68">
        <v>236</v>
      </c>
      <c r="F4685" s="68">
        <v>208</v>
      </c>
      <c r="G4685" s="68">
        <v>444</v>
      </c>
    </row>
    <row r="4686" spans="1:7" x14ac:dyDescent="0.3">
      <c r="A4686" t="s">
        <v>1189</v>
      </c>
      <c r="B4686" t="s">
        <v>37</v>
      </c>
      <c r="C4686" t="s">
        <v>6</v>
      </c>
      <c r="D4686" t="s">
        <v>17</v>
      </c>
      <c r="E4686" s="68">
        <v>198</v>
      </c>
      <c r="F4686" s="68">
        <v>168</v>
      </c>
      <c r="G4686" s="68">
        <v>366</v>
      </c>
    </row>
    <row r="4687" spans="1:7" x14ac:dyDescent="0.3">
      <c r="A4687" t="s">
        <v>1189</v>
      </c>
      <c r="B4687" t="s">
        <v>37</v>
      </c>
      <c r="C4687" t="s">
        <v>6</v>
      </c>
      <c r="D4687" t="s">
        <v>18</v>
      </c>
      <c r="E4687" s="68">
        <v>185</v>
      </c>
      <c r="F4687" s="68">
        <v>207</v>
      </c>
      <c r="G4687" s="68">
        <v>392</v>
      </c>
    </row>
    <row r="4688" spans="1:7" x14ac:dyDescent="0.3">
      <c r="A4688" t="s">
        <v>1189</v>
      </c>
      <c r="B4688" t="s">
        <v>37</v>
      </c>
      <c r="C4688" t="s">
        <v>6</v>
      </c>
      <c r="D4688" t="s">
        <v>19</v>
      </c>
      <c r="E4688" s="68">
        <v>198</v>
      </c>
      <c r="F4688" s="68">
        <v>178</v>
      </c>
      <c r="G4688" s="68">
        <v>376</v>
      </c>
    </row>
    <row r="4689" spans="1:7" x14ac:dyDescent="0.3">
      <c r="A4689" t="s">
        <v>1189</v>
      </c>
      <c r="B4689" t="s">
        <v>37</v>
      </c>
      <c r="C4689" t="s">
        <v>6</v>
      </c>
      <c r="D4689" t="s">
        <v>20</v>
      </c>
      <c r="E4689" s="68">
        <v>156</v>
      </c>
      <c r="F4689" s="68">
        <v>182</v>
      </c>
      <c r="G4689" s="68">
        <v>338</v>
      </c>
    </row>
    <row r="4690" spans="1:7" x14ac:dyDescent="0.3">
      <c r="A4690" t="s">
        <v>1189</v>
      </c>
      <c r="B4690" t="s">
        <v>37</v>
      </c>
      <c r="C4690" t="s">
        <v>6</v>
      </c>
      <c r="D4690" t="s">
        <v>21</v>
      </c>
      <c r="E4690" s="68">
        <v>96</v>
      </c>
      <c r="F4690" s="68">
        <v>113</v>
      </c>
      <c r="G4690" s="68">
        <v>209</v>
      </c>
    </row>
    <row r="4691" spans="1:7" x14ac:dyDescent="0.3">
      <c r="A4691" t="s">
        <v>1189</v>
      </c>
      <c r="B4691" t="s">
        <v>37</v>
      </c>
      <c r="C4691" t="s">
        <v>6</v>
      </c>
      <c r="D4691" t="s">
        <v>22</v>
      </c>
      <c r="E4691" s="68">
        <v>63</v>
      </c>
      <c r="F4691" s="68">
        <v>82</v>
      </c>
      <c r="G4691" s="68">
        <v>145</v>
      </c>
    </row>
    <row r="4692" spans="1:7" x14ac:dyDescent="0.3">
      <c r="A4692" t="s">
        <v>1189</v>
      </c>
      <c r="B4692" t="s">
        <v>37</v>
      </c>
      <c r="C4692" t="s">
        <v>6</v>
      </c>
      <c r="D4692" t="s">
        <v>23</v>
      </c>
      <c r="E4692" s="68">
        <v>62</v>
      </c>
      <c r="F4692" s="68">
        <v>68</v>
      </c>
      <c r="G4692" s="68">
        <v>130</v>
      </c>
    </row>
    <row r="4693" spans="1:7" x14ac:dyDescent="0.3">
      <c r="A4693" t="s">
        <v>1189</v>
      </c>
      <c r="B4693" t="s">
        <v>37</v>
      </c>
      <c r="C4693" t="s">
        <v>24</v>
      </c>
      <c r="D4693" t="s">
        <v>7</v>
      </c>
      <c r="E4693" s="68">
        <v>582</v>
      </c>
      <c r="F4693" s="68">
        <v>666</v>
      </c>
      <c r="G4693" s="68">
        <v>1248</v>
      </c>
    </row>
    <row r="4694" spans="1:7" x14ac:dyDescent="0.3">
      <c r="A4694" t="s">
        <v>1189</v>
      </c>
      <c r="B4694" t="s">
        <v>37</v>
      </c>
      <c r="C4694" t="s">
        <v>24</v>
      </c>
      <c r="D4694" t="s">
        <v>8</v>
      </c>
      <c r="E4694" s="68">
        <v>1045</v>
      </c>
      <c r="F4694" s="68">
        <v>1040</v>
      </c>
      <c r="G4694" s="68">
        <v>2085</v>
      </c>
    </row>
    <row r="4695" spans="1:7" x14ac:dyDescent="0.3">
      <c r="A4695" t="s">
        <v>1189</v>
      </c>
      <c r="B4695" t="s">
        <v>37</v>
      </c>
      <c r="C4695" t="s">
        <v>24</v>
      </c>
      <c r="D4695" t="s">
        <v>9</v>
      </c>
      <c r="E4695" s="68">
        <v>1140</v>
      </c>
      <c r="F4695" s="68">
        <v>1148</v>
      </c>
      <c r="G4695" s="68">
        <v>2288</v>
      </c>
    </row>
    <row r="4696" spans="1:7" x14ac:dyDescent="0.3">
      <c r="A4696" t="s">
        <v>1189</v>
      </c>
      <c r="B4696" t="s">
        <v>37</v>
      </c>
      <c r="C4696" t="s">
        <v>24</v>
      </c>
      <c r="D4696" t="s">
        <v>10</v>
      </c>
      <c r="E4696" s="68">
        <v>1083</v>
      </c>
      <c r="F4696" s="68">
        <v>1068</v>
      </c>
      <c r="G4696" s="68">
        <v>2151</v>
      </c>
    </row>
    <row r="4697" spans="1:7" x14ac:dyDescent="0.3">
      <c r="A4697" t="s">
        <v>1189</v>
      </c>
      <c r="B4697" t="s">
        <v>37</v>
      </c>
      <c r="C4697" t="s">
        <v>24</v>
      </c>
      <c r="D4697" t="s">
        <v>11</v>
      </c>
      <c r="E4697" s="68">
        <v>796</v>
      </c>
      <c r="F4697" s="68">
        <v>679</v>
      </c>
      <c r="G4697" s="68">
        <v>1475</v>
      </c>
    </row>
    <row r="4698" spans="1:7" x14ac:dyDescent="0.3">
      <c r="A4698" t="s">
        <v>1189</v>
      </c>
      <c r="B4698" t="s">
        <v>37</v>
      </c>
      <c r="C4698" t="s">
        <v>24</v>
      </c>
      <c r="D4698" t="s">
        <v>12</v>
      </c>
      <c r="E4698" s="68">
        <v>850</v>
      </c>
      <c r="F4698" s="68">
        <v>578</v>
      </c>
      <c r="G4698" s="68">
        <v>1428</v>
      </c>
    </row>
    <row r="4699" spans="1:7" x14ac:dyDescent="0.3">
      <c r="A4699" t="s">
        <v>1189</v>
      </c>
      <c r="B4699" t="s">
        <v>37</v>
      </c>
      <c r="C4699" t="s">
        <v>24</v>
      </c>
      <c r="D4699" t="s">
        <v>13</v>
      </c>
      <c r="E4699" s="68">
        <v>861</v>
      </c>
      <c r="F4699" s="68">
        <v>481</v>
      </c>
      <c r="G4699" s="68">
        <v>1342</v>
      </c>
    </row>
    <row r="4700" spans="1:7" x14ac:dyDescent="0.3">
      <c r="A4700" t="s">
        <v>1189</v>
      </c>
      <c r="B4700" t="s">
        <v>37</v>
      </c>
      <c r="C4700" t="s">
        <v>24</v>
      </c>
      <c r="D4700" t="s">
        <v>14</v>
      </c>
      <c r="E4700" s="68">
        <v>782</v>
      </c>
      <c r="F4700" s="68">
        <v>351</v>
      </c>
      <c r="G4700" s="68">
        <v>1133</v>
      </c>
    </row>
    <row r="4701" spans="1:7" x14ac:dyDescent="0.3">
      <c r="A4701" t="s">
        <v>1189</v>
      </c>
      <c r="B4701" t="s">
        <v>37</v>
      </c>
      <c r="C4701" t="s">
        <v>24</v>
      </c>
      <c r="D4701" t="s">
        <v>15</v>
      </c>
      <c r="E4701" s="68">
        <v>827</v>
      </c>
      <c r="F4701" s="68">
        <v>417</v>
      </c>
      <c r="G4701" s="68">
        <v>1244</v>
      </c>
    </row>
    <row r="4702" spans="1:7" x14ac:dyDescent="0.3">
      <c r="A4702" t="s">
        <v>1189</v>
      </c>
      <c r="B4702" t="s">
        <v>37</v>
      </c>
      <c r="C4702" t="s">
        <v>24</v>
      </c>
      <c r="D4702" t="s">
        <v>16</v>
      </c>
      <c r="E4702" s="68">
        <v>740</v>
      </c>
      <c r="F4702" s="68">
        <v>409</v>
      </c>
      <c r="G4702" s="68">
        <v>1149</v>
      </c>
    </row>
    <row r="4703" spans="1:7" x14ac:dyDescent="0.3">
      <c r="A4703" t="s">
        <v>1189</v>
      </c>
      <c r="B4703" t="s">
        <v>37</v>
      </c>
      <c r="C4703" t="s">
        <v>24</v>
      </c>
      <c r="D4703" t="s">
        <v>17</v>
      </c>
      <c r="E4703" s="68">
        <v>682</v>
      </c>
      <c r="F4703" s="68">
        <v>422</v>
      </c>
      <c r="G4703" s="68">
        <v>1104</v>
      </c>
    </row>
    <row r="4704" spans="1:7" x14ac:dyDescent="0.3">
      <c r="A4704" t="s">
        <v>1189</v>
      </c>
      <c r="B4704" t="s">
        <v>37</v>
      </c>
      <c r="C4704" t="s">
        <v>24</v>
      </c>
      <c r="D4704" t="s">
        <v>18</v>
      </c>
      <c r="E4704" s="68">
        <v>651</v>
      </c>
      <c r="F4704" s="68">
        <v>418</v>
      </c>
      <c r="G4704" s="68">
        <v>1069</v>
      </c>
    </row>
    <row r="4705" spans="1:7" x14ac:dyDescent="0.3">
      <c r="A4705" t="s">
        <v>1189</v>
      </c>
      <c r="B4705" t="s">
        <v>37</v>
      </c>
      <c r="C4705" t="s">
        <v>24</v>
      </c>
      <c r="D4705" t="s">
        <v>19</v>
      </c>
      <c r="E4705" s="68">
        <v>528</v>
      </c>
      <c r="F4705" s="68">
        <v>439</v>
      </c>
      <c r="G4705" s="68">
        <v>967</v>
      </c>
    </row>
    <row r="4706" spans="1:7" x14ac:dyDescent="0.3">
      <c r="A4706" t="s">
        <v>1189</v>
      </c>
      <c r="B4706" t="s">
        <v>37</v>
      </c>
      <c r="C4706" t="s">
        <v>24</v>
      </c>
      <c r="D4706" t="s">
        <v>20</v>
      </c>
      <c r="E4706" s="68">
        <v>383</v>
      </c>
      <c r="F4706" s="68">
        <v>332</v>
      </c>
      <c r="G4706" s="68">
        <v>715</v>
      </c>
    </row>
    <row r="4707" spans="1:7" x14ac:dyDescent="0.3">
      <c r="A4707" t="s">
        <v>1189</v>
      </c>
      <c r="B4707" t="s">
        <v>37</v>
      </c>
      <c r="C4707" t="s">
        <v>24</v>
      </c>
      <c r="D4707" t="s">
        <v>21</v>
      </c>
      <c r="E4707" s="68">
        <v>278</v>
      </c>
      <c r="F4707" s="68">
        <v>253</v>
      </c>
      <c r="G4707" s="68">
        <v>531</v>
      </c>
    </row>
    <row r="4708" spans="1:7" x14ac:dyDescent="0.3">
      <c r="A4708" t="s">
        <v>1189</v>
      </c>
      <c r="B4708" t="s">
        <v>37</v>
      </c>
      <c r="C4708" t="s">
        <v>24</v>
      </c>
      <c r="D4708" t="s">
        <v>22</v>
      </c>
      <c r="E4708" s="68">
        <v>196</v>
      </c>
      <c r="F4708" s="68">
        <v>143</v>
      </c>
      <c r="G4708" s="68">
        <v>339</v>
      </c>
    </row>
    <row r="4709" spans="1:7" x14ac:dyDescent="0.3">
      <c r="A4709" t="s">
        <v>1189</v>
      </c>
      <c r="B4709" t="s">
        <v>37</v>
      </c>
      <c r="C4709" t="s">
        <v>24</v>
      </c>
      <c r="D4709" t="s">
        <v>23</v>
      </c>
      <c r="E4709" s="68">
        <v>210</v>
      </c>
      <c r="F4709" s="68">
        <v>175</v>
      </c>
      <c r="G4709" s="68">
        <v>385</v>
      </c>
    </row>
    <row r="4710" spans="1:7" x14ac:dyDescent="0.3">
      <c r="A4710" t="s">
        <v>1189</v>
      </c>
      <c r="B4710" t="s">
        <v>35</v>
      </c>
      <c r="C4710" t="s">
        <v>6</v>
      </c>
      <c r="D4710" t="s">
        <v>14</v>
      </c>
      <c r="E4710" s="68">
        <v>1</v>
      </c>
      <c r="F4710" s="68"/>
      <c r="G4710" s="68">
        <v>1</v>
      </c>
    </row>
    <row r="4711" spans="1:7" x14ac:dyDescent="0.3">
      <c r="A4711" t="s">
        <v>1189</v>
      </c>
      <c r="B4711" t="s">
        <v>35</v>
      </c>
      <c r="C4711" t="s">
        <v>6</v>
      </c>
      <c r="D4711" t="s">
        <v>16</v>
      </c>
      <c r="E4711" s="68">
        <v>1</v>
      </c>
      <c r="F4711" s="68"/>
      <c r="G4711" s="68">
        <v>1</v>
      </c>
    </row>
    <row r="4712" spans="1:7" x14ac:dyDescent="0.3">
      <c r="A4712" t="s">
        <v>1189</v>
      </c>
      <c r="B4712" t="s">
        <v>35</v>
      </c>
      <c r="C4712" t="s">
        <v>6</v>
      </c>
      <c r="D4712" t="s">
        <v>17</v>
      </c>
      <c r="E4712" s="68">
        <v>2</v>
      </c>
      <c r="F4712" s="68"/>
      <c r="G4712" s="68">
        <v>2</v>
      </c>
    </row>
    <row r="4713" spans="1:7" x14ac:dyDescent="0.3">
      <c r="A4713" t="s">
        <v>1189</v>
      </c>
      <c r="B4713" t="s">
        <v>35</v>
      </c>
      <c r="C4713" t="s">
        <v>6</v>
      </c>
      <c r="D4713" t="s">
        <v>18</v>
      </c>
      <c r="E4713" s="68">
        <v>5</v>
      </c>
      <c r="F4713" s="68">
        <v>4</v>
      </c>
      <c r="G4713" s="68">
        <v>9</v>
      </c>
    </row>
    <row r="4714" spans="1:7" x14ac:dyDescent="0.3">
      <c r="A4714" t="s">
        <v>1189</v>
      </c>
      <c r="B4714" t="s">
        <v>35</v>
      </c>
      <c r="C4714" t="s">
        <v>6</v>
      </c>
      <c r="D4714" t="s">
        <v>19</v>
      </c>
      <c r="E4714" s="68">
        <v>7</v>
      </c>
      <c r="F4714" s="68">
        <v>2</v>
      </c>
      <c r="G4714" s="68">
        <v>9</v>
      </c>
    </row>
    <row r="4715" spans="1:7" x14ac:dyDescent="0.3">
      <c r="A4715" t="s">
        <v>1189</v>
      </c>
      <c r="B4715" t="s">
        <v>35</v>
      </c>
      <c r="C4715" t="s">
        <v>6</v>
      </c>
      <c r="D4715" t="s">
        <v>20</v>
      </c>
      <c r="E4715" s="68">
        <v>14</v>
      </c>
      <c r="F4715" s="68">
        <v>6</v>
      </c>
      <c r="G4715" s="68">
        <v>20</v>
      </c>
    </row>
    <row r="4716" spans="1:7" x14ac:dyDescent="0.3">
      <c r="A4716" t="s">
        <v>1189</v>
      </c>
      <c r="B4716" t="s">
        <v>35</v>
      </c>
      <c r="C4716" t="s">
        <v>6</v>
      </c>
      <c r="D4716" t="s">
        <v>21</v>
      </c>
      <c r="E4716" s="68">
        <v>19</v>
      </c>
      <c r="F4716" s="68">
        <v>14</v>
      </c>
      <c r="G4716" s="68">
        <v>33</v>
      </c>
    </row>
    <row r="4717" spans="1:7" x14ac:dyDescent="0.3">
      <c r="A4717" t="s">
        <v>1189</v>
      </c>
      <c r="B4717" t="s">
        <v>35</v>
      </c>
      <c r="C4717" t="s">
        <v>6</v>
      </c>
      <c r="D4717" t="s">
        <v>22</v>
      </c>
      <c r="E4717" s="68">
        <v>15</v>
      </c>
      <c r="F4717" s="68">
        <v>16</v>
      </c>
      <c r="G4717" s="68">
        <v>31</v>
      </c>
    </row>
    <row r="4718" spans="1:7" x14ac:dyDescent="0.3">
      <c r="A4718" t="s">
        <v>1189</v>
      </c>
      <c r="B4718" t="s">
        <v>35</v>
      </c>
      <c r="C4718" t="s">
        <v>6</v>
      </c>
      <c r="D4718" t="s">
        <v>23</v>
      </c>
      <c r="E4718" s="68">
        <v>31</v>
      </c>
      <c r="F4718" s="68">
        <v>16</v>
      </c>
      <c r="G4718" s="68">
        <v>47</v>
      </c>
    </row>
    <row r="4719" spans="1:7" x14ac:dyDescent="0.3">
      <c r="A4719" t="s">
        <v>1189</v>
      </c>
      <c r="B4719" t="s">
        <v>25</v>
      </c>
      <c r="C4719" t="s">
        <v>6</v>
      </c>
      <c r="D4719" t="s">
        <v>7</v>
      </c>
      <c r="E4719" s="68">
        <v>15</v>
      </c>
      <c r="F4719" s="68">
        <v>18</v>
      </c>
      <c r="G4719" s="68">
        <v>33</v>
      </c>
    </row>
    <row r="4720" spans="1:7" x14ac:dyDescent="0.3">
      <c r="A4720" t="s">
        <v>1189</v>
      </c>
      <c r="B4720" t="s">
        <v>25</v>
      </c>
      <c r="C4720" t="s">
        <v>6</v>
      </c>
      <c r="D4720" t="s">
        <v>8</v>
      </c>
      <c r="E4720" s="68">
        <v>14</v>
      </c>
      <c r="F4720" s="68">
        <v>12</v>
      </c>
      <c r="G4720" s="68">
        <v>26</v>
      </c>
    </row>
    <row r="4721" spans="1:7" x14ac:dyDescent="0.3">
      <c r="A4721" t="s">
        <v>1189</v>
      </c>
      <c r="B4721" t="s">
        <v>25</v>
      </c>
      <c r="C4721" t="s">
        <v>6</v>
      </c>
      <c r="D4721" t="s">
        <v>9</v>
      </c>
      <c r="E4721" s="68">
        <v>15</v>
      </c>
      <c r="F4721" s="68">
        <v>20</v>
      </c>
      <c r="G4721" s="68">
        <v>35</v>
      </c>
    </row>
    <row r="4722" spans="1:7" x14ac:dyDescent="0.3">
      <c r="A4722" t="s">
        <v>1189</v>
      </c>
      <c r="B4722" t="s">
        <v>25</v>
      </c>
      <c r="C4722" t="s">
        <v>6</v>
      </c>
      <c r="D4722" t="s">
        <v>10</v>
      </c>
      <c r="E4722" s="68">
        <v>24</v>
      </c>
      <c r="F4722" s="68">
        <v>20</v>
      </c>
      <c r="G4722" s="68">
        <v>44</v>
      </c>
    </row>
    <row r="4723" spans="1:7" x14ac:dyDescent="0.3">
      <c r="A4723" t="s">
        <v>1189</v>
      </c>
      <c r="B4723" t="s">
        <v>25</v>
      </c>
      <c r="C4723" t="s">
        <v>6</v>
      </c>
      <c r="D4723" t="s">
        <v>11</v>
      </c>
      <c r="E4723" s="68">
        <v>38</v>
      </c>
      <c r="F4723" s="68">
        <v>29</v>
      </c>
      <c r="G4723" s="68">
        <v>67</v>
      </c>
    </row>
    <row r="4724" spans="1:7" x14ac:dyDescent="0.3">
      <c r="A4724" t="s">
        <v>1189</v>
      </c>
      <c r="B4724" t="s">
        <v>25</v>
      </c>
      <c r="C4724" t="s">
        <v>6</v>
      </c>
      <c r="D4724" t="s">
        <v>12</v>
      </c>
      <c r="E4724" s="68">
        <v>38</v>
      </c>
      <c r="F4724" s="68">
        <v>33</v>
      </c>
      <c r="G4724" s="68">
        <v>71</v>
      </c>
    </row>
    <row r="4725" spans="1:7" x14ac:dyDescent="0.3">
      <c r="A4725" t="s">
        <v>1189</v>
      </c>
      <c r="B4725" t="s">
        <v>25</v>
      </c>
      <c r="C4725" t="s">
        <v>6</v>
      </c>
      <c r="D4725" t="s">
        <v>13</v>
      </c>
      <c r="E4725" s="68">
        <v>27</v>
      </c>
      <c r="F4725" s="68">
        <v>26</v>
      </c>
      <c r="G4725" s="68">
        <v>53</v>
      </c>
    </row>
    <row r="4726" spans="1:7" x14ac:dyDescent="0.3">
      <c r="A4726" t="s">
        <v>1189</v>
      </c>
      <c r="B4726" t="s">
        <v>25</v>
      </c>
      <c r="C4726" t="s">
        <v>6</v>
      </c>
      <c r="D4726" t="s">
        <v>14</v>
      </c>
      <c r="E4726" s="68">
        <v>23</v>
      </c>
      <c r="F4726" s="68">
        <v>18</v>
      </c>
      <c r="G4726" s="68">
        <v>41</v>
      </c>
    </row>
    <row r="4727" spans="1:7" x14ac:dyDescent="0.3">
      <c r="A4727" t="s">
        <v>1189</v>
      </c>
      <c r="B4727" t="s">
        <v>25</v>
      </c>
      <c r="C4727" t="s">
        <v>6</v>
      </c>
      <c r="D4727" t="s">
        <v>15</v>
      </c>
      <c r="E4727" s="68">
        <v>10</v>
      </c>
      <c r="F4727" s="68">
        <v>14</v>
      </c>
      <c r="G4727" s="68">
        <v>24</v>
      </c>
    </row>
    <row r="4728" spans="1:7" x14ac:dyDescent="0.3">
      <c r="A4728" t="s">
        <v>1189</v>
      </c>
      <c r="B4728" t="s">
        <v>25</v>
      </c>
      <c r="C4728" t="s">
        <v>6</v>
      </c>
      <c r="D4728" t="s">
        <v>16</v>
      </c>
      <c r="E4728" s="68">
        <v>20</v>
      </c>
      <c r="F4728" s="68">
        <v>9</v>
      </c>
      <c r="G4728" s="68">
        <v>29</v>
      </c>
    </row>
    <row r="4729" spans="1:7" x14ac:dyDescent="0.3">
      <c r="A4729" t="s">
        <v>1189</v>
      </c>
      <c r="B4729" t="s">
        <v>25</v>
      </c>
      <c r="C4729" t="s">
        <v>6</v>
      </c>
      <c r="D4729" t="s">
        <v>17</v>
      </c>
      <c r="E4729" s="68">
        <v>6</v>
      </c>
      <c r="F4729" s="68">
        <v>8</v>
      </c>
      <c r="G4729" s="68">
        <v>14</v>
      </c>
    </row>
    <row r="4730" spans="1:7" x14ac:dyDescent="0.3">
      <c r="A4730" t="s">
        <v>1189</v>
      </c>
      <c r="B4730" t="s">
        <v>25</v>
      </c>
      <c r="C4730" t="s">
        <v>6</v>
      </c>
      <c r="D4730" t="s">
        <v>18</v>
      </c>
      <c r="E4730" s="68">
        <v>8</v>
      </c>
      <c r="F4730" s="68">
        <v>11</v>
      </c>
      <c r="G4730" s="68">
        <v>19</v>
      </c>
    </row>
    <row r="4731" spans="1:7" x14ac:dyDescent="0.3">
      <c r="A4731" t="s">
        <v>1189</v>
      </c>
      <c r="B4731" t="s">
        <v>25</v>
      </c>
      <c r="C4731" t="s">
        <v>6</v>
      </c>
      <c r="D4731" t="s">
        <v>19</v>
      </c>
      <c r="E4731" s="68">
        <v>3</v>
      </c>
      <c r="F4731" s="68">
        <v>4</v>
      </c>
      <c r="G4731" s="68">
        <v>7</v>
      </c>
    </row>
    <row r="4732" spans="1:7" x14ac:dyDescent="0.3">
      <c r="A4732" t="s">
        <v>1189</v>
      </c>
      <c r="B4732" t="s">
        <v>25</v>
      </c>
      <c r="C4732" t="s">
        <v>6</v>
      </c>
      <c r="D4732" t="s">
        <v>22</v>
      </c>
      <c r="E4732" s="68">
        <v>1</v>
      </c>
      <c r="F4732" s="68">
        <v>1</v>
      </c>
      <c r="G4732" s="68">
        <v>2</v>
      </c>
    </row>
    <row r="4733" spans="1:7" x14ac:dyDescent="0.3">
      <c r="A4733" t="s">
        <v>1189</v>
      </c>
      <c r="B4733" t="s">
        <v>25</v>
      </c>
      <c r="C4733" t="s">
        <v>24</v>
      </c>
      <c r="D4733" t="s">
        <v>7</v>
      </c>
      <c r="E4733" s="68">
        <v>288</v>
      </c>
      <c r="F4733" s="68">
        <v>305</v>
      </c>
      <c r="G4733" s="68">
        <v>593</v>
      </c>
    </row>
    <row r="4734" spans="1:7" x14ac:dyDescent="0.3">
      <c r="A4734" t="s">
        <v>1189</v>
      </c>
      <c r="B4734" t="s">
        <v>25</v>
      </c>
      <c r="C4734" t="s">
        <v>24</v>
      </c>
      <c r="D4734" t="s">
        <v>8</v>
      </c>
      <c r="E4734" s="68">
        <v>383</v>
      </c>
      <c r="F4734" s="68">
        <v>435</v>
      </c>
      <c r="G4734" s="68">
        <v>818</v>
      </c>
    </row>
    <row r="4735" spans="1:7" x14ac:dyDescent="0.3">
      <c r="A4735" t="s">
        <v>1189</v>
      </c>
      <c r="B4735" t="s">
        <v>25</v>
      </c>
      <c r="C4735" t="s">
        <v>24</v>
      </c>
      <c r="D4735" t="s">
        <v>9</v>
      </c>
      <c r="E4735" s="68">
        <v>441</v>
      </c>
      <c r="F4735" s="68">
        <v>440</v>
      </c>
      <c r="G4735" s="68">
        <v>881</v>
      </c>
    </row>
    <row r="4736" spans="1:7" x14ac:dyDescent="0.3">
      <c r="A4736" t="s">
        <v>1189</v>
      </c>
      <c r="B4736" t="s">
        <v>25</v>
      </c>
      <c r="C4736" t="s">
        <v>24</v>
      </c>
      <c r="D4736" t="s">
        <v>10</v>
      </c>
      <c r="E4736" s="68">
        <v>439</v>
      </c>
      <c r="F4736" s="68">
        <v>460</v>
      </c>
      <c r="G4736" s="68">
        <v>899</v>
      </c>
    </row>
    <row r="4737" spans="1:7" x14ac:dyDescent="0.3">
      <c r="A4737" t="s">
        <v>1189</v>
      </c>
      <c r="B4737" t="s">
        <v>25</v>
      </c>
      <c r="C4737" t="s">
        <v>24</v>
      </c>
      <c r="D4737" t="s">
        <v>11</v>
      </c>
      <c r="E4737" s="68">
        <v>412</v>
      </c>
      <c r="F4737" s="68">
        <v>329</v>
      </c>
      <c r="G4737" s="68">
        <v>741</v>
      </c>
    </row>
    <row r="4738" spans="1:7" x14ac:dyDescent="0.3">
      <c r="A4738" t="s">
        <v>1189</v>
      </c>
      <c r="B4738" t="s">
        <v>25</v>
      </c>
      <c r="C4738" t="s">
        <v>24</v>
      </c>
      <c r="D4738" t="s">
        <v>12</v>
      </c>
      <c r="E4738" s="68">
        <v>434</v>
      </c>
      <c r="F4738" s="68">
        <v>347</v>
      </c>
      <c r="G4738" s="68">
        <v>781</v>
      </c>
    </row>
    <row r="4739" spans="1:7" x14ac:dyDescent="0.3">
      <c r="A4739" t="s">
        <v>1189</v>
      </c>
      <c r="B4739" t="s">
        <v>25</v>
      </c>
      <c r="C4739" t="s">
        <v>24</v>
      </c>
      <c r="D4739" t="s">
        <v>13</v>
      </c>
      <c r="E4739" s="68">
        <v>346</v>
      </c>
      <c r="F4739" s="68">
        <v>304</v>
      </c>
      <c r="G4739" s="68">
        <v>650</v>
      </c>
    </row>
    <row r="4740" spans="1:7" x14ac:dyDescent="0.3">
      <c r="A4740" t="s">
        <v>1189</v>
      </c>
      <c r="B4740" t="s">
        <v>25</v>
      </c>
      <c r="C4740" t="s">
        <v>24</v>
      </c>
      <c r="D4740" t="s">
        <v>14</v>
      </c>
      <c r="E4740" s="68">
        <v>336</v>
      </c>
      <c r="F4740" s="68">
        <v>337</v>
      </c>
      <c r="G4740" s="68">
        <v>673</v>
      </c>
    </row>
    <row r="4741" spans="1:7" x14ac:dyDescent="0.3">
      <c r="A4741" t="s">
        <v>1189</v>
      </c>
      <c r="B4741" t="s">
        <v>25</v>
      </c>
      <c r="C4741" t="s">
        <v>24</v>
      </c>
      <c r="D4741" t="s">
        <v>15</v>
      </c>
      <c r="E4741" s="68">
        <v>297</v>
      </c>
      <c r="F4741" s="68">
        <v>309</v>
      </c>
      <c r="G4741" s="68">
        <v>606</v>
      </c>
    </row>
    <row r="4742" spans="1:7" x14ac:dyDescent="0.3">
      <c r="A4742" t="s">
        <v>1189</v>
      </c>
      <c r="B4742" t="s">
        <v>25</v>
      </c>
      <c r="C4742" t="s">
        <v>24</v>
      </c>
      <c r="D4742" t="s">
        <v>16</v>
      </c>
      <c r="E4742" s="68">
        <v>289</v>
      </c>
      <c r="F4742" s="68">
        <v>277</v>
      </c>
      <c r="G4742" s="68">
        <v>566</v>
      </c>
    </row>
    <row r="4743" spans="1:7" x14ac:dyDescent="0.3">
      <c r="A4743" t="s">
        <v>1189</v>
      </c>
      <c r="B4743" t="s">
        <v>25</v>
      </c>
      <c r="C4743" t="s">
        <v>24</v>
      </c>
      <c r="D4743" t="s">
        <v>17</v>
      </c>
      <c r="E4743" s="68">
        <v>285</v>
      </c>
      <c r="F4743" s="68">
        <v>307</v>
      </c>
      <c r="G4743" s="68">
        <v>592</v>
      </c>
    </row>
    <row r="4744" spans="1:7" x14ac:dyDescent="0.3">
      <c r="A4744" t="s">
        <v>1189</v>
      </c>
      <c r="B4744" t="s">
        <v>25</v>
      </c>
      <c r="C4744" t="s">
        <v>24</v>
      </c>
      <c r="D4744" t="s">
        <v>18</v>
      </c>
      <c r="E4744" s="68">
        <v>237</v>
      </c>
      <c r="F4744" s="68">
        <v>261</v>
      </c>
      <c r="G4744" s="68">
        <v>498</v>
      </c>
    </row>
    <row r="4745" spans="1:7" x14ac:dyDescent="0.3">
      <c r="A4745" t="s">
        <v>1189</v>
      </c>
      <c r="B4745" t="s">
        <v>25</v>
      </c>
      <c r="C4745" t="s">
        <v>24</v>
      </c>
      <c r="D4745" t="s">
        <v>19</v>
      </c>
      <c r="E4745" s="68">
        <v>226</v>
      </c>
      <c r="F4745" s="68">
        <v>221</v>
      </c>
      <c r="G4745" s="68">
        <v>447</v>
      </c>
    </row>
    <row r="4746" spans="1:7" x14ac:dyDescent="0.3">
      <c r="A4746" t="s">
        <v>1189</v>
      </c>
      <c r="B4746" t="s">
        <v>25</v>
      </c>
      <c r="C4746" t="s">
        <v>24</v>
      </c>
      <c r="D4746" t="s">
        <v>20</v>
      </c>
      <c r="E4746" s="68">
        <v>165</v>
      </c>
      <c r="F4746" s="68">
        <v>192</v>
      </c>
      <c r="G4746" s="68">
        <v>357</v>
      </c>
    </row>
    <row r="4747" spans="1:7" x14ac:dyDescent="0.3">
      <c r="A4747" t="s">
        <v>1189</v>
      </c>
      <c r="B4747" t="s">
        <v>25</v>
      </c>
      <c r="C4747" t="s">
        <v>24</v>
      </c>
      <c r="D4747" t="s">
        <v>21</v>
      </c>
      <c r="E4747" s="68">
        <v>128</v>
      </c>
      <c r="F4747" s="68">
        <v>136</v>
      </c>
      <c r="G4747" s="68">
        <v>264</v>
      </c>
    </row>
    <row r="4748" spans="1:7" x14ac:dyDescent="0.3">
      <c r="A4748" t="s">
        <v>1189</v>
      </c>
      <c r="B4748" t="s">
        <v>25</v>
      </c>
      <c r="C4748" t="s">
        <v>24</v>
      </c>
      <c r="D4748" t="s">
        <v>22</v>
      </c>
      <c r="E4748" s="68">
        <v>73</v>
      </c>
      <c r="F4748" s="68">
        <v>96</v>
      </c>
      <c r="G4748" s="68">
        <v>169</v>
      </c>
    </row>
    <row r="4749" spans="1:7" x14ac:dyDescent="0.3">
      <c r="A4749" t="s">
        <v>1189</v>
      </c>
      <c r="B4749" t="s">
        <v>25</v>
      </c>
      <c r="C4749" t="s">
        <v>24</v>
      </c>
      <c r="D4749" t="s">
        <v>23</v>
      </c>
      <c r="E4749" s="68">
        <v>85</v>
      </c>
      <c r="F4749" s="68">
        <v>92</v>
      </c>
      <c r="G4749" s="68">
        <v>177</v>
      </c>
    </row>
    <row r="4750" spans="1:7" x14ac:dyDescent="0.3">
      <c r="A4750" t="s">
        <v>1189</v>
      </c>
      <c r="B4750" t="s">
        <v>26</v>
      </c>
      <c r="C4750" t="s">
        <v>6</v>
      </c>
      <c r="D4750" t="s">
        <v>7</v>
      </c>
      <c r="E4750" s="68">
        <v>4006</v>
      </c>
      <c r="F4750" s="68">
        <v>4078</v>
      </c>
      <c r="G4750" s="68">
        <v>8084</v>
      </c>
    </row>
    <row r="4751" spans="1:7" x14ac:dyDescent="0.3">
      <c r="A4751" t="s">
        <v>1189</v>
      </c>
      <c r="B4751" t="s">
        <v>26</v>
      </c>
      <c r="C4751" t="s">
        <v>6</v>
      </c>
      <c r="D4751" t="s">
        <v>8</v>
      </c>
      <c r="E4751" s="68">
        <v>5106</v>
      </c>
      <c r="F4751" s="68">
        <v>5272</v>
      </c>
      <c r="G4751" s="68">
        <v>10378</v>
      </c>
    </row>
    <row r="4752" spans="1:7" x14ac:dyDescent="0.3">
      <c r="A4752" t="s">
        <v>1189</v>
      </c>
      <c r="B4752" t="s">
        <v>26</v>
      </c>
      <c r="C4752" t="s">
        <v>6</v>
      </c>
      <c r="D4752" t="s">
        <v>9</v>
      </c>
      <c r="E4752" s="68">
        <v>5781</v>
      </c>
      <c r="F4752" s="68">
        <v>5917</v>
      </c>
      <c r="G4752" s="68">
        <v>11698</v>
      </c>
    </row>
    <row r="4753" spans="1:7" x14ac:dyDescent="0.3">
      <c r="A4753" t="s">
        <v>1189</v>
      </c>
      <c r="B4753" t="s">
        <v>26</v>
      </c>
      <c r="C4753" t="s">
        <v>6</v>
      </c>
      <c r="D4753" t="s">
        <v>10</v>
      </c>
      <c r="E4753" s="68">
        <v>5450</v>
      </c>
      <c r="F4753" s="68">
        <v>5540</v>
      </c>
      <c r="G4753" s="68">
        <v>10990</v>
      </c>
    </row>
    <row r="4754" spans="1:7" x14ac:dyDescent="0.3">
      <c r="A4754" t="s">
        <v>1189</v>
      </c>
      <c r="B4754" t="s">
        <v>26</v>
      </c>
      <c r="C4754" t="s">
        <v>6</v>
      </c>
      <c r="D4754" t="s">
        <v>11</v>
      </c>
      <c r="E4754" s="68">
        <v>7021</v>
      </c>
      <c r="F4754" s="68">
        <v>7841</v>
      </c>
      <c r="G4754" s="68">
        <v>14862</v>
      </c>
    </row>
    <row r="4755" spans="1:7" x14ac:dyDescent="0.3">
      <c r="A4755" t="s">
        <v>1189</v>
      </c>
      <c r="B4755" t="s">
        <v>26</v>
      </c>
      <c r="C4755" t="s">
        <v>6</v>
      </c>
      <c r="D4755" t="s">
        <v>12</v>
      </c>
      <c r="E4755" s="68">
        <v>8860</v>
      </c>
      <c r="F4755" s="68">
        <v>9193</v>
      </c>
      <c r="G4755" s="68">
        <v>18053</v>
      </c>
    </row>
    <row r="4756" spans="1:7" x14ac:dyDescent="0.3">
      <c r="A4756" t="s">
        <v>1189</v>
      </c>
      <c r="B4756" t="s">
        <v>26</v>
      </c>
      <c r="C4756" t="s">
        <v>6</v>
      </c>
      <c r="D4756" t="s">
        <v>13</v>
      </c>
      <c r="E4756" s="68">
        <v>8927</v>
      </c>
      <c r="F4756" s="68">
        <v>9649</v>
      </c>
      <c r="G4756" s="68">
        <v>18576</v>
      </c>
    </row>
    <row r="4757" spans="1:7" x14ac:dyDescent="0.3">
      <c r="A4757" t="s">
        <v>1189</v>
      </c>
      <c r="B4757" t="s">
        <v>26</v>
      </c>
      <c r="C4757" t="s">
        <v>6</v>
      </c>
      <c r="D4757" t="s">
        <v>14</v>
      </c>
      <c r="E4757" s="68">
        <v>7421</v>
      </c>
      <c r="F4757" s="68">
        <v>8223</v>
      </c>
      <c r="G4757" s="68">
        <v>15644</v>
      </c>
    </row>
    <row r="4758" spans="1:7" x14ac:dyDescent="0.3">
      <c r="A4758" t="s">
        <v>1189</v>
      </c>
      <c r="B4758" t="s">
        <v>26</v>
      </c>
      <c r="C4758" t="s">
        <v>6</v>
      </c>
      <c r="D4758" t="s">
        <v>15</v>
      </c>
      <c r="E4758" s="68">
        <v>6618</v>
      </c>
      <c r="F4758" s="68">
        <v>7036</v>
      </c>
      <c r="G4758" s="68">
        <v>13654</v>
      </c>
    </row>
    <row r="4759" spans="1:7" x14ac:dyDescent="0.3">
      <c r="A4759" t="s">
        <v>1189</v>
      </c>
      <c r="B4759" t="s">
        <v>26</v>
      </c>
      <c r="C4759" t="s">
        <v>6</v>
      </c>
      <c r="D4759" t="s">
        <v>16</v>
      </c>
      <c r="E4759" s="68">
        <v>5722</v>
      </c>
      <c r="F4759" s="68">
        <v>6114</v>
      </c>
      <c r="G4759" s="68">
        <v>11836</v>
      </c>
    </row>
    <row r="4760" spans="1:7" x14ac:dyDescent="0.3">
      <c r="A4760" t="s">
        <v>1189</v>
      </c>
      <c r="B4760" t="s">
        <v>26</v>
      </c>
      <c r="C4760" t="s">
        <v>6</v>
      </c>
      <c r="D4760" t="s">
        <v>17</v>
      </c>
      <c r="E4760" s="68">
        <v>4866</v>
      </c>
      <c r="F4760" s="68">
        <v>5111</v>
      </c>
      <c r="G4760" s="68">
        <v>9977</v>
      </c>
    </row>
    <row r="4761" spans="1:7" x14ac:dyDescent="0.3">
      <c r="A4761" t="s">
        <v>1189</v>
      </c>
      <c r="B4761" t="s">
        <v>26</v>
      </c>
      <c r="C4761" t="s">
        <v>6</v>
      </c>
      <c r="D4761" t="s">
        <v>18</v>
      </c>
      <c r="E4761" s="68">
        <v>4705</v>
      </c>
      <c r="F4761" s="68">
        <v>4680</v>
      </c>
      <c r="G4761" s="68">
        <v>9385</v>
      </c>
    </row>
    <row r="4762" spans="1:7" x14ac:dyDescent="0.3">
      <c r="A4762" t="s">
        <v>1189</v>
      </c>
      <c r="B4762" t="s">
        <v>26</v>
      </c>
      <c r="C4762" t="s">
        <v>6</v>
      </c>
      <c r="D4762" t="s">
        <v>19</v>
      </c>
      <c r="E4762" s="68">
        <v>4576</v>
      </c>
      <c r="F4762" s="68">
        <v>4278</v>
      </c>
      <c r="G4762" s="68">
        <v>8854</v>
      </c>
    </row>
    <row r="4763" spans="1:7" x14ac:dyDescent="0.3">
      <c r="A4763" t="s">
        <v>1189</v>
      </c>
      <c r="B4763" t="s">
        <v>26</v>
      </c>
      <c r="C4763" t="s">
        <v>6</v>
      </c>
      <c r="D4763" t="s">
        <v>20</v>
      </c>
      <c r="E4763" s="68">
        <v>3809</v>
      </c>
      <c r="F4763" s="68">
        <v>3365</v>
      </c>
      <c r="G4763" s="68">
        <v>7174</v>
      </c>
    </row>
    <row r="4764" spans="1:7" x14ac:dyDescent="0.3">
      <c r="A4764" t="s">
        <v>1189</v>
      </c>
      <c r="B4764" t="s">
        <v>26</v>
      </c>
      <c r="C4764" t="s">
        <v>6</v>
      </c>
      <c r="D4764" t="s">
        <v>21</v>
      </c>
      <c r="E4764" s="68">
        <v>2945</v>
      </c>
      <c r="F4764" s="68">
        <v>2466</v>
      </c>
      <c r="G4764" s="68">
        <v>5411</v>
      </c>
    </row>
    <row r="4765" spans="1:7" x14ac:dyDescent="0.3">
      <c r="A4765" t="s">
        <v>1189</v>
      </c>
      <c r="B4765" t="s">
        <v>26</v>
      </c>
      <c r="C4765" t="s">
        <v>6</v>
      </c>
      <c r="D4765" t="s">
        <v>22</v>
      </c>
      <c r="E4765" s="68">
        <v>2061</v>
      </c>
      <c r="F4765" s="68">
        <v>1727</v>
      </c>
      <c r="G4765" s="68">
        <v>3788</v>
      </c>
    </row>
    <row r="4766" spans="1:7" x14ac:dyDescent="0.3">
      <c r="A4766" t="s">
        <v>1189</v>
      </c>
      <c r="B4766" t="s">
        <v>26</v>
      </c>
      <c r="C4766" t="s">
        <v>6</v>
      </c>
      <c r="D4766" t="s">
        <v>23</v>
      </c>
      <c r="E4766" s="68">
        <v>2526</v>
      </c>
      <c r="F4766" s="68">
        <v>1819</v>
      </c>
      <c r="G4766" s="68">
        <v>4345</v>
      </c>
    </row>
    <row r="4767" spans="1:7" x14ac:dyDescent="0.3">
      <c r="A4767" t="s">
        <v>1189</v>
      </c>
      <c r="B4767" t="s">
        <v>26</v>
      </c>
      <c r="C4767" t="s">
        <v>24</v>
      </c>
      <c r="D4767" t="s">
        <v>7</v>
      </c>
      <c r="E4767" s="68">
        <v>12202</v>
      </c>
      <c r="F4767" s="68">
        <v>12984</v>
      </c>
      <c r="G4767" s="68">
        <v>25186</v>
      </c>
    </row>
    <row r="4768" spans="1:7" x14ac:dyDescent="0.3">
      <c r="A4768" t="s">
        <v>1189</v>
      </c>
      <c r="B4768" t="s">
        <v>26</v>
      </c>
      <c r="C4768" t="s">
        <v>24</v>
      </c>
      <c r="D4768" t="s">
        <v>8</v>
      </c>
      <c r="E4768" s="68">
        <v>14396</v>
      </c>
      <c r="F4768" s="68">
        <v>15059</v>
      </c>
      <c r="G4768" s="68">
        <v>29455</v>
      </c>
    </row>
    <row r="4769" spans="1:7" x14ac:dyDescent="0.3">
      <c r="A4769" t="s">
        <v>1189</v>
      </c>
      <c r="B4769" t="s">
        <v>26</v>
      </c>
      <c r="C4769" t="s">
        <v>24</v>
      </c>
      <c r="D4769" t="s">
        <v>9</v>
      </c>
      <c r="E4769" s="68">
        <v>14750</v>
      </c>
      <c r="F4769" s="68">
        <v>15393</v>
      </c>
      <c r="G4769" s="68">
        <v>30143</v>
      </c>
    </row>
    <row r="4770" spans="1:7" x14ac:dyDescent="0.3">
      <c r="A4770" t="s">
        <v>1189</v>
      </c>
      <c r="B4770" t="s">
        <v>26</v>
      </c>
      <c r="C4770" t="s">
        <v>24</v>
      </c>
      <c r="D4770" t="s">
        <v>10</v>
      </c>
      <c r="E4770" s="68">
        <v>14609</v>
      </c>
      <c r="F4770" s="68">
        <v>14340</v>
      </c>
      <c r="G4770" s="68">
        <v>28949</v>
      </c>
    </row>
    <row r="4771" spans="1:7" x14ac:dyDescent="0.3">
      <c r="A4771" t="s">
        <v>1189</v>
      </c>
      <c r="B4771" t="s">
        <v>26</v>
      </c>
      <c r="C4771" t="s">
        <v>24</v>
      </c>
      <c r="D4771" t="s">
        <v>11</v>
      </c>
      <c r="E4771" s="68">
        <v>16875</v>
      </c>
      <c r="F4771" s="68">
        <v>15016</v>
      </c>
      <c r="G4771" s="68">
        <v>31891</v>
      </c>
    </row>
    <row r="4772" spans="1:7" x14ac:dyDescent="0.3">
      <c r="A4772" t="s">
        <v>1189</v>
      </c>
      <c r="B4772" t="s">
        <v>26</v>
      </c>
      <c r="C4772" t="s">
        <v>24</v>
      </c>
      <c r="D4772" t="s">
        <v>12</v>
      </c>
      <c r="E4772" s="68">
        <v>17458</v>
      </c>
      <c r="F4772" s="68">
        <v>16538</v>
      </c>
      <c r="G4772" s="68">
        <v>33996</v>
      </c>
    </row>
    <row r="4773" spans="1:7" x14ac:dyDescent="0.3">
      <c r="A4773" t="s">
        <v>1189</v>
      </c>
      <c r="B4773" t="s">
        <v>26</v>
      </c>
      <c r="C4773" t="s">
        <v>24</v>
      </c>
      <c r="D4773" t="s">
        <v>13</v>
      </c>
      <c r="E4773" s="68">
        <v>15796</v>
      </c>
      <c r="F4773" s="68">
        <v>15947</v>
      </c>
      <c r="G4773" s="68">
        <v>31743</v>
      </c>
    </row>
    <row r="4774" spans="1:7" x14ac:dyDescent="0.3">
      <c r="A4774" t="s">
        <v>1189</v>
      </c>
      <c r="B4774" t="s">
        <v>26</v>
      </c>
      <c r="C4774" t="s">
        <v>24</v>
      </c>
      <c r="D4774" t="s">
        <v>14</v>
      </c>
      <c r="E4774" s="68">
        <v>13265</v>
      </c>
      <c r="F4774" s="68">
        <v>13648</v>
      </c>
      <c r="G4774" s="68">
        <v>26913</v>
      </c>
    </row>
    <row r="4775" spans="1:7" x14ac:dyDescent="0.3">
      <c r="A4775" t="s">
        <v>1189</v>
      </c>
      <c r="B4775" t="s">
        <v>26</v>
      </c>
      <c r="C4775" t="s">
        <v>24</v>
      </c>
      <c r="D4775" t="s">
        <v>15</v>
      </c>
      <c r="E4775" s="68">
        <v>12715</v>
      </c>
      <c r="F4775" s="68">
        <v>12668</v>
      </c>
      <c r="G4775" s="68">
        <v>25383</v>
      </c>
    </row>
    <row r="4776" spans="1:7" x14ac:dyDescent="0.3">
      <c r="A4776" t="s">
        <v>1189</v>
      </c>
      <c r="B4776" t="s">
        <v>26</v>
      </c>
      <c r="C4776" t="s">
        <v>24</v>
      </c>
      <c r="D4776" t="s">
        <v>16</v>
      </c>
      <c r="E4776" s="68">
        <v>11885</v>
      </c>
      <c r="F4776" s="68">
        <v>11838</v>
      </c>
      <c r="G4776" s="68">
        <v>23723</v>
      </c>
    </row>
    <row r="4777" spans="1:7" x14ac:dyDescent="0.3">
      <c r="A4777" t="s">
        <v>1189</v>
      </c>
      <c r="B4777" t="s">
        <v>26</v>
      </c>
      <c r="C4777" t="s">
        <v>24</v>
      </c>
      <c r="D4777" t="s">
        <v>17</v>
      </c>
      <c r="E4777" s="68">
        <v>11158</v>
      </c>
      <c r="F4777" s="68">
        <v>10818</v>
      </c>
      <c r="G4777" s="68">
        <v>21976</v>
      </c>
    </row>
    <row r="4778" spans="1:7" x14ac:dyDescent="0.3">
      <c r="A4778" t="s">
        <v>1189</v>
      </c>
      <c r="B4778" t="s">
        <v>26</v>
      </c>
      <c r="C4778" t="s">
        <v>24</v>
      </c>
      <c r="D4778" t="s">
        <v>18</v>
      </c>
      <c r="E4778" s="68">
        <v>10915</v>
      </c>
      <c r="F4778" s="68">
        <v>10802</v>
      </c>
      <c r="G4778" s="68">
        <v>21717</v>
      </c>
    </row>
    <row r="4779" spans="1:7" x14ac:dyDescent="0.3">
      <c r="A4779" t="s">
        <v>1189</v>
      </c>
      <c r="B4779" t="s">
        <v>26</v>
      </c>
      <c r="C4779" t="s">
        <v>24</v>
      </c>
      <c r="D4779" t="s">
        <v>19</v>
      </c>
      <c r="E4779" s="68">
        <v>9589</v>
      </c>
      <c r="F4779" s="68">
        <v>9654</v>
      </c>
      <c r="G4779" s="68">
        <v>19243</v>
      </c>
    </row>
    <row r="4780" spans="1:7" x14ac:dyDescent="0.3">
      <c r="A4780" t="s">
        <v>1189</v>
      </c>
      <c r="B4780" t="s">
        <v>26</v>
      </c>
      <c r="C4780" t="s">
        <v>24</v>
      </c>
      <c r="D4780" t="s">
        <v>20</v>
      </c>
      <c r="E4780" s="68">
        <v>7277</v>
      </c>
      <c r="F4780" s="68">
        <v>7551</v>
      </c>
      <c r="G4780" s="68">
        <v>14828</v>
      </c>
    </row>
    <row r="4781" spans="1:7" x14ac:dyDescent="0.3">
      <c r="A4781" t="s">
        <v>1189</v>
      </c>
      <c r="B4781" t="s">
        <v>26</v>
      </c>
      <c r="C4781" t="s">
        <v>24</v>
      </c>
      <c r="D4781" t="s">
        <v>21</v>
      </c>
      <c r="E4781" s="68">
        <v>5058</v>
      </c>
      <c r="F4781" s="68">
        <v>5309</v>
      </c>
      <c r="G4781" s="68">
        <v>10367</v>
      </c>
    </row>
    <row r="4782" spans="1:7" x14ac:dyDescent="0.3">
      <c r="A4782" t="s">
        <v>1189</v>
      </c>
      <c r="B4782" t="s">
        <v>26</v>
      </c>
      <c r="C4782" t="s">
        <v>24</v>
      </c>
      <c r="D4782" t="s">
        <v>22</v>
      </c>
      <c r="E4782" s="68">
        <v>3530</v>
      </c>
      <c r="F4782" s="68">
        <v>3409</v>
      </c>
      <c r="G4782" s="68">
        <v>6939</v>
      </c>
    </row>
    <row r="4783" spans="1:7" x14ac:dyDescent="0.3">
      <c r="A4783" t="s">
        <v>1189</v>
      </c>
      <c r="B4783" t="s">
        <v>26</v>
      </c>
      <c r="C4783" t="s">
        <v>24</v>
      </c>
      <c r="D4783" t="s">
        <v>23</v>
      </c>
      <c r="E4783" s="68">
        <v>4880</v>
      </c>
      <c r="F4783" s="68">
        <v>4194</v>
      </c>
      <c r="G4783" s="68">
        <v>9074</v>
      </c>
    </row>
    <row r="4784" spans="1:7" x14ac:dyDescent="0.3">
      <c r="A4784" t="s">
        <v>1189</v>
      </c>
      <c r="B4784" t="s">
        <v>1077</v>
      </c>
      <c r="C4784" t="s">
        <v>6</v>
      </c>
      <c r="D4784" t="s">
        <v>15</v>
      </c>
      <c r="E4784" s="68"/>
      <c r="F4784" s="68">
        <v>1</v>
      </c>
      <c r="G4784" s="68">
        <v>1</v>
      </c>
    </row>
    <row r="4785" spans="1:7" x14ac:dyDescent="0.3">
      <c r="A4785" t="s">
        <v>1189</v>
      </c>
      <c r="B4785" t="s">
        <v>27</v>
      </c>
      <c r="C4785" t="s">
        <v>28</v>
      </c>
      <c r="D4785" t="s">
        <v>7</v>
      </c>
      <c r="E4785" s="68">
        <v>362</v>
      </c>
      <c r="F4785" s="68">
        <v>372</v>
      </c>
      <c r="G4785" s="68">
        <v>734</v>
      </c>
    </row>
    <row r="4786" spans="1:7" x14ac:dyDescent="0.3">
      <c r="A4786" t="s">
        <v>1189</v>
      </c>
      <c r="B4786" t="s">
        <v>27</v>
      </c>
      <c r="C4786" t="s">
        <v>28</v>
      </c>
      <c r="D4786" t="s">
        <v>8</v>
      </c>
      <c r="E4786" s="68">
        <v>535</v>
      </c>
      <c r="F4786" s="68">
        <v>531</v>
      </c>
      <c r="G4786" s="68">
        <v>1066</v>
      </c>
    </row>
    <row r="4787" spans="1:7" x14ac:dyDescent="0.3">
      <c r="A4787" t="s">
        <v>1189</v>
      </c>
      <c r="B4787" t="s">
        <v>27</v>
      </c>
      <c r="C4787" t="s">
        <v>28</v>
      </c>
      <c r="D4787" t="s">
        <v>9</v>
      </c>
      <c r="E4787" s="68">
        <v>789</v>
      </c>
      <c r="F4787" s="68">
        <v>832</v>
      </c>
      <c r="G4787" s="68">
        <v>1621</v>
      </c>
    </row>
    <row r="4788" spans="1:7" x14ac:dyDescent="0.3">
      <c r="A4788" t="s">
        <v>1189</v>
      </c>
      <c r="B4788" t="s">
        <v>27</v>
      </c>
      <c r="C4788" t="s">
        <v>28</v>
      </c>
      <c r="D4788" t="s">
        <v>10</v>
      </c>
      <c r="E4788" s="68">
        <v>870</v>
      </c>
      <c r="F4788" s="68">
        <v>878</v>
      </c>
      <c r="G4788" s="68">
        <v>1748</v>
      </c>
    </row>
    <row r="4789" spans="1:7" x14ac:dyDescent="0.3">
      <c r="A4789" t="s">
        <v>1189</v>
      </c>
      <c r="B4789" t="s">
        <v>27</v>
      </c>
      <c r="C4789" t="s">
        <v>28</v>
      </c>
      <c r="D4789" t="s">
        <v>11</v>
      </c>
      <c r="E4789" s="68">
        <v>692</v>
      </c>
      <c r="F4789" s="68">
        <v>722</v>
      </c>
      <c r="G4789" s="68">
        <v>1414</v>
      </c>
    </row>
    <row r="4790" spans="1:7" x14ac:dyDescent="0.3">
      <c r="A4790" t="s">
        <v>1189</v>
      </c>
      <c r="B4790" t="s">
        <v>27</v>
      </c>
      <c r="C4790" t="s">
        <v>28</v>
      </c>
      <c r="D4790" t="s">
        <v>12</v>
      </c>
      <c r="E4790" s="68">
        <v>426</v>
      </c>
      <c r="F4790" s="68">
        <v>274</v>
      </c>
      <c r="G4790" s="68">
        <v>700</v>
      </c>
    </row>
    <row r="4791" spans="1:7" x14ac:dyDescent="0.3">
      <c r="A4791" t="s">
        <v>1189</v>
      </c>
      <c r="B4791" t="s">
        <v>27</v>
      </c>
      <c r="C4791" t="s">
        <v>28</v>
      </c>
      <c r="D4791" t="s">
        <v>13</v>
      </c>
      <c r="E4791" s="68">
        <v>688</v>
      </c>
      <c r="F4791" s="68">
        <v>447</v>
      </c>
      <c r="G4791" s="68">
        <v>1135</v>
      </c>
    </row>
    <row r="4792" spans="1:7" x14ac:dyDescent="0.3">
      <c r="A4792" t="s">
        <v>1189</v>
      </c>
      <c r="B4792" t="s">
        <v>27</v>
      </c>
      <c r="C4792" t="s">
        <v>28</v>
      </c>
      <c r="D4792" t="s">
        <v>14</v>
      </c>
      <c r="E4792" s="68">
        <v>974</v>
      </c>
      <c r="F4792" s="68">
        <v>671</v>
      </c>
      <c r="G4792" s="68">
        <v>1645</v>
      </c>
    </row>
    <row r="4793" spans="1:7" x14ac:dyDescent="0.3">
      <c r="A4793" t="s">
        <v>1189</v>
      </c>
      <c r="B4793" t="s">
        <v>27</v>
      </c>
      <c r="C4793" t="s">
        <v>28</v>
      </c>
      <c r="D4793" t="s">
        <v>15</v>
      </c>
      <c r="E4793" s="68">
        <v>1112</v>
      </c>
      <c r="F4793" s="68">
        <v>847</v>
      </c>
      <c r="G4793" s="68">
        <v>1959</v>
      </c>
    </row>
    <row r="4794" spans="1:7" x14ac:dyDescent="0.3">
      <c r="A4794" t="s">
        <v>1189</v>
      </c>
      <c r="B4794" t="s">
        <v>27</v>
      </c>
      <c r="C4794" t="s">
        <v>28</v>
      </c>
      <c r="D4794" t="s">
        <v>16</v>
      </c>
      <c r="E4794" s="68">
        <v>1039</v>
      </c>
      <c r="F4794" s="68">
        <v>732</v>
      </c>
      <c r="G4794" s="68">
        <v>1771</v>
      </c>
    </row>
    <row r="4795" spans="1:7" x14ac:dyDescent="0.3">
      <c r="A4795" t="s">
        <v>1189</v>
      </c>
      <c r="B4795" t="s">
        <v>27</v>
      </c>
      <c r="C4795" t="s">
        <v>28</v>
      </c>
      <c r="D4795" t="s">
        <v>17</v>
      </c>
      <c r="E4795" s="68">
        <v>1082</v>
      </c>
      <c r="F4795" s="68">
        <v>626</v>
      </c>
      <c r="G4795" s="68">
        <v>1708</v>
      </c>
    </row>
    <row r="4796" spans="1:7" x14ac:dyDescent="0.3">
      <c r="A4796" t="s">
        <v>1189</v>
      </c>
      <c r="B4796" t="s">
        <v>27</v>
      </c>
      <c r="C4796" t="s">
        <v>28</v>
      </c>
      <c r="D4796" t="s">
        <v>18</v>
      </c>
      <c r="E4796" s="68">
        <v>1282</v>
      </c>
      <c r="F4796" s="68">
        <v>721</v>
      </c>
      <c r="G4796" s="68">
        <v>2003</v>
      </c>
    </row>
    <row r="4797" spans="1:7" x14ac:dyDescent="0.3">
      <c r="A4797" t="s">
        <v>1189</v>
      </c>
      <c r="B4797" t="s">
        <v>27</v>
      </c>
      <c r="C4797" t="s">
        <v>28</v>
      </c>
      <c r="D4797" t="s">
        <v>19</v>
      </c>
      <c r="E4797" s="68">
        <v>1342</v>
      </c>
      <c r="F4797" s="68">
        <v>851</v>
      </c>
      <c r="G4797" s="68">
        <v>2193</v>
      </c>
    </row>
    <row r="4798" spans="1:7" x14ac:dyDescent="0.3">
      <c r="A4798" t="s">
        <v>1189</v>
      </c>
      <c r="B4798" t="s">
        <v>27</v>
      </c>
      <c r="C4798" t="s">
        <v>28</v>
      </c>
      <c r="D4798" t="s">
        <v>20</v>
      </c>
      <c r="E4798" s="68">
        <v>1450</v>
      </c>
      <c r="F4798" s="68">
        <v>901</v>
      </c>
      <c r="G4798" s="68">
        <v>2351</v>
      </c>
    </row>
    <row r="4799" spans="1:7" x14ac:dyDescent="0.3">
      <c r="A4799" t="s">
        <v>1189</v>
      </c>
      <c r="B4799" t="s">
        <v>27</v>
      </c>
      <c r="C4799" t="s">
        <v>28</v>
      </c>
      <c r="D4799" t="s">
        <v>21</v>
      </c>
      <c r="E4799" s="68">
        <v>1230</v>
      </c>
      <c r="F4799" s="68">
        <v>893</v>
      </c>
      <c r="G4799" s="68">
        <v>2123</v>
      </c>
    </row>
    <row r="4800" spans="1:7" x14ac:dyDescent="0.3">
      <c r="A4800" t="s">
        <v>1189</v>
      </c>
      <c r="B4800" t="s">
        <v>27</v>
      </c>
      <c r="C4800" t="s">
        <v>28</v>
      </c>
      <c r="D4800" t="s">
        <v>22</v>
      </c>
      <c r="E4800" s="68">
        <v>749</v>
      </c>
      <c r="F4800" s="68">
        <v>467</v>
      </c>
      <c r="G4800" s="68">
        <v>1216</v>
      </c>
    </row>
    <row r="4801" spans="1:7" x14ac:dyDescent="0.3">
      <c r="A4801" t="s">
        <v>1189</v>
      </c>
      <c r="B4801" t="s">
        <v>27</v>
      </c>
      <c r="C4801" t="s">
        <v>28</v>
      </c>
      <c r="D4801" t="s">
        <v>23</v>
      </c>
      <c r="E4801" s="68">
        <v>499</v>
      </c>
      <c r="F4801" s="68">
        <v>282</v>
      </c>
      <c r="G4801" s="68">
        <v>781</v>
      </c>
    </row>
    <row r="4802" spans="1:7" x14ac:dyDescent="0.3">
      <c r="A4802" t="s">
        <v>1189</v>
      </c>
      <c r="B4802" t="s">
        <v>27</v>
      </c>
      <c r="C4802" t="s">
        <v>29</v>
      </c>
      <c r="D4802" t="s">
        <v>10</v>
      </c>
      <c r="E4802" s="68">
        <v>4</v>
      </c>
      <c r="F4802" s="68">
        <v>12</v>
      </c>
      <c r="G4802" s="68">
        <v>16</v>
      </c>
    </row>
    <row r="4803" spans="1:7" x14ac:dyDescent="0.3">
      <c r="A4803" t="s">
        <v>1189</v>
      </c>
      <c r="B4803" t="s">
        <v>27</v>
      </c>
      <c r="C4803" t="s">
        <v>29</v>
      </c>
      <c r="D4803" t="s">
        <v>11</v>
      </c>
      <c r="E4803" s="68">
        <v>25</v>
      </c>
      <c r="F4803" s="68">
        <v>353</v>
      </c>
      <c r="G4803" s="68">
        <v>378</v>
      </c>
    </row>
    <row r="4804" spans="1:7" x14ac:dyDescent="0.3">
      <c r="A4804" t="s">
        <v>1189</v>
      </c>
      <c r="B4804" t="s">
        <v>27</v>
      </c>
      <c r="C4804" t="s">
        <v>29</v>
      </c>
      <c r="D4804" t="s">
        <v>12</v>
      </c>
      <c r="E4804" s="68">
        <v>31</v>
      </c>
      <c r="F4804" s="68">
        <v>602</v>
      </c>
      <c r="G4804" s="68">
        <v>633</v>
      </c>
    </row>
    <row r="4805" spans="1:7" x14ac:dyDescent="0.3">
      <c r="A4805" t="s">
        <v>1189</v>
      </c>
      <c r="B4805" t="s">
        <v>27</v>
      </c>
      <c r="C4805" t="s">
        <v>29</v>
      </c>
      <c r="D4805" t="s">
        <v>13</v>
      </c>
      <c r="E4805" s="68">
        <v>30</v>
      </c>
      <c r="F4805" s="68">
        <v>436</v>
      </c>
      <c r="G4805" s="68">
        <v>466</v>
      </c>
    </row>
    <row r="4806" spans="1:7" x14ac:dyDescent="0.3">
      <c r="A4806" t="s">
        <v>1189</v>
      </c>
      <c r="B4806" t="s">
        <v>27</v>
      </c>
      <c r="C4806" t="s">
        <v>29</v>
      </c>
      <c r="D4806" t="s">
        <v>14</v>
      </c>
      <c r="E4806" s="68">
        <v>21</v>
      </c>
      <c r="F4806" s="68">
        <v>305</v>
      </c>
      <c r="G4806" s="68">
        <v>326</v>
      </c>
    </row>
    <row r="4807" spans="1:7" x14ac:dyDescent="0.3">
      <c r="A4807" t="s">
        <v>1189</v>
      </c>
      <c r="B4807" t="s">
        <v>27</v>
      </c>
      <c r="C4807" t="s">
        <v>29</v>
      </c>
      <c r="D4807" t="s">
        <v>15</v>
      </c>
      <c r="E4807" s="68">
        <v>20</v>
      </c>
      <c r="F4807" s="68">
        <v>221</v>
      </c>
      <c r="G4807" s="68">
        <v>241</v>
      </c>
    </row>
    <row r="4808" spans="1:7" x14ac:dyDescent="0.3">
      <c r="A4808" t="s">
        <v>1189</v>
      </c>
      <c r="B4808" t="s">
        <v>27</v>
      </c>
      <c r="C4808" t="s">
        <v>29</v>
      </c>
      <c r="D4808" t="s">
        <v>16</v>
      </c>
      <c r="E4808" s="68">
        <v>9</v>
      </c>
      <c r="F4808" s="68">
        <v>152</v>
      </c>
      <c r="G4808" s="68">
        <v>161</v>
      </c>
    </row>
    <row r="4809" spans="1:7" x14ac:dyDescent="0.3">
      <c r="A4809" t="s">
        <v>1189</v>
      </c>
      <c r="B4809" t="s">
        <v>27</v>
      </c>
      <c r="C4809" t="s">
        <v>29</v>
      </c>
      <c r="D4809" t="s">
        <v>17</v>
      </c>
      <c r="E4809" s="68">
        <v>12</v>
      </c>
      <c r="F4809" s="68">
        <v>82</v>
      </c>
      <c r="G4809" s="68">
        <v>94</v>
      </c>
    </row>
    <row r="4810" spans="1:7" x14ac:dyDescent="0.3">
      <c r="A4810" t="s">
        <v>1189</v>
      </c>
      <c r="B4810" t="s">
        <v>27</v>
      </c>
      <c r="C4810" t="s">
        <v>29</v>
      </c>
      <c r="D4810" t="s">
        <v>18</v>
      </c>
      <c r="E4810" s="68">
        <v>5</v>
      </c>
      <c r="F4810" s="68">
        <v>64</v>
      </c>
      <c r="G4810" s="68">
        <v>69</v>
      </c>
    </row>
    <row r="4811" spans="1:7" x14ac:dyDescent="0.3">
      <c r="A4811" t="s">
        <v>1189</v>
      </c>
      <c r="B4811" t="s">
        <v>27</v>
      </c>
      <c r="C4811" t="s">
        <v>29</v>
      </c>
      <c r="D4811" t="s">
        <v>19</v>
      </c>
      <c r="E4811" s="68">
        <v>1</v>
      </c>
      <c r="F4811" s="68">
        <v>42</v>
      </c>
      <c r="G4811" s="68">
        <v>43</v>
      </c>
    </row>
    <row r="4812" spans="1:7" x14ac:dyDescent="0.3">
      <c r="A4812" t="s">
        <v>1189</v>
      </c>
      <c r="B4812" t="s">
        <v>27</v>
      </c>
      <c r="C4812" t="s">
        <v>29</v>
      </c>
      <c r="D4812" t="s">
        <v>20</v>
      </c>
      <c r="E4812" s="68">
        <v>3</v>
      </c>
      <c r="F4812" s="68">
        <v>29</v>
      </c>
      <c r="G4812" s="68">
        <v>32</v>
      </c>
    </row>
    <row r="4813" spans="1:7" x14ac:dyDescent="0.3">
      <c r="A4813" t="s">
        <v>1189</v>
      </c>
      <c r="B4813" t="s">
        <v>27</v>
      </c>
      <c r="C4813" t="s">
        <v>29</v>
      </c>
      <c r="D4813" t="s">
        <v>21</v>
      </c>
      <c r="E4813" s="68"/>
      <c r="F4813" s="68">
        <v>15</v>
      </c>
      <c r="G4813" s="68">
        <v>15</v>
      </c>
    </row>
    <row r="4814" spans="1:7" x14ac:dyDescent="0.3">
      <c r="A4814" t="s">
        <v>1189</v>
      </c>
      <c r="B4814" t="s">
        <v>27</v>
      </c>
      <c r="C4814" t="s">
        <v>29</v>
      </c>
      <c r="D4814" t="s">
        <v>22</v>
      </c>
      <c r="E4814" s="68"/>
      <c r="F4814" s="68">
        <v>4</v>
      </c>
      <c r="G4814" s="68">
        <v>4</v>
      </c>
    </row>
    <row r="4815" spans="1:7" x14ac:dyDescent="0.3">
      <c r="A4815" t="s">
        <v>1189</v>
      </c>
      <c r="B4815" t="s">
        <v>27</v>
      </c>
      <c r="C4815" t="s">
        <v>29</v>
      </c>
      <c r="D4815" t="s">
        <v>23</v>
      </c>
      <c r="E4815" s="68"/>
      <c r="F4815" s="68">
        <v>3</v>
      </c>
      <c r="G4815" s="68">
        <v>3</v>
      </c>
    </row>
    <row r="4816" spans="1:7" x14ac:dyDescent="0.3">
      <c r="A4816" t="s">
        <v>1189</v>
      </c>
      <c r="B4816" t="s">
        <v>36</v>
      </c>
      <c r="C4816" t="s">
        <v>6</v>
      </c>
      <c r="D4816" t="s">
        <v>7</v>
      </c>
      <c r="E4816" s="68">
        <v>132</v>
      </c>
      <c r="F4816" s="68">
        <v>124</v>
      </c>
      <c r="G4816" s="68">
        <v>256</v>
      </c>
    </row>
    <row r="4817" spans="1:7" x14ac:dyDescent="0.3">
      <c r="A4817" t="s">
        <v>1189</v>
      </c>
      <c r="B4817" t="s">
        <v>36</v>
      </c>
      <c r="C4817" t="s">
        <v>6</v>
      </c>
      <c r="D4817" t="s">
        <v>8</v>
      </c>
      <c r="E4817" s="68">
        <v>154</v>
      </c>
      <c r="F4817" s="68">
        <v>211</v>
      </c>
      <c r="G4817" s="68">
        <v>365</v>
      </c>
    </row>
    <row r="4818" spans="1:7" x14ac:dyDescent="0.3">
      <c r="A4818" t="s">
        <v>1189</v>
      </c>
      <c r="B4818" t="s">
        <v>36</v>
      </c>
      <c r="C4818" t="s">
        <v>6</v>
      </c>
      <c r="D4818" t="s">
        <v>9</v>
      </c>
      <c r="E4818" s="68">
        <v>189</v>
      </c>
      <c r="F4818" s="68">
        <v>210</v>
      </c>
      <c r="G4818" s="68">
        <v>399</v>
      </c>
    </row>
    <row r="4819" spans="1:7" x14ac:dyDescent="0.3">
      <c r="A4819" t="s">
        <v>1189</v>
      </c>
      <c r="B4819" t="s">
        <v>36</v>
      </c>
      <c r="C4819" t="s">
        <v>6</v>
      </c>
      <c r="D4819" t="s">
        <v>10</v>
      </c>
      <c r="E4819" s="68">
        <v>171</v>
      </c>
      <c r="F4819" s="68">
        <v>201</v>
      </c>
      <c r="G4819" s="68">
        <v>372</v>
      </c>
    </row>
    <row r="4820" spans="1:7" x14ac:dyDescent="0.3">
      <c r="A4820" t="s">
        <v>1189</v>
      </c>
      <c r="B4820" t="s">
        <v>36</v>
      </c>
      <c r="C4820" t="s">
        <v>6</v>
      </c>
      <c r="D4820" t="s">
        <v>11</v>
      </c>
      <c r="E4820" s="68">
        <v>257</v>
      </c>
      <c r="F4820" s="68">
        <v>231</v>
      </c>
      <c r="G4820" s="68">
        <v>488</v>
      </c>
    </row>
    <row r="4821" spans="1:7" x14ac:dyDescent="0.3">
      <c r="A4821" t="s">
        <v>1189</v>
      </c>
      <c r="B4821" t="s">
        <v>36</v>
      </c>
      <c r="C4821" t="s">
        <v>6</v>
      </c>
      <c r="D4821" t="s">
        <v>12</v>
      </c>
      <c r="E4821" s="68">
        <v>237</v>
      </c>
      <c r="F4821" s="68">
        <v>210</v>
      </c>
      <c r="G4821" s="68">
        <v>447</v>
      </c>
    </row>
    <row r="4822" spans="1:7" x14ac:dyDescent="0.3">
      <c r="A4822" t="s">
        <v>1189</v>
      </c>
      <c r="B4822" t="s">
        <v>36</v>
      </c>
      <c r="C4822" t="s">
        <v>6</v>
      </c>
      <c r="D4822" t="s">
        <v>13</v>
      </c>
      <c r="E4822" s="68">
        <v>277</v>
      </c>
      <c r="F4822" s="68">
        <v>219</v>
      </c>
      <c r="G4822" s="68">
        <v>496</v>
      </c>
    </row>
    <row r="4823" spans="1:7" x14ac:dyDescent="0.3">
      <c r="A4823" t="s">
        <v>1189</v>
      </c>
      <c r="B4823" t="s">
        <v>36</v>
      </c>
      <c r="C4823" t="s">
        <v>6</v>
      </c>
      <c r="D4823" t="s">
        <v>14</v>
      </c>
      <c r="E4823" s="68">
        <v>170</v>
      </c>
      <c r="F4823" s="68">
        <v>189</v>
      </c>
      <c r="G4823" s="68">
        <v>359</v>
      </c>
    </row>
    <row r="4824" spans="1:7" x14ac:dyDescent="0.3">
      <c r="A4824" t="s">
        <v>1189</v>
      </c>
      <c r="B4824" t="s">
        <v>36</v>
      </c>
      <c r="C4824" t="s">
        <v>6</v>
      </c>
      <c r="D4824" t="s">
        <v>15</v>
      </c>
      <c r="E4824" s="68">
        <v>120</v>
      </c>
      <c r="F4824" s="68">
        <v>151</v>
      </c>
      <c r="G4824" s="68">
        <v>271</v>
      </c>
    </row>
    <row r="4825" spans="1:7" x14ac:dyDescent="0.3">
      <c r="A4825" t="s">
        <v>1189</v>
      </c>
      <c r="B4825" t="s">
        <v>36</v>
      </c>
      <c r="C4825" t="s">
        <v>6</v>
      </c>
      <c r="D4825" t="s">
        <v>16</v>
      </c>
      <c r="E4825" s="68">
        <v>77</v>
      </c>
      <c r="F4825" s="68">
        <v>101</v>
      </c>
      <c r="G4825" s="68">
        <v>178</v>
      </c>
    </row>
    <row r="4826" spans="1:7" x14ac:dyDescent="0.3">
      <c r="A4826" t="s">
        <v>1189</v>
      </c>
      <c r="B4826" t="s">
        <v>36</v>
      </c>
      <c r="C4826" t="s">
        <v>6</v>
      </c>
      <c r="D4826" t="s">
        <v>17</v>
      </c>
      <c r="E4826" s="68">
        <v>54</v>
      </c>
      <c r="F4826" s="68">
        <v>61</v>
      </c>
      <c r="G4826" s="68">
        <v>115</v>
      </c>
    </row>
    <row r="4827" spans="1:7" x14ac:dyDescent="0.3">
      <c r="A4827" t="s">
        <v>1189</v>
      </c>
      <c r="B4827" t="s">
        <v>36</v>
      </c>
      <c r="C4827" t="s">
        <v>6</v>
      </c>
      <c r="D4827" t="s">
        <v>18</v>
      </c>
      <c r="E4827" s="68">
        <v>57</v>
      </c>
      <c r="F4827" s="68">
        <v>76</v>
      </c>
      <c r="G4827" s="68">
        <v>133</v>
      </c>
    </row>
    <row r="4828" spans="1:7" x14ac:dyDescent="0.3">
      <c r="A4828" t="s">
        <v>1189</v>
      </c>
      <c r="B4828" t="s">
        <v>36</v>
      </c>
      <c r="C4828" t="s">
        <v>6</v>
      </c>
      <c r="D4828" t="s">
        <v>19</v>
      </c>
      <c r="E4828" s="68">
        <v>53</v>
      </c>
      <c r="F4828" s="68">
        <v>70</v>
      </c>
      <c r="G4828" s="68">
        <v>123</v>
      </c>
    </row>
    <row r="4829" spans="1:7" x14ac:dyDescent="0.3">
      <c r="A4829" t="s">
        <v>1189</v>
      </c>
      <c r="B4829" t="s">
        <v>36</v>
      </c>
      <c r="C4829" t="s">
        <v>6</v>
      </c>
      <c r="D4829" t="s">
        <v>20</v>
      </c>
      <c r="E4829" s="68">
        <v>34</v>
      </c>
      <c r="F4829" s="68">
        <v>51</v>
      </c>
      <c r="G4829" s="68">
        <v>85</v>
      </c>
    </row>
    <row r="4830" spans="1:7" x14ac:dyDescent="0.3">
      <c r="A4830" t="s">
        <v>1189</v>
      </c>
      <c r="B4830" t="s">
        <v>36</v>
      </c>
      <c r="C4830" t="s">
        <v>6</v>
      </c>
      <c r="D4830" t="s">
        <v>21</v>
      </c>
      <c r="E4830" s="68">
        <v>28</v>
      </c>
      <c r="F4830" s="68">
        <v>31</v>
      </c>
      <c r="G4830" s="68">
        <v>59</v>
      </c>
    </row>
    <row r="4831" spans="1:7" x14ac:dyDescent="0.3">
      <c r="A4831" t="s">
        <v>1189</v>
      </c>
      <c r="B4831" t="s">
        <v>36</v>
      </c>
      <c r="C4831" t="s">
        <v>6</v>
      </c>
      <c r="D4831" t="s">
        <v>22</v>
      </c>
      <c r="E4831" s="68">
        <v>8</v>
      </c>
      <c r="F4831" s="68">
        <v>15</v>
      </c>
      <c r="G4831" s="68">
        <v>23</v>
      </c>
    </row>
    <row r="4832" spans="1:7" x14ac:dyDescent="0.3">
      <c r="A4832" t="s">
        <v>1189</v>
      </c>
      <c r="B4832" t="s">
        <v>36</v>
      </c>
      <c r="C4832" t="s">
        <v>6</v>
      </c>
      <c r="D4832" t="s">
        <v>23</v>
      </c>
      <c r="E4832" s="68">
        <v>15</v>
      </c>
      <c r="F4832" s="68">
        <v>13</v>
      </c>
      <c r="G4832" s="68">
        <v>28</v>
      </c>
    </row>
    <row r="4833" spans="1:7" x14ac:dyDescent="0.3">
      <c r="A4833" t="s">
        <v>1189</v>
      </c>
      <c r="B4833" t="s">
        <v>36</v>
      </c>
      <c r="C4833" t="s">
        <v>24</v>
      </c>
      <c r="D4833" t="s">
        <v>7</v>
      </c>
      <c r="E4833" s="68">
        <v>1009</v>
      </c>
      <c r="F4833" s="68">
        <v>1042</v>
      </c>
      <c r="G4833" s="68">
        <v>2051</v>
      </c>
    </row>
    <row r="4834" spans="1:7" x14ac:dyDescent="0.3">
      <c r="A4834" t="s">
        <v>1189</v>
      </c>
      <c r="B4834" t="s">
        <v>36</v>
      </c>
      <c r="C4834" t="s">
        <v>24</v>
      </c>
      <c r="D4834" t="s">
        <v>8</v>
      </c>
      <c r="E4834" s="68">
        <v>1459</v>
      </c>
      <c r="F4834" s="68">
        <v>1523</v>
      </c>
      <c r="G4834" s="68">
        <v>2982</v>
      </c>
    </row>
    <row r="4835" spans="1:7" x14ac:dyDescent="0.3">
      <c r="A4835" t="s">
        <v>1189</v>
      </c>
      <c r="B4835" t="s">
        <v>36</v>
      </c>
      <c r="C4835" t="s">
        <v>24</v>
      </c>
      <c r="D4835" t="s">
        <v>9</v>
      </c>
      <c r="E4835" s="68">
        <v>1585</v>
      </c>
      <c r="F4835" s="68">
        <v>1754</v>
      </c>
      <c r="G4835" s="68">
        <v>3339</v>
      </c>
    </row>
    <row r="4836" spans="1:7" x14ac:dyDescent="0.3">
      <c r="A4836" t="s">
        <v>1189</v>
      </c>
      <c r="B4836" t="s">
        <v>36</v>
      </c>
      <c r="C4836" t="s">
        <v>24</v>
      </c>
      <c r="D4836" t="s">
        <v>10</v>
      </c>
      <c r="E4836" s="68">
        <v>1617</v>
      </c>
      <c r="F4836" s="68">
        <v>1644</v>
      </c>
      <c r="G4836" s="68">
        <v>3261</v>
      </c>
    </row>
    <row r="4837" spans="1:7" x14ac:dyDescent="0.3">
      <c r="A4837" t="s">
        <v>1189</v>
      </c>
      <c r="B4837" t="s">
        <v>36</v>
      </c>
      <c r="C4837" t="s">
        <v>24</v>
      </c>
      <c r="D4837" t="s">
        <v>11</v>
      </c>
      <c r="E4837" s="68">
        <v>1368</v>
      </c>
      <c r="F4837" s="68">
        <v>1076</v>
      </c>
      <c r="G4837" s="68">
        <v>2444</v>
      </c>
    </row>
    <row r="4838" spans="1:7" x14ac:dyDescent="0.3">
      <c r="A4838" t="s">
        <v>1189</v>
      </c>
      <c r="B4838" t="s">
        <v>36</v>
      </c>
      <c r="C4838" t="s">
        <v>24</v>
      </c>
      <c r="D4838" t="s">
        <v>12</v>
      </c>
      <c r="E4838" s="68">
        <v>1237</v>
      </c>
      <c r="F4838" s="68">
        <v>879</v>
      </c>
      <c r="G4838" s="68">
        <v>2116</v>
      </c>
    </row>
    <row r="4839" spans="1:7" x14ac:dyDescent="0.3">
      <c r="A4839" t="s">
        <v>1189</v>
      </c>
      <c r="B4839" t="s">
        <v>36</v>
      </c>
      <c r="C4839" t="s">
        <v>24</v>
      </c>
      <c r="D4839" t="s">
        <v>13</v>
      </c>
      <c r="E4839" s="68">
        <v>1225</v>
      </c>
      <c r="F4839" s="68">
        <v>820</v>
      </c>
      <c r="G4839" s="68">
        <v>2045</v>
      </c>
    </row>
    <row r="4840" spans="1:7" x14ac:dyDescent="0.3">
      <c r="A4840" t="s">
        <v>1189</v>
      </c>
      <c r="B4840" t="s">
        <v>36</v>
      </c>
      <c r="C4840" t="s">
        <v>24</v>
      </c>
      <c r="D4840" t="s">
        <v>14</v>
      </c>
      <c r="E4840" s="68">
        <v>1065</v>
      </c>
      <c r="F4840" s="68">
        <v>765</v>
      </c>
      <c r="G4840" s="68">
        <v>1830</v>
      </c>
    </row>
    <row r="4841" spans="1:7" x14ac:dyDescent="0.3">
      <c r="A4841" t="s">
        <v>1189</v>
      </c>
      <c r="B4841" t="s">
        <v>36</v>
      </c>
      <c r="C4841" t="s">
        <v>24</v>
      </c>
      <c r="D4841" t="s">
        <v>15</v>
      </c>
      <c r="E4841" s="68">
        <v>1049</v>
      </c>
      <c r="F4841" s="68">
        <v>750</v>
      </c>
      <c r="G4841" s="68">
        <v>1799</v>
      </c>
    </row>
    <row r="4842" spans="1:7" x14ac:dyDescent="0.3">
      <c r="A4842" t="s">
        <v>1189</v>
      </c>
      <c r="B4842" t="s">
        <v>36</v>
      </c>
      <c r="C4842" t="s">
        <v>24</v>
      </c>
      <c r="D4842" t="s">
        <v>16</v>
      </c>
      <c r="E4842" s="68">
        <v>883</v>
      </c>
      <c r="F4842" s="68">
        <v>680</v>
      </c>
      <c r="G4842" s="68">
        <v>1563</v>
      </c>
    </row>
    <row r="4843" spans="1:7" x14ac:dyDescent="0.3">
      <c r="A4843" t="s">
        <v>1189</v>
      </c>
      <c r="B4843" t="s">
        <v>36</v>
      </c>
      <c r="C4843" t="s">
        <v>24</v>
      </c>
      <c r="D4843" t="s">
        <v>17</v>
      </c>
      <c r="E4843" s="68">
        <v>772</v>
      </c>
      <c r="F4843" s="68">
        <v>667</v>
      </c>
      <c r="G4843" s="68">
        <v>1439</v>
      </c>
    </row>
    <row r="4844" spans="1:7" x14ac:dyDescent="0.3">
      <c r="A4844" t="s">
        <v>1189</v>
      </c>
      <c r="B4844" t="s">
        <v>36</v>
      </c>
      <c r="C4844" t="s">
        <v>24</v>
      </c>
      <c r="D4844" t="s">
        <v>18</v>
      </c>
      <c r="E4844" s="68">
        <v>651</v>
      </c>
      <c r="F4844" s="68">
        <v>665</v>
      </c>
      <c r="G4844" s="68">
        <v>1316</v>
      </c>
    </row>
    <row r="4845" spans="1:7" x14ac:dyDescent="0.3">
      <c r="A4845" t="s">
        <v>1189</v>
      </c>
      <c r="B4845" t="s">
        <v>36</v>
      </c>
      <c r="C4845" t="s">
        <v>24</v>
      </c>
      <c r="D4845" t="s">
        <v>19</v>
      </c>
      <c r="E4845" s="68">
        <v>524</v>
      </c>
      <c r="F4845" s="68">
        <v>583</v>
      </c>
      <c r="G4845" s="68">
        <v>1107</v>
      </c>
    </row>
    <row r="4846" spans="1:7" x14ac:dyDescent="0.3">
      <c r="A4846" t="s">
        <v>1189</v>
      </c>
      <c r="B4846" t="s">
        <v>36</v>
      </c>
      <c r="C4846" t="s">
        <v>24</v>
      </c>
      <c r="D4846" t="s">
        <v>20</v>
      </c>
      <c r="E4846" s="68">
        <v>420</v>
      </c>
      <c r="F4846" s="68">
        <v>441</v>
      </c>
      <c r="G4846" s="68">
        <v>861</v>
      </c>
    </row>
    <row r="4847" spans="1:7" x14ac:dyDescent="0.3">
      <c r="A4847" t="s">
        <v>1189</v>
      </c>
      <c r="B4847" t="s">
        <v>36</v>
      </c>
      <c r="C4847" t="s">
        <v>24</v>
      </c>
      <c r="D4847" t="s">
        <v>21</v>
      </c>
      <c r="E4847" s="68">
        <v>288</v>
      </c>
      <c r="F4847" s="68">
        <v>344</v>
      </c>
      <c r="G4847" s="68">
        <v>632</v>
      </c>
    </row>
    <row r="4848" spans="1:7" x14ac:dyDescent="0.3">
      <c r="A4848" t="s">
        <v>1189</v>
      </c>
      <c r="B4848" t="s">
        <v>36</v>
      </c>
      <c r="C4848" t="s">
        <v>24</v>
      </c>
      <c r="D4848" t="s">
        <v>22</v>
      </c>
      <c r="E4848" s="68">
        <v>223</v>
      </c>
      <c r="F4848" s="68">
        <v>231</v>
      </c>
      <c r="G4848" s="68">
        <v>454</v>
      </c>
    </row>
    <row r="4849" spans="1:7" x14ac:dyDescent="0.3">
      <c r="A4849" t="s">
        <v>1189</v>
      </c>
      <c r="B4849" t="s">
        <v>36</v>
      </c>
      <c r="C4849" t="s">
        <v>24</v>
      </c>
      <c r="D4849" t="s">
        <v>23</v>
      </c>
      <c r="E4849" s="68">
        <v>286</v>
      </c>
      <c r="F4849" s="68">
        <v>268</v>
      </c>
      <c r="G4849" s="68">
        <v>554</v>
      </c>
    </row>
    <row r="4850" spans="1:7" x14ac:dyDescent="0.3">
      <c r="A4850" t="s">
        <v>1224</v>
      </c>
      <c r="B4850" t="s">
        <v>1225</v>
      </c>
      <c r="C4850" t="s">
        <v>6</v>
      </c>
      <c r="D4850" t="s">
        <v>7</v>
      </c>
      <c r="E4850" s="68">
        <v>1263</v>
      </c>
      <c r="F4850" s="68">
        <v>1236</v>
      </c>
      <c r="G4850" s="68">
        <v>2499</v>
      </c>
    </row>
    <row r="4851" spans="1:7" x14ac:dyDescent="0.3">
      <c r="A4851" t="s">
        <v>1224</v>
      </c>
      <c r="B4851" t="s">
        <v>1225</v>
      </c>
      <c r="C4851" t="s">
        <v>6</v>
      </c>
      <c r="D4851" t="s">
        <v>8</v>
      </c>
      <c r="E4851" s="68">
        <v>1291</v>
      </c>
      <c r="F4851" s="68">
        <v>1378</v>
      </c>
      <c r="G4851" s="68">
        <v>2669</v>
      </c>
    </row>
    <row r="4852" spans="1:7" x14ac:dyDescent="0.3">
      <c r="A4852" t="s">
        <v>1224</v>
      </c>
      <c r="B4852" t="s">
        <v>1225</v>
      </c>
      <c r="C4852" t="s">
        <v>6</v>
      </c>
      <c r="D4852" t="s">
        <v>9</v>
      </c>
      <c r="E4852" s="68">
        <v>656</v>
      </c>
      <c r="F4852" s="68">
        <v>681</v>
      </c>
      <c r="G4852" s="68">
        <v>1337</v>
      </c>
    </row>
    <row r="4853" spans="1:7" x14ac:dyDescent="0.3">
      <c r="A4853" t="s">
        <v>1224</v>
      </c>
      <c r="B4853" t="s">
        <v>1225</v>
      </c>
      <c r="C4853" t="s">
        <v>6</v>
      </c>
      <c r="D4853" t="s">
        <v>10</v>
      </c>
      <c r="E4853" s="68">
        <v>430</v>
      </c>
      <c r="F4853" s="68">
        <v>396</v>
      </c>
      <c r="G4853" s="68">
        <v>826</v>
      </c>
    </row>
    <row r="4854" spans="1:7" x14ac:dyDescent="0.3">
      <c r="A4854" t="s">
        <v>1224</v>
      </c>
      <c r="B4854" t="s">
        <v>1225</v>
      </c>
      <c r="C4854" t="s">
        <v>6</v>
      </c>
      <c r="D4854" t="s">
        <v>11</v>
      </c>
      <c r="E4854" s="68">
        <v>1036</v>
      </c>
      <c r="F4854" s="68">
        <v>714</v>
      </c>
      <c r="G4854" s="68">
        <v>1750</v>
      </c>
    </row>
    <row r="4855" spans="1:7" x14ac:dyDescent="0.3">
      <c r="A4855" t="s">
        <v>1224</v>
      </c>
      <c r="B4855" t="s">
        <v>1225</v>
      </c>
      <c r="C4855" t="s">
        <v>6</v>
      </c>
      <c r="D4855" t="s">
        <v>12</v>
      </c>
      <c r="E4855" s="68">
        <v>1505</v>
      </c>
      <c r="F4855" s="68">
        <v>963</v>
      </c>
      <c r="G4855" s="68">
        <v>2468</v>
      </c>
    </row>
    <row r="4856" spans="1:7" x14ac:dyDescent="0.3">
      <c r="A4856" t="s">
        <v>1224</v>
      </c>
      <c r="B4856" t="s">
        <v>1225</v>
      </c>
      <c r="C4856" t="s">
        <v>6</v>
      </c>
      <c r="D4856" t="s">
        <v>13</v>
      </c>
      <c r="E4856" s="68">
        <v>1368</v>
      </c>
      <c r="F4856" s="68">
        <v>896</v>
      </c>
      <c r="G4856" s="68">
        <v>2264</v>
      </c>
    </row>
    <row r="4857" spans="1:7" x14ac:dyDescent="0.3">
      <c r="A4857" t="s">
        <v>1224</v>
      </c>
      <c r="B4857" t="s">
        <v>1225</v>
      </c>
      <c r="C4857" t="s">
        <v>6</v>
      </c>
      <c r="D4857" t="s">
        <v>14</v>
      </c>
      <c r="E4857" s="68">
        <v>884</v>
      </c>
      <c r="F4857" s="68">
        <v>642</v>
      </c>
      <c r="G4857" s="68">
        <v>1526</v>
      </c>
    </row>
    <row r="4858" spans="1:7" x14ac:dyDescent="0.3">
      <c r="A4858" t="s">
        <v>1224</v>
      </c>
      <c r="B4858" t="s">
        <v>1225</v>
      </c>
      <c r="C4858" t="s">
        <v>6</v>
      </c>
      <c r="D4858" t="s">
        <v>15</v>
      </c>
      <c r="E4858" s="68">
        <v>725</v>
      </c>
      <c r="F4858" s="68">
        <v>501</v>
      </c>
      <c r="G4858" s="68">
        <v>1226</v>
      </c>
    </row>
    <row r="4859" spans="1:7" x14ac:dyDescent="0.3">
      <c r="A4859" t="s">
        <v>1224</v>
      </c>
      <c r="B4859" t="s">
        <v>1225</v>
      </c>
      <c r="C4859" t="s">
        <v>6</v>
      </c>
      <c r="D4859" t="s">
        <v>16</v>
      </c>
      <c r="E4859" s="68">
        <v>439</v>
      </c>
      <c r="F4859" s="68">
        <v>372</v>
      </c>
      <c r="G4859" s="68">
        <v>811</v>
      </c>
    </row>
    <row r="4860" spans="1:7" x14ac:dyDescent="0.3">
      <c r="A4860" t="s">
        <v>1224</v>
      </c>
      <c r="B4860" t="s">
        <v>1225</v>
      </c>
      <c r="C4860" t="s">
        <v>6</v>
      </c>
      <c r="D4860" t="s">
        <v>17</v>
      </c>
      <c r="E4860" s="68">
        <v>249</v>
      </c>
      <c r="F4860" s="68">
        <v>232</v>
      </c>
      <c r="G4860" s="68">
        <v>481</v>
      </c>
    </row>
    <row r="4861" spans="1:7" x14ac:dyDescent="0.3">
      <c r="A4861" t="s">
        <v>1224</v>
      </c>
      <c r="B4861" t="s">
        <v>1225</v>
      </c>
      <c r="C4861" t="s">
        <v>6</v>
      </c>
      <c r="D4861" t="s">
        <v>18</v>
      </c>
      <c r="E4861" s="68">
        <v>166</v>
      </c>
      <c r="F4861" s="68">
        <v>163</v>
      </c>
      <c r="G4861" s="68">
        <v>329</v>
      </c>
    </row>
    <row r="4862" spans="1:7" x14ac:dyDescent="0.3">
      <c r="A4862" t="s">
        <v>1224</v>
      </c>
      <c r="B4862" t="s">
        <v>1225</v>
      </c>
      <c r="C4862" t="s">
        <v>6</v>
      </c>
      <c r="D4862" t="s">
        <v>19</v>
      </c>
      <c r="E4862" s="68">
        <v>100</v>
      </c>
      <c r="F4862" s="68">
        <v>107</v>
      </c>
      <c r="G4862" s="68">
        <v>207</v>
      </c>
    </row>
    <row r="4863" spans="1:7" x14ac:dyDescent="0.3">
      <c r="A4863" t="s">
        <v>1224</v>
      </c>
      <c r="B4863" t="s">
        <v>1225</v>
      </c>
      <c r="C4863" t="s">
        <v>6</v>
      </c>
      <c r="D4863" t="s">
        <v>20</v>
      </c>
      <c r="E4863" s="68">
        <v>40</v>
      </c>
      <c r="F4863" s="68">
        <v>69</v>
      </c>
      <c r="G4863" s="68">
        <v>109</v>
      </c>
    </row>
    <row r="4864" spans="1:7" x14ac:dyDescent="0.3">
      <c r="A4864" t="s">
        <v>1224</v>
      </c>
      <c r="B4864" t="s">
        <v>1225</v>
      </c>
      <c r="C4864" t="s">
        <v>6</v>
      </c>
      <c r="D4864" t="s">
        <v>21</v>
      </c>
      <c r="E4864" s="68">
        <v>20</v>
      </c>
      <c r="F4864" s="68">
        <v>25</v>
      </c>
      <c r="G4864" s="68">
        <v>45</v>
      </c>
    </row>
    <row r="4865" spans="1:7" x14ac:dyDescent="0.3">
      <c r="A4865" t="s">
        <v>1224</v>
      </c>
      <c r="B4865" t="s">
        <v>1225</v>
      </c>
      <c r="C4865" t="s">
        <v>6</v>
      </c>
      <c r="D4865" t="s">
        <v>22</v>
      </c>
      <c r="E4865" s="68">
        <v>12</v>
      </c>
      <c r="F4865" s="68">
        <v>11</v>
      </c>
      <c r="G4865" s="68">
        <v>23</v>
      </c>
    </row>
    <row r="4866" spans="1:7" x14ac:dyDescent="0.3">
      <c r="A4866" t="s">
        <v>1224</v>
      </c>
      <c r="B4866" t="s">
        <v>1225</v>
      </c>
      <c r="C4866" t="s">
        <v>6</v>
      </c>
      <c r="D4866" t="s">
        <v>23</v>
      </c>
      <c r="E4866" s="68">
        <v>6</v>
      </c>
      <c r="F4866" s="68">
        <v>8</v>
      </c>
      <c r="G4866" s="68">
        <v>14</v>
      </c>
    </row>
    <row r="4867" spans="1:7" x14ac:dyDescent="0.3">
      <c r="A4867" t="s">
        <v>1224</v>
      </c>
      <c r="B4867" t="s">
        <v>1225</v>
      </c>
      <c r="C4867" t="s">
        <v>24</v>
      </c>
      <c r="D4867" t="s">
        <v>7</v>
      </c>
      <c r="E4867" s="68">
        <v>16406</v>
      </c>
      <c r="F4867" s="68">
        <v>17247</v>
      </c>
      <c r="G4867" s="68">
        <v>33653</v>
      </c>
    </row>
    <row r="4868" spans="1:7" x14ac:dyDescent="0.3">
      <c r="A4868" t="s">
        <v>1224</v>
      </c>
      <c r="B4868" t="s">
        <v>1225</v>
      </c>
      <c r="C4868" t="s">
        <v>24</v>
      </c>
      <c r="D4868" t="s">
        <v>8</v>
      </c>
      <c r="E4868" s="68">
        <v>17040</v>
      </c>
      <c r="F4868" s="68">
        <v>17855</v>
      </c>
      <c r="G4868" s="68">
        <v>34895</v>
      </c>
    </row>
    <row r="4869" spans="1:7" x14ac:dyDescent="0.3">
      <c r="A4869" t="s">
        <v>1224</v>
      </c>
      <c r="B4869" t="s">
        <v>1225</v>
      </c>
      <c r="C4869" t="s">
        <v>24</v>
      </c>
      <c r="D4869" t="s">
        <v>9</v>
      </c>
      <c r="E4869" s="68">
        <v>16744</v>
      </c>
      <c r="F4869" s="68">
        <v>17604</v>
      </c>
      <c r="G4869" s="68">
        <v>34348</v>
      </c>
    </row>
    <row r="4870" spans="1:7" x14ac:dyDescent="0.3">
      <c r="A4870" t="s">
        <v>1224</v>
      </c>
      <c r="B4870" t="s">
        <v>1225</v>
      </c>
      <c r="C4870" t="s">
        <v>24</v>
      </c>
      <c r="D4870" t="s">
        <v>10</v>
      </c>
      <c r="E4870" s="68">
        <v>14632</v>
      </c>
      <c r="F4870" s="68">
        <v>13960</v>
      </c>
      <c r="G4870" s="68">
        <v>28592</v>
      </c>
    </row>
    <row r="4871" spans="1:7" x14ac:dyDescent="0.3">
      <c r="A4871" t="s">
        <v>1224</v>
      </c>
      <c r="B4871" t="s">
        <v>1225</v>
      </c>
      <c r="C4871" t="s">
        <v>24</v>
      </c>
      <c r="D4871" t="s">
        <v>11</v>
      </c>
      <c r="E4871" s="68">
        <v>11737</v>
      </c>
      <c r="F4871" s="68">
        <v>8524</v>
      </c>
      <c r="G4871" s="68">
        <v>20261</v>
      </c>
    </row>
    <row r="4872" spans="1:7" x14ac:dyDescent="0.3">
      <c r="A4872" t="s">
        <v>1224</v>
      </c>
      <c r="B4872" t="s">
        <v>1225</v>
      </c>
      <c r="C4872" t="s">
        <v>24</v>
      </c>
      <c r="D4872" t="s">
        <v>12</v>
      </c>
      <c r="E4872" s="68">
        <v>9208</v>
      </c>
      <c r="F4872" s="68">
        <v>6453</v>
      </c>
      <c r="G4872" s="68">
        <v>15661</v>
      </c>
    </row>
    <row r="4873" spans="1:7" x14ac:dyDescent="0.3">
      <c r="A4873" t="s">
        <v>1224</v>
      </c>
      <c r="B4873" t="s">
        <v>1225</v>
      </c>
      <c r="C4873" t="s">
        <v>24</v>
      </c>
      <c r="D4873" t="s">
        <v>13</v>
      </c>
      <c r="E4873" s="68">
        <v>8423</v>
      </c>
      <c r="F4873" s="68">
        <v>6254</v>
      </c>
      <c r="G4873" s="68">
        <v>14677</v>
      </c>
    </row>
    <row r="4874" spans="1:7" x14ac:dyDescent="0.3">
      <c r="A4874" t="s">
        <v>1224</v>
      </c>
      <c r="B4874" t="s">
        <v>1225</v>
      </c>
      <c r="C4874" t="s">
        <v>24</v>
      </c>
      <c r="D4874" t="s">
        <v>14</v>
      </c>
      <c r="E4874" s="68">
        <v>7773</v>
      </c>
      <c r="F4874" s="68">
        <v>6310</v>
      </c>
      <c r="G4874" s="68">
        <v>14083</v>
      </c>
    </row>
    <row r="4875" spans="1:7" x14ac:dyDescent="0.3">
      <c r="A4875" t="s">
        <v>1224</v>
      </c>
      <c r="B4875" t="s">
        <v>1225</v>
      </c>
      <c r="C4875" t="s">
        <v>24</v>
      </c>
      <c r="D4875" t="s">
        <v>15</v>
      </c>
      <c r="E4875" s="68">
        <v>8041</v>
      </c>
      <c r="F4875" s="68">
        <v>6970</v>
      </c>
      <c r="G4875" s="68">
        <v>15011</v>
      </c>
    </row>
    <row r="4876" spans="1:7" x14ac:dyDescent="0.3">
      <c r="A4876" t="s">
        <v>1224</v>
      </c>
      <c r="B4876" t="s">
        <v>1225</v>
      </c>
      <c r="C4876" t="s">
        <v>24</v>
      </c>
      <c r="D4876" t="s">
        <v>16</v>
      </c>
      <c r="E4876" s="68">
        <v>7410</v>
      </c>
      <c r="F4876" s="68">
        <v>6451</v>
      </c>
      <c r="G4876" s="68">
        <v>13861</v>
      </c>
    </row>
    <row r="4877" spans="1:7" x14ac:dyDescent="0.3">
      <c r="A4877" t="s">
        <v>1224</v>
      </c>
      <c r="B4877" t="s">
        <v>1225</v>
      </c>
      <c r="C4877" t="s">
        <v>24</v>
      </c>
      <c r="D4877" t="s">
        <v>17</v>
      </c>
      <c r="E4877" s="68">
        <v>5868</v>
      </c>
      <c r="F4877" s="68">
        <v>4959</v>
      </c>
      <c r="G4877" s="68">
        <v>10827</v>
      </c>
    </row>
    <row r="4878" spans="1:7" x14ac:dyDescent="0.3">
      <c r="A4878" t="s">
        <v>1224</v>
      </c>
      <c r="B4878" t="s">
        <v>1225</v>
      </c>
      <c r="C4878" t="s">
        <v>24</v>
      </c>
      <c r="D4878" t="s">
        <v>18</v>
      </c>
      <c r="E4878" s="68">
        <v>5232</v>
      </c>
      <c r="F4878" s="68">
        <v>4587</v>
      </c>
      <c r="G4878" s="68">
        <v>9819</v>
      </c>
    </row>
    <row r="4879" spans="1:7" x14ac:dyDescent="0.3">
      <c r="A4879" t="s">
        <v>1224</v>
      </c>
      <c r="B4879" t="s">
        <v>1225</v>
      </c>
      <c r="C4879" t="s">
        <v>24</v>
      </c>
      <c r="D4879" t="s">
        <v>19</v>
      </c>
      <c r="E4879" s="68">
        <v>5356</v>
      </c>
      <c r="F4879" s="68">
        <v>4412</v>
      </c>
      <c r="G4879" s="68">
        <v>9768</v>
      </c>
    </row>
    <row r="4880" spans="1:7" x14ac:dyDescent="0.3">
      <c r="A4880" t="s">
        <v>1224</v>
      </c>
      <c r="B4880" t="s">
        <v>1225</v>
      </c>
      <c r="C4880" t="s">
        <v>24</v>
      </c>
      <c r="D4880" t="s">
        <v>20</v>
      </c>
      <c r="E4880" s="68">
        <v>4395</v>
      </c>
      <c r="F4880" s="68">
        <v>3697</v>
      </c>
      <c r="G4880" s="68">
        <v>8092</v>
      </c>
    </row>
    <row r="4881" spans="1:7" x14ac:dyDescent="0.3">
      <c r="A4881" t="s">
        <v>1224</v>
      </c>
      <c r="B4881" t="s">
        <v>1225</v>
      </c>
      <c r="C4881" t="s">
        <v>24</v>
      </c>
      <c r="D4881" t="s">
        <v>21</v>
      </c>
      <c r="E4881" s="68">
        <v>2658</v>
      </c>
      <c r="F4881" s="68">
        <v>2380</v>
      </c>
      <c r="G4881" s="68">
        <v>5038</v>
      </c>
    </row>
    <row r="4882" spans="1:7" x14ac:dyDescent="0.3">
      <c r="A4882" t="s">
        <v>1224</v>
      </c>
      <c r="B4882" t="s">
        <v>1225</v>
      </c>
      <c r="C4882" t="s">
        <v>24</v>
      </c>
      <c r="D4882" t="s">
        <v>22</v>
      </c>
      <c r="E4882" s="68">
        <v>2723</v>
      </c>
      <c r="F4882" s="68">
        <v>2200</v>
      </c>
      <c r="G4882" s="68">
        <v>4923</v>
      </c>
    </row>
    <row r="4883" spans="1:7" x14ac:dyDescent="0.3">
      <c r="A4883" t="s">
        <v>1224</v>
      </c>
      <c r="B4883" t="s">
        <v>1225</v>
      </c>
      <c r="C4883" t="s">
        <v>24</v>
      </c>
      <c r="D4883" t="s">
        <v>23</v>
      </c>
      <c r="E4883" s="68">
        <v>4697</v>
      </c>
      <c r="F4883" s="68">
        <v>3426</v>
      </c>
      <c r="G4883" s="68">
        <v>8123</v>
      </c>
    </row>
    <row r="4884" spans="1:7" x14ac:dyDescent="0.3">
      <c r="A4884" t="s">
        <v>1224</v>
      </c>
      <c r="B4884" t="s">
        <v>30</v>
      </c>
      <c r="C4884" t="s">
        <v>6</v>
      </c>
      <c r="D4884" t="s">
        <v>7</v>
      </c>
      <c r="E4884" s="68">
        <v>65</v>
      </c>
      <c r="F4884" s="68">
        <v>65</v>
      </c>
      <c r="G4884" s="68">
        <v>130</v>
      </c>
    </row>
    <row r="4885" spans="1:7" x14ac:dyDescent="0.3">
      <c r="A4885" t="s">
        <v>1224</v>
      </c>
      <c r="B4885" t="s">
        <v>30</v>
      </c>
      <c r="C4885" t="s">
        <v>6</v>
      </c>
      <c r="D4885" t="s">
        <v>8</v>
      </c>
      <c r="E4885" s="68">
        <v>49</v>
      </c>
      <c r="F4885" s="68">
        <v>53</v>
      </c>
      <c r="G4885" s="68">
        <v>102</v>
      </c>
    </row>
    <row r="4886" spans="1:7" x14ac:dyDescent="0.3">
      <c r="A4886" t="s">
        <v>1224</v>
      </c>
      <c r="B4886" t="s">
        <v>30</v>
      </c>
      <c r="C4886" t="s">
        <v>6</v>
      </c>
      <c r="D4886" t="s">
        <v>9</v>
      </c>
      <c r="E4886" s="68">
        <v>64</v>
      </c>
      <c r="F4886" s="68">
        <v>69</v>
      </c>
      <c r="G4886" s="68">
        <v>133</v>
      </c>
    </row>
    <row r="4887" spans="1:7" x14ac:dyDescent="0.3">
      <c r="A4887" t="s">
        <v>1224</v>
      </c>
      <c r="B4887" t="s">
        <v>30</v>
      </c>
      <c r="C4887" t="s">
        <v>6</v>
      </c>
      <c r="D4887" t="s">
        <v>10</v>
      </c>
      <c r="E4887" s="68">
        <v>125</v>
      </c>
      <c r="F4887" s="68">
        <v>156</v>
      </c>
      <c r="G4887" s="68">
        <v>281</v>
      </c>
    </row>
    <row r="4888" spans="1:7" x14ac:dyDescent="0.3">
      <c r="A4888" t="s">
        <v>1224</v>
      </c>
      <c r="B4888" t="s">
        <v>30</v>
      </c>
      <c r="C4888" t="s">
        <v>6</v>
      </c>
      <c r="D4888" t="s">
        <v>11</v>
      </c>
      <c r="E4888" s="68">
        <v>341</v>
      </c>
      <c r="F4888" s="68">
        <v>399</v>
      </c>
      <c r="G4888" s="68">
        <v>740</v>
      </c>
    </row>
    <row r="4889" spans="1:7" x14ac:dyDescent="0.3">
      <c r="A4889" t="s">
        <v>1224</v>
      </c>
      <c r="B4889" t="s">
        <v>30</v>
      </c>
      <c r="C4889" t="s">
        <v>6</v>
      </c>
      <c r="D4889" t="s">
        <v>12</v>
      </c>
      <c r="E4889" s="68">
        <v>472</v>
      </c>
      <c r="F4889" s="68">
        <v>482</v>
      </c>
      <c r="G4889" s="68">
        <v>954</v>
      </c>
    </row>
    <row r="4890" spans="1:7" x14ac:dyDescent="0.3">
      <c r="A4890" t="s">
        <v>1224</v>
      </c>
      <c r="B4890" t="s">
        <v>30</v>
      </c>
      <c r="C4890" t="s">
        <v>6</v>
      </c>
      <c r="D4890" t="s">
        <v>13</v>
      </c>
      <c r="E4890" s="68">
        <v>476</v>
      </c>
      <c r="F4890" s="68">
        <v>507</v>
      </c>
      <c r="G4890" s="68">
        <v>983</v>
      </c>
    </row>
    <row r="4891" spans="1:7" x14ac:dyDescent="0.3">
      <c r="A4891" t="s">
        <v>1224</v>
      </c>
      <c r="B4891" t="s">
        <v>30</v>
      </c>
      <c r="C4891" t="s">
        <v>6</v>
      </c>
      <c r="D4891" t="s">
        <v>14</v>
      </c>
      <c r="E4891" s="68">
        <v>427</v>
      </c>
      <c r="F4891" s="68">
        <v>459</v>
      </c>
      <c r="G4891" s="68">
        <v>886</v>
      </c>
    </row>
    <row r="4892" spans="1:7" x14ac:dyDescent="0.3">
      <c r="A4892" t="s">
        <v>1224</v>
      </c>
      <c r="B4892" t="s">
        <v>30</v>
      </c>
      <c r="C4892" t="s">
        <v>6</v>
      </c>
      <c r="D4892" t="s">
        <v>15</v>
      </c>
      <c r="E4892" s="68">
        <v>309</v>
      </c>
      <c r="F4892" s="68">
        <v>373</v>
      </c>
      <c r="G4892" s="68">
        <v>682</v>
      </c>
    </row>
    <row r="4893" spans="1:7" x14ac:dyDescent="0.3">
      <c r="A4893" t="s">
        <v>1224</v>
      </c>
      <c r="B4893" t="s">
        <v>30</v>
      </c>
      <c r="C4893" t="s">
        <v>6</v>
      </c>
      <c r="D4893" t="s">
        <v>16</v>
      </c>
      <c r="E4893" s="68">
        <v>219</v>
      </c>
      <c r="F4893" s="68">
        <v>269</v>
      </c>
      <c r="G4893" s="68">
        <v>488</v>
      </c>
    </row>
    <row r="4894" spans="1:7" x14ac:dyDescent="0.3">
      <c r="A4894" t="s">
        <v>1224</v>
      </c>
      <c r="B4894" t="s">
        <v>30</v>
      </c>
      <c r="C4894" t="s">
        <v>6</v>
      </c>
      <c r="D4894" t="s">
        <v>17</v>
      </c>
      <c r="E4894" s="68">
        <v>153</v>
      </c>
      <c r="F4894" s="68">
        <v>200</v>
      </c>
      <c r="G4894" s="68">
        <v>353</v>
      </c>
    </row>
    <row r="4895" spans="1:7" x14ac:dyDescent="0.3">
      <c r="A4895" t="s">
        <v>1224</v>
      </c>
      <c r="B4895" t="s">
        <v>30</v>
      </c>
      <c r="C4895" t="s">
        <v>6</v>
      </c>
      <c r="D4895" t="s">
        <v>18</v>
      </c>
      <c r="E4895" s="68">
        <v>102</v>
      </c>
      <c r="F4895" s="68">
        <v>170</v>
      </c>
      <c r="G4895" s="68">
        <v>272</v>
      </c>
    </row>
    <row r="4896" spans="1:7" x14ac:dyDescent="0.3">
      <c r="A4896" t="s">
        <v>1224</v>
      </c>
      <c r="B4896" t="s">
        <v>30</v>
      </c>
      <c r="C4896" t="s">
        <v>6</v>
      </c>
      <c r="D4896" t="s">
        <v>19</v>
      </c>
      <c r="E4896" s="68">
        <v>78</v>
      </c>
      <c r="F4896" s="68">
        <v>101</v>
      </c>
      <c r="G4896" s="68">
        <v>179</v>
      </c>
    </row>
    <row r="4897" spans="1:7" x14ac:dyDescent="0.3">
      <c r="A4897" t="s">
        <v>1224</v>
      </c>
      <c r="B4897" t="s">
        <v>30</v>
      </c>
      <c r="C4897" t="s">
        <v>6</v>
      </c>
      <c r="D4897" t="s">
        <v>20</v>
      </c>
      <c r="E4897" s="68">
        <v>51</v>
      </c>
      <c r="F4897" s="68">
        <v>67</v>
      </c>
      <c r="G4897" s="68">
        <v>118</v>
      </c>
    </row>
    <row r="4898" spans="1:7" x14ac:dyDescent="0.3">
      <c r="A4898" t="s">
        <v>1224</v>
      </c>
      <c r="B4898" t="s">
        <v>30</v>
      </c>
      <c r="C4898" t="s">
        <v>6</v>
      </c>
      <c r="D4898" t="s">
        <v>21</v>
      </c>
      <c r="E4898" s="68">
        <v>30</v>
      </c>
      <c r="F4898" s="68">
        <v>37</v>
      </c>
      <c r="G4898" s="68">
        <v>67</v>
      </c>
    </row>
    <row r="4899" spans="1:7" x14ac:dyDescent="0.3">
      <c r="A4899" t="s">
        <v>1224</v>
      </c>
      <c r="B4899" t="s">
        <v>30</v>
      </c>
      <c r="C4899" t="s">
        <v>6</v>
      </c>
      <c r="D4899" t="s">
        <v>22</v>
      </c>
      <c r="E4899" s="68">
        <v>23</v>
      </c>
      <c r="F4899" s="68">
        <v>21</v>
      </c>
      <c r="G4899" s="68">
        <v>44</v>
      </c>
    </row>
    <row r="4900" spans="1:7" x14ac:dyDescent="0.3">
      <c r="A4900" t="s">
        <v>1224</v>
      </c>
      <c r="B4900" t="s">
        <v>30</v>
      </c>
      <c r="C4900" t="s">
        <v>6</v>
      </c>
      <c r="D4900" t="s">
        <v>23</v>
      </c>
      <c r="E4900" s="68">
        <v>34</v>
      </c>
      <c r="F4900" s="68">
        <v>24</v>
      </c>
      <c r="G4900" s="68">
        <v>58</v>
      </c>
    </row>
    <row r="4901" spans="1:7" x14ac:dyDescent="0.3">
      <c r="A4901" t="s">
        <v>1224</v>
      </c>
      <c r="B4901" t="s">
        <v>30</v>
      </c>
      <c r="C4901" t="s">
        <v>24</v>
      </c>
      <c r="D4901" t="s">
        <v>7</v>
      </c>
      <c r="E4901" s="68">
        <v>7578</v>
      </c>
      <c r="F4901" s="68">
        <v>7835</v>
      </c>
      <c r="G4901" s="68">
        <v>15413</v>
      </c>
    </row>
    <row r="4902" spans="1:7" x14ac:dyDescent="0.3">
      <c r="A4902" t="s">
        <v>1224</v>
      </c>
      <c r="B4902" t="s">
        <v>30</v>
      </c>
      <c r="C4902" t="s">
        <v>24</v>
      </c>
      <c r="D4902" t="s">
        <v>8</v>
      </c>
      <c r="E4902" s="68">
        <v>11520</v>
      </c>
      <c r="F4902" s="68">
        <v>12086</v>
      </c>
      <c r="G4902" s="68">
        <v>23606</v>
      </c>
    </row>
    <row r="4903" spans="1:7" x14ac:dyDescent="0.3">
      <c r="A4903" t="s">
        <v>1224</v>
      </c>
      <c r="B4903" t="s">
        <v>30</v>
      </c>
      <c r="C4903" t="s">
        <v>24</v>
      </c>
      <c r="D4903" t="s">
        <v>9</v>
      </c>
      <c r="E4903" s="68">
        <v>11021</v>
      </c>
      <c r="F4903" s="68">
        <v>11212</v>
      </c>
      <c r="G4903" s="68">
        <v>22233</v>
      </c>
    </row>
    <row r="4904" spans="1:7" x14ac:dyDescent="0.3">
      <c r="A4904" t="s">
        <v>1224</v>
      </c>
      <c r="B4904" t="s">
        <v>30</v>
      </c>
      <c r="C4904" t="s">
        <v>24</v>
      </c>
      <c r="D4904" t="s">
        <v>10</v>
      </c>
      <c r="E4904" s="68">
        <v>9540</v>
      </c>
      <c r="F4904" s="68">
        <v>9537</v>
      </c>
      <c r="G4904" s="68">
        <v>19077</v>
      </c>
    </row>
    <row r="4905" spans="1:7" x14ac:dyDescent="0.3">
      <c r="A4905" t="s">
        <v>1224</v>
      </c>
      <c r="B4905" t="s">
        <v>30</v>
      </c>
      <c r="C4905" t="s">
        <v>24</v>
      </c>
      <c r="D4905" t="s">
        <v>11</v>
      </c>
      <c r="E4905" s="68">
        <v>8033</v>
      </c>
      <c r="F4905" s="68">
        <v>6563</v>
      </c>
      <c r="G4905" s="68">
        <v>14596</v>
      </c>
    </row>
    <row r="4906" spans="1:7" x14ac:dyDescent="0.3">
      <c r="A4906" t="s">
        <v>1224</v>
      </c>
      <c r="B4906" t="s">
        <v>30</v>
      </c>
      <c r="C4906" t="s">
        <v>24</v>
      </c>
      <c r="D4906" t="s">
        <v>12</v>
      </c>
      <c r="E4906" s="68">
        <v>7056</v>
      </c>
      <c r="F4906" s="68">
        <v>5548</v>
      </c>
      <c r="G4906" s="68">
        <v>12604</v>
      </c>
    </row>
    <row r="4907" spans="1:7" x14ac:dyDescent="0.3">
      <c r="A4907" t="s">
        <v>1224</v>
      </c>
      <c r="B4907" t="s">
        <v>30</v>
      </c>
      <c r="C4907" t="s">
        <v>24</v>
      </c>
      <c r="D4907" t="s">
        <v>13</v>
      </c>
      <c r="E4907" s="68">
        <v>6460</v>
      </c>
      <c r="F4907" s="68">
        <v>5503</v>
      </c>
      <c r="G4907" s="68">
        <v>11963</v>
      </c>
    </row>
    <row r="4908" spans="1:7" x14ac:dyDescent="0.3">
      <c r="A4908" t="s">
        <v>1224</v>
      </c>
      <c r="B4908" t="s">
        <v>30</v>
      </c>
      <c r="C4908" t="s">
        <v>24</v>
      </c>
      <c r="D4908" t="s">
        <v>14</v>
      </c>
      <c r="E4908" s="68">
        <v>5890</v>
      </c>
      <c r="F4908" s="68">
        <v>5409</v>
      </c>
      <c r="G4908" s="68">
        <v>11299</v>
      </c>
    </row>
    <row r="4909" spans="1:7" x14ac:dyDescent="0.3">
      <c r="A4909" t="s">
        <v>1224</v>
      </c>
      <c r="B4909" t="s">
        <v>30</v>
      </c>
      <c r="C4909" t="s">
        <v>24</v>
      </c>
      <c r="D4909" t="s">
        <v>15</v>
      </c>
      <c r="E4909" s="68">
        <v>5340</v>
      </c>
      <c r="F4909" s="68">
        <v>5107</v>
      </c>
      <c r="G4909" s="68">
        <v>10447</v>
      </c>
    </row>
    <row r="4910" spans="1:7" x14ac:dyDescent="0.3">
      <c r="A4910" t="s">
        <v>1224</v>
      </c>
      <c r="B4910" t="s">
        <v>30</v>
      </c>
      <c r="C4910" t="s">
        <v>24</v>
      </c>
      <c r="D4910" t="s">
        <v>16</v>
      </c>
      <c r="E4910" s="68">
        <v>4676</v>
      </c>
      <c r="F4910" s="68">
        <v>4402</v>
      </c>
      <c r="G4910" s="68">
        <v>9078</v>
      </c>
    </row>
    <row r="4911" spans="1:7" x14ac:dyDescent="0.3">
      <c r="A4911" t="s">
        <v>1224</v>
      </c>
      <c r="B4911" t="s">
        <v>30</v>
      </c>
      <c r="C4911" t="s">
        <v>24</v>
      </c>
      <c r="D4911" t="s">
        <v>17</v>
      </c>
      <c r="E4911" s="68">
        <v>3882</v>
      </c>
      <c r="F4911" s="68">
        <v>3872</v>
      </c>
      <c r="G4911" s="68">
        <v>7754</v>
      </c>
    </row>
    <row r="4912" spans="1:7" x14ac:dyDescent="0.3">
      <c r="A4912" t="s">
        <v>1224</v>
      </c>
      <c r="B4912" t="s">
        <v>30</v>
      </c>
      <c r="C4912" t="s">
        <v>24</v>
      </c>
      <c r="D4912" t="s">
        <v>18</v>
      </c>
      <c r="E4912" s="68">
        <v>3595</v>
      </c>
      <c r="F4912" s="68">
        <v>3446</v>
      </c>
      <c r="G4912" s="68">
        <v>7041</v>
      </c>
    </row>
    <row r="4913" spans="1:7" x14ac:dyDescent="0.3">
      <c r="A4913" t="s">
        <v>1224</v>
      </c>
      <c r="B4913" t="s">
        <v>30</v>
      </c>
      <c r="C4913" t="s">
        <v>24</v>
      </c>
      <c r="D4913" t="s">
        <v>19</v>
      </c>
      <c r="E4913" s="68">
        <v>3310</v>
      </c>
      <c r="F4913" s="68">
        <v>3064</v>
      </c>
      <c r="G4913" s="68">
        <v>6374</v>
      </c>
    </row>
    <row r="4914" spans="1:7" x14ac:dyDescent="0.3">
      <c r="A4914" t="s">
        <v>1224</v>
      </c>
      <c r="B4914" t="s">
        <v>30</v>
      </c>
      <c r="C4914" t="s">
        <v>24</v>
      </c>
      <c r="D4914" t="s">
        <v>20</v>
      </c>
      <c r="E4914" s="68">
        <v>2731</v>
      </c>
      <c r="F4914" s="68">
        <v>2546</v>
      </c>
      <c r="G4914" s="68">
        <v>5277</v>
      </c>
    </row>
    <row r="4915" spans="1:7" x14ac:dyDescent="0.3">
      <c r="A4915" t="s">
        <v>1224</v>
      </c>
      <c r="B4915" t="s">
        <v>30</v>
      </c>
      <c r="C4915" t="s">
        <v>24</v>
      </c>
      <c r="D4915" t="s">
        <v>21</v>
      </c>
      <c r="E4915" s="68">
        <v>1985</v>
      </c>
      <c r="F4915" s="68">
        <v>1858</v>
      </c>
      <c r="G4915" s="68">
        <v>3843</v>
      </c>
    </row>
    <row r="4916" spans="1:7" x14ac:dyDescent="0.3">
      <c r="A4916" t="s">
        <v>1224</v>
      </c>
      <c r="B4916" t="s">
        <v>30</v>
      </c>
      <c r="C4916" t="s">
        <v>24</v>
      </c>
      <c r="D4916" t="s">
        <v>22</v>
      </c>
      <c r="E4916" s="68">
        <v>1449</v>
      </c>
      <c r="F4916" s="68">
        <v>1288</v>
      </c>
      <c r="G4916" s="68">
        <v>2737</v>
      </c>
    </row>
    <row r="4917" spans="1:7" x14ac:dyDescent="0.3">
      <c r="A4917" t="s">
        <v>1224</v>
      </c>
      <c r="B4917" t="s">
        <v>30</v>
      </c>
      <c r="C4917" t="s">
        <v>24</v>
      </c>
      <c r="D4917" t="s">
        <v>23</v>
      </c>
      <c r="E4917" s="68">
        <v>2225</v>
      </c>
      <c r="F4917" s="68">
        <v>1823</v>
      </c>
      <c r="G4917" s="68">
        <v>4048</v>
      </c>
    </row>
    <row r="4918" spans="1:7" x14ac:dyDescent="0.3">
      <c r="A4918" t="s">
        <v>1224</v>
      </c>
      <c r="B4918" t="s">
        <v>31</v>
      </c>
      <c r="C4918" t="s">
        <v>24</v>
      </c>
      <c r="D4918" t="s">
        <v>7</v>
      </c>
      <c r="E4918" s="68"/>
      <c r="F4918" s="68">
        <v>1</v>
      </c>
      <c r="G4918" s="68">
        <v>1</v>
      </c>
    </row>
    <row r="4919" spans="1:7" x14ac:dyDescent="0.3">
      <c r="A4919" t="s">
        <v>1224</v>
      </c>
      <c r="B4919" t="s">
        <v>537</v>
      </c>
      <c r="C4919" t="s">
        <v>6</v>
      </c>
      <c r="D4919" t="s">
        <v>7</v>
      </c>
      <c r="E4919" s="68">
        <v>272</v>
      </c>
      <c r="F4919" s="68">
        <v>261</v>
      </c>
      <c r="G4919" s="68">
        <v>533</v>
      </c>
    </row>
    <row r="4920" spans="1:7" x14ac:dyDescent="0.3">
      <c r="A4920" t="s">
        <v>1224</v>
      </c>
      <c r="B4920" t="s">
        <v>537</v>
      </c>
      <c r="C4920" t="s">
        <v>6</v>
      </c>
      <c r="D4920" t="s">
        <v>8</v>
      </c>
      <c r="E4920" s="68">
        <v>177</v>
      </c>
      <c r="F4920" s="68">
        <v>201</v>
      </c>
      <c r="G4920" s="68">
        <v>378</v>
      </c>
    </row>
    <row r="4921" spans="1:7" x14ac:dyDescent="0.3">
      <c r="A4921" t="s">
        <v>1224</v>
      </c>
      <c r="B4921" t="s">
        <v>537</v>
      </c>
      <c r="C4921" t="s">
        <v>6</v>
      </c>
      <c r="D4921" t="s">
        <v>9</v>
      </c>
      <c r="E4921" s="68">
        <v>58</v>
      </c>
      <c r="F4921" s="68">
        <v>78</v>
      </c>
      <c r="G4921" s="68">
        <v>136</v>
      </c>
    </row>
    <row r="4922" spans="1:7" x14ac:dyDescent="0.3">
      <c r="A4922" t="s">
        <v>1224</v>
      </c>
      <c r="B4922" t="s">
        <v>537</v>
      </c>
      <c r="C4922" t="s">
        <v>6</v>
      </c>
      <c r="D4922" t="s">
        <v>10</v>
      </c>
      <c r="E4922" s="68">
        <v>108</v>
      </c>
      <c r="F4922" s="68">
        <v>117</v>
      </c>
      <c r="G4922" s="68">
        <v>225</v>
      </c>
    </row>
    <row r="4923" spans="1:7" x14ac:dyDescent="0.3">
      <c r="A4923" t="s">
        <v>1224</v>
      </c>
      <c r="B4923" t="s">
        <v>537</v>
      </c>
      <c r="C4923" t="s">
        <v>6</v>
      </c>
      <c r="D4923" t="s">
        <v>11</v>
      </c>
      <c r="E4923" s="68">
        <v>531</v>
      </c>
      <c r="F4923" s="68">
        <v>498</v>
      </c>
      <c r="G4923" s="68">
        <v>1029</v>
      </c>
    </row>
    <row r="4924" spans="1:7" x14ac:dyDescent="0.3">
      <c r="A4924" t="s">
        <v>1224</v>
      </c>
      <c r="B4924" t="s">
        <v>537</v>
      </c>
      <c r="C4924" t="s">
        <v>6</v>
      </c>
      <c r="D4924" t="s">
        <v>12</v>
      </c>
      <c r="E4924" s="68">
        <v>718</v>
      </c>
      <c r="F4924" s="68">
        <v>689</v>
      </c>
      <c r="G4924" s="68">
        <v>1407</v>
      </c>
    </row>
    <row r="4925" spans="1:7" x14ac:dyDescent="0.3">
      <c r="A4925" t="s">
        <v>1224</v>
      </c>
      <c r="B4925" t="s">
        <v>537</v>
      </c>
      <c r="C4925" t="s">
        <v>6</v>
      </c>
      <c r="D4925" t="s">
        <v>13</v>
      </c>
      <c r="E4925" s="68">
        <v>582</v>
      </c>
      <c r="F4925" s="68">
        <v>502</v>
      </c>
      <c r="G4925" s="68">
        <v>1084</v>
      </c>
    </row>
    <row r="4926" spans="1:7" x14ac:dyDescent="0.3">
      <c r="A4926" t="s">
        <v>1224</v>
      </c>
      <c r="B4926" t="s">
        <v>537</v>
      </c>
      <c r="C4926" t="s">
        <v>6</v>
      </c>
      <c r="D4926" t="s">
        <v>14</v>
      </c>
      <c r="E4926" s="68">
        <v>421</v>
      </c>
      <c r="F4926" s="68">
        <v>357</v>
      </c>
      <c r="G4926" s="68">
        <v>778</v>
      </c>
    </row>
    <row r="4927" spans="1:7" x14ac:dyDescent="0.3">
      <c r="A4927" t="s">
        <v>1224</v>
      </c>
      <c r="B4927" t="s">
        <v>537</v>
      </c>
      <c r="C4927" t="s">
        <v>6</v>
      </c>
      <c r="D4927" t="s">
        <v>15</v>
      </c>
      <c r="E4927" s="68">
        <v>263</v>
      </c>
      <c r="F4927" s="68">
        <v>279</v>
      </c>
      <c r="G4927" s="68">
        <v>542</v>
      </c>
    </row>
    <row r="4928" spans="1:7" x14ac:dyDescent="0.3">
      <c r="A4928" t="s">
        <v>1224</v>
      </c>
      <c r="B4928" t="s">
        <v>537</v>
      </c>
      <c r="C4928" t="s">
        <v>6</v>
      </c>
      <c r="D4928" t="s">
        <v>16</v>
      </c>
      <c r="E4928" s="68">
        <v>198</v>
      </c>
      <c r="F4928" s="68">
        <v>191</v>
      </c>
      <c r="G4928" s="68">
        <v>389</v>
      </c>
    </row>
    <row r="4929" spans="1:7" x14ac:dyDescent="0.3">
      <c r="A4929" t="s">
        <v>1224</v>
      </c>
      <c r="B4929" t="s">
        <v>537</v>
      </c>
      <c r="C4929" t="s">
        <v>6</v>
      </c>
      <c r="D4929" t="s">
        <v>17</v>
      </c>
      <c r="E4929" s="68">
        <v>98</v>
      </c>
      <c r="F4929" s="68">
        <v>114</v>
      </c>
      <c r="G4929" s="68">
        <v>212</v>
      </c>
    </row>
    <row r="4930" spans="1:7" x14ac:dyDescent="0.3">
      <c r="A4930" t="s">
        <v>1224</v>
      </c>
      <c r="B4930" t="s">
        <v>537</v>
      </c>
      <c r="C4930" t="s">
        <v>6</v>
      </c>
      <c r="D4930" t="s">
        <v>18</v>
      </c>
      <c r="E4930" s="68">
        <v>72</v>
      </c>
      <c r="F4930" s="68">
        <v>80</v>
      </c>
      <c r="G4930" s="68">
        <v>152</v>
      </c>
    </row>
    <row r="4931" spans="1:7" x14ac:dyDescent="0.3">
      <c r="A4931" t="s">
        <v>1224</v>
      </c>
      <c r="B4931" t="s">
        <v>537</v>
      </c>
      <c r="C4931" t="s">
        <v>6</v>
      </c>
      <c r="D4931" t="s">
        <v>19</v>
      </c>
      <c r="E4931" s="68">
        <v>27</v>
      </c>
      <c r="F4931" s="68">
        <v>60</v>
      </c>
      <c r="G4931" s="68">
        <v>87</v>
      </c>
    </row>
    <row r="4932" spans="1:7" x14ac:dyDescent="0.3">
      <c r="A4932" t="s">
        <v>1224</v>
      </c>
      <c r="B4932" t="s">
        <v>537</v>
      </c>
      <c r="C4932" t="s">
        <v>6</v>
      </c>
      <c r="D4932" t="s">
        <v>20</v>
      </c>
      <c r="E4932" s="68">
        <v>20</v>
      </c>
      <c r="F4932" s="68">
        <v>42</v>
      </c>
      <c r="G4932" s="68">
        <v>62</v>
      </c>
    </row>
    <row r="4933" spans="1:7" x14ac:dyDescent="0.3">
      <c r="A4933" t="s">
        <v>1224</v>
      </c>
      <c r="B4933" t="s">
        <v>537</v>
      </c>
      <c r="C4933" t="s">
        <v>6</v>
      </c>
      <c r="D4933" t="s">
        <v>21</v>
      </c>
      <c r="E4933" s="68">
        <v>8</v>
      </c>
      <c r="F4933" s="68">
        <v>10</v>
      </c>
      <c r="G4933" s="68">
        <v>18</v>
      </c>
    </row>
    <row r="4934" spans="1:7" x14ac:dyDescent="0.3">
      <c r="A4934" t="s">
        <v>1224</v>
      </c>
      <c r="B4934" t="s">
        <v>537</v>
      </c>
      <c r="C4934" t="s">
        <v>6</v>
      </c>
      <c r="D4934" t="s">
        <v>22</v>
      </c>
      <c r="E4934" s="68">
        <v>5</v>
      </c>
      <c r="F4934" s="68">
        <v>5</v>
      </c>
      <c r="G4934" s="68">
        <v>10</v>
      </c>
    </row>
    <row r="4935" spans="1:7" x14ac:dyDescent="0.3">
      <c r="A4935" t="s">
        <v>1224</v>
      </c>
      <c r="B4935" t="s">
        <v>537</v>
      </c>
      <c r="C4935" t="s">
        <v>6</v>
      </c>
      <c r="D4935" t="s">
        <v>23</v>
      </c>
      <c r="E4935" s="68">
        <v>2</v>
      </c>
      <c r="F4935" s="68">
        <v>6</v>
      </c>
      <c r="G4935" s="68">
        <v>8</v>
      </c>
    </row>
    <row r="4936" spans="1:7" x14ac:dyDescent="0.3">
      <c r="A4936" t="s">
        <v>1224</v>
      </c>
      <c r="B4936" t="s">
        <v>537</v>
      </c>
      <c r="C4936" t="s">
        <v>24</v>
      </c>
      <c r="D4936" t="s">
        <v>7</v>
      </c>
      <c r="E4936" s="68">
        <v>11009</v>
      </c>
      <c r="F4936" s="68">
        <v>11574</v>
      </c>
      <c r="G4936" s="68">
        <v>22583</v>
      </c>
    </row>
    <row r="4937" spans="1:7" x14ac:dyDescent="0.3">
      <c r="A4937" t="s">
        <v>1224</v>
      </c>
      <c r="B4937" t="s">
        <v>537</v>
      </c>
      <c r="C4937" t="s">
        <v>24</v>
      </c>
      <c r="D4937" t="s">
        <v>8</v>
      </c>
      <c r="E4937" s="68">
        <v>13632</v>
      </c>
      <c r="F4937" s="68">
        <v>14313</v>
      </c>
      <c r="G4937" s="68">
        <v>27945</v>
      </c>
    </row>
    <row r="4938" spans="1:7" x14ac:dyDescent="0.3">
      <c r="A4938" t="s">
        <v>1224</v>
      </c>
      <c r="B4938" t="s">
        <v>537</v>
      </c>
      <c r="C4938" t="s">
        <v>24</v>
      </c>
      <c r="D4938" t="s">
        <v>9</v>
      </c>
      <c r="E4938" s="68">
        <v>13383</v>
      </c>
      <c r="F4938" s="68">
        <v>13611</v>
      </c>
      <c r="G4938" s="68">
        <v>26994</v>
      </c>
    </row>
    <row r="4939" spans="1:7" x14ac:dyDescent="0.3">
      <c r="A4939" t="s">
        <v>1224</v>
      </c>
      <c r="B4939" t="s">
        <v>537</v>
      </c>
      <c r="C4939" t="s">
        <v>24</v>
      </c>
      <c r="D4939" t="s">
        <v>10</v>
      </c>
      <c r="E4939" s="68">
        <v>10439</v>
      </c>
      <c r="F4939" s="68">
        <v>10063</v>
      </c>
      <c r="G4939" s="68">
        <v>20502</v>
      </c>
    </row>
    <row r="4940" spans="1:7" x14ac:dyDescent="0.3">
      <c r="A4940" t="s">
        <v>1224</v>
      </c>
      <c r="B4940" t="s">
        <v>537</v>
      </c>
      <c r="C4940" t="s">
        <v>24</v>
      </c>
      <c r="D4940" t="s">
        <v>11</v>
      </c>
      <c r="E4940" s="68">
        <v>8116</v>
      </c>
      <c r="F4940" s="68">
        <v>5365</v>
      </c>
      <c r="G4940" s="68">
        <v>13481</v>
      </c>
    </row>
    <row r="4941" spans="1:7" x14ac:dyDescent="0.3">
      <c r="A4941" t="s">
        <v>1224</v>
      </c>
      <c r="B4941" t="s">
        <v>537</v>
      </c>
      <c r="C4941" t="s">
        <v>24</v>
      </c>
      <c r="D4941" t="s">
        <v>12</v>
      </c>
      <c r="E4941" s="68">
        <v>7225</v>
      </c>
      <c r="F4941" s="68">
        <v>4745</v>
      </c>
      <c r="G4941" s="68">
        <v>11970</v>
      </c>
    </row>
    <row r="4942" spans="1:7" x14ac:dyDescent="0.3">
      <c r="A4942" t="s">
        <v>1224</v>
      </c>
      <c r="B4942" t="s">
        <v>537</v>
      </c>
      <c r="C4942" t="s">
        <v>24</v>
      </c>
      <c r="D4942" t="s">
        <v>13</v>
      </c>
      <c r="E4942" s="68">
        <v>6115</v>
      </c>
      <c r="F4942" s="68">
        <v>4564</v>
      </c>
      <c r="G4942" s="68">
        <v>10679</v>
      </c>
    </row>
    <row r="4943" spans="1:7" x14ac:dyDescent="0.3">
      <c r="A4943" t="s">
        <v>1224</v>
      </c>
      <c r="B4943" t="s">
        <v>537</v>
      </c>
      <c r="C4943" t="s">
        <v>24</v>
      </c>
      <c r="D4943" t="s">
        <v>14</v>
      </c>
      <c r="E4943" s="68">
        <v>5466</v>
      </c>
      <c r="F4943" s="68">
        <v>4082</v>
      </c>
      <c r="G4943" s="68">
        <v>9548</v>
      </c>
    </row>
    <row r="4944" spans="1:7" x14ac:dyDescent="0.3">
      <c r="A4944" t="s">
        <v>1224</v>
      </c>
      <c r="B4944" t="s">
        <v>537</v>
      </c>
      <c r="C4944" t="s">
        <v>24</v>
      </c>
      <c r="D4944" t="s">
        <v>15</v>
      </c>
      <c r="E4944" s="68">
        <v>4950</v>
      </c>
      <c r="F4944" s="68">
        <v>3862</v>
      </c>
      <c r="G4944" s="68">
        <v>8812</v>
      </c>
    </row>
    <row r="4945" spans="1:7" x14ac:dyDescent="0.3">
      <c r="A4945" t="s">
        <v>1224</v>
      </c>
      <c r="B4945" t="s">
        <v>537</v>
      </c>
      <c r="C4945" t="s">
        <v>24</v>
      </c>
      <c r="D4945" t="s">
        <v>16</v>
      </c>
      <c r="E4945" s="68">
        <v>4367</v>
      </c>
      <c r="F4945" s="68">
        <v>3370</v>
      </c>
      <c r="G4945" s="68">
        <v>7737</v>
      </c>
    </row>
    <row r="4946" spans="1:7" x14ac:dyDescent="0.3">
      <c r="A4946" t="s">
        <v>1224</v>
      </c>
      <c r="B4946" t="s">
        <v>537</v>
      </c>
      <c r="C4946" t="s">
        <v>24</v>
      </c>
      <c r="D4946" t="s">
        <v>17</v>
      </c>
      <c r="E4946" s="68">
        <v>3407</v>
      </c>
      <c r="F4946" s="68">
        <v>2759</v>
      </c>
      <c r="G4946" s="68">
        <v>6166</v>
      </c>
    </row>
    <row r="4947" spans="1:7" x14ac:dyDescent="0.3">
      <c r="A4947" t="s">
        <v>1224</v>
      </c>
      <c r="B4947" t="s">
        <v>537</v>
      </c>
      <c r="C4947" t="s">
        <v>24</v>
      </c>
      <c r="D4947" t="s">
        <v>18</v>
      </c>
      <c r="E4947" s="68">
        <v>2805</v>
      </c>
      <c r="F4947" s="68">
        <v>2460</v>
      </c>
      <c r="G4947" s="68">
        <v>5265</v>
      </c>
    </row>
    <row r="4948" spans="1:7" x14ac:dyDescent="0.3">
      <c r="A4948" t="s">
        <v>1224</v>
      </c>
      <c r="B4948" t="s">
        <v>537</v>
      </c>
      <c r="C4948" t="s">
        <v>24</v>
      </c>
      <c r="D4948" t="s">
        <v>19</v>
      </c>
      <c r="E4948" s="68">
        <v>2801</v>
      </c>
      <c r="F4948" s="68">
        <v>2171</v>
      </c>
      <c r="G4948" s="68">
        <v>4972</v>
      </c>
    </row>
    <row r="4949" spans="1:7" x14ac:dyDescent="0.3">
      <c r="A4949" t="s">
        <v>1224</v>
      </c>
      <c r="B4949" t="s">
        <v>537</v>
      </c>
      <c r="C4949" t="s">
        <v>24</v>
      </c>
      <c r="D4949" t="s">
        <v>20</v>
      </c>
      <c r="E4949" s="68">
        <v>2152</v>
      </c>
      <c r="F4949" s="68">
        <v>1915</v>
      </c>
      <c r="G4949" s="68">
        <v>4067</v>
      </c>
    </row>
    <row r="4950" spans="1:7" x14ac:dyDescent="0.3">
      <c r="A4950" t="s">
        <v>1224</v>
      </c>
      <c r="B4950" t="s">
        <v>537</v>
      </c>
      <c r="C4950" t="s">
        <v>24</v>
      </c>
      <c r="D4950" t="s">
        <v>21</v>
      </c>
      <c r="E4950" s="68">
        <v>1273</v>
      </c>
      <c r="F4950" s="68">
        <v>1269</v>
      </c>
      <c r="G4950" s="68">
        <v>2542</v>
      </c>
    </row>
    <row r="4951" spans="1:7" x14ac:dyDescent="0.3">
      <c r="A4951" t="s">
        <v>1224</v>
      </c>
      <c r="B4951" t="s">
        <v>537</v>
      </c>
      <c r="C4951" t="s">
        <v>24</v>
      </c>
      <c r="D4951" t="s">
        <v>22</v>
      </c>
      <c r="E4951" s="68">
        <v>1266</v>
      </c>
      <c r="F4951" s="68">
        <v>988</v>
      </c>
      <c r="G4951" s="68">
        <v>2254</v>
      </c>
    </row>
    <row r="4952" spans="1:7" x14ac:dyDescent="0.3">
      <c r="A4952" t="s">
        <v>1224</v>
      </c>
      <c r="B4952" t="s">
        <v>537</v>
      </c>
      <c r="C4952" t="s">
        <v>24</v>
      </c>
      <c r="D4952" t="s">
        <v>23</v>
      </c>
      <c r="E4952" s="68">
        <v>1803</v>
      </c>
      <c r="F4952" s="68">
        <v>1345</v>
      </c>
      <c r="G4952" s="68">
        <v>3148</v>
      </c>
    </row>
    <row r="4953" spans="1:7" x14ac:dyDescent="0.3">
      <c r="A4953" t="s">
        <v>1224</v>
      </c>
      <c r="B4953" t="s">
        <v>32</v>
      </c>
      <c r="C4953" t="s">
        <v>6</v>
      </c>
      <c r="D4953" t="s">
        <v>7</v>
      </c>
      <c r="E4953" s="68">
        <v>48</v>
      </c>
      <c r="F4953" s="68">
        <v>58</v>
      </c>
      <c r="G4953" s="68">
        <v>106</v>
      </c>
    </row>
    <row r="4954" spans="1:7" x14ac:dyDescent="0.3">
      <c r="A4954" t="s">
        <v>1224</v>
      </c>
      <c r="B4954" t="s">
        <v>32</v>
      </c>
      <c r="C4954" t="s">
        <v>6</v>
      </c>
      <c r="D4954" t="s">
        <v>8</v>
      </c>
      <c r="E4954" s="68">
        <v>7</v>
      </c>
      <c r="F4954" s="68">
        <v>12</v>
      </c>
      <c r="G4954" s="68">
        <v>19</v>
      </c>
    </row>
    <row r="4955" spans="1:7" x14ac:dyDescent="0.3">
      <c r="A4955" t="s">
        <v>1224</v>
      </c>
      <c r="B4955" t="s">
        <v>32</v>
      </c>
      <c r="C4955" t="s">
        <v>6</v>
      </c>
      <c r="D4955" t="s">
        <v>9</v>
      </c>
      <c r="E4955" s="68">
        <v>11</v>
      </c>
      <c r="F4955" s="68">
        <v>6</v>
      </c>
      <c r="G4955" s="68">
        <v>17</v>
      </c>
    </row>
    <row r="4956" spans="1:7" x14ac:dyDescent="0.3">
      <c r="A4956" t="s">
        <v>1224</v>
      </c>
      <c r="B4956" t="s">
        <v>32</v>
      </c>
      <c r="C4956" t="s">
        <v>6</v>
      </c>
      <c r="D4956" t="s">
        <v>10</v>
      </c>
      <c r="E4956" s="68">
        <v>58</v>
      </c>
      <c r="F4956" s="68">
        <v>74</v>
      </c>
      <c r="G4956" s="68">
        <v>132</v>
      </c>
    </row>
    <row r="4957" spans="1:7" x14ac:dyDescent="0.3">
      <c r="A4957" t="s">
        <v>1224</v>
      </c>
      <c r="B4957" t="s">
        <v>32</v>
      </c>
      <c r="C4957" t="s">
        <v>6</v>
      </c>
      <c r="D4957" t="s">
        <v>11</v>
      </c>
      <c r="E4957" s="68">
        <v>401</v>
      </c>
      <c r="F4957" s="68">
        <v>385</v>
      </c>
      <c r="G4957" s="68">
        <v>786</v>
      </c>
    </row>
    <row r="4958" spans="1:7" x14ac:dyDescent="0.3">
      <c r="A4958" t="s">
        <v>1224</v>
      </c>
      <c r="B4958" t="s">
        <v>32</v>
      </c>
      <c r="C4958" t="s">
        <v>6</v>
      </c>
      <c r="D4958" t="s">
        <v>12</v>
      </c>
      <c r="E4958" s="68">
        <v>475</v>
      </c>
      <c r="F4958" s="68">
        <v>456</v>
      </c>
      <c r="G4958" s="68">
        <v>931</v>
      </c>
    </row>
    <row r="4959" spans="1:7" x14ac:dyDescent="0.3">
      <c r="A4959" t="s">
        <v>1224</v>
      </c>
      <c r="B4959" t="s">
        <v>32</v>
      </c>
      <c r="C4959" t="s">
        <v>6</v>
      </c>
      <c r="D4959" t="s">
        <v>13</v>
      </c>
      <c r="E4959" s="68">
        <v>373</v>
      </c>
      <c r="F4959" s="68">
        <v>311</v>
      </c>
      <c r="G4959" s="68">
        <v>684</v>
      </c>
    </row>
    <row r="4960" spans="1:7" x14ac:dyDescent="0.3">
      <c r="A4960" t="s">
        <v>1224</v>
      </c>
      <c r="B4960" t="s">
        <v>32</v>
      </c>
      <c r="C4960" t="s">
        <v>6</v>
      </c>
      <c r="D4960" t="s">
        <v>14</v>
      </c>
      <c r="E4960" s="68">
        <v>223</v>
      </c>
      <c r="F4960" s="68">
        <v>219</v>
      </c>
      <c r="G4960" s="68">
        <v>442</v>
      </c>
    </row>
    <row r="4961" spans="1:7" x14ac:dyDescent="0.3">
      <c r="A4961" t="s">
        <v>1224</v>
      </c>
      <c r="B4961" t="s">
        <v>32</v>
      </c>
      <c r="C4961" t="s">
        <v>6</v>
      </c>
      <c r="D4961" t="s">
        <v>15</v>
      </c>
      <c r="E4961" s="68">
        <v>187</v>
      </c>
      <c r="F4961" s="68">
        <v>180</v>
      </c>
      <c r="G4961" s="68">
        <v>367</v>
      </c>
    </row>
    <row r="4962" spans="1:7" x14ac:dyDescent="0.3">
      <c r="A4962" t="s">
        <v>1224</v>
      </c>
      <c r="B4962" t="s">
        <v>32</v>
      </c>
      <c r="C4962" t="s">
        <v>6</v>
      </c>
      <c r="D4962" t="s">
        <v>16</v>
      </c>
      <c r="E4962" s="68">
        <v>95</v>
      </c>
      <c r="F4962" s="68">
        <v>140</v>
      </c>
      <c r="G4962" s="68">
        <v>235</v>
      </c>
    </row>
    <row r="4963" spans="1:7" x14ac:dyDescent="0.3">
      <c r="A4963" t="s">
        <v>1224</v>
      </c>
      <c r="B4963" t="s">
        <v>32</v>
      </c>
      <c r="C4963" t="s">
        <v>6</v>
      </c>
      <c r="D4963" t="s">
        <v>17</v>
      </c>
      <c r="E4963" s="68">
        <v>63</v>
      </c>
      <c r="F4963" s="68">
        <v>83</v>
      </c>
      <c r="G4963" s="68">
        <v>146</v>
      </c>
    </row>
    <row r="4964" spans="1:7" x14ac:dyDescent="0.3">
      <c r="A4964" t="s">
        <v>1224</v>
      </c>
      <c r="B4964" t="s">
        <v>32</v>
      </c>
      <c r="C4964" t="s">
        <v>6</v>
      </c>
      <c r="D4964" t="s">
        <v>18</v>
      </c>
      <c r="E4964" s="68">
        <v>43</v>
      </c>
      <c r="F4964" s="68">
        <v>50</v>
      </c>
      <c r="G4964" s="68">
        <v>93</v>
      </c>
    </row>
    <row r="4965" spans="1:7" x14ac:dyDescent="0.3">
      <c r="A4965" t="s">
        <v>1224</v>
      </c>
      <c r="B4965" t="s">
        <v>32</v>
      </c>
      <c r="C4965" t="s">
        <v>6</v>
      </c>
      <c r="D4965" t="s">
        <v>19</v>
      </c>
      <c r="E4965" s="68">
        <v>20</v>
      </c>
      <c r="F4965" s="68">
        <v>35</v>
      </c>
      <c r="G4965" s="68">
        <v>55</v>
      </c>
    </row>
    <row r="4966" spans="1:7" x14ac:dyDescent="0.3">
      <c r="A4966" t="s">
        <v>1224</v>
      </c>
      <c r="B4966" t="s">
        <v>32</v>
      </c>
      <c r="C4966" t="s">
        <v>6</v>
      </c>
      <c r="D4966" t="s">
        <v>20</v>
      </c>
      <c r="E4966" s="68">
        <v>10</v>
      </c>
      <c r="F4966" s="68">
        <v>16</v>
      </c>
      <c r="G4966" s="68">
        <v>26</v>
      </c>
    </row>
    <row r="4967" spans="1:7" x14ac:dyDescent="0.3">
      <c r="A4967" t="s">
        <v>1224</v>
      </c>
      <c r="B4967" t="s">
        <v>32</v>
      </c>
      <c r="C4967" t="s">
        <v>6</v>
      </c>
      <c r="D4967" t="s">
        <v>21</v>
      </c>
      <c r="E4967" s="68">
        <v>3</v>
      </c>
      <c r="F4967" s="68">
        <v>7</v>
      </c>
      <c r="G4967" s="68">
        <v>10</v>
      </c>
    </row>
    <row r="4968" spans="1:7" x14ac:dyDescent="0.3">
      <c r="A4968" t="s">
        <v>1224</v>
      </c>
      <c r="B4968" t="s">
        <v>32</v>
      </c>
      <c r="C4968" t="s">
        <v>6</v>
      </c>
      <c r="D4968" t="s">
        <v>22</v>
      </c>
      <c r="E4968" s="68">
        <v>3</v>
      </c>
      <c r="F4968" s="68"/>
      <c r="G4968" s="68">
        <v>3</v>
      </c>
    </row>
    <row r="4969" spans="1:7" x14ac:dyDescent="0.3">
      <c r="A4969" t="s">
        <v>1224</v>
      </c>
      <c r="B4969" t="s">
        <v>32</v>
      </c>
      <c r="C4969" t="s">
        <v>6</v>
      </c>
      <c r="D4969" t="s">
        <v>23</v>
      </c>
      <c r="E4969" s="68">
        <v>2</v>
      </c>
      <c r="F4969" s="68">
        <v>2</v>
      </c>
      <c r="G4969" s="68">
        <v>4</v>
      </c>
    </row>
    <row r="4970" spans="1:7" x14ac:dyDescent="0.3">
      <c r="A4970" t="s">
        <v>1224</v>
      </c>
      <c r="B4970" t="s">
        <v>32</v>
      </c>
      <c r="C4970" t="s">
        <v>24</v>
      </c>
      <c r="D4970" t="s">
        <v>7</v>
      </c>
      <c r="E4970" s="68">
        <v>6048</v>
      </c>
      <c r="F4970" s="68">
        <v>6230</v>
      </c>
      <c r="G4970" s="68">
        <v>12278</v>
      </c>
    </row>
    <row r="4971" spans="1:7" x14ac:dyDescent="0.3">
      <c r="A4971" t="s">
        <v>1224</v>
      </c>
      <c r="B4971" t="s">
        <v>32</v>
      </c>
      <c r="C4971" t="s">
        <v>24</v>
      </c>
      <c r="D4971" t="s">
        <v>8</v>
      </c>
      <c r="E4971" s="68">
        <v>9553</v>
      </c>
      <c r="F4971" s="68">
        <v>9766</v>
      </c>
      <c r="G4971" s="68">
        <v>19319</v>
      </c>
    </row>
    <row r="4972" spans="1:7" x14ac:dyDescent="0.3">
      <c r="A4972" t="s">
        <v>1224</v>
      </c>
      <c r="B4972" t="s">
        <v>32</v>
      </c>
      <c r="C4972" t="s">
        <v>24</v>
      </c>
      <c r="D4972" t="s">
        <v>9</v>
      </c>
      <c r="E4972" s="68">
        <v>9291</v>
      </c>
      <c r="F4972" s="68">
        <v>9534</v>
      </c>
      <c r="G4972" s="68">
        <v>18825</v>
      </c>
    </row>
    <row r="4973" spans="1:7" x14ac:dyDescent="0.3">
      <c r="A4973" t="s">
        <v>1224</v>
      </c>
      <c r="B4973" t="s">
        <v>32</v>
      </c>
      <c r="C4973" t="s">
        <v>24</v>
      </c>
      <c r="D4973" t="s">
        <v>10</v>
      </c>
      <c r="E4973" s="68">
        <v>9116</v>
      </c>
      <c r="F4973" s="68">
        <v>8931</v>
      </c>
      <c r="G4973" s="68">
        <v>18047</v>
      </c>
    </row>
    <row r="4974" spans="1:7" x14ac:dyDescent="0.3">
      <c r="A4974" t="s">
        <v>1224</v>
      </c>
      <c r="B4974" t="s">
        <v>32</v>
      </c>
      <c r="C4974" t="s">
        <v>24</v>
      </c>
      <c r="D4974" t="s">
        <v>11</v>
      </c>
      <c r="E4974" s="68">
        <v>6460</v>
      </c>
      <c r="F4974" s="68">
        <v>5174</v>
      </c>
      <c r="G4974" s="68">
        <v>11634</v>
      </c>
    </row>
    <row r="4975" spans="1:7" x14ac:dyDescent="0.3">
      <c r="A4975" t="s">
        <v>1224</v>
      </c>
      <c r="B4975" t="s">
        <v>32</v>
      </c>
      <c r="C4975" t="s">
        <v>24</v>
      </c>
      <c r="D4975" t="s">
        <v>12</v>
      </c>
      <c r="E4975" s="68">
        <v>5187</v>
      </c>
      <c r="F4975" s="68">
        <v>4728</v>
      </c>
      <c r="G4975" s="68">
        <v>9915</v>
      </c>
    </row>
    <row r="4976" spans="1:7" x14ac:dyDescent="0.3">
      <c r="A4976" t="s">
        <v>1224</v>
      </c>
      <c r="B4976" t="s">
        <v>32</v>
      </c>
      <c r="C4976" t="s">
        <v>24</v>
      </c>
      <c r="D4976" t="s">
        <v>13</v>
      </c>
      <c r="E4976" s="68">
        <v>4450</v>
      </c>
      <c r="F4976" s="68">
        <v>4264</v>
      </c>
      <c r="G4976" s="68">
        <v>8714</v>
      </c>
    </row>
    <row r="4977" spans="1:7" x14ac:dyDescent="0.3">
      <c r="A4977" t="s">
        <v>1224</v>
      </c>
      <c r="B4977" t="s">
        <v>32</v>
      </c>
      <c r="C4977" t="s">
        <v>24</v>
      </c>
      <c r="D4977" t="s">
        <v>14</v>
      </c>
      <c r="E4977" s="68">
        <v>4229</v>
      </c>
      <c r="F4977" s="68">
        <v>4421</v>
      </c>
      <c r="G4977" s="68">
        <v>8650</v>
      </c>
    </row>
    <row r="4978" spans="1:7" x14ac:dyDescent="0.3">
      <c r="A4978" t="s">
        <v>1224</v>
      </c>
      <c r="B4978" t="s">
        <v>32</v>
      </c>
      <c r="C4978" t="s">
        <v>24</v>
      </c>
      <c r="D4978" t="s">
        <v>15</v>
      </c>
      <c r="E4978" s="68">
        <v>3841</v>
      </c>
      <c r="F4978" s="68">
        <v>4022</v>
      </c>
      <c r="G4978" s="68">
        <v>7863</v>
      </c>
    </row>
    <row r="4979" spans="1:7" x14ac:dyDescent="0.3">
      <c r="A4979" t="s">
        <v>1224</v>
      </c>
      <c r="B4979" t="s">
        <v>32</v>
      </c>
      <c r="C4979" t="s">
        <v>24</v>
      </c>
      <c r="D4979" t="s">
        <v>16</v>
      </c>
      <c r="E4979" s="68">
        <v>3311</v>
      </c>
      <c r="F4979" s="68">
        <v>3240</v>
      </c>
      <c r="G4979" s="68">
        <v>6551</v>
      </c>
    </row>
    <row r="4980" spans="1:7" x14ac:dyDescent="0.3">
      <c r="A4980" t="s">
        <v>1224</v>
      </c>
      <c r="B4980" t="s">
        <v>32</v>
      </c>
      <c r="C4980" t="s">
        <v>24</v>
      </c>
      <c r="D4980" t="s">
        <v>17</v>
      </c>
      <c r="E4980" s="68">
        <v>2680</v>
      </c>
      <c r="F4980" s="68">
        <v>2620</v>
      </c>
      <c r="G4980" s="68">
        <v>5300</v>
      </c>
    </row>
    <row r="4981" spans="1:7" x14ac:dyDescent="0.3">
      <c r="A4981" t="s">
        <v>1224</v>
      </c>
      <c r="B4981" t="s">
        <v>32</v>
      </c>
      <c r="C4981" t="s">
        <v>24</v>
      </c>
      <c r="D4981" t="s">
        <v>18</v>
      </c>
      <c r="E4981" s="68">
        <v>2153</v>
      </c>
      <c r="F4981" s="68">
        <v>2042</v>
      </c>
      <c r="G4981" s="68">
        <v>4195</v>
      </c>
    </row>
    <row r="4982" spans="1:7" x14ac:dyDescent="0.3">
      <c r="A4982" t="s">
        <v>1224</v>
      </c>
      <c r="B4982" t="s">
        <v>32</v>
      </c>
      <c r="C4982" t="s">
        <v>24</v>
      </c>
      <c r="D4982" t="s">
        <v>19</v>
      </c>
      <c r="E4982" s="68">
        <v>1830</v>
      </c>
      <c r="F4982" s="68">
        <v>1741</v>
      </c>
      <c r="G4982" s="68">
        <v>3571</v>
      </c>
    </row>
    <row r="4983" spans="1:7" x14ac:dyDescent="0.3">
      <c r="A4983" t="s">
        <v>1224</v>
      </c>
      <c r="B4983" t="s">
        <v>32</v>
      </c>
      <c r="C4983" t="s">
        <v>24</v>
      </c>
      <c r="D4983" t="s">
        <v>20</v>
      </c>
      <c r="E4983" s="68">
        <v>1453</v>
      </c>
      <c r="F4983" s="68">
        <v>1376</v>
      </c>
      <c r="G4983" s="68">
        <v>2829</v>
      </c>
    </row>
    <row r="4984" spans="1:7" x14ac:dyDescent="0.3">
      <c r="A4984" t="s">
        <v>1224</v>
      </c>
      <c r="B4984" t="s">
        <v>32</v>
      </c>
      <c r="C4984" t="s">
        <v>24</v>
      </c>
      <c r="D4984" t="s">
        <v>21</v>
      </c>
      <c r="E4984" s="68">
        <v>866</v>
      </c>
      <c r="F4984" s="68">
        <v>846</v>
      </c>
      <c r="G4984" s="68">
        <v>1712</v>
      </c>
    </row>
    <row r="4985" spans="1:7" x14ac:dyDescent="0.3">
      <c r="A4985" t="s">
        <v>1224</v>
      </c>
      <c r="B4985" t="s">
        <v>32</v>
      </c>
      <c r="C4985" t="s">
        <v>24</v>
      </c>
      <c r="D4985" t="s">
        <v>22</v>
      </c>
      <c r="E4985" s="68">
        <v>679</v>
      </c>
      <c r="F4985" s="68">
        <v>561</v>
      </c>
      <c r="G4985" s="68">
        <v>1240</v>
      </c>
    </row>
    <row r="4986" spans="1:7" x14ac:dyDescent="0.3">
      <c r="A4986" t="s">
        <v>1224</v>
      </c>
      <c r="B4986" t="s">
        <v>32</v>
      </c>
      <c r="C4986" t="s">
        <v>24</v>
      </c>
      <c r="D4986" t="s">
        <v>23</v>
      </c>
      <c r="E4986" s="68">
        <v>1089</v>
      </c>
      <c r="F4986" s="68">
        <v>873</v>
      </c>
      <c r="G4986" s="68">
        <v>1962</v>
      </c>
    </row>
    <row r="4987" spans="1:7" x14ac:dyDescent="0.3">
      <c r="A4987" t="s">
        <v>1224</v>
      </c>
      <c r="B4987" t="s">
        <v>5</v>
      </c>
      <c r="C4987" t="s">
        <v>6</v>
      </c>
      <c r="D4987" t="s">
        <v>7</v>
      </c>
      <c r="E4987" s="68">
        <v>1997</v>
      </c>
      <c r="F4987" s="68">
        <v>2124</v>
      </c>
      <c r="G4987" s="68">
        <v>4121</v>
      </c>
    </row>
    <row r="4988" spans="1:7" x14ac:dyDescent="0.3">
      <c r="A4988" t="s">
        <v>1224</v>
      </c>
      <c r="B4988" t="s">
        <v>5</v>
      </c>
      <c r="C4988" t="s">
        <v>6</v>
      </c>
      <c r="D4988" t="s">
        <v>8</v>
      </c>
      <c r="E4988" s="68">
        <v>2859</v>
      </c>
      <c r="F4988" s="68">
        <v>2922</v>
      </c>
      <c r="G4988" s="68">
        <v>5781</v>
      </c>
    </row>
    <row r="4989" spans="1:7" x14ac:dyDescent="0.3">
      <c r="A4989" t="s">
        <v>1224</v>
      </c>
      <c r="B4989" t="s">
        <v>5</v>
      </c>
      <c r="C4989" t="s">
        <v>6</v>
      </c>
      <c r="D4989" t="s">
        <v>9</v>
      </c>
      <c r="E4989" s="68">
        <v>2964</v>
      </c>
      <c r="F4989" s="68">
        <v>3210</v>
      </c>
      <c r="G4989" s="68">
        <v>6174</v>
      </c>
    </row>
    <row r="4990" spans="1:7" x14ac:dyDescent="0.3">
      <c r="A4990" t="s">
        <v>1224</v>
      </c>
      <c r="B4990" t="s">
        <v>5</v>
      </c>
      <c r="C4990" t="s">
        <v>6</v>
      </c>
      <c r="D4990" t="s">
        <v>10</v>
      </c>
      <c r="E4990" s="68">
        <v>2626</v>
      </c>
      <c r="F4990" s="68">
        <v>2662</v>
      </c>
      <c r="G4990" s="68">
        <v>5288</v>
      </c>
    </row>
    <row r="4991" spans="1:7" x14ac:dyDescent="0.3">
      <c r="A4991" t="s">
        <v>1224</v>
      </c>
      <c r="B4991" t="s">
        <v>5</v>
      </c>
      <c r="C4991" t="s">
        <v>6</v>
      </c>
      <c r="D4991" t="s">
        <v>11</v>
      </c>
      <c r="E4991" s="68">
        <v>1995</v>
      </c>
      <c r="F4991" s="68">
        <v>2110</v>
      </c>
      <c r="G4991" s="68">
        <v>4105</v>
      </c>
    </row>
    <row r="4992" spans="1:7" x14ac:dyDescent="0.3">
      <c r="A4992" t="s">
        <v>1224</v>
      </c>
      <c r="B4992" t="s">
        <v>5</v>
      </c>
      <c r="C4992" t="s">
        <v>6</v>
      </c>
      <c r="D4992" t="s">
        <v>12</v>
      </c>
      <c r="E4992" s="68">
        <v>2203</v>
      </c>
      <c r="F4992" s="68">
        <v>1995</v>
      </c>
      <c r="G4992" s="68">
        <v>4198</v>
      </c>
    </row>
    <row r="4993" spans="1:7" x14ac:dyDescent="0.3">
      <c r="A4993" t="s">
        <v>1224</v>
      </c>
      <c r="B4993" t="s">
        <v>5</v>
      </c>
      <c r="C4993" t="s">
        <v>6</v>
      </c>
      <c r="D4993" t="s">
        <v>13</v>
      </c>
      <c r="E4993" s="68">
        <v>2958</v>
      </c>
      <c r="F4993" s="68">
        <v>2663</v>
      </c>
      <c r="G4993" s="68">
        <v>5621</v>
      </c>
    </row>
    <row r="4994" spans="1:7" x14ac:dyDescent="0.3">
      <c r="A4994" t="s">
        <v>1224</v>
      </c>
      <c r="B4994" t="s">
        <v>5</v>
      </c>
      <c r="C4994" t="s">
        <v>6</v>
      </c>
      <c r="D4994" t="s">
        <v>14</v>
      </c>
      <c r="E4994" s="68">
        <v>3391</v>
      </c>
      <c r="F4994" s="68">
        <v>3133</v>
      </c>
      <c r="G4994" s="68">
        <v>6524</v>
      </c>
    </row>
    <row r="4995" spans="1:7" x14ac:dyDescent="0.3">
      <c r="A4995" t="s">
        <v>1224</v>
      </c>
      <c r="B4995" t="s">
        <v>5</v>
      </c>
      <c r="C4995" t="s">
        <v>6</v>
      </c>
      <c r="D4995" t="s">
        <v>15</v>
      </c>
      <c r="E4995" s="68">
        <v>3060</v>
      </c>
      <c r="F4995" s="68">
        <v>3344</v>
      </c>
      <c r="G4995" s="68">
        <v>6404</v>
      </c>
    </row>
    <row r="4996" spans="1:7" x14ac:dyDescent="0.3">
      <c r="A4996" t="s">
        <v>1224</v>
      </c>
      <c r="B4996" t="s">
        <v>5</v>
      </c>
      <c r="C4996" t="s">
        <v>6</v>
      </c>
      <c r="D4996" t="s">
        <v>16</v>
      </c>
      <c r="E4996" s="68">
        <v>2501</v>
      </c>
      <c r="F4996" s="68">
        <v>2535</v>
      </c>
      <c r="G4996" s="68">
        <v>5036</v>
      </c>
    </row>
    <row r="4997" spans="1:7" x14ac:dyDescent="0.3">
      <c r="A4997" t="s">
        <v>1224</v>
      </c>
      <c r="B4997" t="s">
        <v>5</v>
      </c>
      <c r="C4997" t="s">
        <v>6</v>
      </c>
      <c r="D4997" t="s">
        <v>17</v>
      </c>
      <c r="E4997" s="68">
        <v>1705</v>
      </c>
      <c r="F4997" s="68">
        <v>1807</v>
      </c>
      <c r="G4997" s="68">
        <v>3512</v>
      </c>
    </row>
    <row r="4998" spans="1:7" x14ac:dyDescent="0.3">
      <c r="A4998" t="s">
        <v>1224</v>
      </c>
      <c r="B4998" t="s">
        <v>5</v>
      </c>
      <c r="C4998" t="s">
        <v>6</v>
      </c>
      <c r="D4998" t="s">
        <v>18</v>
      </c>
      <c r="E4998" s="68">
        <v>1445</v>
      </c>
      <c r="F4998" s="68">
        <v>1494</v>
      </c>
      <c r="G4998" s="68">
        <v>2939</v>
      </c>
    </row>
    <row r="4999" spans="1:7" x14ac:dyDescent="0.3">
      <c r="A4999" t="s">
        <v>1224</v>
      </c>
      <c r="B4999" t="s">
        <v>5</v>
      </c>
      <c r="C4999" t="s">
        <v>6</v>
      </c>
      <c r="D4999" t="s">
        <v>19</v>
      </c>
      <c r="E4999" s="68">
        <v>1133</v>
      </c>
      <c r="F4999" s="68">
        <v>1215</v>
      </c>
      <c r="G4999" s="68">
        <v>2348</v>
      </c>
    </row>
    <row r="5000" spans="1:7" x14ac:dyDescent="0.3">
      <c r="A5000" t="s">
        <v>1224</v>
      </c>
      <c r="B5000" t="s">
        <v>5</v>
      </c>
      <c r="C5000" t="s">
        <v>6</v>
      </c>
      <c r="D5000" t="s">
        <v>20</v>
      </c>
      <c r="E5000" s="68">
        <v>761</v>
      </c>
      <c r="F5000" s="68">
        <v>834</v>
      </c>
      <c r="G5000" s="68">
        <v>1595</v>
      </c>
    </row>
    <row r="5001" spans="1:7" x14ac:dyDescent="0.3">
      <c r="A5001" t="s">
        <v>1224</v>
      </c>
      <c r="B5001" t="s">
        <v>5</v>
      </c>
      <c r="C5001" t="s">
        <v>6</v>
      </c>
      <c r="D5001" t="s">
        <v>21</v>
      </c>
      <c r="E5001" s="68">
        <v>456</v>
      </c>
      <c r="F5001" s="68">
        <v>415</v>
      </c>
      <c r="G5001" s="68">
        <v>871</v>
      </c>
    </row>
    <row r="5002" spans="1:7" x14ac:dyDescent="0.3">
      <c r="A5002" t="s">
        <v>1224</v>
      </c>
      <c r="B5002" t="s">
        <v>5</v>
      </c>
      <c r="C5002" t="s">
        <v>6</v>
      </c>
      <c r="D5002" t="s">
        <v>22</v>
      </c>
      <c r="E5002" s="68">
        <v>287</v>
      </c>
      <c r="F5002" s="68">
        <v>213</v>
      </c>
      <c r="G5002" s="68">
        <v>500</v>
      </c>
    </row>
    <row r="5003" spans="1:7" x14ac:dyDescent="0.3">
      <c r="A5003" t="s">
        <v>1224</v>
      </c>
      <c r="B5003" t="s">
        <v>5</v>
      </c>
      <c r="C5003" t="s">
        <v>6</v>
      </c>
      <c r="D5003" t="s">
        <v>23</v>
      </c>
      <c r="E5003" s="68">
        <v>461</v>
      </c>
      <c r="F5003" s="68">
        <v>237</v>
      </c>
      <c r="G5003" s="68">
        <v>698</v>
      </c>
    </row>
    <row r="5004" spans="1:7" x14ac:dyDescent="0.3">
      <c r="A5004" t="s">
        <v>1224</v>
      </c>
      <c r="B5004" t="s">
        <v>5</v>
      </c>
      <c r="C5004" t="s">
        <v>24</v>
      </c>
      <c r="D5004" t="s">
        <v>7</v>
      </c>
      <c r="E5004" s="68">
        <v>1443</v>
      </c>
      <c r="F5004" s="68">
        <v>1476</v>
      </c>
      <c r="G5004" s="68">
        <v>2919</v>
      </c>
    </row>
    <row r="5005" spans="1:7" x14ac:dyDescent="0.3">
      <c r="A5005" t="s">
        <v>1224</v>
      </c>
      <c r="B5005" t="s">
        <v>5</v>
      </c>
      <c r="C5005" t="s">
        <v>24</v>
      </c>
      <c r="D5005" t="s">
        <v>8</v>
      </c>
      <c r="E5005" s="68">
        <v>1903</v>
      </c>
      <c r="F5005" s="68">
        <v>1947</v>
      </c>
      <c r="G5005" s="68">
        <v>3850</v>
      </c>
    </row>
    <row r="5006" spans="1:7" x14ac:dyDescent="0.3">
      <c r="A5006" t="s">
        <v>1224</v>
      </c>
      <c r="B5006" t="s">
        <v>5</v>
      </c>
      <c r="C5006" t="s">
        <v>24</v>
      </c>
      <c r="D5006" t="s">
        <v>9</v>
      </c>
      <c r="E5006" s="68">
        <v>2031</v>
      </c>
      <c r="F5006" s="68">
        <v>2122</v>
      </c>
      <c r="G5006" s="68">
        <v>4153</v>
      </c>
    </row>
    <row r="5007" spans="1:7" x14ac:dyDescent="0.3">
      <c r="A5007" t="s">
        <v>1224</v>
      </c>
      <c r="B5007" t="s">
        <v>5</v>
      </c>
      <c r="C5007" t="s">
        <v>24</v>
      </c>
      <c r="D5007" t="s">
        <v>10</v>
      </c>
      <c r="E5007" s="68">
        <v>1893</v>
      </c>
      <c r="F5007" s="68">
        <v>2006</v>
      </c>
      <c r="G5007" s="68">
        <v>3899</v>
      </c>
    </row>
    <row r="5008" spans="1:7" x14ac:dyDescent="0.3">
      <c r="A5008" t="s">
        <v>1224</v>
      </c>
      <c r="B5008" t="s">
        <v>5</v>
      </c>
      <c r="C5008" t="s">
        <v>24</v>
      </c>
      <c r="D5008" t="s">
        <v>11</v>
      </c>
      <c r="E5008" s="68">
        <v>1929</v>
      </c>
      <c r="F5008" s="68">
        <v>1539</v>
      </c>
      <c r="G5008" s="68">
        <v>3468</v>
      </c>
    </row>
    <row r="5009" spans="1:7" x14ac:dyDescent="0.3">
      <c r="A5009" t="s">
        <v>1224</v>
      </c>
      <c r="B5009" t="s">
        <v>5</v>
      </c>
      <c r="C5009" t="s">
        <v>24</v>
      </c>
      <c r="D5009" t="s">
        <v>12</v>
      </c>
      <c r="E5009" s="68">
        <v>1915</v>
      </c>
      <c r="F5009" s="68">
        <v>1541</v>
      </c>
      <c r="G5009" s="68">
        <v>3456</v>
      </c>
    </row>
    <row r="5010" spans="1:7" x14ac:dyDescent="0.3">
      <c r="A5010" t="s">
        <v>1224</v>
      </c>
      <c r="B5010" t="s">
        <v>5</v>
      </c>
      <c r="C5010" t="s">
        <v>24</v>
      </c>
      <c r="D5010" t="s">
        <v>13</v>
      </c>
      <c r="E5010" s="68">
        <v>1804</v>
      </c>
      <c r="F5010" s="68">
        <v>1395</v>
      </c>
      <c r="G5010" s="68">
        <v>3199</v>
      </c>
    </row>
    <row r="5011" spans="1:7" x14ac:dyDescent="0.3">
      <c r="A5011" t="s">
        <v>1224</v>
      </c>
      <c r="B5011" t="s">
        <v>5</v>
      </c>
      <c r="C5011" t="s">
        <v>24</v>
      </c>
      <c r="D5011" t="s">
        <v>14</v>
      </c>
      <c r="E5011" s="68">
        <v>1650</v>
      </c>
      <c r="F5011" s="68">
        <v>1288</v>
      </c>
      <c r="G5011" s="68">
        <v>2938</v>
      </c>
    </row>
    <row r="5012" spans="1:7" x14ac:dyDescent="0.3">
      <c r="A5012" t="s">
        <v>1224</v>
      </c>
      <c r="B5012" t="s">
        <v>5</v>
      </c>
      <c r="C5012" t="s">
        <v>24</v>
      </c>
      <c r="D5012" t="s">
        <v>15</v>
      </c>
      <c r="E5012" s="68">
        <v>1523</v>
      </c>
      <c r="F5012" s="68">
        <v>1202</v>
      </c>
      <c r="G5012" s="68">
        <v>2725</v>
      </c>
    </row>
    <row r="5013" spans="1:7" x14ac:dyDescent="0.3">
      <c r="A5013" t="s">
        <v>1224</v>
      </c>
      <c r="B5013" t="s">
        <v>5</v>
      </c>
      <c r="C5013" t="s">
        <v>24</v>
      </c>
      <c r="D5013" t="s">
        <v>16</v>
      </c>
      <c r="E5013" s="68">
        <v>1417</v>
      </c>
      <c r="F5013" s="68">
        <v>1137</v>
      </c>
      <c r="G5013" s="68">
        <v>2554</v>
      </c>
    </row>
    <row r="5014" spans="1:7" x14ac:dyDescent="0.3">
      <c r="A5014" t="s">
        <v>1224</v>
      </c>
      <c r="B5014" t="s">
        <v>5</v>
      </c>
      <c r="C5014" t="s">
        <v>24</v>
      </c>
      <c r="D5014" t="s">
        <v>17</v>
      </c>
      <c r="E5014" s="68">
        <v>1165</v>
      </c>
      <c r="F5014" s="68">
        <v>1021</v>
      </c>
      <c r="G5014" s="68">
        <v>2186</v>
      </c>
    </row>
    <row r="5015" spans="1:7" x14ac:dyDescent="0.3">
      <c r="A5015" t="s">
        <v>1224</v>
      </c>
      <c r="B5015" t="s">
        <v>5</v>
      </c>
      <c r="C5015" t="s">
        <v>24</v>
      </c>
      <c r="D5015" t="s">
        <v>18</v>
      </c>
      <c r="E5015" s="68">
        <v>1168</v>
      </c>
      <c r="F5015" s="68">
        <v>967</v>
      </c>
      <c r="G5015" s="68">
        <v>2135</v>
      </c>
    </row>
    <row r="5016" spans="1:7" x14ac:dyDescent="0.3">
      <c r="A5016" t="s">
        <v>1224</v>
      </c>
      <c r="B5016" t="s">
        <v>5</v>
      </c>
      <c r="C5016" t="s">
        <v>24</v>
      </c>
      <c r="D5016" t="s">
        <v>19</v>
      </c>
      <c r="E5016" s="68">
        <v>1052</v>
      </c>
      <c r="F5016" s="68">
        <v>863</v>
      </c>
      <c r="G5016" s="68">
        <v>1915</v>
      </c>
    </row>
    <row r="5017" spans="1:7" x14ac:dyDescent="0.3">
      <c r="A5017" t="s">
        <v>1224</v>
      </c>
      <c r="B5017" t="s">
        <v>5</v>
      </c>
      <c r="C5017" t="s">
        <v>24</v>
      </c>
      <c r="D5017" t="s">
        <v>20</v>
      </c>
      <c r="E5017" s="68">
        <v>919</v>
      </c>
      <c r="F5017" s="68">
        <v>732</v>
      </c>
      <c r="G5017" s="68">
        <v>1651</v>
      </c>
    </row>
    <row r="5018" spans="1:7" x14ac:dyDescent="0.3">
      <c r="A5018" t="s">
        <v>1224</v>
      </c>
      <c r="B5018" t="s">
        <v>5</v>
      </c>
      <c r="C5018" t="s">
        <v>24</v>
      </c>
      <c r="D5018" t="s">
        <v>21</v>
      </c>
      <c r="E5018" s="68">
        <v>565</v>
      </c>
      <c r="F5018" s="68">
        <v>539</v>
      </c>
      <c r="G5018" s="68">
        <v>1104</v>
      </c>
    </row>
    <row r="5019" spans="1:7" x14ac:dyDescent="0.3">
      <c r="A5019" t="s">
        <v>1224</v>
      </c>
      <c r="B5019" t="s">
        <v>5</v>
      </c>
      <c r="C5019" t="s">
        <v>24</v>
      </c>
      <c r="D5019" t="s">
        <v>22</v>
      </c>
      <c r="E5019" s="68">
        <v>419</v>
      </c>
      <c r="F5019" s="68">
        <v>320</v>
      </c>
      <c r="G5019" s="68">
        <v>739</v>
      </c>
    </row>
    <row r="5020" spans="1:7" x14ac:dyDescent="0.3">
      <c r="A5020" t="s">
        <v>1224</v>
      </c>
      <c r="B5020" t="s">
        <v>5</v>
      </c>
      <c r="C5020" t="s">
        <v>24</v>
      </c>
      <c r="D5020" t="s">
        <v>23</v>
      </c>
      <c r="E5020" s="68">
        <v>623</v>
      </c>
      <c r="F5020" s="68">
        <v>489</v>
      </c>
      <c r="G5020" s="68">
        <v>1112</v>
      </c>
    </row>
    <row r="5021" spans="1:7" x14ac:dyDescent="0.3">
      <c r="A5021" t="s">
        <v>1224</v>
      </c>
      <c r="B5021" t="s">
        <v>26</v>
      </c>
      <c r="C5021" t="s">
        <v>6</v>
      </c>
      <c r="D5021" t="s">
        <v>7</v>
      </c>
      <c r="E5021" s="68">
        <v>1482</v>
      </c>
      <c r="F5021" s="68">
        <v>1500</v>
      </c>
      <c r="G5021" s="68">
        <v>2982</v>
      </c>
    </row>
    <row r="5022" spans="1:7" x14ac:dyDescent="0.3">
      <c r="A5022" t="s">
        <v>1224</v>
      </c>
      <c r="B5022" t="s">
        <v>26</v>
      </c>
      <c r="C5022" t="s">
        <v>6</v>
      </c>
      <c r="D5022" t="s">
        <v>8</v>
      </c>
      <c r="E5022" s="68">
        <v>1691</v>
      </c>
      <c r="F5022" s="68">
        <v>1785</v>
      </c>
      <c r="G5022" s="68">
        <v>3476</v>
      </c>
    </row>
    <row r="5023" spans="1:7" x14ac:dyDescent="0.3">
      <c r="A5023" t="s">
        <v>1224</v>
      </c>
      <c r="B5023" t="s">
        <v>26</v>
      </c>
      <c r="C5023" t="s">
        <v>6</v>
      </c>
      <c r="D5023" t="s">
        <v>9</v>
      </c>
      <c r="E5023" s="68">
        <v>1499</v>
      </c>
      <c r="F5023" s="68">
        <v>1537</v>
      </c>
      <c r="G5023" s="68">
        <v>3036</v>
      </c>
    </row>
    <row r="5024" spans="1:7" x14ac:dyDescent="0.3">
      <c r="A5024" t="s">
        <v>1224</v>
      </c>
      <c r="B5024" t="s">
        <v>26</v>
      </c>
      <c r="C5024" t="s">
        <v>6</v>
      </c>
      <c r="D5024" t="s">
        <v>10</v>
      </c>
      <c r="E5024" s="68">
        <v>1575</v>
      </c>
      <c r="F5024" s="68">
        <v>1616</v>
      </c>
      <c r="G5024" s="68">
        <v>3191</v>
      </c>
    </row>
    <row r="5025" spans="1:7" x14ac:dyDescent="0.3">
      <c r="A5025" t="s">
        <v>1224</v>
      </c>
      <c r="B5025" t="s">
        <v>26</v>
      </c>
      <c r="C5025" t="s">
        <v>6</v>
      </c>
      <c r="D5025" t="s">
        <v>11</v>
      </c>
      <c r="E5025" s="68">
        <v>1771</v>
      </c>
      <c r="F5025" s="68">
        <v>2082</v>
      </c>
      <c r="G5025" s="68">
        <v>3853</v>
      </c>
    </row>
    <row r="5026" spans="1:7" x14ac:dyDescent="0.3">
      <c r="A5026" t="s">
        <v>1224</v>
      </c>
      <c r="B5026" t="s">
        <v>26</v>
      </c>
      <c r="C5026" t="s">
        <v>6</v>
      </c>
      <c r="D5026" t="s">
        <v>12</v>
      </c>
      <c r="E5026" s="68">
        <v>1904</v>
      </c>
      <c r="F5026" s="68">
        <v>2527</v>
      </c>
      <c r="G5026" s="68">
        <v>4431</v>
      </c>
    </row>
    <row r="5027" spans="1:7" x14ac:dyDescent="0.3">
      <c r="A5027" t="s">
        <v>1224</v>
      </c>
      <c r="B5027" t="s">
        <v>26</v>
      </c>
      <c r="C5027" t="s">
        <v>6</v>
      </c>
      <c r="D5027" t="s">
        <v>13</v>
      </c>
      <c r="E5027" s="68">
        <v>2157</v>
      </c>
      <c r="F5027" s="68">
        <v>2732</v>
      </c>
      <c r="G5027" s="68">
        <v>4889</v>
      </c>
    </row>
    <row r="5028" spans="1:7" x14ac:dyDescent="0.3">
      <c r="A5028" t="s">
        <v>1224</v>
      </c>
      <c r="B5028" t="s">
        <v>26</v>
      </c>
      <c r="C5028" t="s">
        <v>6</v>
      </c>
      <c r="D5028" t="s">
        <v>14</v>
      </c>
      <c r="E5028" s="68">
        <v>2223</v>
      </c>
      <c r="F5028" s="68">
        <v>2535</v>
      </c>
      <c r="G5028" s="68">
        <v>4758</v>
      </c>
    </row>
    <row r="5029" spans="1:7" x14ac:dyDescent="0.3">
      <c r="A5029" t="s">
        <v>1224</v>
      </c>
      <c r="B5029" t="s">
        <v>26</v>
      </c>
      <c r="C5029" t="s">
        <v>6</v>
      </c>
      <c r="D5029" t="s">
        <v>15</v>
      </c>
      <c r="E5029" s="68">
        <v>2122</v>
      </c>
      <c r="F5029" s="68">
        <v>2249</v>
      </c>
      <c r="G5029" s="68">
        <v>4371</v>
      </c>
    </row>
    <row r="5030" spans="1:7" x14ac:dyDescent="0.3">
      <c r="A5030" t="s">
        <v>1224</v>
      </c>
      <c r="B5030" t="s">
        <v>26</v>
      </c>
      <c r="C5030" t="s">
        <v>6</v>
      </c>
      <c r="D5030" t="s">
        <v>16</v>
      </c>
      <c r="E5030" s="68">
        <v>1682</v>
      </c>
      <c r="F5030" s="68">
        <v>1897</v>
      </c>
      <c r="G5030" s="68">
        <v>3579</v>
      </c>
    </row>
    <row r="5031" spans="1:7" x14ac:dyDescent="0.3">
      <c r="A5031" t="s">
        <v>1224</v>
      </c>
      <c r="B5031" t="s">
        <v>26</v>
      </c>
      <c r="C5031" t="s">
        <v>6</v>
      </c>
      <c r="D5031" t="s">
        <v>17</v>
      </c>
      <c r="E5031" s="68">
        <v>1451</v>
      </c>
      <c r="F5031" s="68">
        <v>1520</v>
      </c>
      <c r="G5031" s="68">
        <v>2971</v>
      </c>
    </row>
    <row r="5032" spans="1:7" x14ac:dyDescent="0.3">
      <c r="A5032" t="s">
        <v>1224</v>
      </c>
      <c r="B5032" t="s">
        <v>26</v>
      </c>
      <c r="C5032" t="s">
        <v>6</v>
      </c>
      <c r="D5032" t="s">
        <v>18</v>
      </c>
      <c r="E5032" s="68">
        <v>1369</v>
      </c>
      <c r="F5032" s="68">
        <v>1323</v>
      </c>
      <c r="G5032" s="68">
        <v>2692</v>
      </c>
    </row>
    <row r="5033" spans="1:7" x14ac:dyDescent="0.3">
      <c r="A5033" t="s">
        <v>1224</v>
      </c>
      <c r="B5033" t="s">
        <v>26</v>
      </c>
      <c r="C5033" t="s">
        <v>6</v>
      </c>
      <c r="D5033" t="s">
        <v>19</v>
      </c>
      <c r="E5033" s="68">
        <v>1245</v>
      </c>
      <c r="F5033" s="68">
        <v>1051</v>
      </c>
      <c r="G5033" s="68">
        <v>2296</v>
      </c>
    </row>
    <row r="5034" spans="1:7" x14ac:dyDescent="0.3">
      <c r="A5034" t="s">
        <v>1224</v>
      </c>
      <c r="B5034" t="s">
        <v>26</v>
      </c>
      <c r="C5034" t="s">
        <v>6</v>
      </c>
      <c r="D5034" t="s">
        <v>20</v>
      </c>
      <c r="E5034" s="68">
        <v>986</v>
      </c>
      <c r="F5034" s="68">
        <v>843</v>
      </c>
      <c r="G5034" s="68">
        <v>1829</v>
      </c>
    </row>
    <row r="5035" spans="1:7" x14ac:dyDescent="0.3">
      <c r="A5035" t="s">
        <v>1224</v>
      </c>
      <c r="B5035" t="s">
        <v>26</v>
      </c>
      <c r="C5035" t="s">
        <v>6</v>
      </c>
      <c r="D5035" t="s">
        <v>21</v>
      </c>
      <c r="E5035" s="68">
        <v>702</v>
      </c>
      <c r="F5035" s="68">
        <v>555</v>
      </c>
      <c r="G5035" s="68">
        <v>1257</v>
      </c>
    </row>
    <row r="5036" spans="1:7" x14ac:dyDescent="0.3">
      <c r="A5036" t="s">
        <v>1224</v>
      </c>
      <c r="B5036" t="s">
        <v>26</v>
      </c>
      <c r="C5036" t="s">
        <v>6</v>
      </c>
      <c r="D5036" t="s">
        <v>22</v>
      </c>
      <c r="E5036" s="68">
        <v>466</v>
      </c>
      <c r="F5036" s="68">
        <v>388</v>
      </c>
      <c r="G5036" s="68">
        <v>854</v>
      </c>
    </row>
    <row r="5037" spans="1:7" x14ac:dyDescent="0.3">
      <c r="A5037" t="s">
        <v>1224</v>
      </c>
      <c r="B5037" t="s">
        <v>26</v>
      </c>
      <c r="C5037" t="s">
        <v>6</v>
      </c>
      <c r="D5037" t="s">
        <v>23</v>
      </c>
      <c r="E5037" s="68">
        <v>594</v>
      </c>
      <c r="F5037" s="68">
        <v>365</v>
      </c>
      <c r="G5037" s="68">
        <v>959</v>
      </c>
    </row>
    <row r="5038" spans="1:7" x14ac:dyDescent="0.3">
      <c r="A5038" t="s">
        <v>1224</v>
      </c>
      <c r="B5038" t="s">
        <v>26</v>
      </c>
      <c r="C5038" t="s">
        <v>24</v>
      </c>
      <c r="D5038" t="s">
        <v>7</v>
      </c>
      <c r="E5038" s="68">
        <v>5161</v>
      </c>
      <c r="F5038" s="68">
        <v>5421</v>
      </c>
      <c r="G5038" s="68">
        <v>10582</v>
      </c>
    </row>
    <row r="5039" spans="1:7" x14ac:dyDescent="0.3">
      <c r="A5039" t="s">
        <v>1224</v>
      </c>
      <c r="B5039" t="s">
        <v>26</v>
      </c>
      <c r="C5039" t="s">
        <v>24</v>
      </c>
      <c r="D5039" t="s">
        <v>8</v>
      </c>
      <c r="E5039" s="68">
        <v>5275</v>
      </c>
      <c r="F5039" s="68">
        <v>5651</v>
      </c>
      <c r="G5039" s="68">
        <v>10926</v>
      </c>
    </row>
    <row r="5040" spans="1:7" x14ac:dyDescent="0.3">
      <c r="A5040" t="s">
        <v>1224</v>
      </c>
      <c r="B5040" t="s">
        <v>26</v>
      </c>
      <c r="C5040" t="s">
        <v>24</v>
      </c>
      <c r="D5040" t="s">
        <v>9</v>
      </c>
      <c r="E5040" s="68">
        <v>4801</v>
      </c>
      <c r="F5040" s="68">
        <v>5088</v>
      </c>
      <c r="G5040" s="68">
        <v>9889</v>
      </c>
    </row>
    <row r="5041" spans="1:7" x14ac:dyDescent="0.3">
      <c r="A5041" t="s">
        <v>1224</v>
      </c>
      <c r="B5041" t="s">
        <v>26</v>
      </c>
      <c r="C5041" t="s">
        <v>24</v>
      </c>
      <c r="D5041" t="s">
        <v>10</v>
      </c>
      <c r="E5041" s="68">
        <v>4945</v>
      </c>
      <c r="F5041" s="68">
        <v>4675</v>
      </c>
      <c r="G5041" s="68">
        <v>9620</v>
      </c>
    </row>
    <row r="5042" spans="1:7" x14ac:dyDescent="0.3">
      <c r="A5042" t="s">
        <v>1224</v>
      </c>
      <c r="B5042" t="s">
        <v>26</v>
      </c>
      <c r="C5042" t="s">
        <v>24</v>
      </c>
      <c r="D5042" t="s">
        <v>11</v>
      </c>
      <c r="E5042" s="68">
        <v>5260</v>
      </c>
      <c r="F5042" s="68">
        <v>3950</v>
      </c>
      <c r="G5042" s="68">
        <v>9210</v>
      </c>
    </row>
    <row r="5043" spans="1:7" x14ac:dyDescent="0.3">
      <c r="A5043" t="s">
        <v>1224</v>
      </c>
      <c r="B5043" t="s">
        <v>26</v>
      </c>
      <c r="C5043" t="s">
        <v>24</v>
      </c>
      <c r="D5043" t="s">
        <v>12</v>
      </c>
      <c r="E5043" s="68">
        <v>5356</v>
      </c>
      <c r="F5043" s="68">
        <v>4370</v>
      </c>
      <c r="G5043" s="68">
        <v>9726</v>
      </c>
    </row>
    <row r="5044" spans="1:7" x14ac:dyDescent="0.3">
      <c r="A5044" t="s">
        <v>1224</v>
      </c>
      <c r="B5044" t="s">
        <v>26</v>
      </c>
      <c r="C5044" t="s">
        <v>24</v>
      </c>
      <c r="D5044" t="s">
        <v>13</v>
      </c>
      <c r="E5044" s="68">
        <v>4770</v>
      </c>
      <c r="F5044" s="68">
        <v>4281</v>
      </c>
      <c r="G5044" s="68">
        <v>9051</v>
      </c>
    </row>
    <row r="5045" spans="1:7" x14ac:dyDescent="0.3">
      <c r="A5045" t="s">
        <v>1224</v>
      </c>
      <c r="B5045" t="s">
        <v>26</v>
      </c>
      <c r="C5045" t="s">
        <v>24</v>
      </c>
      <c r="D5045" t="s">
        <v>14</v>
      </c>
      <c r="E5045" s="68">
        <v>4135</v>
      </c>
      <c r="F5045" s="68">
        <v>3855</v>
      </c>
      <c r="G5045" s="68">
        <v>7990</v>
      </c>
    </row>
    <row r="5046" spans="1:7" x14ac:dyDescent="0.3">
      <c r="A5046" t="s">
        <v>1224</v>
      </c>
      <c r="B5046" t="s">
        <v>26</v>
      </c>
      <c r="C5046" t="s">
        <v>24</v>
      </c>
      <c r="D5046" t="s">
        <v>15</v>
      </c>
      <c r="E5046" s="68">
        <v>3928</v>
      </c>
      <c r="F5046" s="68">
        <v>3647</v>
      </c>
      <c r="G5046" s="68">
        <v>7575</v>
      </c>
    </row>
    <row r="5047" spans="1:7" x14ac:dyDescent="0.3">
      <c r="A5047" t="s">
        <v>1224</v>
      </c>
      <c r="B5047" t="s">
        <v>26</v>
      </c>
      <c r="C5047" t="s">
        <v>24</v>
      </c>
      <c r="D5047" t="s">
        <v>16</v>
      </c>
      <c r="E5047" s="68">
        <v>3419</v>
      </c>
      <c r="F5047" s="68">
        <v>3389</v>
      </c>
      <c r="G5047" s="68">
        <v>6808</v>
      </c>
    </row>
    <row r="5048" spans="1:7" x14ac:dyDescent="0.3">
      <c r="A5048" t="s">
        <v>1224</v>
      </c>
      <c r="B5048" t="s">
        <v>26</v>
      </c>
      <c r="C5048" t="s">
        <v>24</v>
      </c>
      <c r="D5048" t="s">
        <v>17</v>
      </c>
      <c r="E5048" s="68">
        <v>2995</v>
      </c>
      <c r="F5048" s="68">
        <v>2851</v>
      </c>
      <c r="G5048" s="68">
        <v>5846</v>
      </c>
    </row>
    <row r="5049" spans="1:7" x14ac:dyDescent="0.3">
      <c r="A5049" t="s">
        <v>1224</v>
      </c>
      <c r="B5049" t="s">
        <v>26</v>
      </c>
      <c r="C5049" t="s">
        <v>24</v>
      </c>
      <c r="D5049" t="s">
        <v>18</v>
      </c>
      <c r="E5049" s="68">
        <v>2757</v>
      </c>
      <c r="F5049" s="68">
        <v>2601</v>
      </c>
      <c r="G5049" s="68">
        <v>5358</v>
      </c>
    </row>
    <row r="5050" spans="1:7" x14ac:dyDescent="0.3">
      <c r="A5050" t="s">
        <v>1224</v>
      </c>
      <c r="B5050" t="s">
        <v>26</v>
      </c>
      <c r="C5050" t="s">
        <v>24</v>
      </c>
      <c r="D5050" t="s">
        <v>19</v>
      </c>
      <c r="E5050" s="68">
        <v>2293</v>
      </c>
      <c r="F5050" s="68">
        <v>2218</v>
      </c>
      <c r="G5050" s="68">
        <v>4511</v>
      </c>
    </row>
    <row r="5051" spans="1:7" x14ac:dyDescent="0.3">
      <c r="A5051" t="s">
        <v>1224</v>
      </c>
      <c r="B5051" t="s">
        <v>26</v>
      </c>
      <c r="C5051" t="s">
        <v>24</v>
      </c>
      <c r="D5051" t="s">
        <v>20</v>
      </c>
      <c r="E5051" s="68">
        <v>1879</v>
      </c>
      <c r="F5051" s="68">
        <v>1848</v>
      </c>
      <c r="G5051" s="68">
        <v>3727</v>
      </c>
    </row>
    <row r="5052" spans="1:7" x14ac:dyDescent="0.3">
      <c r="A5052" t="s">
        <v>1224</v>
      </c>
      <c r="B5052" t="s">
        <v>26</v>
      </c>
      <c r="C5052" t="s">
        <v>24</v>
      </c>
      <c r="D5052" t="s">
        <v>21</v>
      </c>
      <c r="E5052" s="68">
        <v>1295</v>
      </c>
      <c r="F5052" s="68">
        <v>1232</v>
      </c>
      <c r="G5052" s="68">
        <v>2527</v>
      </c>
    </row>
    <row r="5053" spans="1:7" x14ac:dyDescent="0.3">
      <c r="A5053" t="s">
        <v>1224</v>
      </c>
      <c r="B5053" t="s">
        <v>26</v>
      </c>
      <c r="C5053" t="s">
        <v>24</v>
      </c>
      <c r="D5053" t="s">
        <v>22</v>
      </c>
      <c r="E5053" s="68">
        <v>807</v>
      </c>
      <c r="F5053" s="68">
        <v>787</v>
      </c>
      <c r="G5053" s="68">
        <v>1594</v>
      </c>
    </row>
    <row r="5054" spans="1:7" x14ac:dyDescent="0.3">
      <c r="A5054" t="s">
        <v>1224</v>
      </c>
      <c r="B5054" t="s">
        <v>26</v>
      </c>
      <c r="C5054" t="s">
        <v>24</v>
      </c>
      <c r="D5054" t="s">
        <v>23</v>
      </c>
      <c r="E5054" s="68">
        <v>1156</v>
      </c>
      <c r="F5054" s="68">
        <v>969</v>
      </c>
      <c r="G5054" s="68">
        <v>2125</v>
      </c>
    </row>
    <row r="5055" spans="1:7" x14ac:dyDescent="0.3">
      <c r="A5055" t="s">
        <v>1224</v>
      </c>
      <c r="B5055" t="s">
        <v>27</v>
      </c>
      <c r="C5055" t="s">
        <v>28</v>
      </c>
      <c r="D5055" t="s">
        <v>7</v>
      </c>
      <c r="E5055" s="68">
        <v>593</v>
      </c>
      <c r="F5055" s="68">
        <v>626</v>
      </c>
      <c r="G5055" s="68">
        <v>1219</v>
      </c>
    </row>
    <row r="5056" spans="1:7" x14ac:dyDescent="0.3">
      <c r="A5056" t="s">
        <v>1224</v>
      </c>
      <c r="B5056" t="s">
        <v>27</v>
      </c>
      <c r="C5056" t="s">
        <v>28</v>
      </c>
      <c r="D5056" t="s">
        <v>8</v>
      </c>
      <c r="E5056" s="68">
        <v>720</v>
      </c>
      <c r="F5056" s="68">
        <v>802</v>
      </c>
      <c r="G5056" s="68">
        <v>1522</v>
      </c>
    </row>
    <row r="5057" spans="1:7" x14ac:dyDescent="0.3">
      <c r="A5057" t="s">
        <v>1224</v>
      </c>
      <c r="B5057" t="s">
        <v>27</v>
      </c>
      <c r="C5057" t="s">
        <v>28</v>
      </c>
      <c r="D5057" t="s">
        <v>9</v>
      </c>
      <c r="E5057" s="68">
        <v>701</v>
      </c>
      <c r="F5057" s="68">
        <v>781</v>
      </c>
      <c r="G5057" s="68">
        <v>1482</v>
      </c>
    </row>
    <row r="5058" spans="1:7" x14ac:dyDescent="0.3">
      <c r="A5058" t="s">
        <v>1224</v>
      </c>
      <c r="B5058" t="s">
        <v>27</v>
      </c>
      <c r="C5058" t="s">
        <v>28</v>
      </c>
      <c r="D5058" t="s">
        <v>10</v>
      </c>
      <c r="E5058" s="68">
        <v>746</v>
      </c>
      <c r="F5058" s="68">
        <v>729</v>
      </c>
      <c r="G5058" s="68">
        <v>1475</v>
      </c>
    </row>
    <row r="5059" spans="1:7" x14ac:dyDescent="0.3">
      <c r="A5059" t="s">
        <v>1224</v>
      </c>
      <c r="B5059" t="s">
        <v>27</v>
      </c>
      <c r="C5059" t="s">
        <v>28</v>
      </c>
      <c r="D5059" t="s">
        <v>11</v>
      </c>
      <c r="E5059" s="68">
        <v>605</v>
      </c>
      <c r="F5059" s="68">
        <v>612</v>
      </c>
      <c r="G5059" s="68">
        <v>1217</v>
      </c>
    </row>
    <row r="5060" spans="1:7" x14ac:dyDescent="0.3">
      <c r="A5060" t="s">
        <v>1224</v>
      </c>
      <c r="B5060" t="s">
        <v>27</v>
      </c>
      <c r="C5060" t="s">
        <v>28</v>
      </c>
      <c r="D5060" t="s">
        <v>12</v>
      </c>
      <c r="E5060" s="68">
        <v>426</v>
      </c>
      <c r="F5060" s="68">
        <v>254</v>
      </c>
      <c r="G5060" s="68">
        <v>680</v>
      </c>
    </row>
    <row r="5061" spans="1:7" x14ac:dyDescent="0.3">
      <c r="A5061" t="s">
        <v>1224</v>
      </c>
      <c r="B5061" t="s">
        <v>27</v>
      </c>
      <c r="C5061" t="s">
        <v>28</v>
      </c>
      <c r="D5061" t="s">
        <v>13</v>
      </c>
      <c r="E5061" s="68">
        <v>825</v>
      </c>
      <c r="F5061" s="68">
        <v>415</v>
      </c>
      <c r="G5061" s="68">
        <v>1240</v>
      </c>
    </row>
    <row r="5062" spans="1:7" x14ac:dyDescent="0.3">
      <c r="A5062" t="s">
        <v>1224</v>
      </c>
      <c r="B5062" t="s">
        <v>27</v>
      </c>
      <c r="C5062" t="s">
        <v>28</v>
      </c>
      <c r="D5062" t="s">
        <v>14</v>
      </c>
      <c r="E5062" s="68">
        <v>980</v>
      </c>
      <c r="F5062" s="68">
        <v>448</v>
      </c>
      <c r="G5062" s="68">
        <v>1428</v>
      </c>
    </row>
    <row r="5063" spans="1:7" x14ac:dyDescent="0.3">
      <c r="A5063" t="s">
        <v>1224</v>
      </c>
      <c r="B5063" t="s">
        <v>27</v>
      </c>
      <c r="C5063" t="s">
        <v>28</v>
      </c>
      <c r="D5063" t="s">
        <v>15</v>
      </c>
      <c r="E5063" s="68">
        <v>1023</v>
      </c>
      <c r="F5063" s="68">
        <v>501</v>
      </c>
      <c r="G5063" s="68">
        <v>1524</v>
      </c>
    </row>
    <row r="5064" spans="1:7" x14ac:dyDescent="0.3">
      <c r="A5064" t="s">
        <v>1224</v>
      </c>
      <c r="B5064" t="s">
        <v>27</v>
      </c>
      <c r="C5064" t="s">
        <v>28</v>
      </c>
      <c r="D5064" t="s">
        <v>16</v>
      </c>
      <c r="E5064" s="68">
        <v>976</v>
      </c>
      <c r="F5064" s="68">
        <v>446</v>
      </c>
      <c r="G5064" s="68">
        <v>1422</v>
      </c>
    </row>
    <row r="5065" spans="1:7" x14ac:dyDescent="0.3">
      <c r="A5065" t="s">
        <v>1224</v>
      </c>
      <c r="B5065" t="s">
        <v>27</v>
      </c>
      <c r="C5065" t="s">
        <v>28</v>
      </c>
      <c r="D5065" t="s">
        <v>17</v>
      </c>
      <c r="E5065" s="68">
        <v>919</v>
      </c>
      <c r="F5065" s="68">
        <v>453</v>
      </c>
      <c r="G5065" s="68">
        <v>1372</v>
      </c>
    </row>
    <row r="5066" spans="1:7" x14ac:dyDescent="0.3">
      <c r="A5066" t="s">
        <v>1224</v>
      </c>
      <c r="B5066" t="s">
        <v>27</v>
      </c>
      <c r="C5066" t="s">
        <v>28</v>
      </c>
      <c r="D5066" t="s">
        <v>18</v>
      </c>
      <c r="E5066" s="68">
        <v>903</v>
      </c>
      <c r="F5066" s="68">
        <v>435</v>
      </c>
      <c r="G5066" s="68">
        <v>1338</v>
      </c>
    </row>
    <row r="5067" spans="1:7" x14ac:dyDescent="0.3">
      <c r="A5067" t="s">
        <v>1224</v>
      </c>
      <c r="B5067" t="s">
        <v>27</v>
      </c>
      <c r="C5067" t="s">
        <v>28</v>
      </c>
      <c r="D5067" t="s">
        <v>19</v>
      </c>
      <c r="E5067" s="68">
        <v>713</v>
      </c>
      <c r="F5067" s="68">
        <v>353</v>
      </c>
      <c r="G5067" s="68">
        <v>1066</v>
      </c>
    </row>
    <row r="5068" spans="1:7" x14ac:dyDescent="0.3">
      <c r="A5068" t="s">
        <v>1224</v>
      </c>
      <c r="B5068" t="s">
        <v>27</v>
      </c>
      <c r="C5068" t="s">
        <v>28</v>
      </c>
      <c r="D5068" t="s">
        <v>20</v>
      </c>
      <c r="E5068" s="68">
        <v>649</v>
      </c>
      <c r="F5068" s="68">
        <v>323</v>
      </c>
      <c r="G5068" s="68">
        <v>972</v>
      </c>
    </row>
    <row r="5069" spans="1:7" x14ac:dyDescent="0.3">
      <c r="A5069" t="s">
        <v>1224</v>
      </c>
      <c r="B5069" t="s">
        <v>27</v>
      </c>
      <c r="C5069" t="s">
        <v>28</v>
      </c>
      <c r="D5069" t="s">
        <v>21</v>
      </c>
      <c r="E5069" s="68">
        <v>589</v>
      </c>
      <c r="F5069" s="68">
        <v>295</v>
      </c>
      <c r="G5069" s="68">
        <v>884</v>
      </c>
    </row>
    <row r="5070" spans="1:7" x14ac:dyDescent="0.3">
      <c r="A5070" t="s">
        <v>1224</v>
      </c>
      <c r="B5070" t="s">
        <v>27</v>
      </c>
      <c r="C5070" t="s">
        <v>28</v>
      </c>
      <c r="D5070" t="s">
        <v>22</v>
      </c>
      <c r="E5070" s="68">
        <v>337</v>
      </c>
      <c r="F5070" s="68">
        <v>156</v>
      </c>
      <c r="G5070" s="68">
        <v>493</v>
      </c>
    </row>
    <row r="5071" spans="1:7" x14ac:dyDescent="0.3">
      <c r="A5071" t="s">
        <v>1224</v>
      </c>
      <c r="B5071" t="s">
        <v>27</v>
      </c>
      <c r="C5071" t="s">
        <v>28</v>
      </c>
      <c r="D5071" t="s">
        <v>23</v>
      </c>
      <c r="E5071" s="68">
        <v>180</v>
      </c>
      <c r="F5071" s="68">
        <v>124</v>
      </c>
      <c r="G5071" s="68">
        <v>304</v>
      </c>
    </row>
    <row r="5072" spans="1:7" x14ac:dyDescent="0.3">
      <c r="A5072" t="s">
        <v>1224</v>
      </c>
      <c r="B5072" t="s">
        <v>27</v>
      </c>
      <c r="C5072" t="s">
        <v>29</v>
      </c>
      <c r="D5072" t="s">
        <v>10</v>
      </c>
      <c r="E5072" s="68"/>
      <c r="F5072" s="68">
        <v>2</v>
      </c>
      <c r="G5072" s="68">
        <v>2</v>
      </c>
    </row>
    <row r="5073" spans="1:7" x14ac:dyDescent="0.3">
      <c r="A5073" t="s">
        <v>1224</v>
      </c>
      <c r="B5073" t="s">
        <v>27</v>
      </c>
      <c r="C5073" t="s">
        <v>29</v>
      </c>
      <c r="D5073" t="s">
        <v>11</v>
      </c>
      <c r="E5073" s="68">
        <v>3</v>
      </c>
      <c r="F5073" s="68">
        <v>63</v>
      </c>
      <c r="G5073" s="68">
        <v>66</v>
      </c>
    </row>
    <row r="5074" spans="1:7" x14ac:dyDescent="0.3">
      <c r="A5074" t="s">
        <v>1224</v>
      </c>
      <c r="B5074" t="s">
        <v>27</v>
      </c>
      <c r="C5074" t="s">
        <v>29</v>
      </c>
      <c r="D5074" t="s">
        <v>12</v>
      </c>
      <c r="E5074" s="68">
        <v>3</v>
      </c>
      <c r="F5074" s="68">
        <v>100</v>
      </c>
      <c r="G5074" s="68">
        <v>103</v>
      </c>
    </row>
    <row r="5075" spans="1:7" x14ac:dyDescent="0.3">
      <c r="A5075" t="s">
        <v>1224</v>
      </c>
      <c r="B5075" t="s">
        <v>27</v>
      </c>
      <c r="C5075" t="s">
        <v>29</v>
      </c>
      <c r="D5075" t="s">
        <v>13</v>
      </c>
      <c r="E5075" s="68">
        <v>3</v>
      </c>
      <c r="F5075" s="68">
        <v>102</v>
      </c>
      <c r="G5075" s="68">
        <v>105</v>
      </c>
    </row>
    <row r="5076" spans="1:7" x14ac:dyDescent="0.3">
      <c r="A5076" t="s">
        <v>1224</v>
      </c>
      <c r="B5076" t="s">
        <v>27</v>
      </c>
      <c r="C5076" t="s">
        <v>29</v>
      </c>
      <c r="D5076" t="s">
        <v>14</v>
      </c>
      <c r="E5076" s="68">
        <v>5</v>
      </c>
      <c r="F5076" s="68">
        <v>69</v>
      </c>
      <c r="G5076" s="68">
        <v>74</v>
      </c>
    </row>
    <row r="5077" spans="1:7" x14ac:dyDescent="0.3">
      <c r="A5077" t="s">
        <v>1224</v>
      </c>
      <c r="B5077" t="s">
        <v>27</v>
      </c>
      <c r="C5077" t="s">
        <v>29</v>
      </c>
      <c r="D5077" t="s">
        <v>15</v>
      </c>
      <c r="E5077" s="68">
        <v>5</v>
      </c>
      <c r="F5077" s="68">
        <v>46</v>
      </c>
      <c r="G5077" s="68">
        <v>51</v>
      </c>
    </row>
    <row r="5078" spans="1:7" x14ac:dyDescent="0.3">
      <c r="A5078" t="s">
        <v>1224</v>
      </c>
      <c r="B5078" t="s">
        <v>27</v>
      </c>
      <c r="C5078" t="s">
        <v>29</v>
      </c>
      <c r="D5078" t="s">
        <v>16</v>
      </c>
      <c r="E5078" s="68">
        <v>1</v>
      </c>
      <c r="F5078" s="68">
        <v>32</v>
      </c>
      <c r="G5078" s="68">
        <v>33</v>
      </c>
    </row>
    <row r="5079" spans="1:7" x14ac:dyDescent="0.3">
      <c r="A5079" t="s">
        <v>1224</v>
      </c>
      <c r="B5079" t="s">
        <v>27</v>
      </c>
      <c r="C5079" t="s">
        <v>29</v>
      </c>
      <c r="D5079" t="s">
        <v>17</v>
      </c>
      <c r="E5079" s="68">
        <v>1</v>
      </c>
      <c r="F5079" s="68">
        <v>25</v>
      </c>
      <c r="G5079" s="68">
        <v>26</v>
      </c>
    </row>
    <row r="5080" spans="1:7" x14ac:dyDescent="0.3">
      <c r="A5080" t="s">
        <v>1224</v>
      </c>
      <c r="B5080" t="s">
        <v>27</v>
      </c>
      <c r="C5080" t="s">
        <v>29</v>
      </c>
      <c r="D5080" t="s">
        <v>18</v>
      </c>
      <c r="E5080" s="68"/>
      <c r="F5080" s="68">
        <v>20</v>
      </c>
      <c r="G5080" s="68">
        <v>20</v>
      </c>
    </row>
    <row r="5081" spans="1:7" x14ac:dyDescent="0.3">
      <c r="A5081" t="s">
        <v>1224</v>
      </c>
      <c r="B5081" t="s">
        <v>27</v>
      </c>
      <c r="C5081" t="s">
        <v>29</v>
      </c>
      <c r="D5081" t="s">
        <v>19</v>
      </c>
      <c r="E5081" s="68"/>
      <c r="F5081" s="68">
        <v>18</v>
      </c>
      <c r="G5081" s="68">
        <v>18</v>
      </c>
    </row>
    <row r="5082" spans="1:7" x14ac:dyDescent="0.3">
      <c r="A5082" t="s">
        <v>1224</v>
      </c>
      <c r="B5082" t="s">
        <v>27</v>
      </c>
      <c r="C5082" t="s">
        <v>29</v>
      </c>
      <c r="D5082" t="s">
        <v>20</v>
      </c>
      <c r="E5082" s="68">
        <v>1</v>
      </c>
      <c r="F5082" s="68">
        <v>7</v>
      </c>
      <c r="G5082" s="68">
        <v>8</v>
      </c>
    </row>
    <row r="5083" spans="1:7" x14ac:dyDescent="0.3">
      <c r="A5083" t="s">
        <v>1224</v>
      </c>
      <c r="B5083" t="s">
        <v>27</v>
      </c>
      <c r="C5083" t="s">
        <v>29</v>
      </c>
      <c r="D5083" t="s">
        <v>21</v>
      </c>
      <c r="E5083" s="68"/>
      <c r="F5083" s="68">
        <v>2</v>
      </c>
      <c r="G5083" s="68">
        <v>2</v>
      </c>
    </row>
    <row r="5084" spans="1:7" x14ac:dyDescent="0.3">
      <c r="A5084" t="s">
        <v>1224</v>
      </c>
      <c r="B5084" t="s">
        <v>27</v>
      </c>
      <c r="C5084" t="s">
        <v>29</v>
      </c>
      <c r="D5084" t="s">
        <v>22</v>
      </c>
      <c r="E5084" s="68"/>
      <c r="F5084" s="68">
        <v>2</v>
      </c>
      <c r="G5084" s="68">
        <v>2</v>
      </c>
    </row>
    <row r="5085" spans="1:7" x14ac:dyDescent="0.3">
      <c r="A5085" t="s">
        <v>1224</v>
      </c>
      <c r="B5085" t="s">
        <v>36</v>
      </c>
      <c r="C5085" t="s">
        <v>6</v>
      </c>
      <c r="D5085" t="s">
        <v>7</v>
      </c>
      <c r="E5085" s="68">
        <v>434</v>
      </c>
      <c r="F5085" s="68">
        <v>416</v>
      </c>
      <c r="G5085" s="68">
        <v>850</v>
      </c>
    </row>
    <row r="5086" spans="1:7" x14ac:dyDescent="0.3">
      <c r="A5086" t="s">
        <v>1224</v>
      </c>
      <c r="B5086" t="s">
        <v>36</v>
      </c>
      <c r="C5086" t="s">
        <v>6</v>
      </c>
      <c r="D5086" t="s">
        <v>8</v>
      </c>
      <c r="E5086" s="68">
        <v>570</v>
      </c>
      <c r="F5086" s="68">
        <v>551</v>
      </c>
      <c r="G5086" s="68">
        <v>1121</v>
      </c>
    </row>
    <row r="5087" spans="1:7" x14ac:dyDescent="0.3">
      <c r="A5087" t="s">
        <v>1224</v>
      </c>
      <c r="B5087" t="s">
        <v>36</v>
      </c>
      <c r="C5087" t="s">
        <v>6</v>
      </c>
      <c r="D5087" t="s">
        <v>9</v>
      </c>
      <c r="E5087" s="68">
        <v>539</v>
      </c>
      <c r="F5087" s="68">
        <v>628</v>
      </c>
      <c r="G5087" s="68">
        <v>1167</v>
      </c>
    </row>
    <row r="5088" spans="1:7" x14ac:dyDescent="0.3">
      <c r="A5088" t="s">
        <v>1224</v>
      </c>
      <c r="B5088" t="s">
        <v>36</v>
      </c>
      <c r="C5088" t="s">
        <v>6</v>
      </c>
      <c r="D5088" t="s">
        <v>10</v>
      </c>
      <c r="E5088" s="68">
        <v>522</v>
      </c>
      <c r="F5088" s="68">
        <v>527</v>
      </c>
      <c r="G5088" s="68">
        <v>1049</v>
      </c>
    </row>
    <row r="5089" spans="1:7" x14ac:dyDescent="0.3">
      <c r="A5089" t="s">
        <v>1224</v>
      </c>
      <c r="B5089" t="s">
        <v>36</v>
      </c>
      <c r="C5089" t="s">
        <v>6</v>
      </c>
      <c r="D5089" t="s">
        <v>11</v>
      </c>
      <c r="E5089" s="68">
        <v>520</v>
      </c>
      <c r="F5089" s="68">
        <v>626</v>
      </c>
      <c r="G5089" s="68">
        <v>1146</v>
      </c>
    </row>
    <row r="5090" spans="1:7" x14ac:dyDescent="0.3">
      <c r="A5090" t="s">
        <v>1224</v>
      </c>
      <c r="B5090" t="s">
        <v>36</v>
      </c>
      <c r="C5090" t="s">
        <v>6</v>
      </c>
      <c r="D5090" t="s">
        <v>12</v>
      </c>
      <c r="E5090" s="68">
        <v>509</v>
      </c>
      <c r="F5090" s="68">
        <v>661</v>
      </c>
      <c r="G5090" s="68">
        <v>1170</v>
      </c>
    </row>
    <row r="5091" spans="1:7" x14ac:dyDescent="0.3">
      <c r="A5091" t="s">
        <v>1224</v>
      </c>
      <c r="B5091" t="s">
        <v>36</v>
      </c>
      <c r="C5091" t="s">
        <v>6</v>
      </c>
      <c r="D5091" t="s">
        <v>13</v>
      </c>
      <c r="E5091" s="68">
        <v>620</v>
      </c>
      <c r="F5091" s="68">
        <v>760</v>
      </c>
      <c r="G5091" s="68">
        <v>1380</v>
      </c>
    </row>
    <row r="5092" spans="1:7" x14ac:dyDescent="0.3">
      <c r="A5092" t="s">
        <v>1224</v>
      </c>
      <c r="B5092" t="s">
        <v>36</v>
      </c>
      <c r="C5092" t="s">
        <v>6</v>
      </c>
      <c r="D5092" t="s">
        <v>14</v>
      </c>
      <c r="E5092" s="68">
        <v>624</v>
      </c>
      <c r="F5092" s="68">
        <v>803</v>
      </c>
      <c r="G5092" s="68">
        <v>1427</v>
      </c>
    </row>
    <row r="5093" spans="1:7" x14ac:dyDescent="0.3">
      <c r="A5093" t="s">
        <v>1224</v>
      </c>
      <c r="B5093" t="s">
        <v>36</v>
      </c>
      <c r="C5093" t="s">
        <v>6</v>
      </c>
      <c r="D5093" t="s">
        <v>15</v>
      </c>
      <c r="E5093" s="68">
        <v>626</v>
      </c>
      <c r="F5093" s="68">
        <v>732</v>
      </c>
      <c r="G5093" s="68">
        <v>1358</v>
      </c>
    </row>
    <row r="5094" spans="1:7" x14ac:dyDescent="0.3">
      <c r="A5094" t="s">
        <v>1224</v>
      </c>
      <c r="B5094" t="s">
        <v>36</v>
      </c>
      <c r="C5094" t="s">
        <v>6</v>
      </c>
      <c r="D5094" t="s">
        <v>16</v>
      </c>
      <c r="E5094" s="68">
        <v>474</v>
      </c>
      <c r="F5094" s="68">
        <v>590</v>
      </c>
      <c r="G5094" s="68">
        <v>1064</v>
      </c>
    </row>
    <row r="5095" spans="1:7" x14ac:dyDescent="0.3">
      <c r="A5095" t="s">
        <v>1224</v>
      </c>
      <c r="B5095" t="s">
        <v>36</v>
      </c>
      <c r="C5095" t="s">
        <v>6</v>
      </c>
      <c r="D5095" t="s">
        <v>17</v>
      </c>
      <c r="E5095" s="68">
        <v>319</v>
      </c>
      <c r="F5095" s="68">
        <v>394</v>
      </c>
      <c r="G5095" s="68">
        <v>713</v>
      </c>
    </row>
    <row r="5096" spans="1:7" x14ac:dyDescent="0.3">
      <c r="A5096" t="s">
        <v>1224</v>
      </c>
      <c r="B5096" t="s">
        <v>36</v>
      </c>
      <c r="C5096" t="s">
        <v>6</v>
      </c>
      <c r="D5096" t="s">
        <v>18</v>
      </c>
      <c r="E5096" s="68">
        <v>221</v>
      </c>
      <c r="F5096" s="68">
        <v>272</v>
      </c>
      <c r="G5096" s="68">
        <v>493</v>
      </c>
    </row>
    <row r="5097" spans="1:7" x14ac:dyDescent="0.3">
      <c r="A5097" t="s">
        <v>1224</v>
      </c>
      <c r="B5097" t="s">
        <v>36</v>
      </c>
      <c r="C5097" t="s">
        <v>6</v>
      </c>
      <c r="D5097" t="s">
        <v>19</v>
      </c>
      <c r="E5097" s="68">
        <v>147</v>
      </c>
      <c r="F5097" s="68">
        <v>161</v>
      </c>
      <c r="G5097" s="68">
        <v>308</v>
      </c>
    </row>
    <row r="5098" spans="1:7" x14ac:dyDescent="0.3">
      <c r="A5098" t="s">
        <v>1224</v>
      </c>
      <c r="B5098" t="s">
        <v>36</v>
      </c>
      <c r="C5098" t="s">
        <v>6</v>
      </c>
      <c r="D5098" t="s">
        <v>20</v>
      </c>
      <c r="E5098" s="68">
        <v>147</v>
      </c>
      <c r="F5098" s="68">
        <v>121</v>
      </c>
      <c r="G5098" s="68">
        <v>268</v>
      </c>
    </row>
    <row r="5099" spans="1:7" x14ac:dyDescent="0.3">
      <c r="A5099" t="s">
        <v>1224</v>
      </c>
      <c r="B5099" t="s">
        <v>36</v>
      </c>
      <c r="C5099" t="s">
        <v>6</v>
      </c>
      <c r="D5099" t="s">
        <v>21</v>
      </c>
      <c r="E5099" s="68">
        <v>97</v>
      </c>
      <c r="F5099" s="68">
        <v>72</v>
      </c>
      <c r="G5099" s="68">
        <v>169</v>
      </c>
    </row>
    <row r="5100" spans="1:7" x14ac:dyDescent="0.3">
      <c r="A5100" t="s">
        <v>1224</v>
      </c>
      <c r="B5100" t="s">
        <v>36</v>
      </c>
      <c r="C5100" t="s">
        <v>6</v>
      </c>
      <c r="D5100" t="s">
        <v>22</v>
      </c>
      <c r="E5100" s="68">
        <v>70</v>
      </c>
      <c r="F5100" s="68">
        <v>43</v>
      </c>
      <c r="G5100" s="68">
        <v>113</v>
      </c>
    </row>
    <row r="5101" spans="1:7" x14ac:dyDescent="0.3">
      <c r="A5101" t="s">
        <v>1224</v>
      </c>
      <c r="B5101" t="s">
        <v>36</v>
      </c>
      <c r="C5101" t="s">
        <v>6</v>
      </c>
      <c r="D5101" t="s">
        <v>23</v>
      </c>
      <c r="E5101" s="68">
        <v>68</v>
      </c>
      <c r="F5101" s="68">
        <v>43</v>
      </c>
      <c r="G5101" s="68">
        <v>111</v>
      </c>
    </row>
    <row r="5102" spans="1:7" x14ac:dyDescent="0.3">
      <c r="A5102" t="s">
        <v>1224</v>
      </c>
      <c r="B5102" t="s">
        <v>36</v>
      </c>
      <c r="C5102" t="s">
        <v>24</v>
      </c>
      <c r="D5102" t="s">
        <v>7</v>
      </c>
      <c r="E5102" s="68">
        <v>596</v>
      </c>
      <c r="F5102" s="68">
        <v>597</v>
      </c>
      <c r="G5102" s="68">
        <v>1193</v>
      </c>
    </row>
    <row r="5103" spans="1:7" x14ac:dyDescent="0.3">
      <c r="A5103" t="s">
        <v>1224</v>
      </c>
      <c r="B5103" t="s">
        <v>36</v>
      </c>
      <c r="C5103" t="s">
        <v>24</v>
      </c>
      <c r="D5103" t="s">
        <v>8</v>
      </c>
      <c r="E5103" s="68">
        <v>682</v>
      </c>
      <c r="F5103" s="68">
        <v>738</v>
      </c>
      <c r="G5103" s="68">
        <v>1420</v>
      </c>
    </row>
    <row r="5104" spans="1:7" x14ac:dyDescent="0.3">
      <c r="A5104" t="s">
        <v>1224</v>
      </c>
      <c r="B5104" t="s">
        <v>36</v>
      </c>
      <c r="C5104" t="s">
        <v>24</v>
      </c>
      <c r="D5104" t="s">
        <v>9</v>
      </c>
      <c r="E5104" s="68">
        <v>852</v>
      </c>
      <c r="F5104" s="68">
        <v>832</v>
      </c>
      <c r="G5104" s="68">
        <v>1684</v>
      </c>
    </row>
    <row r="5105" spans="1:7" x14ac:dyDescent="0.3">
      <c r="A5105" t="s">
        <v>1224</v>
      </c>
      <c r="B5105" t="s">
        <v>36</v>
      </c>
      <c r="C5105" t="s">
        <v>24</v>
      </c>
      <c r="D5105" t="s">
        <v>10</v>
      </c>
      <c r="E5105" s="68">
        <v>821</v>
      </c>
      <c r="F5105" s="68">
        <v>895</v>
      </c>
      <c r="G5105" s="68">
        <v>1716</v>
      </c>
    </row>
    <row r="5106" spans="1:7" x14ac:dyDescent="0.3">
      <c r="A5106" t="s">
        <v>1224</v>
      </c>
      <c r="B5106" t="s">
        <v>36</v>
      </c>
      <c r="C5106" t="s">
        <v>24</v>
      </c>
      <c r="D5106" t="s">
        <v>11</v>
      </c>
      <c r="E5106" s="68">
        <v>706</v>
      </c>
      <c r="F5106" s="68">
        <v>614</v>
      </c>
      <c r="G5106" s="68">
        <v>1320</v>
      </c>
    </row>
    <row r="5107" spans="1:7" x14ac:dyDescent="0.3">
      <c r="A5107" t="s">
        <v>1224</v>
      </c>
      <c r="B5107" t="s">
        <v>36</v>
      </c>
      <c r="C5107" t="s">
        <v>24</v>
      </c>
      <c r="D5107" t="s">
        <v>12</v>
      </c>
      <c r="E5107" s="68">
        <v>681</v>
      </c>
      <c r="F5107" s="68">
        <v>593</v>
      </c>
      <c r="G5107" s="68">
        <v>1274</v>
      </c>
    </row>
    <row r="5108" spans="1:7" x14ac:dyDescent="0.3">
      <c r="A5108" t="s">
        <v>1224</v>
      </c>
      <c r="B5108" t="s">
        <v>36</v>
      </c>
      <c r="C5108" t="s">
        <v>24</v>
      </c>
      <c r="D5108" t="s">
        <v>13</v>
      </c>
      <c r="E5108" s="68">
        <v>577</v>
      </c>
      <c r="F5108" s="68">
        <v>605</v>
      </c>
      <c r="G5108" s="68">
        <v>1182</v>
      </c>
    </row>
    <row r="5109" spans="1:7" x14ac:dyDescent="0.3">
      <c r="A5109" t="s">
        <v>1224</v>
      </c>
      <c r="B5109" t="s">
        <v>36</v>
      </c>
      <c r="C5109" t="s">
        <v>24</v>
      </c>
      <c r="D5109" t="s">
        <v>14</v>
      </c>
      <c r="E5109" s="68">
        <v>539</v>
      </c>
      <c r="F5109" s="68">
        <v>600</v>
      </c>
      <c r="G5109" s="68">
        <v>1139</v>
      </c>
    </row>
    <row r="5110" spans="1:7" x14ac:dyDescent="0.3">
      <c r="A5110" t="s">
        <v>1224</v>
      </c>
      <c r="B5110" t="s">
        <v>36</v>
      </c>
      <c r="C5110" t="s">
        <v>24</v>
      </c>
      <c r="D5110" t="s">
        <v>15</v>
      </c>
      <c r="E5110" s="68">
        <v>475</v>
      </c>
      <c r="F5110" s="68">
        <v>549</v>
      </c>
      <c r="G5110" s="68">
        <v>1024</v>
      </c>
    </row>
    <row r="5111" spans="1:7" x14ac:dyDescent="0.3">
      <c r="A5111" t="s">
        <v>1224</v>
      </c>
      <c r="B5111" t="s">
        <v>36</v>
      </c>
      <c r="C5111" t="s">
        <v>24</v>
      </c>
      <c r="D5111" t="s">
        <v>16</v>
      </c>
      <c r="E5111" s="68">
        <v>428</v>
      </c>
      <c r="F5111" s="68">
        <v>446</v>
      </c>
      <c r="G5111" s="68">
        <v>874</v>
      </c>
    </row>
    <row r="5112" spans="1:7" x14ac:dyDescent="0.3">
      <c r="A5112" t="s">
        <v>1224</v>
      </c>
      <c r="B5112" t="s">
        <v>36</v>
      </c>
      <c r="C5112" t="s">
        <v>24</v>
      </c>
      <c r="D5112" t="s">
        <v>17</v>
      </c>
      <c r="E5112" s="68">
        <v>335</v>
      </c>
      <c r="F5112" s="68">
        <v>355</v>
      </c>
      <c r="G5112" s="68">
        <v>690</v>
      </c>
    </row>
    <row r="5113" spans="1:7" x14ac:dyDescent="0.3">
      <c r="A5113" t="s">
        <v>1224</v>
      </c>
      <c r="B5113" t="s">
        <v>36</v>
      </c>
      <c r="C5113" t="s">
        <v>24</v>
      </c>
      <c r="D5113" t="s">
        <v>18</v>
      </c>
      <c r="E5113" s="68">
        <v>317</v>
      </c>
      <c r="F5113" s="68">
        <v>342</v>
      </c>
      <c r="G5113" s="68">
        <v>659</v>
      </c>
    </row>
    <row r="5114" spans="1:7" x14ac:dyDescent="0.3">
      <c r="A5114" t="s">
        <v>1224</v>
      </c>
      <c r="B5114" t="s">
        <v>36</v>
      </c>
      <c r="C5114" t="s">
        <v>24</v>
      </c>
      <c r="D5114" t="s">
        <v>19</v>
      </c>
      <c r="E5114" s="68">
        <v>245</v>
      </c>
      <c r="F5114" s="68">
        <v>288</v>
      </c>
      <c r="G5114" s="68">
        <v>533</v>
      </c>
    </row>
    <row r="5115" spans="1:7" x14ac:dyDescent="0.3">
      <c r="A5115" t="s">
        <v>1224</v>
      </c>
      <c r="B5115" t="s">
        <v>36</v>
      </c>
      <c r="C5115" t="s">
        <v>24</v>
      </c>
      <c r="D5115" t="s">
        <v>20</v>
      </c>
      <c r="E5115" s="68">
        <v>196</v>
      </c>
      <c r="F5115" s="68">
        <v>240</v>
      </c>
      <c r="G5115" s="68">
        <v>436</v>
      </c>
    </row>
    <row r="5116" spans="1:7" x14ac:dyDescent="0.3">
      <c r="A5116" t="s">
        <v>1224</v>
      </c>
      <c r="B5116" t="s">
        <v>36</v>
      </c>
      <c r="C5116" t="s">
        <v>24</v>
      </c>
      <c r="D5116" t="s">
        <v>21</v>
      </c>
      <c r="E5116" s="68">
        <v>161</v>
      </c>
      <c r="F5116" s="68">
        <v>148</v>
      </c>
      <c r="G5116" s="68">
        <v>309</v>
      </c>
    </row>
    <row r="5117" spans="1:7" x14ac:dyDescent="0.3">
      <c r="A5117" t="s">
        <v>1224</v>
      </c>
      <c r="B5117" t="s">
        <v>36</v>
      </c>
      <c r="C5117" t="s">
        <v>24</v>
      </c>
      <c r="D5117" t="s">
        <v>22</v>
      </c>
      <c r="E5117" s="68">
        <v>126</v>
      </c>
      <c r="F5117" s="68">
        <v>115</v>
      </c>
      <c r="G5117" s="68">
        <v>241</v>
      </c>
    </row>
    <row r="5118" spans="1:7" x14ac:dyDescent="0.3">
      <c r="A5118" t="s">
        <v>1224</v>
      </c>
      <c r="B5118" t="s">
        <v>36</v>
      </c>
      <c r="C5118" t="s">
        <v>24</v>
      </c>
      <c r="D5118" t="s">
        <v>23</v>
      </c>
      <c r="E5118" s="68">
        <v>209</v>
      </c>
      <c r="F5118" s="68">
        <v>153</v>
      </c>
      <c r="G5118" s="68">
        <v>362</v>
      </c>
    </row>
    <row r="5119" spans="1:7" x14ac:dyDescent="0.3">
      <c r="A5119" t="s">
        <v>1239</v>
      </c>
      <c r="B5119" t="s">
        <v>691</v>
      </c>
      <c r="C5119" t="s">
        <v>6</v>
      </c>
      <c r="D5119" t="s">
        <v>14</v>
      </c>
      <c r="E5119" s="68"/>
      <c r="F5119" s="68">
        <v>1</v>
      </c>
      <c r="G5119" s="68">
        <v>1</v>
      </c>
    </row>
    <row r="5120" spans="1:7" x14ac:dyDescent="0.3">
      <c r="A5120" t="s">
        <v>1239</v>
      </c>
      <c r="B5120" t="s">
        <v>691</v>
      </c>
      <c r="C5120" t="s">
        <v>6</v>
      </c>
      <c r="D5120" t="s">
        <v>22</v>
      </c>
      <c r="E5120" s="68">
        <v>1</v>
      </c>
      <c r="F5120" s="68"/>
      <c r="G5120" s="68">
        <v>1</v>
      </c>
    </row>
    <row r="5121" spans="1:7" x14ac:dyDescent="0.3">
      <c r="A5121" t="s">
        <v>1239</v>
      </c>
      <c r="B5121" t="s">
        <v>30</v>
      </c>
      <c r="C5121" t="s">
        <v>6</v>
      </c>
      <c r="D5121" t="s">
        <v>7</v>
      </c>
      <c r="E5121" s="68">
        <v>31</v>
      </c>
      <c r="F5121" s="68">
        <v>34</v>
      </c>
      <c r="G5121" s="68">
        <v>65</v>
      </c>
    </row>
    <row r="5122" spans="1:7" x14ac:dyDescent="0.3">
      <c r="A5122" t="s">
        <v>1239</v>
      </c>
      <c r="B5122" t="s">
        <v>30</v>
      </c>
      <c r="C5122" t="s">
        <v>6</v>
      </c>
      <c r="D5122" t="s">
        <v>8</v>
      </c>
      <c r="E5122" s="68">
        <v>28</v>
      </c>
      <c r="F5122" s="68">
        <v>48</v>
      </c>
      <c r="G5122" s="68">
        <v>76</v>
      </c>
    </row>
    <row r="5123" spans="1:7" x14ac:dyDescent="0.3">
      <c r="A5123" t="s">
        <v>1239</v>
      </c>
      <c r="B5123" t="s">
        <v>30</v>
      </c>
      <c r="C5123" t="s">
        <v>6</v>
      </c>
      <c r="D5123" t="s">
        <v>9</v>
      </c>
      <c r="E5123" s="68">
        <v>50</v>
      </c>
      <c r="F5123" s="68">
        <v>60</v>
      </c>
      <c r="G5123" s="68">
        <v>110</v>
      </c>
    </row>
    <row r="5124" spans="1:7" x14ac:dyDescent="0.3">
      <c r="A5124" t="s">
        <v>1239</v>
      </c>
      <c r="B5124" t="s">
        <v>30</v>
      </c>
      <c r="C5124" t="s">
        <v>6</v>
      </c>
      <c r="D5124" t="s">
        <v>10</v>
      </c>
      <c r="E5124" s="68">
        <v>72</v>
      </c>
      <c r="F5124" s="68">
        <v>113</v>
      </c>
      <c r="G5124" s="68">
        <v>185</v>
      </c>
    </row>
    <row r="5125" spans="1:7" x14ac:dyDescent="0.3">
      <c r="A5125" t="s">
        <v>1239</v>
      </c>
      <c r="B5125" t="s">
        <v>30</v>
      </c>
      <c r="C5125" t="s">
        <v>6</v>
      </c>
      <c r="D5125" t="s">
        <v>11</v>
      </c>
      <c r="E5125" s="68">
        <v>282</v>
      </c>
      <c r="F5125" s="68">
        <v>432</v>
      </c>
      <c r="G5125" s="68">
        <v>714</v>
      </c>
    </row>
    <row r="5126" spans="1:7" x14ac:dyDescent="0.3">
      <c r="A5126" t="s">
        <v>1239</v>
      </c>
      <c r="B5126" t="s">
        <v>30</v>
      </c>
      <c r="C5126" t="s">
        <v>6</v>
      </c>
      <c r="D5126" t="s">
        <v>12</v>
      </c>
      <c r="E5126" s="68">
        <v>282</v>
      </c>
      <c r="F5126" s="68">
        <v>442</v>
      </c>
      <c r="G5126" s="68">
        <v>724</v>
      </c>
    </row>
    <row r="5127" spans="1:7" x14ac:dyDescent="0.3">
      <c r="A5127" t="s">
        <v>1239</v>
      </c>
      <c r="B5127" t="s">
        <v>30</v>
      </c>
      <c r="C5127" t="s">
        <v>6</v>
      </c>
      <c r="D5127" t="s">
        <v>13</v>
      </c>
      <c r="E5127" s="68">
        <v>218</v>
      </c>
      <c r="F5127" s="68">
        <v>333</v>
      </c>
      <c r="G5127" s="68">
        <v>551</v>
      </c>
    </row>
    <row r="5128" spans="1:7" x14ac:dyDescent="0.3">
      <c r="A5128" t="s">
        <v>1239</v>
      </c>
      <c r="B5128" t="s">
        <v>30</v>
      </c>
      <c r="C5128" t="s">
        <v>6</v>
      </c>
      <c r="D5128" t="s">
        <v>14</v>
      </c>
      <c r="E5128" s="68">
        <v>183</v>
      </c>
      <c r="F5128" s="68">
        <v>316</v>
      </c>
      <c r="G5128" s="68">
        <v>499</v>
      </c>
    </row>
    <row r="5129" spans="1:7" x14ac:dyDescent="0.3">
      <c r="A5129" t="s">
        <v>1239</v>
      </c>
      <c r="B5129" t="s">
        <v>30</v>
      </c>
      <c r="C5129" t="s">
        <v>6</v>
      </c>
      <c r="D5129" t="s">
        <v>15</v>
      </c>
      <c r="E5129" s="68">
        <v>160</v>
      </c>
      <c r="F5129" s="68">
        <v>243</v>
      </c>
      <c r="G5129" s="68">
        <v>403</v>
      </c>
    </row>
    <row r="5130" spans="1:7" x14ac:dyDescent="0.3">
      <c r="A5130" t="s">
        <v>1239</v>
      </c>
      <c r="B5130" t="s">
        <v>30</v>
      </c>
      <c r="C5130" t="s">
        <v>6</v>
      </c>
      <c r="D5130" t="s">
        <v>16</v>
      </c>
      <c r="E5130" s="68">
        <v>130</v>
      </c>
      <c r="F5130" s="68">
        <v>218</v>
      </c>
      <c r="G5130" s="68">
        <v>348</v>
      </c>
    </row>
    <row r="5131" spans="1:7" x14ac:dyDescent="0.3">
      <c r="A5131" t="s">
        <v>1239</v>
      </c>
      <c r="B5131" t="s">
        <v>30</v>
      </c>
      <c r="C5131" t="s">
        <v>6</v>
      </c>
      <c r="D5131" t="s">
        <v>17</v>
      </c>
      <c r="E5131" s="68">
        <v>83</v>
      </c>
      <c r="F5131" s="68">
        <v>181</v>
      </c>
      <c r="G5131" s="68">
        <v>264</v>
      </c>
    </row>
    <row r="5132" spans="1:7" x14ac:dyDescent="0.3">
      <c r="A5132" t="s">
        <v>1239</v>
      </c>
      <c r="B5132" t="s">
        <v>30</v>
      </c>
      <c r="C5132" t="s">
        <v>6</v>
      </c>
      <c r="D5132" t="s">
        <v>18</v>
      </c>
      <c r="E5132" s="68">
        <v>74</v>
      </c>
      <c r="F5132" s="68">
        <v>134</v>
      </c>
      <c r="G5132" s="68">
        <v>208</v>
      </c>
    </row>
    <row r="5133" spans="1:7" x14ac:dyDescent="0.3">
      <c r="A5133" t="s">
        <v>1239</v>
      </c>
      <c r="B5133" t="s">
        <v>30</v>
      </c>
      <c r="C5133" t="s">
        <v>6</v>
      </c>
      <c r="D5133" t="s">
        <v>19</v>
      </c>
      <c r="E5133" s="68">
        <v>66</v>
      </c>
      <c r="F5133" s="68">
        <v>90</v>
      </c>
      <c r="G5133" s="68">
        <v>156</v>
      </c>
    </row>
    <row r="5134" spans="1:7" x14ac:dyDescent="0.3">
      <c r="A5134" t="s">
        <v>1239</v>
      </c>
      <c r="B5134" t="s">
        <v>30</v>
      </c>
      <c r="C5134" t="s">
        <v>6</v>
      </c>
      <c r="D5134" t="s">
        <v>20</v>
      </c>
      <c r="E5134" s="68">
        <v>46</v>
      </c>
      <c r="F5134" s="68">
        <v>84</v>
      </c>
      <c r="G5134" s="68">
        <v>130</v>
      </c>
    </row>
    <row r="5135" spans="1:7" x14ac:dyDescent="0.3">
      <c r="A5135" t="s">
        <v>1239</v>
      </c>
      <c r="B5135" t="s">
        <v>30</v>
      </c>
      <c r="C5135" t="s">
        <v>6</v>
      </c>
      <c r="D5135" t="s">
        <v>21</v>
      </c>
      <c r="E5135" s="68">
        <v>29</v>
      </c>
      <c r="F5135" s="68">
        <v>44</v>
      </c>
      <c r="G5135" s="68">
        <v>73</v>
      </c>
    </row>
    <row r="5136" spans="1:7" x14ac:dyDescent="0.3">
      <c r="A5136" t="s">
        <v>1239</v>
      </c>
      <c r="B5136" t="s">
        <v>30</v>
      </c>
      <c r="C5136" t="s">
        <v>6</v>
      </c>
      <c r="D5136" t="s">
        <v>22</v>
      </c>
      <c r="E5136" s="68">
        <v>16</v>
      </c>
      <c r="F5136" s="68">
        <v>30</v>
      </c>
      <c r="G5136" s="68">
        <v>46</v>
      </c>
    </row>
    <row r="5137" spans="1:7" x14ac:dyDescent="0.3">
      <c r="A5137" t="s">
        <v>1239</v>
      </c>
      <c r="B5137" t="s">
        <v>30</v>
      </c>
      <c r="C5137" t="s">
        <v>6</v>
      </c>
      <c r="D5137" t="s">
        <v>23</v>
      </c>
      <c r="E5137" s="68">
        <v>27</v>
      </c>
      <c r="F5137" s="68">
        <v>25</v>
      </c>
      <c r="G5137" s="68">
        <v>52</v>
      </c>
    </row>
    <row r="5138" spans="1:7" x14ac:dyDescent="0.3">
      <c r="A5138" t="s">
        <v>1239</v>
      </c>
      <c r="B5138" t="s">
        <v>30</v>
      </c>
      <c r="C5138" t="s">
        <v>24</v>
      </c>
      <c r="D5138" t="s">
        <v>7</v>
      </c>
      <c r="E5138" s="68">
        <v>4271</v>
      </c>
      <c r="F5138" s="68">
        <v>4485</v>
      </c>
      <c r="G5138" s="68">
        <v>8756</v>
      </c>
    </row>
    <row r="5139" spans="1:7" x14ac:dyDescent="0.3">
      <c r="A5139" t="s">
        <v>1239</v>
      </c>
      <c r="B5139" t="s">
        <v>30</v>
      </c>
      <c r="C5139" t="s">
        <v>24</v>
      </c>
      <c r="D5139" t="s">
        <v>8</v>
      </c>
      <c r="E5139" s="68">
        <v>6929</v>
      </c>
      <c r="F5139" s="68">
        <v>7468</v>
      </c>
      <c r="G5139" s="68">
        <v>14397</v>
      </c>
    </row>
    <row r="5140" spans="1:7" x14ac:dyDescent="0.3">
      <c r="A5140" t="s">
        <v>1239</v>
      </c>
      <c r="B5140" t="s">
        <v>30</v>
      </c>
      <c r="C5140" t="s">
        <v>24</v>
      </c>
      <c r="D5140" t="s">
        <v>9</v>
      </c>
      <c r="E5140" s="68">
        <v>7147</v>
      </c>
      <c r="F5140" s="68">
        <v>7781</v>
      </c>
      <c r="G5140" s="68">
        <v>14928</v>
      </c>
    </row>
    <row r="5141" spans="1:7" x14ac:dyDescent="0.3">
      <c r="A5141" t="s">
        <v>1239</v>
      </c>
      <c r="B5141" t="s">
        <v>30</v>
      </c>
      <c r="C5141" t="s">
        <v>24</v>
      </c>
      <c r="D5141" t="s">
        <v>10</v>
      </c>
      <c r="E5141" s="68">
        <v>6365</v>
      </c>
      <c r="F5141" s="68">
        <v>6499</v>
      </c>
      <c r="G5141" s="68">
        <v>12864</v>
      </c>
    </row>
    <row r="5142" spans="1:7" x14ac:dyDescent="0.3">
      <c r="A5142" t="s">
        <v>1239</v>
      </c>
      <c r="B5142" t="s">
        <v>30</v>
      </c>
      <c r="C5142" t="s">
        <v>24</v>
      </c>
      <c r="D5142" t="s">
        <v>11</v>
      </c>
      <c r="E5142" s="68">
        <v>5297</v>
      </c>
      <c r="F5142" s="68">
        <v>4464</v>
      </c>
      <c r="G5142" s="68">
        <v>9761</v>
      </c>
    </row>
    <row r="5143" spans="1:7" x14ac:dyDescent="0.3">
      <c r="A5143" t="s">
        <v>1239</v>
      </c>
      <c r="B5143" t="s">
        <v>30</v>
      </c>
      <c r="C5143" t="s">
        <v>24</v>
      </c>
      <c r="D5143" t="s">
        <v>12</v>
      </c>
      <c r="E5143" s="68">
        <v>4622</v>
      </c>
      <c r="F5143" s="68">
        <v>3677</v>
      </c>
      <c r="G5143" s="68">
        <v>8299</v>
      </c>
    </row>
    <row r="5144" spans="1:7" x14ac:dyDescent="0.3">
      <c r="A5144" t="s">
        <v>1239</v>
      </c>
      <c r="B5144" t="s">
        <v>30</v>
      </c>
      <c r="C5144" t="s">
        <v>24</v>
      </c>
      <c r="D5144" t="s">
        <v>13</v>
      </c>
      <c r="E5144" s="68">
        <v>3795</v>
      </c>
      <c r="F5144" s="68">
        <v>3323</v>
      </c>
      <c r="G5144" s="68">
        <v>7118</v>
      </c>
    </row>
    <row r="5145" spans="1:7" x14ac:dyDescent="0.3">
      <c r="A5145" t="s">
        <v>1239</v>
      </c>
      <c r="B5145" t="s">
        <v>30</v>
      </c>
      <c r="C5145" t="s">
        <v>24</v>
      </c>
      <c r="D5145" t="s">
        <v>14</v>
      </c>
      <c r="E5145" s="68">
        <v>3814</v>
      </c>
      <c r="F5145" s="68">
        <v>3140</v>
      </c>
      <c r="G5145" s="68">
        <v>6954</v>
      </c>
    </row>
    <row r="5146" spans="1:7" x14ac:dyDescent="0.3">
      <c r="A5146" t="s">
        <v>1239</v>
      </c>
      <c r="B5146" t="s">
        <v>30</v>
      </c>
      <c r="C5146" t="s">
        <v>24</v>
      </c>
      <c r="D5146" t="s">
        <v>15</v>
      </c>
      <c r="E5146" s="68">
        <v>3433</v>
      </c>
      <c r="F5146" s="68">
        <v>3068</v>
      </c>
      <c r="G5146" s="68">
        <v>6501</v>
      </c>
    </row>
    <row r="5147" spans="1:7" x14ac:dyDescent="0.3">
      <c r="A5147" t="s">
        <v>1239</v>
      </c>
      <c r="B5147" t="s">
        <v>30</v>
      </c>
      <c r="C5147" t="s">
        <v>24</v>
      </c>
      <c r="D5147" t="s">
        <v>16</v>
      </c>
      <c r="E5147" s="68">
        <v>3208</v>
      </c>
      <c r="F5147" s="68">
        <v>2999</v>
      </c>
      <c r="G5147" s="68">
        <v>6207</v>
      </c>
    </row>
    <row r="5148" spans="1:7" x14ac:dyDescent="0.3">
      <c r="A5148" t="s">
        <v>1239</v>
      </c>
      <c r="B5148" t="s">
        <v>30</v>
      </c>
      <c r="C5148" t="s">
        <v>24</v>
      </c>
      <c r="D5148" t="s">
        <v>17</v>
      </c>
      <c r="E5148" s="68">
        <v>2883</v>
      </c>
      <c r="F5148" s="68">
        <v>2902</v>
      </c>
      <c r="G5148" s="68">
        <v>5785</v>
      </c>
    </row>
    <row r="5149" spans="1:7" x14ac:dyDescent="0.3">
      <c r="A5149" t="s">
        <v>1239</v>
      </c>
      <c r="B5149" t="s">
        <v>30</v>
      </c>
      <c r="C5149" t="s">
        <v>24</v>
      </c>
      <c r="D5149" t="s">
        <v>18</v>
      </c>
      <c r="E5149" s="68">
        <v>2997</v>
      </c>
      <c r="F5149" s="68">
        <v>3121</v>
      </c>
      <c r="G5149" s="68">
        <v>6118</v>
      </c>
    </row>
    <row r="5150" spans="1:7" x14ac:dyDescent="0.3">
      <c r="A5150" t="s">
        <v>1239</v>
      </c>
      <c r="B5150" t="s">
        <v>30</v>
      </c>
      <c r="C5150" t="s">
        <v>24</v>
      </c>
      <c r="D5150" t="s">
        <v>19</v>
      </c>
      <c r="E5150" s="68">
        <v>2311</v>
      </c>
      <c r="F5150" s="68">
        <v>2501</v>
      </c>
      <c r="G5150" s="68">
        <v>4812</v>
      </c>
    </row>
    <row r="5151" spans="1:7" x14ac:dyDescent="0.3">
      <c r="A5151" t="s">
        <v>1239</v>
      </c>
      <c r="B5151" t="s">
        <v>30</v>
      </c>
      <c r="C5151" t="s">
        <v>24</v>
      </c>
      <c r="D5151" t="s">
        <v>20</v>
      </c>
      <c r="E5151" s="68">
        <v>1761</v>
      </c>
      <c r="F5151" s="68">
        <v>2084</v>
      </c>
      <c r="G5151" s="68">
        <v>3845</v>
      </c>
    </row>
    <row r="5152" spans="1:7" x14ac:dyDescent="0.3">
      <c r="A5152" t="s">
        <v>1239</v>
      </c>
      <c r="B5152" t="s">
        <v>30</v>
      </c>
      <c r="C5152" t="s">
        <v>24</v>
      </c>
      <c r="D5152" t="s">
        <v>21</v>
      </c>
      <c r="E5152" s="68">
        <v>1301</v>
      </c>
      <c r="F5152" s="68">
        <v>1601</v>
      </c>
      <c r="G5152" s="68">
        <v>2902</v>
      </c>
    </row>
    <row r="5153" spans="1:7" x14ac:dyDescent="0.3">
      <c r="A5153" t="s">
        <v>1239</v>
      </c>
      <c r="B5153" t="s">
        <v>30</v>
      </c>
      <c r="C5153" t="s">
        <v>24</v>
      </c>
      <c r="D5153" t="s">
        <v>22</v>
      </c>
      <c r="E5153" s="68">
        <v>943</v>
      </c>
      <c r="F5153" s="68">
        <v>1039</v>
      </c>
      <c r="G5153" s="68">
        <v>1982</v>
      </c>
    </row>
    <row r="5154" spans="1:7" x14ac:dyDescent="0.3">
      <c r="A5154" t="s">
        <v>1239</v>
      </c>
      <c r="B5154" t="s">
        <v>30</v>
      </c>
      <c r="C5154" t="s">
        <v>24</v>
      </c>
      <c r="D5154" t="s">
        <v>23</v>
      </c>
      <c r="E5154" s="68">
        <v>1402</v>
      </c>
      <c r="F5154" s="68">
        <v>1366</v>
      </c>
      <c r="G5154" s="68">
        <v>2768</v>
      </c>
    </row>
    <row r="5155" spans="1:7" x14ac:dyDescent="0.3">
      <c r="A5155" t="s">
        <v>1239</v>
      </c>
      <c r="B5155" t="s">
        <v>31</v>
      </c>
      <c r="C5155" t="s">
        <v>6</v>
      </c>
      <c r="D5155" t="s">
        <v>7</v>
      </c>
      <c r="E5155" s="68">
        <v>431</v>
      </c>
      <c r="F5155" s="68">
        <v>378</v>
      </c>
      <c r="G5155" s="68">
        <v>809</v>
      </c>
    </row>
    <row r="5156" spans="1:7" x14ac:dyDescent="0.3">
      <c r="A5156" t="s">
        <v>1239</v>
      </c>
      <c r="B5156" t="s">
        <v>31</v>
      </c>
      <c r="C5156" t="s">
        <v>6</v>
      </c>
      <c r="D5156" t="s">
        <v>8</v>
      </c>
      <c r="E5156" s="68">
        <v>378</v>
      </c>
      <c r="F5156" s="68">
        <v>396</v>
      </c>
      <c r="G5156" s="68">
        <v>774</v>
      </c>
    </row>
    <row r="5157" spans="1:7" x14ac:dyDescent="0.3">
      <c r="A5157" t="s">
        <v>1239</v>
      </c>
      <c r="B5157" t="s">
        <v>31</v>
      </c>
      <c r="C5157" t="s">
        <v>6</v>
      </c>
      <c r="D5157" t="s">
        <v>9</v>
      </c>
      <c r="E5157" s="68">
        <v>324</v>
      </c>
      <c r="F5157" s="68">
        <v>338</v>
      </c>
      <c r="G5157" s="68">
        <v>662</v>
      </c>
    </row>
    <row r="5158" spans="1:7" x14ac:dyDescent="0.3">
      <c r="A5158" t="s">
        <v>1239</v>
      </c>
      <c r="B5158" t="s">
        <v>31</v>
      </c>
      <c r="C5158" t="s">
        <v>6</v>
      </c>
      <c r="D5158" t="s">
        <v>10</v>
      </c>
      <c r="E5158" s="68">
        <v>475</v>
      </c>
      <c r="F5158" s="68">
        <v>541</v>
      </c>
      <c r="G5158" s="68">
        <v>1016</v>
      </c>
    </row>
    <row r="5159" spans="1:7" x14ac:dyDescent="0.3">
      <c r="A5159" t="s">
        <v>1239</v>
      </c>
      <c r="B5159" t="s">
        <v>31</v>
      </c>
      <c r="C5159" t="s">
        <v>6</v>
      </c>
      <c r="D5159" t="s">
        <v>11</v>
      </c>
      <c r="E5159" s="68">
        <v>959</v>
      </c>
      <c r="F5159" s="68">
        <v>1658</v>
      </c>
      <c r="G5159" s="68">
        <v>2617</v>
      </c>
    </row>
    <row r="5160" spans="1:7" x14ac:dyDescent="0.3">
      <c r="A5160" t="s">
        <v>1239</v>
      </c>
      <c r="B5160" t="s">
        <v>31</v>
      </c>
      <c r="C5160" t="s">
        <v>6</v>
      </c>
      <c r="D5160" t="s">
        <v>12</v>
      </c>
      <c r="E5160" s="68">
        <v>1042</v>
      </c>
      <c r="F5160" s="68">
        <v>1715</v>
      </c>
      <c r="G5160" s="68">
        <v>2757</v>
      </c>
    </row>
    <row r="5161" spans="1:7" x14ac:dyDescent="0.3">
      <c r="A5161" t="s">
        <v>1239</v>
      </c>
      <c r="B5161" t="s">
        <v>31</v>
      </c>
      <c r="C5161" t="s">
        <v>6</v>
      </c>
      <c r="D5161" t="s">
        <v>13</v>
      </c>
      <c r="E5161" s="68">
        <v>909</v>
      </c>
      <c r="F5161" s="68">
        <v>1406</v>
      </c>
      <c r="G5161" s="68">
        <v>2315</v>
      </c>
    </row>
    <row r="5162" spans="1:7" x14ac:dyDescent="0.3">
      <c r="A5162" t="s">
        <v>1239</v>
      </c>
      <c r="B5162" t="s">
        <v>31</v>
      </c>
      <c r="C5162" t="s">
        <v>6</v>
      </c>
      <c r="D5162" t="s">
        <v>14</v>
      </c>
      <c r="E5162" s="68">
        <v>755</v>
      </c>
      <c r="F5162" s="68">
        <v>1000</v>
      </c>
      <c r="G5162" s="68">
        <v>1755</v>
      </c>
    </row>
    <row r="5163" spans="1:7" x14ac:dyDescent="0.3">
      <c r="A5163" t="s">
        <v>1239</v>
      </c>
      <c r="B5163" t="s">
        <v>31</v>
      </c>
      <c r="C5163" t="s">
        <v>6</v>
      </c>
      <c r="D5163" t="s">
        <v>15</v>
      </c>
      <c r="E5163" s="68">
        <v>683</v>
      </c>
      <c r="F5163" s="68">
        <v>899</v>
      </c>
      <c r="G5163" s="68">
        <v>1582</v>
      </c>
    </row>
    <row r="5164" spans="1:7" x14ac:dyDescent="0.3">
      <c r="A5164" t="s">
        <v>1239</v>
      </c>
      <c r="B5164" t="s">
        <v>31</v>
      </c>
      <c r="C5164" t="s">
        <v>6</v>
      </c>
      <c r="D5164" t="s">
        <v>16</v>
      </c>
      <c r="E5164" s="68">
        <v>514</v>
      </c>
      <c r="F5164" s="68">
        <v>744</v>
      </c>
      <c r="G5164" s="68">
        <v>1258</v>
      </c>
    </row>
    <row r="5165" spans="1:7" x14ac:dyDescent="0.3">
      <c r="A5165" t="s">
        <v>1239</v>
      </c>
      <c r="B5165" t="s">
        <v>31</v>
      </c>
      <c r="C5165" t="s">
        <v>6</v>
      </c>
      <c r="D5165" t="s">
        <v>17</v>
      </c>
      <c r="E5165" s="68">
        <v>388</v>
      </c>
      <c r="F5165" s="68">
        <v>583</v>
      </c>
      <c r="G5165" s="68">
        <v>971</v>
      </c>
    </row>
    <row r="5166" spans="1:7" x14ac:dyDescent="0.3">
      <c r="A5166" t="s">
        <v>1239</v>
      </c>
      <c r="B5166" t="s">
        <v>31</v>
      </c>
      <c r="C5166" t="s">
        <v>6</v>
      </c>
      <c r="D5166" t="s">
        <v>18</v>
      </c>
      <c r="E5166" s="68">
        <v>311</v>
      </c>
      <c r="F5166" s="68">
        <v>445</v>
      </c>
      <c r="G5166" s="68">
        <v>756</v>
      </c>
    </row>
    <row r="5167" spans="1:7" x14ac:dyDescent="0.3">
      <c r="A5167" t="s">
        <v>1239</v>
      </c>
      <c r="B5167" t="s">
        <v>31</v>
      </c>
      <c r="C5167" t="s">
        <v>6</v>
      </c>
      <c r="D5167" t="s">
        <v>19</v>
      </c>
      <c r="E5167" s="68">
        <v>242</v>
      </c>
      <c r="F5167" s="68">
        <v>330</v>
      </c>
      <c r="G5167" s="68">
        <v>572</v>
      </c>
    </row>
    <row r="5168" spans="1:7" x14ac:dyDescent="0.3">
      <c r="A5168" t="s">
        <v>1239</v>
      </c>
      <c r="B5168" t="s">
        <v>31</v>
      </c>
      <c r="C5168" t="s">
        <v>6</v>
      </c>
      <c r="D5168" t="s">
        <v>20</v>
      </c>
      <c r="E5168" s="68">
        <v>175</v>
      </c>
      <c r="F5168" s="68">
        <v>211</v>
      </c>
      <c r="G5168" s="68">
        <v>386</v>
      </c>
    </row>
    <row r="5169" spans="1:7" x14ac:dyDescent="0.3">
      <c r="A5169" t="s">
        <v>1239</v>
      </c>
      <c r="B5169" t="s">
        <v>31</v>
      </c>
      <c r="C5169" t="s">
        <v>6</v>
      </c>
      <c r="D5169" t="s">
        <v>21</v>
      </c>
      <c r="E5169" s="68">
        <v>115</v>
      </c>
      <c r="F5169" s="68">
        <v>127</v>
      </c>
      <c r="G5169" s="68">
        <v>242</v>
      </c>
    </row>
    <row r="5170" spans="1:7" x14ac:dyDescent="0.3">
      <c r="A5170" t="s">
        <v>1239</v>
      </c>
      <c r="B5170" t="s">
        <v>31</v>
      </c>
      <c r="C5170" t="s">
        <v>6</v>
      </c>
      <c r="D5170" t="s">
        <v>22</v>
      </c>
      <c r="E5170" s="68">
        <v>78</v>
      </c>
      <c r="F5170" s="68">
        <v>88</v>
      </c>
      <c r="G5170" s="68">
        <v>166</v>
      </c>
    </row>
    <row r="5171" spans="1:7" x14ac:dyDescent="0.3">
      <c r="A5171" t="s">
        <v>1239</v>
      </c>
      <c r="B5171" t="s">
        <v>31</v>
      </c>
      <c r="C5171" t="s">
        <v>6</v>
      </c>
      <c r="D5171" t="s">
        <v>23</v>
      </c>
      <c r="E5171" s="68">
        <v>117</v>
      </c>
      <c r="F5171" s="68">
        <v>66</v>
      </c>
      <c r="G5171" s="68">
        <v>183</v>
      </c>
    </row>
    <row r="5172" spans="1:7" x14ac:dyDescent="0.3">
      <c r="A5172" t="s">
        <v>1239</v>
      </c>
      <c r="B5172" t="s">
        <v>31</v>
      </c>
      <c r="C5172" t="s">
        <v>24</v>
      </c>
      <c r="D5172" t="s">
        <v>7</v>
      </c>
      <c r="E5172" s="68">
        <v>8872</v>
      </c>
      <c r="F5172" s="68">
        <v>9119</v>
      </c>
      <c r="G5172" s="68">
        <v>17991</v>
      </c>
    </row>
    <row r="5173" spans="1:7" x14ac:dyDescent="0.3">
      <c r="A5173" t="s">
        <v>1239</v>
      </c>
      <c r="B5173" t="s">
        <v>31</v>
      </c>
      <c r="C5173" t="s">
        <v>24</v>
      </c>
      <c r="D5173" t="s">
        <v>8</v>
      </c>
      <c r="E5173" s="68">
        <v>11500</v>
      </c>
      <c r="F5173" s="68">
        <v>12248</v>
      </c>
      <c r="G5173" s="68">
        <v>23748</v>
      </c>
    </row>
    <row r="5174" spans="1:7" x14ac:dyDescent="0.3">
      <c r="A5174" t="s">
        <v>1239</v>
      </c>
      <c r="B5174" t="s">
        <v>31</v>
      </c>
      <c r="C5174" t="s">
        <v>24</v>
      </c>
      <c r="D5174" t="s">
        <v>9</v>
      </c>
      <c r="E5174" s="68">
        <v>13175</v>
      </c>
      <c r="F5174" s="68">
        <v>13656</v>
      </c>
      <c r="G5174" s="68">
        <v>26831</v>
      </c>
    </row>
    <row r="5175" spans="1:7" x14ac:dyDescent="0.3">
      <c r="A5175" t="s">
        <v>1239</v>
      </c>
      <c r="B5175" t="s">
        <v>31</v>
      </c>
      <c r="C5175" t="s">
        <v>24</v>
      </c>
      <c r="D5175" t="s">
        <v>10</v>
      </c>
      <c r="E5175" s="68">
        <v>14417</v>
      </c>
      <c r="F5175" s="68">
        <v>14834</v>
      </c>
      <c r="G5175" s="68">
        <v>29251</v>
      </c>
    </row>
    <row r="5176" spans="1:7" x14ac:dyDescent="0.3">
      <c r="A5176" t="s">
        <v>1239</v>
      </c>
      <c r="B5176" t="s">
        <v>31</v>
      </c>
      <c r="C5176" t="s">
        <v>24</v>
      </c>
      <c r="D5176" t="s">
        <v>11</v>
      </c>
      <c r="E5176" s="68">
        <v>11546</v>
      </c>
      <c r="F5176" s="68">
        <v>9721</v>
      </c>
      <c r="G5176" s="68">
        <v>21267</v>
      </c>
    </row>
    <row r="5177" spans="1:7" x14ac:dyDescent="0.3">
      <c r="A5177" t="s">
        <v>1239</v>
      </c>
      <c r="B5177" t="s">
        <v>31</v>
      </c>
      <c r="C5177" t="s">
        <v>24</v>
      </c>
      <c r="D5177" t="s">
        <v>12</v>
      </c>
      <c r="E5177" s="68">
        <v>10024</v>
      </c>
      <c r="F5177" s="68">
        <v>8316</v>
      </c>
      <c r="G5177" s="68">
        <v>18340</v>
      </c>
    </row>
    <row r="5178" spans="1:7" x14ac:dyDescent="0.3">
      <c r="A5178" t="s">
        <v>1239</v>
      </c>
      <c r="B5178" t="s">
        <v>31</v>
      </c>
      <c r="C5178" t="s">
        <v>24</v>
      </c>
      <c r="D5178" t="s">
        <v>13</v>
      </c>
      <c r="E5178" s="68">
        <v>9385</v>
      </c>
      <c r="F5178" s="68">
        <v>7479</v>
      </c>
      <c r="G5178" s="68">
        <v>16864</v>
      </c>
    </row>
    <row r="5179" spans="1:7" x14ac:dyDescent="0.3">
      <c r="A5179" t="s">
        <v>1239</v>
      </c>
      <c r="B5179" t="s">
        <v>31</v>
      </c>
      <c r="C5179" t="s">
        <v>24</v>
      </c>
      <c r="D5179" t="s">
        <v>14</v>
      </c>
      <c r="E5179" s="68">
        <v>8437</v>
      </c>
      <c r="F5179" s="68">
        <v>6885</v>
      </c>
      <c r="G5179" s="68">
        <v>15322</v>
      </c>
    </row>
    <row r="5180" spans="1:7" x14ac:dyDescent="0.3">
      <c r="A5180" t="s">
        <v>1239</v>
      </c>
      <c r="B5180" t="s">
        <v>31</v>
      </c>
      <c r="C5180" t="s">
        <v>24</v>
      </c>
      <c r="D5180" t="s">
        <v>15</v>
      </c>
      <c r="E5180" s="68">
        <v>8581</v>
      </c>
      <c r="F5180" s="68">
        <v>7172</v>
      </c>
      <c r="G5180" s="68">
        <v>15753</v>
      </c>
    </row>
    <row r="5181" spans="1:7" x14ac:dyDescent="0.3">
      <c r="A5181" t="s">
        <v>1239</v>
      </c>
      <c r="B5181" t="s">
        <v>31</v>
      </c>
      <c r="C5181" t="s">
        <v>24</v>
      </c>
      <c r="D5181" t="s">
        <v>16</v>
      </c>
      <c r="E5181" s="68">
        <v>8374</v>
      </c>
      <c r="F5181" s="68">
        <v>7396</v>
      </c>
      <c r="G5181" s="68">
        <v>15770</v>
      </c>
    </row>
    <row r="5182" spans="1:7" x14ac:dyDescent="0.3">
      <c r="A5182" t="s">
        <v>1239</v>
      </c>
      <c r="B5182" t="s">
        <v>31</v>
      </c>
      <c r="C5182" t="s">
        <v>24</v>
      </c>
      <c r="D5182" t="s">
        <v>17</v>
      </c>
      <c r="E5182" s="68">
        <v>7475</v>
      </c>
      <c r="F5182" s="68">
        <v>7096</v>
      </c>
      <c r="G5182" s="68">
        <v>14571</v>
      </c>
    </row>
    <row r="5183" spans="1:7" x14ac:dyDescent="0.3">
      <c r="A5183" t="s">
        <v>1239</v>
      </c>
      <c r="B5183" t="s">
        <v>31</v>
      </c>
      <c r="C5183" t="s">
        <v>24</v>
      </c>
      <c r="D5183" t="s">
        <v>18</v>
      </c>
      <c r="E5183" s="68">
        <v>7039</v>
      </c>
      <c r="F5183" s="68">
        <v>6908</v>
      </c>
      <c r="G5183" s="68">
        <v>13947</v>
      </c>
    </row>
    <row r="5184" spans="1:7" x14ac:dyDescent="0.3">
      <c r="A5184" t="s">
        <v>1239</v>
      </c>
      <c r="B5184" t="s">
        <v>31</v>
      </c>
      <c r="C5184" t="s">
        <v>24</v>
      </c>
      <c r="D5184" t="s">
        <v>19</v>
      </c>
      <c r="E5184" s="68">
        <v>6651</v>
      </c>
      <c r="F5184" s="68">
        <v>6765</v>
      </c>
      <c r="G5184" s="68">
        <v>13416</v>
      </c>
    </row>
    <row r="5185" spans="1:7" x14ac:dyDescent="0.3">
      <c r="A5185" t="s">
        <v>1239</v>
      </c>
      <c r="B5185" t="s">
        <v>31</v>
      </c>
      <c r="C5185" t="s">
        <v>24</v>
      </c>
      <c r="D5185" t="s">
        <v>20</v>
      </c>
      <c r="E5185" s="68">
        <v>5514</v>
      </c>
      <c r="F5185" s="68">
        <v>5714</v>
      </c>
      <c r="G5185" s="68">
        <v>11228</v>
      </c>
    </row>
    <row r="5186" spans="1:7" x14ac:dyDescent="0.3">
      <c r="A5186" t="s">
        <v>1239</v>
      </c>
      <c r="B5186" t="s">
        <v>31</v>
      </c>
      <c r="C5186" t="s">
        <v>24</v>
      </c>
      <c r="D5186" t="s">
        <v>21</v>
      </c>
      <c r="E5186" s="68">
        <v>3799</v>
      </c>
      <c r="F5186" s="68">
        <v>4108</v>
      </c>
      <c r="G5186" s="68">
        <v>7907</v>
      </c>
    </row>
    <row r="5187" spans="1:7" x14ac:dyDescent="0.3">
      <c r="A5187" t="s">
        <v>1239</v>
      </c>
      <c r="B5187" t="s">
        <v>31</v>
      </c>
      <c r="C5187" t="s">
        <v>24</v>
      </c>
      <c r="D5187" t="s">
        <v>22</v>
      </c>
      <c r="E5187" s="68">
        <v>2720</v>
      </c>
      <c r="F5187" s="68">
        <v>2788</v>
      </c>
      <c r="G5187" s="68">
        <v>5508</v>
      </c>
    </row>
    <row r="5188" spans="1:7" x14ac:dyDescent="0.3">
      <c r="A5188" t="s">
        <v>1239</v>
      </c>
      <c r="B5188" t="s">
        <v>31</v>
      </c>
      <c r="C5188" t="s">
        <v>24</v>
      </c>
      <c r="D5188" t="s">
        <v>23</v>
      </c>
      <c r="E5188" s="68">
        <v>3882</v>
      </c>
      <c r="F5188" s="68">
        <v>3793</v>
      </c>
      <c r="G5188" s="68">
        <v>7675</v>
      </c>
    </row>
    <row r="5189" spans="1:7" x14ac:dyDescent="0.3">
      <c r="A5189" t="s">
        <v>1239</v>
      </c>
      <c r="B5189" t="s">
        <v>537</v>
      </c>
      <c r="C5189" t="s">
        <v>6</v>
      </c>
      <c r="D5189" t="s">
        <v>7</v>
      </c>
      <c r="E5189" s="68">
        <v>12</v>
      </c>
      <c r="F5189" s="68">
        <v>9</v>
      </c>
      <c r="G5189" s="68">
        <v>21</v>
      </c>
    </row>
    <row r="5190" spans="1:7" x14ac:dyDescent="0.3">
      <c r="A5190" t="s">
        <v>1239</v>
      </c>
      <c r="B5190" t="s">
        <v>537</v>
      </c>
      <c r="C5190" t="s">
        <v>6</v>
      </c>
      <c r="D5190" t="s">
        <v>8</v>
      </c>
      <c r="E5190" s="68">
        <v>7</v>
      </c>
      <c r="F5190" s="68">
        <v>6</v>
      </c>
      <c r="G5190" s="68">
        <v>13</v>
      </c>
    </row>
    <row r="5191" spans="1:7" x14ac:dyDescent="0.3">
      <c r="A5191" t="s">
        <v>1239</v>
      </c>
      <c r="B5191" t="s">
        <v>537</v>
      </c>
      <c r="C5191" t="s">
        <v>6</v>
      </c>
      <c r="D5191" t="s">
        <v>9</v>
      </c>
      <c r="E5191" s="68">
        <v>1</v>
      </c>
      <c r="F5191" s="68">
        <v>4</v>
      </c>
      <c r="G5191" s="68">
        <v>5</v>
      </c>
    </row>
    <row r="5192" spans="1:7" x14ac:dyDescent="0.3">
      <c r="A5192" t="s">
        <v>1239</v>
      </c>
      <c r="B5192" t="s">
        <v>537</v>
      </c>
      <c r="C5192" t="s">
        <v>6</v>
      </c>
      <c r="D5192" t="s">
        <v>10</v>
      </c>
      <c r="E5192" s="68">
        <v>3</v>
      </c>
      <c r="F5192" s="68">
        <v>6</v>
      </c>
      <c r="G5192" s="68">
        <v>9</v>
      </c>
    </row>
    <row r="5193" spans="1:7" x14ac:dyDescent="0.3">
      <c r="A5193" t="s">
        <v>1239</v>
      </c>
      <c r="B5193" t="s">
        <v>537</v>
      </c>
      <c r="C5193" t="s">
        <v>6</v>
      </c>
      <c r="D5193" t="s">
        <v>11</v>
      </c>
      <c r="E5193" s="68">
        <v>12</v>
      </c>
      <c r="F5193" s="68">
        <v>25</v>
      </c>
      <c r="G5193" s="68">
        <v>37</v>
      </c>
    </row>
    <row r="5194" spans="1:7" x14ac:dyDescent="0.3">
      <c r="A5194" t="s">
        <v>1239</v>
      </c>
      <c r="B5194" t="s">
        <v>537</v>
      </c>
      <c r="C5194" t="s">
        <v>6</v>
      </c>
      <c r="D5194" t="s">
        <v>12</v>
      </c>
      <c r="E5194" s="68">
        <v>20</v>
      </c>
      <c r="F5194" s="68">
        <v>33</v>
      </c>
      <c r="G5194" s="68">
        <v>53</v>
      </c>
    </row>
    <row r="5195" spans="1:7" x14ac:dyDescent="0.3">
      <c r="A5195" t="s">
        <v>1239</v>
      </c>
      <c r="B5195" t="s">
        <v>537</v>
      </c>
      <c r="C5195" t="s">
        <v>6</v>
      </c>
      <c r="D5195" t="s">
        <v>13</v>
      </c>
      <c r="E5195" s="68">
        <v>18</v>
      </c>
      <c r="F5195" s="68">
        <v>33</v>
      </c>
      <c r="G5195" s="68">
        <v>51</v>
      </c>
    </row>
    <row r="5196" spans="1:7" x14ac:dyDescent="0.3">
      <c r="A5196" t="s">
        <v>1239</v>
      </c>
      <c r="B5196" t="s">
        <v>537</v>
      </c>
      <c r="C5196" t="s">
        <v>6</v>
      </c>
      <c r="D5196" t="s">
        <v>14</v>
      </c>
      <c r="E5196" s="68">
        <v>20</v>
      </c>
      <c r="F5196" s="68">
        <v>17</v>
      </c>
      <c r="G5196" s="68">
        <v>37</v>
      </c>
    </row>
    <row r="5197" spans="1:7" x14ac:dyDescent="0.3">
      <c r="A5197" t="s">
        <v>1239</v>
      </c>
      <c r="B5197" t="s">
        <v>537</v>
      </c>
      <c r="C5197" t="s">
        <v>6</v>
      </c>
      <c r="D5197" t="s">
        <v>15</v>
      </c>
      <c r="E5197" s="68">
        <v>11</v>
      </c>
      <c r="F5197" s="68">
        <v>15</v>
      </c>
      <c r="G5197" s="68">
        <v>26</v>
      </c>
    </row>
    <row r="5198" spans="1:7" x14ac:dyDescent="0.3">
      <c r="A5198" t="s">
        <v>1239</v>
      </c>
      <c r="B5198" t="s">
        <v>537</v>
      </c>
      <c r="C5198" t="s">
        <v>6</v>
      </c>
      <c r="D5198" t="s">
        <v>16</v>
      </c>
      <c r="E5198" s="68">
        <v>7</v>
      </c>
      <c r="F5198" s="68">
        <v>15</v>
      </c>
      <c r="G5198" s="68">
        <v>22</v>
      </c>
    </row>
    <row r="5199" spans="1:7" x14ac:dyDescent="0.3">
      <c r="A5199" t="s">
        <v>1239</v>
      </c>
      <c r="B5199" t="s">
        <v>537</v>
      </c>
      <c r="C5199" t="s">
        <v>6</v>
      </c>
      <c r="D5199" t="s">
        <v>17</v>
      </c>
      <c r="E5199" s="68">
        <v>7</v>
      </c>
      <c r="F5199" s="68">
        <v>9</v>
      </c>
      <c r="G5199" s="68">
        <v>16</v>
      </c>
    </row>
    <row r="5200" spans="1:7" x14ac:dyDescent="0.3">
      <c r="A5200" t="s">
        <v>1239</v>
      </c>
      <c r="B5200" t="s">
        <v>537</v>
      </c>
      <c r="C5200" t="s">
        <v>6</v>
      </c>
      <c r="D5200" t="s">
        <v>18</v>
      </c>
      <c r="E5200" s="68">
        <v>8</v>
      </c>
      <c r="F5200" s="68">
        <v>1</v>
      </c>
      <c r="G5200" s="68">
        <v>9</v>
      </c>
    </row>
    <row r="5201" spans="1:7" x14ac:dyDescent="0.3">
      <c r="A5201" t="s">
        <v>1239</v>
      </c>
      <c r="B5201" t="s">
        <v>537</v>
      </c>
      <c r="C5201" t="s">
        <v>6</v>
      </c>
      <c r="D5201" t="s">
        <v>19</v>
      </c>
      <c r="E5201" s="68">
        <v>1</v>
      </c>
      <c r="F5201" s="68">
        <v>3</v>
      </c>
      <c r="G5201" s="68">
        <v>4</v>
      </c>
    </row>
    <row r="5202" spans="1:7" x14ac:dyDescent="0.3">
      <c r="A5202" t="s">
        <v>1239</v>
      </c>
      <c r="B5202" t="s">
        <v>537</v>
      </c>
      <c r="C5202" t="s">
        <v>6</v>
      </c>
      <c r="D5202" t="s">
        <v>20</v>
      </c>
      <c r="E5202" s="68"/>
      <c r="F5202" s="68">
        <v>2</v>
      </c>
      <c r="G5202" s="68">
        <v>2</v>
      </c>
    </row>
    <row r="5203" spans="1:7" x14ac:dyDescent="0.3">
      <c r="A5203" t="s">
        <v>1239</v>
      </c>
      <c r="B5203" t="s">
        <v>537</v>
      </c>
      <c r="C5203" t="s">
        <v>6</v>
      </c>
      <c r="D5203" t="s">
        <v>21</v>
      </c>
      <c r="E5203" s="68"/>
      <c r="F5203" s="68">
        <v>2</v>
      </c>
      <c r="G5203" s="68">
        <v>2</v>
      </c>
    </row>
    <row r="5204" spans="1:7" x14ac:dyDescent="0.3">
      <c r="A5204" t="s">
        <v>1239</v>
      </c>
      <c r="B5204" t="s">
        <v>537</v>
      </c>
      <c r="C5204" t="s">
        <v>24</v>
      </c>
      <c r="D5204" t="s">
        <v>7</v>
      </c>
      <c r="E5204" s="68">
        <v>847</v>
      </c>
      <c r="F5204" s="68">
        <v>893</v>
      </c>
      <c r="G5204" s="68">
        <v>1740</v>
      </c>
    </row>
    <row r="5205" spans="1:7" x14ac:dyDescent="0.3">
      <c r="A5205" t="s">
        <v>1239</v>
      </c>
      <c r="B5205" t="s">
        <v>537</v>
      </c>
      <c r="C5205" t="s">
        <v>24</v>
      </c>
      <c r="D5205" t="s">
        <v>8</v>
      </c>
      <c r="E5205" s="68">
        <v>1233</v>
      </c>
      <c r="F5205" s="68">
        <v>1250</v>
      </c>
      <c r="G5205" s="68">
        <v>2483</v>
      </c>
    </row>
    <row r="5206" spans="1:7" x14ac:dyDescent="0.3">
      <c r="A5206" t="s">
        <v>1239</v>
      </c>
      <c r="B5206" t="s">
        <v>537</v>
      </c>
      <c r="C5206" t="s">
        <v>24</v>
      </c>
      <c r="D5206" t="s">
        <v>9</v>
      </c>
      <c r="E5206" s="68">
        <v>1245</v>
      </c>
      <c r="F5206" s="68">
        <v>1337</v>
      </c>
      <c r="G5206" s="68">
        <v>2582</v>
      </c>
    </row>
    <row r="5207" spans="1:7" x14ac:dyDescent="0.3">
      <c r="A5207" t="s">
        <v>1239</v>
      </c>
      <c r="B5207" t="s">
        <v>537</v>
      </c>
      <c r="C5207" t="s">
        <v>24</v>
      </c>
      <c r="D5207" t="s">
        <v>10</v>
      </c>
      <c r="E5207" s="68">
        <v>1100</v>
      </c>
      <c r="F5207" s="68">
        <v>1134</v>
      </c>
      <c r="G5207" s="68">
        <v>2234</v>
      </c>
    </row>
    <row r="5208" spans="1:7" x14ac:dyDescent="0.3">
      <c r="A5208" t="s">
        <v>1239</v>
      </c>
      <c r="B5208" t="s">
        <v>537</v>
      </c>
      <c r="C5208" t="s">
        <v>24</v>
      </c>
      <c r="D5208" t="s">
        <v>11</v>
      </c>
      <c r="E5208" s="68">
        <v>818</v>
      </c>
      <c r="F5208" s="68">
        <v>778</v>
      </c>
      <c r="G5208" s="68">
        <v>1596</v>
      </c>
    </row>
    <row r="5209" spans="1:7" x14ac:dyDescent="0.3">
      <c r="A5209" t="s">
        <v>1239</v>
      </c>
      <c r="B5209" t="s">
        <v>537</v>
      </c>
      <c r="C5209" t="s">
        <v>24</v>
      </c>
      <c r="D5209" t="s">
        <v>12</v>
      </c>
      <c r="E5209" s="68">
        <v>712</v>
      </c>
      <c r="F5209" s="68">
        <v>672</v>
      </c>
      <c r="G5209" s="68">
        <v>1384</v>
      </c>
    </row>
    <row r="5210" spans="1:7" x14ac:dyDescent="0.3">
      <c r="A5210" t="s">
        <v>1239</v>
      </c>
      <c r="B5210" t="s">
        <v>537</v>
      </c>
      <c r="C5210" t="s">
        <v>24</v>
      </c>
      <c r="D5210" t="s">
        <v>13</v>
      </c>
      <c r="E5210" s="68">
        <v>577</v>
      </c>
      <c r="F5210" s="68">
        <v>486</v>
      </c>
      <c r="G5210" s="68">
        <v>1063</v>
      </c>
    </row>
    <row r="5211" spans="1:7" x14ac:dyDescent="0.3">
      <c r="A5211" t="s">
        <v>1239</v>
      </c>
      <c r="B5211" t="s">
        <v>537</v>
      </c>
      <c r="C5211" t="s">
        <v>24</v>
      </c>
      <c r="D5211" t="s">
        <v>14</v>
      </c>
      <c r="E5211" s="68">
        <v>486</v>
      </c>
      <c r="F5211" s="68">
        <v>460</v>
      </c>
      <c r="G5211" s="68">
        <v>946</v>
      </c>
    </row>
    <row r="5212" spans="1:7" x14ac:dyDescent="0.3">
      <c r="A5212" t="s">
        <v>1239</v>
      </c>
      <c r="B5212" t="s">
        <v>537</v>
      </c>
      <c r="C5212" t="s">
        <v>24</v>
      </c>
      <c r="D5212" t="s">
        <v>15</v>
      </c>
      <c r="E5212" s="68">
        <v>382</v>
      </c>
      <c r="F5212" s="68">
        <v>324</v>
      </c>
      <c r="G5212" s="68">
        <v>706</v>
      </c>
    </row>
    <row r="5213" spans="1:7" x14ac:dyDescent="0.3">
      <c r="A5213" t="s">
        <v>1239</v>
      </c>
      <c r="B5213" t="s">
        <v>537</v>
      </c>
      <c r="C5213" t="s">
        <v>24</v>
      </c>
      <c r="D5213" t="s">
        <v>16</v>
      </c>
      <c r="E5213" s="68">
        <v>270</v>
      </c>
      <c r="F5213" s="68">
        <v>243</v>
      </c>
      <c r="G5213" s="68">
        <v>513</v>
      </c>
    </row>
    <row r="5214" spans="1:7" x14ac:dyDescent="0.3">
      <c r="A5214" t="s">
        <v>1239</v>
      </c>
      <c r="B5214" t="s">
        <v>537</v>
      </c>
      <c r="C5214" t="s">
        <v>24</v>
      </c>
      <c r="D5214" t="s">
        <v>17</v>
      </c>
      <c r="E5214" s="68">
        <v>229</v>
      </c>
      <c r="F5214" s="68">
        <v>225</v>
      </c>
      <c r="G5214" s="68">
        <v>454</v>
      </c>
    </row>
    <row r="5215" spans="1:7" x14ac:dyDescent="0.3">
      <c r="A5215" t="s">
        <v>1239</v>
      </c>
      <c r="B5215" t="s">
        <v>537</v>
      </c>
      <c r="C5215" t="s">
        <v>24</v>
      </c>
      <c r="D5215" t="s">
        <v>18</v>
      </c>
      <c r="E5215" s="68">
        <v>152</v>
      </c>
      <c r="F5215" s="68">
        <v>172</v>
      </c>
      <c r="G5215" s="68">
        <v>324</v>
      </c>
    </row>
    <row r="5216" spans="1:7" x14ac:dyDescent="0.3">
      <c r="A5216" t="s">
        <v>1239</v>
      </c>
      <c r="B5216" t="s">
        <v>537</v>
      </c>
      <c r="C5216" t="s">
        <v>24</v>
      </c>
      <c r="D5216" t="s">
        <v>19</v>
      </c>
      <c r="E5216" s="68">
        <v>126</v>
      </c>
      <c r="F5216" s="68">
        <v>130</v>
      </c>
      <c r="G5216" s="68">
        <v>256</v>
      </c>
    </row>
    <row r="5217" spans="1:7" x14ac:dyDescent="0.3">
      <c r="A5217" t="s">
        <v>1239</v>
      </c>
      <c r="B5217" t="s">
        <v>537</v>
      </c>
      <c r="C5217" t="s">
        <v>24</v>
      </c>
      <c r="D5217" t="s">
        <v>20</v>
      </c>
      <c r="E5217" s="68">
        <v>91</v>
      </c>
      <c r="F5217" s="68">
        <v>112</v>
      </c>
      <c r="G5217" s="68">
        <v>203</v>
      </c>
    </row>
    <row r="5218" spans="1:7" x14ac:dyDescent="0.3">
      <c r="A5218" t="s">
        <v>1239</v>
      </c>
      <c r="B5218" t="s">
        <v>537</v>
      </c>
      <c r="C5218" t="s">
        <v>24</v>
      </c>
      <c r="D5218" t="s">
        <v>21</v>
      </c>
      <c r="E5218" s="68">
        <v>65</v>
      </c>
      <c r="F5218" s="68">
        <v>64</v>
      </c>
      <c r="G5218" s="68">
        <v>129</v>
      </c>
    </row>
    <row r="5219" spans="1:7" x14ac:dyDescent="0.3">
      <c r="A5219" t="s">
        <v>1239</v>
      </c>
      <c r="B5219" t="s">
        <v>537</v>
      </c>
      <c r="C5219" t="s">
        <v>24</v>
      </c>
      <c r="D5219" t="s">
        <v>22</v>
      </c>
      <c r="E5219" s="68">
        <v>43</v>
      </c>
      <c r="F5219" s="68">
        <v>46</v>
      </c>
      <c r="G5219" s="68">
        <v>89</v>
      </c>
    </row>
    <row r="5220" spans="1:7" x14ac:dyDescent="0.3">
      <c r="A5220" t="s">
        <v>1239</v>
      </c>
      <c r="B5220" t="s">
        <v>537</v>
      </c>
      <c r="C5220" t="s">
        <v>24</v>
      </c>
      <c r="D5220" t="s">
        <v>23</v>
      </c>
      <c r="E5220" s="68">
        <v>50</v>
      </c>
      <c r="F5220" s="68">
        <v>83</v>
      </c>
      <c r="G5220" s="68">
        <v>133</v>
      </c>
    </row>
    <row r="5221" spans="1:7" x14ac:dyDescent="0.3">
      <c r="A5221" t="s">
        <v>1239</v>
      </c>
      <c r="B5221" t="s">
        <v>32</v>
      </c>
      <c r="C5221" t="s">
        <v>6</v>
      </c>
      <c r="D5221" t="s">
        <v>10</v>
      </c>
      <c r="E5221" s="68"/>
      <c r="F5221" s="68">
        <v>1</v>
      </c>
      <c r="G5221" s="68">
        <v>1</v>
      </c>
    </row>
    <row r="5222" spans="1:7" x14ac:dyDescent="0.3">
      <c r="A5222" t="s">
        <v>1239</v>
      </c>
      <c r="B5222" t="s">
        <v>32</v>
      </c>
      <c r="C5222" t="s">
        <v>6</v>
      </c>
      <c r="D5222" t="s">
        <v>11</v>
      </c>
      <c r="E5222" s="68">
        <v>4</v>
      </c>
      <c r="F5222" s="68">
        <v>12</v>
      </c>
      <c r="G5222" s="68">
        <v>16</v>
      </c>
    </row>
    <row r="5223" spans="1:7" x14ac:dyDescent="0.3">
      <c r="A5223" t="s">
        <v>1239</v>
      </c>
      <c r="B5223" t="s">
        <v>32</v>
      </c>
      <c r="C5223" t="s">
        <v>6</v>
      </c>
      <c r="D5223" t="s">
        <v>12</v>
      </c>
      <c r="E5223" s="68">
        <v>3</v>
      </c>
      <c r="F5223" s="68">
        <v>7</v>
      </c>
      <c r="G5223" s="68">
        <v>10</v>
      </c>
    </row>
    <row r="5224" spans="1:7" x14ac:dyDescent="0.3">
      <c r="A5224" t="s">
        <v>1239</v>
      </c>
      <c r="B5224" t="s">
        <v>32</v>
      </c>
      <c r="C5224" t="s">
        <v>6</v>
      </c>
      <c r="D5224" t="s">
        <v>13</v>
      </c>
      <c r="E5224" s="68"/>
      <c r="F5224" s="68">
        <v>3</v>
      </c>
      <c r="G5224" s="68">
        <v>3</v>
      </c>
    </row>
    <row r="5225" spans="1:7" x14ac:dyDescent="0.3">
      <c r="A5225" t="s">
        <v>1239</v>
      </c>
      <c r="B5225" t="s">
        <v>32</v>
      </c>
      <c r="C5225" t="s">
        <v>6</v>
      </c>
      <c r="D5225" t="s">
        <v>14</v>
      </c>
      <c r="E5225" s="68">
        <v>3</v>
      </c>
      <c r="F5225" s="68">
        <v>1</v>
      </c>
      <c r="G5225" s="68">
        <v>4</v>
      </c>
    </row>
    <row r="5226" spans="1:7" x14ac:dyDescent="0.3">
      <c r="A5226" t="s">
        <v>1239</v>
      </c>
      <c r="B5226" t="s">
        <v>32</v>
      </c>
      <c r="C5226" t="s">
        <v>6</v>
      </c>
      <c r="D5226" t="s">
        <v>15</v>
      </c>
      <c r="E5226" s="68"/>
      <c r="F5226" s="68">
        <v>2</v>
      </c>
      <c r="G5226" s="68">
        <v>2</v>
      </c>
    </row>
    <row r="5227" spans="1:7" x14ac:dyDescent="0.3">
      <c r="A5227" t="s">
        <v>1239</v>
      </c>
      <c r="B5227" t="s">
        <v>32</v>
      </c>
      <c r="C5227" t="s">
        <v>6</v>
      </c>
      <c r="D5227" t="s">
        <v>16</v>
      </c>
      <c r="E5227" s="68"/>
      <c r="F5227" s="68">
        <v>1</v>
      </c>
      <c r="G5227" s="68">
        <v>1</v>
      </c>
    </row>
    <row r="5228" spans="1:7" x14ac:dyDescent="0.3">
      <c r="A5228" t="s">
        <v>1239</v>
      </c>
      <c r="B5228" t="s">
        <v>32</v>
      </c>
      <c r="C5228" t="s">
        <v>6</v>
      </c>
      <c r="D5228" t="s">
        <v>17</v>
      </c>
      <c r="E5228" s="68">
        <v>1</v>
      </c>
      <c r="F5228" s="68">
        <v>1</v>
      </c>
      <c r="G5228" s="68">
        <v>2</v>
      </c>
    </row>
    <row r="5229" spans="1:7" x14ac:dyDescent="0.3">
      <c r="A5229" t="s">
        <v>1239</v>
      </c>
      <c r="B5229" t="s">
        <v>32</v>
      </c>
      <c r="C5229" t="s">
        <v>6</v>
      </c>
      <c r="D5229" t="s">
        <v>18</v>
      </c>
      <c r="E5229" s="68"/>
      <c r="F5229" s="68">
        <v>1</v>
      </c>
      <c r="G5229" s="68">
        <v>1</v>
      </c>
    </row>
    <row r="5230" spans="1:7" x14ac:dyDescent="0.3">
      <c r="A5230" t="s">
        <v>1239</v>
      </c>
      <c r="B5230" t="s">
        <v>32</v>
      </c>
      <c r="C5230" t="s">
        <v>6</v>
      </c>
      <c r="D5230" t="s">
        <v>19</v>
      </c>
      <c r="E5230" s="68"/>
      <c r="F5230" s="68">
        <v>2</v>
      </c>
      <c r="G5230" s="68">
        <v>2</v>
      </c>
    </row>
    <row r="5231" spans="1:7" x14ac:dyDescent="0.3">
      <c r="A5231" t="s">
        <v>1239</v>
      </c>
      <c r="B5231" t="s">
        <v>32</v>
      </c>
      <c r="C5231" t="s">
        <v>6</v>
      </c>
      <c r="D5231" t="s">
        <v>20</v>
      </c>
      <c r="E5231" s="68"/>
      <c r="F5231" s="68">
        <v>1</v>
      </c>
      <c r="G5231" s="68">
        <v>1</v>
      </c>
    </row>
    <row r="5232" spans="1:7" x14ac:dyDescent="0.3">
      <c r="A5232" t="s">
        <v>1239</v>
      </c>
      <c r="B5232" t="s">
        <v>32</v>
      </c>
      <c r="C5232" t="s">
        <v>24</v>
      </c>
      <c r="D5232" t="s">
        <v>7</v>
      </c>
      <c r="E5232" s="68">
        <v>34</v>
      </c>
      <c r="F5232" s="68">
        <v>24</v>
      </c>
      <c r="G5232" s="68">
        <v>58</v>
      </c>
    </row>
    <row r="5233" spans="1:7" x14ac:dyDescent="0.3">
      <c r="A5233" t="s">
        <v>1239</v>
      </c>
      <c r="B5233" t="s">
        <v>32</v>
      </c>
      <c r="C5233" t="s">
        <v>24</v>
      </c>
      <c r="D5233" t="s">
        <v>8</v>
      </c>
      <c r="E5233" s="68">
        <v>163</v>
      </c>
      <c r="F5233" s="68">
        <v>162</v>
      </c>
      <c r="G5233" s="68">
        <v>325</v>
      </c>
    </row>
    <row r="5234" spans="1:7" x14ac:dyDescent="0.3">
      <c r="A5234" t="s">
        <v>1239</v>
      </c>
      <c r="B5234" t="s">
        <v>32</v>
      </c>
      <c r="C5234" t="s">
        <v>24</v>
      </c>
      <c r="D5234" t="s">
        <v>9</v>
      </c>
      <c r="E5234" s="68">
        <v>172</v>
      </c>
      <c r="F5234" s="68">
        <v>174</v>
      </c>
      <c r="G5234" s="68">
        <v>346</v>
      </c>
    </row>
    <row r="5235" spans="1:7" x14ac:dyDescent="0.3">
      <c r="A5235" t="s">
        <v>1239</v>
      </c>
      <c r="B5235" t="s">
        <v>32</v>
      </c>
      <c r="C5235" t="s">
        <v>24</v>
      </c>
      <c r="D5235" t="s">
        <v>10</v>
      </c>
      <c r="E5235" s="68">
        <v>141</v>
      </c>
      <c r="F5235" s="68">
        <v>189</v>
      </c>
      <c r="G5235" s="68">
        <v>330</v>
      </c>
    </row>
    <row r="5236" spans="1:7" x14ac:dyDescent="0.3">
      <c r="A5236" t="s">
        <v>1239</v>
      </c>
      <c r="B5236" t="s">
        <v>32</v>
      </c>
      <c r="C5236" t="s">
        <v>24</v>
      </c>
      <c r="D5236" t="s">
        <v>11</v>
      </c>
      <c r="E5236" s="68">
        <v>103</v>
      </c>
      <c r="F5236" s="68">
        <v>236</v>
      </c>
      <c r="G5236" s="68">
        <v>339</v>
      </c>
    </row>
    <row r="5237" spans="1:7" x14ac:dyDescent="0.3">
      <c r="A5237" t="s">
        <v>1239</v>
      </c>
      <c r="B5237" t="s">
        <v>32</v>
      </c>
      <c r="C5237" t="s">
        <v>24</v>
      </c>
      <c r="D5237" t="s">
        <v>12</v>
      </c>
      <c r="E5237" s="68">
        <v>113</v>
      </c>
      <c r="F5237" s="68">
        <v>201</v>
      </c>
      <c r="G5237" s="68">
        <v>314</v>
      </c>
    </row>
    <row r="5238" spans="1:7" x14ac:dyDescent="0.3">
      <c r="A5238" t="s">
        <v>1239</v>
      </c>
      <c r="B5238" t="s">
        <v>32</v>
      </c>
      <c r="C5238" t="s">
        <v>24</v>
      </c>
      <c r="D5238" t="s">
        <v>13</v>
      </c>
      <c r="E5238" s="68">
        <v>123</v>
      </c>
      <c r="F5238" s="68">
        <v>189</v>
      </c>
      <c r="G5238" s="68">
        <v>312</v>
      </c>
    </row>
    <row r="5239" spans="1:7" x14ac:dyDescent="0.3">
      <c r="A5239" t="s">
        <v>1239</v>
      </c>
      <c r="B5239" t="s">
        <v>32</v>
      </c>
      <c r="C5239" t="s">
        <v>24</v>
      </c>
      <c r="D5239" t="s">
        <v>14</v>
      </c>
      <c r="E5239" s="68">
        <v>108</v>
      </c>
      <c r="F5239" s="68">
        <v>138</v>
      </c>
      <c r="G5239" s="68">
        <v>246</v>
      </c>
    </row>
    <row r="5240" spans="1:7" x14ac:dyDescent="0.3">
      <c r="A5240" t="s">
        <v>1239</v>
      </c>
      <c r="B5240" t="s">
        <v>32</v>
      </c>
      <c r="C5240" t="s">
        <v>24</v>
      </c>
      <c r="D5240" t="s">
        <v>15</v>
      </c>
      <c r="E5240" s="68">
        <v>85</v>
      </c>
      <c r="F5240" s="68">
        <v>111</v>
      </c>
      <c r="G5240" s="68">
        <v>196</v>
      </c>
    </row>
    <row r="5241" spans="1:7" x14ac:dyDescent="0.3">
      <c r="A5241" t="s">
        <v>1239</v>
      </c>
      <c r="B5241" t="s">
        <v>32</v>
      </c>
      <c r="C5241" t="s">
        <v>24</v>
      </c>
      <c r="D5241" t="s">
        <v>16</v>
      </c>
      <c r="E5241" s="68">
        <v>69</v>
      </c>
      <c r="F5241" s="68">
        <v>71</v>
      </c>
      <c r="G5241" s="68">
        <v>140</v>
      </c>
    </row>
    <row r="5242" spans="1:7" x14ac:dyDescent="0.3">
      <c r="A5242" t="s">
        <v>1239</v>
      </c>
      <c r="B5242" t="s">
        <v>32</v>
      </c>
      <c r="C5242" t="s">
        <v>24</v>
      </c>
      <c r="D5242" t="s">
        <v>17</v>
      </c>
      <c r="E5242" s="68">
        <v>62</v>
      </c>
      <c r="F5242" s="68">
        <v>61</v>
      </c>
      <c r="G5242" s="68">
        <v>123</v>
      </c>
    </row>
    <row r="5243" spans="1:7" x14ac:dyDescent="0.3">
      <c r="A5243" t="s">
        <v>1239</v>
      </c>
      <c r="B5243" t="s">
        <v>32</v>
      </c>
      <c r="C5243" t="s">
        <v>24</v>
      </c>
      <c r="D5243" t="s">
        <v>18</v>
      </c>
      <c r="E5243" s="68">
        <v>53</v>
      </c>
      <c r="F5243" s="68">
        <v>40</v>
      </c>
      <c r="G5243" s="68">
        <v>93</v>
      </c>
    </row>
    <row r="5244" spans="1:7" x14ac:dyDescent="0.3">
      <c r="A5244" t="s">
        <v>1239</v>
      </c>
      <c r="B5244" t="s">
        <v>32</v>
      </c>
      <c r="C5244" t="s">
        <v>24</v>
      </c>
      <c r="D5244" t="s">
        <v>19</v>
      </c>
      <c r="E5244" s="68">
        <v>36</v>
      </c>
      <c r="F5244" s="68">
        <v>45</v>
      </c>
      <c r="G5244" s="68">
        <v>81</v>
      </c>
    </row>
    <row r="5245" spans="1:7" x14ac:dyDescent="0.3">
      <c r="A5245" t="s">
        <v>1239</v>
      </c>
      <c r="B5245" t="s">
        <v>32</v>
      </c>
      <c r="C5245" t="s">
        <v>24</v>
      </c>
      <c r="D5245" t="s">
        <v>20</v>
      </c>
      <c r="E5245" s="68">
        <v>33</v>
      </c>
      <c r="F5245" s="68">
        <v>38</v>
      </c>
      <c r="G5245" s="68">
        <v>71</v>
      </c>
    </row>
    <row r="5246" spans="1:7" x14ac:dyDescent="0.3">
      <c r="A5246" t="s">
        <v>1239</v>
      </c>
      <c r="B5246" t="s">
        <v>32</v>
      </c>
      <c r="C5246" t="s">
        <v>24</v>
      </c>
      <c r="D5246" t="s">
        <v>21</v>
      </c>
      <c r="E5246" s="68">
        <v>23</v>
      </c>
      <c r="F5246" s="68">
        <v>16</v>
      </c>
      <c r="G5246" s="68">
        <v>39</v>
      </c>
    </row>
    <row r="5247" spans="1:7" x14ac:dyDescent="0.3">
      <c r="A5247" t="s">
        <v>1239</v>
      </c>
      <c r="B5247" t="s">
        <v>32</v>
      </c>
      <c r="C5247" t="s">
        <v>24</v>
      </c>
      <c r="D5247" t="s">
        <v>22</v>
      </c>
      <c r="E5247" s="68">
        <v>21</v>
      </c>
      <c r="F5247" s="68">
        <v>19</v>
      </c>
      <c r="G5247" s="68">
        <v>40</v>
      </c>
    </row>
    <row r="5248" spans="1:7" x14ac:dyDescent="0.3">
      <c r="A5248" t="s">
        <v>1239</v>
      </c>
      <c r="B5248" t="s">
        <v>32</v>
      </c>
      <c r="C5248" t="s">
        <v>24</v>
      </c>
      <c r="D5248" t="s">
        <v>23</v>
      </c>
      <c r="E5248" s="68">
        <v>13</v>
      </c>
      <c r="F5248" s="68">
        <v>6</v>
      </c>
      <c r="G5248" s="68">
        <v>19</v>
      </c>
    </row>
    <row r="5249" spans="1:7" x14ac:dyDescent="0.3">
      <c r="A5249" t="s">
        <v>1239</v>
      </c>
      <c r="B5249" t="s">
        <v>5</v>
      </c>
      <c r="C5249" t="s">
        <v>6</v>
      </c>
      <c r="D5249" t="s">
        <v>7</v>
      </c>
      <c r="E5249" s="68">
        <v>2194</v>
      </c>
      <c r="F5249" s="68">
        <v>2289</v>
      </c>
      <c r="G5249" s="68">
        <v>4483</v>
      </c>
    </row>
    <row r="5250" spans="1:7" x14ac:dyDescent="0.3">
      <c r="A5250" t="s">
        <v>1239</v>
      </c>
      <c r="B5250" t="s">
        <v>5</v>
      </c>
      <c r="C5250" t="s">
        <v>6</v>
      </c>
      <c r="D5250" t="s">
        <v>8</v>
      </c>
      <c r="E5250" s="68">
        <v>2957</v>
      </c>
      <c r="F5250" s="68">
        <v>2974</v>
      </c>
      <c r="G5250" s="68">
        <v>5931</v>
      </c>
    </row>
    <row r="5251" spans="1:7" x14ac:dyDescent="0.3">
      <c r="A5251" t="s">
        <v>1239</v>
      </c>
      <c r="B5251" t="s">
        <v>5</v>
      </c>
      <c r="C5251" t="s">
        <v>6</v>
      </c>
      <c r="D5251" t="s">
        <v>9</v>
      </c>
      <c r="E5251" s="68">
        <v>3160</v>
      </c>
      <c r="F5251" s="68">
        <v>3253</v>
      </c>
      <c r="G5251" s="68">
        <v>6413</v>
      </c>
    </row>
    <row r="5252" spans="1:7" x14ac:dyDescent="0.3">
      <c r="A5252" t="s">
        <v>1239</v>
      </c>
      <c r="B5252" t="s">
        <v>5</v>
      </c>
      <c r="C5252" t="s">
        <v>6</v>
      </c>
      <c r="D5252" t="s">
        <v>10</v>
      </c>
      <c r="E5252" s="68">
        <v>3065</v>
      </c>
      <c r="F5252" s="68">
        <v>3033</v>
      </c>
      <c r="G5252" s="68">
        <v>6098</v>
      </c>
    </row>
    <row r="5253" spans="1:7" x14ac:dyDescent="0.3">
      <c r="A5253" t="s">
        <v>1239</v>
      </c>
      <c r="B5253" t="s">
        <v>5</v>
      </c>
      <c r="C5253" t="s">
        <v>6</v>
      </c>
      <c r="D5253" t="s">
        <v>11</v>
      </c>
      <c r="E5253" s="68">
        <v>2873</v>
      </c>
      <c r="F5253" s="68">
        <v>2735</v>
      </c>
      <c r="G5253" s="68">
        <v>5608</v>
      </c>
    </row>
    <row r="5254" spans="1:7" x14ac:dyDescent="0.3">
      <c r="A5254" t="s">
        <v>1239</v>
      </c>
      <c r="B5254" t="s">
        <v>5</v>
      </c>
      <c r="C5254" t="s">
        <v>6</v>
      </c>
      <c r="D5254" t="s">
        <v>12</v>
      </c>
      <c r="E5254" s="68">
        <v>3027</v>
      </c>
      <c r="F5254" s="68">
        <v>2508</v>
      </c>
      <c r="G5254" s="68">
        <v>5535</v>
      </c>
    </row>
    <row r="5255" spans="1:7" x14ac:dyDescent="0.3">
      <c r="A5255" t="s">
        <v>1239</v>
      </c>
      <c r="B5255" t="s">
        <v>5</v>
      </c>
      <c r="C5255" t="s">
        <v>6</v>
      </c>
      <c r="D5255" t="s">
        <v>13</v>
      </c>
      <c r="E5255" s="68">
        <v>3850</v>
      </c>
      <c r="F5255" s="68">
        <v>3026</v>
      </c>
      <c r="G5255" s="68">
        <v>6876</v>
      </c>
    </row>
    <row r="5256" spans="1:7" x14ac:dyDescent="0.3">
      <c r="A5256" t="s">
        <v>1239</v>
      </c>
      <c r="B5256" t="s">
        <v>5</v>
      </c>
      <c r="C5256" t="s">
        <v>6</v>
      </c>
      <c r="D5256" t="s">
        <v>14</v>
      </c>
      <c r="E5256" s="68">
        <v>4143</v>
      </c>
      <c r="F5256" s="68">
        <v>3473</v>
      </c>
      <c r="G5256" s="68">
        <v>7616</v>
      </c>
    </row>
    <row r="5257" spans="1:7" x14ac:dyDescent="0.3">
      <c r="A5257" t="s">
        <v>1239</v>
      </c>
      <c r="B5257" t="s">
        <v>5</v>
      </c>
      <c r="C5257" t="s">
        <v>6</v>
      </c>
      <c r="D5257" t="s">
        <v>15</v>
      </c>
      <c r="E5257" s="68">
        <v>3982</v>
      </c>
      <c r="F5257" s="68">
        <v>3472</v>
      </c>
      <c r="G5257" s="68">
        <v>7454</v>
      </c>
    </row>
    <row r="5258" spans="1:7" x14ac:dyDescent="0.3">
      <c r="A5258" t="s">
        <v>1239</v>
      </c>
      <c r="B5258" t="s">
        <v>5</v>
      </c>
      <c r="C5258" t="s">
        <v>6</v>
      </c>
      <c r="D5258" t="s">
        <v>16</v>
      </c>
      <c r="E5258" s="68">
        <v>3454</v>
      </c>
      <c r="F5258" s="68">
        <v>3200</v>
      </c>
      <c r="G5258" s="68">
        <v>6654</v>
      </c>
    </row>
    <row r="5259" spans="1:7" x14ac:dyDescent="0.3">
      <c r="A5259" t="s">
        <v>1239</v>
      </c>
      <c r="B5259" t="s">
        <v>5</v>
      </c>
      <c r="C5259" t="s">
        <v>6</v>
      </c>
      <c r="D5259" t="s">
        <v>17</v>
      </c>
      <c r="E5259" s="68">
        <v>2544</v>
      </c>
      <c r="F5259" s="68">
        <v>2359</v>
      </c>
      <c r="G5259" s="68">
        <v>4903</v>
      </c>
    </row>
    <row r="5260" spans="1:7" x14ac:dyDescent="0.3">
      <c r="A5260" t="s">
        <v>1239</v>
      </c>
      <c r="B5260" t="s">
        <v>5</v>
      </c>
      <c r="C5260" t="s">
        <v>6</v>
      </c>
      <c r="D5260" t="s">
        <v>18</v>
      </c>
      <c r="E5260" s="68">
        <v>2258</v>
      </c>
      <c r="F5260" s="68">
        <v>2008</v>
      </c>
      <c r="G5260" s="68">
        <v>4266</v>
      </c>
    </row>
    <row r="5261" spans="1:7" x14ac:dyDescent="0.3">
      <c r="A5261" t="s">
        <v>1239</v>
      </c>
      <c r="B5261" t="s">
        <v>5</v>
      </c>
      <c r="C5261" t="s">
        <v>6</v>
      </c>
      <c r="D5261" t="s">
        <v>19</v>
      </c>
      <c r="E5261" s="68">
        <v>2178</v>
      </c>
      <c r="F5261" s="68">
        <v>1758</v>
      </c>
      <c r="G5261" s="68">
        <v>3936</v>
      </c>
    </row>
    <row r="5262" spans="1:7" x14ac:dyDescent="0.3">
      <c r="A5262" t="s">
        <v>1239</v>
      </c>
      <c r="B5262" t="s">
        <v>5</v>
      </c>
      <c r="C5262" t="s">
        <v>6</v>
      </c>
      <c r="D5262" t="s">
        <v>20</v>
      </c>
      <c r="E5262" s="68">
        <v>1758</v>
      </c>
      <c r="F5262" s="68">
        <v>1387</v>
      </c>
      <c r="G5262" s="68">
        <v>3145</v>
      </c>
    </row>
    <row r="5263" spans="1:7" x14ac:dyDescent="0.3">
      <c r="A5263" t="s">
        <v>1239</v>
      </c>
      <c r="B5263" t="s">
        <v>5</v>
      </c>
      <c r="C5263" t="s">
        <v>6</v>
      </c>
      <c r="D5263" t="s">
        <v>21</v>
      </c>
      <c r="E5263" s="68">
        <v>1262</v>
      </c>
      <c r="F5263" s="68">
        <v>984</v>
      </c>
      <c r="G5263" s="68">
        <v>2246</v>
      </c>
    </row>
    <row r="5264" spans="1:7" x14ac:dyDescent="0.3">
      <c r="A5264" t="s">
        <v>1239</v>
      </c>
      <c r="B5264" t="s">
        <v>5</v>
      </c>
      <c r="C5264" t="s">
        <v>6</v>
      </c>
      <c r="D5264" t="s">
        <v>22</v>
      </c>
      <c r="E5264" s="68">
        <v>813</v>
      </c>
      <c r="F5264" s="68">
        <v>622</v>
      </c>
      <c r="G5264" s="68">
        <v>1435</v>
      </c>
    </row>
    <row r="5265" spans="1:7" x14ac:dyDescent="0.3">
      <c r="A5265" t="s">
        <v>1239</v>
      </c>
      <c r="B5265" t="s">
        <v>5</v>
      </c>
      <c r="C5265" t="s">
        <v>6</v>
      </c>
      <c r="D5265" t="s">
        <v>23</v>
      </c>
      <c r="E5265" s="68">
        <v>961</v>
      </c>
      <c r="F5265" s="68">
        <v>529</v>
      </c>
      <c r="G5265" s="68">
        <v>1490</v>
      </c>
    </row>
    <row r="5266" spans="1:7" x14ac:dyDescent="0.3">
      <c r="A5266" t="s">
        <v>1239</v>
      </c>
      <c r="B5266" t="s">
        <v>5</v>
      </c>
      <c r="C5266" t="s">
        <v>24</v>
      </c>
      <c r="D5266" t="s">
        <v>7</v>
      </c>
      <c r="E5266" s="68">
        <v>465</v>
      </c>
      <c r="F5266" s="68">
        <v>447</v>
      </c>
      <c r="G5266" s="68">
        <v>912</v>
      </c>
    </row>
    <row r="5267" spans="1:7" x14ac:dyDescent="0.3">
      <c r="A5267" t="s">
        <v>1239</v>
      </c>
      <c r="B5267" t="s">
        <v>5</v>
      </c>
      <c r="C5267" t="s">
        <v>24</v>
      </c>
      <c r="D5267" t="s">
        <v>8</v>
      </c>
      <c r="E5267" s="68">
        <v>463</v>
      </c>
      <c r="F5267" s="68">
        <v>519</v>
      </c>
      <c r="G5267" s="68">
        <v>982</v>
      </c>
    </row>
    <row r="5268" spans="1:7" x14ac:dyDescent="0.3">
      <c r="A5268" t="s">
        <v>1239</v>
      </c>
      <c r="B5268" t="s">
        <v>5</v>
      </c>
      <c r="C5268" t="s">
        <v>24</v>
      </c>
      <c r="D5268" t="s">
        <v>9</v>
      </c>
      <c r="E5268" s="68">
        <v>615</v>
      </c>
      <c r="F5268" s="68">
        <v>615</v>
      </c>
      <c r="G5268" s="68">
        <v>1230</v>
      </c>
    </row>
    <row r="5269" spans="1:7" x14ac:dyDescent="0.3">
      <c r="A5269" t="s">
        <v>1239</v>
      </c>
      <c r="B5269" t="s">
        <v>5</v>
      </c>
      <c r="C5269" t="s">
        <v>24</v>
      </c>
      <c r="D5269" t="s">
        <v>10</v>
      </c>
      <c r="E5269" s="68">
        <v>932</v>
      </c>
      <c r="F5269" s="68">
        <v>965</v>
      </c>
      <c r="G5269" s="68">
        <v>1897</v>
      </c>
    </row>
    <row r="5270" spans="1:7" x14ac:dyDescent="0.3">
      <c r="A5270" t="s">
        <v>1239</v>
      </c>
      <c r="B5270" t="s">
        <v>5</v>
      </c>
      <c r="C5270" t="s">
        <v>24</v>
      </c>
      <c r="D5270" t="s">
        <v>11</v>
      </c>
      <c r="E5270" s="68">
        <v>813</v>
      </c>
      <c r="F5270" s="68">
        <v>744</v>
      </c>
      <c r="G5270" s="68">
        <v>1557</v>
      </c>
    </row>
    <row r="5271" spans="1:7" x14ac:dyDescent="0.3">
      <c r="A5271" t="s">
        <v>1239</v>
      </c>
      <c r="B5271" t="s">
        <v>5</v>
      </c>
      <c r="C5271" t="s">
        <v>24</v>
      </c>
      <c r="D5271" t="s">
        <v>12</v>
      </c>
      <c r="E5271" s="68">
        <v>1017</v>
      </c>
      <c r="F5271" s="68">
        <v>1052</v>
      </c>
      <c r="G5271" s="68">
        <v>2069</v>
      </c>
    </row>
    <row r="5272" spans="1:7" x14ac:dyDescent="0.3">
      <c r="A5272" t="s">
        <v>1239</v>
      </c>
      <c r="B5272" t="s">
        <v>5</v>
      </c>
      <c r="C5272" t="s">
        <v>24</v>
      </c>
      <c r="D5272" t="s">
        <v>13</v>
      </c>
      <c r="E5272" s="68">
        <v>781</v>
      </c>
      <c r="F5272" s="68">
        <v>765</v>
      </c>
      <c r="G5272" s="68">
        <v>1546</v>
      </c>
    </row>
    <row r="5273" spans="1:7" x14ac:dyDescent="0.3">
      <c r="A5273" t="s">
        <v>1239</v>
      </c>
      <c r="B5273" t="s">
        <v>5</v>
      </c>
      <c r="C5273" t="s">
        <v>24</v>
      </c>
      <c r="D5273" t="s">
        <v>14</v>
      </c>
      <c r="E5273" s="68">
        <v>755</v>
      </c>
      <c r="F5273" s="68">
        <v>677</v>
      </c>
      <c r="G5273" s="68">
        <v>1432</v>
      </c>
    </row>
    <row r="5274" spans="1:7" x14ac:dyDescent="0.3">
      <c r="A5274" t="s">
        <v>1239</v>
      </c>
      <c r="B5274" t="s">
        <v>5</v>
      </c>
      <c r="C5274" t="s">
        <v>24</v>
      </c>
      <c r="D5274" t="s">
        <v>15</v>
      </c>
      <c r="E5274" s="68">
        <v>693</v>
      </c>
      <c r="F5274" s="68">
        <v>624</v>
      </c>
      <c r="G5274" s="68">
        <v>1317</v>
      </c>
    </row>
    <row r="5275" spans="1:7" x14ac:dyDescent="0.3">
      <c r="A5275" t="s">
        <v>1239</v>
      </c>
      <c r="B5275" t="s">
        <v>5</v>
      </c>
      <c r="C5275" t="s">
        <v>24</v>
      </c>
      <c r="D5275" t="s">
        <v>16</v>
      </c>
      <c r="E5275" s="68">
        <v>599</v>
      </c>
      <c r="F5275" s="68">
        <v>481</v>
      </c>
      <c r="G5275" s="68">
        <v>1080</v>
      </c>
    </row>
    <row r="5276" spans="1:7" x14ac:dyDescent="0.3">
      <c r="A5276" t="s">
        <v>1239</v>
      </c>
      <c r="B5276" t="s">
        <v>5</v>
      </c>
      <c r="C5276" t="s">
        <v>24</v>
      </c>
      <c r="D5276" t="s">
        <v>17</v>
      </c>
      <c r="E5276" s="68">
        <v>517</v>
      </c>
      <c r="F5276" s="68">
        <v>452</v>
      </c>
      <c r="G5276" s="68">
        <v>969</v>
      </c>
    </row>
    <row r="5277" spans="1:7" x14ac:dyDescent="0.3">
      <c r="A5277" t="s">
        <v>1239</v>
      </c>
      <c r="B5277" t="s">
        <v>5</v>
      </c>
      <c r="C5277" t="s">
        <v>24</v>
      </c>
      <c r="D5277" t="s">
        <v>18</v>
      </c>
      <c r="E5277" s="68">
        <v>447</v>
      </c>
      <c r="F5277" s="68">
        <v>410</v>
      </c>
      <c r="G5277" s="68">
        <v>857</v>
      </c>
    </row>
    <row r="5278" spans="1:7" x14ac:dyDescent="0.3">
      <c r="A5278" t="s">
        <v>1239</v>
      </c>
      <c r="B5278" t="s">
        <v>5</v>
      </c>
      <c r="C5278" t="s">
        <v>24</v>
      </c>
      <c r="D5278" t="s">
        <v>19</v>
      </c>
      <c r="E5278" s="68">
        <v>419</v>
      </c>
      <c r="F5278" s="68">
        <v>357</v>
      </c>
      <c r="G5278" s="68">
        <v>776</v>
      </c>
    </row>
    <row r="5279" spans="1:7" x14ac:dyDescent="0.3">
      <c r="A5279" t="s">
        <v>1239</v>
      </c>
      <c r="B5279" t="s">
        <v>5</v>
      </c>
      <c r="C5279" t="s">
        <v>24</v>
      </c>
      <c r="D5279" t="s">
        <v>20</v>
      </c>
      <c r="E5279" s="68">
        <v>304</v>
      </c>
      <c r="F5279" s="68">
        <v>253</v>
      </c>
      <c r="G5279" s="68">
        <v>557</v>
      </c>
    </row>
    <row r="5280" spans="1:7" x14ac:dyDescent="0.3">
      <c r="A5280" t="s">
        <v>1239</v>
      </c>
      <c r="B5280" t="s">
        <v>5</v>
      </c>
      <c r="C5280" t="s">
        <v>24</v>
      </c>
      <c r="D5280" t="s">
        <v>21</v>
      </c>
      <c r="E5280" s="68">
        <v>203</v>
      </c>
      <c r="F5280" s="68">
        <v>190</v>
      </c>
      <c r="G5280" s="68">
        <v>393</v>
      </c>
    </row>
    <row r="5281" spans="1:7" x14ac:dyDescent="0.3">
      <c r="A5281" t="s">
        <v>1239</v>
      </c>
      <c r="B5281" t="s">
        <v>5</v>
      </c>
      <c r="C5281" t="s">
        <v>24</v>
      </c>
      <c r="D5281" t="s">
        <v>22</v>
      </c>
      <c r="E5281" s="68">
        <v>124</v>
      </c>
      <c r="F5281" s="68">
        <v>120</v>
      </c>
      <c r="G5281" s="68">
        <v>244</v>
      </c>
    </row>
    <row r="5282" spans="1:7" x14ac:dyDescent="0.3">
      <c r="A5282" t="s">
        <v>1239</v>
      </c>
      <c r="B5282" t="s">
        <v>5</v>
      </c>
      <c r="C5282" t="s">
        <v>24</v>
      </c>
      <c r="D5282" t="s">
        <v>23</v>
      </c>
      <c r="E5282" s="68">
        <v>157</v>
      </c>
      <c r="F5282" s="68">
        <v>109</v>
      </c>
      <c r="G5282" s="68">
        <v>266</v>
      </c>
    </row>
    <row r="5283" spans="1:7" x14ac:dyDescent="0.3">
      <c r="A5283" t="s">
        <v>1239</v>
      </c>
      <c r="B5283" t="s">
        <v>34</v>
      </c>
      <c r="C5283" t="s">
        <v>6</v>
      </c>
      <c r="D5283" t="s">
        <v>7</v>
      </c>
      <c r="E5283" s="68">
        <v>191</v>
      </c>
      <c r="F5283" s="68">
        <v>212</v>
      </c>
      <c r="G5283" s="68">
        <v>403</v>
      </c>
    </row>
    <row r="5284" spans="1:7" x14ac:dyDescent="0.3">
      <c r="A5284" t="s">
        <v>1239</v>
      </c>
      <c r="B5284" t="s">
        <v>34</v>
      </c>
      <c r="C5284" t="s">
        <v>6</v>
      </c>
      <c r="D5284" t="s">
        <v>8</v>
      </c>
      <c r="E5284" s="68">
        <v>254</v>
      </c>
      <c r="F5284" s="68">
        <v>233</v>
      </c>
      <c r="G5284" s="68">
        <v>487</v>
      </c>
    </row>
    <row r="5285" spans="1:7" x14ac:dyDescent="0.3">
      <c r="A5285" t="s">
        <v>1239</v>
      </c>
      <c r="B5285" t="s">
        <v>34</v>
      </c>
      <c r="C5285" t="s">
        <v>6</v>
      </c>
      <c r="D5285" t="s">
        <v>9</v>
      </c>
      <c r="E5285" s="68">
        <v>258</v>
      </c>
      <c r="F5285" s="68">
        <v>273</v>
      </c>
      <c r="G5285" s="68">
        <v>531</v>
      </c>
    </row>
    <row r="5286" spans="1:7" x14ac:dyDescent="0.3">
      <c r="A5286" t="s">
        <v>1239</v>
      </c>
      <c r="B5286" t="s">
        <v>34</v>
      </c>
      <c r="C5286" t="s">
        <v>6</v>
      </c>
      <c r="D5286" t="s">
        <v>10</v>
      </c>
      <c r="E5286" s="68">
        <v>249</v>
      </c>
      <c r="F5286" s="68">
        <v>260</v>
      </c>
      <c r="G5286" s="68">
        <v>509</v>
      </c>
    </row>
    <row r="5287" spans="1:7" x14ac:dyDescent="0.3">
      <c r="A5287" t="s">
        <v>1239</v>
      </c>
      <c r="B5287" t="s">
        <v>34</v>
      </c>
      <c r="C5287" t="s">
        <v>6</v>
      </c>
      <c r="D5287" t="s">
        <v>11</v>
      </c>
      <c r="E5287" s="68">
        <v>286</v>
      </c>
      <c r="F5287" s="68">
        <v>264</v>
      </c>
      <c r="G5287" s="68">
        <v>550</v>
      </c>
    </row>
    <row r="5288" spans="1:7" x14ac:dyDescent="0.3">
      <c r="A5288" t="s">
        <v>1239</v>
      </c>
      <c r="B5288" t="s">
        <v>34</v>
      </c>
      <c r="C5288" t="s">
        <v>6</v>
      </c>
      <c r="D5288" t="s">
        <v>12</v>
      </c>
      <c r="E5288" s="68">
        <v>366</v>
      </c>
      <c r="F5288" s="68">
        <v>295</v>
      </c>
      <c r="G5288" s="68">
        <v>661</v>
      </c>
    </row>
    <row r="5289" spans="1:7" x14ac:dyDescent="0.3">
      <c r="A5289" t="s">
        <v>1239</v>
      </c>
      <c r="B5289" t="s">
        <v>34</v>
      </c>
      <c r="C5289" t="s">
        <v>6</v>
      </c>
      <c r="D5289" t="s">
        <v>13</v>
      </c>
      <c r="E5289" s="68">
        <v>427</v>
      </c>
      <c r="F5289" s="68">
        <v>386</v>
      </c>
      <c r="G5289" s="68">
        <v>813</v>
      </c>
    </row>
    <row r="5290" spans="1:7" x14ac:dyDescent="0.3">
      <c r="A5290" t="s">
        <v>1239</v>
      </c>
      <c r="B5290" t="s">
        <v>34</v>
      </c>
      <c r="C5290" t="s">
        <v>6</v>
      </c>
      <c r="D5290" t="s">
        <v>14</v>
      </c>
      <c r="E5290" s="68">
        <v>393</v>
      </c>
      <c r="F5290" s="68">
        <v>302</v>
      </c>
      <c r="G5290" s="68">
        <v>695</v>
      </c>
    </row>
    <row r="5291" spans="1:7" x14ac:dyDescent="0.3">
      <c r="A5291" t="s">
        <v>1239</v>
      </c>
      <c r="B5291" t="s">
        <v>34</v>
      </c>
      <c r="C5291" t="s">
        <v>6</v>
      </c>
      <c r="D5291" t="s">
        <v>15</v>
      </c>
      <c r="E5291" s="68">
        <v>334</v>
      </c>
      <c r="F5291" s="68">
        <v>314</v>
      </c>
      <c r="G5291" s="68">
        <v>648</v>
      </c>
    </row>
    <row r="5292" spans="1:7" x14ac:dyDescent="0.3">
      <c r="A5292" t="s">
        <v>1239</v>
      </c>
      <c r="B5292" t="s">
        <v>34</v>
      </c>
      <c r="C5292" t="s">
        <v>6</v>
      </c>
      <c r="D5292" t="s">
        <v>16</v>
      </c>
      <c r="E5292" s="68">
        <v>251</v>
      </c>
      <c r="F5292" s="68">
        <v>264</v>
      </c>
      <c r="G5292" s="68">
        <v>515</v>
      </c>
    </row>
    <row r="5293" spans="1:7" x14ac:dyDescent="0.3">
      <c r="A5293" t="s">
        <v>1239</v>
      </c>
      <c r="B5293" t="s">
        <v>34</v>
      </c>
      <c r="C5293" t="s">
        <v>6</v>
      </c>
      <c r="D5293" t="s">
        <v>17</v>
      </c>
      <c r="E5293" s="68">
        <v>184</v>
      </c>
      <c r="F5293" s="68">
        <v>182</v>
      </c>
      <c r="G5293" s="68">
        <v>366</v>
      </c>
    </row>
    <row r="5294" spans="1:7" x14ac:dyDescent="0.3">
      <c r="A5294" t="s">
        <v>1239</v>
      </c>
      <c r="B5294" t="s">
        <v>34</v>
      </c>
      <c r="C5294" t="s">
        <v>6</v>
      </c>
      <c r="D5294" t="s">
        <v>18</v>
      </c>
      <c r="E5294" s="68">
        <v>170</v>
      </c>
      <c r="F5294" s="68">
        <v>162</v>
      </c>
      <c r="G5294" s="68">
        <v>332</v>
      </c>
    </row>
    <row r="5295" spans="1:7" x14ac:dyDescent="0.3">
      <c r="A5295" t="s">
        <v>1239</v>
      </c>
      <c r="B5295" t="s">
        <v>34</v>
      </c>
      <c r="C5295" t="s">
        <v>6</v>
      </c>
      <c r="D5295" t="s">
        <v>19</v>
      </c>
      <c r="E5295" s="68">
        <v>172</v>
      </c>
      <c r="F5295" s="68">
        <v>170</v>
      </c>
      <c r="G5295" s="68">
        <v>342</v>
      </c>
    </row>
    <row r="5296" spans="1:7" x14ac:dyDescent="0.3">
      <c r="A5296" t="s">
        <v>1239</v>
      </c>
      <c r="B5296" t="s">
        <v>34</v>
      </c>
      <c r="C5296" t="s">
        <v>6</v>
      </c>
      <c r="D5296" t="s">
        <v>20</v>
      </c>
      <c r="E5296" s="68">
        <v>103</v>
      </c>
      <c r="F5296" s="68">
        <v>114</v>
      </c>
      <c r="G5296" s="68">
        <v>217</v>
      </c>
    </row>
    <row r="5297" spans="1:7" x14ac:dyDescent="0.3">
      <c r="A5297" t="s">
        <v>1239</v>
      </c>
      <c r="B5297" t="s">
        <v>34</v>
      </c>
      <c r="C5297" t="s">
        <v>6</v>
      </c>
      <c r="D5297" t="s">
        <v>21</v>
      </c>
      <c r="E5297" s="68">
        <v>73</v>
      </c>
      <c r="F5297" s="68">
        <v>73</v>
      </c>
      <c r="G5297" s="68">
        <v>146</v>
      </c>
    </row>
    <row r="5298" spans="1:7" x14ac:dyDescent="0.3">
      <c r="A5298" t="s">
        <v>1239</v>
      </c>
      <c r="B5298" t="s">
        <v>34</v>
      </c>
      <c r="C5298" t="s">
        <v>6</v>
      </c>
      <c r="D5298" t="s">
        <v>22</v>
      </c>
      <c r="E5298" s="68">
        <v>46</v>
      </c>
      <c r="F5298" s="68">
        <v>46</v>
      </c>
      <c r="G5298" s="68">
        <v>92</v>
      </c>
    </row>
    <row r="5299" spans="1:7" x14ac:dyDescent="0.3">
      <c r="A5299" t="s">
        <v>1239</v>
      </c>
      <c r="B5299" t="s">
        <v>34</v>
      </c>
      <c r="C5299" t="s">
        <v>6</v>
      </c>
      <c r="D5299" t="s">
        <v>23</v>
      </c>
      <c r="E5299" s="68">
        <v>65</v>
      </c>
      <c r="F5299" s="68">
        <v>31</v>
      </c>
      <c r="G5299" s="68">
        <v>96</v>
      </c>
    </row>
    <row r="5300" spans="1:7" x14ac:dyDescent="0.3">
      <c r="A5300" t="s">
        <v>1239</v>
      </c>
      <c r="B5300" t="s">
        <v>34</v>
      </c>
      <c r="C5300" t="s">
        <v>24</v>
      </c>
      <c r="D5300" t="s">
        <v>7</v>
      </c>
      <c r="E5300" s="68">
        <v>143</v>
      </c>
      <c r="F5300" s="68">
        <v>134</v>
      </c>
      <c r="G5300" s="68">
        <v>277</v>
      </c>
    </row>
    <row r="5301" spans="1:7" x14ac:dyDescent="0.3">
      <c r="A5301" t="s">
        <v>1239</v>
      </c>
      <c r="B5301" t="s">
        <v>34</v>
      </c>
      <c r="C5301" t="s">
        <v>24</v>
      </c>
      <c r="D5301" t="s">
        <v>8</v>
      </c>
      <c r="E5301" s="68">
        <v>192</v>
      </c>
      <c r="F5301" s="68">
        <v>216</v>
      </c>
      <c r="G5301" s="68">
        <v>408</v>
      </c>
    </row>
    <row r="5302" spans="1:7" x14ac:dyDescent="0.3">
      <c r="A5302" t="s">
        <v>1239</v>
      </c>
      <c r="B5302" t="s">
        <v>34</v>
      </c>
      <c r="C5302" t="s">
        <v>24</v>
      </c>
      <c r="D5302" t="s">
        <v>9</v>
      </c>
      <c r="E5302" s="68">
        <v>252</v>
      </c>
      <c r="F5302" s="68">
        <v>265</v>
      </c>
      <c r="G5302" s="68">
        <v>517</v>
      </c>
    </row>
    <row r="5303" spans="1:7" x14ac:dyDescent="0.3">
      <c r="A5303" t="s">
        <v>1239</v>
      </c>
      <c r="B5303" t="s">
        <v>34</v>
      </c>
      <c r="C5303" t="s">
        <v>24</v>
      </c>
      <c r="D5303" t="s">
        <v>10</v>
      </c>
      <c r="E5303" s="68">
        <v>273</v>
      </c>
      <c r="F5303" s="68">
        <v>265</v>
      </c>
      <c r="G5303" s="68">
        <v>538</v>
      </c>
    </row>
    <row r="5304" spans="1:7" x14ac:dyDescent="0.3">
      <c r="A5304" t="s">
        <v>1239</v>
      </c>
      <c r="B5304" t="s">
        <v>34</v>
      </c>
      <c r="C5304" t="s">
        <v>24</v>
      </c>
      <c r="D5304" t="s">
        <v>11</v>
      </c>
      <c r="E5304" s="68">
        <v>225</v>
      </c>
      <c r="F5304" s="68">
        <v>154</v>
      </c>
      <c r="G5304" s="68">
        <v>379</v>
      </c>
    </row>
    <row r="5305" spans="1:7" x14ac:dyDescent="0.3">
      <c r="A5305" t="s">
        <v>1239</v>
      </c>
      <c r="B5305" t="s">
        <v>34</v>
      </c>
      <c r="C5305" t="s">
        <v>24</v>
      </c>
      <c r="D5305" t="s">
        <v>12</v>
      </c>
      <c r="E5305" s="68">
        <v>250</v>
      </c>
      <c r="F5305" s="68">
        <v>149</v>
      </c>
      <c r="G5305" s="68">
        <v>399</v>
      </c>
    </row>
    <row r="5306" spans="1:7" x14ac:dyDescent="0.3">
      <c r="A5306" t="s">
        <v>1239</v>
      </c>
      <c r="B5306" t="s">
        <v>34</v>
      </c>
      <c r="C5306" t="s">
        <v>24</v>
      </c>
      <c r="D5306" t="s">
        <v>13</v>
      </c>
      <c r="E5306" s="68">
        <v>219</v>
      </c>
      <c r="F5306" s="68">
        <v>143</v>
      </c>
      <c r="G5306" s="68">
        <v>362</v>
      </c>
    </row>
    <row r="5307" spans="1:7" x14ac:dyDescent="0.3">
      <c r="A5307" t="s">
        <v>1239</v>
      </c>
      <c r="B5307" t="s">
        <v>34</v>
      </c>
      <c r="C5307" t="s">
        <v>24</v>
      </c>
      <c r="D5307" t="s">
        <v>14</v>
      </c>
      <c r="E5307" s="68">
        <v>206</v>
      </c>
      <c r="F5307" s="68">
        <v>110</v>
      </c>
      <c r="G5307" s="68">
        <v>316</v>
      </c>
    </row>
    <row r="5308" spans="1:7" x14ac:dyDescent="0.3">
      <c r="A5308" t="s">
        <v>1239</v>
      </c>
      <c r="B5308" t="s">
        <v>34</v>
      </c>
      <c r="C5308" t="s">
        <v>24</v>
      </c>
      <c r="D5308" t="s">
        <v>15</v>
      </c>
      <c r="E5308" s="68">
        <v>194</v>
      </c>
      <c r="F5308" s="68">
        <v>137</v>
      </c>
      <c r="G5308" s="68">
        <v>331</v>
      </c>
    </row>
    <row r="5309" spans="1:7" x14ac:dyDescent="0.3">
      <c r="A5309" t="s">
        <v>1239</v>
      </c>
      <c r="B5309" t="s">
        <v>34</v>
      </c>
      <c r="C5309" t="s">
        <v>24</v>
      </c>
      <c r="D5309" t="s">
        <v>16</v>
      </c>
      <c r="E5309" s="68">
        <v>156</v>
      </c>
      <c r="F5309" s="68">
        <v>143</v>
      </c>
      <c r="G5309" s="68">
        <v>299</v>
      </c>
    </row>
    <row r="5310" spans="1:7" x14ac:dyDescent="0.3">
      <c r="A5310" t="s">
        <v>1239</v>
      </c>
      <c r="B5310" t="s">
        <v>34</v>
      </c>
      <c r="C5310" t="s">
        <v>24</v>
      </c>
      <c r="D5310" t="s">
        <v>17</v>
      </c>
      <c r="E5310" s="68">
        <v>151</v>
      </c>
      <c r="F5310" s="68">
        <v>112</v>
      </c>
      <c r="G5310" s="68">
        <v>263</v>
      </c>
    </row>
    <row r="5311" spans="1:7" x14ac:dyDescent="0.3">
      <c r="A5311" t="s">
        <v>1239</v>
      </c>
      <c r="B5311" t="s">
        <v>34</v>
      </c>
      <c r="C5311" t="s">
        <v>24</v>
      </c>
      <c r="D5311" t="s">
        <v>18</v>
      </c>
      <c r="E5311" s="68">
        <v>114</v>
      </c>
      <c r="F5311" s="68">
        <v>115</v>
      </c>
      <c r="G5311" s="68">
        <v>229</v>
      </c>
    </row>
    <row r="5312" spans="1:7" x14ac:dyDescent="0.3">
      <c r="A5312" t="s">
        <v>1239</v>
      </c>
      <c r="B5312" t="s">
        <v>34</v>
      </c>
      <c r="C5312" t="s">
        <v>24</v>
      </c>
      <c r="D5312" t="s">
        <v>19</v>
      </c>
      <c r="E5312" s="68">
        <v>116</v>
      </c>
      <c r="F5312" s="68">
        <v>108</v>
      </c>
      <c r="G5312" s="68">
        <v>224</v>
      </c>
    </row>
    <row r="5313" spans="1:7" x14ac:dyDescent="0.3">
      <c r="A5313" t="s">
        <v>1239</v>
      </c>
      <c r="B5313" t="s">
        <v>34</v>
      </c>
      <c r="C5313" t="s">
        <v>24</v>
      </c>
      <c r="D5313" t="s">
        <v>20</v>
      </c>
      <c r="E5313" s="68">
        <v>67</v>
      </c>
      <c r="F5313" s="68">
        <v>63</v>
      </c>
      <c r="G5313" s="68">
        <v>130</v>
      </c>
    </row>
    <row r="5314" spans="1:7" x14ac:dyDescent="0.3">
      <c r="A5314" t="s">
        <v>1239</v>
      </c>
      <c r="B5314" t="s">
        <v>34</v>
      </c>
      <c r="C5314" t="s">
        <v>24</v>
      </c>
      <c r="D5314" t="s">
        <v>21</v>
      </c>
      <c r="E5314" s="68">
        <v>45</v>
      </c>
      <c r="F5314" s="68">
        <v>41</v>
      </c>
      <c r="G5314" s="68">
        <v>86</v>
      </c>
    </row>
    <row r="5315" spans="1:7" x14ac:dyDescent="0.3">
      <c r="A5315" t="s">
        <v>1239</v>
      </c>
      <c r="B5315" t="s">
        <v>34</v>
      </c>
      <c r="C5315" t="s">
        <v>24</v>
      </c>
      <c r="D5315" t="s">
        <v>22</v>
      </c>
      <c r="E5315" s="68">
        <v>22</v>
      </c>
      <c r="F5315" s="68">
        <v>28</v>
      </c>
      <c r="G5315" s="68">
        <v>50</v>
      </c>
    </row>
    <row r="5316" spans="1:7" x14ac:dyDescent="0.3">
      <c r="A5316" t="s">
        <v>1239</v>
      </c>
      <c r="B5316" t="s">
        <v>34</v>
      </c>
      <c r="C5316" t="s">
        <v>24</v>
      </c>
      <c r="D5316" t="s">
        <v>23</v>
      </c>
      <c r="E5316" s="68">
        <v>29</v>
      </c>
      <c r="F5316" s="68">
        <v>25</v>
      </c>
      <c r="G5316" s="68">
        <v>54</v>
      </c>
    </row>
    <row r="5317" spans="1:7" x14ac:dyDescent="0.3">
      <c r="A5317" t="s">
        <v>1239</v>
      </c>
      <c r="B5317" t="s">
        <v>37</v>
      </c>
      <c r="C5317" t="s">
        <v>6</v>
      </c>
      <c r="D5317" t="s">
        <v>7</v>
      </c>
      <c r="E5317" s="68">
        <v>131</v>
      </c>
      <c r="F5317" s="68">
        <v>146</v>
      </c>
      <c r="G5317" s="68">
        <v>277</v>
      </c>
    </row>
    <row r="5318" spans="1:7" x14ac:dyDescent="0.3">
      <c r="A5318" t="s">
        <v>1239</v>
      </c>
      <c r="B5318" t="s">
        <v>37</v>
      </c>
      <c r="C5318" t="s">
        <v>6</v>
      </c>
      <c r="D5318" t="s">
        <v>8</v>
      </c>
      <c r="E5318" s="68">
        <v>205</v>
      </c>
      <c r="F5318" s="68">
        <v>234</v>
      </c>
      <c r="G5318" s="68">
        <v>439</v>
      </c>
    </row>
    <row r="5319" spans="1:7" x14ac:dyDescent="0.3">
      <c r="A5319" t="s">
        <v>1239</v>
      </c>
      <c r="B5319" t="s">
        <v>37</v>
      </c>
      <c r="C5319" t="s">
        <v>6</v>
      </c>
      <c r="D5319" t="s">
        <v>9</v>
      </c>
      <c r="E5319" s="68">
        <v>269</v>
      </c>
      <c r="F5319" s="68">
        <v>289</v>
      </c>
      <c r="G5319" s="68">
        <v>558</v>
      </c>
    </row>
    <row r="5320" spans="1:7" x14ac:dyDescent="0.3">
      <c r="A5320" t="s">
        <v>1239</v>
      </c>
      <c r="B5320" t="s">
        <v>37</v>
      </c>
      <c r="C5320" t="s">
        <v>6</v>
      </c>
      <c r="D5320" t="s">
        <v>10</v>
      </c>
      <c r="E5320" s="68">
        <v>286</v>
      </c>
      <c r="F5320" s="68">
        <v>329</v>
      </c>
      <c r="G5320" s="68">
        <v>615</v>
      </c>
    </row>
    <row r="5321" spans="1:7" x14ac:dyDescent="0.3">
      <c r="A5321" t="s">
        <v>1239</v>
      </c>
      <c r="B5321" t="s">
        <v>37</v>
      </c>
      <c r="C5321" t="s">
        <v>6</v>
      </c>
      <c r="D5321" t="s">
        <v>11</v>
      </c>
      <c r="E5321" s="68">
        <v>307</v>
      </c>
      <c r="F5321" s="68">
        <v>306</v>
      </c>
      <c r="G5321" s="68">
        <v>613</v>
      </c>
    </row>
    <row r="5322" spans="1:7" x14ac:dyDescent="0.3">
      <c r="A5322" t="s">
        <v>1239</v>
      </c>
      <c r="B5322" t="s">
        <v>37</v>
      </c>
      <c r="C5322" t="s">
        <v>6</v>
      </c>
      <c r="D5322" t="s">
        <v>12</v>
      </c>
      <c r="E5322" s="68">
        <v>240</v>
      </c>
      <c r="F5322" s="68">
        <v>273</v>
      </c>
      <c r="G5322" s="68">
        <v>513</v>
      </c>
    </row>
    <row r="5323" spans="1:7" x14ac:dyDescent="0.3">
      <c r="A5323" t="s">
        <v>1239</v>
      </c>
      <c r="B5323" t="s">
        <v>37</v>
      </c>
      <c r="C5323" t="s">
        <v>6</v>
      </c>
      <c r="D5323" t="s">
        <v>13</v>
      </c>
      <c r="E5323" s="68">
        <v>248</v>
      </c>
      <c r="F5323" s="68">
        <v>280</v>
      </c>
      <c r="G5323" s="68">
        <v>528</v>
      </c>
    </row>
    <row r="5324" spans="1:7" x14ac:dyDescent="0.3">
      <c r="A5324" t="s">
        <v>1239</v>
      </c>
      <c r="B5324" t="s">
        <v>37</v>
      </c>
      <c r="C5324" t="s">
        <v>6</v>
      </c>
      <c r="D5324" t="s">
        <v>14</v>
      </c>
      <c r="E5324" s="68">
        <v>298</v>
      </c>
      <c r="F5324" s="68">
        <v>321</v>
      </c>
      <c r="G5324" s="68">
        <v>619</v>
      </c>
    </row>
    <row r="5325" spans="1:7" x14ac:dyDescent="0.3">
      <c r="A5325" t="s">
        <v>1239</v>
      </c>
      <c r="B5325" t="s">
        <v>37</v>
      </c>
      <c r="C5325" t="s">
        <v>6</v>
      </c>
      <c r="D5325" t="s">
        <v>15</v>
      </c>
      <c r="E5325" s="68">
        <v>296</v>
      </c>
      <c r="F5325" s="68">
        <v>301</v>
      </c>
      <c r="G5325" s="68">
        <v>597</v>
      </c>
    </row>
    <row r="5326" spans="1:7" x14ac:dyDescent="0.3">
      <c r="A5326" t="s">
        <v>1239</v>
      </c>
      <c r="B5326" t="s">
        <v>37</v>
      </c>
      <c r="C5326" t="s">
        <v>6</v>
      </c>
      <c r="D5326" t="s">
        <v>16</v>
      </c>
      <c r="E5326" s="68">
        <v>298</v>
      </c>
      <c r="F5326" s="68">
        <v>326</v>
      </c>
      <c r="G5326" s="68">
        <v>624</v>
      </c>
    </row>
    <row r="5327" spans="1:7" x14ac:dyDescent="0.3">
      <c r="A5327" t="s">
        <v>1239</v>
      </c>
      <c r="B5327" t="s">
        <v>37</v>
      </c>
      <c r="C5327" t="s">
        <v>6</v>
      </c>
      <c r="D5327" t="s">
        <v>17</v>
      </c>
      <c r="E5327" s="68">
        <v>288</v>
      </c>
      <c r="F5327" s="68">
        <v>308</v>
      </c>
      <c r="G5327" s="68">
        <v>596</v>
      </c>
    </row>
    <row r="5328" spans="1:7" x14ac:dyDescent="0.3">
      <c r="A5328" t="s">
        <v>1239</v>
      </c>
      <c r="B5328" t="s">
        <v>37</v>
      </c>
      <c r="C5328" t="s">
        <v>6</v>
      </c>
      <c r="D5328" t="s">
        <v>18</v>
      </c>
      <c r="E5328" s="68">
        <v>252</v>
      </c>
      <c r="F5328" s="68">
        <v>262</v>
      </c>
      <c r="G5328" s="68">
        <v>514</v>
      </c>
    </row>
    <row r="5329" spans="1:7" x14ac:dyDescent="0.3">
      <c r="A5329" t="s">
        <v>1239</v>
      </c>
      <c r="B5329" t="s">
        <v>37</v>
      </c>
      <c r="C5329" t="s">
        <v>6</v>
      </c>
      <c r="D5329" t="s">
        <v>19</v>
      </c>
      <c r="E5329" s="68">
        <v>266</v>
      </c>
      <c r="F5329" s="68">
        <v>219</v>
      </c>
      <c r="G5329" s="68">
        <v>485</v>
      </c>
    </row>
    <row r="5330" spans="1:7" x14ac:dyDescent="0.3">
      <c r="A5330" t="s">
        <v>1239</v>
      </c>
      <c r="B5330" t="s">
        <v>37</v>
      </c>
      <c r="C5330" t="s">
        <v>6</v>
      </c>
      <c r="D5330" t="s">
        <v>20</v>
      </c>
      <c r="E5330" s="68">
        <v>212</v>
      </c>
      <c r="F5330" s="68">
        <v>188</v>
      </c>
      <c r="G5330" s="68">
        <v>400</v>
      </c>
    </row>
    <row r="5331" spans="1:7" x14ac:dyDescent="0.3">
      <c r="A5331" t="s">
        <v>1239</v>
      </c>
      <c r="B5331" t="s">
        <v>37</v>
      </c>
      <c r="C5331" t="s">
        <v>6</v>
      </c>
      <c r="D5331" t="s">
        <v>21</v>
      </c>
      <c r="E5331" s="68">
        <v>184</v>
      </c>
      <c r="F5331" s="68">
        <v>148</v>
      </c>
      <c r="G5331" s="68">
        <v>332</v>
      </c>
    </row>
    <row r="5332" spans="1:7" x14ac:dyDescent="0.3">
      <c r="A5332" t="s">
        <v>1239</v>
      </c>
      <c r="B5332" t="s">
        <v>37</v>
      </c>
      <c r="C5332" t="s">
        <v>6</v>
      </c>
      <c r="D5332" t="s">
        <v>22</v>
      </c>
      <c r="E5332" s="68">
        <v>89</v>
      </c>
      <c r="F5332" s="68">
        <v>115</v>
      </c>
      <c r="G5332" s="68">
        <v>204</v>
      </c>
    </row>
    <row r="5333" spans="1:7" x14ac:dyDescent="0.3">
      <c r="A5333" t="s">
        <v>1239</v>
      </c>
      <c r="B5333" t="s">
        <v>37</v>
      </c>
      <c r="C5333" t="s">
        <v>6</v>
      </c>
      <c r="D5333" t="s">
        <v>23</v>
      </c>
      <c r="E5333" s="68">
        <v>126</v>
      </c>
      <c r="F5333" s="68">
        <v>89</v>
      </c>
      <c r="G5333" s="68">
        <v>215</v>
      </c>
    </row>
    <row r="5334" spans="1:7" x14ac:dyDescent="0.3">
      <c r="A5334" t="s">
        <v>1239</v>
      </c>
      <c r="B5334" t="s">
        <v>37</v>
      </c>
      <c r="C5334" t="s">
        <v>24</v>
      </c>
      <c r="D5334" t="s">
        <v>7</v>
      </c>
      <c r="E5334" s="68">
        <v>293</v>
      </c>
      <c r="F5334" s="68">
        <v>330</v>
      </c>
      <c r="G5334" s="68">
        <v>623</v>
      </c>
    </row>
    <row r="5335" spans="1:7" x14ac:dyDescent="0.3">
      <c r="A5335" t="s">
        <v>1239</v>
      </c>
      <c r="B5335" t="s">
        <v>37</v>
      </c>
      <c r="C5335" t="s">
        <v>24</v>
      </c>
      <c r="D5335" t="s">
        <v>8</v>
      </c>
      <c r="E5335" s="68">
        <v>424</v>
      </c>
      <c r="F5335" s="68">
        <v>450</v>
      </c>
      <c r="G5335" s="68">
        <v>874</v>
      </c>
    </row>
    <row r="5336" spans="1:7" x14ac:dyDescent="0.3">
      <c r="A5336" t="s">
        <v>1239</v>
      </c>
      <c r="B5336" t="s">
        <v>37</v>
      </c>
      <c r="C5336" t="s">
        <v>24</v>
      </c>
      <c r="D5336" t="s">
        <v>9</v>
      </c>
      <c r="E5336" s="68">
        <v>529</v>
      </c>
      <c r="F5336" s="68">
        <v>585</v>
      </c>
      <c r="G5336" s="68">
        <v>1114</v>
      </c>
    </row>
    <row r="5337" spans="1:7" x14ac:dyDescent="0.3">
      <c r="A5337" t="s">
        <v>1239</v>
      </c>
      <c r="B5337" t="s">
        <v>37</v>
      </c>
      <c r="C5337" t="s">
        <v>24</v>
      </c>
      <c r="D5337" t="s">
        <v>10</v>
      </c>
      <c r="E5337" s="68">
        <v>598</v>
      </c>
      <c r="F5337" s="68">
        <v>643</v>
      </c>
      <c r="G5337" s="68">
        <v>1241</v>
      </c>
    </row>
    <row r="5338" spans="1:7" x14ac:dyDescent="0.3">
      <c r="A5338" t="s">
        <v>1239</v>
      </c>
      <c r="B5338" t="s">
        <v>37</v>
      </c>
      <c r="C5338" t="s">
        <v>24</v>
      </c>
      <c r="D5338" t="s">
        <v>11</v>
      </c>
      <c r="E5338" s="68">
        <v>477</v>
      </c>
      <c r="F5338" s="68">
        <v>364</v>
      </c>
      <c r="G5338" s="68">
        <v>841</v>
      </c>
    </row>
    <row r="5339" spans="1:7" x14ac:dyDescent="0.3">
      <c r="A5339" t="s">
        <v>1239</v>
      </c>
      <c r="B5339" t="s">
        <v>37</v>
      </c>
      <c r="C5339" t="s">
        <v>24</v>
      </c>
      <c r="D5339" t="s">
        <v>12</v>
      </c>
      <c r="E5339" s="68">
        <v>477</v>
      </c>
      <c r="F5339" s="68">
        <v>420</v>
      </c>
      <c r="G5339" s="68">
        <v>897</v>
      </c>
    </row>
    <row r="5340" spans="1:7" x14ac:dyDescent="0.3">
      <c r="A5340" t="s">
        <v>1239</v>
      </c>
      <c r="B5340" t="s">
        <v>37</v>
      </c>
      <c r="C5340" t="s">
        <v>24</v>
      </c>
      <c r="D5340" t="s">
        <v>13</v>
      </c>
      <c r="E5340" s="68">
        <v>433</v>
      </c>
      <c r="F5340" s="68">
        <v>368</v>
      </c>
      <c r="G5340" s="68">
        <v>801</v>
      </c>
    </row>
    <row r="5341" spans="1:7" x14ac:dyDescent="0.3">
      <c r="A5341" t="s">
        <v>1239</v>
      </c>
      <c r="B5341" t="s">
        <v>37</v>
      </c>
      <c r="C5341" t="s">
        <v>24</v>
      </c>
      <c r="D5341" t="s">
        <v>14</v>
      </c>
      <c r="E5341" s="68">
        <v>405</v>
      </c>
      <c r="F5341" s="68">
        <v>310</v>
      </c>
      <c r="G5341" s="68">
        <v>715</v>
      </c>
    </row>
    <row r="5342" spans="1:7" x14ac:dyDescent="0.3">
      <c r="A5342" t="s">
        <v>1239</v>
      </c>
      <c r="B5342" t="s">
        <v>37</v>
      </c>
      <c r="C5342" t="s">
        <v>24</v>
      </c>
      <c r="D5342" t="s">
        <v>15</v>
      </c>
      <c r="E5342" s="68">
        <v>435</v>
      </c>
      <c r="F5342" s="68">
        <v>340</v>
      </c>
      <c r="G5342" s="68">
        <v>775</v>
      </c>
    </row>
    <row r="5343" spans="1:7" x14ac:dyDescent="0.3">
      <c r="A5343" t="s">
        <v>1239</v>
      </c>
      <c r="B5343" t="s">
        <v>37</v>
      </c>
      <c r="C5343" t="s">
        <v>24</v>
      </c>
      <c r="D5343" t="s">
        <v>16</v>
      </c>
      <c r="E5343" s="68">
        <v>402</v>
      </c>
      <c r="F5343" s="68">
        <v>342</v>
      </c>
      <c r="G5343" s="68">
        <v>744</v>
      </c>
    </row>
    <row r="5344" spans="1:7" x14ac:dyDescent="0.3">
      <c r="A5344" t="s">
        <v>1239</v>
      </c>
      <c r="B5344" t="s">
        <v>37</v>
      </c>
      <c r="C5344" t="s">
        <v>24</v>
      </c>
      <c r="D5344" t="s">
        <v>17</v>
      </c>
      <c r="E5344" s="68">
        <v>299</v>
      </c>
      <c r="F5344" s="68">
        <v>287</v>
      </c>
      <c r="G5344" s="68">
        <v>586</v>
      </c>
    </row>
    <row r="5345" spans="1:7" x14ac:dyDescent="0.3">
      <c r="A5345" t="s">
        <v>1239</v>
      </c>
      <c r="B5345" t="s">
        <v>37</v>
      </c>
      <c r="C5345" t="s">
        <v>24</v>
      </c>
      <c r="D5345" t="s">
        <v>18</v>
      </c>
      <c r="E5345" s="68">
        <v>250</v>
      </c>
      <c r="F5345" s="68">
        <v>230</v>
      </c>
      <c r="G5345" s="68">
        <v>480</v>
      </c>
    </row>
    <row r="5346" spans="1:7" x14ac:dyDescent="0.3">
      <c r="A5346" t="s">
        <v>1239</v>
      </c>
      <c r="B5346" t="s">
        <v>37</v>
      </c>
      <c r="C5346" t="s">
        <v>24</v>
      </c>
      <c r="D5346" t="s">
        <v>19</v>
      </c>
      <c r="E5346" s="68">
        <v>245</v>
      </c>
      <c r="F5346" s="68">
        <v>241</v>
      </c>
      <c r="G5346" s="68">
        <v>486</v>
      </c>
    </row>
    <row r="5347" spans="1:7" x14ac:dyDescent="0.3">
      <c r="A5347" t="s">
        <v>1239</v>
      </c>
      <c r="B5347" t="s">
        <v>37</v>
      </c>
      <c r="C5347" t="s">
        <v>24</v>
      </c>
      <c r="D5347" t="s">
        <v>20</v>
      </c>
      <c r="E5347" s="68">
        <v>171</v>
      </c>
      <c r="F5347" s="68">
        <v>160</v>
      </c>
      <c r="G5347" s="68">
        <v>331</v>
      </c>
    </row>
    <row r="5348" spans="1:7" x14ac:dyDescent="0.3">
      <c r="A5348" t="s">
        <v>1239</v>
      </c>
      <c r="B5348" t="s">
        <v>37</v>
      </c>
      <c r="C5348" t="s">
        <v>24</v>
      </c>
      <c r="D5348" t="s">
        <v>21</v>
      </c>
      <c r="E5348" s="68">
        <v>108</v>
      </c>
      <c r="F5348" s="68">
        <v>98</v>
      </c>
      <c r="G5348" s="68">
        <v>206</v>
      </c>
    </row>
    <row r="5349" spans="1:7" x14ac:dyDescent="0.3">
      <c r="A5349" t="s">
        <v>1239</v>
      </c>
      <c r="B5349" t="s">
        <v>37</v>
      </c>
      <c r="C5349" t="s">
        <v>24</v>
      </c>
      <c r="D5349" t="s">
        <v>22</v>
      </c>
      <c r="E5349" s="68">
        <v>75</v>
      </c>
      <c r="F5349" s="68">
        <v>49</v>
      </c>
      <c r="G5349" s="68">
        <v>124</v>
      </c>
    </row>
    <row r="5350" spans="1:7" x14ac:dyDescent="0.3">
      <c r="A5350" t="s">
        <v>1239</v>
      </c>
      <c r="B5350" t="s">
        <v>37</v>
      </c>
      <c r="C5350" t="s">
        <v>24</v>
      </c>
      <c r="D5350" t="s">
        <v>23</v>
      </c>
      <c r="E5350" s="68">
        <v>85</v>
      </c>
      <c r="F5350" s="68">
        <v>50</v>
      </c>
      <c r="G5350" s="68">
        <v>135</v>
      </c>
    </row>
    <row r="5351" spans="1:7" x14ac:dyDescent="0.3">
      <c r="A5351" t="s">
        <v>1239</v>
      </c>
      <c r="B5351" t="s">
        <v>35</v>
      </c>
      <c r="C5351" t="s">
        <v>6</v>
      </c>
      <c r="D5351" t="s">
        <v>7</v>
      </c>
      <c r="E5351" s="68">
        <v>5</v>
      </c>
      <c r="F5351" s="68">
        <v>3</v>
      </c>
      <c r="G5351" s="68">
        <v>8</v>
      </c>
    </row>
    <row r="5352" spans="1:7" x14ac:dyDescent="0.3">
      <c r="A5352" t="s">
        <v>1239</v>
      </c>
      <c r="B5352" t="s">
        <v>35</v>
      </c>
      <c r="C5352" t="s">
        <v>6</v>
      </c>
      <c r="D5352" t="s">
        <v>8</v>
      </c>
      <c r="E5352" s="68">
        <v>9</v>
      </c>
      <c r="F5352" s="68">
        <v>9</v>
      </c>
      <c r="G5352" s="68">
        <v>18</v>
      </c>
    </row>
    <row r="5353" spans="1:7" x14ac:dyDescent="0.3">
      <c r="A5353" t="s">
        <v>1239</v>
      </c>
      <c r="B5353" t="s">
        <v>35</v>
      </c>
      <c r="C5353" t="s">
        <v>6</v>
      </c>
      <c r="D5353" t="s">
        <v>9</v>
      </c>
      <c r="E5353" s="68">
        <v>16</v>
      </c>
      <c r="F5353" s="68">
        <v>18</v>
      </c>
      <c r="G5353" s="68">
        <v>34</v>
      </c>
    </row>
    <row r="5354" spans="1:7" x14ac:dyDescent="0.3">
      <c r="A5354" t="s">
        <v>1239</v>
      </c>
      <c r="B5354" t="s">
        <v>35</v>
      </c>
      <c r="C5354" t="s">
        <v>6</v>
      </c>
      <c r="D5354" t="s">
        <v>10</v>
      </c>
      <c r="E5354" s="68">
        <v>39</v>
      </c>
      <c r="F5354" s="68">
        <v>41</v>
      </c>
      <c r="G5354" s="68">
        <v>80</v>
      </c>
    </row>
    <row r="5355" spans="1:7" x14ac:dyDescent="0.3">
      <c r="A5355" t="s">
        <v>1239</v>
      </c>
      <c r="B5355" t="s">
        <v>35</v>
      </c>
      <c r="C5355" t="s">
        <v>6</v>
      </c>
      <c r="D5355" t="s">
        <v>11</v>
      </c>
      <c r="E5355" s="68">
        <v>76</v>
      </c>
      <c r="F5355" s="68">
        <v>66</v>
      </c>
      <c r="G5355" s="68">
        <v>142</v>
      </c>
    </row>
    <row r="5356" spans="1:7" x14ac:dyDescent="0.3">
      <c r="A5356" t="s">
        <v>1239</v>
      </c>
      <c r="B5356" t="s">
        <v>35</v>
      </c>
      <c r="C5356" t="s">
        <v>6</v>
      </c>
      <c r="D5356" t="s">
        <v>12</v>
      </c>
      <c r="E5356" s="68">
        <v>17</v>
      </c>
      <c r="F5356" s="68">
        <v>11</v>
      </c>
      <c r="G5356" s="68">
        <v>28</v>
      </c>
    </row>
    <row r="5357" spans="1:7" x14ac:dyDescent="0.3">
      <c r="A5357" t="s">
        <v>1239</v>
      </c>
      <c r="B5357" t="s">
        <v>35</v>
      </c>
      <c r="C5357" t="s">
        <v>6</v>
      </c>
      <c r="D5357" t="s">
        <v>13</v>
      </c>
      <c r="E5357" s="68">
        <v>11</v>
      </c>
      <c r="F5357" s="68">
        <v>9</v>
      </c>
      <c r="G5357" s="68">
        <v>20</v>
      </c>
    </row>
    <row r="5358" spans="1:7" x14ac:dyDescent="0.3">
      <c r="A5358" t="s">
        <v>1239</v>
      </c>
      <c r="B5358" t="s">
        <v>35</v>
      </c>
      <c r="C5358" t="s">
        <v>6</v>
      </c>
      <c r="D5358" t="s">
        <v>14</v>
      </c>
      <c r="E5358" s="68">
        <v>9</v>
      </c>
      <c r="F5358" s="68">
        <v>13</v>
      </c>
      <c r="G5358" s="68">
        <v>22</v>
      </c>
    </row>
    <row r="5359" spans="1:7" x14ac:dyDescent="0.3">
      <c r="A5359" t="s">
        <v>1239</v>
      </c>
      <c r="B5359" t="s">
        <v>35</v>
      </c>
      <c r="C5359" t="s">
        <v>6</v>
      </c>
      <c r="D5359" t="s">
        <v>15</v>
      </c>
      <c r="E5359" s="68">
        <v>17</v>
      </c>
      <c r="F5359" s="68">
        <v>23</v>
      </c>
      <c r="G5359" s="68">
        <v>40</v>
      </c>
    </row>
    <row r="5360" spans="1:7" x14ac:dyDescent="0.3">
      <c r="A5360" t="s">
        <v>1239</v>
      </c>
      <c r="B5360" t="s">
        <v>35</v>
      </c>
      <c r="C5360" t="s">
        <v>6</v>
      </c>
      <c r="D5360" t="s">
        <v>16</v>
      </c>
      <c r="E5360" s="68">
        <v>49</v>
      </c>
      <c r="F5360" s="68">
        <v>20</v>
      </c>
      <c r="G5360" s="68">
        <v>69</v>
      </c>
    </row>
    <row r="5361" spans="1:7" x14ac:dyDescent="0.3">
      <c r="A5361" t="s">
        <v>1239</v>
      </c>
      <c r="B5361" t="s">
        <v>35</v>
      </c>
      <c r="C5361" t="s">
        <v>6</v>
      </c>
      <c r="D5361" t="s">
        <v>17</v>
      </c>
      <c r="E5361" s="68">
        <v>69</v>
      </c>
      <c r="F5361" s="68">
        <v>27</v>
      </c>
      <c r="G5361" s="68">
        <v>96</v>
      </c>
    </row>
    <row r="5362" spans="1:7" x14ac:dyDescent="0.3">
      <c r="A5362" t="s">
        <v>1239</v>
      </c>
      <c r="B5362" t="s">
        <v>35</v>
      </c>
      <c r="C5362" t="s">
        <v>6</v>
      </c>
      <c r="D5362" t="s">
        <v>18</v>
      </c>
      <c r="E5362" s="68">
        <v>108</v>
      </c>
      <c r="F5362" s="68">
        <v>28</v>
      </c>
      <c r="G5362" s="68">
        <v>136</v>
      </c>
    </row>
    <row r="5363" spans="1:7" x14ac:dyDescent="0.3">
      <c r="A5363" t="s">
        <v>1239</v>
      </c>
      <c r="B5363" t="s">
        <v>35</v>
      </c>
      <c r="C5363" t="s">
        <v>6</v>
      </c>
      <c r="D5363" t="s">
        <v>19</v>
      </c>
      <c r="E5363" s="68">
        <v>168</v>
      </c>
      <c r="F5363" s="68">
        <v>23</v>
      </c>
      <c r="G5363" s="68">
        <v>191</v>
      </c>
    </row>
    <row r="5364" spans="1:7" x14ac:dyDescent="0.3">
      <c r="A5364" t="s">
        <v>1239</v>
      </c>
      <c r="B5364" t="s">
        <v>35</v>
      </c>
      <c r="C5364" t="s">
        <v>6</v>
      </c>
      <c r="D5364" t="s">
        <v>20</v>
      </c>
      <c r="E5364" s="68">
        <v>311</v>
      </c>
      <c r="F5364" s="68">
        <v>77</v>
      </c>
      <c r="G5364" s="68">
        <v>388</v>
      </c>
    </row>
    <row r="5365" spans="1:7" x14ac:dyDescent="0.3">
      <c r="A5365" t="s">
        <v>1239</v>
      </c>
      <c r="B5365" t="s">
        <v>35</v>
      </c>
      <c r="C5365" t="s">
        <v>6</v>
      </c>
      <c r="D5365" t="s">
        <v>21</v>
      </c>
      <c r="E5365" s="68">
        <v>442</v>
      </c>
      <c r="F5365" s="68">
        <v>212</v>
      </c>
      <c r="G5365" s="68">
        <v>654</v>
      </c>
    </row>
    <row r="5366" spans="1:7" x14ac:dyDescent="0.3">
      <c r="A5366" t="s">
        <v>1239</v>
      </c>
      <c r="B5366" t="s">
        <v>35</v>
      </c>
      <c r="C5366" t="s">
        <v>6</v>
      </c>
      <c r="D5366" t="s">
        <v>22</v>
      </c>
      <c r="E5366" s="68">
        <v>398</v>
      </c>
      <c r="F5366" s="68">
        <v>335</v>
      </c>
      <c r="G5366" s="68">
        <v>733</v>
      </c>
    </row>
    <row r="5367" spans="1:7" x14ac:dyDescent="0.3">
      <c r="A5367" t="s">
        <v>1239</v>
      </c>
      <c r="B5367" t="s">
        <v>35</v>
      </c>
      <c r="C5367" t="s">
        <v>6</v>
      </c>
      <c r="D5367" t="s">
        <v>23</v>
      </c>
      <c r="E5367" s="68">
        <v>607</v>
      </c>
      <c r="F5367" s="68">
        <v>458</v>
      </c>
      <c r="G5367" s="68">
        <v>1065</v>
      </c>
    </row>
    <row r="5368" spans="1:7" x14ac:dyDescent="0.3">
      <c r="A5368" t="s">
        <v>1239</v>
      </c>
      <c r="B5368" t="s">
        <v>588</v>
      </c>
      <c r="C5368" t="s">
        <v>6</v>
      </c>
      <c r="D5368" t="s">
        <v>7</v>
      </c>
      <c r="E5368" s="68">
        <v>979</v>
      </c>
      <c r="F5368" s="68">
        <v>1021</v>
      </c>
      <c r="G5368" s="68">
        <v>2000</v>
      </c>
    </row>
    <row r="5369" spans="1:7" x14ac:dyDescent="0.3">
      <c r="A5369" t="s">
        <v>1239</v>
      </c>
      <c r="B5369" t="s">
        <v>588</v>
      </c>
      <c r="C5369" t="s">
        <v>6</v>
      </c>
      <c r="D5369" t="s">
        <v>8</v>
      </c>
      <c r="E5369" s="68">
        <v>1206</v>
      </c>
      <c r="F5369" s="68">
        <v>1272</v>
      </c>
      <c r="G5369" s="68">
        <v>2478</v>
      </c>
    </row>
    <row r="5370" spans="1:7" x14ac:dyDescent="0.3">
      <c r="A5370" t="s">
        <v>1239</v>
      </c>
      <c r="B5370" t="s">
        <v>588</v>
      </c>
      <c r="C5370" t="s">
        <v>6</v>
      </c>
      <c r="D5370" t="s">
        <v>9</v>
      </c>
      <c r="E5370" s="68">
        <v>1245</v>
      </c>
      <c r="F5370" s="68">
        <v>1392</v>
      </c>
      <c r="G5370" s="68">
        <v>2637</v>
      </c>
    </row>
    <row r="5371" spans="1:7" x14ac:dyDescent="0.3">
      <c r="A5371" t="s">
        <v>1239</v>
      </c>
      <c r="B5371" t="s">
        <v>588</v>
      </c>
      <c r="C5371" t="s">
        <v>6</v>
      </c>
      <c r="D5371" t="s">
        <v>10</v>
      </c>
      <c r="E5371" s="68">
        <v>1221</v>
      </c>
      <c r="F5371" s="68">
        <v>1291</v>
      </c>
      <c r="G5371" s="68">
        <v>2512</v>
      </c>
    </row>
    <row r="5372" spans="1:7" x14ac:dyDescent="0.3">
      <c r="A5372" t="s">
        <v>1239</v>
      </c>
      <c r="B5372" t="s">
        <v>588</v>
      </c>
      <c r="C5372" t="s">
        <v>6</v>
      </c>
      <c r="D5372" t="s">
        <v>11</v>
      </c>
      <c r="E5372" s="68">
        <v>1583</v>
      </c>
      <c r="F5372" s="68">
        <v>1818</v>
      </c>
      <c r="G5372" s="68">
        <v>3401</v>
      </c>
    </row>
    <row r="5373" spans="1:7" x14ac:dyDescent="0.3">
      <c r="A5373" t="s">
        <v>1239</v>
      </c>
      <c r="B5373" t="s">
        <v>588</v>
      </c>
      <c r="C5373" t="s">
        <v>6</v>
      </c>
      <c r="D5373" t="s">
        <v>12</v>
      </c>
      <c r="E5373" s="68">
        <v>1847</v>
      </c>
      <c r="F5373" s="68">
        <v>2004</v>
      </c>
      <c r="G5373" s="68">
        <v>3851</v>
      </c>
    </row>
    <row r="5374" spans="1:7" x14ac:dyDescent="0.3">
      <c r="A5374" t="s">
        <v>1239</v>
      </c>
      <c r="B5374" t="s">
        <v>588</v>
      </c>
      <c r="C5374" t="s">
        <v>6</v>
      </c>
      <c r="D5374" t="s">
        <v>13</v>
      </c>
      <c r="E5374" s="68">
        <v>1756</v>
      </c>
      <c r="F5374" s="68">
        <v>1986</v>
      </c>
      <c r="G5374" s="68">
        <v>3742</v>
      </c>
    </row>
    <row r="5375" spans="1:7" x14ac:dyDescent="0.3">
      <c r="A5375" t="s">
        <v>1239</v>
      </c>
      <c r="B5375" t="s">
        <v>588</v>
      </c>
      <c r="C5375" t="s">
        <v>6</v>
      </c>
      <c r="D5375" t="s">
        <v>14</v>
      </c>
      <c r="E5375" s="68">
        <v>1542</v>
      </c>
      <c r="F5375" s="68">
        <v>1800</v>
      </c>
      <c r="G5375" s="68">
        <v>3342</v>
      </c>
    </row>
    <row r="5376" spans="1:7" x14ac:dyDescent="0.3">
      <c r="A5376" t="s">
        <v>1239</v>
      </c>
      <c r="B5376" t="s">
        <v>588</v>
      </c>
      <c r="C5376" t="s">
        <v>6</v>
      </c>
      <c r="D5376" t="s">
        <v>15</v>
      </c>
      <c r="E5376" s="68">
        <v>1399</v>
      </c>
      <c r="F5376" s="68">
        <v>1560</v>
      </c>
      <c r="G5376" s="68">
        <v>2959</v>
      </c>
    </row>
    <row r="5377" spans="1:7" x14ac:dyDescent="0.3">
      <c r="A5377" t="s">
        <v>1239</v>
      </c>
      <c r="B5377" t="s">
        <v>588</v>
      </c>
      <c r="C5377" t="s">
        <v>6</v>
      </c>
      <c r="D5377" t="s">
        <v>16</v>
      </c>
      <c r="E5377" s="68">
        <v>1059</v>
      </c>
      <c r="F5377" s="68">
        <v>1264</v>
      </c>
      <c r="G5377" s="68">
        <v>2323</v>
      </c>
    </row>
    <row r="5378" spans="1:7" x14ac:dyDescent="0.3">
      <c r="A5378" t="s">
        <v>1239</v>
      </c>
      <c r="B5378" t="s">
        <v>588</v>
      </c>
      <c r="C5378" t="s">
        <v>6</v>
      </c>
      <c r="D5378" t="s">
        <v>17</v>
      </c>
      <c r="E5378" s="68">
        <v>766</v>
      </c>
      <c r="F5378" s="68">
        <v>790</v>
      </c>
      <c r="G5378" s="68">
        <v>1556</v>
      </c>
    </row>
    <row r="5379" spans="1:7" x14ac:dyDescent="0.3">
      <c r="A5379" t="s">
        <v>1239</v>
      </c>
      <c r="B5379" t="s">
        <v>588</v>
      </c>
      <c r="C5379" t="s">
        <v>6</v>
      </c>
      <c r="D5379" t="s">
        <v>18</v>
      </c>
      <c r="E5379" s="68">
        <v>688</v>
      </c>
      <c r="F5379" s="68">
        <v>740</v>
      </c>
      <c r="G5379" s="68">
        <v>1428</v>
      </c>
    </row>
    <row r="5380" spans="1:7" x14ac:dyDescent="0.3">
      <c r="A5380" t="s">
        <v>1239</v>
      </c>
      <c r="B5380" t="s">
        <v>588</v>
      </c>
      <c r="C5380" t="s">
        <v>6</v>
      </c>
      <c r="D5380" t="s">
        <v>19</v>
      </c>
      <c r="E5380" s="68">
        <v>470</v>
      </c>
      <c r="F5380" s="68">
        <v>530</v>
      </c>
      <c r="G5380" s="68">
        <v>1000</v>
      </c>
    </row>
    <row r="5381" spans="1:7" x14ac:dyDescent="0.3">
      <c r="A5381" t="s">
        <v>1239</v>
      </c>
      <c r="B5381" t="s">
        <v>588</v>
      </c>
      <c r="C5381" t="s">
        <v>6</v>
      </c>
      <c r="D5381" t="s">
        <v>20</v>
      </c>
      <c r="E5381" s="68">
        <v>340</v>
      </c>
      <c r="F5381" s="68">
        <v>380</v>
      </c>
      <c r="G5381" s="68">
        <v>720</v>
      </c>
    </row>
    <row r="5382" spans="1:7" x14ac:dyDescent="0.3">
      <c r="A5382" t="s">
        <v>1239</v>
      </c>
      <c r="B5382" t="s">
        <v>588</v>
      </c>
      <c r="C5382" t="s">
        <v>6</v>
      </c>
      <c r="D5382" t="s">
        <v>21</v>
      </c>
      <c r="E5382" s="68">
        <v>240</v>
      </c>
      <c r="F5382" s="68">
        <v>231</v>
      </c>
      <c r="G5382" s="68">
        <v>471</v>
      </c>
    </row>
    <row r="5383" spans="1:7" x14ac:dyDescent="0.3">
      <c r="A5383" t="s">
        <v>1239</v>
      </c>
      <c r="B5383" t="s">
        <v>588</v>
      </c>
      <c r="C5383" t="s">
        <v>6</v>
      </c>
      <c r="D5383" t="s">
        <v>22</v>
      </c>
      <c r="E5383" s="68">
        <v>165</v>
      </c>
      <c r="F5383" s="68">
        <v>126</v>
      </c>
      <c r="G5383" s="68">
        <v>291</v>
      </c>
    </row>
    <row r="5384" spans="1:7" x14ac:dyDescent="0.3">
      <c r="A5384" t="s">
        <v>1239</v>
      </c>
      <c r="B5384" t="s">
        <v>588</v>
      </c>
      <c r="C5384" t="s">
        <v>6</v>
      </c>
      <c r="D5384" t="s">
        <v>23</v>
      </c>
      <c r="E5384" s="68">
        <v>223</v>
      </c>
      <c r="F5384" s="68">
        <v>122</v>
      </c>
      <c r="G5384" s="68">
        <v>345</v>
      </c>
    </row>
    <row r="5385" spans="1:7" x14ac:dyDescent="0.3">
      <c r="A5385" t="s">
        <v>1239</v>
      </c>
      <c r="B5385" t="s">
        <v>588</v>
      </c>
      <c r="C5385" t="s">
        <v>24</v>
      </c>
      <c r="D5385" t="s">
        <v>7</v>
      </c>
      <c r="E5385" s="68">
        <v>7087</v>
      </c>
      <c r="F5385" s="68">
        <v>7558</v>
      </c>
      <c r="G5385" s="68">
        <v>14645</v>
      </c>
    </row>
    <row r="5386" spans="1:7" x14ac:dyDescent="0.3">
      <c r="A5386" t="s">
        <v>1239</v>
      </c>
      <c r="B5386" t="s">
        <v>588</v>
      </c>
      <c r="C5386" t="s">
        <v>24</v>
      </c>
      <c r="D5386" t="s">
        <v>8</v>
      </c>
      <c r="E5386" s="68">
        <v>8239</v>
      </c>
      <c r="F5386" s="68">
        <v>8684</v>
      </c>
      <c r="G5386" s="68">
        <v>16923</v>
      </c>
    </row>
    <row r="5387" spans="1:7" x14ac:dyDescent="0.3">
      <c r="A5387" t="s">
        <v>1239</v>
      </c>
      <c r="B5387" t="s">
        <v>588</v>
      </c>
      <c r="C5387" t="s">
        <v>24</v>
      </c>
      <c r="D5387" t="s">
        <v>9</v>
      </c>
      <c r="E5387" s="68">
        <v>9579</v>
      </c>
      <c r="F5387" s="68">
        <v>10158</v>
      </c>
      <c r="G5387" s="68">
        <v>19737</v>
      </c>
    </row>
    <row r="5388" spans="1:7" x14ac:dyDescent="0.3">
      <c r="A5388" t="s">
        <v>1239</v>
      </c>
      <c r="B5388" t="s">
        <v>588</v>
      </c>
      <c r="C5388" t="s">
        <v>24</v>
      </c>
      <c r="D5388" t="s">
        <v>10</v>
      </c>
      <c r="E5388" s="68">
        <v>9821</v>
      </c>
      <c r="F5388" s="68">
        <v>9795</v>
      </c>
      <c r="G5388" s="68">
        <v>19616</v>
      </c>
    </row>
    <row r="5389" spans="1:7" x14ac:dyDescent="0.3">
      <c r="A5389" t="s">
        <v>1239</v>
      </c>
      <c r="B5389" t="s">
        <v>588</v>
      </c>
      <c r="C5389" t="s">
        <v>24</v>
      </c>
      <c r="D5389" t="s">
        <v>11</v>
      </c>
      <c r="E5389" s="68">
        <v>9310</v>
      </c>
      <c r="F5389" s="68">
        <v>7419</v>
      </c>
      <c r="G5389" s="68">
        <v>16729</v>
      </c>
    </row>
    <row r="5390" spans="1:7" x14ac:dyDescent="0.3">
      <c r="A5390" t="s">
        <v>1239</v>
      </c>
      <c r="B5390" t="s">
        <v>588</v>
      </c>
      <c r="C5390" t="s">
        <v>24</v>
      </c>
      <c r="D5390" t="s">
        <v>12</v>
      </c>
      <c r="E5390" s="68">
        <v>8588</v>
      </c>
      <c r="F5390" s="68">
        <v>6386</v>
      </c>
      <c r="G5390" s="68">
        <v>14974</v>
      </c>
    </row>
    <row r="5391" spans="1:7" x14ac:dyDescent="0.3">
      <c r="A5391" t="s">
        <v>1239</v>
      </c>
      <c r="B5391" t="s">
        <v>588</v>
      </c>
      <c r="C5391" t="s">
        <v>24</v>
      </c>
      <c r="D5391" t="s">
        <v>13</v>
      </c>
      <c r="E5391" s="68">
        <v>8018</v>
      </c>
      <c r="F5391" s="68">
        <v>6177</v>
      </c>
      <c r="G5391" s="68">
        <v>14195</v>
      </c>
    </row>
    <row r="5392" spans="1:7" x14ac:dyDescent="0.3">
      <c r="A5392" t="s">
        <v>1239</v>
      </c>
      <c r="B5392" t="s">
        <v>588</v>
      </c>
      <c r="C5392" t="s">
        <v>24</v>
      </c>
      <c r="D5392" t="s">
        <v>14</v>
      </c>
      <c r="E5392" s="68">
        <v>7393</v>
      </c>
      <c r="F5392" s="68">
        <v>6297</v>
      </c>
      <c r="G5392" s="68">
        <v>13690</v>
      </c>
    </row>
    <row r="5393" spans="1:7" x14ac:dyDescent="0.3">
      <c r="A5393" t="s">
        <v>1239</v>
      </c>
      <c r="B5393" t="s">
        <v>588</v>
      </c>
      <c r="C5393" t="s">
        <v>24</v>
      </c>
      <c r="D5393" t="s">
        <v>15</v>
      </c>
      <c r="E5393" s="68">
        <v>7740</v>
      </c>
      <c r="F5393" s="68">
        <v>6655</v>
      </c>
      <c r="G5393" s="68">
        <v>14395</v>
      </c>
    </row>
    <row r="5394" spans="1:7" x14ac:dyDescent="0.3">
      <c r="A5394" t="s">
        <v>1239</v>
      </c>
      <c r="B5394" t="s">
        <v>588</v>
      </c>
      <c r="C5394" t="s">
        <v>24</v>
      </c>
      <c r="D5394" t="s">
        <v>16</v>
      </c>
      <c r="E5394" s="68">
        <v>6956</v>
      </c>
      <c r="F5394" s="68">
        <v>6192</v>
      </c>
      <c r="G5394" s="68">
        <v>13148</v>
      </c>
    </row>
    <row r="5395" spans="1:7" x14ac:dyDescent="0.3">
      <c r="A5395" t="s">
        <v>1239</v>
      </c>
      <c r="B5395" t="s">
        <v>588</v>
      </c>
      <c r="C5395" t="s">
        <v>24</v>
      </c>
      <c r="D5395" t="s">
        <v>17</v>
      </c>
      <c r="E5395" s="68">
        <v>6303</v>
      </c>
      <c r="F5395" s="68">
        <v>5712</v>
      </c>
      <c r="G5395" s="68">
        <v>12015</v>
      </c>
    </row>
    <row r="5396" spans="1:7" x14ac:dyDescent="0.3">
      <c r="A5396" t="s">
        <v>1239</v>
      </c>
      <c r="B5396" t="s">
        <v>588</v>
      </c>
      <c r="C5396" t="s">
        <v>24</v>
      </c>
      <c r="D5396" t="s">
        <v>18</v>
      </c>
      <c r="E5396" s="68">
        <v>6720</v>
      </c>
      <c r="F5396" s="68">
        <v>6368</v>
      </c>
      <c r="G5396" s="68">
        <v>13088</v>
      </c>
    </row>
    <row r="5397" spans="1:7" x14ac:dyDescent="0.3">
      <c r="A5397" t="s">
        <v>1239</v>
      </c>
      <c r="B5397" t="s">
        <v>588</v>
      </c>
      <c r="C5397" t="s">
        <v>24</v>
      </c>
      <c r="D5397" t="s">
        <v>19</v>
      </c>
      <c r="E5397" s="68">
        <v>6318</v>
      </c>
      <c r="F5397" s="68">
        <v>5995</v>
      </c>
      <c r="G5397" s="68">
        <v>12313</v>
      </c>
    </row>
    <row r="5398" spans="1:7" x14ac:dyDescent="0.3">
      <c r="A5398" t="s">
        <v>1239</v>
      </c>
      <c r="B5398" t="s">
        <v>588</v>
      </c>
      <c r="C5398" t="s">
        <v>24</v>
      </c>
      <c r="D5398" t="s">
        <v>20</v>
      </c>
      <c r="E5398" s="68">
        <v>5055</v>
      </c>
      <c r="F5398" s="68">
        <v>4835</v>
      </c>
      <c r="G5398" s="68">
        <v>9890</v>
      </c>
    </row>
    <row r="5399" spans="1:7" x14ac:dyDescent="0.3">
      <c r="A5399" t="s">
        <v>1239</v>
      </c>
      <c r="B5399" t="s">
        <v>588</v>
      </c>
      <c r="C5399" t="s">
        <v>24</v>
      </c>
      <c r="D5399" t="s">
        <v>21</v>
      </c>
      <c r="E5399" s="68">
        <v>3483</v>
      </c>
      <c r="F5399" s="68">
        <v>3642</v>
      </c>
      <c r="G5399" s="68">
        <v>7125</v>
      </c>
    </row>
    <row r="5400" spans="1:7" x14ac:dyDescent="0.3">
      <c r="A5400" t="s">
        <v>1239</v>
      </c>
      <c r="B5400" t="s">
        <v>588</v>
      </c>
      <c r="C5400" t="s">
        <v>24</v>
      </c>
      <c r="D5400" t="s">
        <v>22</v>
      </c>
      <c r="E5400" s="68">
        <v>2619</v>
      </c>
      <c r="F5400" s="68">
        <v>2592</v>
      </c>
      <c r="G5400" s="68">
        <v>5211</v>
      </c>
    </row>
    <row r="5401" spans="1:7" x14ac:dyDescent="0.3">
      <c r="A5401" t="s">
        <v>1239</v>
      </c>
      <c r="B5401" t="s">
        <v>588</v>
      </c>
      <c r="C5401" t="s">
        <v>24</v>
      </c>
      <c r="D5401" t="s">
        <v>23</v>
      </c>
      <c r="E5401" s="68">
        <v>3795</v>
      </c>
      <c r="F5401" s="68">
        <v>3608</v>
      </c>
      <c r="G5401" s="68">
        <v>7403</v>
      </c>
    </row>
    <row r="5402" spans="1:7" x14ac:dyDescent="0.3">
      <c r="A5402" t="s">
        <v>1239</v>
      </c>
      <c r="B5402" t="s">
        <v>26</v>
      </c>
      <c r="C5402" t="s">
        <v>6</v>
      </c>
      <c r="D5402" t="s">
        <v>7</v>
      </c>
      <c r="E5402" s="68">
        <v>1769</v>
      </c>
      <c r="F5402" s="68">
        <v>1935</v>
      </c>
      <c r="G5402" s="68">
        <v>3704</v>
      </c>
    </row>
    <row r="5403" spans="1:7" x14ac:dyDescent="0.3">
      <c r="A5403" t="s">
        <v>1239</v>
      </c>
      <c r="B5403" t="s">
        <v>26</v>
      </c>
      <c r="C5403" t="s">
        <v>6</v>
      </c>
      <c r="D5403" t="s">
        <v>8</v>
      </c>
      <c r="E5403" s="68">
        <v>2392</v>
      </c>
      <c r="F5403" s="68">
        <v>2500</v>
      </c>
      <c r="G5403" s="68">
        <v>4892</v>
      </c>
    </row>
    <row r="5404" spans="1:7" x14ac:dyDescent="0.3">
      <c r="A5404" t="s">
        <v>1239</v>
      </c>
      <c r="B5404" t="s">
        <v>26</v>
      </c>
      <c r="C5404" t="s">
        <v>6</v>
      </c>
      <c r="D5404" t="s">
        <v>9</v>
      </c>
      <c r="E5404" s="68">
        <v>2305</v>
      </c>
      <c r="F5404" s="68">
        <v>2413</v>
      </c>
      <c r="G5404" s="68">
        <v>4718</v>
      </c>
    </row>
    <row r="5405" spans="1:7" x14ac:dyDescent="0.3">
      <c r="A5405" t="s">
        <v>1239</v>
      </c>
      <c r="B5405" t="s">
        <v>26</v>
      </c>
      <c r="C5405" t="s">
        <v>6</v>
      </c>
      <c r="D5405" t="s">
        <v>10</v>
      </c>
      <c r="E5405" s="68">
        <v>2566</v>
      </c>
      <c r="F5405" s="68">
        <v>2773</v>
      </c>
      <c r="G5405" s="68">
        <v>5339</v>
      </c>
    </row>
    <row r="5406" spans="1:7" x14ac:dyDescent="0.3">
      <c r="A5406" t="s">
        <v>1239</v>
      </c>
      <c r="B5406" t="s">
        <v>26</v>
      </c>
      <c r="C5406" t="s">
        <v>6</v>
      </c>
      <c r="D5406" t="s">
        <v>11</v>
      </c>
      <c r="E5406" s="68">
        <v>2983</v>
      </c>
      <c r="F5406" s="68">
        <v>3826</v>
      </c>
      <c r="G5406" s="68">
        <v>6809</v>
      </c>
    </row>
    <row r="5407" spans="1:7" x14ac:dyDescent="0.3">
      <c r="A5407" t="s">
        <v>1239</v>
      </c>
      <c r="B5407" t="s">
        <v>26</v>
      </c>
      <c r="C5407" t="s">
        <v>6</v>
      </c>
      <c r="D5407" t="s">
        <v>12</v>
      </c>
      <c r="E5407" s="68">
        <v>2535</v>
      </c>
      <c r="F5407" s="68">
        <v>3896</v>
      </c>
      <c r="G5407" s="68">
        <v>6431</v>
      </c>
    </row>
    <row r="5408" spans="1:7" x14ac:dyDescent="0.3">
      <c r="A5408" t="s">
        <v>1239</v>
      </c>
      <c r="B5408" t="s">
        <v>26</v>
      </c>
      <c r="C5408" t="s">
        <v>6</v>
      </c>
      <c r="D5408" t="s">
        <v>13</v>
      </c>
      <c r="E5408" s="68">
        <v>2529</v>
      </c>
      <c r="F5408" s="68">
        <v>3589</v>
      </c>
      <c r="G5408" s="68">
        <v>6118</v>
      </c>
    </row>
    <row r="5409" spans="1:7" x14ac:dyDescent="0.3">
      <c r="A5409" t="s">
        <v>1239</v>
      </c>
      <c r="B5409" t="s">
        <v>26</v>
      </c>
      <c r="C5409" t="s">
        <v>6</v>
      </c>
      <c r="D5409" t="s">
        <v>14</v>
      </c>
      <c r="E5409" s="68">
        <v>2266</v>
      </c>
      <c r="F5409" s="68">
        <v>2892</v>
      </c>
      <c r="G5409" s="68">
        <v>5158</v>
      </c>
    </row>
    <row r="5410" spans="1:7" x14ac:dyDescent="0.3">
      <c r="A5410" t="s">
        <v>1239</v>
      </c>
      <c r="B5410" t="s">
        <v>26</v>
      </c>
      <c r="C5410" t="s">
        <v>6</v>
      </c>
      <c r="D5410" t="s">
        <v>15</v>
      </c>
      <c r="E5410" s="68">
        <v>2100</v>
      </c>
      <c r="F5410" s="68">
        <v>2541</v>
      </c>
      <c r="G5410" s="68">
        <v>4641</v>
      </c>
    </row>
    <row r="5411" spans="1:7" x14ac:dyDescent="0.3">
      <c r="A5411" t="s">
        <v>1239</v>
      </c>
      <c r="B5411" t="s">
        <v>26</v>
      </c>
      <c r="C5411" t="s">
        <v>6</v>
      </c>
      <c r="D5411" t="s">
        <v>16</v>
      </c>
      <c r="E5411" s="68">
        <v>2150</v>
      </c>
      <c r="F5411" s="68">
        <v>2324</v>
      </c>
      <c r="G5411" s="68">
        <v>4474</v>
      </c>
    </row>
    <row r="5412" spans="1:7" x14ac:dyDescent="0.3">
      <c r="A5412" t="s">
        <v>1239</v>
      </c>
      <c r="B5412" t="s">
        <v>26</v>
      </c>
      <c r="C5412" t="s">
        <v>6</v>
      </c>
      <c r="D5412" t="s">
        <v>17</v>
      </c>
      <c r="E5412" s="68">
        <v>2227</v>
      </c>
      <c r="F5412" s="68">
        <v>2178</v>
      </c>
      <c r="G5412" s="68">
        <v>4405</v>
      </c>
    </row>
    <row r="5413" spans="1:7" x14ac:dyDescent="0.3">
      <c r="A5413" t="s">
        <v>1239</v>
      </c>
      <c r="B5413" t="s">
        <v>26</v>
      </c>
      <c r="C5413" t="s">
        <v>6</v>
      </c>
      <c r="D5413" t="s">
        <v>18</v>
      </c>
      <c r="E5413" s="68">
        <v>2398</v>
      </c>
      <c r="F5413" s="68">
        <v>2212</v>
      </c>
      <c r="G5413" s="68">
        <v>4610</v>
      </c>
    </row>
    <row r="5414" spans="1:7" x14ac:dyDescent="0.3">
      <c r="A5414" t="s">
        <v>1239</v>
      </c>
      <c r="B5414" t="s">
        <v>26</v>
      </c>
      <c r="C5414" t="s">
        <v>6</v>
      </c>
      <c r="D5414" t="s">
        <v>19</v>
      </c>
      <c r="E5414" s="68">
        <v>2400</v>
      </c>
      <c r="F5414" s="68">
        <v>2097</v>
      </c>
      <c r="G5414" s="68">
        <v>4497</v>
      </c>
    </row>
    <row r="5415" spans="1:7" x14ac:dyDescent="0.3">
      <c r="A5415" t="s">
        <v>1239</v>
      </c>
      <c r="B5415" t="s">
        <v>26</v>
      </c>
      <c r="C5415" t="s">
        <v>6</v>
      </c>
      <c r="D5415" t="s">
        <v>20</v>
      </c>
      <c r="E5415" s="68">
        <v>2230</v>
      </c>
      <c r="F5415" s="68">
        <v>1772</v>
      </c>
      <c r="G5415" s="68">
        <v>4002</v>
      </c>
    </row>
    <row r="5416" spans="1:7" x14ac:dyDescent="0.3">
      <c r="A5416" t="s">
        <v>1239</v>
      </c>
      <c r="B5416" t="s">
        <v>26</v>
      </c>
      <c r="C5416" t="s">
        <v>6</v>
      </c>
      <c r="D5416" t="s">
        <v>21</v>
      </c>
      <c r="E5416" s="68">
        <v>1904</v>
      </c>
      <c r="F5416" s="68">
        <v>1428</v>
      </c>
      <c r="G5416" s="68">
        <v>3332</v>
      </c>
    </row>
    <row r="5417" spans="1:7" x14ac:dyDescent="0.3">
      <c r="A5417" t="s">
        <v>1239</v>
      </c>
      <c r="B5417" t="s">
        <v>26</v>
      </c>
      <c r="C5417" t="s">
        <v>6</v>
      </c>
      <c r="D5417" t="s">
        <v>22</v>
      </c>
      <c r="E5417" s="68">
        <v>1377</v>
      </c>
      <c r="F5417" s="68">
        <v>1145</v>
      </c>
      <c r="G5417" s="68">
        <v>2522</v>
      </c>
    </row>
    <row r="5418" spans="1:7" x14ac:dyDescent="0.3">
      <c r="A5418" t="s">
        <v>1239</v>
      </c>
      <c r="B5418" t="s">
        <v>26</v>
      </c>
      <c r="C5418" t="s">
        <v>6</v>
      </c>
      <c r="D5418" t="s">
        <v>23</v>
      </c>
      <c r="E5418" s="68">
        <v>2044</v>
      </c>
      <c r="F5418" s="68">
        <v>1353</v>
      </c>
      <c r="G5418" s="68">
        <v>3397</v>
      </c>
    </row>
    <row r="5419" spans="1:7" x14ac:dyDescent="0.3">
      <c r="A5419" t="s">
        <v>1239</v>
      </c>
      <c r="B5419" t="s">
        <v>26</v>
      </c>
      <c r="C5419" t="s">
        <v>24</v>
      </c>
      <c r="D5419" t="s">
        <v>7</v>
      </c>
      <c r="E5419" s="68">
        <v>10242</v>
      </c>
      <c r="F5419" s="68">
        <v>11040</v>
      </c>
      <c r="G5419" s="68">
        <v>21282</v>
      </c>
    </row>
    <row r="5420" spans="1:7" x14ac:dyDescent="0.3">
      <c r="A5420" t="s">
        <v>1239</v>
      </c>
      <c r="B5420" t="s">
        <v>26</v>
      </c>
      <c r="C5420" t="s">
        <v>24</v>
      </c>
      <c r="D5420" t="s">
        <v>8</v>
      </c>
      <c r="E5420" s="68">
        <v>12365</v>
      </c>
      <c r="F5420" s="68">
        <v>12994</v>
      </c>
      <c r="G5420" s="68">
        <v>25359</v>
      </c>
    </row>
    <row r="5421" spans="1:7" x14ac:dyDescent="0.3">
      <c r="A5421" t="s">
        <v>1239</v>
      </c>
      <c r="B5421" t="s">
        <v>26</v>
      </c>
      <c r="C5421" t="s">
        <v>24</v>
      </c>
      <c r="D5421" t="s">
        <v>9</v>
      </c>
      <c r="E5421" s="68">
        <v>10916</v>
      </c>
      <c r="F5421" s="68">
        <v>11226</v>
      </c>
      <c r="G5421" s="68">
        <v>22142</v>
      </c>
    </row>
    <row r="5422" spans="1:7" x14ac:dyDescent="0.3">
      <c r="A5422" t="s">
        <v>1239</v>
      </c>
      <c r="B5422" t="s">
        <v>26</v>
      </c>
      <c r="C5422" t="s">
        <v>24</v>
      </c>
      <c r="D5422" t="s">
        <v>10</v>
      </c>
      <c r="E5422" s="68">
        <v>12045</v>
      </c>
      <c r="F5422" s="68">
        <v>11814</v>
      </c>
      <c r="G5422" s="68">
        <v>23859</v>
      </c>
    </row>
    <row r="5423" spans="1:7" x14ac:dyDescent="0.3">
      <c r="A5423" t="s">
        <v>1239</v>
      </c>
      <c r="B5423" t="s">
        <v>26</v>
      </c>
      <c r="C5423" t="s">
        <v>24</v>
      </c>
      <c r="D5423" t="s">
        <v>11</v>
      </c>
      <c r="E5423" s="68">
        <v>12220</v>
      </c>
      <c r="F5423" s="68">
        <v>8770</v>
      </c>
      <c r="G5423" s="68">
        <v>20990</v>
      </c>
    </row>
    <row r="5424" spans="1:7" x14ac:dyDescent="0.3">
      <c r="A5424" t="s">
        <v>1239</v>
      </c>
      <c r="B5424" t="s">
        <v>26</v>
      </c>
      <c r="C5424" t="s">
        <v>24</v>
      </c>
      <c r="D5424" t="s">
        <v>12</v>
      </c>
      <c r="E5424" s="68">
        <v>10940</v>
      </c>
      <c r="F5424" s="68">
        <v>8678</v>
      </c>
      <c r="G5424" s="68">
        <v>19618</v>
      </c>
    </row>
    <row r="5425" spans="1:7" x14ac:dyDescent="0.3">
      <c r="A5425" t="s">
        <v>1239</v>
      </c>
      <c r="B5425" t="s">
        <v>26</v>
      </c>
      <c r="C5425" t="s">
        <v>24</v>
      </c>
      <c r="D5425" t="s">
        <v>13</v>
      </c>
      <c r="E5425" s="68">
        <v>10091</v>
      </c>
      <c r="F5425" s="68">
        <v>8166</v>
      </c>
      <c r="G5425" s="68">
        <v>18257</v>
      </c>
    </row>
    <row r="5426" spans="1:7" x14ac:dyDescent="0.3">
      <c r="A5426" t="s">
        <v>1239</v>
      </c>
      <c r="B5426" t="s">
        <v>26</v>
      </c>
      <c r="C5426" t="s">
        <v>24</v>
      </c>
      <c r="D5426" t="s">
        <v>14</v>
      </c>
      <c r="E5426" s="68">
        <v>8486</v>
      </c>
      <c r="F5426" s="68">
        <v>7181</v>
      </c>
      <c r="G5426" s="68">
        <v>15667</v>
      </c>
    </row>
    <row r="5427" spans="1:7" x14ac:dyDescent="0.3">
      <c r="A5427" t="s">
        <v>1239</v>
      </c>
      <c r="B5427" t="s">
        <v>26</v>
      </c>
      <c r="C5427" t="s">
        <v>24</v>
      </c>
      <c r="D5427" t="s">
        <v>15</v>
      </c>
      <c r="E5427" s="68">
        <v>7238</v>
      </c>
      <c r="F5427" s="68">
        <v>6399</v>
      </c>
      <c r="G5427" s="68">
        <v>13637</v>
      </c>
    </row>
    <row r="5428" spans="1:7" x14ac:dyDescent="0.3">
      <c r="A5428" t="s">
        <v>1239</v>
      </c>
      <c r="B5428" t="s">
        <v>26</v>
      </c>
      <c r="C5428" t="s">
        <v>24</v>
      </c>
      <c r="D5428" t="s">
        <v>16</v>
      </c>
      <c r="E5428" s="68">
        <v>7249</v>
      </c>
      <c r="F5428" s="68">
        <v>6434</v>
      </c>
      <c r="G5428" s="68">
        <v>13683</v>
      </c>
    </row>
    <row r="5429" spans="1:7" x14ac:dyDescent="0.3">
      <c r="A5429" t="s">
        <v>1239</v>
      </c>
      <c r="B5429" t="s">
        <v>26</v>
      </c>
      <c r="C5429" t="s">
        <v>24</v>
      </c>
      <c r="D5429" t="s">
        <v>17</v>
      </c>
      <c r="E5429" s="68">
        <v>6603</v>
      </c>
      <c r="F5429" s="68">
        <v>6436</v>
      </c>
      <c r="G5429" s="68">
        <v>13039</v>
      </c>
    </row>
    <row r="5430" spans="1:7" x14ac:dyDescent="0.3">
      <c r="A5430" t="s">
        <v>1239</v>
      </c>
      <c r="B5430" t="s">
        <v>26</v>
      </c>
      <c r="C5430" t="s">
        <v>24</v>
      </c>
      <c r="D5430" t="s">
        <v>18</v>
      </c>
      <c r="E5430" s="68">
        <v>5220</v>
      </c>
      <c r="F5430" s="68">
        <v>5552</v>
      </c>
      <c r="G5430" s="68">
        <v>10772</v>
      </c>
    </row>
    <row r="5431" spans="1:7" x14ac:dyDescent="0.3">
      <c r="A5431" t="s">
        <v>1239</v>
      </c>
      <c r="B5431" t="s">
        <v>26</v>
      </c>
      <c r="C5431" t="s">
        <v>24</v>
      </c>
      <c r="D5431" t="s">
        <v>19</v>
      </c>
      <c r="E5431" s="68">
        <v>4261</v>
      </c>
      <c r="F5431" s="68">
        <v>4533</v>
      </c>
      <c r="G5431" s="68">
        <v>8794</v>
      </c>
    </row>
    <row r="5432" spans="1:7" x14ac:dyDescent="0.3">
      <c r="A5432" t="s">
        <v>1239</v>
      </c>
      <c r="B5432" t="s">
        <v>26</v>
      </c>
      <c r="C5432" t="s">
        <v>24</v>
      </c>
      <c r="D5432" t="s">
        <v>20</v>
      </c>
      <c r="E5432" s="68">
        <v>3467</v>
      </c>
      <c r="F5432" s="68">
        <v>3741</v>
      </c>
      <c r="G5432" s="68">
        <v>7208</v>
      </c>
    </row>
    <row r="5433" spans="1:7" x14ac:dyDescent="0.3">
      <c r="A5433" t="s">
        <v>1239</v>
      </c>
      <c r="B5433" t="s">
        <v>26</v>
      </c>
      <c r="C5433" t="s">
        <v>24</v>
      </c>
      <c r="D5433" t="s">
        <v>21</v>
      </c>
      <c r="E5433" s="68">
        <v>2820</v>
      </c>
      <c r="F5433" s="68">
        <v>2862</v>
      </c>
      <c r="G5433" s="68">
        <v>5682</v>
      </c>
    </row>
    <row r="5434" spans="1:7" x14ac:dyDescent="0.3">
      <c r="A5434" t="s">
        <v>1239</v>
      </c>
      <c r="B5434" t="s">
        <v>26</v>
      </c>
      <c r="C5434" t="s">
        <v>24</v>
      </c>
      <c r="D5434" t="s">
        <v>22</v>
      </c>
      <c r="E5434" s="68">
        <v>1933</v>
      </c>
      <c r="F5434" s="68">
        <v>2033</v>
      </c>
      <c r="G5434" s="68">
        <v>3966</v>
      </c>
    </row>
    <row r="5435" spans="1:7" x14ac:dyDescent="0.3">
      <c r="A5435" t="s">
        <v>1239</v>
      </c>
      <c r="B5435" t="s">
        <v>26</v>
      </c>
      <c r="C5435" t="s">
        <v>24</v>
      </c>
      <c r="D5435" t="s">
        <v>23</v>
      </c>
      <c r="E5435" s="68">
        <v>2319</v>
      </c>
      <c r="F5435" s="68">
        <v>2392</v>
      </c>
      <c r="G5435" s="68">
        <v>4711</v>
      </c>
    </row>
    <row r="5436" spans="1:7" x14ac:dyDescent="0.3">
      <c r="A5436" t="s">
        <v>1239</v>
      </c>
      <c r="B5436" t="s">
        <v>27</v>
      </c>
      <c r="C5436" t="s">
        <v>28</v>
      </c>
      <c r="D5436" t="s">
        <v>7</v>
      </c>
      <c r="E5436" s="68">
        <v>370</v>
      </c>
      <c r="F5436" s="68">
        <v>360</v>
      </c>
      <c r="G5436" s="68">
        <v>730</v>
      </c>
    </row>
    <row r="5437" spans="1:7" x14ac:dyDescent="0.3">
      <c r="A5437" t="s">
        <v>1239</v>
      </c>
      <c r="B5437" t="s">
        <v>27</v>
      </c>
      <c r="C5437" t="s">
        <v>28</v>
      </c>
      <c r="D5437" t="s">
        <v>8</v>
      </c>
      <c r="E5437" s="68">
        <v>528</v>
      </c>
      <c r="F5437" s="68">
        <v>559</v>
      </c>
      <c r="G5437" s="68">
        <v>1087</v>
      </c>
    </row>
    <row r="5438" spans="1:7" x14ac:dyDescent="0.3">
      <c r="A5438" t="s">
        <v>1239</v>
      </c>
      <c r="B5438" t="s">
        <v>27</v>
      </c>
      <c r="C5438" t="s">
        <v>28</v>
      </c>
      <c r="D5438" t="s">
        <v>9</v>
      </c>
      <c r="E5438" s="68">
        <v>910</v>
      </c>
      <c r="F5438" s="68">
        <v>964</v>
      </c>
      <c r="G5438" s="68">
        <v>1874</v>
      </c>
    </row>
    <row r="5439" spans="1:7" x14ac:dyDescent="0.3">
      <c r="A5439" t="s">
        <v>1239</v>
      </c>
      <c r="B5439" t="s">
        <v>27</v>
      </c>
      <c r="C5439" t="s">
        <v>28</v>
      </c>
      <c r="D5439" t="s">
        <v>10</v>
      </c>
      <c r="E5439" s="68">
        <v>1275</v>
      </c>
      <c r="F5439" s="68">
        <v>1339</v>
      </c>
      <c r="G5439" s="68">
        <v>2614</v>
      </c>
    </row>
    <row r="5440" spans="1:7" x14ac:dyDescent="0.3">
      <c r="A5440" t="s">
        <v>1239</v>
      </c>
      <c r="B5440" t="s">
        <v>27</v>
      </c>
      <c r="C5440" t="s">
        <v>28</v>
      </c>
      <c r="D5440" t="s">
        <v>11</v>
      </c>
      <c r="E5440" s="68">
        <v>1196</v>
      </c>
      <c r="F5440" s="68">
        <v>1332</v>
      </c>
      <c r="G5440" s="68">
        <v>2528</v>
      </c>
    </row>
    <row r="5441" spans="1:7" x14ac:dyDescent="0.3">
      <c r="A5441" t="s">
        <v>1239</v>
      </c>
      <c r="B5441" t="s">
        <v>27</v>
      </c>
      <c r="C5441" t="s">
        <v>28</v>
      </c>
      <c r="D5441" t="s">
        <v>12</v>
      </c>
      <c r="E5441" s="68">
        <v>546</v>
      </c>
      <c r="F5441" s="68">
        <v>410</v>
      </c>
      <c r="G5441" s="68">
        <v>956</v>
      </c>
    </row>
    <row r="5442" spans="1:7" x14ac:dyDescent="0.3">
      <c r="A5442" t="s">
        <v>1239</v>
      </c>
      <c r="B5442" t="s">
        <v>27</v>
      </c>
      <c r="C5442" t="s">
        <v>28</v>
      </c>
      <c r="D5442" t="s">
        <v>13</v>
      </c>
      <c r="E5442" s="68">
        <v>702</v>
      </c>
      <c r="F5442" s="68">
        <v>425</v>
      </c>
      <c r="G5442" s="68">
        <v>1127</v>
      </c>
    </row>
    <row r="5443" spans="1:7" x14ac:dyDescent="0.3">
      <c r="A5443" t="s">
        <v>1239</v>
      </c>
      <c r="B5443" t="s">
        <v>27</v>
      </c>
      <c r="C5443" t="s">
        <v>28</v>
      </c>
      <c r="D5443" t="s">
        <v>14</v>
      </c>
      <c r="E5443" s="68">
        <v>813</v>
      </c>
      <c r="F5443" s="68">
        <v>475</v>
      </c>
      <c r="G5443" s="68">
        <v>1288</v>
      </c>
    </row>
    <row r="5444" spans="1:7" x14ac:dyDescent="0.3">
      <c r="A5444" t="s">
        <v>1239</v>
      </c>
      <c r="B5444" t="s">
        <v>27</v>
      </c>
      <c r="C5444" t="s">
        <v>28</v>
      </c>
      <c r="D5444" t="s">
        <v>15</v>
      </c>
      <c r="E5444" s="68">
        <v>1167</v>
      </c>
      <c r="F5444" s="68">
        <v>654</v>
      </c>
      <c r="G5444" s="68">
        <v>1821</v>
      </c>
    </row>
    <row r="5445" spans="1:7" x14ac:dyDescent="0.3">
      <c r="A5445" t="s">
        <v>1239</v>
      </c>
      <c r="B5445" t="s">
        <v>27</v>
      </c>
      <c r="C5445" t="s">
        <v>28</v>
      </c>
      <c r="D5445" t="s">
        <v>16</v>
      </c>
      <c r="E5445" s="68">
        <v>1523</v>
      </c>
      <c r="F5445" s="68">
        <v>926</v>
      </c>
      <c r="G5445" s="68">
        <v>2449</v>
      </c>
    </row>
    <row r="5446" spans="1:7" x14ac:dyDescent="0.3">
      <c r="A5446" t="s">
        <v>1239</v>
      </c>
      <c r="B5446" t="s">
        <v>27</v>
      </c>
      <c r="C5446" t="s">
        <v>28</v>
      </c>
      <c r="D5446" t="s">
        <v>17</v>
      </c>
      <c r="E5446" s="68">
        <v>1718</v>
      </c>
      <c r="F5446" s="68">
        <v>1081</v>
      </c>
      <c r="G5446" s="68">
        <v>2799</v>
      </c>
    </row>
    <row r="5447" spans="1:7" x14ac:dyDescent="0.3">
      <c r="A5447" t="s">
        <v>1239</v>
      </c>
      <c r="B5447" t="s">
        <v>27</v>
      </c>
      <c r="C5447" t="s">
        <v>28</v>
      </c>
      <c r="D5447" t="s">
        <v>18</v>
      </c>
      <c r="E5447" s="68">
        <v>1899</v>
      </c>
      <c r="F5447" s="68">
        <v>1195</v>
      </c>
      <c r="G5447" s="68">
        <v>3094</v>
      </c>
    </row>
    <row r="5448" spans="1:7" x14ac:dyDescent="0.3">
      <c r="A5448" t="s">
        <v>1239</v>
      </c>
      <c r="B5448" t="s">
        <v>27</v>
      </c>
      <c r="C5448" t="s">
        <v>28</v>
      </c>
      <c r="D5448" t="s">
        <v>19</v>
      </c>
      <c r="E5448" s="68">
        <v>1601</v>
      </c>
      <c r="F5448" s="68">
        <v>1137</v>
      </c>
      <c r="G5448" s="68">
        <v>2738</v>
      </c>
    </row>
    <row r="5449" spans="1:7" x14ac:dyDescent="0.3">
      <c r="A5449" t="s">
        <v>1239</v>
      </c>
      <c r="B5449" t="s">
        <v>27</v>
      </c>
      <c r="C5449" t="s">
        <v>28</v>
      </c>
      <c r="D5449" t="s">
        <v>20</v>
      </c>
      <c r="E5449" s="68">
        <v>1341</v>
      </c>
      <c r="F5449" s="68">
        <v>904</v>
      </c>
      <c r="G5449" s="68">
        <v>2245</v>
      </c>
    </row>
    <row r="5450" spans="1:7" x14ac:dyDescent="0.3">
      <c r="A5450" t="s">
        <v>1239</v>
      </c>
      <c r="B5450" t="s">
        <v>27</v>
      </c>
      <c r="C5450" t="s">
        <v>28</v>
      </c>
      <c r="D5450" t="s">
        <v>21</v>
      </c>
      <c r="E5450" s="68">
        <v>1287</v>
      </c>
      <c r="F5450" s="68">
        <v>795</v>
      </c>
      <c r="G5450" s="68">
        <v>2082</v>
      </c>
    </row>
    <row r="5451" spans="1:7" x14ac:dyDescent="0.3">
      <c r="A5451" t="s">
        <v>1239</v>
      </c>
      <c r="B5451" t="s">
        <v>27</v>
      </c>
      <c r="C5451" t="s">
        <v>28</v>
      </c>
      <c r="D5451" t="s">
        <v>22</v>
      </c>
      <c r="E5451" s="68">
        <v>869</v>
      </c>
      <c r="F5451" s="68">
        <v>564</v>
      </c>
      <c r="G5451" s="68">
        <v>1433</v>
      </c>
    </row>
    <row r="5452" spans="1:7" x14ac:dyDescent="0.3">
      <c r="A5452" t="s">
        <v>1239</v>
      </c>
      <c r="B5452" t="s">
        <v>27</v>
      </c>
      <c r="C5452" t="s">
        <v>28</v>
      </c>
      <c r="D5452" t="s">
        <v>23</v>
      </c>
      <c r="E5452" s="68">
        <v>643</v>
      </c>
      <c r="F5452" s="68">
        <v>373</v>
      </c>
      <c r="G5452" s="68">
        <v>1016</v>
      </c>
    </row>
    <row r="5453" spans="1:7" x14ac:dyDescent="0.3">
      <c r="A5453" t="s">
        <v>1239</v>
      </c>
      <c r="B5453" t="s">
        <v>27</v>
      </c>
      <c r="C5453" t="s">
        <v>29</v>
      </c>
      <c r="D5453" t="s">
        <v>10</v>
      </c>
      <c r="E5453" s="68"/>
      <c r="F5453" s="68">
        <v>2</v>
      </c>
      <c r="G5453" s="68">
        <v>2</v>
      </c>
    </row>
    <row r="5454" spans="1:7" x14ac:dyDescent="0.3">
      <c r="A5454" t="s">
        <v>1239</v>
      </c>
      <c r="B5454" t="s">
        <v>27</v>
      </c>
      <c r="C5454" t="s">
        <v>29</v>
      </c>
      <c r="D5454" t="s">
        <v>11</v>
      </c>
      <c r="E5454" s="68">
        <v>6</v>
      </c>
      <c r="F5454" s="68">
        <v>93</v>
      </c>
      <c r="G5454" s="68">
        <v>99</v>
      </c>
    </row>
    <row r="5455" spans="1:7" x14ac:dyDescent="0.3">
      <c r="A5455" t="s">
        <v>1239</v>
      </c>
      <c r="B5455" t="s">
        <v>27</v>
      </c>
      <c r="C5455" t="s">
        <v>29</v>
      </c>
      <c r="D5455" t="s">
        <v>12</v>
      </c>
      <c r="E5455" s="68">
        <v>12</v>
      </c>
      <c r="F5455" s="68">
        <v>220</v>
      </c>
      <c r="G5455" s="68">
        <v>232</v>
      </c>
    </row>
    <row r="5456" spans="1:7" x14ac:dyDescent="0.3">
      <c r="A5456" t="s">
        <v>1239</v>
      </c>
      <c r="B5456" t="s">
        <v>27</v>
      </c>
      <c r="C5456" t="s">
        <v>29</v>
      </c>
      <c r="D5456" t="s">
        <v>13</v>
      </c>
      <c r="E5456" s="68">
        <v>9</v>
      </c>
      <c r="F5456" s="68">
        <v>217</v>
      </c>
      <c r="G5456" s="68">
        <v>226</v>
      </c>
    </row>
    <row r="5457" spans="1:7" x14ac:dyDescent="0.3">
      <c r="A5457" t="s">
        <v>1239</v>
      </c>
      <c r="B5457" t="s">
        <v>27</v>
      </c>
      <c r="C5457" t="s">
        <v>29</v>
      </c>
      <c r="D5457" t="s">
        <v>14</v>
      </c>
      <c r="E5457" s="68">
        <v>5</v>
      </c>
      <c r="F5457" s="68">
        <v>124</v>
      </c>
      <c r="G5457" s="68">
        <v>129</v>
      </c>
    </row>
    <row r="5458" spans="1:7" x14ac:dyDescent="0.3">
      <c r="A5458" t="s">
        <v>1239</v>
      </c>
      <c r="B5458" t="s">
        <v>27</v>
      </c>
      <c r="C5458" t="s">
        <v>29</v>
      </c>
      <c r="D5458" t="s">
        <v>15</v>
      </c>
      <c r="E5458" s="68">
        <v>3</v>
      </c>
      <c r="F5458" s="68">
        <v>119</v>
      </c>
      <c r="G5458" s="68">
        <v>122</v>
      </c>
    </row>
    <row r="5459" spans="1:7" x14ac:dyDescent="0.3">
      <c r="A5459" t="s">
        <v>1239</v>
      </c>
      <c r="B5459" t="s">
        <v>27</v>
      </c>
      <c r="C5459" t="s">
        <v>29</v>
      </c>
      <c r="D5459" t="s">
        <v>16</v>
      </c>
      <c r="E5459" s="68">
        <v>3</v>
      </c>
      <c r="F5459" s="68">
        <v>104</v>
      </c>
      <c r="G5459" s="68">
        <v>107</v>
      </c>
    </row>
    <row r="5460" spans="1:7" x14ac:dyDescent="0.3">
      <c r="A5460" t="s">
        <v>1239</v>
      </c>
      <c r="B5460" t="s">
        <v>27</v>
      </c>
      <c r="C5460" t="s">
        <v>29</v>
      </c>
      <c r="D5460" t="s">
        <v>17</v>
      </c>
      <c r="E5460" s="68">
        <v>1</v>
      </c>
      <c r="F5460" s="68">
        <v>73</v>
      </c>
      <c r="G5460" s="68">
        <v>74</v>
      </c>
    </row>
    <row r="5461" spans="1:7" x14ac:dyDescent="0.3">
      <c r="A5461" t="s">
        <v>1239</v>
      </c>
      <c r="B5461" t="s">
        <v>27</v>
      </c>
      <c r="C5461" t="s">
        <v>29</v>
      </c>
      <c r="D5461" t="s">
        <v>18</v>
      </c>
      <c r="E5461" s="68"/>
      <c r="F5461" s="68">
        <v>46</v>
      </c>
      <c r="G5461" s="68">
        <v>46</v>
      </c>
    </row>
    <row r="5462" spans="1:7" x14ac:dyDescent="0.3">
      <c r="A5462" t="s">
        <v>1239</v>
      </c>
      <c r="B5462" t="s">
        <v>27</v>
      </c>
      <c r="C5462" t="s">
        <v>29</v>
      </c>
      <c r="D5462" t="s">
        <v>19</v>
      </c>
      <c r="E5462" s="68"/>
      <c r="F5462" s="68">
        <v>30</v>
      </c>
      <c r="G5462" s="68">
        <v>30</v>
      </c>
    </row>
    <row r="5463" spans="1:7" x14ac:dyDescent="0.3">
      <c r="A5463" t="s">
        <v>1239</v>
      </c>
      <c r="B5463" t="s">
        <v>27</v>
      </c>
      <c r="C5463" t="s">
        <v>29</v>
      </c>
      <c r="D5463" t="s">
        <v>20</v>
      </c>
      <c r="E5463" s="68"/>
      <c r="F5463" s="68">
        <v>15</v>
      </c>
      <c r="G5463" s="68">
        <v>15</v>
      </c>
    </row>
    <row r="5464" spans="1:7" x14ac:dyDescent="0.3">
      <c r="A5464" t="s">
        <v>1239</v>
      </c>
      <c r="B5464" t="s">
        <v>27</v>
      </c>
      <c r="C5464" t="s">
        <v>29</v>
      </c>
      <c r="D5464" t="s">
        <v>21</v>
      </c>
      <c r="E5464" s="68"/>
      <c r="F5464" s="68">
        <v>7</v>
      </c>
      <c r="G5464" s="68">
        <v>7</v>
      </c>
    </row>
    <row r="5465" spans="1:7" x14ac:dyDescent="0.3">
      <c r="A5465" t="s">
        <v>1239</v>
      </c>
      <c r="B5465" t="s">
        <v>27</v>
      </c>
      <c r="C5465" t="s">
        <v>29</v>
      </c>
      <c r="D5465" t="s">
        <v>22</v>
      </c>
      <c r="E5465" s="68"/>
      <c r="F5465" s="68">
        <v>2</v>
      </c>
      <c r="G5465" s="68">
        <v>2</v>
      </c>
    </row>
    <row r="5466" spans="1:7" x14ac:dyDescent="0.3">
      <c r="A5466" t="s">
        <v>1239</v>
      </c>
      <c r="B5466" t="s">
        <v>27</v>
      </c>
      <c r="C5466" t="s">
        <v>29</v>
      </c>
      <c r="D5466" t="s">
        <v>23</v>
      </c>
      <c r="E5466" s="68"/>
      <c r="F5466" s="68">
        <v>2</v>
      </c>
      <c r="G5466" s="68">
        <v>2</v>
      </c>
    </row>
    <row r="5467" spans="1:7" x14ac:dyDescent="0.3">
      <c r="A5467" t="s">
        <v>1239</v>
      </c>
      <c r="B5467" t="s">
        <v>36</v>
      </c>
      <c r="C5467" t="s">
        <v>6</v>
      </c>
      <c r="D5467" t="s">
        <v>7</v>
      </c>
      <c r="E5467" s="68">
        <v>4596</v>
      </c>
      <c r="F5467" s="68">
        <v>4872</v>
      </c>
      <c r="G5467" s="68">
        <v>9468</v>
      </c>
    </row>
    <row r="5468" spans="1:7" x14ac:dyDescent="0.3">
      <c r="A5468" t="s">
        <v>1239</v>
      </c>
      <c r="B5468" t="s">
        <v>36</v>
      </c>
      <c r="C5468" t="s">
        <v>6</v>
      </c>
      <c r="D5468" t="s">
        <v>8</v>
      </c>
      <c r="E5468" s="68">
        <v>6478</v>
      </c>
      <c r="F5468" s="68">
        <v>6727</v>
      </c>
      <c r="G5468" s="68">
        <v>13205</v>
      </c>
    </row>
    <row r="5469" spans="1:7" x14ac:dyDescent="0.3">
      <c r="A5469" t="s">
        <v>1239</v>
      </c>
      <c r="B5469" t="s">
        <v>36</v>
      </c>
      <c r="C5469" t="s">
        <v>6</v>
      </c>
      <c r="D5469" t="s">
        <v>9</v>
      </c>
      <c r="E5469" s="68">
        <v>7099</v>
      </c>
      <c r="F5469" s="68">
        <v>7405</v>
      </c>
      <c r="G5469" s="68">
        <v>14504</v>
      </c>
    </row>
    <row r="5470" spans="1:7" x14ac:dyDescent="0.3">
      <c r="A5470" t="s">
        <v>1239</v>
      </c>
      <c r="B5470" t="s">
        <v>36</v>
      </c>
      <c r="C5470" t="s">
        <v>6</v>
      </c>
      <c r="D5470" t="s">
        <v>10</v>
      </c>
      <c r="E5470" s="68">
        <v>7256</v>
      </c>
      <c r="F5470" s="68">
        <v>7216</v>
      </c>
      <c r="G5470" s="68">
        <v>14472</v>
      </c>
    </row>
    <row r="5471" spans="1:7" x14ac:dyDescent="0.3">
      <c r="A5471" t="s">
        <v>1239</v>
      </c>
      <c r="B5471" t="s">
        <v>36</v>
      </c>
      <c r="C5471" t="s">
        <v>6</v>
      </c>
      <c r="D5471" t="s">
        <v>11</v>
      </c>
      <c r="E5471" s="68">
        <v>6526</v>
      </c>
      <c r="F5471" s="68">
        <v>6717</v>
      </c>
      <c r="G5471" s="68">
        <v>13243</v>
      </c>
    </row>
    <row r="5472" spans="1:7" x14ac:dyDescent="0.3">
      <c r="A5472" t="s">
        <v>1239</v>
      </c>
      <c r="B5472" t="s">
        <v>36</v>
      </c>
      <c r="C5472" t="s">
        <v>6</v>
      </c>
      <c r="D5472" t="s">
        <v>12</v>
      </c>
      <c r="E5472" s="68">
        <v>5615</v>
      </c>
      <c r="F5472" s="68">
        <v>6936</v>
      </c>
      <c r="G5472" s="68">
        <v>12551</v>
      </c>
    </row>
    <row r="5473" spans="1:7" x14ac:dyDescent="0.3">
      <c r="A5473" t="s">
        <v>1239</v>
      </c>
      <c r="B5473" t="s">
        <v>36</v>
      </c>
      <c r="C5473" t="s">
        <v>6</v>
      </c>
      <c r="D5473" t="s">
        <v>13</v>
      </c>
      <c r="E5473" s="68">
        <v>6355</v>
      </c>
      <c r="F5473" s="68">
        <v>7475</v>
      </c>
      <c r="G5473" s="68">
        <v>13830</v>
      </c>
    </row>
    <row r="5474" spans="1:7" x14ac:dyDescent="0.3">
      <c r="A5474" t="s">
        <v>1239</v>
      </c>
      <c r="B5474" t="s">
        <v>36</v>
      </c>
      <c r="C5474" t="s">
        <v>6</v>
      </c>
      <c r="D5474" t="s">
        <v>14</v>
      </c>
      <c r="E5474" s="68">
        <v>6349</v>
      </c>
      <c r="F5474" s="68">
        <v>7189</v>
      </c>
      <c r="G5474" s="68">
        <v>13538</v>
      </c>
    </row>
    <row r="5475" spans="1:7" x14ac:dyDescent="0.3">
      <c r="A5475" t="s">
        <v>1239</v>
      </c>
      <c r="B5475" t="s">
        <v>36</v>
      </c>
      <c r="C5475" t="s">
        <v>6</v>
      </c>
      <c r="D5475" t="s">
        <v>15</v>
      </c>
      <c r="E5475" s="68">
        <v>5831</v>
      </c>
      <c r="F5475" s="68">
        <v>6775</v>
      </c>
      <c r="G5475" s="68">
        <v>12606</v>
      </c>
    </row>
    <row r="5476" spans="1:7" x14ac:dyDescent="0.3">
      <c r="A5476" t="s">
        <v>1239</v>
      </c>
      <c r="B5476" t="s">
        <v>36</v>
      </c>
      <c r="C5476" t="s">
        <v>6</v>
      </c>
      <c r="D5476" t="s">
        <v>16</v>
      </c>
      <c r="E5476" s="68">
        <v>4935</v>
      </c>
      <c r="F5476" s="68">
        <v>5871</v>
      </c>
      <c r="G5476" s="68">
        <v>10806</v>
      </c>
    </row>
    <row r="5477" spans="1:7" x14ac:dyDescent="0.3">
      <c r="A5477" t="s">
        <v>1239</v>
      </c>
      <c r="B5477" t="s">
        <v>36</v>
      </c>
      <c r="C5477" t="s">
        <v>6</v>
      </c>
      <c r="D5477" t="s">
        <v>17</v>
      </c>
      <c r="E5477" s="68">
        <v>3709</v>
      </c>
      <c r="F5477" s="68">
        <v>4572</v>
      </c>
      <c r="G5477" s="68">
        <v>8281</v>
      </c>
    </row>
    <row r="5478" spans="1:7" x14ac:dyDescent="0.3">
      <c r="A5478" t="s">
        <v>1239</v>
      </c>
      <c r="B5478" t="s">
        <v>36</v>
      </c>
      <c r="C5478" t="s">
        <v>6</v>
      </c>
      <c r="D5478" t="s">
        <v>18</v>
      </c>
      <c r="E5478" s="68">
        <v>2958</v>
      </c>
      <c r="F5478" s="68">
        <v>3498</v>
      </c>
      <c r="G5478" s="68">
        <v>6456</v>
      </c>
    </row>
    <row r="5479" spans="1:7" x14ac:dyDescent="0.3">
      <c r="A5479" t="s">
        <v>1239</v>
      </c>
      <c r="B5479" t="s">
        <v>36</v>
      </c>
      <c r="C5479" t="s">
        <v>6</v>
      </c>
      <c r="D5479" t="s">
        <v>19</v>
      </c>
      <c r="E5479" s="68">
        <v>2348</v>
      </c>
      <c r="F5479" s="68">
        <v>2598</v>
      </c>
      <c r="G5479" s="68">
        <v>4946</v>
      </c>
    </row>
    <row r="5480" spans="1:7" x14ac:dyDescent="0.3">
      <c r="A5480" t="s">
        <v>1239</v>
      </c>
      <c r="B5480" t="s">
        <v>36</v>
      </c>
      <c r="C5480" t="s">
        <v>6</v>
      </c>
      <c r="D5480" t="s">
        <v>20</v>
      </c>
      <c r="E5480" s="68">
        <v>1610</v>
      </c>
      <c r="F5480" s="68">
        <v>1715</v>
      </c>
      <c r="G5480" s="68">
        <v>3325</v>
      </c>
    </row>
    <row r="5481" spans="1:7" x14ac:dyDescent="0.3">
      <c r="A5481" t="s">
        <v>1239</v>
      </c>
      <c r="B5481" t="s">
        <v>36</v>
      </c>
      <c r="C5481" t="s">
        <v>6</v>
      </c>
      <c r="D5481" t="s">
        <v>21</v>
      </c>
      <c r="E5481" s="68">
        <v>1028</v>
      </c>
      <c r="F5481" s="68">
        <v>985</v>
      </c>
      <c r="G5481" s="68">
        <v>2013</v>
      </c>
    </row>
    <row r="5482" spans="1:7" x14ac:dyDescent="0.3">
      <c r="A5482" t="s">
        <v>1239</v>
      </c>
      <c r="B5482" t="s">
        <v>36</v>
      </c>
      <c r="C5482" t="s">
        <v>6</v>
      </c>
      <c r="D5482" t="s">
        <v>22</v>
      </c>
      <c r="E5482" s="68">
        <v>666</v>
      </c>
      <c r="F5482" s="68">
        <v>616</v>
      </c>
      <c r="G5482" s="68">
        <v>1282</v>
      </c>
    </row>
    <row r="5483" spans="1:7" x14ac:dyDescent="0.3">
      <c r="A5483" t="s">
        <v>1239</v>
      </c>
      <c r="B5483" t="s">
        <v>36</v>
      </c>
      <c r="C5483" t="s">
        <v>6</v>
      </c>
      <c r="D5483" t="s">
        <v>23</v>
      </c>
      <c r="E5483" s="68">
        <v>772</v>
      </c>
      <c r="F5483" s="68">
        <v>533</v>
      </c>
      <c r="G5483" s="68">
        <v>1305</v>
      </c>
    </row>
    <row r="5484" spans="1:7" x14ac:dyDescent="0.3">
      <c r="A5484" t="s">
        <v>1239</v>
      </c>
      <c r="B5484" t="s">
        <v>36</v>
      </c>
      <c r="C5484" t="s">
        <v>24</v>
      </c>
      <c r="D5484" t="s">
        <v>7</v>
      </c>
      <c r="E5484" s="68">
        <v>2737</v>
      </c>
      <c r="F5484" s="68">
        <v>2847</v>
      </c>
      <c r="G5484" s="68">
        <v>5584</v>
      </c>
    </row>
    <row r="5485" spans="1:7" x14ac:dyDescent="0.3">
      <c r="A5485" t="s">
        <v>1239</v>
      </c>
      <c r="B5485" t="s">
        <v>36</v>
      </c>
      <c r="C5485" t="s">
        <v>24</v>
      </c>
      <c r="D5485" t="s">
        <v>8</v>
      </c>
      <c r="E5485" s="68">
        <v>3208</v>
      </c>
      <c r="F5485" s="68">
        <v>3317</v>
      </c>
      <c r="G5485" s="68">
        <v>6525</v>
      </c>
    </row>
    <row r="5486" spans="1:7" x14ac:dyDescent="0.3">
      <c r="A5486" t="s">
        <v>1239</v>
      </c>
      <c r="B5486" t="s">
        <v>36</v>
      </c>
      <c r="C5486" t="s">
        <v>24</v>
      </c>
      <c r="D5486" t="s">
        <v>9</v>
      </c>
      <c r="E5486" s="68">
        <v>4408</v>
      </c>
      <c r="F5486" s="68">
        <v>4692</v>
      </c>
      <c r="G5486" s="68">
        <v>9100</v>
      </c>
    </row>
    <row r="5487" spans="1:7" x14ac:dyDescent="0.3">
      <c r="A5487" t="s">
        <v>1239</v>
      </c>
      <c r="B5487" t="s">
        <v>36</v>
      </c>
      <c r="C5487" t="s">
        <v>24</v>
      </c>
      <c r="D5487" t="s">
        <v>10</v>
      </c>
      <c r="E5487" s="68">
        <v>3731</v>
      </c>
      <c r="F5487" s="68">
        <v>3838</v>
      </c>
      <c r="G5487" s="68">
        <v>7569</v>
      </c>
    </row>
    <row r="5488" spans="1:7" x14ac:dyDescent="0.3">
      <c r="A5488" t="s">
        <v>1239</v>
      </c>
      <c r="B5488" t="s">
        <v>36</v>
      </c>
      <c r="C5488" t="s">
        <v>24</v>
      </c>
      <c r="D5488" t="s">
        <v>11</v>
      </c>
      <c r="E5488" s="68">
        <v>3959</v>
      </c>
      <c r="F5488" s="68">
        <v>3228</v>
      </c>
      <c r="G5488" s="68">
        <v>7187</v>
      </c>
    </row>
    <row r="5489" spans="1:7" x14ac:dyDescent="0.3">
      <c r="A5489" t="s">
        <v>1239</v>
      </c>
      <c r="B5489" t="s">
        <v>36</v>
      </c>
      <c r="C5489" t="s">
        <v>24</v>
      </c>
      <c r="D5489" t="s">
        <v>12</v>
      </c>
      <c r="E5489" s="68">
        <v>4607</v>
      </c>
      <c r="F5489" s="68">
        <v>3664</v>
      </c>
      <c r="G5489" s="68">
        <v>8271</v>
      </c>
    </row>
    <row r="5490" spans="1:7" x14ac:dyDescent="0.3">
      <c r="A5490" t="s">
        <v>1239</v>
      </c>
      <c r="B5490" t="s">
        <v>36</v>
      </c>
      <c r="C5490" t="s">
        <v>24</v>
      </c>
      <c r="D5490" t="s">
        <v>13</v>
      </c>
      <c r="E5490" s="68">
        <v>3301</v>
      </c>
      <c r="F5490" s="68">
        <v>2811</v>
      </c>
      <c r="G5490" s="68">
        <v>6112</v>
      </c>
    </row>
    <row r="5491" spans="1:7" x14ac:dyDescent="0.3">
      <c r="A5491" t="s">
        <v>1239</v>
      </c>
      <c r="B5491" t="s">
        <v>36</v>
      </c>
      <c r="C5491" t="s">
        <v>24</v>
      </c>
      <c r="D5491" t="s">
        <v>14</v>
      </c>
      <c r="E5491" s="68">
        <v>2686</v>
      </c>
      <c r="F5491" s="68">
        <v>2409</v>
      </c>
      <c r="G5491" s="68">
        <v>5095</v>
      </c>
    </row>
    <row r="5492" spans="1:7" x14ac:dyDescent="0.3">
      <c r="A5492" t="s">
        <v>1239</v>
      </c>
      <c r="B5492" t="s">
        <v>36</v>
      </c>
      <c r="C5492" t="s">
        <v>24</v>
      </c>
      <c r="D5492" t="s">
        <v>15</v>
      </c>
      <c r="E5492" s="68">
        <v>2431</v>
      </c>
      <c r="F5492" s="68">
        <v>2098</v>
      </c>
      <c r="G5492" s="68">
        <v>4529</v>
      </c>
    </row>
    <row r="5493" spans="1:7" x14ac:dyDescent="0.3">
      <c r="A5493" t="s">
        <v>1239</v>
      </c>
      <c r="B5493" t="s">
        <v>36</v>
      </c>
      <c r="C5493" t="s">
        <v>24</v>
      </c>
      <c r="D5493" t="s">
        <v>16</v>
      </c>
      <c r="E5493" s="68">
        <v>2167</v>
      </c>
      <c r="F5493" s="68">
        <v>1896</v>
      </c>
      <c r="G5493" s="68">
        <v>4063</v>
      </c>
    </row>
    <row r="5494" spans="1:7" x14ac:dyDescent="0.3">
      <c r="A5494" t="s">
        <v>1239</v>
      </c>
      <c r="B5494" t="s">
        <v>36</v>
      </c>
      <c r="C5494" t="s">
        <v>24</v>
      </c>
      <c r="D5494" t="s">
        <v>17</v>
      </c>
      <c r="E5494" s="68">
        <v>1846</v>
      </c>
      <c r="F5494" s="68">
        <v>1691</v>
      </c>
      <c r="G5494" s="68">
        <v>3537</v>
      </c>
    </row>
    <row r="5495" spans="1:7" x14ac:dyDescent="0.3">
      <c r="A5495" t="s">
        <v>1239</v>
      </c>
      <c r="B5495" t="s">
        <v>36</v>
      </c>
      <c r="C5495" t="s">
        <v>24</v>
      </c>
      <c r="D5495" t="s">
        <v>18</v>
      </c>
      <c r="E5495" s="68">
        <v>1602</v>
      </c>
      <c r="F5495" s="68">
        <v>1497</v>
      </c>
      <c r="G5495" s="68">
        <v>3099</v>
      </c>
    </row>
    <row r="5496" spans="1:7" x14ac:dyDescent="0.3">
      <c r="A5496" t="s">
        <v>1239</v>
      </c>
      <c r="B5496" t="s">
        <v>36</v>
      </c>
      <c r="C5496" t="s">
        <v>24</v>
      </c>
      <c r="D5496" t="s">
        <v>19</v>
      </c>
      <c r="E5496" s="68">
        <v>1427</v>
      </c>
      <c r="F5496" s="68">
        <v>1288</v>
      </c>
      <c r="G5496" s="68">
        <v>2715</v>
      </c>
    </row>
    <row r="5497" spans="1:7" x14ac:dyDescent="0.3">
      <c r="A5497" t="s">
        <v>1239</v>
      </c>
      <c r="B5497" t="s">
        <v>36</v>
      </c>
      <c r="C5497" t="s">
        <v>24</v>
      </c>
      <c r="D5497" t="s">
        <v>20</v>
      </c>
      <c r="E5497" s="68">
        <v>1066</v>
      </c>
      <c r="F5497" s="68">
        <v>952</v>
      </c>
      <c r="G5497" s="68">
        <v>2018</v>
      </c>
    </row>
    <row r="5498" spans="1:7" x14ac:dyDescent="0.3">
      <c r="A5498" t="s">
        <v>1239</v>
      </c>
      <c r="B5498" t="s">
        <v>36</v>
      </c>
      <c r="C5498" t="s">
        <v>24</v>
      </c>
      <c r="D5498" t="s">
        <v>21</v>
      </c>
      <c r="E5498" s="68">
        <v>730</v>
      </c>
      <c r="F5498" s="68">
        <v>605</v>
      </c>
      <c r="G5498" s="68">
        <v>1335</v>
      </c>
    </row>
    <row r="5499" spans="1:7" x14ac:dyDescent="0.3">
      <c r="A5499" t="s">
        <v>1239</v>
      </c>
      <c r="B5499" t="s">
        <v>36</v>
      </c>
      <c r="C5499" t="s">
        <v>24</v>
      </c>
      <c r="D5499" t="s">
        <v>22</v>
      </c>
      <c r="E5499" s="68">
        <v>424</v>
      </c>
      <c r="F5499" s="68">
        <v>375</v>
      </c>
      <c r="G5499" s="68">
        <v>799</v>
      </c>
    </row>
    <row r="5500" spans="1:7" x14ac:dyDescent="0.3">
      <c r="A5500" t="s">
        <v>1239</v>
      </c>
      <c r="B5500" t="s">
        <v>36</v>
      </c>
      <c r="C5500" t="s">
        <v>24</v>
      </c>
      <c r="D5500" t="s">
        <v>23</v>
      </c>
      <c r="E5500" s="68">
        <v>594</v>
      </c>
      <c r="F5500" s="68">
        <v>463</v>
      </c>
      <c r="G5500" s="68">
        <v>1057</v>
      </c>
    </row>
    <row r="5501" spans="1:7" x14ac:dyDescent="0.3">
      <c r="A5501" t="s">
        <v>1268</v>
      </c>
      <c r="B5501" t="s">
        <v>30</v>
      </c>
      <c r="C5501" t="s">
        <v>6</v>
      </c>
      <c r="D5501" t="s">
        <v>7</v>
      </c>
      <c r="E5501" s="68">
        <v>73</v>
      </c>
      <c r="F5501" s="68">
        <v>83</v>
      </c>
      <c r="G5501" s="68">
        <v>156</v>
      </c>
    </row>
    <row r="5502" spans="1:7" x14ac:dyDescent="0.3">
      <c r="A5502" t="s">
        <v>1268</v>
      </c>
      <c r="B5502" t="s">
        <v>30</v>
      </c>
      <c r="C5502" t="s">
        <v>6</v>
      </c>
      <c r="D5502" t="s">
        <v>8</v>
      </c>
      <c r="E5502" s="68">
        <v>86</v>
      </c>
      <c r="F5502" s="68">
        <v>92</v>
      </c>
      <c r="G5502" s="68">
        <v>178</v>
      </c>
    </row>
    <row r="5503" spans="1:7" x14ac:dyDescent="0.3">
      <c r="A5503" t="s">
        <v>1268</v>
      </c>
      <c r="B5503" t="s">
        <v>30</v>
      </c>
      <c r="C5503" t="s">
        <v>6</v>
      </c>
      <c r="D5503" t="s">
        <v>9</v>
      </c>
      <c r="E5503" s="68">
        <v>122</v>
      </c>
      <c r="F5503" s="68">
        <v>107</v>
      </c>
      <c r="G5503" s="68">
        <v>229</v>
      </c>
    </row>
    <row r="5504" spans="1:7" x14ac:dyDescent="0.3">
      <c r="A5504" t="s">
        <v>1268</v>
      </c>
      <c r="B5504" t="s">
        <v>30</v>
      </c>
      <c r="C5504" t="s">
        <v>6</v>
      </c>
      <c r="D5504" t="s">
        <v>10</v>
      </c>
      <c r="E5504" s="68">
        <v>257</v>
      </c>
      <c r="F5504" s="68">
        <v>323</v>
      </c>
      <c r="G5504" s="68">
        <v>580</v>
      </c>
    </row>
    <row r="5505" spans="1:7" x14ac:dyDescent="0.3">
      <c r="A5505" t="s">
        <v>1268</v>
      </c>
      <c r="B5505" t="s">
        <v>30</v>
      </c>
      <c r="C5505" t="s">
        <v>6</v>
      </c>
      <c r="D5505" t="s">
        <v>11</v>
      </c>
      <c r="E5505" s="68">
        <v>633</v>
      </c>
      <c r="F5505" s="68">
        <v>898</v>
      </c>
      <c r="G5505" s="68">
        <v>1531</v>
      </c>
    </row>
    <row r="5506" spans="1:7" x14ac:dyDescent="0.3">
      <c r="A5506" t="s">
        <v>1268</v>
      </c>
      <c r="B5506" t="s">
        <v>30</v>
      </c>
      <c r="C5506" t="s">
        <v>6</v>
      </c>
      <c r="D5506" t="s">
        <v>12</v>
      </c>
      <c r="E5506" s="68">
        <v>546</v>
      </c>
      <c r="F5506" s="68">
        <v>780</v>
      </c>
      <c r="G5506" s="68">
        <v>1326</v>
      </c>
    </row>
    <row r="5507" spans="1:7" x14ac:dyDescent="0.3">
      <c r="A5507" t="s">
        <v>1268</v>
      </c>
      <c r="B5507" t="s">
        <v>30</v>
      </c>
      <c r="C5507" t="s">
        <v>6</v>
      </c>
      <c r="D5507" t="s">
        <v>13</v>
      </c>
      <c r="E5507" s="68">
        <v>519</v>
      </c>
      <c r="F5507" s="68">
        <v>678</v>
      </c>
      <c r="G5507" s="68">
        <v>1197</v>
      </c>
    </row>
    <row r="5508" spans="1:7" x14ac:dyDescent="0.3">
      <c r="A5508" t="s">
        <v>1268</v>
      </c>
      <c r="B5508" t="s">
        <v>30</v>
      </c>
      <c r="C5508" t="s">
        <v>6</v>
      </c>
      <c r="D5508" t="s">
        <v>14</v>
      </c>
      <c r="E5508" s="68">
        <v>410</v>
      </c>
      <c r="F5508" s="68">
        <v>613</v>
      </c>
      <c r="G5508" s="68">
        <v>1023</v>
      </c>
    </row>
    <row r="5509" spans="1:7" x14ac:dyDescent="0.3">
      <c r="A5509" t="s">
        <v>1268</v>
      </c>
      <c r="B5509" t="s">
        <v>30</v>
      </c>
      <c r="C5509" t="s">
        <v>6</v>
      </c>
      <c r="D5509" t="s">
        <v>15</v>
      </c>
      <c r="E5509" s="68">
        <v>334</v>
      </c>
      <c r="F5509" s="68">
        <v>450</v>
      </c>
      <c r="G5509" s="68">
        <v>784</v>
      </c>
    </row>
    <row r="5510" spans="1:7" x14ac:dyDescent="0.3">
      <c r="A5510" t="s">
        <v>1268</v>
      </c>
      <c r="B5510" t="s">
        <v>30</v>
      </c>
      <c r="C5510" t="s">
        <v>6</v>
      </c>
      <c r="D5510" t="s">
        <v>16</v>
      </c>
      <c r="E5510" s="68">
        <v>291</v>
      </c>
      <c r="F5510" s="68">
        <v>414</v>
      </c>
      <c r="G5510" s="68">
        <v>705</v>
      </c>
    </row>
    <row r="5511" spans="1:7" x14ac:dyDescent="0.3">
      <c r="A5511" t="s">
        <v>1268</v>
      </c>
      <c r="B5511" t="s">
        <v>30</v>
      </c>
      <c r="C5511" t="s">
        <v>6</v>
      </c>
      <c r="D5511" t="s">
        <v>17</v>
      </c>
      <c r="E5511" s="68">
        <v>253</v>
      </c>
      <c r="F5511" s="68">
        <v>332</v>
      </c>
      <c r="G5511" s="68">
        <v>585</v>
      </c>
    </row>
    <row r="5512" spans="1:7" x14ac:dyDescent="0.3">
      <c r="A5512" t="s">
        <v>1268</v>
      </c>
      <c r="B5512" t="s">
        <v>30</v>
      </c>
      <c r="C5512" t="s">
        <v>6</v>
      </c>
      <c r="D5512" t="s">
        <v>18</v>
      </c>
      <c r="E5512" s="68">
        <v>178</v>
      </c>
      <c r="F5512" s="68">
        <v>310</v>
      </c>
      <c r="G5512" s="68">
        <v>488</v>
      </c>
    </row>
    <row r="5513" spans="1:7" x14ac:dyDescent="0.3">
      <c r="A5513" t="s">
        <v>1268</v>
      </c>
      <c r="B5513" t="s">
        <v>30</v>
      </c>
      <c r="C5513" t="s">
        <v>6</v>
      </c>
      <c r="D5513" t="s">
        <v>19</v>
      </c>
      <c r="E5513" s="68">
        <v>166</v>
      </c>
      <c r="F5513" s="68">
        <v>226</v>
      </c>
      <c r="G5513" s="68">
        <v>392</v>
      </c>
    </row>
    <row r="5514" spans="1:7" x14ac:dyDescent="0.3">
      <c r="A5514" t="s">
        <v>1268</v>
      </c>
      <c r="B5514" t="s">
        <v>30</v>
      </c>
      <c r="C5514" t="s">
        <v>6</v>
      </c>
      <c r="D5514" t="s">
        <v>20</v>
      </c>
      <c r="E5514" s="68">
        <v>111</v>
      </c>
      <c r="F5514" s="68">
        <v>218</v>
      </c>
      <c r="G5514" s="68">
        <v>329</v>
      </c>
    </row>
    <row r="5515" spans="1:7" x14ac:dyDescent="0.3">
      <c r="A5515" t="s">
        <v>1268</v>
      </c>
      <c r="B5515" t="s">
        <v>30</v>
      </c>
      <c r="C5515" t="s">
        <v>6</v>
      </c>
      <c r="D5515" t="s">
        <v>21</v>
      </c>
      <c r="E5515" s="68">
        <v>79</v>
      </c>
      <c r="F5515" s="68">
        <v>90</v>
      </c>
      <c r="G5515" s="68">
        <v>169</v>
      </c>
    </row>
    <row r="5516" spans="1:7" x14ac:dyDescent="0.3">
      <c r="A5516" t="s">
        <v>1268</v>
      </c>
      <c r="B5516" t="s">
        <v>30</v>
      </c>
      <c r="C5516" t="s">
        <v>6</v>
      </c>
      <c r="D5516" t="s">
        <v>22</v>
      </c>
      <c r="E5516" s="68">
        <v>58</v>
      </c>
      <c r="F5516" s="68">
        <v>67</v>
      </c>
      <c r="G5516" s="68">
        <v>125</v>
      </c>
    </row>
    <row r="5517" spans="1:7" x14ac:dyDescent="0.3">
      <c r="A5517" t="s">
        <v>1268</v>
      </c>
      <c r="B5517" t="s">
        <v>30</v>
      </c>
      <c r="C5517" t="s">
        <v>6</v>
      </c>
      <c r="D5517" t="s">
        <v>23</v>
      </c>
      <c r="E5517" s="68">
        <v>84</v>
      </c>
      <c r="F5517" s="68">
        <v>66</v>
      </c>
      <c r="G5517" s="68">
        <v>150</v>
      </c>
    </row>
    <row r="5518" spans="1:7" x14ac:dyDescent="0.3">
      <c r="A5518" t="s">
        <v>1268</v>
      </c>
      <c r="B5518" t="s">
        <v>30</v>
      </c>
      <c r="C5518" t="s">
        <v>24</v>
      </c>
      <c r="D5518" t="s">
        <v>7</v>
      </c>
      <c r="E5518" s="68">
        <v>3265</v>
      </c>
      <c r="F5518" s="68">
        <v>3449</v>
      </c>
      <c r="G5518" s="68">
        <v>6714</v>
      </c>
    </row>
    <row r="5519" spans="1:7" x14ac:dyDescent="0.3">
      <c r="A5519" t="s">
        <v>1268</v>
      </c>
      <c r="B5519" t="s">
        <v>30</v>
      </c>
      <c r="C5519" t="s">
        <v>24</v>
      </c>
      <c r="D5519" t="s">
        <v>8</v>
      </c>
      <c r="E5519" s="68">
        <v>4910</v>
      </c>
      <c r="F5519" s="68">
        <v>5251</v>
      </c>
      <c r="G5519" s="68">
        <v>10161</v>
      </c>
    </row>
    <row r="5520" spans="1:7" x14ac:dyDescent="0.3">
      <c r="A5520" t="s">
        <v>1268</v>
      </c>
      <c r="B5520" t="s">
        <v>30</v>
      </c>
      <c r="C5520" t="s">
        <v>24</v>
      </c>
      <c r="D5520" t="s">
        <v>9</v>
      </c>
      <c r="E5520" s="68">
        <v>5300</v>
      </c>
      <c r="F5520" s="68">
        <v>5536</v>
      </c>
      <c r="G5520" s="68">
        <v>10836</v>
      </c>
    </row>
    <row r="5521" spans="1:7" x14ac:dyDescent="0.3">
      <c r="A5521" t="s">
        <v>1268</v>
      </c>
      <c r="B5521" t="s">
        <v>30</v>
      </c>
      <c r="C5521" t="s">
        <v>24</v>
      </c>
      <c r="D5521" t="s">
        <v>10</v>
      </c>
      <c r="E5521" s="68">
        <v>5634</v>
      </c>
      <c r="F5521" s="68">
        <v>6095</v>
      </c>
      <c r="G5521" s="68">
        <v>11729</v>
      </c>
    </row>
    <row r="5522" spans="1:7" x14ac:dyDescent="0.3">
      <c r="A5522" t="s">
        <v>1268</v>
      </c>
      <c r="B5522" t="s">
        <v>30</v>
      </c>
      <c r="C5522" t="s">
        <v>24</v>
      </c>
      <c r="D5522" t="s">
        <v>11</v>
      </c>
      <c r="E5522" s="68">
        <v>4949</v>
      </c>
      <c r="F5522" s="68">
        <v>4397</v>
      </c>
      <c r="G5522" s="68">
        <v>9346</v>
      </c>
    </row>
    <row r="5523" spans="1:7" x14ac:dyDescent="0.3">
      <c r="A5523" t="s">
        <v>1268</v>
      </c>
      <c r="B5523" t="s">
        <v>30</v>
      </c>
      <c r="C5523" t="s">
        <v>24</v>
      </c>
      <c r="D5523" t="s">
        <v>12</v>
      </c>
      <c r="E5523" s="68">
        <v>4271</v>
      </c>
      <c r="F5523" s="68">
        <v>3970</v>
      </c>
      <c r="G5523" s="68">
        <v>8241</v>
      </c>
    </row>
    <row r="5524" spans="1:7" x14ac:dyDescent="0.3">
      <c r="A5524" t="s">
        <v>1268</v>
      </c>
      <c r="B5524" t="s">
        <v>30</v>
      </c>
      <c r="C5524" t="s">
        <v>24</v>
      </c>
      <c r="D5524" t="s">
        <v>13</v>
      </c>
      <c r="E5524" s="68">
        <v>4065</v>
      </c>
      <c r="F5524" s="68">
        <v>4270</v>
      </c>
      <c r="G5524" s="68">
        <v>8335</v>
      </c>
    </row>
    <row r="5525" spans="1:7" x14ac:dyDescent="0.3">
      <c r="A5525" t="s">
        <v>1268</v>
      </c>
      <c r="B5525" t="s">
        <v>30</v>
      </c>
      <c r="C5525" t="s">
        <v>24</v>
      </c>
      <c r="D5525" t="s">
        <v>14</v>
      </c>
      <c r="E5525" s="68">
        <v>3886</v>
      </c>
      <c r="F5525" s="68">
        <v>4020</v>
      </c>
      <c r="G5525" s="68">
        <v>7906</v>
      </c>
    </row>
    <row r="5526" spans="1:7" x14ac:dyDescent="0.3">
      <c r="A5526" t="s">
        <v>1268</v>
      </c>
      <c r="B5526" t="s">
        <v>30</v>
      </c>
      <c r="C5526" t="s">
        <v>24</v>
      </c>
      <c r="D5526" t="s">
        <v>15</v>
      </c>
      <c r="E5526" s="68">
        <v>3502</v>
      </c>
      <c r="F5526" s="68">
        <v>3668</v>
      </c>
      <c r="G5526" s="68">
        <v>7170</v>
      </c>
    </row>
    <row r="5527" spans="1:7" x14ac:dyDescent="0.3">
      <c r="A5527" t="s">
        <v>1268</v>
      </c>
      <c r="B5527" t="s">
        <v>30</v>
      </c>
      <c r="C5527" t="s">
        <v>24</v>
      </c>
      <c r="D5527" t="s">
        <v>16</v>
      </c>
      <c r="E5527" s="68">
        <v>3586</v>
      </c>
      <c r="F5527" s="68">
        <v>3745</v>
      </c>
      <c r="G5527" s="68">
        <v>7331</v>
      </c>
    </row>
    <row r="5528" spans="1:7" x14ac:dyDescent="0.3">
      <c r="A5528" t="s">
        <v>1268</v>
      </c>
      <c r="B5528" t="s">
        <v>30</v>
      </c>
      <c r="C5528" t="s">
        <v>24</v>
      </c>
      <c r="D5528" t="s">
        <v>17</v>
      </c>
      <c r="E5528" s="68">
        <v>3730</v>
      </c>
      <c r="F5528" s="68">
        <v>3636</v>
      </c>
      <c r="G5528" s="68">
        <v>7366</v>
      </c>
    </row>
    <row r="5529" spans="1:7" x14ac:dyDescent="0.3">
      <c r="A5529" t="s">
        <v>1268</v>
      </c>
      <c r="B5529" t="s">
        <v>30</v>
      </c>
      <c r="C5529" t="s">
        <v>24</v>
      </c>
      <c r="D5529" t="s">
        <v>18</v>
      </c>
      <c r="E5529" s="68">
        <v>3524</v>
      </c>
      <c r="F5529" s="68">
        <v>3712</v>
      </c>
      <c r="G5529" s="68">
        <v>7236</v>
      </c>
    </row>
    <row r="5530" spans="1:7" x14ac:dyDescent="0.3">
      <c r="A5530" t="s">
        <v>1268</v>
      </c>
      <c r="B5530" t="s">
        <v>30</v>
      </c>
      <c r="C5530" t="s">
        <v>24</v>
      </c>
      <c r="D5530" t="s">
        <v>19</v>
      </c>
      <c r="E5530" s="68">
        <v>2970</v>
      </c>
      <c r="F5530" s="68">
        <v>3217</v>
      </c>
      <c r="G5530" s="68">
        <v>6187</v>
      </c>
    </row>
    <row r="5531" spans="1:7" x14ac:dyDescent="0.3">
      <c r="A5531" t="s">
        <v>1268</v>
      </c>
      <c r="B5531" t="s">
        <v>30</v>
      </c>
      <c r="C5531" t="s">
        <v>24</v>
      </c>
      <c r="D5531" t="s">
        <v>20</v>
      </c>
      <c r="E5531" s="68">
        <v>2329</v>
      </c>
      <c r="F5531" s="68">
        <v>2468</v>
      </c>
      <c r="G5531" s="68">
        <v>4797</v>
      </c>
    </row>
    <row r="5532" spans="1:7" x14ac:dyDescent="0.3">
      <c r="A5532" t="s">
        <v>1268</v>
      </c>
      <c r="B5532" t="s">
        <v>30</v>
      </c>
      <c r="C5532" t="s">
        <v>24</v>
      </c>
      <c r="D5532" t="s">
        <v>21</v>
      </c>
      <c r="E5532" s="68">
        <v>1565</v>
      </c>
      <c r="F5532" s="68">
        <v>1842</v>
      </c>
      <c r="G5532" s="68">
        <v>3407</v>
      </c>
    </row>
    <row r="5533" spans="1:7" x14ac:dyDescent="0.3">
      <c r="A5533" t="s">
        <v>1268</v>
      </c>
      <c r="B5533" t="s">
        <v>30</v>
      </c>
      <c r="C5533" t="s">
        <v>24</v>
      </c>
      <c r="D5533" t="s">
        <v>22</v>
      </c>
      <c r="E5533" s="68">
        <v>1128</v>
      </c>
      <c r="F5533" s="68">
        <v>1238</v>
      </c>
      <c r="G5533" s="68">
        <v>2366</v>
      </c>
    </row>
    <row r="5534" spans="1:7" x14ac:dyDescent="0.3">
      <c r="A5534" t="s">
        <v>1268</v>
      </c>
      <c r="B5534" t="s">
        <v>30</v>
      </c>
      <c r="C5534" t="s">
        <v>24</v>
      </c>
      <c r="D5534" t="s">
        <v>23</v>
      </c>
      <c r="E5534" s="68">
        <v>1650</v>
      </c>
      <c r="F5534" s="68">
        <v>1715</v>
      </c>
      <c r="G5534" s="68">
        <v>3365</v>
      </c>
    </row>
    <row r="5535" spans="1:7" x14ac:dyDescent="0.3">
      <c r="A5535" t="s">
        <v>1268</v>
      </c>
      <c r="B5535" t="s">
        <v>587</v>
      </c>
      <c r="C5535" t="s">
        <v>6</v>
      </c>
      <c r="D5535" t="s">
        <v>7</v>
      </c>
      <c r="E5535" s="68">
        <v>682</v>
      </c>
      <c r="F5535" s="68">
        <v>707</v>
      </c>
      <c r="G5535" s="68">
        <v>1389</v>
      </c>
    </row>
    <row r="5536" spans="1:7" x14ac:dyDescent="0.3">
      <c r="A5536" t="s">
        <v>1268</v>
      </c>
      <c r="B5536" t="s">
        <v>587</v>
      </c>
      <c r="C5536" t="s">
        <v>6</v>
      </c>
      <c r="D5536" t="s">
        <v>8</v>
      </c>
      <c r="E5536" s="68">
        <v>912</v>
      </c>
      <c r="F5536" s="68">
        <v>943</v>
      </c>
      <c r="G5536" s="68">
        <v>1855</v>
      </c>
    </row>
    <row r="5537" spans="1:7" x14ac:dyDescent="0.3">
      <c r="A5537" t="s">
        <v>1268</v>
      </c>
      <c r="B5537" t="s">
        <v>587</v>
      </c>
      <c r="C5537" t="s">
        <v>6</v>
      </c>
      <c r="D5537" t="s">
        <v>9</v>
      </c>
      <c r="E5537" s="68">
        <v>862</v>
      </c>
      <c r="F5537" s="68">
        <v>872</v>
      </c>
      <c r="G5537" s="68">
        <v>1734</v>
      </c>
    </row>
    <row r="5538" spans="1:7" x14ac:dyDescent="0.3">
      <c r="A5538" t="s">
        <v>1268</v>
      </c>
      <c r="B5538" t="s">
        <v>587</v>
      </c>
      <c r="C5538" t="s">
        <v>6</v>
      </c>
      <c r="D5538" t="s">
        <v>10</v>
      </c>
      <c r="E5538" s="68">
        <v>873</v>
      </c>
      <c r="F5538" s="68">
        <v>1079</v>
      </c>
      <c r="G5538" s="68">
        <v>1952</v>
      </c>
    </row>
    <row r="5539" spans="1:7" x14ac:dyDescent="0.3">
      <c r="A5539" t="s">
        <v>1268</v>
      </c>
      <c r="B5539" t="s">
        <v>587</v>
      </c>
      <c r="C5539" t="s">
        <v>6</v>
      </c>
      <c r="D5539" t="s">
        <v>11</v>
      </c>
      <c r="E5539" s="68">
        <v>1600</v>
      </c>
      <c r="F5539" s="68">
        <v>2022</v>
      </c>
      <c r="G5539" s="68">
        <v>3622</v>
      </c>
    </row>
    <row r="5540" spans="1:7" x14ac:dyDescent="0.3">
      <c r="A5540" t="s">
        <v>1268</v>
      </c>
      <c r="B5540" t="s">
        <v>587</v>
      </c>
      <c r="C5540" t="s">
        <v>6</v>
      </c>
      <c r="D5540" t="s">
        <v>12</v>
      </c>
      <c r="E5540" s="68">
        <v>1639</v>
      </c>
      <c r="F5540" s="68">
        <v>1675</v>
      </c>
      <c r="G5540" s="68">
        <v>3314</v>
      </c>
    </row>
    <row r="5541" spans="1:7" x14ac:dyDescent="0.3">
      <c r="A5541" t="s">
        <v>1268</v>
      </c>
      <c r="B5541" t="s">
        <v>587</v>
      </c>
      <c r="C5541" t="s">
        <v>6</v>
      </c>
      <c r="D5541" t="s">
        <v>13</v>
      </c>
      <c r="E5541" s="68">
        <v>1398</v>
      </c>
      <c r="F5541" s="68">
        <v>1083</v>
      </c>
      <c r="G5541" s="68">
        <v>2481</v>
      </c>
    </row>
    <row r="5542" spans="1:7" x14ac:dyDescent="0.3">
      <c r="A5542" t="s">
        <v>1268</v>
      </c>
      <c r="B5542" t="s">
        <v>587</v>
      </c>
      <c r="C5542" t="s">
        <v>6</v>
      </c>
      <c r="D5542" t="s">
        <v>14</v>
      </c>
      <c r="E5542" s="68">
        <v>1004</v>
      </c>
      <c r="F5542" s="68">
        <v>793</v>
      </c>
      <c r="G5542" s="68">
        <v>1797</v>
      </c>
    </row>
    <row r="5543" spans="1:7" x14ac:dyDescent="0.3">
      <c r="A5543" t="s">
        <v>1268</v>
      </c>
      <c r="B5543" t="s">
        <v>587</v>
      </c>
      <c r="C5543" t="s">
        <v>6</v>
      </c>
      <c r="D5543" t="s">
        <v>15</v>
      </c>
      <c r="E5543" s="68">
        <v>797</v>
      </c>
      <c r="F5543" s="68">
        <v>627</v>
      </c>
      <c r="G5543" s="68">
        <v>1424</v>
      </c>
    </row>
    <row r="5544" spans="1:7" x14ac:dyDescent="0.3">
      <c r="A5544" t="s">
        <v>1268</v>
      </c>
      <c r="B5544" t="s">
        <v>587</v>
      </c>
      <c r="C5544" t="s">
        <v>6</v>
      </c>
      <c r="D5544" t="s">
        <v>16</v>
      </c>
      <c r="E5544" s="68">
        <v>542</v>
      </c>
      <c r="F5544" s="68">
        <v>602</v>
      </c>
      <c r="G5544" s="68">
        <v>1144</v>
      </c>
    </row>
    <row r="5545" spans="1:7" x14ac:dyDescent="0.3">
      <c r="A5545" t="s">
        <v>1268</v>
      </c>
      <c r="B5545" t="s">
        <v>587</v>
      </c>
      <c r="C5545" t="s">
        <v>6</v>
      </c>
      <c r="D5545" t="s">
        <v>17</v>
      </c>
      <c r="E5545" s="68">
        <v>445</v>
      </c>
      <c r="F5545" s="68">
        <v>535</v>
      </c>
      <c r="G5545" s="68">
        <v>980</v>
      </c>
    </row>
    <row r="5546" spans="1:7" x14ac:dyDescent="0.3">
      <c r="A5546" t="s">
        <v>1268</v>
      </c>
      <c r="B5546" t="s">
        <v>587</v>
      </c>
      <c r="C5546" t="s">
        <v>6</v>
      </c>
      <c r="D5546" t="s">
        <v>18</v>
      </c>
      <c r="E5546" s="68">
        <v>279</v>
      </c>
      <c r="F5546" s="68">
        <v>428</v>
      </c>
      <c r="G5546" s="68">
        <v>707</v>
      </c>
    </row>
    <row r="5547" spans="1:7" x14ac:dyDescent="0.3">
      <c r="A5547" t="s">
        <v>1268</v>
      </c>
      <c r="B5547" t="s">
        <v>587</v>
      </c>
      <c r="C5547" t="s">
        <v>6</v>
      </c>
      <c r="D5547" t="s">
        <v>19</v>
      </c>
      <c r="E5547" s="68">
        <v>145</v>
      </c>
      <c r="F5547" s="68">
        <v>349</v>
      </c>
      <c r="G5547" s="68">
        <v>494</v>
      </c>
    </row>
    <row r="5548" spans="1:7" x14ac:dyDescent="0.3">
      <c r="A5548" t="s">
        <v>1268</v>
      </c>
      <c r="B5548" t="s">
        <v>587</v>
      </c>
      <c r="C5548" t="s">
        <v>6</v>
      </c>
      <c r="D5548" t="s">
        <v>20</v>
      </c>
      <c r="E5548" s="68">
        <v>100</v>
      </c>
      <c r="F5548" s="68">
        <v>198</v>
      </c>
      <c r="G5548" s="68">
        <v>298</v>
      </c>
    </row>
    <row r="5549" spans="1:7" x14ac:dyDescent="0.3">
      <c r="A5549" t="s">
        <v>1268</v>
      </c>
      <c r="B5549" t="s">
        <v>587</v>
      </c>
      <c r="C5549" t="s">
        <v>6</v>
      </c>
      <c r="D5549" t="s">
        <v>21</v>
      </c>
      <c r="E5549" s="68">
        <v>50</v>
      </c>
      <c r="F5549" s="68">
        <v>94</v>
      </c>
      <c r="G5549" s="68">
        <v>144</v>
      </c>
    </row>
    <row r="5550" spans="1:7" x14ac:dyDescent="0.3">
      <c r="A5550" t="s">
        <v>1268</v>
      </c>
      <c r="B5550" t="s">
        <v>587</v>
      </c>
      <c r="C5550" t="s">
        <v>6</v>
      </c>
      <c r="D5550" t="s">
        <v>22</v>
      </c>
      <c r="E5550" s="68">
        <v>18</v>
      </c>
      <c r="F5550" s="68">
        <v>25</v>
      </c>
      <c r="G5550" s="68">
        <v>43</v>
      </c>
    </row>
    <row r="5551" spans="1:7" x14ac:dyDescent="0.3">
      <c r="A5551" t="s">
        <v>1268</v>
      </c>
      <c r="B5551" t="s">
        <v>587</v>
      </c>
      <c r="C5551" t="s">
        <v>6</v>
      </c>
      <c r="D5551" t="s">
        <v>23</v>
      </c>
      <c r="E5551" s="68">
        <v>21</v>
      </c>
      <c r="F5551" s="68">
        <v>18</v>
      </c>
      <c r="G5551" s="68">
        <v>39</v>
      </c>
    </row>
    <row r="5552" spans="1:7" x14ac:dyDescent="0.3">
      <c r="A5552" t="s">
        <v>1268</v>
      </c>
      <c r="B5552" t="s">
        <v>587</v>
      </c>
      <c r="C5552" t="s">
        <v>24</v>
      </c>
      <c r="D5552" t="s">
        <v>7</v>
      </c>
      <c r="E5552" s="68">
        <v>6296</v>
      </c>
      <c r="F5552" s="68">
        <v>6845</v>
      </c>
      <c r="G5552" s="68">
        <v>13141</v>
      </c>
    </row>
    <row r="5553" spans="1:7" x14ac:dyDescent="0.3">
      <c r="A5553" t="s">
        <v>1268</v>
      </c>
      <c r="B5553" t="s">
        <v>587</v>
      </c>
      <c r="C5553" t="s">
        <v>24</v>
      </c>
      <c r="D5553" t="s">
        <v>8</v>
      </c>
      <c r="E5553" s="68">
        <v>7808</v>
      </c>
      <c r="F5553" s="68">
        <v>8341</v>
      </c>
      <c r="G5553" s="68">
        <v>16149</v>
      </c>
    </row>
    <row r="5554" spans="1:7" x14ac:dyDescent="0.3">
      <c r="A5554" t="s">
        <v>1268</v>
      </c>
      <c r="B5554" t="s">
        <v>587</v>
      </c>
      <c r="C5554" t="s">
        <v>24</v>
      </c>
      <c r="D5554" t="s">
        <v>9</v>
      </c>
      <c r="E5554" s="68">
        <v>8973</v>
      </c>
      <c r="F5554" s="68">
        <v>9427</v>
      </c>
      <c r="G5554" s="68">
        <v>18400</v>
      </c>
    </row>
    <row r="5555" spans="1:7" x14ac:dyDescent="0.3">
      <c r="A5555" t="s">
        <v>1268</v>
      </c>
      <c r="B5555" t="s">
        <v>587</v>
      </c>
      <c r="C5555" t="s">
        <v>24</v>
      </c>
      <c r="D5555" t="s">
        <v>10</v>
      </c>
      <c r="E5555" s="68">
        <v>9904</v>
      </c>
      <c r="F5555" s="68">
        <v>9759</v>
      </c>
      <c r="G5555" s="68">
        <v>19663</v>
      </c>
    </row>
    <row r="5556" spans="1:7" x14ac:dyDescent="0.3">
      <c r="A5556" t="s">
        <v>1268</v>
      </c>
      <c r="B5556" t="s">
        <v>587</v>
      </c>
      <c r="C5556" t="s">
        <v>24</v>
      </c>
      <c r="D5556" t="s">
        <v>11</v>
      </c>
      <c r="E5556" s="68">
        <v>8813</v>
      </c>
      <c r="F5556" s="68">
        <v>7120</v>
      </c>
      <c r="G5556" s="68">
        <v>15933</v>
      </c>
    </row>
    <row r="5557" spans="1:7" x14ac:dyDescent="0.3">
      <c r="A5557" t="s">
        <v>1268</v>
      </c>
      <c r="B5557" t="s">
        <v>587</v>
      </c>
      <c r="C5557" t="s">
        <v>24</v>
      </c>
      <c r="D5557" t="s">
        <v>12</v>
      </c>
      <c r="E5557" s="68">
        <v>8150</v>
      </c>
      <c r="F5557" s="68">
        <v>5971</v>
      </c>
      <c r="G5557" s="68">
        <v>14121</v>
      </c>
    </row>
    <row r="5558" spans="1:7" x14ac:dyDescent="0.3">
      <c r="A5558" t="s">
        <v>1268</v>
      </c>
      <c r="B5558" t="s">
        <v>587</v>
      </c>
      <c r="C5558" t="s">
        <v>24</v>
      </c>
      <c r="D5558" t="s">
        <v>13</v>
      </c>
      <c r="E5558" s="68">
        <v>7817</v>
      </c>
      <c r="F5558" s="68">
        <v>5366</v>
      </c>
      <c r="G5558" s="68">
        <v>13183</v>
      </c>
    </row>
    <row r="5559" spans="1:7" x14ac:dyDescent="0.3">
      <c r="A5559" t="s">
        <v>1268</v>
      </c>
      <c r="B5559" t="s">
        <v>587</v>
      </c>
      <c r="C5559" t="s">
        <v>24</v>
      </c>
      <c r="D5559" t="s">
        <v>14</v>
      </c>
      <c r="E5559" s="68">
        <v>6997</v>
      </c>
      <c r="F5559" s="68">
        <v>4834</v>
      </c>
      <c r="G5559" s="68">
        <v>11831</v>
      </c>
    </row>
    <row r="5560" spans="1:7" x14ac:dyDescent="0.3">
      <c r="A5560" t="s">
        <v>1268</v>
      </c>
      <c r="B5560" t="s">
        <v>587</v>
      </c>
      <c r="C5560" t="s">
        <v>24</v>
      </c>
      <c r="D5560" t="s">
        <v>15</v>
      </c>
      <c r="E5560" s="68">
        <v>7024</v>
      </c>
      <c r="F5560" s="68">
        <v>4816</v>
      </c>
      <c r="G5560" s="68">
        <v>11840</v>
      </c>
    </row>
    <row r="5561" spans="1:7" x14ac:dyDescent="0.3">
      <c r="A5561" t="s">
        <v>1268</v>
      </c>
      <c r="B5561" t="s">
        <v>587</v>
      </c>
      <c r="C5561" t="s">
        <v>24</v>
      </c>
      <c r="D5561" t="s">
        <v>16</v>
      </c>
      <c r="E5561" s="68">
        <v>7057</v>
      </c>
      <c r="F5561" s="68">
        <v>5217</v>
      </c>
      <c r="G5561" s="68">
        <v>12274</v>
      </c>
    </row>
    <row r="5562" spans="1:7" x14ac:dyDescent="0.3">
      <c r="A5562" t="s">
        <v>1268</v>
      </c>
      <c r="B5562" t="s">
        <v>587</v>
      </c>
      <c r="C5562" t="s">
        <v>24</v>
      </c>
      <c r="D5562" t="s">
        <v>17</v>
      </c>
      <c r="E5562" s="68">
        <v>6844</v>
      </c>
      <c r="F5562" s="68">
        <v>5343</v>
      </c>
      <c r="G5562" s="68">
        <v>12187</v>
      </c>
    </row>
    <row r="5563" spans="1:7" x14ac:dyDescent="0.3">
      <c r="A5563" t="s">
        <v>1268</v>
      </c>
      <c r="B5563" t="s">
        <v>587</v>
      </c>
      <c r="C5563" t="s">
        <v>24</v>
      </c>
      <c r="D5563" t="s">
        <v>18</v>
      </c>
      <c r="E5563" s="68">
        <v>6715</v>
      </c>
      <c r="F5563" s="68">
        <v>5645</v>
      </c>
      <c r="G5563" s="68">
        <v>12360</v>
      </c>
    </row>
    <row r="5564" spans="1:7" x14ac:dyDescent="0.3">
      <c r="A5564" t="s">
        <v>1268</v>
      </c>
      <c r="B5564" t="s">
        <v>587</v>
      </c>
      <c r="C5564" t="s">
        <v>24</v>
      </c>
      <c r="D5564" t="s">
        <v>19</v>
      </c>
      <c r="E5564" s="68">
        <v>5954</v>
      </c>
      <c r="F5564" s="68">
        <v>5269</v>
      </c>
      <c r="G5564" s="68">
        <v>11223</v>
      </c>
    </row>
    <row r="5565" spans="1:7" x14ac:dyDescent="0.3">
      <c r="A5565" t="s">
        <v>1268</v>
      </c>
      <c r="B5565" t="s">
        <v>587</v>
      </c>
      <c r="C5565" t="s">
        <v>24</v>
      </c>
      <c r="D5565" t="s">
        <v>20</v>
      </c>
      <c r="E5565" s="68">
        <v>4911</v>
      </c>
      <c r="F5565" s="68">
        <v>4455</v>
      </c>
      <c r="G5565" s="68">
        <v>9366</v>
      </c>
    </row>
    <row r="5566" spans="1:7" x14ac:dyDescent="0.3">
      <c r="A5566" t="s">
        <v>1268</v>
      </c>
      <c r="B5566" t="s">
        <v>587</v>
      </c>
      <c r="C5566" t="s">
        <v>24</v>
      </c>
      <c r="D5566" t="s">
        <v>21</v>
      </c>
      <c r="E5566" s="68">
        <v>3703</v>
      </c>
      <c r="F5566" s="68">
        <v>3606</v>
      </c>
      <c r="G5566" s="68">
        <v>7309</v>
      </c>
    </row>
    <row r="5567" spans="1:7" x14ac:dyDescent="0.3">
      <c r="A5567" t="s">
        <v>1268</v>
      </c>
      <c r="B5567" t="s">
        <v>587</v>
      </c>
      <c r="C5567" t="s">
        <v>24</v>
      </c>
      <c r="D5567" t="s">
        <v>22</v>
      </c>
      <c r="E5567" s="68">
        <v>2566</v>
      </c>
      <c r="F5567" s="68">
        <v>2738</v>
      </c>
      <c r="G5567" s="68">
        <v>5304</v>
      </c>
    </row>
    <row r="5568" spans="1:7" x14ac:dyDescent="0.3">
      <c r="A5568" t="s">
        <v>1268</v>
      </c>
      <c r="B5568" t="s">
        <v>587</v>
      </c>
      <c r="C5568" t="s">
        <v>24</v>
      </c>
      <c r="D5568" t="s">
        <v>23</v>
      </c>
      <c r="E5568" s="68">
        <v>3128</v>
      </c>
      <c r="F5568" s="68">
        <v>3286</v>
      </c>
      <c r="G5568" s="68">
        <v>6414</v>
      </c>
    </row>
    <row r="5569" spans="1:7" x14ac:dyDescent="0.3">
      <c r="A5569" t="s">
        <v>1268</v>
      </c>
      <c r="B5569" t="s">
        <v>31</v>
      </c>
      <c r="C5569" t="s">
        <v>6</v>
      </c>
      <c r="D5569" t="s">
        <v>7</v>
      </c>
      <c r="E5569" s="68">
        <v>11</v>
      </c>
      <c r="F5569" s="68">
        <v>10</v>
      </c>
      <c r="G5569" s="68">
        <v>21</v>
      </c>
    </row>
    <row r="5570" spans="1:7" x14ac:dyDescent="0.3">
      <c r="A5570" t="s">
        <v>1268</v>
      </c>
      <c r="B5570" t="s">
        <v>31</v>
      </c>
      <c r="C5570" t="s">
        <v>6</v>
      </c>
      <c r="D5570" t="s">
        <v>8</v>
      </c>
      <c r="E5570" s="68">
        <v>32</v>
      </c>
      <c r="F5570" s="68">
        <v>22</v>
      </c>
      <c r="G5570" s="68">
        <v>54</v>
      </c>
    </row>
    <row r="5571" spans="1:7" x14ac:dyDescent="0.3">
      <c r="A5571" t="s">
        <v>1268</v>
      </c>
      <c r="B5571" t="s">
        <v>31</v>
      </c>
      <c r="C5571" t="s">
        <v>6</v>
      </c>
      <c r="D5571" t="s">
        <v>9</v>
      </c>
      <c r="E5571" s="68">
        <v>22</v>
      </c>
      <c r="F5571" s="68">
        <v>26</v>
      </c>
      <c r="G5571" s="68">
        <v>48</v>
      </c>
    </row>
    <row r="5572" spans="1:7" x14ac:dyDescent="0.3">
      <c r="A5572" t="s">
        <v>1268</v>
      </c>
      <c r="B5572" t="s">
        <v>31</v>
      </c>
      <c r="C5572" t="s">
        <v>6</v>
      </c>
      <c r="D5572" t="s">
        <v>10</v>
      </c>
      <c r="E5572" s="68">
        <v>34</v>
      </c>
      <c r="F5572" s="68">
        <v>45</v>
      </c>
      <c r="G5572" s="68">
        <v>79</v>
      </c>
    </row>
    <row r="5573" spans="1:7" x14ac:dyDescent="0.3">
      <c r="A5573" t="s">
        <v>1268</v>
      </c>
      <c r="B5573" t="s">
        <v>31</v>
      </c>
      <c r="C5573" t="s">
        <v>6</v>
      </c>
      <c r="D5573" t="s">
        <v>11</v>
      </c>
      <c r="E5573" s="68">
        <v>61</v>
      </c>
      <c r="F5573" s="68">
        <v>77</v>
      </c>
      <c r="G5573" s="68">
        <v>138</v>
      </c>
    </row>
    <row r="5574" spans="1:7" x14ac:dyDescent="0.3">
      <c r="A5574" t="s">
        <v>1268</v>
      </c>
      <c r="B5574" t="s">
        <v>31</v>
      </c>
      <c r="C5574" t="s">
        <v>6</v>
      </c>
      <c r="D5574" t="s">
        <v>12</v>
      </c>
      <c r="E5574" s="68">
        <v>46</v>
      </c>
      <c r="F5574" s="68">
        <v>55</v>
      </c>
      <c r="G5574" s="68">
        <v>101</v>
      </c>
    </row>
    <row r="5575" spans="1:7" x14ac:dyDescent="0.3">
      <c r="A5575" t="s">
        <v>1268</v>
      </c>
      <c r="B5575" t="s">
        <v>31</v>
      </c>
      <c r="C5575" t="s">
        <v>6</v>
      </c>
      <c r="D5575" t="s">
        <v>13</v>
      </c>
      <c r="E5575" s="68">
        <v>47</v>
      </c>
      <c r="F5575" s="68">
        <v>47</v>
      </c>
      <c r="G5575" s="68">
        <v>94</v>
      </c>
    </row>
    <row r="5576" spans="1:7" x14ac:dyDescent="0.3">
      <c r="A5576" t="s">
        <v>1268</v>
      </c>
      <c r="B5576" t="s">
        <v>31</v>
      </c>
      <c r="C5576" t="s">
        <v>6</v>
      </c>
      <c r="D5576" t="s">
        <v>14</v>
      </c>
      <c r="E5576" s="68">
        <v>46</v>
      </c>
      <c r="F5576" s="68">
        <v>50</v>
      </c>
      <c r="G5576" s="68">
        <v>96</v>
      </c>
    </row>
    <row r="5577" spans="1:7" x14ac:dyDescent="0.3">
      <c r="A5577" t="s">
        <v>1268</v>
      </c>
      <c r="B5577" t="s">
        <v>31</v>
      </c>
      <c r="C5577" t="s">
        <v>6</v>
      </c>
      <c r="D5577" t="s">
        <v>15</v>
      </c>
      <c r="E5577" s="68">
        <v>43</v>
      </c>
      <c r="F5577" s="68">
        <v>32</v>
      </c>
      <c r="G5577" s="68">
        <v>75</v>
      </c>
    </row>
    <row r="5578" spans="1:7" x14ac:dyDescent="0.3">
      <c r="A5578" t="s">
        <v>1268</v>
      </c>
      <c r="B5578" t="s">
        <v>31</v>
      </c>
      <c r="C5578" t="s">
        <v>6</v>
      </c>
      <c r="D5578" t="s">
        <v>16</v>
      </c>
      <c r="E5578" s="68">
        <v>41</v>
      </c>
      <c r="F5578" s="68">
        <v>29</v>
      </c>
      <c r="G5578" s="68">
        <v>70</v>
      </c>
    </row>
    <row r="5579" spans="1:7" x14ac:dyDescent="0.3">
      <c r="A5579" t="s">
        <v>1268</v>
      </c>
      <c r="B5579" t="s">
        <v>31</v>
      </c>
      <c r="C5579" t="s">
        <v>6</v>
      </c>
      <c r="D5579" t="s">
        <v>17</v>
      </c>
      <c r="E5579" s="68">
        <v>27</v>
      </c>
      <c r="F5579" s="68">
        <v>30</v>
      </c>
      <c r="G5579" s="68">
        <v>57</v>
      </c>
    </row>
    <row r="5580" spans="1:7" x14ac:dyDescent="0.3">
      <c r="A5580" t="s">
        <v>1268</v>
      </c>
      <c r="B5580" t="s">
        <v>31</v>
      </c>
      <c r="C5580" t="s">
        <v>6</v>
      </c>
      <c r="D5580" t="s">
        <v>18</v>
      </c>
      <c r="E5580" s="68">
        <v>21</v>
      </c>
      <c r="F5580" s="68">
        <v>35</v>
      </c>
      <c r="G5580" s="68">
        <v>56</v>
      </c>
    </row>
    <row r="5581" spans="1:7" x14ac:dyDescent="0.3">
      <c r="A5581" t="s">
        <v>1268</v>
      </c>
      <c r="B5581" t="s">
        <v>31</v>
      </c>
      <c r="C5581" t="s">
        <v>6</v>
      </c>
      <c r="D5581" t="s">
        <v>19</v>
      </c>
      <c r="E5581" s="68">
        <v>14</v>
      </c>
      <c r="F5581" s="68">
        <v>22</v>
      </c>
      <c r="G5581" s="68">
        <v>36</v>
      </c>
    </row>
    <row r="5582" spans="1:7" x14ac:dyDescent="0.3">
      <c r="A5582" t="s">
        <v>1268</v>
      </c>
      <c r="B5582" t="s">
        <v>31</v>
      </c>
      <c r="C5582" t="s">
        <v>6</v>
      </c>
      <c r="D5582" t="s">
        <v>20</v>
      </c>
      <c r="E5582" s="68">
        <v>4</v>
      </c>
      <c r="F5582" s="68">
        <v>11</v>
      </c>
      <c r="G5582" s="68">
        <v>15</v>
      </c>
    </row>
    <row r="5583" spans="1:7" x14ac:dyDescent="0.3">
      <c r="A5583" t="s">
        <v>1268</v>
      </c>
      <c r="B5583" t="s">
        <v>31</v>
      </c>
      <c r="C5583" t="s">
        <v>6</v>
      </c>
      <c r="D5583" t="s">
        <v>21</v>
      </c>
      <c r="E5583" s="68">
        <v>4</v>
      </c>
      <c r="F5583" s="68">
        <v>5</v>
      </c>
      <c r="G5583" s="68">
        <v>9</v>
      </c>
    </row>
    <row r="5584" spans="1:7" x14ac:dyDescent="0.3">
      <c r="A5584" t="s">
        <v>1268</v>
      </c>
      <c r="B5584" t="s">
        <v>31</v>
      </c>
      <c r="C5584" t="s">
        <v>6</v>
      </c>
      <c r="D5584" t="s">
        <v>22</v>
      </c>
      <c r="E5584" s="68">
        <v>1</v>
      </c>
      <c r="F5584" s="68">
        <v>3</v>
      </c>
      <c r="G5584" s="68">
        <v>4</v>
      </c>
    </row>
    <row r="5585" spans="1:7" x14ac:dyDescent="0.3">
      <c r="A5585" t="s">
        <v>1268</v>
      </c>
      <c r="B5585" t="s">
        <v>31</v>
      </c>
      <c r="C5585" t="s">
        <v>6</v>
      </c>
      <c r="D5585" t="s">
        <v>23</v>
      </c>
      <c r="E5585" s="68">
        <v>5</v>
      </c>
      <c r="F5585" s="68"/>
      <c r="G5585" s="68">
        <v>5</v>
      </c>
    </row>
    <row r="5586" spans="1:7" x14ac:dyDescent="0.3">
      <c r="A5586" t="s">
        <v>1268</v>
      </c>
      <c r="B5586" t="s">
        <v>31</v>
      </c>
      <c r="C5586" t="s">
        <v>24</v>
      </c>
      <c r="D5586" t="s">
        <v>7</v>
      </c>
      <c r="E5586" s="68">
        <v>145</v>
      </c>
      <c r="F5586" s="68">
        <v>142</v>
      </c>
      <c r="G5586" s="68">
        <v>287</v>
      </c>
    </row>
    <row r="5587" spans="1:7" x14ac:dyDescent="0.3">
      <c r="A5587" t="s">
        <v>1268</v>
      </c>
      <c r="B5587" t="s">
        <v>31</v>
      </c>
      <c r="C5587" t="s">
        <v>24</v>
      </c>
      <c r="D5587" t="s">
        <v>8</v>
      </c>
      <c r="E5587" s="68">
        <v>218</v>
      </c>
      <c r="F5587" s="68">
        <v>251</v>
      </c>
      <c r="G5587" s="68">
        <v>469</v>
      </c>
    </row>
    <row r="5588" spans="1:7" x14ac:dyDescent="0.3">
      <c r="A5588" t="s">
        <v>1268</v>
      </c>
      <c r="B5588" t="s">
        <v>31</v>
      </c>
      <c r="C5588" t="s">
        <v>24</v>
      </c>
      <c r="D5588" t="s">
        <v>9</v>
      </c>
      <c r="E5588" s="68">
        <v>309</v>
      </c>
      <c r="F5588" s="68">
        <v>318</v>
      </c>
      <c r="G5588" s="68">
        <v>627</v>
      </c>
    </row>
    <row r="5589" spans="1:7" x14ac:dyDescent="0.3">
      <c r="A5589" t="s">
        <v>1268</v>
      </c>
      <c r="B5589" t="s">
        <v>31</v>
      </c>
      <c r="C5589" t="s">
        <v>24</v>
      </c>
      <c r="D5589" t="s">
        <v>10</v>
      </c>
      <c r="E5589" s="68">
        <v>325</v>
      </c>
      <c r="F5589" s="68">
        <v>360</v>
      </c>
      <c r="G5589" s="68">
        <v>685</v>
      </c>
    </row>
    <row r="5590" spans="1:7" x14ac:dyDescent="0.3">
      <c r="A5590" t="s">
        <v>1268</v>
      </c>
      <c r="B5590" t="s">
        <v>31</v>
      </c>
      <c r="C5590" t="s">
        <v>24</v>
      </c>
      <c r="D5590" t="s">
        <v>11</v>
      </c>
      <c r="E5590" s="68">
        <v>312</v>
      </c>
      <c r="F5590" s="68">
        <v>253</v>
      </c>
      <c r="G5590" s="68">
        <v>565</v>
      </c>
    </row>
    <row r="5591" spans="1:7" x14ac:dyDescent="0.3">
      <c r="A5591" t="s">
        <v>1268</v>
      </c>
      <c r="B5591" t="s">
        <v>31</v>
      </c>
      <c r="C5591" t="s">
        <v>24</v>
      </c>
      <c r="D5591" t="s">
        <v>12</v>
      </c>
      <c r="E5591" s="68">
        <v>300</v>
      </c>
      <c r="F5591" s="68">
        <v>262</v>
      </c>
      <c r="G5591" s="68">
        <v>562</v>
      </c>
    </row>
    <row r="5592" spans="1:7" x14ac:dyDescent="0.3">
      <c r="A5592" t="s">
        <v>1268</v>
      </c>
      <c r="B5592" t="s">
        <v>31</v>
      </c>
      <c r="C5592" t="s">
        <v>24</v>
      </c>
      <c r="D5592" t="s">
        <v>13</v>
      </c>
      <c r="E5592" s="68">
        <v>301</v>
      </c>
      <c r="F5592" s="68">
        <v>249</v>
      </c>
      <c r="G5592" s="68">
        <v>550</v>
      </c>
    </row>
    <row r="5593" spans="1:7" x14ac:dyDescent="0.3">
      <c r="A5593" t="s">
        <v>1268</v>
      </c>
      <c r="B5593" t="s">
        <v>31</v>
      </c>
      <c r="C5593" t="s">
        <v>24</v>
      </c>
      <c r="D5593" t="s">
        <v>14</v>
      </c>
      <c r="E5593" s="68">
        <v>340</v>
      </c>
      <c r="F5593" s="68">
        <v>200</v>
      </c>
      <c r="G5593" s="68">
        <v>540</v>
      </c>
    </row>
    <row r="5594" spans="1:7" x14ac:dyDescent="0.3">
      <c r="A5594" t="s">
        <v>1268</v>
      </c>
      <c r="B5594" t="s">
        <v>31</v>
      </c>
      <c r="C5594" t="s">
        <v>24</v>
      </c>
      <c r="D5594" t="s">
        <v>15</v>
      </c>
      <c r="E5594" s="68">
        <v>317</v>
      </c>
      <c r="F5594" s="68">
        <v>225</v>
      </c>
      <c r="G5594" s="68">
        <v>542</v>
      </c>
    </row>
    <row r="5595" spans="1:7" x14ac:dyDescent="0.3">
      <c r="A5595" t="s">
        <v>1268</v>
      </c>
      <c r="B5595" t="s">
        <v>31</v>
      </c>
      <c r="C5595" t="s">
        <v>24</v>
      </c>
      <c r="D5595" t="s">
        <v>16</v>
      </c>
      <c r="E5595" s="68">
        <v>305</v>
      </c>
      <c r="F5595" s="68">
        <v>210</v>
      </c>
      <c r="G5595" s="68">
        <v>515</v>
      </c>
    </row>
    <row r="5596" spans="1:7" x14ac:dyDescent="0.3">
      <c r="A5596" t="s">
        <v>1268</v>
      </c>
      <c r="B5596" t="s">
        <v>31</v>
      </c>
      <c r="C5596" t="s">
        <v>24</v>
      </c>
      <c r="D5596" t="s">
        <v>17</v>
      </c>
      <c r="E5596" s="68">
        <v>224</v>
      </c>
      <c r="F5596" s="68">
        <v>221</v>
      </c>
      <c r="G5596" s="68">
        <v>445</v>
      </c>
    </row>
    <row r="5597" spans="1:7" x14ac:dyDescent="0.3">
      <c r="A5597" t="s">
        <v>1268</v>
      </c>
      <c r="B5597" t="s">
        <v>31</v>
      </c>
      <c r="C5597" t="s">
        <v>24</v>
      </c>
      <c r="D5597" t="s">
        <v>18</v>
      </c>
      <c r="E5597" s="68">
        <v>188</v>
      </c>
      <c r="F5597" s="68">
        <v>173</v>
      </c>
      <c r="G5597" s="68">
        <v>361</v>
      </c>
    </row>
    <row r="5598" spans="1:7" x14ac:dyDescent="0.3">
      <c r="A5598" t="s">
        <v>1268</v>
      </c>
      <c r="B5598" t="s">
        <v>31</v>
      </c>
      <c r="C5598" t="s">
        <v>24</v>
      </c>
      <c r="D5598" t="s">
        <v>19</v>
      </c>
      <c r="E5598" s="68">
        <v>148</v>
      </c>
      <c r="F5598" s="68">
        <v>162</v>
      </c>
      <c r="G5598" s="68">
        <v>310</v>
      </c>
    </row>
    <row r="5599" spans="1:7" x14ac:dyDescent="0.3">
      <c r="A5599" t="s">
        <v>1268</v>
      </c>
      <c r="B5599" t="s">
        <v>31</v>
      </c>
      <c r="C5599" t="s">
        <v>24</v>
      </c>
      <c r="D5599" t="s">
        <v>20</v>
      </c>
      <c r="E5599" s="68">
        <v>97</v>
      </c>
      <c r="F5599" s="68">
        <v>86</v>
      </c>
      <c r="G5599" s="68">
        <v>183</v>
      </c>
    </row>
    <row r="5600" spans="1:7" x14ac:dyDescent="0.3">
      <c r="A5600" t="s">
        <v>1268</v>
      </c>
      <c r="B5600" t="s">
        <v>31</v>
      </c>
      <c r="C5600" t="s">
        <v>24</v>
      </c>
      <c r="D5600" t="s">
        <v>21</v>
      </c>
      <c r="E5600" s="68">
        <v>75</v>
      </c>
      <c r="F5600" s="68">
        <v>79</v>
      </c>
      <c r="G5600" s="68">
        <v>154</v>
      </c>
    </row>
    <row r="5601" spans="1:7" x14ac:dyDescent="0.3">
      <c r="A5601" t="s">
        <v>1268</v>
      </c>
      <c r="B5601" t="s">
        <v>31</v>
      </c>
      <c r="C5601" t="s">
        <v>24</v>
      </c>
      <c r="D5601" t="s">
        <v>22</v>
      </c>
      <c r="E5601" s="68">
        <v>43</v>
      </c>
      <c r="F5601" s="68">
        <v>31</v>
      </c>
      <c r="G5601" s="68">
        <v>74</v>
      </c>
    </row>
    <row r="5602" spans="1:7" x14ac:dyDescent="0.3">
      <c r="A5602" t="s">
        <v>1268</v>
      </c>
      <c r="B5602" t="s">
        <v>31</v>
      </c>
      <c r="C5602" t="s">
        <v>24</v>
      </c>
      <c r="D5602" t="s">
        <v>23</v>
      </c>
      <c r="E5602" s="68">
        <v>49</v>
      </c>
      <c r="F5602" s="68">
        <v>43</v>
      </c>
      <c r="G5602" s="68">
        <v>92</v>
      </c>
    </row>
    <row r="5603" spans="1:7" x14ac:dyDescent="0.3">
      <c r="A5603" t="s">
        <v>1268</v>
      </c>
      <c r="B5603" t="s">
        <v>5</v>
      </c>
      <c r="C5603" t="s">
        <v>6</v>
      </c>
      <c r="D5603" t="s">
        <v>7</v>
      </c>
      <c r="E5603" s="68">
        <v>4012</v>
      </c>
      <c r="F5603" s="68">
        <v>4098</v>
      </c>
      <c r="G5603" s="68">
        <v>8110</v>
      </c>
    </row>
    <row r="5604" spans="1:7" x14ac:dyDescent="0.3">
      <c r="A5604" t="s">
        <v>1268</v>
      </c>
      <c r="B5604" t="s">
        <v>5</v>
      </c>
      <c r="C5604" t="s">
        <v>6</v>
      </c>
      <c r="D5604" t="s">
        <v>8</v>
      </c>
      <c r="E5604" s="68">
        <v>4960</v>
      </c>
      <c r="F5604" s="68">
        <v>5287</v>
      </c>
      <c r="G5604" s="68">
        <v>10247</v>
      </c>
    </row>
    <row r="5605" spans="1:7" x14ac:dyDescent="0.3">
      <c r="A5605" t="s">
        <v>1268</v>
      </c>
      <c r="B5605" t="s">
        <v>5</v>
      </c>
      <c r="C5605" t="s">
        <v>6</v>
      </c>
      <c r="D5605" t="s">
        <v>9</v>
      </c>
      <c r="E5605" s="68">
        <v>5674</v>
      </c>
      <c r="F5605" s="68">
        <v>6132</v>
      </c>
      <c r="G5605" s="68">
        <v>11806</v>
      </c>
    </row>
    <row r="5606" spans="1:7" x14ac:dyDescent="0.3">
      <c r="A5606" t="s">
        <v>1268</v>
      </c>
      <c r="B5606" t="s">
        <v>5</v>
      </c>
      <c r="C5606" t="s">
        <v>6</v>
      </c>
      <c r="D5606" t="s">
        <v>10</v>
      </c>
      <c r="E5606" s="68">
        <v>5731</v>
      </c>
      <c r="F5606" s="68">
        <v>5843</v>
      </c>
      <c r="G5606" s="68">
        <v>11574</v>
      </c>
    </row>
    <row r="5607" spans="1:7" x14ac:dyDescent="0.3">
      <c r="A5607" t="s">
        <v>1268</v>
      </c>
      <c r="B5607" t="s">
        <v>5</v>
      </c>
      <c r="C5607" t="s">
        <v>6</v>
      </c>
      <c r="D5607" t="s">
        <v>11</v>
      </c>
      <c r="E5607" s="68">
        <v>5794</v>
      </c>
      <c r="F5607" s="68">
        <v>5352</v>
      </c>
      <c r="G5607" s="68">
        <v>11146</v>
      </c>
    </row>
    <row r="5608" spans="1:7" x14ac:dyDescent="0.3">
      <c r="A5608" t="s">
        <v>1268</v>
      </c>
      <c r="B5608" t="s">
        <v>5</v>
      </c>
      <c r="C5608" t="s">
        <v>6</v>
      </c>
      <c r="D5608" t="s">
        <v>12</v>
      </c>
      <c r="E5608" s="68">
        <v>6784</v>
      </c>
      <c r="F5608" s="68">
        <v>5843</v>
      </c>
      <c r="G5608" s="68">
        <v>12627</v>
      </c>
    </row>
    <row r="5609" spans="1:7" x14ac:dyDescent="0.3">
      <c r="A5609" t="s">
        <v>1268</v>
      </c>
      <c r="B5609" t="s">
        <v>5</v>
      </c>
      <c r="C5609" t="s">
        <v>6</v>
      </c>
      <c r="D5609" t="s">
        <v>13</v>
      </c>
      <c r="E5609" s="68">
        <v>8665</v>
      </c>
      <c r="F5609" s="68">
        <v>7377</v>
      </c>
      <c r="G5609" s="68">
        <v>16042</v>
      </c>
    </row>
    <row r="5610" spans="1:7" x14ac:dyDescent="0.3">
      <c r="A5610" t="s">
        <v>1268</v>
      </c>
      <c r="B5610" t="s">
        <v>5</v>
      </c>
      <c r="C5610" t="s">
        <v>6</v>
      </c>
      <c r="D5610" t="s">
        <v>14</v>
      </c>
      <c r="E5610" s="68">
        <v>8254</v>
      </c>
      <c r="F5610" s="68">
        <v>7472</v>
      </c>
      <c r="G5610" s="68">
        <v>15726</v>
      </c>
    </row>
    <row r="5611" spans="1:7" x14ac:dyDescent="0.3">
      <c r="A5611" t="s">
        <v>1268</v>
      </c>
      <c r="B5611" t="s">
        <v>5</v>
      </c>
      <c r="C5611" t="s">
        <v>6</v>
      </c>
      <c r="D5611" t="s">
        <v>15</v>
      </c>
      <c r="E5611" s="68">
        <v>7698</v>
      </c>
      <c r="F5611" s="68">
        <v>7005</v>
      </c>
      <c r="G5611" s="68">
        <v>14703</v>
      </c>
    </row>
    <row r="5612" spans="1:7" x14ac:dyDescent="0.3">
      <c r="A5612" t="s">
        <v>1268</v>
      </c>
      <c r="B5612" t="s">
        <v>5</v>
      </c>
      <c r="C5612" t="s">
        <v>6</v>
      </c>
      <c r="D5612" t="s">
        <v>16</v>
      </c>
      <c r="E5612" s="68">
        <v>6600</v>
      </c>
      <c r="F5612" s="68">
        <v>6345</v>
      </c>
      <c r="G5612" s="68">
        <v>12945</v>
      </c>
    </row>
    <row r="5613" spans="1:7" x14ac:dyDescent="0.3">
      <c r="A5613" t="s">
        <v>1268</v>
      </c>
      <c r="B5613" t="s">
        <v>5</v>
      </c>
      <c r="C5613" t="s">
        <v>6</v>
      </c>
      <c r="D5613" t="s">
        <v>17</v>
      </c>
      <c r="E5613" s="68">
        <v>5257</v>
      </c>
      <c r="F5613" s="68">
        <v>4969</v>
      </c>
      <c r="G5613" s="68">
        <v>10226</v>
      </c>
    </row>
    <row r="5614" spans="1:7" x14ac:dyDescent="0.3">
      <c r="A5614" t="s">
        <v>1268</v>
      </c>
      <c r="B5614" t="s">
        <v>5</v>
      </c>
      <c r="C5614" t="s">
        <v>6</v>
      </c>
      <c r="D5614" t="s">
        <v>18</v>
      </c>
      <c r="E5614" s="68">
        <v>4938</v>
      </c>
      <c r="F5614" s="68">
        <v>4509</v>
      </c>
      <c r="G5614" s="68">
        <v>9447</v>
      </c>
    </row>
    <row r="5615" spans="1:7" x14ac:dyDescent="0.3">
      <c r="A5615" t="s">
        <v>1268</v>
      </c>
      <c r="B5615" t="s">
        <v>5</v>
      </c>
      <c r="C5615" t="s">
        <v>6</v>
      </c>
      <c r="D5615" t="s">
        <v>19</v>
      </c>
      <c r="E5615" s="68">
        <v>4473</v>
      </c>
      <c r="F5615" s="68">
        <v>3918</v>
      </c>
      <c r="G5615" s="68">
        <v>8391</v>
      </c>
    </row>
    <row r="5616" spans="1:7" x14ac:dyDescent="0.3">
      <c r="A5616" t="s">
        <v>1268</v>
      </c>
      <c r="B5616" t="s">
        <v>5</v>
      </c>
      <c r="C5616" t="s">
        <v>6</v>
      </c>
      <c r="D5616" t="s">
        <v>20</v>
      </c>
      <c r="E5616" s="68">
        <v>3286</v>
      </c>
      <c r="F5616" s="68">
        <v>2940</v>
      </c>
      <c r="G5616" s="68">
        <v>6226</v>
      </c>
    </row>
    <row r="5617" spans="1:7" x14ac:dyDescent="0.3">
      <c r="A5617" t="s">
        <v>1268</v>
      </c>
      <c r="B5617" t="s">
        <v>5</v>
      </c>
      <c r="C5617" t="s">
        <v>6</v>
      </c>
      <c r="D5617" t="s">
        <v>21</v>
      </c>
      <c r="E5617" s="68">
        <v>2361</v>
      </c>
      <c r="F5617" s="68">
        <v>1827</v>
      </c>
      <c r="G5617" s="68">
        <v>4188</v>
      </c>
    </row>
    <row r="5618" spans="1:7" x14ac:dyDescent="0.3">
      <c r="A5618" t="s">
        <v>1268</v>
      </c>
      <c r="B5618" t="s">
        <v>5</v>
      </c>
      <c r="C5618" t="s">
        <v>6</v>
      </c>
      <c r="D5618" t="s">
        <v>22</v>
      </c>
      <c r="E5618" s="68">
        <v>1485</v>
      </c>
      <c r="F5618" s="68">
        <v>1193</v>
      </c>
      <c r="G5618" s="68">
        <v>2678</v>
      </c>
    </row>
    <row r="5619" spans="1:7" x14ac:dyDescent="0.3">
      <c r="A5619" t="s">
        <v>1268</v>
      </c>
      <c r="B5619" t="s">
        <v>5</v>
      </c>
      <c r="C5619" t="s">
        <v>6</v>
      </c>
      <c r="D5619" t="s">
        <v>23</v>
      </c>
      <c r="E5619" s="68">
        <v>1543</v>
      </c>
      <c r="F5619" s="68">
        <v>1067</v>
      </c>
      <c r="G5619" s="68">
        <v>2610</v>
      </c>
    </row>
    <row r="5620" spans="1:7" x14ac:dyDescent="0.3">
      <c r="A5620" t="s">
        <v>1268</v>
      </c>
      <c r="B5620" t="s">
        <v>5</v>
      </c>
      <c r="C5620" t="s">
        <v>24</v>
      </c>
      <c r="D5620" t="s">
        <v>7</v>
      </c>
      <c r="E5620" s="68">
        <v>763</v>
      </c>
      <c r="F5620" s="68">
        <v>785</v>
      </c>
      <c r="G5620" s="68">
        <v>1548</v>
      </c>
    </row>
    <row r="5621" spans="1:7" x14ac:dyDescent="0.3">
      <c r="A5621" t="s">
        <v>1268</v>
      </c>
      <c r="B5621" t="s">
        <v>5</v>
      </c>
      <c r="C5621" t="s">
        <v>24</v>
      </c>
      <c r="D5621" t="s">
        <v>8</v>
      </c>
      <c r="E5621" s="68">
        <v>995</v>
      </c>
      <c r="F5621" s="68">
        <v>997</v>
      </c>
      <c r="G5621" s="68">
        <v>1992</v>
      </c>
    </row>
    <row r="5622" spans="1:7" x14ac:dyDescent="0.3">
      <c r="A5622" t="s">
        <v>1268</v>
      </c>
      <c r="B5622" t="s">
        <v>5</v>
      </c>
      <c r="C5622" t="s">
        <v>24</v>
      </c>
      <c r="D5622" t="s">
        <v>9</v>
      </c>
      <c r="E5622" s="68">
        <v>1021</v>
      </c>
      <c r="F5622" s="68">
        <v>1119</v>
      </c>
      <c r="G5622" s="68">
        <v>2140</v>
      </c>
    </row>
    <row r="5623" spans="1:7" x14ac:dyDescent="0.3">
      <c r="A5623" t="s">
        <v>1268</v>
      </c>
      <c r="B5623" t="s">
        <v>5</v>
      </c>
      <c r="C5623" t="s">
        <v>24</v>
      </c>
      <c r="D5623" t="s">
        <v>10</v>
      </c>
      <c r="E5623" s="68">
        <v>1161</v>
      </c>
      <c r="F5623" s="68">
        <v>1225</v>
      </c>
      <c r="G5623" s="68">
        <v>2386</v>
      </c>
    </row>
    <row r="5624" spans="1:7" x14ac:dyDescent="0.3">
      <c r="A5624" t="s">
        <v>1268</v>
      </c>
      <c r="B5624" t="s">
        <v>5</v>
      </c>
      <c r="C5624" t="s">
        <v>24</v>
      </c>
      <c r="D5624" t="s">
        <v>11</v>
      </c>
      <c r="E5624" s="68">
        <v>1523</v>
      </c>
      <c r="F5624" s="68">
        <v>1596</v>
      </c>
      <c r="G5624" s="68">
        <v>3119</v>
      </c>
    </row>
    <row r="5625" spans="1:7" x14ac:dyDescent="0.3">
      <c r="A5625" t="s">
        <v>1268</v>
      </c>
      <c r="B5625" t="s">
        <v>5</v>
      </c>
      <c r="C5625" t="s">
        <v>24</v>
      </c>
      <c r="D5625" t="s">
        <v>12</v>
      </c>
      <c r="E5625" s="68">
        <v>1998</v>
      </c>
      <c r="F5625" s="68">
        <v>1888</v>
      </c>
      <c r="G5625" s="68">
        <v>3886</v>
      </c>
    </row>
    <row r="5626" spans="1:7" x14ac:dyDescent="0.3">
      <c r="A5626" t="s">
        <v>1268</v>
      </c>
      <c r="B5626" t="s">
        <v>5</v>
      </c>
      <c r="C5626" t="s">
        <v>24</v>
      </c>
      <c r="D5626" t="s">
        <v>13</v>
      </c>
      <c r="E5626" s="68">
        <v>1907</v>
      </c>
      <c r="F5626" s="68">
        <v>1736</v>
      </c>
      <c r="G5626" s="68">
        <v>3643</v>
      </c>
    </row>
    <row r="5627" spans="1:7" x14ac:dyDescent="0.3">
      <c r="A5627" t="s">
        <v>1268</v>
      </c>
      <c r="B5627" t="s">
        <v>5</v>
      </c>
      <c r="C5627" t="s">
        <v>24</v>
      </c>
      <c r="D5627" t="s">
        <v>14</v>
      </c>
      <c r="E5627" s="68">
        <v>1527</v>
      </c>
      <c r="F5627" s="68">
        <v>1484</v>
      </c>
      <c r="G5627" s="68">
        <v>3011</v>
      </c>
    </row>
    <row r="5628" spans="1:7" x14ac:dyDescent="0.3">
      <c r="A5628" t="s">
        <v>1268</v>
      </c>
      <c r="B5628" t="s">
        <v>5</v>
      </c>
      <c r="C5628" t="s">
        <v>24</v>
      </c>
      <c r="D5628" t="s">
        <v>15</v>
      </c>
      <c r="E5628" s="68">
        <v>1415</v>
      </c>
      <c r="F5628" s="68">
        <v>1314</v>
      </c>
      <c r="G5628" s="68">
        <v>2729</v>
      </c>
    </row>
    <row r="5629" spans="1:7" x14ac:dyDescent="0.3">
      <c r="A5629" t="s">
        <v>1268</v>
      </c>
      <c r="B5629" t="s">
        <v>5</v>
      </c>
      <c r="C5629" t="s">
        <v>24</v>
      </c>
      <c r="D5629" t="s">
        <v>16</v>
      </c>
      <c r="E5629" s="68">
        <v>1214</v>
      </c>
      <c r="F5629" s="68">
        <v>1068</v>
      </c>
      <c r="G5629" s="68">
        <v>2282</v>
      </c>
    </row>
    <row r="5630" spans="1:7" x14ac:dyDescent="0.3">
      <c r="A5630" t="s">
        <v>1268</v>
      </c>
      <c r="B5630" t="s">
        <v>5</v>
      </c>
      <c r="C5630" t="s">
        <v>24</v>
      </c>
      <c r="D5630" t="s">
        <v>17</v>
      </c>
      <c r="E5630" s="68">
        <v>906</v>
      </c>
      <c r="F5630" s="68">
        <v>899</v>
      </c>
      <c r="G5630" s="68">
        <v>1805</v>
      </c>
    </row>
    <row r="5631" spans="1:7" x14ac:dyDescent="0.3">
      <c r="A5631" t="s">
        <v>1268</v>
      </c>
      <c r="B5631" t="s">
        <v>5</v>
      </c>
      <c r="C5631" t="s">
        <v>24</v>
      </c>
      <c r="D5631" t="s">
        <v>18</v>
      </c>
      <c r="E5631" s="68">
        <v>902</v>
      </c>
      <c r="F5631" s="68">
        <v>783</v>
      </c>
      <c r="G5631" s="68">
        <v>1685</v>
      </c>
    </row>
    <row r="5632" spans="1:7" x14ac:dyDescent="0.3">
      <c r="A5632" t="s">
        <v>1268</v>
      </c>
      <c r="B5632" t="s">
        <v>5</v>
      </c>
      <c r="C5632" t="s">
        <v>24</v>
      </c>
      <c r="D5632" t="s">
        <v>19</v>
      </c>
      <c r="E5632" s="68">
        <v>717</v>
      </c>
      <c r="F5632" s="68">
        <v>655</v>
      </c>
      <c r="G5632" s="68">
        <v>1372</v>
      </c>
    </row>
    <row r="5633" spans="1:7" x14ac:dyDescent="0.3">
      <c r="A5633" t="s">
        <v>1268</v>
      </c>
      <c r="B5633" t="s">
        <v>5</v>
      </c>
      <c r="C5633" t="s">
        <v>24</v>
      </c>
      <c r="D5633" t="s">
        <v>20</v>
      </c>
      <c r="E5633" s="68">
        <v>467</v>
      </c>
      <c r="F5633" s="68">
        <v>446</v>
      </c>
      <c r="G5633" s="68">
        <v>913</v>
      </c>
    </row>
    <row r="5634" spans="1:7" x14ac:dyDescent="0.3">
      <c r="A5634" t="s">
        <v>1268</v>
      </c>
      <c r="B5634" t="s">
        <v>5</v>
      </c>
      <c r="C5634" t="s">
        <v>24</v>
      </c>
      <c r="D5634" t="s">
        <v>21</v>
      </c>
      <c r="E5634" s="68">
        <v>333</v>
      </c>
      <c r="F5634" s="68">
        <v>290</v>
      </c>
      <c r="G5634" s="68">
        <v>623</v>
      </c>
    </row>
    <row r="5635" spans="1:7" x14ac:dyDescent="0.3">
      <c r="A5635" t="s">
        <v>1268</v>
      </c>
      <c r="B5635" t="s">
        <v>5</v>
      </c>
      <c r="C5635" t="s">
        <v>24</v>
      </c>
      <c r="D5635" t="s">
        <v>22</v>
      </c>
      <c r="E5635" s="68">
        <v>199</v>
      </c>
      <c r="F5635" s="68">
        <v>176</v>
      </c>
      <c r="G5635" s="68">
        <v>375</v>
      </c>
    </row>
    <row r="5636" spans="1:7" x14ac:dyDescent="0.3">
      <c r="A5636" t="s">
        <v>1268</v>
      </c>
      <c r="B5636" t="s">
        <v>5</v>
      </c>
      <c r="C5636" t="s">
        <v>24</v>
      </c>
      <c r="D5636" t="s">
        <v>23</v>
      </c>
      <c r="E5636" s="68">
        <v>241</v>
      </c>
      <c r="F5636" s="68">
        <v>177</v>
      </c>
      <c r="G5636" s="68">
        <v>418</v>
      </c>
    </row>
    <row r="5637" spans="1:7" x14ac:dyDescent="0.3">
      <c r="A5637" t="s">
        <v>1268</v>
      </c>
      <c r="B5637" t="s">
        <v>34</v>
      </c>
      <c r="C5637" t="s">
        <v>6</v>
      </c>
      <c r="D5637" t="s">
        <v>8</v>
      </c>
      <c r="E5637" s="68"/>
      <c r="F5637" s="68">
        <v>1</v>
      </c>
      <c r="G5637" s="68">
        <v>1</v>
      </c>
    </row>
    <row r="5638" spans="1:7" x14ac:dyDescent="0.3">
      <c r="A5638" t="s">
        <v>1268</v>
      </c>
      <c r="B5638" t="s">
        <v>34</v>
      </c>
      <c r="C5638" t="s">
        <v>6</v>
      </c>
      <c r="D5638" t="s">
        <v>18</v>
      </c>
      <c r="E5638" s="68"/>
      <c r="F5638" s="68">
        <v>1</v>
      </c>
      <c r="G5638" s="68">
        <v>1</v>
      </c>
    </row>
    <row r="5639" spans="1:7" x14ac:dyDescent="0.3">
      <c r="A5639" t="s">
        <v>1268</v>
      </c>
      <c r="B5639" t="s">
        <v>37</v>
      </c>
      <c r="C5639" t="s">
        <v>6</v>
      </c>
      <c r="D5639" t="s">
        <v>7</v>
      </c>
      <c r="E5639" s="68">
        <v>853</v>
      </c>
      <c r="F5639" s="68">
        <v>920</v>
      </c>
      <c r="G5639" s="68">
        <v>1773</v>
      </c>
    </row>
    <row r="5640" spans="1:7" x14ac:dyDescent="0.3">
      <c r="A5640" t="s">
        <v>1268</v>
      </c>
      <c r="B5640" t="s">
        <v>37</v>
      </c>
      <c r="C5640" t="s">
        <v>6</v>
      </c>
      <c r="D5640" t="s">
        <v>8</v>
      </c>
      <c r="E5640" s="68">
        <v>1139</v>
      </c>
      <c r="F5640" s="68">
        <v>1238</v>
      </c>
      <c r="G5640" s="68">
        <v>2377</v>
      </c>
    </row>
    <row r="5641" spans="1:7" x14ac:dyDescent="0.3">
      <c r="A5641" t="s">
        <v>1268</v>
      </c>
      <c r="B5641" t="s">
        <v>37</v>
      </c>
      <c r="C5641" t="s">
        <v>6</v>
      </c>
      <c r="D5641" t="s">
        <v>9</v>
      </c>
      <c r="E5641" s="68">
        <v>1412</v>
      </c>
      <c r="F5641" s="68">
        <v>1550</v>
      </c>
      <c r="G5641" s="68">
        <v>2962</v>
      </c>
    </row>
    <row r="5642" spans="1:7" x14ac:dyDescent="0.3">
      <c r="A5642" t="s">
        <v>1268</v>
      </c>
      <c r="B5642" t="s">
        <v>37</v>
      </c>
      <c r="C5642" t="s">
        <v>6</v>
      </c>
      <c r="D5642" t="s">
        <v>10</v>
      </c>
      <c r="E5642" s="68">
        <v>1507</v>
      </c>
      <c r="F5642" s="68">
        <v>1619</v>
      </c>
      <c r="G5642" s="68">
        <v>3126</v>
      </c>
    </row>
    <row r="5643" spans="1:7" x14ac:dyDescent="0.3">
      <c r="A5643" t="s">
        <v>1268</v>
      </c>
      <c r="B5643" t="s">
        <v>37</v>
      </c>
      <c r="C5643" t="s">
        <v>6</v>
      </c>
      <c r="D5643" t="s">
        <v>11</v>
      </c>
      <c r="E5643" s="68">
        <v>1394</v>
      </c>
      <c r="F5643" s="68">
        <v>1484</v>
      </c>
      <c r="G5643" s="68">
        <v>2878</v>
      </c>
    </row>
    <row r="5644" spans="1:7" x14ac:dyDescent="0.3">
      <c r="A5644" t="s">
        <v>1268</v>
      </c>
      <c r="B5644" t="s">
        <v>37</v>
      </c>
      <c r="C5644" t="s">
        <v>6</v>
      </c>
      <c r="D5644" t="s">
        <v>12</v>
      </c>
      <c r="E5644" s="68">
        <v>1462</v>
      </c>
      <c r="F5644" s="68">
        <v>1611</v>
      </c>
      <c r="G5644" s="68">
        <v>3073</v>
      </c>
    </row>
    <row r="5645" spans="1:7" x14ac:dyDescent="0.3">
      <c r="A5645" t="s">
        <v>1268</v>
      </c>
      <c r="B5645" t="s">
        <v>37</v>
      </c>
      <c r="C5645" t="s">
        <v>6</v>
      </c>
      <c r="D5645" t="s">
        <v>13</v>
      </c>
      <c r="E5645" s="68">
        <v>1745</v>
      </c>
      <c r="F5645" s="68">
        <v>2043</v>
      </c>
      <c r="G5645" s="68">
        <v>3788</v>
      </c>
    </row>
    <row r="5646" spans="1:7" x14ac:dyDescent="0.3">
      <c r="A5646" t="s">
        <v>1268</v>
      </c>
      <c r="B5646" t="s">
        <v>37</v>
      </c>
      <c r="C5646" t="s">
        <v>6</v>
      </c>
      <c r="D5646" t="s">
        <v>14</v>
      </c>
      <c r="E5646" s="68">
        <v>1734</v>
      </c>
      <c r="F5646" s="68">
        <v>1957</v>
      </c>
      <c r="G5646" s="68">
        <v>3691</v>
      </c>
    </row>
    <row r="5647" spans="1:7" x14ac:dyDescent="0.3">
      <c r="A5647" t="s">
        <v>1268</v>
      </c>
      <c r="B5647" t="s">
        <v>37</v>
      </c>
      <c r="C5647" t="s">
        <v>6</v>
      </c>
      <c r="D5647" t="s">
        <v>15</v>
      </c>
      <c r="E5647" s="68">
        <v>1625</v>
      </c>
      <c r="F5647" s="68">
        <v>1854</v>
      </c>
      <c r="G5647" s="68">
        <v>3479</v>
      </c>
    </row>
    <row r="5648" spans="1:7" x14ac:dyDescent="0.3">
      <c r="A5648" t="s">
        <v>1268</v>
      </c>
      <c r="B5648" t="s">
        <v>37</v>
      </c>
      <c r="C5648" t="s">
        <v>6</v>
      </c>
      <c r="D5648" t="s">
        <v>16</v>
      </c>
      <c r="E5648" s="68">
        <v>1314</v>
      </c>
      <c r="F5648" s="68">
        <v>1656</v>
      </c>
      <c r="G5648" s="68">
        <v>2970</v>
      </c>
    </row>
    <row r="5649" spans="1:7" x14ac:dyDescent="0.3">
      <c r="A5649" t="s">
        <v>1268</v>
      </c>
      <c r="B5649" t="s">
        <v>37</v>
      </c>
      <c r="C5649" t="s">
        <v>6</v>
      </c>
      <c r="D5649" t="s">
        <v>17</v>
      </c>
      <c r="E5649" s="68">
        <v>1084</v>
      </c>
      <c r="F5649" s="68">
        <v>1356</v>
      </c>
      <c r="G5649" s="68">
        <v>2440</v>
      </c>
    </row>
    <row r="5650" spans="1:7" x14ac:dyDescent="0.3">
      <c r="A5650" t="s">
        <v>1268</v>
      </c>
      <c r="B5650" t="s">
        <v>37</v>
      </c>
      <c r="C5650" t="s">
        <v>6</v>
      </c>
      <c r="D5650" t="s">
        <v>18</v>
      </c>
      <c r="E5650" s="68">
        <v>1067</v>
      </c>
      <c r="F5650" s="68">
        <v>1172</v>
      </c>
      <c r="G5650" s="68">
        <v>2239</v>
      </c>
    </row>
    <row r="5651" spans="1:7" x14ac:dyDescent="0.3">
      <c r="A5651" t="s">
        <v>1268</v>
      </c>
      <c r="B5651" t="s">
        <v>37</v>
      </c>
      <c r="C5651" t="s">
        <v>6</v>
      </c>
      <c r="D5651" t="s">
        <v>19</v>
      </c>
      <c r="E5651" s="68">
        <v>933</v>
      </c>
      <c r="F5651" s="68">
        <v>1036</v>
      </c>
      <c r="G5651" s="68">
        <v>1969</v>
      </c>
    </row>
    <row r="5652" spans="1:7" x14ac:dyDescent="0.3">
      <c r="A5652" t="s">
        <v>1268</v>
      </c>
      <c r="B5652" t="s">
        <v>37</v>
      </c>
      <c r="C5652" t="s">
        <v>6</v>
      </c>
      <c r="D5652" t="s">
        <v>20</v>
      </c>
      <c r="E5652" s="68">
        <v>727</v>
      </c>
      <c r="F5652" s="68">
        <v>768</v>
      </c>
      <c r="G5652" s="68">
        <v>1495</v>
      </c>
    </row>
    <row r="5653" spans="1:7" x14ac:dyDescent="0.3">
      <c r="A5653" t="s">
        <v>1268</v>
      </c>
      <c r="B5653" t="s">
        <v>37</v>
      </c>
      <c r="C5653" t="s">
        <v>6</v>
      </c>
      <c r="D5653" t="s">
        <v>21</v>
      </c>
      <c r="E5653" s="68">
        <v>505</v>
      </c>
      <c r="F5653" s="68">
        <v>502</v>
      </c>
      <c r="G5653" s="68">
        <v>1007</v>
      </c>
    </row>
    <row r="5654" spans="1:7" x14ac:dyDescent="0.3">
      <c r="A5654" t="s">
        <v>1268</v>
      </c>
      <c r="B5654" t="s">
        <v>37</v>
      </c>
      <c r="C5654" t="s">
        <v>6</v>
      </c>
      <c r="D5654" t="s">
        <v>22</v>
      </c>
      <c r="E5654" s="68">
        <v>306</v>
      </c>
      <c r="F5654" s="68">
        <v>374</v>
      </c>
      <c r="G5654" s="68">
        <v>680</v>
      </c>
    </row>
    <row r="5655" spans="1:7" x14ac:dyDescent="0.3">
      <c r="A5655" t="s">
        <v>1268</v>
      </c>
      <c r="B5655" t="s">
        <v>37</v>
      </c>
      <c r="C5655" t="s">
        <v>6</v>
      </c>
      <c r="D5655" t="s">
        <v>23</v>
      </c>
      <c r="E5655" s="68">
        <v>308</v>
      </c>
      <c r="F5655" s="68">
        <v>276</v>
      </c>
      <c r="G5655" s="68">
        <v>584</v>
      </c>
    </row>
    <row r="5656" spans="1:7" x14ac:dyDescent="0.3">
      <c r="A5656" t="s">
        <v>1268</v>
      </c>
      <c r="B5656" t="s">
        <v>37</v>
      </c>
      <c r="C5656" t="s">
        <v>24</v>
      </c>
      <c r="D5656" t="s">
        <v>7</v>
      </c>
      <c r="E5656" s="68">
        <v>712</v>
      </c>
      <c r="F5656" s="68">
        <v>800</v>
      </c>
      <c r="G5656" s="68">
        <v>1512</v>
      </c>
    </row>
    <row r="5657" spans="1:7" x14ac:dyDescent="0.3">
      <c r="A5657" t="s">
        <v>1268</v>
      </c>
      <c r="B5657" t="s">
        <v>37</v>
      </c>
      <c r="C5657" t="s">
        <v>24</v>
      </c>
      <c r="D5657" t="s">
        <v>8</v>
      </c>
      <c r="E5657" s="68">
        <v>1000</v>
      </c>
      <c r="F5657" s="68">
        <v>1020</v>
      </c>
      <c r="G5657" s="68">
        <v>2020</v>
      </c>
    </row>
    <row r="5658" spans="1:7" x14ac:dyDescent="0.3">
      <c r="A5658" t="s">
        <v>1268</v>
      </c>
      <c r="B5658" t="s">
        <v>37</v>
      </c>
      <c r="C5658" t="s">
        <v>24</v>
      </c>
      <c r="D5658" t="s">
        <v>9</v>
      </c>
      <c r="E5658" s="68">
        <v>1031</v>
      </c>
      <c r="F5658" s="68">
        <v>1074</v>
      </c>
      <c r="G5658" s="68">
        <v>2105</v>
      </c>
    </row>
    <row r="5659" spans="1:7" x14ac:dyDescent="0.3">
      <c r="A5659" t="s">
        <v>1268</v>
      </c>
      <c r="B5659" t="s">
        <v>37</v>
      </c>
      <c r="C5659" t="s">
        <v>24</v>
      </c>
      <c r="D5659" t="s">
        <v>10</v>
      </c>
      <c r="E5659" s="68">
        <v>1099</v>
      </c>
      <c r="F5659" s="68">
        <v>1042</v>
      </c>
      <c r="G5659" s="68">
        <v>2141</v>
      </c>
    </row>
    <row r="5660" spans="1:7" x14ac:dyDescent="0.3">
      <c r="A5660" t="s">
        <v>1268</v>
      </c>
      <c r="B5660" t="s">
        <v>37</v>
      </c>
      <c r="C5660" t="s">
        <v>24</v>
      </c>
      <c r="D5660" t="s">
        <v>11</v>
      </c>
      <c r="E5660" s="68">
        <v>1041</v>
      </c>
      <c r="F5660" s="68">
        <v>1011</v>
      </c>
      <c r="G5660" s="68">
        <v>2052</v>
      </c>
    </row>
    <row r="5661" spans="1:7" x14ac:dyDescent="0.3">
      <c r="A5661" t="s">
        <v>1268</v>
      </c>
      <c r="B5661" t="s">
        <v>37</v>
      </c>
      <c r="C5661" t="s">
        <v>24</v>
      </c>
      <c r="D5661" t="s">
        <v>12</v>
      </c>
      <c r="E5661" s="68">
        <v>1333</v>
      </c>
      <c r="F5661" s="68">
        <v>1290</v>
      </c>
      <c r="G5661" s="68">
        <v>2623</v>
      </c>
    </row>
    <row r="5662" spans="1:7" x14ac:dyDescent="0.3">
      <c r="A5662" t="s">
        <v>1268</v>
      </c>
      <c r="B5662" t="s">
        <v>37</v>
      </c>
      <c r="C5662" t="s">
        <v>24</v>
      </c>
      <c r="D5662" t="s">
        <v>13</v>
      </c>
      <c r="E5662" s="68">
        <v>1328</v>
      </c>
      <c r="F5662" s="68">
        <v>1243</v>
      </c>
      <c r="G5662" s="68">
        <v>2571</v>
      </c>
    </row>
    <row r="5663" spans="1:7" x14ac:dyDescent="0.3">
      <c r="A5663" t="s">
        <v>1268</v>
      </c>
      <c r="B5663" t="s">
        <v>37</v>
      </c>
      <c r="C5663" t="s">
        <v>24</v>
      </c>
      <c r="D5663" t="s">
        <v>14</v>
      </c>
      <c r="E5663" s="68">
        <v>1108</v>
      </c>
      <c r="F5663" s="68">
        <v>1137</v>
      </c>
      <c r="G5663" s="68">
        <v>2245</v>
      </c>
    </row>
    <row r="5664" spans="1:7" x14ac:dyDescent="0.3">
      <c r="A5664" t="s">
        <v>1268</v>
      </c>
      <c r="B5664" t="s">
        <v>37</v>
      </c>
      <c r="C5664" t="s">
        <v>24</v>
      </c>
      <c r="D5664" t="s">
        <v>15</v>
      </c>
      <c r="E5664" s="68">
        <v>1057</v>
      </c>
      <c r="F5664" s="68">
        <v>998</v>
      </c>
      <c r="G5664" s="68">
        <v>2055</v>
      </c>
    </row>
    <row r="5665" spans="1:7" x14ac:dyDescent="0.3">
      <c r="A5665" t="s">
        <v>1268</v>
      </c>
      <c r="B5665" t="s">
        <v>37</v>
      </c>
      <c r="C5665" t="s">
        <v>24</v>
      </c>
      <c r="D5665" t="s">
        <v>16</v>
      </c>
      <c r="E5665" s="68">
        <v>930</v>
      </c>
      <c r="F5665" s="68">
        <v>893</v>
      </c>
      <c r="G5665" s="68">
        <v>1823</v>
      </c>
    </row>
    <row r="5666" spans="1:7" x14ac:dyDescent="0.3">
      <c r="A5666" t="s">
        <v>1268</v>
      </c>
      <c r="B5666" t="s">
        <v>37</v>
      </c>
      <c r="C5666" t="s">
        <v>24</v>
      </c>
      <c r="D5666" t="s">
        <v>17</v>
      </c>
      <c r="E5666" s="68">
        <v>798</v>
      </c>
      <c r="F5666" s="68">
        <v>815</v>
      </c>
      <c r="G5666" s="68">
        <v>1613</v>
      </c>
    </row>
    <row r="5667" spans="1:7" x14ac:dyDescent="0.3">
      <c r="A5667" t="s">
        <v>1268</v>
      </c>
      <c r="B5667" t="s">
        <v>37</v>
      </c>
      <c r="C5667" t="s">
        <v>24</v>
      </c>
      <c r="D5667" t="s">
        <v>18</v>
      </c>
      <c r="E5667" s="68">
        <v>790</v>
      </c>
      <c r="F5667" s="68">
        <v>829</v>
      </c>
      <c r="G5667" s="68">
        <v>1619</v>
      </c>
    </row>
    <row r="5668" spans="1:7" x14ac:dyDescent="0.3">
      <c r="A5668" t="s">
        <v>1268</v>
      </c>
      <c r="B5668" t="s">
        <v>37</v>
      </c>
      <c r="C5668" t="s">
        <v>24</v>
      </c>
      <c r="D5668" t="s">
        <v>19</v>
      </c>
      <c r="E5668" s="68">
        <v>640</v>
      </c>
      <c r="F5668" s="68">
        <v>705</v>
      </c>
      <c r="G5668" s="68">
        <v>1345</v>
      </c>
    </row>
    <row r="5669" spans="1:7" x14ac:dyDescent="0.3">
      <c r="A5669" t="s">
        <v>1268</v>
      </c>
      <c r="B5669" t="s">
        <v>37</v>
      </c>
      <c r="C5669" t="s">
        <v>24</v>
      </c>
      <c r="D5669" t="s">
        <v>20</v>
      </c>
      <c r="E5669" s="68">
        <v>424</v>
      </c>
      <c r="F5669" s="68">
        <v>478</v>
      </c>
      <c r="G5669" s="68">
        <v>902</v>
      </c>
    </row>
    <row r="5670" spans="1:7" x14ac:dyDescent="0.3">
      <c r="A5670" t="s">
        <v>1268</v>
      </c>
      <c r="B5670" t="s">
        <v>37</v>
      </c>
      <c r="C5670" t="s">
        <v>24</v>
      </c>
      <c r="D5670" t="s">
        <v>21</v>
      </c>
      <c r="E5670" s="68">
        <v>279</v>
      </c>
      <c r="F5670" s="68">
        <v>329</v>
      </c>
      <c r="G5670" s="68">
        <v>608</v>
      </c>
    </row>
    <row r="5671" spans="1:7" x14ac:dyDescent="0.3">
      <c r="A5671" t="s">
        <v>1268</v>
      </c>
      <c r="B5671" t="s">
        <v>37</v>
      </c>
      <c r="C5671" t="s">
        <v>24</v>
      </c>
      <c r="D5671" t="s">
        <v>22</v>
      </c>
      <c r="E5671" s="68">
        <v>159</v>
      </c>
      <c r="F5671" s="68">
        <v>181</v>
      </c>
      <c r="G5671" s="68">
        <v>340</v>
      </c>
    </row>
    <row r="5672" spans="1:7" x14ac:dyDescent="0.3">
      <c r="A5672" t="s">
        <v>1268</v>
      </c>
      <c r="B5672" t="s">
        <v>37</v>
      </c>
      <c r="C5672" t="s">
        <v>24</v>
      </c>
      <c r="D5672" t="s">
        <v>23</v>
      </c>
      <c r="E5672" s="68">
        <v>179</v>
      </c>
      <c r="F5672" s="68">
        <v>169</v>
      </c>
      <c r="G5672" s="68">
        <v>348</v>
      </c>
    </row>
    <row r="5673" spans="1:7" x14ac:dyDescent="0.3">
      <c r="A5673" t="s">
        <v>1268</v>
      </c>
      <c r="B5673" t="s">
        <v>35</v>
      </c>
      <c r="C5673" t="s">
        <v>6</v>
      </c>
      <c r="D5673" t="s">
        <v>9</v>
      </c>
      <c r="E5673" s="68">
        <v>1</v>
      </c>
      <c r="F5673" s="68"/>
      <c r="G5673" s="68">
        <v>1</v>
      </c>
    </row>
    <row r="5674" spans="1:7" x14ac:dyDescent="0.3">
      <c r="A5674" t="s">
        <v>1268</v>
      </c>
      <c r="B5674" t="s">
        <v>35</v>
      </c>
      <c r="C5674" t="s">
        <v>6</v>
      </c>
      <c r="D5674" t="s">
        <v>10</v>
      </c>
      <c r="E5674" s="68">
        <v>3</v>
      </c>
      <c r="F5674" s="68">
        <v>1</v>
      </c>
      <c r="G5674" s="68">
        <v>4</v>
      </c>
    </row>
    <row r="5675" spans="1:7" x14ac:dyDescent="0.3">
      <c r="A5675" t="s">
        <v>1268</v>
      </c>
      <c r="B5675" t="s">
        <v>35</v>
      </c>
      <c r="C5675" t="s">
        <v>6</v>
      </c>
      <c r="D5675" t="s">
        <v>11</v>
      </c>
      <c r="E5675" s="68"/>
      <c r="F5675" s="68">
        <v>1</v>
      </c>
      <c r="G5675" s="68">
        <v>1</v>
      </c>
    </row>
    <row r="5676" spans="1:7" x14ac:dyDescent="0.3">
      <c r="A5676" t="s">
        <v>1268</v>
      </c>
      <c r="B5676" t="s">
        <v>35</v>
      </c>
      <c r="C5676" t="s">
        <v>6</v>
      </c>
      <c r="D5676" t="s">
        <v>12</v>
      </c>
      <c r="E5676" s="68"/>
      <c r="F5676" s="68">
        <v>1</v>
      </c>
      <c r="G5676" s="68">
        <v>1</v>
      </c>
    </row>
    <row r="5677" spans="1:7" x14ac:dyDescent="0.3">
      <c r="A5677" t="s">
        <v>1268</v>
      </c>
      <c r="B5677" t="s">
        <v>35</v>
      </c>
      <c r="C5677" t="s">
        <v>6</v>
      </c>
      <c r="D5677" t="s">
        <v>13</v>
      </c>
      <c r="E5677" s="68">
        <v>1</v>
      </c>
      <c r="F5677" s="68"/>
      <c r="G5677" s="68">
        <v>1</v>
      </c>
    </row>
    <row r="5678" spans="1:7" x14ac:dyDescent="0.3">
      <c r="A5678" t="s">
        <v>1268</v>
      </c>
      <c r="B5678" t="s">
        <v>35</v>
      </c>
      <c r="C5678" t="s">
        <v>6</v>
      </c>
      <c r="D5678" t="s">
        <v>15</v>
      </c>
      <c r="E5678" s="68"/>
      <c r="F5678" s="68">
        <v>1</v>
      </c>
      <c r="G5678" s="68">
        <v>1</v>
      </c>
    </row>
    <row r="5679" spans="1:7" x14ac:dyDescent="0.3">
      <c r="A5679" t="s">
        <v>1268</v>
      </c>
      <c r="B5679" t="s">
        <v>35</v>
      </c>
      <c r="C5679" t="s">
        <v>6</v>
      </c>
      <c r="D5679" t="s">
        <v>16</v>
      </c>
      <c r="E5679" s="68">
        <v>1</v>
      </c>
      <c r="F5679" s="68"/>
      <c r="G5679" s="68">
        <v>1</v>
      </c>
    </row>
    <row r="5680" spans="1:7" x14ac:dyDescent="0.3">
      <c r="A5680" t="s">
        <v>1268</v>
      </c>
      <c r="B5680" t="s">
        <v>35</v>
      </c>
      <c r="C5680" t="s">
        <v>6</v>
      </c>
      <c r="D5680" t="s">
        <v>17</v>
      </c>
      <c r="E5680" s="68">
        <v>2</v>
      </c>
      <c r="F5680" s="68"/>
      <c r="G5680" s="68">
        <v>2</v>
      </c>
    </row>
    <row r="5681" spans="1:7" x14ac:dyDescent="0.3">
      <c r="A5681" t="s">
        <v>1268</v>
      </c>
      <c r="B5681" t="s">
        <v>35</v>
      </c>
      <c r="C5681" t="s">
        <v>6</v>
      </c>
      <c r="D5681" t="s">
        <v>18</v>
      </c>
      <c r="E5681" s="68">
        <v>4</v>
      </c>
      <c r="F5681" s="68"/>
      <c r="G5681" s="68">
        <v>4</v>
      </c>
    </row>
    <row r="5682" spans="1:7" x14ac:dyDescent="0.3">
      <c r="A5682" t="s">
        <v>1268</v>
      </c>
      <c r="B5682" t="s">
        <v>35</v>
      </c>
      <c r="C5682" t="s">
        <v>6</v>
      </c>
      <c r="D5682" t="s">
        <v>19</v>
      </c>
      <c r="E5682" s="68">
        <v>1</v>
      </c>
      <c r="F5682" s="68"/>
      <c r="G5682" s="68">
        <v>1</v>
      </c>
    </row>
    <row r="5683" spans="1:7" x14ac:dyDescent="0.3">
      <c r="A5683" t="s">
        <v>1268</v>
      </c>
      <c r="B5683" t="s">
        <v>35</v>
      </c>
      <c r="C5683" t="s">
        <v>6</v>
      </c>
      <c r="D5683" t="s">
        <v>20</v>
      </c>
      <c r="E5683" s="68">
        <v>3</v>
      </c>
      <c r="F5683" s="68">
        <v>1</v>
      </c>
      <c r="G5683" s="68">
        <v>4</v>
      </c>
    </row>
    <row r="5684" spans="1:7" x14ac:dyDescent="0.3">
      <c r="A5684" t="s">
        <v>1268</v>
      </c>
      <c r="B5684" t="s">
        <v>35</v>
      </c>
      <c r="C5684" t="s">
        <v>6</v>
      </c>
      <c r="D5684" t="s">
        <v>21</v>
      </c>
      <c r="E5684" s="68">
        <v>10</v>
      </c>
      <c r="F5684" s="68">
        <v>3</v>
      </c>
      <c r="G5684" s="68">
        <v>13</v>
      </c>
    </row>
    <row r="5685" spans="1:7" x14ac:dyDescent="0.3">
      <c r="A5685" t="s">
        <v>1268</v>
      </c>
      <c r="B5685" t="s">
        <v>35</v>
      </c>
      <c r="C5685" t="s">
        <v>6</v>
      </c>
      <c r="D5685" t="s">
        <v>22</v>
      </c>
      <c r="E5685" s="68">
        <v>4</v>
      </c>
      <c r="F5685" s="68">
        <v>9</v>
      </c>
      <c r="G5685" s="68">
        <v>13</v>
      </c>
    </row>
    <row r="5686" spans="1:7" x14ac:dyDescent="0.3">
      <c r="A5686" t="s">
        <v>1268</v>
      </c>
      <c r="B5686" t="s">
        <v>35</v>
      </c>
      <c r="C5686" t="s">
        <v>6</v>
      </c>
      <c r="D5686" t="s">
        <v>23</v>
      </c>
      <c r="E5686" s="68">
        <v>6</v>
      </c>
      <c r="F5686" s="68">
        <v>8</v>
      </c>
      <c r="G5686" s="68">
        <v>14</v>
      </c>
    </row>
    <row r="5687" spans="1:7" x14ac:dyDescent="0.3">
      <c r="A5687" t="s">
        <v>1268</v>
      </c>
      <c r="B5687" t="s">
        <v>25</v>
      </c>
      <c r="C5687" t="s">
        <v>6</v>
      </c>
      <c r="D5687" t="s">
        <v>7</v>
      </c>
      <c r="E5687" s="68">
        <v>4</v>
      </c>
      <c r="F5687" s="68">
        <v>11</v>
      </c>
      <c r="G5687" s="68">
        <v>15</v>
      </c>
    </row>
    <row r="5688" spans="1:7" x14ac:dyDescent="0.3">
      <c r="A5688" t="s">
        <v>1268</v>
      </c>
      <c r="B5688" t="s">
        <v>25</v>
      </c>
      <c r="C5688" t="s">
        <v>6</v>
      </c>
      <c r="D5688" t="s">
        <v>8</v>
      </c>
      <c r="E5688" s="68">
        <v>11</v>
      </c>
      <c r="F5688" s="68">
        <v>7</v>
      </c>
      <c r="G5688" s="68">
        <v>18</v>
      </c>
    </row>
    <row r="5689" spans="1:7" x14ac:dyDescent="0.3">
      <c r="A5689" t="s">
        <v>1268</v>
      </c>
      <c r="B5689" t="s">
        <v>25</v>
      </c>
      <c r="C5689" t="s">
        <v>6</v>
      </c>
      <c r="D5689" t="s">
        <v>9</v>
      </c>
      <c r="E5689" s="68">
        <v>10</v>
      </c>
      <c r="F5689" s="68">
        <v>12</v>
      </c>
      <c r="G5689" s="68">
        <v>22</v>
      </c>
    </row>
    <row r="5690" spans="1:7" x14ac:dyDescent="0.3">
      <c r="A5690" t="s">
        <v>1268</v>
      </c>
      <c r="B5690" t="s">
        <v>25</v>
      </c>
      <c r="C5690" t="s">
        <v>6</v>
      </c>
      <c r="D5690" t="s">
        <v>10</v>
      </c>
      <c r="E5690" s="68">
        <v>7</v>
      </c>
      <c r="F5690" s="68">
        <v>13</v>
      </c>
      <c r="G5690" s="68">
        <v>20</v>
      </c>
    </row>
    <row r="5691" spans="1:7" x14ac:dyDescent="0.3">
      <c r="A5691" t="s">
        <v>1268</v>
      </c>
      <c r="B5691" t="s">
        <v>25</v>
      </c>
      <c r="C5691" t="s">
        <v>6</v>
      </c>
      <c r="D5691" t="s">
        <v>11</v>
      </c>
      <c r="E5691" s="68">
        <v>12</v>
      </c>
      <c r="F5691" s="68">
        <v>23</v>
      </c>
      <c r="G5691" s="68">
        <v>35</v>
      </c>
    </row>
    <row r="5692" spans="1:7" x14ac:dyDescent="0.3">
      <c r="A5692" t="s">
        <v>1268</v>
      </c>
      <c r="B5692" t="s">
        <v>25</v>
      </c>
      <c r="C5692" t="s">
        <v>6</v>
      </c>
      <c r="D5692" t="s">
        <v>12</v>
      </c>
      <c r="E5692" s="68">
        <v>10</v>
      </c>
      <c r="F5692" s="68">
        <v>49</v>
      </c>
      <c r="G5692" s="68">
        <v>59</v>
      </c>
    </row>
    <row r="5693" spans="1:7" x14ac:dyDescent="0.3">
      <c r="A5693" t="s">
        <v>1268</v>
      </c>
      <c r="B5693" t="s">
        <v>25</v>
      </c>
      <c r="C5693" t="s">
        <v>6</v>
      </c>
      <c r="D5693" t="s">
        <v>13</v>
      </c>
      <c r="E5693" s="68">
        <v>16</v>
      </c>
      <c r="F5693" s="68">
        <v>26</v>
      </c>
      <c r="G5693" s="68">
        <v>42</v>
      </c>
    </row>
    <row r="5694" spans="1:7" x14ac:dyDescent="0.3">
      <c r="A5694" t="s">
        <v>1268</v>
      </c>
      <c r="B5694" t="s">
        <v>25</v>
      </c>
      <c r="C5694" t="s">
        <v>6</v>
      </c>
      <c r="D5694" t="s">
        <v>14</v>
      </c>
      <c r="E5694" s="68">
        <v>9</v>
      </c>
      <c r="F5694" s="68">
        <v>23</v>
      </c>
      <c r="G5694" s="68">
        <v>32</v>
      </c>
    </row>
    <row r="5695" spans="1:7" x14ac:dyDescent="0.3">
      <c r="A5695" t="s">
        <v>1268</v>
      </c>
      <c r="B5695" t="s">
        <v>25</v>
      </c>
      <c r="C5695" t="s">
        <v>6</v>
      </c>
      <c r="D5695" t="s">
        <v>15</v>
      </c>
      <c r="E5695" s="68">
        <v>11</v>
      </c>
      <c r="F5695" s="68">
        <v>11</v>
      </c>
      <c r="G5695" s="68">
        <v>22</v>
      </c>
    </row>
    <row r="5696" spans="1:7" x14ac:dyDescent="0.3">
      <c r="A5696" t="s">
        <v>1268</v>
      </c>
      <c r="B5696" t="s">
        <v>25</v>
      </c>
      <c r="C5696" t="s">
        <v>6</v>
      </c>
      <c r="D5696" t="s">
        <v>16</v>
      </c>
      <c r="E5696" s="68">
        <v>4</v>
      </c>
      <c r="F5696" s="68">
        <v>6</v>
      </c>
      <c r="G5696" s="68">
        <v>10</v>
      </c>
    </row>
    <row r="5697" spans="1:7" x14ac:dyDescent="0.3">
      <c r="A5697" t="s">
        <v>1268</v>
      </c>
      <c r="B5697" t="s">
        <v>25</v>
      </c>
      <c r="C5697" t="s">
        <v>6</v>
      </c>
      <c r="D5697" t="s">
        <v>17</v>
      </c>
      <c r="E5697" s="68">
        <v>2</v>
      </c>
      <c r="F5697" s="68">
        <v>5</v>
      </c>
      <c r="G5697" s="68">
        <v>7</v>
      </c>
    </row>
    <row r="5698" spans="1:7" x14ac:dyDescent="0.3">
      <c r="A5698" t="s">
        <v>1268</v>
      </c>
      <c r="B5698" t="s">
        <v>25</v>
      </c>
      <c r="C5698" t="s">
        <v>6</v>
      </c>
      <c r="D5698" t="s">
        <v>18</v>
      </c>
      <c r="E5698" s="68"/>
      <c r="F5698" s="68">
        <v>2</v>
      </c>
      <c r="G5698" s="68">
        <v>2</v>
      </c>
    </row>
    <row r="5699" spans="1:7" x14ac:dyDescent="0.3">
      <c r="A5699" t="s">
        <v>1268</v>
      </c>
      <c r="B5699" t="s">
        <v>25</v>
      </c>
      <c r="C5699" t="s">
        <v>6</v>
      </c>
      <c r="D5699" t="s">
        <v>19</v>
      </c>
      <c r="E5699" s="68"/>
      <c r="F5699" s="68">
        <v>1</v>
      </c>
      <c r="G5699" s="68">
        <v>1</v>
      </c>
    </row>
    <row r="5700" spans="1:7" x14ac:dyDescent="0.3">
      <c r="A5700" t="s">
        <v>1268</v>
      </c>
      <c r="B5700" t="s">
        <v>25</v>
      </c>
      <c r="C5700" t="s">
        <v>6</v>
      </c>
      <c r="D5700" t="s">
        <v>20</v>
      </c>
      <c r="E5700" s="68">
        <v>1</v>
      </c>
      <c r="F5700" s="68"/>
      <c r="G5700" s="68">
        <v>1</v>
      </c>
    </row>
    <row r="5701" spans="1:7" x14ac:dyDescent="0.3">
      <c r="A5701" t="s">
        <v>1268</v>
      </c>
      <c r="B5701" t="s">
        <v>25</v>
      </c>
      <c r="C5701" t="s">
        <v>6</v>
      </c>
      <c r="D5701" t="s">
        <v>21</v>
      </c>
      <c r="E5701" s="68"/>
      <c r="F5701" s="68">
        <v>1</v>
      </c>
      <c r="G5701" s="68">
        <v>1</v>
      </c>
    </row>
    <row r="5702" spans="1:7" x14ac:dyDescent="0.3">
      <c r="A5702" t="s">
        <v>1268</v>
      </c>
      <c r="B5702" t="s">
        <v>25</v>
      </c>
      <c r="C5702" t="s">
        <v>24</v>
      </c>
      <c r="D5702" t="s">
        <v>7</v>
      </c>
      <c r="E5702" s="68">
        <v>104</v>
      </c>
      <c r="F5702" s="68">
        <v>88</v>
      </c>
      <c r="G5702" s="68">
        <v>192</v>
      </c>
    </row>
    <row r="5703" spans="1:7" x14ac:dyDescent="0.3">
      <c r="A5703" t="s">
        <v>1268</v>
      </c>
      <c r="B5703" t="s">
        <v>25</v>
      </c>
      <c r="C5703" t="s">
        <v>24</v>
      </c>
      <c r="D5703" t="s">
        <v>8</v>
      </c>
      <c r="E5703" s="68">
        <v>90</v>
      </c>
      <c r="F5703" s="68">
        <v>107</v>
      </c>
      <c r="G5703" s="68">
        <v>197</v>
      </c>
    </row>
    <row r="5704" spans="1:7" x14ac:dyDescent="0.3">
      <c r="A5704" t="s">
        <v>1268</v>
      </c>
      <c r="B5704" t="s">
        <v>25</v>
      </c>
      <c r="C5704" t="s">
        <v>24</v>
      </c>
      <c r="D5704" t="s">
        <v>9</v>
      </c>
      <c r="E5704" s="68">
        <v>111</v>
      </c>
      <c r="F5704" s="68">
        <v>135</v>
      </c>
      <c r="G5704" s="68">
        <v>246</v>
      </c>
    </row>
    <row r="5705" spans="1:7" x14ac:dyDescent="0.3">
      <c r="A5705" t="s">
        <v>1268</v>
      </c>
      <c r="B5705" t="s">
        <v>25</v>
      </c>
      <c r="C5705" t="s">
        <v>24</v>
      </c>
      <c r="D5705" t="s">
        <v>10</v>
      </c>
      <c r="E5705" s="68">
        <v>122</v>
      </c>
      <c r="F5705" s="68">
        <v>120</v>
      </c>
      <c r="G5705" s="68">
        <v>242</v>
      </c>
    </row>
    <row r="5706" spans="1:7" x14ac:dyDescent="0.3">
      <c r="A5706" t="s">
        <v>1268</v>
      </c>
      <c r="B5706" t="s">
        <v>25</v>
      </c>
      <c r="C5706" t="s">
        <v>24</v>
      </c>
      <c r="D5706" t="s">
        <v>11</v>
      </c>
      <c r="E5706" s="68">
        <v>91</v>
      </c>
      <c r="F5706" s="68">
        <v>50</v>
      </c>
      <c r="G5706" s="68">
        <v>141</v>
      </c>
    </row>
    <row r="5707" spans="1:7" x14ac:dyDescent="0.3">
      <c r="A5707" t="s">
        <v>1268</v>
      </c>
      <c r="B5707" t="s">
        <v>25</v>
      </c>
      <c r="C5707" t="s">
        <v>24</v>
      </c>
      <c r="D5707" t="s">
        <v>12</v>
      </c>
      <c r="E5707" s="68">
        <v>79</v>
      </c>
      <c r="F5707" s="68">
        <v>45</v>
      </c>
      <c r="G5707" s="68">
        <v>124</v>
      </c>
    </row>
    <row r="5708" spans="1:7" x14ac:dyDescent="0.3">
      <c r="A5708" t="s">
        <v>1268</v>
      </c>
      <c r="B5708" t="s">
        <v>25</v>
      </c>
      <c r="C5708" t="s">
        <v>24</v>
      </c>
      <c r="D5708" t="s">
        <v>13</v>
      </c>
      <c r="E5708" s="68">
        <v>44</v>
      </c>
      <c r="F5708" s="68">
        <v>45</v>
      </c>
      <c r="G5708" s="68">
        <v>89</v>
      </c>
    </row>
    <row r="5709" spans="1:7" x14ac:dyDescent="0.3">
      <c r="A5709" t="s">
        <v>1268</v>
      </c>
      <c r="B5709" t="s">
        <v>25</v>
      </c>
      <c r="C5709" t="s">
        <v>24</v>
      </c>
      <c r="D5709" t="s">
        <v>14</v>
      </c>
      <c r="E5709" s="68">
        <v>45</v>
      </c>
      <c r="F5709" s="68">
        <v>29</v>
      </c>
      <c r="G5709" s="68">
        <v>74</v>
      </c>
    </row>
    <row r="5710" spans="1:7" x14ac:dyDescent="0.3">
      <c r="A5710" t="s">
        <v>1268</v>
      </c>
      <c r="B5710" t="s">
        <v>25</v>
      </c>
      <c r="C5710" t="s">
        <v>24</v>
      </c>
      <c r="D5710" t="s">
        <v>15</v>
      </c>
      <c r="E5710" s="68">
        <v>40</v>
      </c>
      <c r="F5710" s="68">
        <v>24</v>
      </c>
      <c r="G5710" s="68">
        <v>64</v>
      </c>
    </row>
    <row r="5711" spans="1:7" x14ac:dyDescent="0.3">
      <c r="A5711" t="s">
        <v>1268</v>
      </c>
      <c r="B5711" t="s">
        <v>25</v>
      </c>
      <c r="C5711" t="s">
        <v>24</v>
      </c>
      <c r="D5711" t="s">
        <v>16</v>
      </c>
      <c r="E5711" s="68">
        <v>25</v>
      </c>
      <c r="F5711" s="68">
        <v>24</v>
      </c>
      <c r="G5711" s="68">
        <v>49</v>
      </c>
    </row>
    <row r="5712" spans="1:7" x14ac:dyDescent="0.3">
      <c r="A5712" t="s">
        <v>1268</v>
      </c>
      <c r="B5712" t="s">
        <v>25</v>
      </c>
      <c r="C5712" t="s">
        <v>24</v>
      </c>
      <c r="D5712" t="s">
        <v>17</v>
      </c>
      <c r="E5712" s="68">
        <v>26</v>
      </c>
      <c r="F5712" s="68">
        <v>24</v>
      </c>
      <c r="G5712" s="68">
        <v>50</v>
      </c>
    </row>
    <row r="5713" spans="1:7" x14ac:dyDescent="0.3">
      <c r="A5713" t="s">
        <v>1268</v>
      </c>
      <c r="B5713" t="s">
        <v>25</v>
      </c>
      <c r="C5713" t="s">
        <v>24</v>
      </c>
      <c r="D5713" t="s">
        <v>18</v>
      </c>
      <c r="E5713" s="68">
        <v>24</v>
      </c>
      <c r="F5713" s="68">
        <v>30</v>
      </c>
      <c r="G5713" s="68">
        <v>54</v>
      </c>
    </row>
    <row r="5714" spans="1:7" x14ac:dyDescent="0.3">
      <c r="A5714" t="s">
        <v>1268</v>
      </c>
      <c r="B5714" t="s">
        <v>25</v>
      </c>
      <c r="C5714" t="s">
        <v>24</v>
      </c>
      <c r="D5714" t="s">
        <v>19</v>
      </c>
      <c r="E5714" s="68">
        <v>23</v>
      </c>
      <c r="F5714" s="68">
        <v>16</v>
      </c>
      <c r="G5714" s="68">
        <v>39</v>
      </c>
    </row>
    <row r="5715" spans="1:7" x14ac:dyDescent="0.3">
      <c r="A5715" t="s">
        <v>1268</v>
      </c>
      <c r="B5715" t="s">
        <v>25</v>
      </c>
      <c r="C5715" t="s">
        <v>24</v>
      </c>
      <c r="D5715" t="s">
        <v>20</v>
      </c>
      <c r="E5715" s="68">
        <v>21</v>
      </c>
      <c r="F5715" s="68">
        <v>14</v>
      </c>
      <c r="G5715" s="68">
        <v>35</v>
      </c>
    </row>
    <row r="5716" spans="1:7" x14ac:dyDescent="0.3">
      <c r="A5716" t="s">
        <v>1268</v>
      </c>
      <c r="B5716" t="s">
        <v>25</v>
      </c>
      <c r="C5716" t="s">
        <v>24</v>
      </c>
      <c r="D5716" t="s">
        <v>21</v>
      </c>
      <c r="E5716" s="68">
        <v>8</v>
      </c>
      <c r="F5716" s="68">
        <v>16</v>
      </c>
      <c r="G5716" s="68">
        <v>24</v>
      </c>
    </row>
    <row r="5717" spans="1:7" x14ac:dyDescent="0.3">
      <c r="A5717" t="s">
        <v>1268</v>
      </c>
      <c r="B5717" t="s">
        <v>25</v>
      </c>
      <c r="C5717" t="s">
        <v>24</v>
      </c>
      <c r="D5717" t="s">
        <v>22</v>
      </c>
      <c r="E5717" s="68">
        <v>7</v>
      </c>
      <c r="F5717" s="68">
        <v>7</v>
      </c>
      <c r="G5717" s="68">
        <v>14</v>
      </c>
    </row>
    <row r="5718" spans="1:7" x14ac:dyDescent="0.3">
      <c r="A5718" t="s">
        <v>1268</v>
      </c>
      <c r="B5718" t="s">
        <v>25</v>
      </c>
      <c r="C5718" t="s">
        <v>24</v>
      </c>
      <c r="D5718" t="s">
        <v>23</v>
      </c>
      <c r="E5718" s="68">
        <v>15</v>
      </c>
      <c r="F5718" s="68">
        <v>18</v>
      </c>
      <c r="G5718" s="68">
        <v>33</v>
      </c>
    </row>
    <row r="5719" spans="1:7" x14ac:dyDescent="0.3">
      <c r="A5719" t="s">
        <v>1268</v>
      </c>
      <c r="B5719" t="s">
        <v>26</v>
      </c>
      <c r="C5719" t="s">
        <v>6</v>
      </c>
      <c r="D5719" t="s">
        <v>7</v>
      </c>
      <c r="E5719" s="68">
        <v>1788</v>
      </c>
      <c r="F5719" s="68">
        <v>1875</v>
      </c>
      <c r="G5719" s="68">
        <v>3663</v>
      </c>
    </row>
    <row r="5720" spans="1:7" x14ac:dyDescent="0.3">
      <c r="A5720" t="s">
        <v>1268</v>
      </c>
      <c r="B5720" t="s">
        <v>26</v>
      </c>
      <c r="C5720" t="s">
        <v>6</v>
      </c>
      <c r="D5720" t="s">
        <v>8</v>
      </c>
      <c r="E5720" s="68">
        <v>2371</v>
      </c>
      <c r="F5720" s="68">
        <v>2465</v>
      </c>
      <c r="G5720" s="68">
        <v>4836</v>
      </c>
    </row>
    <row r="5721" spans="1:7" x14ac:dyDescent="0.3">
      <c r="A5721" t="s">
        <v>1268</v>
      </c>
      <c r="B5721" t="s">
        <v>26</v>
      </c>
      <c r="C5721" t="s">
        <v>6</v>
      </c>
      <c r="D5721" t="s">
        <v>9</v>
      </c>
      <c r="E5721" s="68">
        <v>2379</v>
      </c>
      <c r="F5721" s="68">
        <v>2461</v>
      </c>
      <c r="G5721" s="68">
        <v>4840</v>
      </c>
    </row>
    <row r="5722" spans="1:7" x14ac:dyDescent="0.3">
      <c r="A5722" t="s">
        <v>1268</v>
      </c>
      <c r="B5722" t="s">
        <v>26</v>
      </c>
      <c r="C5722" t="s">
        <v>6</v>
      </c>
      <c r="D5722" t="s">
        <v>10</v>
      </c>
      <c r="E5722" s="68">
        <v>2525</v>
      </c>
      <c r="F5722" s="68">
        <v>2839</v>
      </c>
      <c r="G5722" s="68">
        <v>5364</v>
      </c>
    </row>
    <row r="5723" spans="1:7" x14ac:dyDescent="0.3">
      <c r="A5723" t="s">
        <v>1268</v>
      </c>
      <c r="B5723" t="s">
        <v>26</v>
      </c>
      <c r="C5723" t="s">
        <v>6</v>
      </c>
      <c r="D5723" t="s">
        <v>11</v>
      </c>
      <c r="E5723" s="68">
        <v>3250</v>
      </c>
      <c r="F5723" s="68">
        <v>4976</v>
      </c>
      <c r="G5723" s="68">
        <v>8226</v>
      </c>
    </row>
    <row r="5724" spans="1:7" x14ac:dyDescent="0.3">
      <c r="A5724" t="s">
        <v>1268</v>
      </c>
      <c r="B5724" t="s">
        <v>26</v>
      </c>
      <c r="C5724" t="s">
        <v>6</v>
      </c>
      <c r="D5724" t="s">
        <v>12</v>
      </c>
      <c r="E5724" s="68">
        <v>3470</v>
      </c>
      <c r="F5724" s="68">
        <v>5716</v>
      </c>
      <c r="G5724" s="68">
        <v>9186</v>
      </c>
    </row>
    <row r="5725" spans="1:7" x14ac:dyDescent="0.3">
      <c r="A5725" t="s">
        <v>1268</v>
      </c>
      <c r="B5725" t="s">
        <v>26</v>
      </c>
      <c r="C5725" t="s">
        <v>6</v>
      </c>
      <c r="D5725" t="s">
        <v>13</v>
      </c>
      <c r="E5725" s="68">
        <v>3551</v>
      </c>
      <c r="F5725" s="68">
        <v>5599</v>
      </c>
      <c r="G5725" s="68">
        <v>9150</v>
      </c>
    </row>
    <row r="5726" spans="1:7" x14ac:dyDescent="0.3">
      <c r="A5726" t="s">
        <v>1268</v>
      </c>
      <c r="B5726" t="s">
        <v>26</v>
      </c>
      <c r="C5726" t="s">
        <v>6</v>
      </c>
      <c r="D5726" t="s">
        <v>14</v>
      </c>
      <c r="E5726" s="68">
        <v>2892</v>
      </c>
      <c r="F5726" s="68">
        <v>4808</v>
      </c>
      <c r="G5726" s="68">
        <v>7700</v>
      </c>
    </row>
    <row r="5727" spans="1:7" x14ac:dyDescent="0.3">
      <c r="A5727" t="s">
        <v>1268</v>
      </c>
      <c r="B5727" t="s">
        <v>26</v>
      </c>
      <c r="C5727" t="s">
        <v>6</v>
      </c>
      <c r="D5727" t="s">
        <v>15</v>
      </c>
      <c r="E5727" s="68">
        <v>2528</v>
      </c>
      <c r="F5727" s="68">
        <v>3943</v>
      </c>
      <c r="G5727" s="68">
        <v>6471</v>
      </c>
    </row>
    <row r="5728" spans="1:7" x14ac:dyDescent="0.3">
      <c r="A5728" t="s">
        <v>1268</v>
      </c>
      <c r="B5728" t="s">
        <v>26</v>
      </c>
      <c r="C5728" t="s">
        <v>6</v>
      </c>
      <c r="D5728" t="s">
        <v>16</v>
      </c>
      <c r="E5728" s="68">
        <v>2161</v>
      </c>
      <c r="F5728" s="68">
        <v>3306</v>
      </c>
      <c r="G5728" s="68">
        <v>5467</v>
      </c>
    </row>
    <row r="5729" spans="1:7" x14ac:dyDescent="0.3">
      <c r="A5729" t="s">
        <v>1268</v>
      </c>
      <c r="B5729" t="s">
        <v>26</v>
      </c>
      <c r="C5729" t="s">
        <v>6</v>
      </c>
      <c r="D5729" t="s">
        <v>17</v>
      </c>
      <c r="E5729" s="68">
        <v>1945</v>
      </c>
      <c r="F5729" s="68">
        <v>2828</v>
      </c>
      <c r="G5729" s="68">
        <v>4773</v>
      </c>
    </row>
    <row r="5730" spans="1:7" x14ac:dyDescent="0.3">
      <c r="A5730" t="s">
        <v>1268</v>
      </c>
      <c r="B5730" t="s">
        <v>26</v>
      </c>
      <c r="C5730" t="s">
        <v>6</v>
      </c>
      <c r="D5730" t="s">
        <v>18</v>
      </c>
      <c r="E5730" s="68">
        <v>2035</v>
      </c>
      <c r="F5730" s="68">
        <v>2539</v>
      </c>
      <c r="G5730" s="68">
        <v>4574</v>
      </c>
    </row>
    <row r="5731" spans="1:7" x14ac:dyDescent="0.3">
      <c r="A5731" t="s">
        <v>1268</v>
      </c>
      <c r="B5731" t="s">
        <v>26</v>
      </c>
      <c r="C5731" t="s">
        <v>6</v>
      </c>
      <c r="D5731" t="s">
        <v>19</v>
      </c>
      <c r="E5731" s="68">
        <v>2078</v>
      </c>
      <c r="F5731" s="68">
        <v>2315</v>
      </c>
      <c r="G5731" s="68">
        <v>4393</v>
      </c>
    </row>
    <row r="5732" spans="1:7" x14ac:dyDescent="0.3">
      <c r="A5732" t="s">
        <v>1268</v>
      </c>
      <c r="B5732" t="s">
        <v>26</v>
      </c>
      <c r="C5732" t="s">
        <v>6</v>
      </c>
      <c r="D5732" t="s">
        <v>20</v>
      </c>
      <c r="E5732" s="68">
        <v>1804</v>
      </c>
      <c r="F5732" s="68">
        <v>1727</v>
      </c>
      <c r="G5732" s="68">
        <v>3531</v>
      </c>
    </row>
    <row r="5733" spans="1:7" x14ac:dyDescent="0.3">
      <c r="A5733" t="s">
        <v>1268</v>
      </c>
      <c r="B5733" t="s">
        <v>26</v>
      </c>
      <c r="C5733" t="s">
        <v>6</v>
      </c>
      <c r="D5733" t="s">
        <v>21</v>
      </c>
      <c r="E5733" s="68">
        <v>1455</v>
      </c>
      <c r="F5733" s="68">
        <v>1316</v>
      </c>
      <c r="G5733" s="68">
        <v>2771</v>
      </c>
    </row>
    <row r="5734" spans="1:7" x14ac:dyDescent="0.3">
      <c r="A5734" t="s">
        <v>1268</v>
      </c>
      <c r="B5734" t="s">
        <v>26</v>
      </c>
      <c r="C5734" t="s">
        <v>6</v>
      </c>
      <c r="D5734" t="s">
        <v>22</v>
      </c>
      <c r="E5734" s="68">
        <v>1129</v>
      </c>
      <c r="F5734" s="68">
        <v>935</v>
      </c>
      <c r="G5734" s="68">
        <v>2064</v>
      </c>
    </row>
    <row r="5735" spans="1:7" x14ac:dyDescent="0.3">
      <c r="A5735" t="s">
        <v>1268</v>
      </c>
      <c r="B5735" t="s">
        <v>26</v>
      </c>
      <c r="C5735" t="s">
        <v>6</v>
      </c>
      <c r="D5735" t="s">
        <v>23</v>
      </c>
      <c r="E5735" s="68">
        <v>1340</v>
      </c>
      <c r="F5735" s="68">
        <v>1105</v>
      </c>
      <c r="G5735" s="68">
        <v>2445</v>
      </c>
    </row>
    <row r="5736" spans="1:7" x14ac:dyDescent="0.3">
      <c r="A5736" t="s">
        <v>1268</v>
      </c>
      <c r="B5736" t="s">
        <v>26</v>
      </c>
      <c r="C5736" t="s">
        <v>24</v>
      </c>
      <c r="D5736" t="s">
        <v>7</v>
      </c>
      <c r="E5736" s="68">
        <v>5664</v>
      </c>
      <c r="F5736" s="68">
        <v>6078</v>
      </c>
      <c r="G5736" s="68">
        <v>11742</v>
      </c>
    </row>
    <row r="5737" spans="1:7" x14ac:dyDescent="0.3">
      <c r="A5737" t="s">
        <v>1268</v>
      </c>
      <c r="B5737" t="s">
        <v>26</v>
      </c>
      <c r="C5737" t="s">
        <v>24</v>
      </c>
      <c r="D5737" t="s">
        <v>8</v>
      </c>
      <c r="E5737" s="68">
        <v>6192</v>
      </c>
      <c r="F5737" s="68">
        <v>6447</v>
      </c>
      <c r="G5737" s="68">
        <v>12639</v>
      </c>
    </row>
    <row r="5738" spans="1:7" x14ac:dyDescent="0.3">
      <c r="A5738" t="s">
        <v>1268</v>
      </c>
      <c r="B5738" t="s">
        <v>26</v>
      </c>
      <c r="C5738" t="s">
        <v>24</v>
      </c>
      <c r="D5738" t="s">
        <v>9</v>
      </c>
      <c r="E5738" s="68">
        <v>5650</v>
      </c>
      <c r="F5738" s="68">
        <v>5838</v>
      </c>
      <c r="G5738" s="68">
        <v>11488</v>
      </c>
    </row>
    <row r="5739" spans="1:7" x14ac:dyDescent="0.3">
      <c r="A5739" t="s">
        <v>1268</v>
      </c>
      <c r="B5739" t="s">
        <v>26</v>
      </c>
      <c r="C5739" t="s">
        <v>24</v>
      </c>
      <c r="D5739" t="s">
        <v>10</v>
      </c>
      <c r="E5739" s="68">
        <v>6238</v>
      </c>
      <c r="F5739" s="68">
        <v>5616</v>
      </c>
      <c r="G5739" s="68">
        <v>11854</v>
      </c>
    </row>
    <row r="5740" spans="1:7" x14ac:dyDescent="0.3">
      <c r="A5740" t="s">
        <v>1268</v>
      </c>
      <c r="B5740" t="s">
        <v>26</v>
      </c>
      <c r="C5740" t="s">
        <v>24</v>
      </c>
      <c r="D5740" t="s">
        <v>11</v>
      </c>
      <c r="E5740" s="68">
        <v>6463</v>
      </c>
      <c r="F5740" s="68">
        <v>5131</v>
      </c>
      <c r="G5740" s="68">
        <v>11594</v>
      </c>
    </row>
    <row r="5741" spans="1:7" x14ac:dyDescent="0.3">
      <c r="A5741" t="s">
        <v>1268</v>
      </c>
      <c r="B5741" t="s">
        <v>26</v>
      </c>
      <c r="C5741" t="s">
        <v>24</v>
      </c>
      <c r="D5741" t="s">
        <v>12</v>
      </c>
      <c r="E5741" s="68">
        <v>7429</v>
      </c>
      <c r="F5741" s="68">
        <v>6103</v>
      </c>
      <c r="G5741" s="68">
        <v>13532</v>
      </c>
    </row>
    <row r="5742" spans="1:7" x14ac:dyDescent="0.3">
      <c r="A5742" t="s">
        <v>1268</v>
      </c>
      <c r="B5742" t="s">
        <v>26</v>
      </c>
      <c r="C5742" t="s">
        <v>24</v>
      </c>
      <c r="D5742" t="s">
        <v>13</v>
      </c>
      <c r="E5742" s="68">
        <v>6305</v>
      </c>
      <c r="F5742" s="68">
        <v>5726</v>
      </c>
      <c r="G5742" s="68">
        <v>12031</v>
      </c>
    </row>
    <row r="5743" spans="1:7" x14ac:dyDescent="0.3">
      <c r="A5743" t="s">
        <v>1268</v>
      </c>
      <c r="B5743" t="s">
        <v>26</v>
      </c>
      <c r="C5743" t="s">
        <v>24</v>
      </c>
      <c r="D5743" t="s">
        <v>14</v>
      </c>
      <c r="E5743" s="68">
        <v>5107</v>
      </c>
      <c r="F5743" s="68">
        <v>4470</v>
      </c>
      <c r="G5743" s="68">
        <v>9577</v>
      </c>
    </row>
    <row r="5744" spans="1:7" x14ac:dyDescent="0.3">
      <c r="A5744" t="s">
        <v>1268</v>
      </c>
      <c r="B5744" t="s">
        <v>26</v>
      </c>
      <c r="C5744" t="s">
        <v>24</v>
      </c>
      <c r="D5744" t="s">
        <v>15</v>
      </c>
      <c r="E5744" s="68">
        <v>4929</v>
      </c>
      <c r="F5744" s="68">
        <v>4341</v>
      </c>
      <c r="G5744" s="68">
        <v>9270</v>
      </c>
    </row>
    <row r="5745" spans="1:7" x14ac:dyDescent="0.3">
      <c r="A5745" t="s">
        <v>1268</v>
      </c>
      <c r="B5745" t="s">
        <v>26</v>
      </c>
      <c r="C5745" t="s">
        <v>24</v>
      </c>
      <c r="D5745" t="s">
        <v>16</v>
      </c>
      <c r="E5745" s="68">
        <v>4400</v>
      </c>
      <c r="F5745" s="68">
        <v>4114</v>
      </c>
      <c r="G5745" s="68">
        <v>8514</v>
      </c>
    </row>
    <row r="5746" spans="1:7" x14ac:dyDescent="0.3">
      <c r="A5746" t="s">
        <v>1268</v>
      </c>
      <c r="B5746" t="s">
        <v>26</v>
      </c>
      <c r="C5746" t="s">
        <v>24</v>
      </c>
      <c r="D5746" t="s">
        <v>17</v>
      </c>
      <c r="E5746" s="68">
        <v>3618</v>
      </c>
      <c r="F5746" s="68">
        <v>3543</v>
      </c>
      <c r="G5746" s="68">
        <v>7161</v>
      </c>
    </row>
    <row r="5747" spans="1:7" x14ac:dyDescent="0.3">
      <c r="A5747" t="s">
        <v>1268</v>
      </c>
      <c r="B5747" t="s">
        <v>26</v>
      </c>
      <c r="C5747" t="s">
        <v>24</v>
      </c>
      <c r="D5747" t="s">
        <v>18</v>
      </c>
      <c r="E5747" s="68">
        <v>3312</v>
      </c>
      <c r="F5747" s="68">
        <v>3518</v>
      </c>
      <c r="G5747" s="68">
        <v>6830</v>
      </c>
    </row>
    <row r="5748" spans="1:7" x14ac:dyDescent="0.3">
      <c r="A5748" t="s">
        <v>1268</v>
      </c>
      <c r="B5748" t="s">
        <v>26</v>
      </c>
      <c r="C5748" t="s">
        <v>24</v>
      </c>
      <c r="D5748" t="s">
        <v>19</v>
      </c>
      <c r="E5748" s="68">
        <v>3124</v>
      </c>
      <c r="F5748" s="68">
        <v>3396</v>
      </c>
      <c r="G5748" s="68">
        <v>6520</v>
      </c>
    </row>
    <row r="5749" spans="1:7" x14ac:dyDescent="0.3">
      <c r="A5749" t="s">
        <v>1268</v>
      </c>
      <c r="B5749" t="s">
        <v>26</v>
      </c>
      <c r="C5749" t="s">
        <v>24</v>
      </c>
      <c r="D5749" t="s">
        <v>20</v>
      </c>
      <c r="E5749" s="68">
        <v>2249</v>
      </c>
      <c r="F5749" s="68">
        <v>2614</v>
      </c>
      <c r="G5749" s="68">
        <v>4863</v>
      </c>
    </row>
    <row r="5750" spans="1:7" x14ac:dyDescent="0.3">
      <c r="A5750" t="s">
        <v>1268</v>
      </c>
      <c r="B5750" t="s">
        <v>26</v>
      </c>
      <c r="C5750" t="s">
        <v>24</v>
      </c>
      <c r="D5750" t="s">
        <v>21</v>
      </c>
      <c r="E5750" s="68">
        <v>1428</v>
      </c>
      <c r="F5750" s="68">
        <v>1754</v>
      </c>
      <c r="G5750" s="68">
        <v>3182</v>
      </c>
    </row>
    <row r="5751" spans="1:7" x14ac:dyDescent="0.3">
      <c r="A5751" t="s">
        <v>1268</v>
      </c>
      <c r="B5751" t="s">
        <v>26</v>
      </c>
      <c r="C5751" t="s">
        <v>24</v>
      </c>
      <c r="D5751" t="s">
        <v>22</v>
      </c>
      <c r="E5751" s="68">
        <v>916</v>
      </c>
      <c r="F5751" s="68">
        <v>1020</v>
      </c>
      <c r="G5751" s="68">
        <v>1936</v>
      </c>
    </row>
    <row r="5752" spans="1:7" x14ac:dyDescent="0.3">
      <c r="A5752" t="s">
        <v>1268</v>
      </c>
      <c r="B5752" t="s">
        <v>26</v>
      </c>
      <c r="C5752" t="s">
        <v>24</v>
      </c>
      <c r="D5752" t="s">
        <v>23</v>
      </c>
      <c r="E5752" s="68">
        <v>1026</v>
      </c>
      <c r="F5752" s="68">
        <v>1048</v>
      </c>
      <c r="G5752" s="68">
        <v>2074</v>
      </c>
    </row>
    <row r="5753" spans="1:7" x14ac:dyDescent="0.3">
      <c r="A5753" t="s">
        <v>1268</v>
      </c>
      <c r="B5753" t="s">
        <v>1077</v>
      </c>
      <c r="C5753" t="s">
        <v>6</v>
      </c>
      <c r="D5753" t="s">
        <v>7</v>
      </c>
      <c r="E5753" s="68">
        <v>71</v>
      </c>
      <c r="F5753" s="68">
        <v>75</v>
      </c>
      <c r="G5753" s="68">
        <v>146</v>
      </c>
    </row>
    <row r="5754" spans="1:7" x14ac:dyDescent="0.3">
      <c r="A5754" t="s">
        <v>1268</v>
      </c>
      <c r="B5754" t="s">
        <v>1077</v>
      </c>
      <c r="C5754" t="s">
        <v>6</v>
      </c>
      <c r="D5754" t="s">
        <v>8</v>
      </c>
      <c r="E5754" s="68">
        <v>91</v>
      </c>
      <c r="F5754" s="68">
        <v>129</v>
      </c>
      <c r="G5754" s="68">
        <v>220</v>
      </c>
    </row>
    <row r="5755" spans="1:7" x14ac:dyDescent="0.3">
      <c r="A5755" t="s">
        <v>1268</v>
      </c>
      <c r="B5755" t="s">
        <v>1077</v>
      </c>
      <c r="C5755" t="s">
        <v>6</v>
      </c>
      <c r="D5755" t="s">
        <v>9</v>
      </c>
      <c r="E5755" s="68">
        <v>52</v>
      </c>
      <c r="F5755" s="68">
        <v>61</v>
      </c>
      <c r="G5755" s="68">
        <v>113</v>
      </c>
    </row>
    <row r="5756" spans="1:7" x14ac:dyDescent="0.3">
      <c r="A5756" t="s">
        <v>1268</v>
      </c>
      <c r="B5756" t="s">
        <v>1077</v>
      </c>
      <c r="C5756" t="s">
        <v>6</v>
      </c>
      <c r="D5756" t="s">
        <v>10</v>
      </c>
      <c r="E5756" s="68">
        <v>26</v>
      </c>
      <c r="F5756" s="68">
        <v>53</v>
      </c>
      <c r="G5756" s="68">
        <v>79</v>
      </c>
    </row>
    <row r="5757" spans="1:7" x14ac:dyDescent="0.3">
      <c r="A5757" t="s">
        <v>1268</v>
      </c>
      <c r="B5757" t="s">
        <v>1077</v>
      </c>
      <c r="C5757" t="s">
        <v>6</v>
      </c>
      <c r="D5757" t="s">
        <v>11</v>
      </c>
      <c r="E5757" s="68">
        <v>77</v>
      </c>
      <c r="F5757" s="68">
        <v>181</v>
      </c>
      <c r="G5757" s="68">
        <v>258</v>
      </c>
    </row>
    <row r="5758" spans="1:7" x14ac:dyDescent="0.3">
      <c r="A5758" t="s">
        <v>1268</v>
      </c>
      <c r="B5758" t="s">
        <v>1077</v>
      </c>
      <c r="C5758" t="s">
        <v>6</v>
      </c>
      <c r="D5758" t="s">
        <v>12</v>
      </c>
      <c r="E5758" s="68">
        <v>83</v>
      </c>
      <c r="F5758" s="68">
        <v>210</v>
      </c>
      <c r="G5758" s="68">
        <v>293</v>
      </c>
    </row>
    <row r="5759" spans="1:7" x14ac:dyDescent="0.3">
      <c r="A5759" t="s">
        <v>1268</v>
      </c>
      <c r="B5759" t="s">
        <v>1077</v>
      </c>
      <c r="C5759" t="s">
        <v>6</v>
      </c>
      <c r="D5759" t="s">
        <v>13</v>
      </c>
      <c r="E5759" s="68">
        <v>72</v>
      </c>
      <c r="F5759" s="68">
        <v>137</v>
      </c>
      <c r="G5759" s="68">
        <v>209</v>
      </c>
    </row>
    <row r="5760" spans="1:7" x14ac:dyDescent="0.3">
      <c r="A5760" t="s">
        <v>1268</v>
      </c>
      <c r="B5760" t="s">
        <v>1077</v>
      </c>
      <c r="C5760" t="s">
        <v>6</v>
      </c>
      <c r="D5760" t="s">
        <v>14</v>
      </c>
      <c r="E5760" s="68">
        <v>52</v>
      </c>
      <c r="F5760" s="68">
        <v>106</v>
      </c>
      <c r="G5760" s="68">
        <v>158</v>
      </c>
    </row>
    <row r="5761" spans="1:7" x14ac:dyDescent="0.3">
      <c r="A5761" t="s">
        <v>1268</v>
      </c>
      <c r="B5761" t="s">
        <v>1077</v>
      </c>
      <c r="C5761" t="s">
        <v>6</v>
      </c>
      <c r="D5761" t="s">
        <v>15</v>
      </c>
      <c r="E5761" s="68">
        <v>29</v>
      </c>
      <c r="F5761" s="68">
        <v>60</v>
      </c>
      <c r="G5761" s="68">
        <v>89</v>
      </c>
    </row>
    <row r="5762" spans="1:7" x14ac:dyDescent="0.3">
      <c r="A5762" t="s">
        <v>1268</v>
      </c>
      <c r="B5762" t="s">
        <v>1077</v>
      </c>
      <c r="C5762" t="s">
        <v>6</v>
      </c>
      <c r="D5762" t="s">
        <v>16</v>
      </c>
      <c r="E5762" s="68">
        <v>13</v>
      </c>
      <c r="F5762" s="68">
        <v>41</v>
      </c>
      <c r="G5762" s="68">
        <v>54</v>
      </c>
    </row>
    <row r="5763" spans="1:7" x14ac:dyDescent="0.3">
      <c r="A5763" t="s">
        <v>1268</v>
      </c>
      <c r="B5763" t="s">
        <v>1077</v>
      </c>
      <c r="C5763" t="s">
        <v>6</v>
      </c>
      <c r="D5763" t="s">
        <v>17</v>
      </c>
      <c r="E5763" s="68">
        <v>9</v>
      </c>
      <c r="F5763" s="68">
        <v>26</v>
      </c>
      <c r="G5763" s="68">
        <v>35</v>
      </c>
    </row>
    <row r="5764" spans="1:7" x14ac:dyDescent="0.3">
      <c r="A5764" t="s">
        <v>1268</v>
      </c>
      <c r="B5764" t="s">
        <v>1077</v>
      </c>
      <c r="C5764" t="s">
        <v>6</v>
      </c>
      <c r="D5764" t="s">
        <v>18</v>
      </c>
      <c r="E5764" s="68">
        <v>2</v>
      </c>
      <c r="F5764" s="68">
        <v>15</v>
      </c>
      <c r="G5764" s="68">
        <v>17</v>
      </c>
    </row>
    <row r="5765" spans="1:7" x14ac:dyDescent="0.3">
      <c r="A5765" t="s">
        <v>1268</v>
      </c>
      <c r="B5765" t="s">
        <v>1077</v>
      </c>
      <c r="C5765" t="s">
        <v>6</v>
      </c>
      <c r="D5765" t="s">
        <v>19</v>
      </c>
      <c r="E5765" s="68"/>
      <c r="F5765" s="68">
        <v>6</v>
      </c>
      <c r="G5765" s="68">
        <v>6</v>
      </c>
    </row>
    <row r="5766" spans="1:7" x14ac:dyDescent="0.3">
      <c r="A5766" t="s">
        <v>1268</v>
      </c>
      <c r="B5766" t="s">
        <v>1077</v>
      </c>
      <c r="C5766" t="s">
        <v>6</v>
      </c>
      <c r="D5766" t="s">
        <v>20</v>
      </c>
      <c r="E5766" s="68">
        <v>1</v>
      </c>
      <c r="F5766" s="68">
        <v>6</v>
      </c>
      <c r="G5766" s="68">
        <v>7</v>
      </c>
    </row>
    <row r="5767" spans="1:7" x14ac:dyDescent="0.3">
      <c r="A5767" t="s">
        <v>1268</v>
      </c>
      <c r="B5767" t="s">
        <v>1077</v>
      </c>
      <c r="C5767" t="s">
        <v>6</v>
      </c>
      <c r="D5767" t="s">
        <v>22</v>
      </c>
      <c r="E5767" s="68">
        <v>1</v>
      </c>
      <c r="F5767" s="68"/>
      <c r="G5767" s="68">
        <v>1</v>
      </c>
    </row>
    <row r="5768" spans="1:7" x14ac:dyDescent="0.3">
      <c r="A5768" t="s">
        <v>1268</v>
      </c>
      <c r="B5768" t="s">
        <v>1077</v>
      </c>
      <c r="C5768" t="s">
        <v>6</v>
      </c>
      <c r="D5768" t="s">
        <v>23</v>
      </c>
      <c r="E5768" s="68"/>
      <c r="F5768" s="68">
        <v>1</v>
      </c>
      <c r="G5768" s="68">
        <v>1</v>
      </c>
    </row>
    <row r="5769" spans="1:7" x14ac:dyDescent="0.3">
      <c r="A5769" t="s">
        <v>1268</v>
      </c>
      <c r="B5769" t="s">
        <v>1077</v>
      </c>
      <c r="C5769" t="s">
        <v>24</v>
      </c>
      <c r="D5769" t="s">
        <v>7</v>
      </c>
      <c r="E5769" s="68">
        <v>968</v>
      </c>
      <c r="F5769" s="68">
        <v>1005</v>
      </c>
      <c r="G5769" s="68">
        <v>1973</v>
      </c>
    </row>
    <row r="5770" spans="1:7" x14ac:dyDescent="0.3">
      <c r="A5770" t="s">
        <v>1268</v>
      </c>
      <c r="B5770" t="s">
        <v>1077</v>
      </c>
      <c r="C5770" t="s">
        <v>24</v>
      </c>
      <c r="D5770" t="s">
        <v>8</v>
      </c>
      <c r="E5770" s="68">
        <v>1124</v>
      </c>
      <c r="F5770" s="68">
        <v>1150</v>
      </c>
      <c r="G5770" s="68">
        <v>2274</v>
      </c>
    </row>
    <row r="5771" spans="1:7" x14ac:dyDescent="0.3">
      <c r="A5771" t="s">
        <v>1268</v>
      </c>
      <c r="B5771" t="s">
        <v>1077</v>
      </c>
      <c r="C5771" t="s">
        <v>24</v>
      </c>
      <c r="D5771" t="s">
        <v>9</v>
      </c>
      <c r="E5771" s="68">
        <v>1166</v>
      </c>
      <c r="F5771" s="68">
        <v>1054</v>
      </c>
      <c r="G5771" s="68">
        <v>2220</v>
      </c>
    </row>
    <row r="5772" spans="1:7" x14ac:dyDescent="0.3">
      <c r="A5772" t="s">
        <v>1268</v>
      </c>
      <c r="B5772" t="s">
        <v>1077</v>
      </c>
      <c r="C5772" t="s">
        <v>24</v>
      </c>
      <c r="D5772" t="s">
        <v>10</v>
      </c>
      <c r="E5772" s="68">
        <v>925</v>
      </c>
      <c r="F5772" s="68">
        <v>791</v>
      </c>
      <c r="G5772" s="68">
        <v>1716</v>
      </c>
    </row>
    <row r="5773" spans="1:7" x14ac:dyDescent="0.3">
      <c r="A5773" t="s">
        <v>1268</v>
      </c>
      <c r="B5773" t="s">
        <v>1077</v>
      </c>
      <c r="C5773" t="s">
        <v>24</v>
      </c>
      <c r="D5773" t="s">
        <v>11</v>
      </c>
      <c r="E5773" s="68">
        <v>741</v>
      </c>
      <c r="F5773" s="68">
        <v>419</v>
      </c>
      <c r="G5773" s="68">
        <v>1160</v>
      </c>
    </row>
    <row r="5774" spans="1:7" x14ac:dyDescent="0.3">
      <c r="A5774" t="s">
        <v>1268</v>
      </c>
      <c r="B5774" t="s">
        <v>1077</v>
      </c>
      <c r="C5774" t="s">
        <v>24</v>
      </c>
      <c r="D5774" t="s">
        <v>12</v>
      </c>
      <c r="E5774" s="68">
        <v>586</v>
      </c>
      <c r="F5774" s="68">
        <v>335</v>
      </c>
      <c r="G5774" s="68">
        <v>921</v>
      </c>
    </row>
    <row r="5775" spans="1:7" x14ac:dyDescent="0.3">
      <c r="A5775" t="s">
        <v>1268</v>
      </c>
      <c r="B5775" t="s">
        <v>1077</v>
      </c>
      <c r="C5775" t="s">
        <v>24</v>
      </c>
      <c r="D5775" t="s">
        <v>13</v>
      </c>
      <c r="E5775" s="68">
        <v>405</v>
      </c>
      <c r="F5775" s="68">
        <v>256</v>
      </c>
      <c r="G5775" s="68">
        <v>661</v>
      </c>
    </row>
    <row r="5776" spans="1:7" x14ac:dyDescent="0.3">
      <c r="A5776" t="s">
        <v>1268</v>
      </c>
      <c r="B5776" t="s">
        <v>1077</v>
      </c>
      <c r="C5776" t="s">
        <v>24</v>
      </c>
      <c r="D5776" t="s">
        <v>14</v>
      </c>
      <c r="E5776" s="68">
        <v>308</v>
      </c>
      <c r="F5776" s="68">
        <v>194</v>
      </c>
      <c r="G5776" s="68">
        <v>502</v>
      </c>
    </row>
    <row r="5777" spans="1:7" x14ac:dyDescent="0.3">
      <c r="A5777" t="s">
        <v>1268</v>
      </c>
      <c r="B5777" t="s">
        <v>1077</v>
      </c>
      <c r="C5777" t="s">
        <v>24</v>
      </c>
      <c r="D5777" t="s">
        <v>15</v>
      </c>
      <c r="E5777" s="68">
        <v>258</v>
      </c>
      <c r="F5777" s="68">
        <v>193</v>
      </c>
      <c r="G5777" s="68">
        <v>451</v>
      </c>
    </row>
    <row r="5778" spans="1:7" x14ac:dyDescent="0.3">
      <c r="A5778" t="s">
        <v>1268</v>
      </c>
      <c r="B5778" t="s">
        <v>1077</v>
      </c>
      <c r="C5778" t="s">
        <v>24</v>
      </c>
      <c r="D5778" t="s">
        <v>16</v>
      </c>
      <c r="E5778" s="68">
        <v>219</v>
      </c>
      <c r="F5778" s="68">
        <v>190</v>
      </c>
      <c r="G5778" s="68">
        <v>409</v>
      </c>
    </row>
    <row r="5779" spans="1:7" x14ac:dyDescent="0.3">
      <c r="A5779" t="s">
        <v>1268</v>
      </c>
      <c r="B5779" t="s">
        <v>1077</v>
      </c>
      <c r="C5779" t="s">
        <v>24</v>
      </c>
      <c r="D5779" t="s">
        <v>17</v>
      </c>
      <c r="E5779" s="68">
        <v>155</v>
      </c>
      <c r="F5779" s="68">
        <v>188</v>
      </c>
      <c r="G5779" s="68">
        <v>343</v>
      </c>
    </row>
    <row r="5780" spans="1:7" x14ac:dyDescent="0.3">
      <c r="A5780" t="s">
        <v>1268</v>
      </c>
      <c r="B5780" t="s">
        <v>1077</v>
      </c>
      <c r="C5780" t="s">
        <v>24</v>
      </c>
      <c r="D5780" t="s">
        <v>18</v>
      </c>
      <c r="E5780" s="68">
        <v>130</v>
      </c>
      <c r="F5780" s="68">
        <v>168</v>
      </c>
      <c r="G5780" s="68">
        <v>298</v>
      </c>
    </row>
    <row r="5781" spans="1:7" x14ac:dyDescent="0.3">
      <c r="A5781" t="s">
        <v>1268</v>
      </c>
      <c r="B5781" t="s">
        <v>1077</v>
      </c>
      <c r="C5781" t="s">
        <v>24</v>
      </c>
      <c r="D5781" t="s">
        <v>19</v>
      </c>
      <c r="E5781" s="68">
        <v>109</v>
      </c>
      <c r="F5781" s="68">
        <v>128</v>
      </c>
      <c r="G5781" s="68">
        <v>237</v>
      </c>
    </row>
    <row r="5782" spans="1:7" x14ac:dyDescent="0.3">
      <c r="A5782" t="s">
        <v>1268</v>
      </c>
      <c r="B5782" t="s">
        <v>1077</v>
      </c>
      <c r="C5782" t="s">
        <v>24</v>
      </c>
      <c r="D5782" t="s">
        <v>20</v>
      </c>
      <c r="E5782" s="68">
        <v>72</v>
      </c>
      <c r="F5782" s="68">
        <v>107</v>
      </c>
      <c r="G5782" s="68">
        <v>179</v>
      </c>
    </row>
    <row r="5783" spans="1:7" x14ac:dyDescent="0.3">
      <c r="A5783" t="s">
        <v>1268</v>
      </c>
      <c r="B5783" t="s">
        <v>1077</v>
      </c>
      <c r="C5783" t="s">
        <v>24</v>
      </c>
      <c r="D5783" t="s">
        <v>21</v>
      </c>
      <c r="E5783" s="68">
        <v>54</v>
      </c>
      <c r="F5783" s="68">
        <v>53</v>
      </c>
      <c r="G5783" s="68">
        <v>107</v>
      </c>
    </row>
    <row r="5784" spans="1:7" x14ac:dyDescent="0.3">
      <c r="A5784" t="s">
        <v>1268</v>
      </c>
      <c r="B5784" t="s">
        <v>1077</v>
      </c>
      <c r="C5784" t="s">
        <v>24</v>
      </c>
      <c r="D5784" t="s">
        <v>22</v>
      </c>
      <c r="E5784" s="68">
        <v>44</v>
      </c>
      <c r="F5784" s="68">
        <v>67</v>
      </c>
      <c r="G5784" s="68">
        <v>111</v>
      </c>
    </row>
    <row r="5785" spans="1:7" x14ac:dyDescent="0.3">
      <c r="A5785" t="s">
        <v>1268</v>
      </c>
      <c r="B5785" t="s">
        <v>1077</v>
      </c>
      <c r="C5785" t="s">
        <v>24</v>
      </c>
      <c r="D5785" t="s">
        <v>23</v>
      </c>
      <c r="E5785" s="68">
        <v>49</v>
      </c>
      <c r="F5785" s="68">
        <v>81</v>
      </c>
      <c r="G5785" s="68">
        <v>130</v>
      </c>
    </row>
    <row r="5786" spans="1:7" x14ac:dyDescent="0.3">
      <c r="A5786" t="s">
        <v>1268</v>
      </c>
      <c r="B5786" t="s">
        <v>27</v>
      </c>
      <c r="C5786" t="s">
        <v>28</v>
      </c>
      <c r="D5786" t="s">
        <v>7</v>
      </c>
      <c r="E5786" s="68">
        <v>310</v>
      </c>
      <c r="F5786" s="68">
        <v>306</v>
      </c>
      <c r="G5786" s="68">
        <v>616</v>
      </c>
    </row>
    <row r="5787" spans="1:7" x14ac:dyDescent="0.3">
      <c r="A5787" t="s">
        <v>1268</v>
      </c>
      <c r="B5787" t="s">
        <v>27</v>
      </c>
      <c r="C5787" t="s">
        <v>28</v>
      </c>
      <c r="D5787" t="s">
        <v>8</v>
      </c>
      <c r="E5787" s="68">
        <v>494</v>
      </c>
      <c r="F5787" s="68">
        <v>475</v>
      </c>
      <c r="G5787" s="68">
        <v>969</v>
      </c>
    </row>
    <row r="5788" spans="1:7" x14ac:dyDescent="0.3">
      <c r="A5788" t="s">
        <v>1268</v>
      </c>
      <c r="B5788" t="s">
        <v>27</v>
      </c>
      <c r="C5788" t="s">
        <v>28</v>
      </c>
      <c r="D5788" t="s">
        <v>9</v>
      </c>
      <c r="E5788" s="68">
        <v>623</v>
      </c>
      <c r="F5788" s="68">
        <v>726</v>
      </c>
      <c r="G5788" s="68">
        <v>1349</v>
      </c>
    </row>
    <row r="5789" spans="1:7" x14ac:dyDescent="0.3">
      <c r="A5789" t="s">
        <v>1268</v>
      </c>
      <c r="B5789" t="s">
        <v>27</v>
      </c>
      <c r="C5789" t="s">
        <v>28</v>
      </c>
      <c r="D5789" t="s">
        <v>10</v>
      </c>
      <c r="E5789" s="68">
        <v>707</v>
      </c>
      <c r="F5789" s="68">
        <v>727</v>
      </c>
      <c r="G5789" s="68">
        <v>1434</v>
      </c>
    </row>
    <row r="5790" spans="1:7" x14ac:dyDescent="0.3">
      <c r="A5790" t="s">
        <v>1268</v>
      </c>
      <c r="B5790" t="s">
        <v>27</v>
      </c>
      <c r="C5790" t="s">
        <v>28</v>
      </c>
      <c r="D5790" t="s">
        <v>11</v>
      </c>
      <c r="E5790" s="68">
        <v>587</v>
      </c>
      <c r="F5790" s="68">
        <v>522</v>
      </c>
      <c r="G5790" s="68">
        <v>1109</v>
      </c>
    </row>
    <row r="5791" spans="1:7" x14ac:dyDescent="0.3">
      <c r="A5791" t="s">
        <v>1268</v>
      </c>
      <c r="B5791" t="s">
        <v>27</v>
      </c>
      <c r="C5791" t="s">
        <v>28</v>
      </c>
      <c r="D5791" t="s">
        <v>12</v>
      </c>
      <c r="E5791" s="68">
        <v>327</v>
      </c>
      <c r="F5791" s="68">
        <v>253</v>
      </c>
      <c r="G5791" s="68">
        <v>580</v>
      </c>
    </row>
    <row r="5792" spans="1:7" x14ac:dyDescent="0.3">
      <c r="A5792" t="s">
        <v>1268</v>
      </c>
      <c r="B5792" t="s">
        <v>27</v>
      </c>
      <c r="C5792" t="s">
        <v>28</v>
      </c>
      <c r="D5792" t="s">
        <v>13</v>
      </c>
      <c r="E5792" s="68">
        <v>505</v>
      </c>
      <c r="F5792" s="68">
        <v>393</v>
      </c>
      <c r="G5792" s="68">
        <v>898</v>
      </c>
    </row>
    <row r="5793" spans="1:7" x14ac:dyDescent="0.3">
      <c r="A5793" t="s">
        <v>1268</v>
      </c>
      <c r="B5793" t="s">
        <v>27</v>
      </c>
      <c r="C5793" t="s">
        <v>28</v>
      </c>
      <c r="D5793" t="s">
        <v>14</v>
      </c>
      <c r="E5793" s="68">
        <v>824</v>
      </c>
      <c r="F5793" s="68">
        <v>508</v>
      </c>
      <c r="G5793" s="68">
        <v>1332</v>
      </c>
    </row>
    <row r="5794" spans="1:7" x14ac:dyDescent="0.3">
      <c r="A5794" t="s">
        <v>1268</v>
      </c>
      <c r="B5794" t="s">
        <v>27</v>
      </c>
      <c r="C5794" t="s">
        <v>28</v>
      </c>
      <c r="D5794" t="s">
        <v>15</v>
      </c>
      <c r="E5794" s="68">
        <v>987</v>
      </c>
      <c r="F5794" s="68">
        <v>681</v>
      </c>
      <c r="G5794" s="68">
        <v>1668</v>
      </c>
    </row>
    <row r="5795" spans="1:7" x14ac:dyDescent="0.3">
      <c r="A5795" t="s">
        <v>1268</v>
      </c>
      <c r="B5795" t="s">
        <v>27</v>
      </c>
      <c r="C5795" t="s">
        <v>28</v>
      </c>
      <c r="D5795" t="s">
        <v>16</v>
      </c>
      <c r="E5795" s="68">
        <v>973</v>
      </c>
      <c r="F5795" s="68">
        <v>666</v>
      </c>
      <c r="G5795" s="68">
        <v>1639</v>
      </c>
    </row>
    <row r="5796" spans="1:7" x14ac:dyDescent="0.3">
      <c r="A5796" t="s">
        <v>1268</v>
      </c>
      <c r="B5796" t="s">
        <v>27</v>
      </c>
      <c r="C5796" t="s">
        <v>28</v>
      </c>
      <c r="D5796" t="s">
        <v>17</v>
      </c>
      <c r="E5796" s="68">
        <v>937</v>
      </c>
      <c r="F5796" s="68">
        <v>565</v>
      </c>
      <c r="G5796" s="68">
        <v>1502</v>
      </c>
    </row>
    <row r="5797" spans="1:7" x14ac:dyDescent="0.3">
      <c r="A5797" t="s">
        <v>1268</v>
      </c>
      <c r="B5797" t="s">
        <v>27</v>
      </c>
      <c r="C5797" t="s">
        <v>28</v>
      </c>
      <c r="D5797" t="s">
        <v>18</v>
      </c>
      <c r="E5797" s="68">
        <v>938</v>
      </c>
      <c r="F5797" s="68">
        <v>589</v>
      </c>
      <c r="G5797" s="68">
        <v>1527</v>
      </c>
    </row>
    <row r="5798" spans="1:7" x14ac:dyDescent="0.3">
      <c r="A5798" t="s">
        <v>1268</v>
      </c>
      <c r="B5798" t="s">
        <v>27</v>
      </c>
      <c r="C5798" t="s">
        <v>28</v>
      </c>
      <c r="D5798" t="s">
        <v>19</v>
      </c>
      <c r="E5798" s="68">
        <v>951</v>
      </c>
      <c r="F5798" s="68">
        <v>583</v>
      </c>
      <c r="G5798" s="68">
        <v>1534</v>
      </c>
    </row>
    <row r="5799" spans="1:7" x14ac:dyDescent="0.3">
      <c r="A5799" t="s">
        <v>1268</v>
      </c>
      <c r="B5799" t="s">
        <v>27</v>
      </c>
      <c r="C5799" t="s">
        <v>28</v>
      </c>
      <c r="D5799" t="s">
        <v>20</v>
      </c>
      <c r="E5799" s="68">
        <v>870</v>
      </c>
      <c r="F5799" s="68">
        <v>592</v>
      </c>
      <c r="G5799" s="68">
        <v>1462</v>
      </c>
    </row>
    <row r="5800" spans="1:7" x14ac:dyDescent="0.3">
      <c r="A5800" t="s">
        <v>1268</v>
      </c>
      <c r="B5800" t="s">
        <v>27</v>
      </c>
      <c r="C5800" t="s">
        <v>28</v>
      </c>
      <c r="D5800" t="s">
        <v>21</v>
      </c>
      <c r="E5800" s="68">
        <v>716</v>
      </c>
      <c r="F5800" s="68">
        <v>488</v>
      </c>
      <c r="G5800" s="68">
        <v>1204</v>
      </c>
    </row>
    <row r="5801" spans="1:7" x14ac:dyDescent="0.3">
      <c r="A5801" t="s">
        <v>1268</v>
      </c>
      <c r="B5801" t="s">
        <v>27</v>
      </c>
      <c r="C5801" t="s">
        <v>28</v>
      </c>
      <c r="D5801" t="s">
        <v>22</v>
      </c>
      <c r="E5801" s="68">
        <v>486</v>
      </c>
      <c r="F5801" s="68">
        <v>310</v>
      </c>
      <c r="G5801" s="68">
        <v>796</v>
      </c>
    </row>
    <row r="5802" spans="1:7" x14ac:dyDescent="0.3">
      <c r="A5802" t="s">
        <v>1268</v>
      </c>
      <c r="B5802" t="s">
        <v>27</v>
      </c>
      <c r="C5802" t="s">
        <v>28</v>
      </c>
      <c r="D5802" t="s">
        <v>23</v>
      </c>
      <c r="E5802" s="68">
        <v>332</v>
      </c>
      <c r="F5802" s="68">
        <v>223</v>
      </c>
      <c r="G5802" s="68">
        <v>555</v>
      </c>
    </row>
    <row r="5803" spans="1:7" x14ac:dyDescent="0.3">
      <c r="A5803" t="s">
        <v>1268</v>
      </c>
      <c r="B5803" t="s">
        <v>27</v>
      </c>
      <c r="C5803" t="s">
        <v>29</v>
      </c>
      <c r="D5803" t="s">
        <v>10</v>
      </c>
      <c r="E5803" s="68"/>
      <c r="F5803" s="68">
        <v>6</v>
      </c>
      <c r="G5803" s="68">
        <v>6</v>
      </c>
    </row>
    <row r="5804" spans="1:7" x14ac:dyDescent="0.3">
      <c r="A5804" t="s">
        <v>1268</v>
      </c>
      <c r="B5804" t="s">
        <v>27</v>
      </c>
      <c r="C5804" t="s">
        <v>29</v>
      </c>
      <c r="D5804" t="s">
        <v>11</v>
      </c>
      <c r="E5804" s="68">
        <v>23</v>
      </c>
      <c r="F5804" s="68">
        <v>253</v>
      </c>
      <c r="G5804" s="68">
        <v>276</v>
      </c>
    </row>
    <row r="5805" spans="1:7" x14ac:dyDescent="0.3">
      <c r="A5805" t="s">
        <v>1268</v>
      </c>
      <c r="B5805" t="s">
        <v>27</v>
      </c>
      <c r="C5805" t="s">
        <v>29</v>
      </c>
      <c r="D5805" t="s">
        <v>12</v>
      </c>
      <c r="E5805" s="68">
        <v>29</v>
      </c>
      <c r="F5805" s="68">
        <v>432</v>
      </c>
      <c r="G5805" s="68">
        <v>461</v>
      </c>
    </row>
    <row r="5806" spans="1:7" x14ac:dyDescent="0.3">
      <c r="A5806" t="s">
        <v>1268</v>
      </c>
      <c r="B5806" t="s">
        <v>27</v>
      </c>
      <c r="C5806" t="s">
        <v>29</v>
      </c>
      <c r="D5806" t="s">
        <v>13</v>
      </c>
      <c r="E5806" s="68">
        <v>24</v>
      </c>
      <c r="F5806" s="68">
        <v>439</v>
      </c>
      <c r="G5806" s="68">
        <v>463</v>
      </c>
    </row>
    <row r="5807" spans="1:7" x14ac:dyDescent="0.3">
      <c r="A5807" t="s">
        <v>1268</v>
      </c>
      <c r="B5807" t="s">
        <v>27</v>
      </c>
      <c r="C5807" t="s">
        <v>29</v>
      </c>
      <c r="D5807" t="s">
        <v>14</v>
      </c>
      <c r="E5807" s="68">
        <v>20</v>
      </c>
      <c r="F5807" s="68">
        <v>310</v>
      </c>
      <c r="G5807" s="68">
        <v>330</v>
      </c>
    </row>
    <row r="5808" spans="1:7" x14ac:dyDescent="0.3">
      <c r="A5808" t="s">
        <v>1268</v>
      </c>
      <c r="B5808" t="s">
        <v>27</v>
      </c>
      <c r="C5808" t="s">
        <v>29</v>
      </c>
      <c r="D5808" t="s">
        <v>15</v>
      </c>
      <c r="E5808" s="68">
        <v>19</v>
      </c>
      <c r="F5808" s="68">
        <v>220</v>
      </c>
      <c r="G5808" s="68">
        <v>239</v>
      </c>
    </row>
    <row r="5809" spans="1:7" x14ac:dyDescent="0.3">
      <c r="A5809" t="s">
        <v>1268</v>
      </c>
      <c r="B5809" t="s">
        <v>27</v>
      </c>
      <c r="C5809" t="s">
        <v>29</v>
      </c>
      <c r="D5809" t="s">
        <v>16</v>
      </c>
      <c r="E5809" s="68">
        <v>7</v>
      </c>
      <c r="F5809" s="68">
        <v>198</v>
      </c>
      <c r="G5809" s="68">
        <v>205</v>
      </c>
    </row>
    <row r="5810" spans="1:7" x14ac:dyDescent="0.3">
      <c r="A5810" t="s">
        <v>1268</v>
      </c>
      <c r="B5810" t="s">
        <v>27</v>
      </c>
      <c r="C5810" t="s">
        <v>29</v>
      </c>
      <c r="D5810" t="s">
        <v>17</v>
      </c>
      <c r="E5810" s="68">
        <v>7</v>
      </c>
      <c r="F5810" s="68">
        <v>143</v>
      </c>
      <c r="G5810" s="68">
        <v>150</v>
      </c>
    </row>
    <row r="5811" spans="1:7" x14ac:dyDescent="0.3">
      <c r="A5811" t="s">
        <v>1268</v>
      </c>
      <c r="B5811" t="s">
        <v>27</v>
      </c>
      <c r="C5811" t="s">
        <v>29</v>
      </c>
      <c r="D5811" t="s">
        <v>18</v>
      </c>
      <c r="E5811" s="68">
        <v>2</v>
      </c>
      <c r="F5811" s="68">
        <v>96</v>
      </c>
      <c r="G5811" s="68">
        <v>98</v>
      </c>
    </row>
    <row r="5812" spans="1:7" x14ac:dyDescent="0.3">
      <c r="A5812" t="s">
        <v>1268</v>
      </c>
      <c r="B5812" t="s">
        <v>27</v>
      </c>
      <c r="C5812" t="s">
        <v>29</v>
      </c>
      <c r="D5812" t="s">
        <v>19</v>
      </c>
      <c r="E5812" s="68">
        <v>1</v>
      </c>
      <c r="F5812" s="68">
        <v>77</v>
      </c>
      <c r="G5812" s="68">
        <v>78</v>
      </c>
    </row>
    <row r="5813" spans="1:7" x14ac:dyDescent="0.3">
      <c r="A5813" t="s">
        <v>1268</v>
      </c>
      <c r="B5813" t="s">
        <v>27</v>
      </c>
      <c r="C5813" t="s">
        <v>29</v>
      </c>
      <c r="D5813" t="s">
        <v>20</v>
      </c>
      <c r="E5813" s="68">
        <v>2</v>
      </c>
      <c r="F5813" s="68">
        <v>34</v>
      </c>
      <c r="G5813" s="68">
        <v>36</v>
      </c>
    </row>
    <row r="5814" spans="1:7" x14ac:dyDescent="0.3">
      <c r="A5814" t="s">
        <v>1268</v>
      </c>
      <c r="B5814" t="s">
        <v>27</v>
      </c>
      <c r="C5814" t="s">
        <v>29</v>
      </c>
      <c r="D5814" t="s">
        <v>21</v>
      </c>
      <c r="E5814" s="68">
        <v>1</v>
      </c>
      <c r="F5814" s="68">
        <v>24</v>
      </c>
      <c r="G5814" s="68">
        <v>25</v>
      </c>
    </row>
    <row r="5815" spans="1:7" x14ac:dyDescent="0.3">
      <c r="A5815" t="s">
        <v>1268</v>
      </c>
      <c r="B5815" t="s">
        <v>27</v>
      </c>
      <c r="C5815" t="s">
        <v>29</v>
      </c>
      <c r="D5815" t="s">
        <v>22</v>
      </c>
      <c r="E5815" s="68"/>
      <c r="F5815" s="68">
        <v>10</v>
      </c>
      <c r="G5815" s="68">
        <v>10</v>
      </c>
    </row>
    <row r="5816" spans="1:7" x14ac:dyDescent="0.3">
      <c r="A5816" t="s">
        <v>1268</v>
      </c>
      <c r="B5816" t="s">
        <v>27</v>
      </c>
      <c r="C5816" t="s">
        <v>29</v>
      </c>
      <c r="D5816" t="s">
        <v>23</v>
      </c>
      <c r="E5816" s="68"/>
      <c r="F5816" s="68">
        <v>2</v>
      </c>
      <c r="G5816" s="68">
        <v>2</v>
      </c>
    </row>
    <row r="5817" spans="1:7" x14ac:dyDescent="0.3">
      <c r="A5817" t="s">
        <v>1268</v>
      </c>
      <c r="B5817" t="s">
        <v>36</v>
      </c>
      <c r="C5817" t="s">
        <v>6</v>
      </c>
      <c r="D5817" t="s">
        <v>7</v>
      </c>
      <c r="E5817" s="68">
        <v>3085</v>
      </c>
      <c r="F5817" s="68">
        <v>3229</v>
      </c>
      <c r="G5817" s="68">
        <v>6314</v>
      </c>
    </row>
    <row r="5818" spans="1:7" x14ac:dyDescent="0.3">
      <c r="A5818" t="s">
        <v>1268</v>
      </c>
      <c r="B5818" t="s">
        <v>36</v>
      </c>
      <c r="C5818" t="s">
        <v>6</v>
      </c>
      <c r="D5818" t="s">
        <v>8</v>
      </c>
      <c r="E5818" s="68">
        <v>4102</v>
      </c>
      <c r="F5818" s="68">
        <v>4337</v>
      </c>
      <c r="G5818" s="68">
        <v>8439</v>
      </c>
    </row>
    <row r="5819" spans="1:7" x14ac:dyDescent="0.3">
      <c r="A5819" t="s">
        <v>1268</v>
      </c>
      <c r="B5819" t="s">
        <v>36</v>
      </c>
      <c r="C5819" t="s">
        <v>6</v>
      </c>
      <c r="D5819" t="s">
        <v>9</v>
      </c>
      <c r="E5819" s="68">
        <v>4803</v>
      </c>
      <c r="F5819" s="68">
        <v>5171</v>
      </c>
      <c r="G5819" s="68">
        <v>9974</v>
      </c>
    </row>
    <row r="5820" spans="1:7" x14ac:dyDescent="0.3">
      <c r="A5820" t="s">
        <v>1268</v>
      </c>
      <c r="B5820" t="s">
        <v>36</v>
      </c>
      <c r="C5820" t="s">
        <v>6</v>
      </c>
      <c r="D5820" t="s">
        <v>10</v>
      </c>
      <c r="E5820" s="68">
        <v>5022</v>
      </c>
      <c r="F5820" s="68">
        <v>5066</v>
      </c>
      <c r="G5820" s="68">
        <v>10088</v>
      </c>
    </row>
    <row r="5821" spans="1:7" x14ac:dyDescent="0.3">
      <c r="A5821" t="s">
        <v>1268</v>
      </c>
      <c r="B5821" t="s">
        <v>36</v>
      </c>
      <c r="C5821" t="s">
        <v>6</v>
      </c>
      <c r="D5821" t="s">
        <v>11</v>
      </c>
      <c r="E5821" s="68">
        <v>4961</v>
      </c>
      <c r="F5821" s="68">
        <v>6035</v>
      </c>
      <c r="G5821" s="68">
        <v>10996</v>
      </c>
    </row>
    <row r="5822" spans="1:7" x14ac:dyDescent="0.3">
      <c r="A5822" t="s">
        <v>1268</v>
      </c>
      <c r="B5822" t="s">
        <v>36</v>
      </c>
      <c r="C5822" t="s">
        <v>6</v>
      </c>
      <c r="D5822" t="s">
        <v>12</v>
      </c>
      <c r="E5822" s="68">
        <v>5225</v>
      </c>
      <c r="F5822" s="68">
        <v>6586</v>
      </c>
      <c r="G5822" s="68">
        <v>11811</v>
      </c>
    </row>
    <row r="5823" spans="1:7" x14ac:dyDescent="0.3">
      <c r="A5823" t="s">
        <v>1268</v>
      </c>
      <c r="B5823" t="s">
        <v>36</v>
      </c>
      <c r="C5823" t="s">
        <v>6</v>
      </c>
      <c r="D5823" t="s">
        <v>13</v>
      </c>
      <c r="E5823" s="68">
        <v>6005</v>
      </c>
      <c r="F5823" s="68">
        <v>7131</v>
      </c>
      <c r="G5823" s="68">
        <v>13136</v>
      </c>
    </row>
    <row r="5824" spans="1:7" x14ac:dyDescent="0.3">
      <c r="A5824" t="s">
        <v>1268</v>
      </c>
      <c r="B5824" t="s">
        <v>36</v>
      </c>
      <c r="C5824" t="s">
        <v>6</v>
      </c>
      <c r="D5824" t="s">
        <v>14</v>
      </c>
      <c r="E5824" s="68">
        <v>5731</v>
      </c>
      <c r="F5824" s="68">
        <v>6994</v>
      </c>
      <c r="G5824" s="68">
        <v>12725</v>
      </c>
    </row>
    <row r="5825" spans="1:7" x14ac:dyDescent="0.3">
      <c r="A5825" t="s">
        <v>1268</v>
      </c>
      <c r="B5825" t="s">
        <v>36</v>
      </c>
      <c r="C5825" t="s">
        <v>6</v>
      </c>
      <c r="D5825" t="s">
        <v>15</v>
      </c>
      <c r="E5825" s="68">
        <v>5070</v>
      </c>
      <c r="F5825" s="68">
        <v>6087</v>
      </c>
      <c r="G5825" s="68">
        <v>11157</v>
      </c>
    </row>
    <row r="5826" spans="1:7" x14ac:dyDescent="0.3">
      <c r="A5826" t="s">
        <v>1268</v>
      </c>
      <c r="B5826" t="s">
        <v>36</v>
      </c>
      <c r="C5826" t="s">
        <v>6</v>
      </c>
      <c r="D5826" t="s">
        <v>16</v>
      </c>
      <c r="E5826" s="68">
        <v>4200</v>
      </c>
      <c r="F5826" s="68">
        <v>5114</v>
      </c>
      <c r="G5826" s="68">
        <v>9314</v>
      </c>
    </row>
    <row r="5827" spans="1:7" x14ac:dyDescent="0.3">
      <c r="A5827" t="s">
        <v>1268</v>
      </c>
      <c r="B5827" t="s">
        <v>36</v>
      </c>
      <c r="C5827" t="s">
        <v>6</v>
      </c>
      <c r="D5827" t="s">
        <v>17</v>
      </c>
      <c r="E5827" s="68">
        <v>3269</v>
      </c>
      <c r="F5827" s="68">
        <v>3966</v>
      </c>
      <c r="G5827" s="68">
        <v>7235</v>
      </c>
    </row>
    <row r="5828" spans="1:7" x14ac:dyDescent="0.3">
      <c r="A5828" t="s">
        <v>1268</v>
      </c>
      <c r="B5828" t="s">
        <v>36</v>
      </c>
      <c r="C5828" t="s">
        <v>6</v>
      </c>
      <c r="D5828" t="s">
        <v>18</v>
      </c>
      <c r="E5828" s="68">
        <v>2740</v>
      </c>
      <c r="F5828" s="68">
        <v>3181</v>
      </c>
      <c r="G5828" s="68">
        <v>5921</v>
      </c>
    </row>
    <row r="5829" spans="1:7" x14ac:dyDescent="0.3">
      <c r="A5829" t="s">
        <v>1268</v>
      </c>
      <c r="B5829" t="s">
        <v>36</v>
      </c>
      <c r="C5829" t="s">
        <v>6</v>
      </c>
      <c r="D5829" t="s">
        <v>19</v>
      </c>
      <c r="E5829" s="68">
        <v>2233</v>
      </c>
      <c r="F5829" s="68">
        <v>2574</v>
      </c>
      <c r="G5829" s="68">
        <v>4807</v>
      </c>
    </row>
    <row r="5830" spans="1:7" x14ac:dyDescent="0.3">
      <c r="A5830" t="s">
        <v>1268</v>
      </c>
      <c r="B5830" t="s">
        <v>36</v>
      </c>
      <c r="C5830" t="s">
        <v>6</v>
      </c>
      <c r="D5830" t="s">
        <v>20</v>
      </c>
      <c r="E5830" s="68">
        <v>1639</v>
      </c>
      <c r="F5830" s="68">
        <v>1782</v>
      </c>
      <c r="G5830" s="68">
        <v>3421</v>
      </c>
    </row>
    <row r="5831" spans="1:7" x14ac:dyDescent="0.3">
      <c r="A5831" t="s">
        <v>1268</v>
      </c>
      <c r="B5831" t="s">
        <v>36</v>
      </c>
      <c r="C5831" t="s">
        <v>6</v>
      </c>
      <c r="D5831" t="s">
        <v>21</v>
      </c>
      <c r="E5831" s="68">
        <v>1149</v>
      </c>
      <c r="F5831" s="68">
        <v>1094</v>
      </c>
      <c r="G5831" s="68">
        <v>2243</v>
      </c>
    </row>
    <row r="5832" spans="1:7" x14ac:dyDescent="0.3">
      <c r="A5832" t="s">
        <v>1268</v>
      </c>
      <c r="B5832" t="s">
        <v>36</v>
      </c>
      <c r="C5832" t="s">
        <v>6</v>
      </c>
      <c r="D5832" t="s">
        <v>22</v>
      </c>
      <c r="E5832" s="68">
        <v>759</v>
      </c>
      <c r="F5832" s="68">
        <v>726</v>
      </c>
      <c r="G5832" s="68">
        <v>1485</v>
      </c>
    </row>
    <row r="5833" spans="1:7" x14ac:dyDescent="0.3">
      <c r="A5833" t="s">
        <v>1268</v>
      </c>
      <c r="B5833" t="s">
        <v>36</v>
      </c>
      <c r="C5833" t="s">
        <v>6</v>
      </c>
      <c r="D5833" t="s">
        <v>23</v>
      </c>
      <c r="E5833" s="68">
        <v>796</v>
      </c>
      <c r="F5833" s="68">
        <v>634</v>
      </c>
      <c r="G5833" s="68">
        <v>1430</v>
      </c>
    </row>
    <row r="5834" spans="1:7" x14ac:dyDescent="0.3">
      <c r="A5834" t="s">
        <v>1268</v>
      </c>
      <c r="B5834" t="s">
        <v>36</v>
      </c>
      <c r="C5834" t="s">
        <v>24</v>
      </c>
      <c r="D5834" t="s">
        <v>7</v>
      </c>
      <c r="E5834" s="68">
        <v>1362</v>
      </c>
      <c r="F5834" s="68">
        <v>1414</v>
      </c>
      <c r="G5834" s="68">
        <v>2776</v>
      </c>
    </row>
    <row r="5835" spans="1:7" x14ac:dyDescent="0.3">
      <c r="A5835" t="s">
        <v>1268</v>
      </c>
      <c r="B5835" t="s">
        <v>36</v>
      </c>
      <c r="C5835" t="s">
        <v>24</v>
      </c>
      <c r="D5835" t="s">
        <v>8</v>
      </c>
      <c r="E5835" s="68">
        <v>1698</v>
      </c>
      <c r="F5835" s="68">
        <v>1776</v>
      </c>
      <c r="G5835" s="68">
        <v>3474</v>
      </c>
    </row>
    <row r="5836" spans="1:7" x14ac:dyDescent="0.3">
      <c r="A5836" t="s">
        <v>1268</v>
      </c>
      <c r="B5836" t="s">
        <v>36</v>
      </c>
      <c r="C5836" t="s">
        <v>24</v>
      </c>
      <c r="D5836" t="s">
        <v>9</v>
      </c>
      <c r="E5836" s="68">
        <v>1809</v>
      </c>
      <c r="F5836" s="68">
        <v>1941</v>
      </c>
      <c r="G5836" s="68">
        <v>3750</v>
      </c>
    </row>
    <row r="5837" spans="1:7" x14ac:dyDescent="0.3">
      <c r="A5837" t="s">
        <v>1268</v>
      </c>
      <c r="B5837" t="s">
        <v>36</v>
      </c>
      <c r="C5837" t="s">
        <v>24</v>
      </c>
      <c r="D5837" t="s">
        <v>10</v>
      </c>
      <c r="E5837" s="68">
        <v>1987</v>
      </c>
      <c r="F5837" s="68">
        <v>1997</v>
      </c>
      <c r="G5837" s="68">
        <v>3984</v>
      </c>
    </row>
    <row r="5838" spans="1:7" x14ac:dyDescent="0.3">
      <c r="A5838" t="s">
        <v>1268</v>
      </c>
      <c r="B5838" t="s">
        <v>36</v>
      </c>
      <c r="C5838" t="s">
        <v>24</v>
      </c>
      <c r="D5838" t="s">
        <v>11</v>
      </c>
      <c r="E5838" s="68">
        <v>2338</v>
      </c>
      <c r="F5838" s="68">
        <v>2473</v>
      </c>
      <c r="G5838" s="68">
        <v>4811</v>
      </c>
    </row>
    <row r="5839" spans="1:7" x14ac:dyDescent="0.3">
      <c r="A5839" t="s">
        <v>1268</v>
      </c>
      <c r="B5839" t="s">
        <v>36</v>
      </c>
      <c r="C5839" t="s">
        <v>24</v>
      </c>
      <c r="D5839" t="s">
        <v>12</v>
      </c>
      <c r="E5839" s="68">
        <v>2691</v>
      </c>
      <c r="F5839" s="68">
        <v>2786</v>
      </c>
      <c r="G5839" s="68">
        <v>5477</v>
      </c>
    </row>
    <row r="5840" spans="1:7" x14ac:dyDescent="0.3">
      <c r="A5840" t="s">
        <v>1268</v>
      </c>
      <c r="B5840" t="s">
        <v>36</v>
      </c>
      <c r="C5840" t="s">
        <v>24</v>
      </c>
      <c r="D5840" t="s">
        <v>13</v>
      </c>
      <c r="E5840" s="68">
        <v>2326</v>
      </c>
      <c r="F5840" s="68">
        <v>2473</v>
      </c>
      <c r="G5840" s="68">
        <v>4799</v>
      </c>
    </row>
    <row r="5841" spans="1:7" x14ac:dyDescent="0.3">
      <c r="A5841" t="s">
        <v>1268</v>
      </c>
      <c r="B5841" t="s">
        <v>36</v>
      </c>
      <c r="C5841" t="s">
        <v>24</v>
      </c>
      <c r="D5841" t="s">
        <v>14</v>
      </c>
      <c r="E5841" s="68">
        <v>2118</v>
      </c>
      <c r="F5841" s="68">
        <v>2245</v>
      </c>
      <c r="G5841" s="68">
        <v>4363</v>
      </c>
    </row>
    <row r="5842" spans="1:7" x14ac:dyDescent="0.3">
      <c r="A5842" t="s">
        <v>1268</v>
      </c>
      <c r="B5842" t="s">
        <v>36</v>
      </c>
      <c r="C5842" t="s">
        <v>24</v>
      </c>
      <c r="D5842" t="s">
        <v>15</v>
      </c>
      <c r="E5842" s="68">
        <v>1851</v>
      </c>
      <c r="F5842" s="68">
        <v>1952</v>
      </c>
      <c r="G5842" s="68">
        <v>3803</v>
      </c>
    </row>
    <row r="5843" spans="1:7" x14ac:dyDescent="0.3">
      <c r="A5843" t="s">
        <v>1268</v>
      </c>
      <c r="B5843" t="s">
        <v>36</v>
      </c>
      <c r="C5843" t="s">
        <v>24</v>
      </c>
      <c r="D5843" t="s">
        <v>16</v>
      </c>
      <c r="E5843" s="68">
        <v>1657</v>
      </c>
      <c r="F5843" s="68">
        <v>1585</v>
      </c>
      <c r="G5843" s="68">
        <v>3242</v>
      </c>
    </row>
    <row r="5844" spans="1:7" x14ac:dyDescent="0.3">
      <c r="A5844" t="s">
        <v>1268</v>
      </c>
      <c r="B5844" t="s">
        <v>36</v>
      </c>
      <c r="C5844" t="s">
        <v>24</v>
      </c>
      <c r="D5844" t="s">
        <v>17</v>
      </c>
      <c r="E5844" s="68">
        <v>1309</v>
      </c>
      <c r="F5844" s="68">
        <v>1338</v>
      </c>
      <c r="G5844" s="68">
        <v>2647</v>
      </c>
    </row>
    <row r="5845" spans="1:7" x14ac:dyDescent="0.3">
      <c r="A5845" t="s">
        <v>1268</v>
      </c>
      <c r="B5845" t="s">
        <v>36</v>
      </c>
      <c r="C5845" t="s">
        <v>24</v>
      </c>
      <c r="D5845" t="s">
        <v>18</v>
      </c>
      <c r="E5845" s="68">
        <v>1220</v>
      </c>
      <c r="F5845" s="68">
        <v>1200</v>
      </c>
      <c r="G5845" s="68">
        <v>2420</v>
      </c>
    </row>
    <row r="5846" spans="1:7" x14ac:dyDescent="0.3">
      <c r="A5846" t="s">
        <v>1268</v>
      </c>
      <c r="B5846" t="s">
        <v>36</v>
      </c>
      <c r="C5846" t="s">
        <v>24</v>
      </c>
      <c r="D5846" t="s">
        <v>19</v>
      </c>
      <c r="E5846" s="68">
        <v>941</v>
      </c>
      <c r="F5846" s="68">
        <v>999</v>
      </c>
      <c r="G5846" s="68">
        <v>1940</v>
      </c>
    </row>
    <row r="5847" spans="1:7" x14ac:dyDescent="0.3">
      <c r="A5847" t="s">
        <v>1268</v>
      </c>
      <c r="B5847" t="s">
        <v>36</v>
      </c>
      <c r="C5847" t="s">
        <v>24</v>
      </c>
      <c r="D5847" t="s">
        <v>20</v>
      </c>
      <c r="E5847" s="68">
        <v>622</v>
      </c>
      <c r="F5847" s="68">
        <v>695</v>
      </c>
      <c r="G5847" s="68">
        <v>1317</v>
      </c>
    </row>
    <row r="5848" spans="1:7" x14ac:dyDescent="0.3">
      <c r="A5848" t="s">
        <v>1268</v>
      </c>
      <c r="B5848" t="s">
        <v>36</v>
      </c>
      <c r="C5848" t="s">
        <v>24</v>
      </c>
      <c r="D5848" t="s">
        <v>21</v>
      </c>
      <c r="E5848" s="68">
        <v>361</v>
      </c>
      <c r="F5848" s="68">
        <v>460</v>
      </c>
      <c r="G5848" s="68">
        <v>821</v>
      </c>
    </row>
    <row r="5849" spans="1:7" x14ac:dyDescent="0.3">
      <c r="A5849" t="s">
        <v>1268</v>
      </c>
      <c r="B5849" t="s">
        <v>36</v>
      </c>
      <c r="C5849" t="s">
        <v>24</v>
      </c>
      <c r="D5849" t="s">
        <v>22</v>
      </c>
      <c r="E5849" s="68">
        <v>216</v>
      </c>
      <c r="F5849" s="68">
        <v>253</v>
      </c>
      <c r="G5849" s="68">
        <v>469</v>
      </c>
    </row>
    <row r="5850" spans="1:7" x14ac:dyDescent="0.3">
      <c r="A5850" t="s">
        <v>1268</v>
      </c>
      <c r="B5850" t="s">
        <v>36</v>
      </c>
      <c r="C5850" t="s">
        <v>24</v>
      </c>
      <c r="D5850" t="s">
        <v>23</v>
      </c>
      <c r="E5850" s="68">
        <v>227</v>
      </c>
      <c r="F5850" s="68">
        <v>215</v>
      </c>
      <c r="G5850" s="68">
        <v>442</v>
      </c>
    </row>
    <row r="5851" spans="1:7" x14ac:dyDescent="0.3">
      <c r="A5851" t="s">
        <v>625</v>
      </c>
      <c r="B5851" t="s">
        <v>38</v>
      </c>
      <c r="C5851" t="s">
        <v>6</v>
      </c>
      <c r="D5851" t="s">
        <v>7</v>
      </c>
      <c r="E5851" s="68">
        <v>62</v>
      </c>
      <c r="F5851" s="68">
        <v>61</v>
      </c>
      <c r="G5851" s="68">
        <v>123</v>
      </c>
    </row>
    <row r="5852" spans="1:7" x14ac:dyDescent="0.3">
      <c r="A5852" t="s">
        <v>625</v>
      </c>
      <c r="B5852" t="s">
        <v>38</v>
      </c>
      <c r="C5852" t="s">
        <v>6</v>
      </c>
      <c r="D5852" t="s">
        <v>8</v>
      </c>
      <c r="E5852" s="68">
        <v>31</v>
      </c>
      <c r="F5852" s="68">
        <v>45</v>
      </c>
      <c r="G5852" s="68">
        <v>76</v>
      </c>
    </row>
    <row r="5853" spans="1:7" x14ac:dyDescent="0.3">
      <c r="A5853" t="s">
        <v>625</v>
      </c>
      <c r="B5853" t="s">
        <v>38</v>
      </c>
      <c r="C5853" t="s">
        <v>6</v>
      </c>
      <c r="D5853" t="s">
        <v>9</v>
      </c>
      <c r="E5853" s="68">
        <v>33</v>
      </c>
      <c r="F5853" s="68">
        <v>32</v>
      </c>
      <c r="G5853" s="68">
        <v>65</v>
      </c>
    </row>
    <row r="5854" spans="1:7" x14ac:dyDescent="0.3">
      <c r="A5854" t="s">
        <v>625</v>
      </c>
      <c r="B5854" t="s">
        <v>38</v>
      </c>
      <c r="C5854" t="s">
        <v>6</v>
      </c>
      <c r="D5854" t="s">
        <v>10</v>
      </c>
      <c r="E5854" s="68">
        <v>95</v>
      </c>
      <c r="F5854" s="68">
        <v>87</v>
      </c>
      <c r="G5854" s="68">
        <v>182</v>
      </c>
    </row>
    <row r="5855" spans="1:7" x14ac:dyDescent="0.3">
      <c r="A5855" t="s">
        <v>625</v>
      </c>
      <c r="B5855" t="s">
        <v>38</v>
      </c>
      <c r="C5855" t="s">
        <v>6</v>
      </c>
      <c r="D5855" t="s">
        <v>11</v>
      </c>
      <c r="E5855" s="68">
        <v>429</v>
      </c>
      <c r="F5855" s="68">
        <v>522</v>
      </c>
      <c r="G5855" s="68">
        <v>951</v>
      </c>
    </row>
    <row r="5856" spans="1:7" x14ac:dyDescent="0.3">
      <c r="A5856" t="s">
        <v>625</v>
      </c>
      <c r="B5856" t="s">
        <v>38</v>
      </c>
      <c r="C5856" t="s">
        <v>6</v>
      </c>
      <c r="D5856" t="s">
        <v>12</v>
      </c>
      <c r="E5856" s="68">
        <v>641</v>
      </c>
      <c r="F5856" s="68">
        <v>655</v>
      </c>
      <c r="G5856" s="68">
        <v>1296</v>
      </c>
    </row>
    <row r="5857" spans="1:7" x14ac:dyDescent="0.3">
      <c r="A5857" t="s">
        <v>625</v>
      </c>
      <c r="B5857" t="s">
        <v>38</v>
      </c>
      <c r="C5857" t="s">
        <v>6</v>
      </c>
      <c r="D5857" t="s">
        <v>13</v>
      </c>
      <c r="E5857" s="68">
        <v>525</v>
      </c>
      <c r="F5857" s="68">
        <v>488</v>
      </c>
      <c r="G5857" s="68">
        <v>1013</v>
      </c>
    </row>
    <row r="5858" spans="1:7" x14ac:dyDescent="0.3">
      <c r="A5858" t="s">
        <v>625</v>
      </c>
      <c r="B5858" t="s">
        <v>38</v>
      </c>
      <c r="C5858" t="s">
        <v>6</v>
      </c>
      <c r="D5858" t="s">
        <v>14</v>
      </c>
      <c r="E5858" s="68">
        <v>322</v>
      </c>
      <c r="F5858" s="68">
        <v>308</v>
      </c>
      <c r="G5858" s="68">
        <v>630</v>
      </c>
    </row>
    <row r="5859" spans="1:7" x14ac:dyDescent="0.3">
      <c r="A5859" t="s">
        <v>625</v>
      </c>
      <c r="B5859" t="s">
        <v>38</v>
      </c>
      <c r="C5859" t="s">
        <v>6</v>
      </c>
      <c r="D5859" t="s">
        <v>15</v>
      </c>
      <c r="E5859" s="68">
        <v>246</v>
      </c>
      <c r="F5859" s="68">
        <v>238</v>
      </c>
      <c r="G5859" s="68">
        <v>484</v>
      </c>
    </row>
    <row r="5860" spans="1:7" x14ac:dyDescent="0.3">
      <c r="A5860" t="s">
        <v>625</v>
      </c>
      <c r="B5860" t="s">
        <v>38</v>
      </c>
      <c r="C5860" t="s">
        <v>6</v>
      </c>
      <c r="D5860" t="s">
        <v>16</v>
      </c>
      <c r="E5860" s="68">
        <v>203</v>
      </c>
      <c r="F5860" s="68">
        <v>200</v>
      </c>
      <c r="G5860" s="68">
        <v>403</v>
      </c>
    </row>
    <row r="5861" spans="1:7" x14ac:dyDescent="0.3">
      <c r="A5861" t="s">
        <v>625</v>
      </c>
      <c r="B5861" t="s">
        <v>38</v>
      </c>
      <c r="C5861" t="s">
        <v>6</v>
      </c>
      <c r="D5861" t="s">
        <v>17</v>
      </c>
      <c r="E5861" s="68">
        <v>92</v>
      </c>
      <c r="F5861" s="68">
        <v>143</v>
      </c>
      <c r="G5861" s="68">
        <v>235</v>
      </c>
    </row>
    <row r="5862" spans="1:7" x14ac:dyDescent="0.3">
      <c r="A5862" t="s">
        <v>625</v>
      </c>
      <c r="B5862" t="s">
        <v>38</v>
      </c>
      <c r="C5862" t="s">
        <v>6</v>
      </c>
      <c r="D5862" t="s">
        <v>18</v>
      </c>
      <c r="E5862" s="68">
        <v>55</v>
      </c>
      <c r="F5862" s="68">
        <v>89</v>
      </c>
      <c r="G5862" s="68">
        <v>144</v>
      </c>
    </row>
    <row r="5863" spans="1:7" x14ac:dyDescent="0.3">
      <c r="A5863" t="s">
        <v>625</v>
      </c>
      <c r="B5863" t="s">
        <v>38</v>
      </c>
      <c r="C5863" t="s">
        <v>6</v>
      </c>
      <c r="D5863" t="s">
        <v>19</v>
      </c>
      <c r="E5863" s="68">
        <v>25</v>
      </c>
      <c r="F5863" s="68">
        <v>69</v>
      </c>
      <c r="G5863" s="68">
        <v>94</v>
      </c>
    </row>
    <row r="5864" spans="1:7" x14ac:dyDescent="0.3">
      <c r="A5864" t="s">
        <v>625</v>
      </c>
      <c r="B5864" t="s">
        <v>38</v>
      </c>
      <c r="C5864" t="s">
        <v>6</v>
      </c>
      <c r="D5864" t="s">
        <v>20</v>
      </c>
      <c r="E5864" s="68">
        <v>11</v>
      </c>
      <c r="F5864" s="68">
        <v>40</v>
      </c>
      <c r="G5864" s="68">
        <v>51</v>
      </c>
    </row>
    <row r="5865" spans="1:7" x14ac:dyDescent="0.3">
      <c r="A5865" t="s">
        <v>625</v>
      </c>
      <c r="B5865" t="s">
        <v>38</v>
      </c>
      <c r="C5865" t="s">
        <v>6</v>
      </c>
      <c r="D5865" t="s">
        <v>21</v>
      </c>
      <c r="E5865" s="68">
        <v>5</v>
      </c>
      <c r="F5865" s="68">
        <v>24</v>
      </c>
      <c r="G5865" s="68">
        <v>29</v>
      </c>
    </row>
    <row r="5866" spans="1:7" x14ac:dyDescent="0.3">
      <c r="A5866" t="s">
        <v>625</v>
      </c>
      <c r="B5866" t="s">
        <v>38</v>
      </c>
      <c r="C5866" t="s">
        <v>6</v>
      </c>
      <c r="D5866" t="s">
        <v>22</v>
      </c>
      <c r="E5866" s="68">
        <v>5</v>
      </c>
      <c r="F5866" s="68">
        <v>7</v>
      </c>
      <c r="G5866" s="68">
        <v>12</v>
      </c>
    </row>
    <row r="5867" spans="1:7" x14ac:dyDescent="0.3">
      <c r="A5867" t="s">
        <v>625</v>
      </c>
      <c r="B5867" t="s">
        <v>38</v>
      </c>
      <c r="C5867" t="s">
        <v>6</v>
      </c>
      <c r="D5867" t="s">
        <v>23</v>
      </c>
      <c r="E5867" s="68">
        <v>6</v>
      </c>
      <c r="F5867" s="68">
        <v>7</v>
      </c>
      <c r="G5867" s="68">
        <v>13</v>
      </c>
    </row>
    <row r="5868" spans="1:7" x14ac:dyDescent="0.3">
      <c r="A5868" t="s">
        <v>625</v>
      </c>
      <c r="B5868" t="s">
        <v>38</v>
      </c>
      <c r="C5868" t="s">
        <v>24</v>
      </c>
      <c r="D5868" t="s">
        <v>7</v>
      </c>
      <c r="E5868" s="68">
        <v>5187</v>
      </c>
      <c r="F5868" s="68">
        <v>5384</v>
      </c>
      <c r="G5868" s="68">
        <v>10571</v>
      </c>
    </row>
    <row r="5869" spans="1:7" x14ac:dyDescent="0.3">
      <c r="A5869" t="s">
        <v>625</v>
      </c>
      <c r="B5869" t="s">
        <v>38</v>
      </c>
      <c r="C5869" t="s">
        <v>24</v>
      </c>
      <c r="D5869" t="s">
        <v>8</v>
      </c>
      <c r="E5869" s="68">
        <v>6287</v>
      </c>
      <c r="F5869" s="68">
        <v>6373</v>
      </c>
      <c r="G5869" s="68">
        <v>12660</v>
      </c>
    </row>
    <row r="5870" spans="1:7" x14ac:dyDescent="0.3">
      <c r="A5870" t="s">
        <v>625</v>
      </c>
      <c r="B5870" t="s">
        <v>38</v>
      </c>
      <c r="C5870" t="s">
        <v>24</v>
      </c>
      <c r="D5870" t="s">
        <v>9</v>
      </c>
      <c r="E5870" s="68">
        <v>6948</v>
      </c>
      <c r="F5870" s="68">
        <v>7505</v>
      </c>
      <c r="G5870" s="68">
        <v>14453</v>
      </c>
    </row>
    <row r="5871" spans="1:7" x14ac:dyDescent="0.3">
      <c r="A5871" t="s">
        <v>625</v>
      </c>
      <c r="B5871" t="s">
        <v>38</v>
      </c>
      <c r="C5871" t="s">
        <v>24</v>
      </c>
      <c r="D5871" t="s">
        <v>10</v>
      </c>
      <c r="E5871" s="68">
        <v>8192</v>
      </c>
      <c r="F5871" s="68">
        <v>8357</v>
      </c>
      <c r="G5871" s="68">
        <v>16549</v>
      </c>
    </row>
    <row r="5872" spans="1:7" x14ac:dyDescent="0.3">
      <c r="A5872" t="s">
        <v>625</v>
      </c>
      <c r="B5872" t="s">
        <v>38</v>
      </c>
      <c r="C5872" t="s">
        <v>24</v>
      </c>
      <c r="D5872" t="s">
        <v>11</v>
      </c>
      <c r="E5872" s="68">
        <v>7401</v>
      </c>
      <c r="F5872" s="68">
        <v>7310</v>
      </c>
      <c r="G5872" s="68">
        <v>14711</v>
      </c>
    </row>
    <row r="5873" spans="1:7" x14ac:dyDescent="0.3">
      <c r="A5873" t="s">
        <v>625</v>
      </c>
      <c r="B5873" t="s">
        <v>38</v>
      </c>
      <c r="C5873" t="s">
        <v>24</v>
      </c>
      <c r="D5873" t="s">
        <v>12</v>
      </c>
      <c r="E5873" s="68">
        <v>6453</v>
      </c>
      <c r="F5873" s="68">
        <v>7122</v>
      </c>
      <c r="G5873" s="68">
        <v>13575</v>
      </c>
    </row>
    <row r="5874" spans="1:7" x14ac:dyDescent="0.3">
      <c r="A5874" t="s">
        <v>625</v>
      </c>
      <c r="B5874" t="s">
        <v>38</v>
      </c>
      <c r="C5874" t="s">
        <v>24</v>
      </c>
      <c r="D5874" t="s">
        <v>13</v>
      </c>
      <c r="E5874" s="68">
        <v>5331</v>
      </c>
      <c r="F5874" s="68">
        <v>5528</v>
      </c>
      <c r="G5874" s="68">
        <v>10859</v>
      </c>
    </row>
    <row r="5875" spans="1:7" x14ac:dyDescent="0.3">
      <c r="A5875" t="s">
        <v>625</v>
      </c>
      <c r="B5875" t="s">
        <v>38</v>
      </c>
      <c r="C5875" t="s">
        <v>24</v>
      </c>
      <c r="D5875" t="s">
        <v>14</v>
      </c>
      <c r="E5875" s="68">
        <v>4882</v>
      </c>
      <c r="F5875" s="68">
        <v>4916</v>
      </c>
      <c r="G5875" s="68">
        <v>9798</v>
      </c>
    </row>
    <row r="5876" spans="1:7" x14ac:dyDescent="0.3">
      <c r="A5876" t="s">
        <v>625</v>
      </c>
      <c r="B5876" t="s">
        <v>38</v>
      </c>
      <c r="C5876" t="s">
        <v>24</v>
      </c>
      <c r="D5876" t="s">
        <v>15</v>
      </c>
      <c r="E5876" s="68">
        <v>4414</v>
      </c>
      <c r="F5876" s="68">
        <v>4681</v>
      </c>
      <c r="G5876" s="68">
        <v>9095</v>
      </c>
    </row>
    <row r="5877" spans="1:7" x14ac:dyDescent="0.3">
      <c r="A5877" t="s">
        <v>625</v>
      </c>
      <c r="B5877" t="s">
        <v>38</v>
      </c>
      <c r="C5877" t="s">
        <v>24</v>
      </c>
      <c r="D5877" t="s">
        <v>16</v>
      </c>
      <c r="E5877" s="68">
        <v>3810</v>
      </c>
      <c r="F5877" s="68">
        <v>4355</v>
      </c>
      <c r="G5877" s="68">
        <v>8165</v>
      </c>
    </row>
    <row r="5878" spans="1:7" x14ac:dyDescent="0.3">
      <c r="A5878" t="s">
        <v>625</v>
      </c>
      <c r="B5878" t="s">
        <v>38</v>
      </c>
      <c r="C5878" t="s">
        <v>24</v>
      </c>
      <c r="D5878" t="s">
        <v>17</v>
      </c>
      <c r="E5878" s="68">
        <v>3156</v>
      </c>
      <c r="F5878" s="68">
        <v>3658</v>
      </c>
      <c r="G5878" s="68">
        <v>6814</v>
      </c>
    </row>
    <row r="5879" spans="1:7" x14ac:dyDescent="0.3">
      <c r="A5879" t="s">
        <v>625</v>
      </c>
      <c r="B5879" t="s">
        <v>38</v>
      </c>
      <c r="C5879" t="s">
        <v>24</v>
      </c>
      <c r="D5879" t="s">
        <v>18</v>
      </c>
      <c r="E5879" s="68">
        <v>2686</v>
      </c>
      <c r="F5879" s="68">
        <v>3148</v>
      </c>
      <c r="G5879" s="68">
        <v>5834</v>
      </c>
    </row>
    <row r="5880" spans="1:7" x14ac:dyDescent="0.3">
      <c r="A5880" t="s">
        <v>625</v>
      </c>
      <c r="B5880" t="s">
        <v>38</v>
      </c>
      <c r="C5880" t="s">
        <v>24</v>
      </c>
      <c r="D5880" t="s">
        <v>19</v>
      </c>
      <c r="E5880" s="68">
        <v>2301</v>
      </c>
      <c r="F5880" s="68">
        <v>2696</v>
      </c>
      <c r="G5880" s="68">
        <v>4997</v>
      </c>
    </row>
    <row r="5881" spans="1:7" x14ac:dyDescent="0.3">
      <c r="A5881" t="s">
        <v>625</v>
      </c>
      <c r="B5881" t="s">
        <v>38</v>
      </c>
      <c r="C5881" t="s">
        <v>24</v>
      </c>
      <c r="D5881" t="s">
        <v>20</v>
      </c>
      <c r="E5881" s="68">
        <v>1996</v>
      </c>
      <c r="F5881" s="68">
        <v>2105</v>
      </c>
      <c r="G5881" s="68">
        <v>4101</v>
      </c>
    </row>
    <row r="5882" spans="1:7" x14ac:dyDescent="0.3">
      <c r="A5882" t="s">
        <v>625</v>
      </c>
      <c r="B5882" t="s">
        <v>38</v>
      </c>
      <c r="C5882" t="s">
        <v>24</v>
      </c>
      <c r="D5882" t="s">
        <v>21</v>
      </c>
      <c r="E5882" s="68">
        <v>1636</v>
      </c>
      <c r="F5882" s="68">
        <v>1783</v>
      </c>
      <c r="G5882" s="68">
        <v>3419</v>
      </c>
    </row>
    <row r="5883" spans="1:7" x14ac:dyDescent="0.3">
      <c r="A5883" t="s">
        <v>625</v>
      </c>
      <c r="B5883" t="s">
        <v>38</v>
      </c>
      <c r="C5883" t="s">
        <v>24</v>
      </c>
      <c r="D5883" t="s">
        <v>22</v>
      </c>
      <c r="E5883" s="68">
        <v>1225</v>
      </c>
      <c r="F5883" s="68">
        <v>1337</v>
      </c>
      <c r="G5883" s="68">
        <v>2562</v>
      </c>
    </row>
    <row r="5884" spans="1:7" x14ac:dyDescent="0.3">
      <c r="A5884" t="s">
        <v>625</v>
      </c>
      <c r="B5884" t="s">
        <v>38</v>
      </c>
      <c r="C5884" t="s">
        <v>24</v>
      </c>
      <c r="D5884" t="s">
        <v>23</v>
      </c>
      <c r="E5884" s="68">
        <v>2640</v>
      </c>
      <c r="F5884" s="68">
        <v>2470</v>
      </c>
      <c r="G5884" s="68">
        <v>5110</v>
      </c>
    </row>
    <row r="5885" spans="1:7" x14ac:dyDescent="0.3">
      <c r="A5885" t="s">
        <v>625</v>
      </c>
      <c r="B5885" t="s">
        <v>40</v>
      </c>
      <c r="C5885" t="s">
        <v>6</v>
      </c>
      <c r="D5885" t="s">
        <v>7</v>
      </c>
      <c r="E5885" s="68">
        <v>353</v>
      </c>
      <c r="F5885" s="68">
        <v>396</v>
      </c>
      <c r="G5885" s="68">
        <v>749</v>
      </c>
    </row>
    <row r="5886" spans="1:7" x14ac:dyDescent="0.3">
      <c r="A5886" t="s">
        <v>625</v>
      </c>
      <c r="B5886" t="s">
        <v>40</v>
      </c>
      <c r="C5886" t="s">
        <v>6</v>
      </c>
      <c r="D5886" t="s">
        <v>8</v>
      </c>
      <c r="E5886" s="68">
        <v>259</v>
      </c>
      <c r="F5886" s="68">
        <v>299</v>
      </c>
      <c r="G5886" s="68">
        <v>558</v>
      </c>
    </row>
    <row r="5887" spans="1:7" x14ac:dyDescent="0.3">
      <c r="A5887" t="s">
        <v>625</v>
      </c>
      <c r="B5887" t="s">
        <v>40</v>
      </c>
      <c r="C5887" t="s">
        <v>6</v>
      </c>
      <c r="D5887" t="s">
        <v>9</v>
      </c>
      <c r="E5887" s="68">
        <v>226</v>
      </c>
      <c r="F5887" s="68">
        <v>250</v>
      </c>
      <c r="G5887" s="68">
        <v>476</v>
      </c>
    </row>
    <row r="5888" spans="1:7" x14ac:dyDescent="0.3">
      <c r="A5888" t="s">
        <v>625</v>
      </c>
      <c r="B5888" t="s">
        <v>40</v>
      </c>
      <c r="C5888" t="s">
        <v>6</v>
      </c>
      <c r="D5888" t="s">
        <v>10</v>
      </c>
      <c r="E5888" s="68">
        <v>429</v>
      </c>
      <c r="F5888" s="68">
        <v>514</v>
      </c>
      <c r="G5888" s="68">
        <v>943</v>
      </c>
    </row>
    <row r="5889" spans="1:7" x14ac:dyDescent="0.3">
      <c r="A5889" t="s">
        <v>625</v>
      </c>
      <c r="B5889" t="s">
        <v>40</v>
      </c>
      <c r="C5889" t="s">
        <v>6</v>
      </c>
      <c r="D5889" t="s">
        <v>11</v>
      </c>
      <c r="E5889" s="68">
        <v>2034</v>
      </c>
      <c r="F5889" s="68">
        <v>2455</v>
      </c>
      <c r="G5889" s="68">
        <v>4489</v>
      </c>
    </row>
    <row r="5890" spans="1:7" x14ac:dyDescent="0.3">
      <c r="A5890" t="s">
        <v>625</v>
      </c>
      <c r="B5890" t="s">
        <v>40</v>
      </c>
      <c r="C5890" t="s">
        <v>6</v>
      </c>
      <c r="D5890" t="s">
        <v>12</v>
      </c>
      <c r="E5890" s="68">
        <v>3633</v>
      </c>
      <c r="F5890" s="68">
        <v>3694</v>
      </c>
      <c r="G5890" s="68">
        <v>7327</v>
      </c>
    </row>
    <row r="5891" spans="1:7" x14ac:dyDescent="0.3">
      <c r="A5891" t="s">
        <v>625</v>
      </c>
      <c r="B5891" t="s">
        <v>40</v>
      </c>
      <c r="C5891" t="s">
        <v>6</v>
      </c>
      <c r="D5891" t="s">
        <v>13</v>
      </c>
      <c r="E5891" s="68">
        <v>3253</v>
      </c>
      <c r="F5891" s="68">
        <v>3324</v>
      </c>
      <c r="G5891" s="68">
        <v>6577</v>
      </c>
    </row>
    <row r="5892" spans="1:7" x14ac:dyDescent="0.3">
      <c r="A5892" t="s">
        <v>625</v>
      </c>
      <c r="B5892" t="s">
        <v>40</v>
      </c>
      <c r="C5892" t="s">
        <v>6</v>
      </c>
      <c r="D5892" t="s">
        <v>14</v>
      </c>
      <c r="E5892" s="68">
        <v>2144</v>
      </c>
      <c r="F5892" s="68">
        <v>2361</v>
      </c>
      <c r="G5892" s="68">
        <v>4505</v>
      </c>
    </row>
    <row r="5893" spans="1:7" x14ac:dyDescent="0.3">
      <c r="A5893" t="s">
        <v>625</v>
      </c>
      <c r="B5893" t="s">
        <v>40</v>
      </c>
      <c r="C5893" t="s">
        <v>6</v>
      </c>
      <c r="D5893" t="s">
        <v>15</v>
      </c>
      <c r="E5893" s="68">
        <v>1577</v>
      </c>
      <c r="F5893" s="68">
        <v>1876</v>
      </c>
      <c r="G5893" s="68">
        <v>3453</v>
      </c>
    </row>
    <row r="5894" spans="1:7" x14ac:dyDescent="0.3">
      <c r="A5894" t="s">
        <v>625</v>
      </c>
      <c r="B5894" t="s">
        <v>40</v>
      </c>
      <c r="C5894" t="s">
        <v>6</v>
      </c>
      <c r="D5894" t="s">
        <v>16</v>
      </c>
      <c r="E5894" s="68">
        <v>1050</v>
      </c>
      <c r="F5894" s="68">
        <v>1380</v>
      </c>
      <c r="G5894" s="68">
        <v>2430</v>
      </c>
    </row>
    <row r="5895" spans="1:7" x14ac:dyDescent="0.3">
      <c r="A5895" t="s">
        <v>625</v>
      </c>
      <c r="B5895" t="s">
        <v>40</v>
      </c>
      <c r="C5895" t="s">
        <v>6</v>
      </c>
      <c r="D5895" t="s">
        <v>17</v>
      </c>
      <c r="E5895" s="68">
        <v>647</v>
      </c>
      <c r="F5895" s="68">
        <v>921</v>
      </c>
      <c r="G5895" s="68">
        <v>1568</v>
      </c>
    </row>
    <row r="5896" spans="1:7" x14ac:dyDescent="0.3">
      <c r="A5896" t="s">
        <v>625</v>
      </c>
      <c r="B5896" t="s">
        <v>40</v>
      </c>
      <c r="C5896" t="s">
        <v>6</v>
      </c>
      <c r="D5896" t="s">
        <v>18</v>
      </c>
      <c r="E5896" s="68">
        <v>451</v>
      </c>
      <c r="F5896" s="68">
        <v>741</v>
      </c>
      <c r="G5896" s="68">
        <v>1192</v>
      </c>
    </row>
    <row r="5897" spans="1:7" x14ac:dyDescent="0.3">
      <c r="A5897" t="s">
        <v>625</v>
      </c>
      <c r="B5897" t="s">
        <v>40</v>
      </c>
      <c r="C5897" t="s">
        <v>6</v>
      </c>
      <c r="D5897" t="s">
        <v>19</v>
      </c>
      <c r="E5897" s="68">
        <v>302</v>
      </c>
      <c r="F5897" s="68">
        <v>560</v>
      </c>
      <c r="G5897" s="68">
        <v>862</v>
      </c>
    </row>
    <row r="5898" spans="1:7" x14ac:dyDescent="0.3">
      <c r="A5898" t="s">
        <v>625</v>
      </c>
      <c r="B5898" t="s">
        <v>40</v>
      </c>
      <c r="C5898" t="s">
        <v>6</v>
      </c>
      <c r="D5898" t="s">
        <v>20</v>
      </c>
      <c r="E5898" s="68">
        <v>189</v>
      </c>
      <c r="F5898" s="68">
        <v>370</v>
      </c>
      <c r="G5898" s="68">
        <v>559</v>
      </c>
    </row>
    <row r="5899" spans="1:7" x14ac:dyDescent="0.3">
      <c r="A5899" t="s">
        <v>625</v>
      </c>
      <c r="B5899" t="s">
        <v>40</v>
      </c>
      <c r="C5899" t="s">
        <v>6</v>
      </c>
      <c r="D5899" t="s">
        <v>21</v>
      </c>
      <c r="E5899" s="68">
        <v>92</v>
      </c>
      <c r="F5899" s="68">
        <v>183</v>
      </c>
      <c r="G5899" s="68">
        <v>275</v>
      </c>
    </row>
    <row r="5900" spans="1:7" x14ac:dyDescent="0.3">
      <c r="A5900" t="s">
        <v>625</v>
      </c>
      <c r="B5900" t="s">
        <v>40</v>
      </c>
      <c r="C5900" t="s">
        <v>6</v>
      </c>
      <c r="D5900" t="s">
        <v>22</v>
      </c>
      <c r="E5900" s="68">
        <v>50</v>
      </c>
      <c r="F5900" s="68">
        <v>53</v>
      </c>
      <c r="G5900" s="68">
        <v>103</v>
      </c>
    </row>
    <row r="5901" spans="1:7" x14ac:dyDescent="0.3">
      <c r="A5901" t="s">
        <v>625</v>
      </c>
      <c r="B5901" t="s">
        <v>40</v>
      </c>
      <c r="C5901" t="s">
        <v>6</v>
      </c>
      <c r="D5901" t="s">
        <v>23</v>
      </c>
      <c r="E5901" s="68">
        <v>63</v>
      </c>
      <c r="F5901" s="68">
        <v>36</v>
      </c>
      <c r="G5901" s="68">
        <v>99</v>
      </c>
    </row>
    <row r="5902" spans="1:7" x14ac:dyDescent="0.3">
      <c r="A5902" t="s">
        <v>625</v>
      </c>
      <c r="B5902" t="s">
        <v>40</v>
      </c>
      <c r="C5902" t="s">
        <v>24</v>
      </c>
      <c r="D5902" t="s">
        <v>7</v>
      </c>
      <c r="E5902" s="68">
        <v>12646</v>
      </c>
      <c r="F5902" s="68">
        <v>13158</v>
      </c>
      <c r="G5902" s="68">
        <v>25804</v>
      </c>
    </row>
    <row r="5903" spans="1:7" x14ac:dyDescent="0.3">
      <c r="A5903" t="s">
        <v>625</v>
      </c>
      <c r="B5903" t="s">
        <v>40</v>
      </c>
      <c r="C5903" t="s">
        <v>24</v>
      </c>
      <c r="D5903" t="s">
        <v>8</v>
      </c>
      <c r="E5903" s="68">
        <v>18254</v>
      </c>
      <c r="F5903" s="68">
        <v>18781</v>
      </c>
      <c r="G5903" s="68">
        <v>37035</v>
      </c>
    </row>
    <row r="5904" spans="1:7" x14ac:dyDescent="0.3">
      <c r="A5904" t="s">
        <v>625</v>
      </c>
      <c r="B5904" t="s">
        <v>40</v>
      </c>
      <c r="C5904" t="s">
        <v>24</v>
      </c>
      <c r="D5904" t="s">
        <v>9</v>
      </c>
      <c r="E5904" s="68">
        <v>20564</v>
      </c>
      <c r="F5904" s="68">
        <v>21429</v>
      </c>
      <c r="G5904" s="68">
        <v>41993</v>
      </c>
    </row>
    <row r="5905" spans="1:7" x14ac:dyDescent="0.3">
      <c r="A5905" t="s">
        <v>625</v>
      </c>
      <c r="B5905" t="s">
        <v>40</v>
      </c>
      <c r="C5905" t="s">
        <v>24</v>
      </c>
      <c r="D5905" t="s">
        <v>10</v>
      </c>
      <c r="E5905" s="68">
        <v>23084</v>
      </c>
      <c r="F5905" s="68">
        <v>23335</v>
      </c>
      <c r="G5905" s="68">
        <v>46419</v>
      </c>
    </row>
    <row r="5906" spans="1:7" x14ac:dyDescent="0.3">
      <c r="A5906" t="s">
        <v>625</v>
      </c>
      <c r="B5906" t="s">
        <v>40</v>
      </c>
      <c r="C5906" t="s">
        <v>24</v>
      </c>
      <c r="D5906" t="s">
        <v>11</v>
      </c>
      <c r="E5906" s="68">
        <v>22630</v>
      </c>
      <c r="F5906" s="68">
        <v>21001</v>
      </c>
      <c r="G5906" s="68">
        <v>43631</v>
      </c>
    </row>
    <row r="5907" spans="1:7" x14ac:dyDescent="0.3">
      <c r="A5907" t="s">
        <v>625</v>
      </c>
      <c r="B5907" t="s">
        <v>40</v>
      </c>
      <c r="C5907" t="s">
        <v>24</v>
      </c>
      <c r="D5907" t="s">
        <v>12</v>
      </c>
      <c r="E5907" s="68">
        <v>21477</v>
      </c>
      <c r="F5907" s="68">
        <v>19798</v>
      </c>
      <c r="G5907" s="68">
        <v>41275</v>
      </c>
    </row>
    <row r="5908" spans="1:7" x14ac:dyDescent="0.3">
      <c r="A5908" t="s">
        <v>625</v>
      </c>
      <c r="B5908" t="s">
        <v>40</v>
      </c>
      <c r="C5908" t="s">
        <v>24</v>
      </c>
      <c r="D5908" t="s">
        <v>13</v>
      </c>
      <c r="E5908" s="68">
        <v>21481</v>
      </c>
      <c r="F5908" s="68">
        <v>19208</v>
      </c>
      <c r="G5908" s="68">
        <v>40689</v>
      </c>
    </row>
    <row r="5909" spans="1:7" x14ac:dyDescent="0.3">
      <c r="A5909" t="s">
        <v>625</v>
      </c>
      <c r="B5909" t="s">
        <v>40</v>
      </c>
      <c r="C5909" t="s">
        <v>24</v>
      </c>
      <c r="D5909" t="s">
        <v>14</v>
      </c>
      <c r="E5909" s="68">
        <v>20506</v>
      </c>
      <c r="F5909" s="68">
        <v>18244</v>
      </c>
      <c r="G5909" s="68">
        <v>38750</v>
      </c>
    </row>
    <row r="5910" spans="1:7" x14ac:dyDescent="0.3">
      <c r="A5910" t="s">
        <v>625</v>
      </c>
      <c r="B5910" t="s">
        <v>40</v>
      </c>
      <c r="C5910" t="s">
        <v>24</v>
      </c>
      <c r="D5910" t="s">
        <v>15</v>
      </c>
      <c r="E5910" s="68">
        <v>20656</v>
      </c>
      <c r="F5910" s="68">
        <v>18846</v>
      </c>
      <c r="G5910" s="68">
        <v>39502</v>
      </c>
    </row>
    <row r="5911" spans="1:7" x14ac:dyDescent="0.3">
      <c r="A5911" t="s">
        <v>625</v>
      </c>
      <c r="B5911" t="s">
        <v>40</v>
      </c>
      <c r="C5911" t="s">
        <v>24</v>
      </c>
      <c r="D5911" t="s">
        <v>16</v>
      </c>
      <c r="E5911" s="68">
        <v>19271</v>
      </c>
      <c r="F5911" s="68">
        <v>17423</v>
      </c>
      <c r="G5911" s="68">
        <v>36694</v>
      </c>
    </row>
    <row r="5912" spans="1:7" x14ac:dyDescent="0.3">
      <c r="A5912" t="s">
        <v>625</v>
      </c>
      <c r="B5912" t="s">
        <v>40</v>
      </c>
      <c r="C5912" t="s">
        <v>24</v>
      </c>
      <c r="D5912" t="s">
        <v>17</v>
      </c>
      <c r="E5912" s="68">
        <v>17209</v>
      </c>
      <c r="F5912" s="68">
        <v>15130</v>
      </c>
      <c r="G5912" s="68">
        <v>32339</v>
      </c>
    </row>
    <row r="5913" spans="1:7" x14ac:dyDescent="0.3">
      <c r="A5913" t="s">
        <v>625</v>
      </c>
      <c r="B5913" t="s">
        <v>40</v>
      </c>
      <c r="C5913" t="s">
        <v>24</v>
      </c>
      <c r="D5913" t="s">
        <v>18</v>
      </c>
      <c r="E5913" s="68">
        <v>16569</v>
      </c>
      <c r="F5913" s="68">
        <v>14824</v>
      </c>
      <c r="G5913" s="68">
        <v>31393</v>
      </c>
    </row>
    <row r="5914" spans="1:7" x14ac:dyDescent="0.3">
      <c r="A5914" t="s">
        <v>625</v>
      </c>
      <c r="B5914" t="s">
        <v>40</v>
      </c>
      <c r="C5914" t="s">
        <v>24</v>
      </c>
      <c r="D5914" t="s">
        <v>19</v>
      </c>
      <c r="E5914" s="68">
        <v>13959</v>
      </c>
      <c r="F5914" s="68">
        <v>12469</v>
      </c>
      <c r="G5914" s="68">
        <v>26428</v>
      </c>
    </row>
    <row r="5915" spans="1:7" x14ac:dyDescent="0.3">
      <c r="A5915" t="s">
        <v>625</v>
      </c>
      <c r="B5915" t="s">
        <v>40</v>
      </c>
      <c r="C5915" t="s">
        <v>24</v>
      </c>
      <c r="D5915" t="s">
        <v>20</v>
      </c>
      <c r="E5915" s="68">
        <v>11154</v>
      </c>
      <c r="F5915" s="68">
        <v>9871</v>
      </c>
      <c r="G5915" s="68">
        <v>21025</v>
      </c>
    </row>
    <row r="5916" spans="1:7" x14ac:dyDescent="0.3">
      <c r="A5916" t="s">
        <v>625</v>
      </c>
      <c r="B5916" t="s">
        <v>40</v>
      </c>
      <c r="C5916" t="s">
        <v>24</v>
      </c>
      <c r="D5916" t="s">
        <v>21</v>
      </c>
      <c r="E5916" s="68">
        <v>8684</v>
      </c>
      <c r="F5916" s="68">
        <v>7875</v>
      </c>
      <c r="G5916" s="68">
        <v>16559</v>
      </c>
    </row>
    <row r="5917" spans="1:7" x14ac:dyDescent="0.3">
      <c r="A5917" t="s">
        <v>625</v>
      </c>
      <c r="B5917" t="s">
        <v>40</v>
      </c>
      <c r="C5917" t="s">
        <v>24</v>
      </c>
      <c r="D5917" t="s">
        <v>22</v>
      </c>
      <c r="E5917" s="68">
        <v>7210</v>
      </c>
      <c r="F5917" s="68">
        <v>6247</v>
      </c>
      <c r="G5917" s="68">
        <v>13457</v>
      </c>
    </row>
    <row r="5918" spans="1:7" x14ac:dyDescent="0.3">
      <c r="A5918" t="s">
        <v>625</v>
      </c>
      <c r="B5918" t="s">
        <v>40</v>
      </c>
      <c r="C5918" t="s">
        <v>24</v>
      </c>
      <c r="D5918" t="s">
        <v>23</v>
      </c>
      <c r="E5918" s="68">
        <v>11879</v>
      </c>
      <c r="F5918" s="68">
        <v>8864</v>
      </c>
      <c r="G5918" s="68">
        <v>20743</v>
      </c>
    </row>
    <row r="5919" spans="1:7" x14ac:dyDescent="0.3">
      <c r="A5919" t="s">
        <v>625</v>
      </c>
      <c r="B5919" t="s">
        <v>32</v>
      </c>
      <c r="C5919" t="s">
        <v>6</v>
      </c>
      <c r="D5919" t="s">
        <v>16</v>
      </c>
      <c r="E5919" s="68"/>
      <c r="F5919" s="68">
        <v>1</v>
      </c>
      <c r="G5919" s="68">
        <v>1</v>
      </c>
    </row>
    <row r="5920" spans="1:7" x14ac:dyDescent="0.3">
      <c r="A5920" t="s">
        <v>625</v>
      </c>
      <c r="B5920" t="s">
        <v>32</v>
      </c>
      <c r="C5920" t="s">
        <v>24</v>
      </c>
      <c r="D5920" t="s">
        <v>12</v>
      </c>
      <c r="E5920" s="68"/>
      <c r="F5920" s="68">
        <v>1</v>
      </c>
      <c r="G5920" s="68">
        <v>1</v>
      </c>
    </row>
    <row r="5921" spans="1:7" x14ac:dyDescent="0.3">
      <c r="A5921" t="s">
        <v>625</v>
      </c>
      <c r="B5921" t="s">
        <v>5</v>
      </c>
      <c r="C5921" t="s">
        <v>6</v>
      </c>
      <c r="D5921" t="s">
        <v>7</v>
      </c>
      <c r="E5921" s="68">
        <v>1886</v>
      </c>
      <c r="F5921" s="68">
        <v>1926</v>
      </c>
      <c r="G5921" s="68">
        <v>3812</v>
      </c>
    </row>
    <row r="5922" spans="1:7" x14ac:dyDescent="0.3">
      <c r="A5922" t="s">
        <v>625</v>
      </c>
      <c r="B5922" t="s">
        <v>5</v>
      </c>
      <c r="C5922" t="s">
        <v>6</v>
      </c>
      <c r="D5922" t="s">
        <v>8</v>
      </c>
      <c r="E5922" s="68">
        <v>2661</v>
      </c>
      <c r="F5922" s="68">
        <v>2897</v>
      </c>
      <c r="G5922" s="68">
        <v>5558</v>
      </c>
    </row>
    <row r="5923" spans="1:7" x14ac:dyDescent="0.3">
      <c r="A5923" t="s">
        <v>625</v>
      </c>
      <c r="B5923" t="s">
        <v>5</v>
      </c>
      <c r="C5923" t="s">
        <v>6</v>
      </c>
      <c r="D5923" t="s">
        <v>9</v>
      </c>
      <c r="E5923" s="68">
        <v>2958</v>
      </c>
      <c r="F5923" s="68">
        <v>3209</v>
      </c>
      <c r="G5923" s="68">
        <v>6167</v>
      </c>
    </row>
    <row r="5924" spans="1:7" x14ac:dyDescent="0.3">
      <c r="A5924" t="s">
        <v>625</v>
      </c>
      <c r="B5924" t="s">
        <v>5</v>
      </c>
      <c r="C5924" t="s">
        <v>6</v>
      </c>
      <c r="D5924" t="s">
        <v>10</v>
      </c>
      <c r="E5924" s="68">
        <v>3156</v>
      </c>
      <c r="F5924" s="68">
        <v>3228</v>
      </c>
      <c r="G5924" s="68">
        <v>6384</v>
      </c>
    </row>
    <row r="5925" spans="1:7" x14ac:dyDescent="0.3">
      <c r="A5925" t="s">
        <v>625</v>
      </c>
      <c r="B5925" t="s">
        <v>5</v>
      </c>
      <c r="C5925" t="s">
        <v>6</v>
      </c>
      <c r="D5925" t="s">
        <v>11</v>
      </c>
      <c r="E5925" s="68">
        <v>3285</v>
      </c>
      <c r="F5925" s="68">
        <v>3318</v>
      </c>
      <c r="G5925" s="68">
        <v>6603</v>
      </c>
    </row>
    <row r="5926" spans="1:7" x14ac:dyDescent="0.3">
      <c r="A5926" t="s">
        <v>625</v>
      </c>
      <c r="B5926" t="s">
        <v>5</v>
      </c>
      <c r="C5926" t="s">
        <v>6</v>
      </c>
      <c r="D5926" t="s">
        <v>12</v>
      </c>
      <c r="E5926" s="68">
        <v>4398</v>
      </c>
      <c r="F5926" s="68">
        <v>3828</v>
      </c>
      <c r="G5926" s="68">
        <v>8226</v>
      </c>
    </row>
    <row r="5927" spans="1:7" x14ac:dyDescent="0.3">
      <c r="A5927" t="s">
        <v>625</v>
      </c>
      <c r="B5927" t="s">
        <v>5</v>
      </c>
      <c r="C5927" t="s">
        <v>6</v>
      </c>
      <c r="D5927" t="s">
        <v>13</v>
      </c>
      <c r="E5927" s="68">
        <v>6051</v>
      </c>
      <c r="F5927" s="68">
        <v>5313</v>
      </c>
      <c r="G5927" s="68">
        <v>11364</v>
      </c>
    </row>
    <row r="5928" spans="1:7" x14ac:dyDescent="0.3">
      <c r="A5928" t="s">
        <v>625</v>
      </c>
      <c r="B5928" t="s">
        <v>5</v>
      </c>
      <c r="C5928" t="s">
        <v>6</v>
      </c>
      <c r="D5928" t="s">
        <v>14</v>
      </c>
      <c r="E5928" s="68">
        <v>6386</v>
      </c>
      <c r="F5928" s="68">
        <v>5951</v>
      </c>
      <c r="G5928" s="68">
        <v>12337</v>
      </c>
    </row>
    <row r="5929" spans="1:7" x14ac:dyDescent="0.3">
      <c r="A5929" t="s">
        <v>625</v>
      </c>
      <c r="B5929" t="s">
        <v>5</v>
      </c>
      <c r="C5929" t="s">
        <v>6</v>
      </c>
      <c r="D5929" t="s">
        <v>15</v>
      </c>
      <c r="E5929" s="68">
        <v>6542</v>
      </c>
      <c r="F5929" s="68">
        <v>5993</v>
      </c>
      <c r="G5929" s="68">
        <v>12535</v>
      </c>
    </row>
    <row r="5930" spans="1:7" x14ac:dyDescent="0.3">
      <c r="A5930" t="s">
        <v>625</v>
      </c>
      <c r="B5930" t="s">
        <v>5</v>
      </c>
      <c r="C5930" t="s">
        <v>6</v>
      </c>
      <c r="D5930" t="s">
        <v>16</v>
      </c>
      <c r="E5930" s="68">
        <v>5673</v>
      </c>
      <c r="F5930" s="68">
        <v>5281</v>
      </c>
      <c r="G5930" s="68">
        <v>10954</v>
      </c>
    </row>
    <row r="5931" spans="1:7" x14ac:dyDescent="0.3">
      <c r="A5931" t="s">
        <v>625</v>
      </c>
      <c r="B5931" t="s">
        <v>5</v>
      </c>
      <c r="C5931" t="s">
        <v>6</v>
      </c>
      <c r="D5931" t="s">
        <v>17</v>
      </c>
      <c r="E5931" s="68">
        <v>4226</v>
      </c>
      <c r="F5931" s="68">
        <v>4028</v>
      </c>
      <c r="G5931" s="68">
        <v>8254</v>
      </c>
    </row>
    <row r="5932" spans="1:7" x14ac:dyDescent="0.3">
      <c r="A5932" t="s">
        <v>625</v>
      </c>
      <c r="B5932" t="s">
        <v>5</v>
      </c>
      <c r="C5932" t="s">
        <v>6</v>
      </c>
      <c r="D5932" t="s">
        <v>18</v>
      </c>
      <c r="E5932" s="68">
        <v>3800</v>
      </c>
      <c r="F5932" s="68">
        <v>3292</v>
      </c>
      <c r="G5932" s="68">
        <v>7092</v>
      </c>
    </row>
    <row r="5933" spans="1:7" x14ac:dyDescent="0.3">
      <c r="A5933" t="s">
        <v>625</v>
      </c>
      <c r="B5933" t="s">
        <v>5</v>
      </c>
      <c r="C5933" t="s">
        <v>6</v>
      </c>
      <c r="D5933" t="s">
        <v>19</v>
      </c>
      <c r="E5933" s="68">
        <v>3198</v>
      </c>
      <c r="F5933" s="68">
        <v>2715</v>
      </c>
      <c r="G5933" s="68">
        <v>5913</v>
      </c>
    </row>
    <row r="5934" spans="1:7" x14ac:dyDescent="0.3">
      <c r="A5934" t="s">
        <v>625</v>
      </c>
      <c r="B5934" t="s">
        <v>5</v>
      </c>
      <c r="C5934" t="s">
        <v>6</v>
      </c>
      <c r="D5934" t="s">
        <v>20</v>
      </c>
      <c r="E5934" s="68">
        <v>2428</v>
      </c>
      <c r="F5934" s="68">
        <v>2031</v>
      </c>
      <c r="G5934" s="68">
        <v>4459</v>
      </c>
    </row>
    <row r="5935" spans="1:7" x14ac:dyDescent="0.3">
      <c r="A5935" t="s">
        <v>625</v>
      </c>
      <c r="B5935" t="s">
        <v>5</v>
      </c>
      <c r="C5935" t="s">
        <v>6</v>
      </c>
      <c r="D5935" t="s">
        <v>21</v>
      </c>
      <c r="E5935" s="68">
        <v>1698</v>
      </c>
      <c r="F5935" s="68">
        <v>1417</v>
      </c>
      <c r="G5935" s="68">
        <v>3115</v>
      </c>
    </row>
    <row r="5936" spans="1:7" x14ac:dyDescent="0.3">
      <c r="A5936" t="s">
        <v>625</v>
      </c>
      <c r="B5936" t="s">
        <v>5</v>
      </c>
      <c r="C5936" t="s">
        <v>6</v>
      </c>
      <c r="D5936" t="s">
        <v>22</v>
      </c>
      <c r="E5936" s="68">
        <v>1270</v>
      </c>
      <c r="F5936" s="68">
        <v>987</v>
      </c>
      <c r="G5936" s="68">
        <v>2257</v>
      </c>
    </row>
    <row r="5937" spans="1:7" x14ac:dyDescent="0.3">
      <c r="A5937" t="s">
        <v>625</v>
      </c>
      <c r="B5937" t="s">
        <v>5</v>
      </c>
      <c r="C5937" t="s">
        <v>6</v>
      </c>
      <c r="D5937" t="s">
        <v>23</v>
      </c>
      <c r="E5937" s="68">
        <v>1709</v>
      </c>
      <c r="F5937" s="68">
        <v>1100</v>
      </c>
      <c r="G5937" s="68">
        <v>2809</v>
      </c>
    </row>
    <row r="5938" spans="1:7" x14ac:dyDescent="0.3">
      <c r="A5938" t="s">
        <v>625</v>
      </c>
      <c r="B5938" t="s">
        <v>5</v>
      </c>
      <c r="C5938" t="s">
        <v>24</v>
      </c>
      <c r="D5938" t="s">
        <v>7</v>
      </c>
      <c r="E5938" s="68">
        <v>1988</v>
      </c>
      <c r="F5938" s="68">
        <v>2010</v>
      </c>
      <c r="G5938" s="68">
        <v>3998</v>
      </c>
    </row>
    <row r="5939" spans="1:7" x14ac:dyDescent="0.3">
      <c r="A5939" t="s">
        <v>625</v>
      </c>
      <c r="B5939" t="s">
        <v>5</v>
      </c>
      <c r="C5939" t="s">
        <v>24</v>
      </c>
      <c r="D5939" t="s">
        <v>8</v>
      </c>
      <c r="E5939" s="68">
        <v>3240</v>
      </c>
      <c r="F5939" s="68">
        <v>3366</v>
      </c>
      <c r="G5939" s="68">
        <v>6606</v>
      </c>
    </row>
    <row r="5940" spans="1:7" x14ac:dyDescent="0.3">
      <c r="A5940" t="s">
        <v>625</v>
      </c>
      <c r="B5940" t="s">
        <v>5</v>
      </c>
      <c r="C5940" t="s">
        <v>24</v>
      </c>
      <c r="D5940" t="s">
        <v>9</v>
      </c>
      <c r="E5940" s="68">
        <v>3521</v>
      </c>
      <c r="F5940" s="68">
        <v>3901</v>
      </c>
      <c r="G5940" s="68">
        <v>7422</v>
      </c>
    </row>
    <row r="5941" spans="1:7" x14ac:dyDescent="0.3">
      <c r="A5941" t="s">
        <v>625</v>
      </c>
      <c r="B5941" t="s">
        <v>5</v>
      </c>
      <c r="C5941" t="s">
        <v>24</v>
      </c>
      <c r="D5941" t="s">
        <v>10</v>
      </c>
      <c r="E5941" s="68">
        <v>3635</v>
      </c>
      <c r="F5941" s="68">
        <v>3906</v>
      </c>
      <c r="G5941" s="68">
        <v>7541</v>
      </c>
    </row>
    <row r="5942" spans="1:7" x14ac:dyDescent="0.3">
      <c r="A5942" t="s">
        <v>625</v>
      </c>
      <c r="B5942" t="s">
        <v>5</v>
      </c>
      <c r="C5942" t="s">
        <v>24</v>
      </c>
      <c r="D5942" t="s">
        <v>11</v>
      </c>
      <c r="E5942" s="68">
        <v>3859</v>
      </c>
      <c r="F5942" s="68">
        <v>3849</v>
      </c>
      <c r="G5942" s="68">
        <v>7708</v>
      </c>
    </row>
    <row r="5943" spans="1:7" x14ac:dyDescent="0.3">
      <c r="A5943" t="s">
        <v>625</v>
      </c>
      <c r="B5943" t="s">
        <v>5</v>
      </c>
      <c r="C5943" t="s">
        <v>24</v>
      </c>
      <c r="D5943" t="s">
        <v>12</v>
      </c>
      <c r="E5943" s="68">
        <v>4283</v>
      </c>
      <c r="F5943" s="68">
        <v>4706</v>
      </c>
      <c r="G5943" s="68">
        <v>8989</v>
      </c>
    </row>
    <row r="5944" spans="1:7" x14ac:dyDescent="0.3">
      <c r="A5944" t="s">
        <v>625</v>
      </c>
      <c r="B5944" t="s">
        <v>5</v>
      </c>
      <c r="C5944" t="s">
        <v>24</v>
      </c>
      <c r="D5944" t="s">
        <v>13</v>
      </c>
      <c r="E5944" s="68">
        <v>3960</v>
      </c>
      <c r="F5944" s="68">
        <v>4268</v>
      </c>
      <c r="G5944" s="68">
        <v>8228</v>
      </c>
    </row>
    <row r="5945" spans="1:7" x14ac:dyDescent="0.3">
      <c r="A5945" t="s">
        <v>625</v>
      </c>
      <c r="B5945" t="s">
        <v>5</v>
      </c>
      <c r="C5945" t="s">
        <v>24</v>
      </c>
      <c r="D5945" t="s">
        <v>14</v>
      </c>
      <c r="E5945" s="68">
        <v>3990</v>
      </c>
      <c r="F5945" s="68">
        <v>4263</v>
      </c>
      <c r="G5945" s="68">
        <v>8253</v>
      </c>
    </row>
    <row r="5946" spans="1:7" x14ac:dyDescent="0.3">
      <c r="A5946" t="s">
        <v>625</v>
      </c>
      <c r="B5946" t="s">
        <v>5</v>
      </c>
      <c r="C5946" t="s">
        <v>24</v>
      </c>
      <c r="D5946" t="s">
        <v>15</v>
      </c>
      <c r="E5946" s="68">
        <v>3985</v>
      </c>
      <c r="F5946" s="68">
        <v>4228</v>
      </c>
      <c r="G5946" s="68">
        <v>8213</v>
      </c>
    </row>
    <row r="5947" spans="1:7" x14ac:dyDescent="0.3">
      <c r="A5947" t="s">
        <v>625</v>
      </c>
      <c r="B5947" t="s">
        <v>5</v>
      </c>
      <c r="C5947" t="s">
        <v>24</v>
      </c>
      <c r="D5947" t="s">
        <v>16</v>
      </c>
      <c r="E5947" s="68">
        <v>3562</v>
      </c>
      <c r="F5947" s="68">
        <v>3872</v>
      </c>
      <c r="G5947" s="68">
        <v>7434</v>
      </c>
    </row>
    <row r="5948" spans="1:7" x14ac:dyDescent="0.3">
      <c r="A5948" t="s">
        <v>625</v>
      </c>
      <c r="B5948" t="s">
        <v>5</v>
      </c>
      <c r="C5948" t="s">
        <v>24</v>
      </c>
      <c r="D5948" t="s">
        <v>17</v>
      </c>
      <c r="E5948" s="68">
        <v>3121</v>
      </c>
      <c r="F5948" s="68">
        <v>3210</v>
      </c>
      <c r="G5948" s="68">
        <v>6331</v>
      </c>
    </row>
    <row r="5949" spans="1:7" x14ac:dyDescent="0.3">
      <c r="A5949" t="s">
        <v>625</v>
      </c>
      <c r="B5949" t="s">
        <v>5</v>
      </c>
      <c r="C5949" t="s">
        <v>24</v>
      </c>
      <c r="D5949" t="s">
        <v>18</v>
      </c>
      <c r="E5949" s="68">
        <v>2816</v>
      </c>
      <c r="F5949" s="68">
        <v>2996</v>
      </c>
      <c r="G5949" s="68">
        <v>5812</v>
      </c>
    </row>
    <row r="5950" spans="1:7" x14ac:dyDescent="0.3">
      <c r="A5950" t="s">
        <v>625</v>
      </c>
      <c r="B5950" t="s">
        <v>5</v>
      </c>
      <c r="C5950" t="s">
        <v>24</v>
      </c>
      <c r="D5950" t="s">
        <v>19</v>
      </c>
      <c r="E5950" s="68">
        <v>2317</v>
      </c>
      <c r="F5950" s="68">
        <v>2362</v>
      </c>
      <c r="G5950" s="68">
        <v>4679</v>
      </c>
    </row>
    <row r="5951" spans="1:7" x14ac:dyDescent="0.3">
      <c r="A5951" t="s">
        <v>625</v>
      </c>
      <c r="B5951" t="s">
        <v>5</v>
      </c>
      <c r="C5951" t="s">
        <v>24</v>
      </c>
      <c r="D5951" t="s">
        <v>20</v>
      </c>
      <c r="E5951" s="68">
        <v>1817</v>
      </c>
      <c r="F5951" s="68">
        <v>1874</v>
      </c>
      <c r="G5951" s="68">
        <v>3691</v>
      </c>
    </row>
    <row r="5952" spans="1:7" x14ac:dyDescent="0.3">
      <c r="A5952" t="s">
        <v>625</v>
      </c>
      <c r="B5952" t="s">
        <v>5</v>
      </c>
      <c r="C5952" t="s">
        <v>24</v>
      </c>
      <c r="D5952" t="s">
        <v>21</v>
      </c>
      <c r="E5952" s="68">
        <v>1280</v>
      </c>
      <c r="F5952" s="68">
        <v>1431</v>
      </c>
      <c r="G5952" s="68">
        <v>2711</v>
      </c>
    </row>
    <row r="5953" spans="1:7" x14ac:dyDescent="0.3">
      <c r="A5953" t="s">
        <v>625</v>
      </c>
      <c r="B5953" t="s">
        <v>5</v>
      </c>
      <c r="C5953" t="s">
        <v>24</v>
      </c>
      <c r="D5953" t="s">
        <v>22</v>
      </c>
      <c r="E5953" s="68">
        <v>1066</v>
      </c>
      <c r="F5953" s="68">
        <v>1114</v>
      </c>
      <c r="G5953" s="68">
        <v>2180</v>
      </c>
    </row>
    <row r="5954" spans="1:7" x14ac:dyDescent="0.3">
      <c r="A5954" t="s">
        <v>625</v>
      </c>
      <c r="B5954" t="s">
        <v>5</v>
      </c>
      <c r="C5954" t="s">
        <v>24</v>
      </c>
      <c r="D5954" t="s">
        <v>23</v>
      </c>
      <c r="E5954" s="68">
        <v>1728</v>
      </c>
      <c r="F5954" s="68">
        <v>1522</v>
      </c>
      <c r="G5954" s="68">
        <v>3250</v>
      </c>
    </row>
    <row r="5955" spans="1:7" x14ac:dyDescent="0.3">
      <c r="A5955" t="s">
        <v>625</v>
      </c>
      <c r="B5955" t="s">
        <v>33</v>
      </c>
      <c r="C5955" t="s">
        <v>6</v>
      </c>
      <c r="D5955" t="s">
        <v>13</v>
      </c>
      <c r="E5955" s="68">
        <v>1</v>
      </c>
      <c r="F5955" s="68"/>
      <c r="G5955" s="68">
        <v>1</v>
      </c>
    </row>
    <row r="5956" spans="1:7" x14ac:dyDescent="0.3">
      <c r="A5956" t="s">
        <v>625</v>
      </c>
      <c r="B5956" t="s">
        <v>34</v>
      </c>
      <c r="C5956" t="s">
        <v>6</v>
      </c>
      <c r="D5956" t="s">
        <v>10</v>
      </c>
      <c r="E5956" s="68">
        <v>1</v>
      </c>
      <c r="F5956" s="68"/>
      <c r="G5956" s="68">
        <v>1</v>
      </c>
    </row>
    <row r="5957" spans="1:7" x14ac:dyDescent="0.3">
      <c r="A5957" t="s">
        <v>625</v>
      </c>
      <c r="B5957" t="s">
        <v>37</v>
      </c>
      <c r="C5957" t="s">
        <v>6</v>
      </c>
      <c r="D5957" t="s">
        <v>7</v>
      </c>
      <c r="E5957" s="68">
        <v>42</v>
      </c>
      <c r="F5957" s="68">
        <v>45</v>
      </c>
      <c r="G5957" s="68">
        <v>87</v>
      </c>
    </row>
    <row r="5958" spans="1:7" x14ac:dyDescent="0.3">
      <c r="A5958" t="s">
        <v>625</v>
      </c>
      <c r="B5958" t="s">
        <v>37</v>
      </c>
      <c r="C5958" t="s">
        <v>6</v>
      </c>
      <c r="D5958" t="s">
        <v>8</v>
      </c>
      <c r="E5958" s="68">
        <v>87</v>
      </c>
      <c r="F5958" s="68">
        <v>83</v>
      </c>
      <c r="G5958" s="68">
        <v>170</v>
      </c>
    </row>
    <row r="5959" spans="1:7" x14ac:dyDescent="0.3">
      <c r="A5959" t="s">
        <v>625</v>
      </c>
      <c r="B5959" t="s">
        <v>37</v>
      </c>
      <c r="C5959" t="s">
        <v>6</v>
      </c>
      <c r="D5959" t="s">
        <v>9</v>
      </c>
      <c r="E5959" s="68">
        <v>80</v>
      </c>
      <c r="F5959" s="68">
        <v>97</v>
      </c>
      <c r="G5959" s="68">
        <v>177</v>
      </c>
    </row>
    <row r="5960" spans="1:7" x14ac:dyDescent="0.3">
      <c r="A5960" t="s">
        <v>625</v>
      </c>
      <c r="B5960" t="s">
        <v>37</v>
      </c>
      <c r="C5960" t="s">
        <v>6</v>
      </c>
      <c r="D5960" t="s">
        <v>10</v>
      </c>
      <c r="E5960" s="68">
        <v>108</v>
      </c>
      <c r="F5960" s="68">
        <v>118</v>
      </c>
      <c r="G5960" s="68">
        <v>226</v>
      </c>
    </row>
    <row r="5961" spans="1:7" x14ac:dyDescent="0.3">
      <c r="A5961" t="s">
        <v>625</v>
      </c>
      <c r="B5961" t="s">
        <v>37</v>
      </c>
      <c r="C5961" t="s">
        <v>6</v>
      </c>
      <c r="D5961" t="s">
        <v>11</v>
      </c>
      <c r="E5961" s="68">
        <v>151</v>
      </c>
      <c r="F5961" s="68">
        <v>170</v>
      </c>
      <c r="G5961" s="68">
        <v>321</v>
      </c>
    </row>
    <row r="5962" spans="1:7" x14ac:dyDescent="0.3">
      <c r="A5962" t="s">
        <v>625</v>
      </c>
      <c r="B5962" t="s">
        <v>37</v>
      </c>
      <c r="C5962" t="s">
        <v>6</v>
      </c>
      <c r="D5962" t="s">
        <v>12</v>
      </c>
      <c r="E5962" s="68">
        <v>124</v>
      </c>
      <c r="F5962" s="68">
        <v>152</v>
      </c>
      <c r="G5962" s="68">
        <v>276</v>
      </c>
    </row>
    <row r="5963" spans="1:7" x14ac:dyDescent="0.3">
      <c r="A5963" t="s">
        <v>625</v>
      </c>
      <c r="B5963" t="s">
        <v>37</v>
      </c>
      <c r="C5963" t="s">
        <v>6</v>
      </c>
      <c r="D5963" t="s">
        <v>13</v>
      </c>
      <c r="E5963" s="68">
        <v>124</v>
      </c>
      <c r="F5963" s="68">
        <v>158</v>
      </c>
      <c r="G5963" s="68">
        <v>282</v>
      </c>
    </row>
    <row r="5964" spans="1:7" x14ac:dyDescent="0.3">
      <c r="A5964" t="s">
        <v>625</v>
      </c>
      <c r="B5964" t="s">
        <v>37</v>
      </c>
      <c r="C5964" t="s">
        <v>6</v>
      </c>
      <c r="D5964" t="s">
        <v>14</v>
      </c>
      <c r="E5964" s="68">
        <v>156</v>
      </c>
      <c r="F5964" s="68">
        <v>121</v>
      </c>
      <c r="G5964" s="68">
        <v>277</v>
      </c>
    </row>
    <row r="5965" spans="1:7" x14ac:dyDescent="0.3">
      <c r="A5965" t="s">
        <v>625</v>
      </c>
      <c r="B5965" t="s">
        <v>37</v>
      </c>
      <c r="C5965" t="s">
        <v>6</v>
      </c>
      <c r="D5965" t="s">
        <v>15</v>
      </c>
      <c r="E5965" s="68">
        <v>189</v>
      </c>
      <c r="F5965" s="68">
        <v>138</v>
      </c>
      <c r="G5965" s="68">
        <v>327</v>
      </c>
    </row>
    <row r="5966" spans="1:7" x14ac:dyDescent="0.3">
      <c r="A5966" t="s">
        <v>625</v>
      </c>
      <c r="B5966" t="s">
        <v>37</v>
      </c>
      <c r="C5966" t="s">
        <v>6</v>
      </c>
      <c r="D5966" t="s">
        <v>16</v>
      </c>
      <c r="E5966" s="68">
        <v>203</v>
      </c>
      <c r="F5966" s="68">
        <v>167</v>
      </c>
      <c r="G5966" s="68">
        <v>370</v>
      </c>
    </row>
    <row r="5967" spans="1:7" x14ac:dyDescent="0.3">
      <c r="A5967" t="s">
        <v>625</v>
      </c>
      <c r="B5967" t="s">
        <v>37</v>
      </c>
      <c r="C5967" t="s">
        <v>6</v>
      </c>
      <c r="D5967" t="s">
        <v>17</v>
      </c>
      <c r="E5967" s="68">
        <v>150</v>
      </c>
      <c r="F5967" s="68">
        <v>139</v>
      </c>
      <c r="G5967" s="68">
        <v>289</v>
      </c>
    </row>
    <row r="5968" spans="1:7" x14ac:dyDescent="0.3">
      <c r="A5968" t="s">
        <v>625</v>
      </c>
      <c r="B5968" t="s">
        <v>37</v>
      </c>
      <c r="C5968" t="s">
        <v>6</v>
      </c>
      <c r="D5968" t="s">
        <v>18</v>
      </c>
      <c r="E5968" s="68">
        <v>132</v>
      </c>
      <c r="F5968" s="68">
        <v>119</v>
      </c>
      <c r="G5968" s="68">
        <v>251</v>
      </c>
    </row>
    <row r="5969" spans="1:7" x14ac:dyDescent="0.3">
      <c r="A5969" t="s">
        <v>625</v>
      </c>
      <c r="B5969" t="s">
        <v>37</v>
      </c>
      <c r="C5969" t="s">
        <v>6</v>
      </c>
      <c r="D5969" t="s">
        <v>19</v>
      </c>
      <c r="E5969" s="68">
        <v>79</v>
      </c>
      <c r="F5969" s="68">
        <v>111</v>
      </c>
      <c r="G5969" s="68">
        <v>190</v>
      </c>
    </row>
    <row r="5970" spans="1:7" x14ac:dyDescent="0.3">
      <c r="A5970" t="s">
        <v>625</v>
      </c>
      <c r="B5970" t="s">
        <v>37</v>
      </c>
      <c r="C5970" t="s">
        <v>6</v>
      </c>
      <c r="D5970" t="s">
        <v>20</v>
      </c>
      <c r="E5970" s="68">
        <v>65</v>
      </c>
      <c r="F5970" s="68">
        <v>66</v>
      </c>
      <c r="G5970" s="68">
        <v>131</v>
      </c>
    </row>
    <row r="5971" spans="1:7" x14ac:dyDescent="0.3">
      <c r="A5971" t="s">
        <v>625</v>
      </c>
      <c r="B5971" t="s">
        <v>37</v>
      </c>
      <c r="C5971" t="s">
        <v>6</v>
      </c>
      <c r="D5971" t="s">
        <v>21</v>
      </c>
      <c r="E5971" s="68">
        <v>50</v>
      </c>
      <c r="F5971" s="68">
        <v>59</v>
      </c>
      <c r="G5971" s="68">
        <v>109</v>
      </c>
    </row>
    <row r="5972" spans="1:7" x14ac:dyDescent="0.3">
      <c r="A5972" t="s">
        <v>625</v>
      </c>
      <c r="B5972" t="s">
        <v>37</v>
      </c>
      <c r="C5972" t="s">
        <v>6</v>
      </c>
      <c r="D5972" t="s">
        <v>22</v>
      </c>
      <c r="E5972" s="68">
        <v>27</v>
      </c>
      <c r="F5972" s="68">
        <v>32</v>
      </c>
      <c r="G5972" s="68">
        <v>59</v>
      </c>
    </row>
    <row r="5973" spans="1:7" x14ac:dyDescent="0.3">
      <c r="A5973" t="s">
        <v>625</v>
      </c>
      <c r="B5973" t="s">
        <v>37</v>
      </c>
      <c r="C5973" t="s">
        <v>6</v>
      </c>
      <c r="D5973" t="s">
        <v>23</v>
      </c>
      <c r="E5973" s="68">
        <v>46</v>
      </c>
      <c r="F5973" s="68">
        <v>40</v>
      </c>
      <c r="G5973" s="68">
        <v>86</v>
      </c>
    </row>
    <row r="5974" spans="1:7" x14ac:dyDescent="0.3">
      <c r="A5974" t="s">
        <v>625</v>
      </c>
      <c r="B5974" t="s">
        <v>37</v>
      </c>
      <c r="C5974" t="s">
        <v>24</v>
      </c>
      <c r="D5974" t="s">
        <v>7</v>
      </c>
      <c r="E5974" s="68">
        <v>106</v>
      </c>
      <c r="F5974" s="68">
        <v>121</v>
      </c>
      <c r="G5974" s="68">
        <v>227</v>
      </c>
    </row>
    <row r="5975" spans="1:7" x14ac:dyDescent="0.3">
      <c r="A5975" t="s">
        <v>625</v>
      </c>
      <c r="B5975" t="s">
        <v>37</v>
      </c>
      <c r="C5975" t="s">
        <v>24</v>
      </c>
      <c r="D5975" t="s">
        <v>8</v>
      </c>
      <c r="E5975" s="68">
        <v>143</v>
      </c>
      <c r="F5975" s="68">
        <v>143</v>
      </c>
      <c r="G5975" s="68">
        <v>286</v>
      </c>
    </row>
    <row r="5976" spans="1:7" x14ac:dyDescent="0.3">
      <c r="A5976" t="s">
        <v>625</v>
      </c>
      <c r="B5976" t="s">
        <v>37</v>
      </c>
      <c r="C5976" t="s">
        <v>24</v>
      </c>
      <c r="D5976" t="s">
        <v>9</v>
      </c>
      <c r="E5976" s="68">
        <v>199</v>
      </c>
      <c r="F5976" s="68">
        <v>232</v>
      </c>
      <c r="G5976" s="68">
        <v>431</v>
      </c>
    </row>
    <row r="5977" spans="1:7" x14ac:dyDescent="0.3">
      <c r="A5977" t="s">
        <v>625</v>
      </c>
      <c r="B5977" t="s">
        <v>37</v>
      </c>
      <c r="C5977" t="s">
        <v>24</v>
      </c>
      <c r="D5977" t="s">
        <v>10</v>
      </c>
      <c r="E5977" s="68">
        <v>257</v>
      </c>
      <c r="F5977" s="68">
        <v>240</v>
      </c>
      <c r="G5977" s="68">
        <v>497</v>
      </c>
    </row>
    <row r="5978" spans="1:7" x14ac:dyDescent="0.3">
      <c r="A5978" t="s">
        <v>625</v>
      </c>
      <c r="B5978" t="s">
        <v>37</v>
      </c>
      <c r="C5978" t="s">
        <v>24</v>
      </c>
      <c r="D5978" t="s">
        <v>11</v>
      </c>
      <c r="E5978" s="68">
        <v>279</v>
      </c>
      <c r="F5978" s="68">
        <v>286</v>
      </c>
      <c r="G5978" s="68">
        <v>565</v>
      </c>
    </row>
    <row r="5979" spans="1:7" x14ac:dyDescent="0.3">
      <c r="A5979" t="s">
        <v>625</v>
      </c>
      <c r="B5979" t="s">
        <v>37</v>
      </c>
      <c r="C5979" t="s">
        <v>24</v>
      </c>
      <c r="D5979" t="s">
        <v>12</v>
      </c>
      <c r="E5979" s="68">
        <v>247</v>
      </c>
      <c r="F5979" s="68">
        <v>253</v>
      </c>
      <c r="G5979" s="68">
        <v>500</v>
      </c>
    </row>
    <row r="5980" spans="1:7" x14ac:dyDescent="0.3">
      <c r="A5980" t="s">
        <v>625</v>
      </c>
      <c r="B5980" t="s">
        <v>37</v>
      </c>
      <c r="C5980" t="s">
        <v>24</v>
      </c>
      <c r="D5980" t="s">
        <v>13</v>
      </c>
      <c r="E5980" s="68">
        <v>255</v>
      </c>
      <c r="F5980" s="68">
        <v>207</v>
      </c>
      <c r="G5980" s="68">
        <v>462</v>
      </c>
    </row>
    <row r="5981" spans="1:7" x14ac:dyDescent="0.3">
      <c r="A5981" t="s">
        <v>625</v>
      </c>
      <c r="B5981" t="s">
        <v>37</v>
      </c>
      <c r="C5981" t="s">
        <v>24</v>
      </c>
      <c r="D5981" t="s">
        <v>14</v>
      </c>
      <c r="E5981" s="68">
        <v>247</v>
      </c>
      <c r="F5981" s="68">
        <v>202</v>
      </c>
      <c r="G5981" s="68">
        <v>449</v>
      </c>
    </row>
    <row r="5982" spans="1:7" x14ac:dyDescent="0.3">
      <c r="A5982" t="s">
        <v>625</v>
      </c>
      <c r="B5982" t="s">
        <v>37</v>
      </c>
      <c r="C5982" t="s">
        <v>24</v>
      </c>
      <c r="D5982" t="s">
        <v>15</v>
      </c>
      <c r="E5982" s="68">
        <v>266</v>
      </c>
      <c r="F5982" s="68">
        <v>188</v>
      </c>
      <c r="G5982" s="68">
        <v>454</v>
      </c>
    </row>
    <row r="5983" spans="1:7" x14ac:dyDescent="0.3">
      <c r="A5983" t="s">
        <v>625</v>
      </c>
      <c r="B5983" t="s">
        <v>37</v>
      </c>
      <c r="C5983" t="s">
        <v>24</v>
      </c>
      <c r="D5983" t="s">
        <v>16</v>
      </c>
      <c r="E5983" s="68">
        <v>261</v>
      </c>
      <c r="F5983" s="68">
        <v>194</v>
      </c>
      <c r="G5983" s="68">
        <v>455</v>
      </c>
    </row>
    <row r="5984" spans="1:7" x14ac:dyDescent="0.3">
      <c r="A5984" t="s">
        <v>625</v>
      </c>
      <c r="B5984" t="s">
        <v>37</v>
      </c>
      <c r="C5984" t="s">
        <v>24</v>
      </c>
      <c r="D5984" t="s">
        <v>17</v>
      </c>
      <c r="E5984" s="68">
        <v>223</v>
      </c>
      <c r="F5984" s="68">
        <v>174</v>
      </c>
      <c r="G5984" s="68">
        <v>397</v>
      </c>
    </row>
    <row r="5985" spans="1:7" x14ac:dyDescent="0.3">
      <c r="A5985" t="s">
        <v>625</v>
      </c>
      <c r="B5985" t="s">
        <v>37</v>
      </c>
      <c r="C5985" t="s">
        <v>24</v>
      </c>
      <c r="D5985" t="s">
        <v>18</v>
      </c>
      <c r="E5985" s="68">
        <v>179</v>
      </c>
      <c r="F5985" s="68">
        <v>141</v>
      </c>
      <c r="G5985" s="68">
        <v>320</v>
      </c>
    </row>
    <row r="5986" spans="1:7" x14ac:dyDescent="0.3">
      <c r="A5986" t="s">
        <v>625</v>
      </c>
      <c r="B5986" t="s">
        <v>37</v>
      </c>
      <c r="C5986" t="s">
        <v>24</v>
      </c>
      <c r="D5986" t="s">
        <v>19</v>
      </c>
      <c r="E5986" s="68">
        <v>132</v>
      </c>
      <c r="F5986" s="68">
        <v>115</v>
      </c>
      <c r="G5986" s="68">
        <v>247</v>
      </c>
    </row>
    <row r="5987" spans="1:7" x14ac:dyDescent="0.3">
      <c r="A5987" t="s">
        <v>625</v>
      </c>
      <c r="B5987" t="s">
        <v>37</v>
      </c>
      <c r="C5987" t="s">
        <v>24</v>
      </c>
      <c r="D5987" t="s">
        <v>20</v>
      </c>
      <c r="E5987" s="68">
        <v>89</v>
      </c>
      <c r="F5987" s="68">
        <v>67</v>
      </c>
      <c r="G5987" s="68">
        <v>156</v>
      </c>
    </row>
    <row r="5988" spans="1:7" x14ac:dyDescent="0.3">
      <c r="A5988" t="s">
        <v>625</v>
      </c>
      <c r="B5988" t="s">
        <v>37</v>
      </c>
      <c r="C5988" t="s">
        <v>24</v>
      </c>
      <c r="D5988" t="s">
        <v>21</v>
      </c>
      <c r="E5988" s="68">
        <v>47</v>
      </c>
      <c r="F5988" s="68">
        <v>40</v>
      </c>
      <c r="G5988" s="68">
        <v>87</v>
      </c>
    </row>
    <row r="5989" spans="1:7" x14ac:dyDescent="0.3">
      <c r="A5989" t="s">
        <v>625</v>
      </c>
      <c r="B5989" t="s">
        <v>37</v>
      </c>
      <c r="C5989" t="s">
        <v>24</v>
      </c>
      <c r="D5989" t="s">
        <v>22</v>
      </c>
      <c r="E5989" s="68">
        <v>26</v>
      </c>
      <c r="F5989" s="68">
        <v>25</v>
      </c>
      <c r="G5989" s="68">
        <v>51</v>
      </c>
    </row>
    <row r="5990" spans="1:7" x14ac:dyDescent="0.3">
      <c r="A5990" t="s">
        <v>625</v>
      </c>
      <c r="B5990" t="s">
        <v>37</v>
      </c>
      <c r="C5990" t="s">
        <v>24</v>
      </c>
      <c r="D5990" t="s">
        <v>23</v>
      </c>
      <c r="E5990" s="68">
        <v>55</v>
      </c>
      <c r="F5990" s="68">
        <v>32</v>
      </c>
      <c r="G5990" s="68">
        <v>87</v>
      </c>
    </row>
    <row r="5991" spans="1:7" x14ac:dyDescent="0.3">
      <c r="A5991" t="s">
        <v>625</v>
      </c>
      <c r="B5991" t="s">
        <v>35</v>
      </c>
      <c r="C5991" t="s">
        <v>6</v>
      </c>
      <c r="D5991" t="s">
        <v>7</v>
      </c>
      <c r="E5991" s="68"/>
      <c r="F5991" s="68">
        <v>1</v>
      </c>
      <c r="G5991" s="68">
        <v>1</v>
      </c>
    </row>
    <row r="5992" spans="1:7" x14ac:dyDescent="0.3">
      <c r="A5992" t="s">
        <v>625</v>
      </c>
      <c r="B5992" t="s">
        <v>35</v>
      </c>
      <c r="C5992" t="s">
        <v>6</v>
      </c>
      <c r="D5992" t="s">
        <v>9</v>
      </c>
      <c r="E5992" s="68">
        <v>3</v>
      </c>
      <c r="F5992" s="68"/>
      <c r="G5992" s="68">
        <v>3</v>
      </c>
    </row>
    <row r="5993" spans="1:7" x14ac:dyDescent="0.3">
      <c r="A5993" t="s">
        <v>625</v>
      </c>
      <c r="B5993" t="s">
        <v>35</v>
      </c>
      <c r="C5993" t="s">
        <v>6</v>
      </c>
      <c r="D5993" t="s">
        <v>10</v>
      </c>
      <c r="E5993" s="68">
        <v>3</v>
      </c>
      <c r="F5993" s="68">
        <v>2</v>
      </c>
      <c r="G5993" s="68">
        <v>5</v>
      </c>
    </row>
    <row r="5994" spans="1:7" x14ac:dyDescent="0.3">
      <c r="A5994" t="s">
        <v>625</v>
      </c>
      <c r="B5994" t="s">
        <v>35</v>
      </c>
      <c r="C5994" t="s">
        <v>6</v>
      </c>
      <c r="D5994" t="s">
        <v>11</v>
      </c>
      <c r="E5994" s="68"/>
      <c r="F5994" s="68">
        <v>1</v>
      </c>
      <c r="G5994" s="68">
        <v>1</v>
      </c>
    </row>
    <row r="5995" spans="1:7" x14ac:dyDescent="0.3">
      <c r="A5995" t="s">
        <v>625</v>
      </c>
      <c r="B5995" t="s">
        <v>35</v>
      </c>
      <c r="C5995" t="s">
        <v>6</v>
      </c>
      <c r="D5995" t="s">
        <v>13</v>
      </c>
      <c r="E5995" s="68">
        <v>2</v>
      </c>
      <c r="F5995" s="68"/>
      <c r="G5995" s="68">
        <v>2</v>
      </c>
    </row>
    <row r="5996" spans="1:7" x14ac:dyDescent="0.3">
      <c r="A5996" t="s">
        <v>625</v>
      </c>
      <c r="B5996" t="s">
        <v>35</v>
      </c>
      <c r="C5996" t="s">
        <v>6</v>
      </c>
      <c r="D5996" t="s">
        <v>14</v>
      </c>
      <c r="E5996" s="68">
        <v>1</v>
      </c>
      <c r="F5996" s="68">
        <v>1</v>
      </c>
      <c r="G5996" s="68">
        <v>2</v>
      </c>
    </row>
    <row r="5997" spans="1:7" x14ac:dyDescent="0.3">
      <c r="A5997" t="s">
        <v>625</v>
      </c>
      <c r="B5997" t="s">
        <v>35</v>
      </c>
      <c r="C5997" t="s">
        <v>6</v>
      </c>
      <c r="D5997" t="s">
        <v>15</v>
      </c>
      <c r="E5997" s="68">
        <v>3</v>
      </c>
      <c r="F5997" s="68">
        <v>1</v>
      </c>
      <c r="G5997" s="68">
        <v>4</v>
      </c>
    </row>
    <row r="5998" spans="1:7" x14ac:dyDescent="0.3">
      <c r="A5998" t="s">
        <v>625</v>
      </c>
      <c r="B5998" t="s">
        <v>35</v>
      </c>
      <c r="C5998" t="s">
        <v>6</v>
      </c>
      <c r="D5998" t="s">
        <v>16</v>
      </c>
      <c r="E5998" s="68">
        <v>3</v>
      </c>
      <c r="F5998" s="68">
        <v>1</v>
      </c>
      <c r="G5998" s="68">
        <v>4</v>
      </c>
    </row>
    <row r="5999" spans="1:7" x14ac:dyDescent="0.3">
      <c r="A5999" t="s">
        <v>625</v>
      </c>
      <c r="B5999" t="s">
        <v>35</v>
      </c>
      <c r="C5999" t="s">
        <v>6</v>
      </c>
      <c r="D5999" t="s">
        <v>17</v>
      </c>
      <c r="E5999" s="68">
        <v>4</v>
      </c>
      <c r="F5999" s="68">
        <v>2</v>
      </c>
      <c r="G5999" s="68">
        <v>6</v>
      </c>
    </row>
    <row r="6000" spans="1:7" x14ac:dyDescent="0.3">
      <c r="A6000" t="s">
        <v>625</v>
      </c>
      <c r="B6000" t="s">
        <v>35</v>
      </c>
      <c r="C6000" t="s">
        <v>6</v>
      </c>
      <c r="D6000" t="s">
        <v>18</v>
      </c>
      <c r="E6000" s="68">
        <v>6</v>
      </c>
      <c r="F6000" s="68">
        <v>2</v>
      </c>
      <c r="G6000" s="68">
        <v>8</v>
      </c>
    </row>
    <row r="6001" spans="1:7" x14ac:dyDescent="0.3">
      <c r="A6001" t="s">
        <v>625</v>
      </c>
      <c r="B6001" t="s">
        <v>35</v>
      </c>
      <c r="C6001" t="s">
        <v>6</v>
      </c>
      <c r="D6001" t="s">
        <v>19</v>
      </c>
      <c r="E6001" s="68">
        <v>6</v>
      </c>
      <c r="F6001" s="68">
        <v>1</v>
      </c>
      <c r="G6001" s="68">
        <v>7</v>
      </c>
    </row>
    <row r="6002" spans="1:7" x14ac:dyDescent="0.3">
      <c r="A6002" t="s">
        <v>625</v>
      </c>
      <c r="B6002" t="s">
        <v>35</v>
      </c>
      <c r="C6002" t="s">
        <v>6</v>
      </c>
      <c r="D6002" t="s">
        <v>20</v>
      </c>
      <c r="E6002" s="68">
        <v>10</v>
      </c>
      <c r="F6002" s="68">
        <v>1</v>
      </c>
      <c r="G6002" s="68">
        <v>11</v>
      </c>
    </row>
    <row r="6003" spans="1:7" x14ac:dyDescent="0.3">
      <c r="A6003" t="s">
        <v>625</v>
      </c>
      <c r="B6003" t="s">
        <v>35</v>
      </c>
      <c r="C6003" t="s">
        <v>6</v>
      </c>
      <c r="D6003" t="s">
        <v>21</v>
      </c>
      <c r="E6003" s="68">
        <v>17</v>
      </c>
      <c r="F6003" s="68">
        <v>8</v>
      </c>
      <c r="G6003" s="68">
        <v>25</v>
      </c>
    </row>
    <row r="6004" spans="1:7" x14ac:dyDescent="0.3">
      <c r="A6004" t="s">
        <v>625</v>
      </c>
      <c r="B6004" t="s">
        <v>35</v>
      </c>
      <c r="C6004" t="s">
        <v>6</v>
      </c>
      <c r="D6004" t="s">
        <v>22</v>
      </c>
      <c r="E6004" s="68">
        <v>14</v>
      </c>
      <c r="F6004" s="68">
        <v>9</v>
      </c>
      <c r="G6004" s="68">
        <v>23</v>
      </c>
    </row>
    <row r="6005" spans="1:7" x14ac:dyDescent="0.3">
      <c r="A6005" t="s">
        <v>625</v>
      </c>
      <c r="B6005" t="s">
        <v>35</v>
      </c>
      <c r="C6005" t="s">
        <v>6</v>
      </c>
      <c r="D6005" t="s">
        <v>23</v>
      </c>
      <c r="E6005" s="68">
        <v>23</v>
      </c>
      <c r="F6005" s="68">
        <v>19</v>
      </c>
      <c r="G6005" s="68">
        <v>42</v>
      </c>
    </row>
    <row r="6006" spans="1:7" x14ac:dyDescent="0.3">
      <c r="A6006" t="s">
        <v>625</v>
      </c>
      <c r="B6006" t="s">
        <v>25</v>
      </c>
      <c r="C6006" t="s">
        <v>6</v>
      </c>
      <c r="D6006" t="s">
        <v>7</v>
      </c>
      <c r="E6006" s="68">
        <v>372</v>
      </c>
      <c r="F6006" s="68">
        <v>390</v>
      </c>
      <c r="G6006" s="68">
        <v>762</v>
      </c>
    </row>
    <row r="6007" spans="1:7" x14ac:dyDescent="0.3">
      <c r="A6007" t="s">
        <v>625</v>
      </c>
      <c r="B6007" t="s">
        <v>25</v>
      </c>
      <c r="C6007" t="s">
        <v>6</v>
      </c>
      <c r="D6007" t="s">
        <v>8</v>
      </c>
      <c r="E6007" s="68">
        <v>565</v>
      </c>
      <c r="F6007" s="68">
        <v>576</v>
      </c>
      <c r="G6007" s="68">
        <v>1141</v>
      </c>
    </row>
    <row r="6008" spans="1:7" x14ac:dyDescent="0.3">
      <c r="A6008" t="s">
        <v>625</v>
      </c>
      <c r="B6008" t="s">
        <v>25</v>
      </c>
      <c r="C6008" t="s">
        <v>6</v>
      </c>
      <c r="D6008" t="s">
        <v>9</v>
      </c>
      <c r="E6008" s="68">
        <v>445</v>
      </c>
      <c r="F6008" s="68">
        <v>446</v>
      </c>
      <c r="G6008" s="68">
        <v>891</v>
      </c>
    </row>
    <row r="6009" spans="1:7" x14ac:dyDescent="0.3">
      <c r="A6009" t="s">
        <v>625</v>
      </c>
      <c r="B6009" t="s">
        <v>25</v>
      </c>
      <c r="C6009" t="s">
        <v>6</v>
      </c>
      <c r="D6009" t="s">
        <v>10</v>
      </c>
      <c r="E6009" s="68">
        <v>326</v>
      </c>
      <c r="F6009" s="68">
        <v>355</v>
      </c>
      <c r="G6009" s="68">
        <v>681</v>
      </c>
    </row>
    <row r="6010" spans="1:7" x14ac:dyDescent="0.3">
      <c r="A6010" t="s">
        <v>625</v>
      </c>
      <c r="B6010" t="s">
        <v>25</v>
      </c>
      <c r="C6010" t="s">
        <v>6</v>
      </c>
      <c r="D6010" t="s">
        <v>11</v>
      </c>
      <c r="E6010" s="68">
        <v>1042</v>
      </c>
      <c r="F6010" s="68">
        <v>979</v>
      </c>
      <c r="G6010" s="68">
        <v>2021</v>
      </c>
    </row>
    <row r="6011" spans="1:7" x14ac:dyDescent="0.3">
      <c r="A6011" t="s">
        <v>625</v>
      </c>
      <c r="B6011" t="s">
        <v>25</v>
      </c>
      <c r="C6011" t="s">
        <v>6</v>
      </c>
      <c r="D6011" t="s">
        <v>12</v>
      </c>
      <c r="E6011" s="68">
        <v>1942</v>
      </c>
      <c r="F6011" s="68">
        <v>1608</v>
      </c>
      <c r="G6011" s="68">
        <v>3550</v>
      </c>
    </row>
    <row r="6012" spans="1:7" x14ac:dyDescent="0.3">
      <c r="A6012" t="s">
        <v>625</v>
      </c>
      <c r="B6012" t="s">
        <v>25</v>
      </c>
      <c r="C6012" t="s">
        <v>6</v>
      </c>
      <c r="D6012" t="s">
        <v>13</v>
      </c>
      <c r="E6012" s="68">
        <v>1565</v>
      </c>
      <c r="F6012" s="68">
        <v>1438</v>
      </c>
      <c r="G6012" s="68">
        <v>3003</v>
      </c>
    </row>
    <row r="6013" spans="1:7" x14ac:dyDescent="0.3">
      <c r="A6013" t="s">
        <v>625</v>
      </c>
      <c r="B6013" t="s">
        <v>25</v>
      </c>
      <c r="C6013" t="s">
        <v>6</v>
      </c>
      <c r="D6013" t="s">
        <v>14</v>
      </c>
      <c r="E6013" s="68">
        <v>958</v>
      </c>
      <c r="F6013" s="68">
        <v>985</v>
      </c>
      <c r="G6013" s="68">
        <v>1943</v>
      </c>
    </row>
    <row r="6014" spans="1:7" x14ac:dyDescent="0.3">
      <c r="A6014" t="s">
        <v>625</v>
      </c>
      <c r="B6014" t="s">
        <v>25</v>
      </c>
      <c r="C6014" t="s">
        <v>6</v>
      </c>
      <c r="D6014" t="s">
        <v>15</v>
      </c>
      <c r="E6014" s="68">
        <v>719</v>
      </c>
      <c r="F6014" s="68">
        <v>775</v>
      </c>
      <c r="G6014" s="68">
        <v>1494</v>
      </c>
    </row>
    <row r="6015" spans="1:7" x14ac:dyDescent="0.3">
      <c r="A6015" t="s">
        <v>625</v>
      </c>
      <c r="B6015" t="s">
        <v>25</v>
      </c>
      <c r="C6015" t="s">
        <v>6</v>
      </c>
      <c r="D6015" t="s">
        <v>16</v>
      </c>
      <c r="E6015" s="68">
        <v>432</v>
      </c>
      <c r="F6015" s="68">
        <v>547</v>
      </c>
      <c r="G6015" s="68">
        <v>979</v>
      </c>
    </row>
    <row r="6016" spans="1:7" x14ac:dyDescent="0.3">
      <c r="A6016" t="s">
        <v>625</v>
      </c>
      <c r="B6016" t="s">
        <v>25</v>
      </c>
      <c r="C6016" t="s">
        <v>6</v>
      </c>
      <c r="D6016" t="s">
        <v>17</v>
      </c>
      <c r="E6016" s="68">
        <v>260</v>
      </c>
      <c r="F6016" s="68">
        <v>423</v>
      </c>
      <c r="G6016" s="68">
        <v>683</v>
      </c>
    </row>
    <row r="6017" spans="1:7" x14ac:dyDescent="0.3">
      <c r="A6017" t="s">
        <v>625</v>
      </c>
      <c r="B6017" t="s">
        <v>25</v>
      </c>
      <c r="C6017" t="s">
        <v>6</v>
      </c>
      <c r="D6017" t="s">
        <v>18</v>
      </c>
      <c r="E6017" s="68">
        <v>146</v>
      </c>
      <c r="F6017" s="68">
        <v>280</v>
      </c>
      <c r="G6017" s="68">
        <v>426</v>
      </c>
    </row>
    <row r="6018" spans="1:7" x14ac:dyDescent="0.3">
      <c r="A6018" t="s">
        <v>625</v>
      </c>
      <c r="B6018" t="s">
        <v>25</v>
      </c>
      <c r="C6018" t="s">
        <v>6</v>
      </c>
      <c r="D6018" t="s">
        <v>19</v>
      </c>
      <c r="E6018" s="68">
        <v>105</v>
      </c>
      <c r="F6018" s="68">
        <v>195</v>
      </c>
      <c r="G6018" s="68">
        <v>300</v>
      </c>
    </row>
    <row r="6019" spans="1:7" x14ac:dyDescent="0.3">
      <c r="A6019" t="s">
        <v>625</v>
      </c>
      <c r="B6019" t="s">
        <v>25</v>
      </c>
      <c r="C6019" t="s">
        <v>6</v>
      </c>
      <c r="D6019" t="s">
        <v>20</v>
      </c>
      <c r="E6019" s="68">
        <v>54</v>
      </c>
      <c r="F6019" s="68">
        <v>137</v>
      </c>
      <c r="G6019" s="68">
        <v>191</v>
      </c>
    </row>
    <row r="6020" spans="1:7" x14ac:dyDescent="0.3">
      <c r="A6020" t="s">
        <v>625</v>
      </c>
      <c r="B6020" t="s">
        <v>25</v>
      </c>
      <c r="C6020" t="s">
        <v>6</v>
      </c>
      <c r="D6020" t="s">
        <v>21</v>
      </c>
      <c r="E6020" s="68">
        <v>26</v>
      </c>
      <c r="F6020" s="68">
        <v>56</v>
      </c>
      <c r="G6020" s="68">
        <v>82</v>
      </c>
    </row>
    <row r="6021" spans="1:7" x14ac:dyDescent="0.3">
      <c r="A6021" t="s">
        <v>625</v>
      </c>
      <c r="B6021" t="s">
        <v>25</v>
      </c>
      <c r="C6021" t="s">
        <v>6</v>
      </c>
      <c r="D6021" t="s">
        <v>22</v>
      </c>
      <c r="E6021" s="68">
        <v>17</v>
      </c>
      <c r="F6021" s="68">
        <v>13</v>
      </c>
      <c r="G6021" s="68">
        <v>30</v>
      </c>
    </row>
    <row r="6022" spans="1:7" x14ac:dyDescent="0.3">
      <c r="A6022" t="s">
        <v>625</v>
      </c>
      <c r="B6022" t="s">
        <v>25</v>
      </c>
      <c r="C6022" t="s">
        <v>6</v>
      </c>
      <c r="D6022" t="s">
        <v>23</v>
      </c>
      <c r="E6022" s="68">
        <v>12</v>
      </c>
      <c r="F6022" s="68">
        <v>4</v>
      </c>
      <c r="G6022" s="68">
        <v>16</v>
      </c>
    </row>
    <row r="6023" spans="1:7" x14ac:dyDescent="0.3">
      <c r="A6023" t="s">
        <v>625</v>
      </c>
      <c r="B6023" t="s">
        <v>25</v>
      </c>
      <c r="C6023" t="s">
        <v>24</v>
      </c>
      <c r="D6023" t="s">
        <v>7</v>
      </c>
      <c r="E6023" s="68">
        <v>4394</v>
      </c>
      <c r="F6023" s="68">
        <v>4519</v>
      </c>
      <c r="G6023" s="68">
        <v>8913</v>
      </c>
    </row>
    <row r="6024" spans="1:7" x14ac:dyDescent="0.3">
      <c r="A6024" t="s">
        <v>625</v>
      </c>
      <c r="B6024" t="s">
        <v>25</v>
      </c>
      <c r="C6024" t="s">
        <v>24</v>
      </c>
      <c r="D6024" t="s">
        <v>8</v>
      </c>
      <c r="E6024" s="68">
        <v>6295</v>
      </c>
      <c r="F6024" s="68">
        <v>6650</v>
      </c>
      <c r="G6024" s="68">
        <v>12945</v>
      </c>
    </row>
    <row r="6025" spans="1:7" x14ac:dyDescent="0.3">
      <c r="A6025" t="s">
        <v>625</v>
      </c>
      <c r="B6025" t="s">
        <v>25</v>
      </c>
      <c r="C6025" t="s">
        <v>24</v>
      </c>
      <c r="D6025" t="s">
        <v>9</v>
      </c>
      <c r="E6025" s="68">
        <v>7749</v>
      </c>
      <c r="F6025" s="68">
        <v>7916</v>
      </c>
      <c r="G6025" s="68">
        <v>15665</v>
      </c>
    </row>
    <row r="6026" spans="1:7" x14ac:dyDescent="0.3">
      <c r="A6026" t="s">
        <v>625</v>
      </c>
      <c r="B6026" t="s">
        <v>25</v>
      </c>
      <c r="C6026" t="s">
        <v>24</v>
      </c>
      <c r="D6026" t="s">
        <v>10</v>
      </c>
      <c r="E6026" s="68">
        <v>9028</v>
      </c>
      <c r="F6026" s="68">
        <v>9203</v>
      </c>
      <c r="G6026" s="68">
        <v>18231</v>
      </c>
    </row>
    <row r="6027" spans="1:7" x14ac:dyDescent="0.3">
      <c r="A6027" t="s">
        <v>625</v>
      </c>
      <c r="B6027" t="s">
        <v>25</v>
      </c>
      <c r="C6027" t="s">
        <v>24</v>
      </c>
      <c r="D6027" t="s">
        <v>11</v>
      </c>
      <c r="E6027" s="68">
        <v>8906</v>
      </c>
      <c r="F6027" s="68">
        <v>8539</v>
      </c>
      <c r="G6027" s="68">
        <v>17445</v>
      </c>
    </row>
    <row r="6028" spans="1:7" x14ac:dyDescent="0.3">
      <c r="A6028" t="s">
        <v>625</v>
      </c>
      <c r="B6028" t="s">
        <v>25</v>
      </c>
      <c r="C6028" t="s">
        <v>24</v>
      </c>
      <c r="D6028" t="s">
        <v>12</v>
      </c>
      <c r="E6028" s="68">
        <v>8644</v>
      </c>
      <c r="F6028" s="68">
        <v>8182</v>
      </c>
      <c r="G6028" s="68">
        <v>16826</v>
      </c>
    </row>
    <row r="6029" spans="1:7" x14ac:dyDescent="0.3">
      <c r="A6029" t="s">
        <v>625</v>
      </c>
      <c r="B6029" t="s">
        <v>25</v>
      </c>
      <c r="C6029" t="s">
        <v>24</v>
      </c>
      <c r="D6029" t="s">
        <v>13</v>
      </c>
      <c r="E6029" s="68">
        <v>8312</v>
      </c>
      <c r="F6029" s="68">
        <v>7507</v>
      </c>
      <c r="G6029" s="68">
        <v>15819</v>
      </c>
    </row>
    <row r="6030" spans="1:7" x14ac:dyDescent="0.3">
      <c r="A6030" t="s">
        <v>625</v>
      </c>
      <c r="B6030" t="s">
        <v>25</v>
      </c>
      <c r="C6030" t="s">
        <v>24</v>
      </c>
      <c r="D6030" t="s">
        <v>14</v>
      </c>
      <c r="E6030" s="68">
        <v>8396</v>
      </c>
      <c r="F6030" s="68">
        <v>7201</v>
      </c>
      <c r="G6030" s="68">
        <v>15597</v>
      </c>
    </row>
    <row r="6031" spans="1:7" x14ac:dyDescent="0.3">
      <c r="A6031" t="s">
        <v>625</v>
      </c>
      <c r="B6031" t="s">
        <v>25</v>
      </c>
      <c r="C6031" t="s">
        <v>24</v>
      </c>
      <c r="D6031" t="s">
        <v>15</v>
      </c>
      <c r="E6031" s="68">
        <v>8568</v>
      </c>
      <c r="F6031" s="68">
        <v>7355</v>
      </c>
      <c r="G6031" s="68">
        <v>15923</v>
      </c>
    </row>
    <row r="6032" spans="1:7" x14ac:dyDescent="0.3">
      <c r="A6032" t="s">
        <v>625</v>
      </c>
      <c r="B6032" t="s">
        <v>25</v>
      </c>
      <c r="C6032" t="s">
        <v>24</v>
      </c>
      <c r="D6032" t="s">
        <v>16</v>
      </c>
      <c r="E6032" s="68">
        <v>8020</v>
      </c>
      <c r="F6032" s="68">
        <v>6868</v>
      </c>
      <c r="G6032" s="68">
        <v>14888</v>
      </c>
    </row>
    <row r="6033" spans="1:7" x14ac:dyDescent="0.3">
      <c r="A6033" t="s">
        <v>625</v>
      </c>
      <c r="B6033" t="s">
        <v>25</v>
      </c>
      <c r="C6033" t="s">
        <v>24</v>
      </c>
      <c r="D6033" t="s">
        <v>17</v>
      </c>
      <c r="E6033" s="68">
        <v>7394</v>
      </c>
      <c r="F6033" s="68">
        <v>6039</v>
      </c>
      <c r="G6033" s="68">
        <v>13433</v>
      </c>
    </row>
    <row r="6034" spans="1:7" x14ac:dyDescent="0.3">
      <c r="A6034" t="s">
        <v>625</v>
      </c>
      <c r="B6034" t="s">
        <v>25</v>
      </c>
      <c r="C6034" t="s">
        <v>24</v>
      </c>
      <c r="D6034" t="s">
        <v>18</v>
      </c>
      <c r="E6034" s="68">
        <v>6749</v>
      </c>
      <c r="F6034" s="68">
        <v>5809</v>
      </c>
      <c r="G6034" s="68">
        <v>12558</v>
      </c>
    </row>
    <row r="6035" spans="1:7" x14ac:dyDescent="0.3">
      <c r="A6035" t="s">
        <v>625</v>
      </c>
      <c r="B6035" t="s">
        <v>25</v>
      </c>
      <c r="C6035" t="s">
        <v>24</v>
      </c>
      <c r="D6035" t="s">
        <v>19</v>
      </c>
      <c r="E6035" s="68">
        <v>5678</v>
      </c>
      <c r="F6035" s="68">
        <v>4767</v>
      </c>
      <c r="G6035" s="68">
        <v>10445</v>
      </c>
    </row>
    <row r="6036" spans="1:7" x14ac:dyDescent="0.3">
      <c r="A6036" t="s">
        <v>625</v>
      </c>
      <c r="B6036" t="s">
        <v>25</v>
      </c>
      <c r="C6036" t="s">
        <v>24</v>
      </c>
      <c r="D6036" t="s">
        <v>20</v>
      </c>
      <c r="E6036" s="68">
        <v>4505</v>
      </c>
      <c r="F6036" s="68">
        <v>3821</v>
      </c>
      <c r="G6036" s="68">
        <v>8326</v>
      </c>
    </row>
    <row r="6037" spans="1:7" x14ac:dyDescent="0.3">
      <c r="A6037" t="s">
        <v>625</v>
      </c>
      <c r="B6037" t="s">
        <v>25</v>
      </c>
      <c r="C6037" t="s">
        <v>24</v>
      </c>
      <c r="D6037" t="s">
        <v>21</v>
      </c>
      <c r="E6037" s="68">
        <v>3650</v>
      </c>
      <c r="F6037" s="68">
        <v>3173</v>
      </c>
      <c r="G6037" s="68">
        <v>6823</v>
      </c>
    </row>
    <row r="6038" spans="1:7" x14ac:dyDescent="0.3">
      <c r="A6038" t="s">
        <v>625</v>
      </c>
      <c r="B6038" t="s">
        <v>25</v>
      </c>
      <c r="C6038" t="s">
        <v>24</v>
      </c>
      <c r="D6038" t="s">
        <v>22</v>
      </c>
      <c r="E6038" s="68">
        <v>2946</v>
      </c>
      <c r="F6038" s="68">
        <v>2511</v>
      </c>
      <c r="G6038" s="68">
        <v>5457</v>
      </c>
    </row>
    <row r="6039" spans="1:7" x14ac:dyDescent="0.3">
      <c r="A6039" t="s">
        <v>625</v>
      </c>
      <c r="B6039" t="s">
        <v>25</v>
      </c>
      <c r="C6039" t="s">
        <v>24</v>
      </c>
      <c r="D6039" t="s">
        <v>23</v>
      </c>
      <c r="E6039" s="68">
        <v>4406</v>
      </c>
      <c r="F6039" s="68">
        <v>3208</v>
      </c>
      <c r="G6039" s="68">
        <v>7614</v>
      </c>
    </row>
    <row r="6040" spans="1:7" x14ac:dyDescent="0.3">
      <c r="A6040" t="s">
        <v>625</v>
      </c>
      <c r="B6040" t="s">
        <v>588</v>
      </c>
      <c r="C6040" t="s">
        <v>24</v>
      </c>
      <c r="D6040" t="s">
        <v>7</v>
      </c>
      <c r="E6040" s="68"/>
      <c r="F6040" s="68">
        <v>2</v>
      </c>
      <c r="G6040" s="68">
        <v>2</v>
      </c>
    </row>
    <row r="6041" spans="1:7" x14ac:dyDescent="0.3">
      <c r="A6041" t="s">
        <v>625</v>
      </c>
      <c r="B6041" t="s">
        <v>588</v>
      </c>
      <c r="C6041" t="s">
        <v>24</v>
      </c>
      <c r="D6041" t="s">
        <v>8</v>
      </c>
      <c r="E6041" s="68">
        <v>1</v>
      </c>
      <c r="F6041" s="68"/>
      <c r="G6041" s="68">
        <v>1</v>
      </c>
    </row>
    <row r="6042" spans="1:7" x14ac:dyDescent="0.3">
      <c r="A6042" t="s">
        <v>625</v>
      </c>
      <c r="B6042" t="s">
        <v>26</v>
      </c>
      <c r="C6042" t="s">
        <v>6</v>
      </c>
      <c r="D6042" t="s">
        <v>7</v>
      </c>
      <c r="E6042" s="68">
        <v>1583</v>
      </c>
      <c r="F6042" s="68">
        <v>1671</v>
      </c>
      <c r="G6042" s="68">
        <v>3254</v>
      </c>
    </row>
    <row r="6043" spans="1:7" x14ac:dyDescent="0.3">
      <c r="A6043" t="s">
        <v>625</v>
      </c>
      <c r="B6043" t="s">
        <v>26</v>
      </c>
      <c r="C6043" t="s">
        <v>6</v>
      </c>
      <c r="D6043" t="s">
        <v>8</v>
      </c>
      <c r="E6043" s="68">
        <v>2233</v>
      </c>
      <c r="F6043" s="68">
        <v>2323</v>
      </c>
      <c r="G6043" s="68">
        <v>4556</v>
      </c>
    </row>
    <row r="6044" spans="1:7" x14ac:dyDescent="0.3">
      <c r="A6044" t="s">
        <v>625</v>
      </c>
      <c r="B6044" t="s">
        <v>26</v>
      </c>
      <c r="C6044" t="s">
        <v>6</v>
      </c>
      <c r="D6044" t="s">
        <v>9</v>
      </c>
      <c r="E6044" s="68">
        <v>2312</v>
      </c>
      <c r="F6044" s="68">
        <v>2450</v>
      </c>
      <c r="G6044" s="68">
        <v>4762</v>
      </c>
    </row>
    <row r="6045" spans="1:7" x14ac:dyDescent="0.3">
      <c r="A6045" t="s">
        <v>625</v>
      </c>
      <c r="B6045" t="s">
        <v>26</v>
      </c>
      <c r="C6045" t="s">
        <v>6</v>
      </c>
      <c r="D6045" t="s">
        <v>10</v>
      </c>
      <c r="E6045" s="68">
        <v>2504</v>
      </c>
      <c r="F6045" s="68">
        <v>2631</v>
      </c>
      <c r="G6045" s="68">
        <v>5135</v>
      </c>
    </row>
    <row r="6046" spans="1:7" x14ac:dyDescent="0.3">
      <c r="A6046" t="s">
        <v>625</v>
      </c>
      <c r="B6046" t="s">
        <v>26</v>
      </c>
      <c r="C6046" t="s">
        <v>6</v>
      </c>
      <c r="D6046" t="s">
        <v>11</v>
      </c>
      <c r="E6046" s="68">
        <v>2999</v>
      </c>
      <c r="F6046" s="68">
        <v>3260</v>
      </c>
      <c r="G6046" s="68">
        <v>6259</v>
      </c>
    </row>
    <row r="6047" spans="1:7" x14ac:dyDescent="0.3">
      <c r="A6047" t="s">
        <v>625</v>
      </c>
      <c r="B6047" t="s">
        <v>26</v>
      </c>
      <c r="C6047" t="s">
        <v>6</v>
      </c>
      <c r="D6047" t="s">
        <v>12</v>
      </c>
      <c r="E6047" s="68">
        <v>3855</v>
      </c>
      <c r="F6047" s="68">
        <v>3875</v>
      </c>
      <c r="G6047" s="68">
        <v>7730</v>
      </c>
    </row>
    <row r="6048" spans="1:7" x14ac:dyDescent="0.3">
      <c r="A6048" t="s">
        <v>625</v>
      </c>
      <c r="B6048" t="s">
        <v>26</v>
      </c>
      <c r="C6048" t="s">
        <v>6</v>
      </c>
      <c r="D6048" t="s">
        <v>13</v>
      </c>
      <c r="E6048" s="68">
        <v>4495</v>
      </c>
      <c r="F6048" s="68">
        <v>4523</v>
      </c>
      <c r="G6048" s="68">
        <v>9018</v>
      </c>
    </row>
    <row r="6049" spans="1:7" x14ac:dyDescent="0.3">
      <c r="A6049" t="s">
        <v>625</v>
      </c>
      <c r="B6049" t="s">
        <v>26</v>
      </c>
      <c r="C6049" t="s">
        <v>6</v>
      </c>
      <c r="D6049" t="s">
        <v>14</v>
      </c>
      <c r="E6049" s="68">
        <v>4345</v>
      </c>
      <c r="F6049" s="68">
        <v>4366</v>
      </c>
      <c r="G6049" s="68">
        <v>8711</v>
      </c>
    </row>
    <row r="6050" spans="1:7" x14ac:dyDescent="0.3">
      <c r="A6050" t="s">
        <v>625</v>
      </c>
      <c r="B6050" t="s">
        <v>26</v>
      </c>
      <c r="C6050" t="s">
        <v>6</v>
      </c>
      <c r="D6050" t="s">
        <v>15</v>
      </c>
      <c r="E6050" s="68">
        <v>4466</v>
      </c>
      <c r="F6050" s="68">
        <v>4034</v>
      </c>
      <c r="G6050" s="68">
        <v>8500</v>
      </c>
    </row>
    <row r="6051" spans="1:7" x14ac:dyDescent="0.3">
      <c r="A6051" t="s">
        <v>625</v>
      </c>
      <c r="B6051" t="s">
        <v>26</v>
      </c>
      <c r="C6051" t="s">
        <v>6</v>
      </c>
      <c r="D6051" t="s">
        <v>16</v>
      </c>
      <c r="E6051" s="68">
        <v>4361</v>
      </c>
      <c r="F6051" s="68">
        <v>3948</v>
      </c>
      <c r="G6051" s="68">
        <v>8309</v>
      </c>
    </row>
    <row r="6052" spans="1:7" x14ac:dyDescent="0.3">
      <c r="A6052" t="s">
        <v>625</v>
      </c>
      <c r="B6052" t="s">
        <v>26</v>
      </c>
      <c r="C6052" t="s">
        <v>6</v>
      </c>
      <c r="D6052" t="s">
        <v>17</v>
      </c>
      <c r="E6052" s="68">
        <v>4098</v>
      </c>
      <c r="F6052" s="68">
        <v>3549</v>
      </c>
      <c r="G6052" s="68">
        <v>7647</v>
      </c>
    </row>
    <row r="6053" spans="1:7" x14ac:dyDescent="0.3">
      <c r="A6053" t="s">
        <v>625</v>
      </c>
      <c r="B6053" t="s">
        <v>26</v>
      </c>
      <c r="C6053" t="s">
        <v>6</v>
      </c>
      <c r="D6053" t="s">
        <v>18</v>
      </c>
      <c r="E6053" s="68">
        <v>4226</v>
      </c>
      <c r="F6053" s="68">
        <v>3526</v>
      </c>
      <c r="G6053" s="68">
        <v>7752</v>
      </c>
    </row>
    <row r="6054" spans="1:7" x14ac:dyDescent="0.3">
      <c r="A6054" t="s">
        <v>625</v>
      </c>
      <c r="B6054" t="s">
        <v>26</v>
      </c>
      <c r="C6054" t="s">
        <v>6</v>
      </c>
      <c r="D6054" t="s">
        <v>19</v>
      </c>
      <c r="E6054" s="68">
        <v>3877</v>
      </c>
      <c r="F6054" s="68">
        <v>3246</v>
      </c>
      <c r="G6054" s="68">
        <v>7123</v>
      </c>
    </row>
    <row r="6055" spans="1:7" x14ac:dyDescent="0.3">
      <c r="A6055" t="s">
        <v>625</v>
      </c>
      <c r="B6055" t="s">
        <v>26</v>
      </c>
      <c r="C6055" t="s">
        <v>6</v>
      </c>
      <c r="D6055" t="s">
        <v>20</v>
      </c>
      <c r="E6055" s="68">
        <v>3419</v>
      </c>
      <c r="F6055" s="68">
        <v>2686</v>
      </c>
      <c r="G6055" s="68">
        <v>6105</v>
      </c>
    </row>
    <row r="6056" spans="1:7" x14ac:dyDescent="0.3">
      <c r="A6056" t="s">
        <v>625</v>
      </c>
      <c r="B6056" t="s">
        <v>26</v>
      </c>
      <c r="C6056" t="s">
        <v>6</v>
      </c>
      <c r="D6056" t="s">
        <v>21</v>
      </c>
      <c r="E6056" s="68">
        <v>2896</v>
      </c>
      <c r="F6056" s="68">
        <v>2338</v>
      </c>
      <c r="G6056" s="68">
        <v>5234</v>
      </c>
    </row>
    <row r="6057" spans="1:7" x14ac:dyDescent="0.3">
      <c r="A6057" t="s">
        <v>625</v>
      </c>
      <c r="B6057" t="s">
        <v>26</v>
      </c>
      <c r="C6057" t="s">
        <v>6</v>
      </c>
      <c r="D6057" t="s">
        <v>22</v>
      </c>
      <c r="E6057" s="68">
        <v>2224</v>
      </c>
      <c r="F6057" s="68">
        <v>1720</v>
      </c>
      <c r="G6057" s="68">
        <v>3944</v>
      </c>
    </row>
    <row r="6058" spans="1:7" x14ac:dyDescent="0.3">
      <c r="A6058" t="s">
        <v>625</v>
      </c>
      <c r="B6058" t="s">
        <v>26</v>
      </c>
      <c r="C6058" t="s">
        <v>6</v>
      </c>
      <c r="D6058" t="s">
        <v>23</v>
      </c>
      <c r="E6058" s="68">
        <v>2995</v>
      </c>
      <c r="F6058" s="68">
        <v>2162</v>
      </c>
      <c r="G6058" s="68">
        <v>5157</v>
      </c>
    </row>
    <row r="6059" spans="1:7" x14ac:dyDescent="0.3">
      <c r="A6059" t="s">
        <v>625</v>
      </c>
      <c r="B6059" t="s">
        <v>26</v>
      </c>
      <c r="C6059" t="s">
        <v>24</v>
      </c>
      <c r="D6059" t="s">
        <v>7</v>
      </c>
      <c r="E6059" s="68">
        <v>3420</v>
      </c>
      <c r="F6059" s="68">
        <v>3572</v>
      </c>
      <c r="G6059" s="68">
        <v>6992</v>
      </c>
    </row>
    <row r="6060" spans="1:7" x14ac:dyDescent="0.3">
      <c r="A6060" t="s">
        <v>625</v>
      </c>
      <c r="B6060" t="s">
        <v>26</v>
      </c>
      <c r="C6060" t="s">
        <v>24</v>
      </c>
      <c r="D6060" t="s">
        <v>8</v>
      </c>
      <c r="E6060" s="68">
        <v>4142</v>
      </c>
      <c r="F6060" s="68">
        <v>4253</v>
      </c>
      <c r="G6060" s="68">
        <v>8395</v>
      </c>
    </row>
    <row r="6061" spans="1:7" x14ac:dyDescent="0.3">
      <c r="A6061" t="s">
        <v>625</v>
      </c>
      <c r="B6061" t="s">
        <v>26</v>
      </c>
      <c r="C6061" t="s">
        <v>24</v>
      </c>
      <c r="D6061" t="s">
        <v>9</v>
      </c>
      <c r="E6061" s="68">
        <v>3773</v>
      </c>
      <c r="F6061" s="68">
        <v>3867</v>
      </c>
      <c r="G6061" s="68">
        <v>7640</v>
      </c>
    </row>
    <row r="6062" spans="1:7" x14ac:dyDescent="0.3">
      <c r="A6062" t="s">
        <v>625</v>
      </c>
      <c r="B6062" t="s">
        <v>26</v>
      </c>
      <c r="C6062" t="s">
        <v>24</v>
      </c>
      <c r="D6062" t="s">
        <v>10</v>
      </c>
      <c r="E6062" s="68">
        <v>4303</v>
      </c>
      <c r="F6062" s="68">
        <v>4102</v>
      </c>
      <c r="G6062" s="68">
        <v>8405</v>
      </c>
    </row>
    <row r="6063" spans="1:7" x14ac:dyDescent="0.3">
      <c r="A6063" t="s">
        <v>625</v>
      </c>
      <c r="B6063" t="s">
        <v>26</v>
      </c>
      <c r="C6063" t="s">
        <v>24</v>
      </c>
      <c r="D6063" t="s">
        <v>11</v>
      </c>
      <c r="E6063" s="68">
        <v>5483</v>
      </c>
      <c r="F6063" s="68">
        <v>4665</v>
      </c>
      <c r="G6063" s="68">
        <v>10148</v>
      </c>
    </row>
    <row r="6064" spans="1:7" x14ac:dyDescent="0.3">
      <c r="A6064" t="s">
        <v>625</v>
      </c>
      <c r="B6064" t="s">
        <v>26</v>
      </c>
      <c r="C6064" t="s">
        <v>24</v>
      </c>
      <c r="D6064" t="s">
        <v>12</v>
      </c>
      <c r="E6064" s="68">
        <v>6606</v>
      </c>
      <c r="F6064" s="68">
        <v>6143</v>
      </c>
      <c r="G6064" s="68">
        <v>12749</v>
      </c>
    </row>
    <row r="6065" spans="1:7" x14ac:dyDescent="0.3">
      <c r="A6065" t="s">
        <v>625</v>
      </c>
      <c r="B6065" t="s">
        <v>26</v>
      </c>
      <c r="C6065" t="s">
        <v>24</v>
      </c>
      <c r="D6065" t="s">
        <v>13</v>
      </c>
      <c r="E6065" s="68">
        <v>5541</v>
      </c>
      <c r="F6065" s="68">
        <v>5523</v>
      </c>
      <c r="G6065" s="68">
        <v>11064</v>
      </c>
    </row>
    <row r="6066" spans="1:7" x14ac:dyDescent="0.3">
      <c r="A6066" t="s">
        <v>625</v>
      </c>
      <c r="B6066" t="s">
        <v>26</v>
      </c>
      <c r="C6066" t="s">
        <v>24</v>
      </c>
      <c r="D6066" t="s">
        <v>14</v>
      </c>
      <c r="E6066" s="68">
        <v>4768</v>
      </c>
      <c r="F6066" s="68">
        <v>4925</v>
      </c>
      <c r="G6066" s="68">
        <v>9693</v>
      </c>
    </row>
    <row r="6067" spans="1:7" x14ac:dyDescent="0.3">
      <c r="A6067" t="s">
        <v>625</v>
      </c>
      <c r="B6067" t="s">
        <v>26</v>
      </c>
      <c r="C6067" t="s">
        <v>24</v>
      </c>
      <c r="D6067" t="s">
        <v>15</v>
      </c>
      <c r="E6067" s="68">
        <v>4650</v>
      </c>
      <c r="F6067" s="68">
        <v>4591</v>
      </c>
      <c r="G6067" s="68">
        <v>9241</v>
      </c>
    </row>
    <row r="6068" spans="1:7" x14ac:dyDescent="0.3">
      <c r="A6068" t="s">
        <v>625</v>
      </c>
      <c r="B6068" t="s">
        <v>26</v>
      </c>
      <c r="C6068" t="s">
        <v>24</v>
      </c>
      <c r="D6068" t="s">
        <v>16</v>
      </c>
      <c r="E6068" s="68">
        <v>4388</v>
      </c>
      <c r="F6068" s="68">
        <v>4327</v>
      </c>
      <c r="G6068" s="68">
        <v>8715</v>
      </c>
    </row>
    <row r="6069" spans="1:7" x14ac:dyDescent="0.3">
      <c r="A6069" t="s">
        <v>625</v>
      </c>
      <c r="B6069" t="s">
        <v>26</v>
      </c>
      <c r="C6069" t="s">
        <v>24</v>
      </c>
      <c r="D6069" t="s">
        <v>17</v>
      </c>
      <c r="E6069" s="68">
        <v>3782</v>
      </c>
      <c r="F6069" s="68">
        <v>3742</v>
      </c>
      <c r="G6069" s="68">
        <v>7524</v>
      </c>
    </row>
    <row r="6070" spans="1:7" x14ac:dyDescent="0.3">
      <c r="A6070" t="s">
        <v>625</v>
      </c>
      <c r="B6070" t="s">
        <v>26</v>
      </c>
      <c r="C6070" t="s">
        <v>24</v>
      </c>
      <c r="D6070" t="s">
        <v>18</v>
      </c>
      <c r="E6070" s="68">
        <v>3678</v>
      </c>
      <c r="F6070" s="68">
        <v>3427</v>
      </c>
      <c r="G6070" s="68">
        <v>7105</v>
      </c>
    </row>
    <row r="6071" spans="1:7" x14ac:dyDescent="0.3">
      <c r="A6071" t="s">
        <v>625</v>
      </c>
      <c r="B6071" t="s">
        <v>26</v>
      </c>
      <c r="C6071" t="s">
        <v>24</v>
      </c>
      <c r="D6071" t="s">
        <v>19</v>
      </c>
      <c r="E6071" s="68">
        <v>3034</v>
      </c>
      <c r="F6071" s="68">
        <v>2813</v>
      </c>
      <c r="G6071" s="68">
        <v>5847</v>
      </c>
    </row>
    <row r="6072" spans="1:7" x14ac:dyDescent="0.3">
      <c r="A6072" t="s">
        <v>625</v>
      </c>
      <c r="B6072" t="s">
        <v>26</v>
      </c>
      <c r="C6072" t="s">
        <v>24</v>
      </c>
      <c r="D6072" t="s">
        <v>20</v>
      </c>
      <c r="E6072" s="68">
        <v>2316</v>
      </c>
      <c r="F6072" s="68">
        <v>2000</v>
      </c>
      <c r="G6072" s="68">
        <v>4316</v>
      </c>
    </row>
    <row r="6073" spans="1:7" x14ac:dyDescent="0.3">
      <c r="A6073" t="s">
        <v>625</v>
      </c>
      <c r="B6073" t="s">
        <v>26</v>
      </c>
      <c r="C6073" t="s">
        <v>24</v>
      </c>
      <c r="D6073" t="s">
        <v>21</v>
      </c>
      <c r="E6073" s="68">
        <v>1670</v>
      </c>
      <c r="F6073" s="68">
        <v>1509</v>
      </c>
      <c r="G6073" s="68">
        <v>3179</v>
      </c>
    </row>
    <row r="6074" spans="1:7" x14ac:dyDescent="0.3">
      <c r="A6074" t="s">
        <v>625</v>
      </c>
      <c r="B6074" t="s">
        <v>26</v>
      </c>
      <c r="C6074" t="s">
        <v>24</v>
      </c>
      <c r="D6074" t="s">
        <v>22</v>
      </c>
      <c r="E6074" s="68">
        <v>1157</v>
      </c>
      <c r="F6074" s="68">
        <v>993</v>
      </c>
      <c r="G6074" s="68">
        <v>2150</v>
      </c>
    </row>
    <row r="6075" spans="1:7" x14ac:dyDescent="0.3">
      <c r="A6075" t="s">
        <v>625</v>
      </c>
      <c r="B6075" t="s">
        <v>26</v>
      </c>
      <c r="C6075" t="s">
        <v>24</v>
      </c>
      <c r="D6075" t="s">
        <v>23</v>
      </c>
      <c r="E6075" s="68">
        <v>1692</v>
      </c>
      <c r="F6075" s="68">
        <v>1270</v>
      </c>
      <c r="G6075" s="68">
        <v>2962</v>
      </c>
    </row>
    <row r="6076" spans="1:7" x14ac:dyDescent="0.3">
      <c r="A6076" t="s">
        <v>625</v>
      </c>
      <c r="B6076" t="s">
        <v>27</v>
      </c>
      <c r="C6076" t="s">
        <v>28</v>
      </c>
      <c r="D6076" t="s">
        <v>7</v>
      </c>
      <c r="E6076" s="68">
        <v>242</v>
      </c>
      <c r="F6076" s="68">
        <v>292</v>
      </c>
      <c r="G6076" s="68">
        <v>534</v>
      </c>
    </row>
    <row r="6077" spans="1:7" x14ac:dyDescent="0.3">
      <c r="A6077" t="s">
        <v>625</v>
      </c>
      <c r="B6077" t="s">
        <v>27</v>
      </c>
      <c r="C6077" t="s">
        <v>28</v>
      </c>
      <c r="D6077" t="s">
        <v>8</v>
      </c>
      <c r="E6077" s="68">
        <v>421</v>
      </c>
      <c r="F6077" s="68">
        <v>443</v>
      </c>
      <c r="G6077" s="68">
        <v>864</v>
      </c>
    </row>
    <row r="6078" spans="1:7" x14ac:dyDescent="0.3">
      <c r="A6078" t="s">
        <v>625</v>
      </c>
      <c r="B6078" t="s">
        <v>27</v>
      </c>
      <c r="C6078" t="s">
        <v>28</v>
      </c>
      <c r="D6078" t="s">
        <v>9</v>
      </c>
      <c r="E6078" s="68">
        <v>682</v>
      </c>
      <c r="F6078" s="68">
        <v>709</v>
      </c>
      <c r="G6078" s="68">
        <v>1391</v>
      </c>
    </row>
    <row r="6079" spans="1:7" x14ac:dyDescent="0.3">
      <c r="A6079" t="s">
        <v>625</v>
      </c>
      <c r="B6079" t="s">
        <v>27</v>
      </c>
      <c r="C6079" t="s">
        <v>28</v>
      </c>
      <c r="D6079" t="s">
        <v>10</v>
      </c>
      <c r="E6079" s="68">
        <v>997</v>
      </c>
      <c r="F6079" s="68">
        <v>1082</v>
      </c>
      <c r="G6079" s="68">
        <v>2079</v>
      </c>
    </row>
    <row r="6080" spans="1:7" x14ac:dyDescent="0.3">
      <c r="A6080" t="s">
        <v>625</v>
      </c>
      <c r="B6080" t="s">
        <v>27</v>
      </c>
      <c r="C6080" t="s">
        <v>28</v>
      </c>
      <c r="D6080" t="s">
        <v>11</v>
      </c>
      <c r="E6080" s="68">
        <v>1153</v>
      </c>
      <c r="F6080" s="68">
        <v>1132</v>
      </c>
      <c r="G6080" s="68">
        <v>2285</v>
      </c>
    </row>
    <row r="6081" spans="1:7" x14ac:dyDescent="0.3">
      <c r="A6081" t="s">
        <v>625</v>
      </c>
      <c r="B6081" t="s">
        <v>27</v>
      </c>
      <c r="C6081" t="s">
        <v>28</v>
      </c>
      <c r="D6081" t="s">
        <v>12</v>
      </c>
      <c r="E6081" s="68">
        <v>488</v>
      </c>
      <c r="F6081" s="68">
        <v>394</v>
      </c>
      <c r="G6081" s="68">
        <v>882</v>
      </c>
    </row>
    <row r="6082" spans="1:7" x14ac:dyDescent="0.3">
      <c r="A6082" t="s">
        <v>625</v>
      </c>
      <c r="B6082" t="s">
        <v>27</v>
      </c>
      <c r="C6082" t="s">
        <v>28</v>
      </c>
      <c r="D6082" t="s">
        <v>13</v>
      </c>
      <c r="E6082" s="68">
        <v>524</v>
      </c>
      <c r="F6082" s="68">
        <v>382</v>
      </c>
      <c r="G6082" s="68">
        <v>906</v>
      </c>
    </row>
    <row r="6083" spans="1:7" x14ac:dyDescent="0.3">
      <c r="A6083" t="s">
        <v>625</v>
      </c>
      <c r="B6083" t="s">
        <v>27</v>
      </c>
      <c r="C6083" t="s">
        <v>28</v>
      </c>
      <c r="D6083" t="s">
        <v>14</v>
      </c>
      <c r="E6083" s="68">
        <v>691</v>
      </c>
      <c r="F6083" s="68">
        <v>483</v>
      </c>
      <c r="G6083" s="68">
        <v>1174</v>
      </c>
    </row>
    <row r="6084" spans="1:7" x14ac:dyDescent="0.3">
      <c r="A6084" t="s">
        <v>625</v>
      </c>
      <c r="B6084" t="s">
        <v>27</v>
      </c>
      <c r="C6084" t="s">
        <v>28</v>
      </c>
      <c r="D6084" t="s">
        <v>15</v>
      </c>
      <c r="E6084" s="68">
        <v>1000</v>
      </c>
      <c r="F6084" s="68">
        <v>598</v>
      </c>
      <c r="G6084" s="68">
        <v>1598</v>
      </c>
    </row>
    <row r="6085" spans="1:7" x14ac:dyDescent="0.3">
      <c r="A6085" t="s">
        <v>625</v>
      </c>
      <c r="B6085" t="s">
        <v>27</v>
      </c>
      <c r="C6085" t="s">
        <v>28</v>
      </c>
      <c r="D6085" t="s">
        <v>16</v>
      </c>
      <c r="E6085" s="68">
        <v>1352</v>
      </c>
      <c r="F6085" s="68">
        <v>863</v>
      </c>
      <c r="G6085" s="68">
        <v>2215</v>
      </c>
    </row>
    <row r="6086" spans="1:7" x14ac:dyDescent="0.3">
      <c r="A6086" t="s">
        <v>625</v>
      </c>
      <c r="B6086" t="s">
        <v>27</v>
      </c>
      <c r="C6086" t="s">
        <v>28</v>
      </c>
      <c r="D6086" t="s">
        <v>17</v>
      </c>
      <c r="E6086" s="68">
        <v>1910</v>
      </c>
      <c r="F6086" s="68">
        <v>1118</v>
      </c>
      <c r="G6086" s="68">
        <v>3028</v>
      </c>
    </row>
    <row r="6087" spans="1:7" x14ac:dyDescent="0.3">
      <c r="A6087" t="s">
        <v>625</v>
      </c>
      <c r="B6087" t="s">
        <v>27</v>
      </c>
      <c r="C6087" t="s">
        <v>28</v>
      </c>
      <c r="D6087" t="s">
        <v>18</v>
      </c>
      <c r="E6087" s="68">
        <v>2192</v>
      </c>
      <c r="F6087" s="68">
        <v>1542</v>
      </c>
      <c r="G6087" s="68">
        <v>3734</v>
      </c>
    </row>
    <row r="6088" spans="1:7" x14ac:dyDescent="0.3">
      <c r="A6088" t="s">
        <v>625</v>
      </c>
      <c r="B6088" t="s">
        <v>27</v>
      </c>
      <c r="C6088" t="s">
        <v>28</v>
      </c>
      <c r="D6088" t="s">
        <v>19</v>
      </c>
      <c r="E6088" s="68">
        <v>2223</v>
      </c>
      <c r="F6088" s="68">
        <v>1591</v>
      </c>
      <c r="G6088" s="68">
        <v>3814</v>
      </c>
    </row>
    <row r="6089" spans="1:7" x14ac:dyDescent="0.3">
      <c r="A6089" t="s">
        <v>625</v>
      </c>
      <c r="B6089" t="s">
        <v>27</v>
      </c>
      <c r="C6089" t="s">
        <v>28</v>
      </c>
      <c r="D6089" t="s">
        <v>20</v>
      </c>
      <c r="E6089" s="68">
        <v>1868</v>
      </c>
      <c r="F6089" s="68">
        <v>1398</v>
      </c>
      <c r="G6089" s="68">
        <v>3266</v>
      </c>
    </row>
    <row r="6090" spans="1:7" x14ac:dyDescent="0.3">
      <c r="A6090" t="s">
        <v>625</v>
      </c>
      <c r="B6090" t="s">
        <v>27</v>
      </c>
      <c r="C6090" t="s">
        <v>28</v>
      </c>
      <c r="D6090" t="s">
        <v>21</v>
      </c>
      <c r="E6090" s="68">
        <v>1657</v>
      </c>
      <c r="F6090" s="68">
        <v>1213</v>
      </c>
      <c r="G6090" s="68">
        <v>2870</v>
      </c>
    </row>
    <row r="6091" spans="1:7" x14ac:dyDescent="0.3">
      <c r="A6091" t="s">
        <v>625</v>
      </c>
      <c r="B6091" t="s">
        <v>27</v>
      </c>
      <c r="C6091" t="s">
        <v>28</v>
      </c>
      <c r="D6091" t="s">
        <v>22</v>
      </c>
      <c r="E6091" s="68">
        <v>1089</v>
      </c>
      <c r="F6091" s="68">
        <v>818</v>
      </c>
      <c r="G6091" s="68">
        <v>1907</v>
      </c>
    </row>
    <row r="6092" spans="1:7" x14ac:dyDescent="0.3">
      <c r="A6092" t="s">
        <v>625</v>
      </c>
      <c r="B6092" t="s">
        <v>27</v>
      </c>
      <c r="C6092" t="s">
        <v>28</v>
      </c>
      <c r="D6092" t="s">
        <v>23</v>
      </c>
      <c r="E6092" s="68">
        <v>952</v>
      </c>
      <c r="F6092" s="68">
        <v>605</v>
      </c>
      <c r="G6092" s="68">
        <v>1557</v>
      </c>
    </row>
    <row r="6093" spans="1:7" x14ac:dyDescent="0.3">
      <c r="A6093" t="s">
        <v>625</v>
      </c>
      <c r="B6093" t="s">
        <v>27</v>
      </c>
      <c r="C6093" t="s">
        <v>29</v>
      </c>
      <c r="D6093" t="s">
        <v>10</v>
      </c>
      <c r="E6093" s="68"/>
      <c r="F6093" s="68">
        <v>3</v>
      </c>
      <c r="G6093" s="68">
        <v>3</v>
      </c>
    </row>
    <row r="6094" spans="1:7" x14ac:dyDescent="0.3">
      <c r="A6094" t="s">
        <v>625</v>
      </c>
      <c r="B6094" t="s">
        <v>27</v>
      </c>
      <c r="C6094" t="s">
        <v>29</v>
      </c>
      <c r="D6094" t="s">
        <v>11</v>
      </c>
      <c r="E6094" s="68">
        <v>5</v>
      </c>
      <c r="F6094" s="68">
        <v>200</v>
      </c>
      <c r="G6094" s="68">
        <v>205</v>
      </c>
    </row>
    <row r="6095" spans="1:7" x14ac:dyDescent="0.3">
      <c r="A6095" t="s">
        <v>625</v>
      </c>
      <c r="B6095" t="s">
        <v>27</v>
      </c>
      <c r="C6095" t="s">
        <v>29</v>
      </c>
      <c r="D6095" t="s">
        <v>12</v>
      </c>
      <c r="E6095" s="68">
        <v>21</v>
      </c>
      <c r="F6095" s="68">
        <v>350</v>
      </c>
      <c r="G6095" s="68">
        <v>371</v>
      </c>
    </row>
    <row r="6096" spans="1:7" x14ac:dyDescent="0.3">
      <c r="A6096" t="s">
        <v>625</v>
      </c>
      <c r="B6096" t="s">
        <v>27</v>
      </c>
      <c r="C6096" t="s">
        <v>29</v>
      </c>
      <c r="D6096" t="s">
        <v>13</v>
      </c>
      <c r="E6096" s="68">
        <v>18</v>
      </c>
      <c r="F6096" s="68">
        <v>343</v>
      </c>
      <c r="G6096" s="68">
        <v>361</v>
      </c>
    </row>
    <row r="6097" spans="1:7" x14ac:dyDescent="0.3">
      <c r="A6097" t="s">
        <v>625</v>
      </c>
      <c r="B6097" t="s">
        <v>27</v>
      </c>
      <c r="C6097" t="s">
        <v>29</v>
      </c>
      <c r="D6097" t="s">
        <v>14</v>
      </c>
      <c r="E6097" s="68">
        <v>14</v>
      </c>
      <c r="F6097" s="68">
        <v>254</v>
      </c>
      <c r="G6097" s="68">
        <v>268</v>
      </c>
    </row>
    <row r="6098" spans="1:7" x14ac:dyDescent="0.3">
      <c r="A6098" t="s">
        <v>625</v>
      </c>
      <c r="B6098" t="s">
        <v>27</v>
      </c>
      <c r="C6098" t="s">
        <v>29</v>
      </c>
      <c r="D6098" t="s">
        <v>15</v>
      </c>
      <c r="E6098" s="68">
        <v>10</v>
      </c>
      <c r="F6098" s="68">
        <v>168</v>
      </c>
      <c r="G6098" s="68">
        <v>178</v>
      </c>
    </row>
    <row r="6099" spans="1:7" x14ac:dyDescent="0.3">
      <c r="A6099" t="s">
        <v>625</v>
      </c>
      <c r="B6099" t="s">
        <v>27</v>
      </c>
      <c r="C6099" t="s">
        <v>29</v>
      </c>
      <c r="D6099" t="s">
        <v>16</v>
      </c>
      <c r="E6099" s="68">
        <v>12</v>
      </c>
      <c r="F6099" s="68">
        <v>124</v>
      </c>
      <c r="G6099" s="68">
        <v>136</v>
      </c>
    </row>
    <row r="6100" spans="1:7" x14ac:dyDescent="0.3">
      <c r="A6100" t="s">
        <v>625</v>
      </c>
      <c r="B6100" t="s">
        <v>27</v>
      </c>
      <c r="C6100" t="s">
        <v>29</v>
      </c>
      <c r="D6100" t="s">
        <v>17</v>
      </c>
      <c r="E6100" s="68">
        <v>4</v>
      </c>
      <c r="F6100" s="68">
        <v>88</v>
      </c>
      <c r="G6100" s="68">
        <v>92</v>
      </c>
    </row>
    <row r="6101" spans="1:7" x14ac:dyDescent="0.3">
      <c r="A6101" t="s">
        <v>625</v>
      </c>
      <c r="B6101" t="s">
        <v>27</v>
      </c>
      <c r="C6101" t="s">
        <v>29</v>
      </c>
      <c r="D6101" t="s">
        <v>18</v>
      </c>
      <c r="E6101" s="68">
        <v>4</v>
      </c>
      <c r="F6101" s="68">
        <v>59</v>
      </c>
      <c r="G6101" s="68">
        <v>63</v>
      </c>
    </row>
    <row r="6102" spans="1:7" x14ac:dyDescent="0.3">
      <c r="A6102" t="s">
        <v>625</v>
      </c>
      <c r="B6102" t="s">
        <v>27</v>
      </c>
      <c r="C6102" t="s">
        <v>29</v>
      </c>
      <c r="D6102" t="s">
        <v>19</v>
      </c>
      <c r="E6102" s="68">
        <v>3</v>
      </c>
      <c r="F6102" s="68">
        <v>44</v>
      </c>
      <c r="G6102" s="68">
        <v>47</v>
      </c>
    </row>
    <row r="6103" spans="1:7" x14ac:dyDescent="0.3">
      <c r="A6103" t="s">
        <v>625</v>
      </c>
      <c r="B6103" t="s">
        <v>27</v>
      </c>
      <c r="C6103" t="s">
        <v>29</v>
      </c>
      <c r="D6103" t="s">
        <v>20</v>
      </c>
      <c r="E6103" s="68">
        <v>3</v>
      </c>
      <c r="F6103" s="68">
        <v>20</v>
      </c>
      <c r="G6103" s="68">
        <v>23</v>
      </c>
    </row>
    <row r="6104" spans="1:7" x14ac:dyDescent="0.3">
      <c r="A6104" t="s">
        <v>625</v>
      </c>
      <c r="B6104" t="s">
        <v>27</v>
      </c>
      <c r="C6104" t="s">
        <v>29</v>
      </c>
      <c r="D6104" t="s">
        <v>21</v>
      </c>
      <c r="E6104" s="68"/>
      <c r="F6104" s="68">
        <v>10</v>
      </c>
      <c r="G6104" s="68">
        <v>10</v>
      </c>
    </row>
    <row r="6105" spans="1:7" x14ac:dyDescent="0.3">
      <c r="A6105" t="s">
        <v>625</v>
      </c>
      <c r="B6105" t="s">
        <v>27</v>
      </c>
      <c r="C6105" t="s">
        <v>29</v>
      </c>
      <c r="D6105" t="s">
        <v>22</v>
      </c>
      <c r="E6105" s="68"/>
      <c r="F6105" s="68">
        <v>4</v>
      </c>
      <c r="G6105" s="68">
        <v>4</v>
      </c>
    </row>
    <row r="6106" spans="1:7" x14ac:dyDescent="0.3">
      <c r="A6106" t="s">
        <v>625</v>
      </c>
      <c r="B6106" t="s">
        <v>36</v>
      </c>
      <c r="C6106" t="s">
        <v>6</v>
      </c>
      <c r="D6106" t="s">
        <v>9</v>
      </c>
      <c r="E6106" s="68"/>
      <c r="F6106" s="68">
        <v>1</v>
      </c>
      <c r="G6106" s="68">
        <v>1</v>
      </c>
    </row>
    <row r="6107" spans="1:7" x14ac:dyDescent="0.3">
      <c r="A6107" t="s">
        <v>1345</v>
      </c>
      <c r="B6107" t="s">
        <v>30</v>
      </c>
      <c r="C6107" t="s">
        <v>24</v>
      </c>
      <c r="D6107" t="s">
        <v>8</v>
      </c>
      <c r="E6107" s="68">
        <v>2</v>
      </c>
      <c r="F6107" s="68"/>
      <c r="G6107" s="68">
        <v>2</v>
      </c>
    </row>
    <row r="6108" spans="1:7" x14ac:dyDescent="0.3">
      <c r="A6108" t="s">
        <v>1345</v>
      </c>
      <c r="B6108" t="s">
        <v>30</v>
      </c>
      <c r="C6108" t="s">
        <v>24</v>
      </c>
      <c r="D6108" t="s">
        <v>12</v>
      </c>
      <c r="E6108" s="68"/>
      <c r="F6108" s="68">
        <v>1</v>
      </c>
      <c r="G6108" s="68">
        <v>1</v>
      </c>
    </row>
    <row r="6109" spans="1:7" x14ac:dyDescent="0.3">
      <c r="A6109" t="s">
        <v>1345</v>
      </c>
      <c r="B6109" t="s">
        <v>1348</v>
      </c>
      <c r="C6109" t="s">
        <v>6</v>
      </c>
      <c r="D6109" t="s">
        <v>7</v>
      </c>
      <c r="E6109" s="68">
        <v>216</v>
      </c>
      <c r="F6109" s="68">
        <v>219</v>
      </c>
      <c r="G6109" s="68">
        <v>435</v>
      </c>
    </row>
    <row r="6110" spans="1:7" x14ac:dyDescent="0.3">
      <c r="A6110" t="s">
        <v>1345</v>
      </c>
      <c r="B6110" t="s">
        <v>1348</v>
      </c>
      <c r="C6110" t="s">
        <v>6</v>
      </c>
      <c r="D6110" t="s">
        <v>8</v>
      </c>
      <c r="E6110" s="68">
        <v>129</v>
      </c>
      <c r="F6110" s="68">
        <v>171</v>
      </c>
      <c r="G6110" s="68">
        <v>300</v>
      </c>
    </row>
    <row r="6111" spans="1:7" x14ac:dyDescent="0.3">
      <c r="A6111" t="s">
        <v>1345</v>
      </c>
      <c r="B6111" t="s">
        <v>1348</v>
      </c>
      <c r="C6111" t="s">
        <v>6</v>
      </c>
      <c r="D6111" t="s">
        <v>9</v>
      </c>
      <c r="E6111" s="68">
        <v>159</v>
      </c>
      <c r="F6111" s="68">
        <v>167</v>
      </c>
      <c r="G6111" s="68">
        <v>326</v>
      </c>
    </row>
    <row r="6112" spans="1:7" x14ac:dyDescent="0.3">
      <c r="A6112" t="s">
        <v>1345</v>
      </c>
      <c r="B6112" t="s">
        <v>1348</v>
      </c>
      <c r="C6112" t="s">
        <v>6</v>
      </c>
      <c r="D6112" t="s">
        <v>10</v>
      </c>
      <c r="E6112" s="68">
        <v>317</v>
      </c>
      <c r="F6112" s="68">
        <v>333</v>
      </c>
      <c r="G6112" s="68">
        <v>650</v>
      </c>
    </row>
    <row r="6113" spans="1:7" x14ac:dyDescent="0.3">
      <c r="A6113" t="s">
        <v>1345</v>
      </c>
      <c r="B6113" t="s">
        <v>1348</v>
      </c>
      <c r="C6113" t="s">
        <v>6</v>
      </c>
      <c r="D6113" t="s">
        <v>11</v>
      </c>
      <c r="E6113" s="68">
        <v>1124</v>
      </c>
      <c r="F6113" s="68">
        <v>1491</v>
      </c>
      <c r="G6113" s="68">
        <v>2615</v>
      </c>
    </row>
    <row r="6114" spans="1:7" x14ac:dyDescent="0.3">
      <c r="A6114" t="s">
        <v>1345</v>
      </c>
      <c r="B6114" t="s">
        <v>1348</v>
      </c>
      <c r="C6114" t="s">
        <v>6</v>
      </c>
      <c r="D6114" t="s">
        <v>12</v>
      </c>
      <c r="E6114" s="68">
        <v>1244</v>
      </c>
      <c r="F6114" s="68">
        <v>1614</v>
      </c>
      <c r="G6114" s="68">
        <v>2858</v>
      </c>
    </row>
    <row r="6115" spans="1:7" x14ac:dyDescent="0.3">
      <c r="A6115" t="s">
        <v>1345</v>
      </c>
      <c r="B6115" t="s">
        <v>1348</v>
      </c>
      <c r="C6115" t="s">
        <v>6</v>
      </c>
      <c r="D6115" t="s">
        <v>13</v>
      </c>
      <c r="E6115" s="68">
        <v>944</v>
      </c>
      <c r="F6115" s="68">
        <v>1158</v>
      </c>
      <c r="G6115" s="68">
        <v>2102</v>
      </c>
    </row>
    <row r="6116" spans="1:7" x14ac:dyDescent="0.3">
      <c r="A6116" t="s">
        <v>1345</v>
      </c>
      <c r="B6116" t="s">
        <v>1348</v>
      </c>
      <c r="C6116" t="s">
        <v>6</v>
      </c>
      <c r="D6116" t="s">
        <v>14</v>
      </c>
      <c r="E6116" s="68">
        <v>699</v>
      </c>
      <c r="F6116" s="68">
        <v>855</v>
      </c>
      <c r="G6116" s="68">
        <v>1554</v>
      </c>
    </row>
    <row r="6117" spans="1:7" x14ac:dyDescent="0.3">
      <c r="A6117" t="s">
        <v>1345</v>
      </c>
      <c r="B6117" t="s">
        <v>1348</v>
      </c>
      <c r="C6117" t="s">
        <v>6</v>
      </c>
      <c r="D6117" t="s">
        <v>15</v>
      </c>
      <c r="E6117" s="68">
        <v>614</v>
      </c>
      <c r="F6117" s="68">
        <v>702</v>
      </c>
      <c r="G6117" s="68">
        <v>1316</v>
      </c>
    </row>
    <row r="6118" spans="1:7" x14ac:dyDescent="0.3">
      <c r="A6118" t="s">
        <v>1345</v>
      </c>
      <c r="B6118" t="s">
        <v>1348</v>
      </c>
      <c r="C6118" t="s">
        <v>6</v>
      </c>
      <c r="D6118" t="s">
        <v>16</v>
      </c>
      <c r="E6118" s="68">
        <v>424</v>
      </c>
      <c r="F6118" s="68">
        <v>584</v>
      </c>
      <c r="G6118" s="68">
        <v>1008</v>
      </c>
    </row>
    <row r="6119" spans="1:7" x14ac:dyDescent="0.3">
      <c r="A6119" t="s">
        <v>1345</v>
      </c>
      <c r="B6119" t="s">
        <v>1348</v>
      </c>
      <c r="C6119" t="s">
        <v>6</v>
      </c>
      <c r="D6119" t="s">
        <v>17</v>
      </c>
      <c r="E6119" s="68">
        <v>300</v>
      </c>
      <c r="F6119" s="68">
        <v>461</v>
      </c>
      <c r="G6119" s="68">
        <v>761</v>
      </c>
    </row>
    <row r="6120" spans="1:7" x14ac:dyDescent="0.3">
      <c r="A6120" t="s">
        <v>1345</v>
      </c>
      <c r="B6120" t="s">
        <v>1348</v>
      </c>
      <c r="C6120" t="s">
        <v>6</v>
      </c>
      <c r="D6120" t="s">
        <v>18</v>
      </c>
      <c r="E6120" s="68">
        <v>238</v>
      </c>
      <c r="F6120" s="68">
        <v>322</v>
      </c>
      <c r="G6120" s="68">
        <v>560</v>
      </c>
    </row>
    <row r="6121" spans="1:7" x14ac:dyDescent="0.3">
      <c r="A6121" t="s">
        <v>1345</v>
      </c>
      <c r="B6121" t="s">
        <v>1348</v>
      </c>
      <c r="C6121" t="s">
        <v>6</v>
      </c>
      <c r="D6121" t="s">
        <v>19</v>
      </c>
      <c r="E6121" s="68">
        <v>203</v>
      </c>
      <c r="F6121" s="68">
        <v>257</v>
      </c>
      <c r="G6121" s="68">
        <v>460</v>
      </c>
    </row>
    <row r="6122" spans="1:7" x14ac:dyDescent="0.3">
      <c r="A6122" t="s">
        <v>1345</v>
      </c>
      <c r="B6122" t="s">
        <v>1348</v>
      </c>
      <c r="C6122" t="s">
        <v>6</v>
      </c>
      <c r="D6122" t="s">
        <v>20</v>
      </c>
      <c r="E6122" s="68">
        <v>149</v>
      </c>
      <c r="F6122" s="68">
        <v>193</v>
      </c>
      <c r="G6122" s="68">
        <v>342</v>
      </c>
    </row>
    <row r="6123" spans="1:7" x14ac:dyDescent="0.3">
      <c r="A6123" t="s">
        <v>1345</v>
      </c>
      <c r="B6123" t="s">
        <v>1348</v>
      </c>
      <c r="C6123" t="s">
        <v>6</v>
      </c>
      <c r="D6123" t="s">
        <v>21</v>
      </c>
      <c r="E6123" s="68">
        <v>79</v>
      </c>
      <c r="F6123" s="68">
        <v>110</v>
      </c>
      <c r="G6123" s="68">
        <v>189</v>
      </c>
    </row>
    <row r="6124" spans="1:7" x14ac:dyDescent="0.3">
      <c r="A6124" t="s">
        <v>1345</v>
      </c>
      <c r="B6124" t="s">
        <v>1348</v>
      </c>
      <c r="C6124" t="s">
        <v>6</v>
      </c>
      <c r="D6124" t="s">
        <v>22</v>
      </c>
      <c r="E6124" s="68">
        <v>52</v>
      </c>
      <c r="F6124" s="68">
        <v>60</v>
      </c>
      <c r="G6124" s="68">
        <v>112</v>
      </c>
    </row>
    <row r="6125" spans="1:7" x14ac:dyDescent="0.3">
      <c r="A6125" t="s">
        <v>1345</v>
      </c>
      <c r="B6125" t="s">
        <v>1348</v>
      </c>
      <c r="C6125" t="s">
        <v>6</v>
      </c>
      <c r="D6125" t="s">
        <v>23</v>
      </c>
      <c r="E6125" s="68">
        <v>57</v>
      </c>
      <c r="F6125" s="68">
        <v>54</v>
      </c>
      <c r="G6125" s="68">
        <v>111</v>
      </c>
    </row>
    <row r="6126" spans="1:7" x14ac:dyDescent="0.3">
      <c r="A6126" t="s">
        <v>1345</v>
      </c>
      <c r="B6126" t="s">
        <v>1348</v>
      </c>
      <c r="C6126" t="s">
        <v>24</v>
      </c>
      <c r="D6126" t="s">
        <v>7</v>
      </c>
      <c r="E6126" s="68">
        <v>6953</v>
      </c>
      <c r="F6126" s="68">
        <v>7160</v>
      </c>
      <c r="G6126" s="68">
        <v>14113</v>
      </c>
    </row>
    <row r="6127" spans="1:7" x14ac:dyDescent="0.3">
      <c r="A6127" t="s">
        <v>1345</v>
      </c>
      <c r="B6127" t="s">
        <v>1348</v>
      </c>
      <c r="C6127" t="s">
        <v>24</v>
      </c>
      <c r="D6127" t="s">
        <v>8</v>
      </c>
      <c r="E6127" s="68">
        <v>10282</v>
      </c>
      <c r="F6127" s="68">
        <v>10684</v>
      </c>
      <c r="G6127" s="68">
        <v>20966</v>
      </c>
    </row>
    <row r="6128" spans="1:7" x14ac:dyDescent="0.3">
      <c r="A6128" t="s">
        <v>1345</v>
      </c>
      <c r="B6128" t="s">
        <v>1348</v>
      </c>
      <c r="C6128" t="s">
        <v>24</v>
      </c>
      <c r="D6128" t="s">
        <v>9</v>
      </c>
      <c r="E6128" s="68">
        <v>10428</v>
      </c>
      <c r="F6128" s="68">
        <v>11073</v>
      </c>
      <c r="G6128" s="68">
        <v>21501</v>
      </c>
    </row>
    <row r="6129" spans="1:7" x14ac:dyDescent="0.3">
      <c r="A6129" t="s">
        <v>1345</v>
      </c>
      <c r="B6129" t="s">
        <v>1348</v>
      </c>
      <c r="C6129" t="s">
        <v>24</v>
      </c>
      <c r="D6129" t="s">
        <v>10</v>
      </c>
      <c r="E6129" s="68">
        <v>10543</v>
      </c>
      <c r="F6129" s="68">
        <v>10856</v>
      </c>
      <c r="G6129" s="68">
        <v>21399</v>
      </c>
    </row>
    <row r="6130" spans="1:7" x14ac:dyDescent="0.3">
      <c r="A6130" t="s">
        <v>1345</v>
      </c>
      <c r="B6130" t="s">
        <v>1348</v>
      </c>
      <c r="C6130" t="s">
        <v>24</v>
      </c>
      <c r="D6130" t="s">
        <v>11</v>
      </c>
      <c r="E6130" s="68">
        <v>8704</v>
      </c>
      <c r="F6130" s="68">
        <v>7443</v>
      </c>
      <c r="G6130" s="68">
        <v>16147</v>
      </c>
    </row>
    <row r="6131" spans="1:7" x14ac:dyDescent="0.3">
      <c r="A6131" t="s">
        <v>1345</v>
      </c>
      <c r="B6131" t="s">
        <v>1348</v>
      </c>
      <c r="C6131" t="s">
        <v>24</v>
      </c>
      <c r="D6131" t="s">
        <v>12</v>
      </c>
      <c r="E6131" s="68">
        <v>8700</v>
      </c>
      <c r="F6131" s="68">
        <v>6868</v>
      </c>
      <c r="G6131" s="68">
        <v>15568</v>
      </c>
    </row>
    <row r="6132" spans="1:7" x14ac:dyDescent="0.3">
      <c r="A6132" t="s">
        <v>1345</v>
      </c>
      <c r="B6132" t="s">
        <v>1348</v>
      </c>
      <c r="C6132" t="s">
        <v>24</v>
      </c>
      <c r="D6132" t="s">
        <v>13</v>
      </c>
      <c r="E6132" s="68">
        <v>8446</v>
      </c>
      <c r="F6132" s="68">
        <v>6473</v>
      </c>
      <c r="G6132" s="68">
        <v>14919</v>
      </c>
    </row>
    <row r="6133" spans="1:7" x14ac:dyDescent="0.3">
      <c r="A6133" t="s">
        <v>1345</v>
      </c>
      <c r="B6133" t="s">
        <v>1348</v>
      </c>
      <c r="C6133" t="s">
        <v>24</v>
      </c>
      <c r="D6133" t="s">
        <v>14</v>
      </c>
      <c r="E6133" s="68">
        <v>7965</v>
      </c>
      <c r="F6133" s="68">
        <v>6391</v>
      </c>
      <c r="G6133" s="68">
        <v>14356</v>
      </c>
    </row>
    <row r="6134" spans="1:7" x14ac:dyDescent="0.3">
      <c r="A6134" t="s">
        <v>1345</v>
      </c>
      <c r="B6134" t="s">
        <v>1348</v>
      </c>
      <c r="C6134" t="s">
        <v>24</v>
      </c>
      <c r="D6134" t="s">
        <v>15</v>
      </c>
      <c r="E6134" s="68">
        <v>8395</v>
      </c>
      <c r="F6134" s="68">
        <v>6568</v>
      </c>
      <c r="G6134" s="68">
        <v>14963</v>
      </c>
    </row>
    <row r="6135" spans="1:7" x14ac:dyDescent="0.3">
      <c r="A6135" t="s">
        <v>1345</v>
      </c>
      <c r="B6135" t="s">
        <v>1348</v>
      </c>
      <c r="C6135" t="s">
        <v>24</v>
      </c>
      <c r="D6135" t="s">
        <v>16</v>
      </c>
      <c r="E6135" s="68">
        <v>7887</v>
      </c>
      <c r="F6135" s="68">
        <v>6465</v>
      </c>
      <c r="G6135" s="68">
        <v>14352</v>
      </c>
    </row>
    <row r="6136" spans="1:7" x14ac:dyDescent="0.3">
      <c r="A6136" t="s">
        <v>1345</v>
      </c>
      <c r="B6136" t="s">
        <v>1348</v>
      </c>
      <c r="C6136" t="s">
        <v>24</v>
      </c>
      <c r="D6136" t="s">
        <v>17</v>
      </c>
      <c r="E6136" s="68">
        <v>7256</v>
      </c>
      <c r="F6136" s="68">
        <v>5967</v>
      </c>
      <c r="G6136" s="68">
        <v>13223</v>
      </c>
    </row>
    <row r="6137" spans="1:7" x14ac:dyDescent="0.3">
      <c r="A6137" t="s">
        <v>1345</v>
      </c>
      <c r="B6137" t="s">
        <v>1348</v>
      </c>
      <c r="C6137" t="s">
        <v>24</v>
      </c>
      <c r="D6137" t="s">
        <v>18</v>
      </c>
      <c r="E6137" s="68">
        <v>6911</v>
      </c>
      <c r="F6137" s="68">
        <v>5890</v>
      </c>
      <c r="G6137" s="68">
        <v>12801</v>
      </c>
    </row>
    <row r="6138" spans="1:7" x14ac:dyDescent="0.3">
      <c r="A6138" t="s">
        <v>1345</v>
      </c>
      <c r="B6138" t="s">
        <v>1348</v>
      </c>
      <c r="C6138" t="s">
        <v>24</v>
      </c>
      <c r="D6138" t="s">
        <v>19</v>
      </c>
      <c r="E6138" s="68">
        <v>6533</v>
      </c>
      <c r="F6138" s="68">
        <v>5672</v>
      </c>
      <c r="G6138" s="68">
        <v>12205</v>
      </c>
    </row>
    <row r="6139" spans="1:7" x14ac:dyDescent="0.3">
      <c r="A6139" t="s">
        <v>1345</v>
      </c>
      <c r="B6139" t="s">
        <v>1348</v>
      </c>
      <c r="C6139" t="s">
        <v>24</v>
      </c>
      <c r="D6139" t="s">
        <v>20</v>
      </c>
      <c r="E6139" s="68">
        <v>5396</v>
      </c>
      <c r="F6139" s="68">
        <v>4900</v>
      </c>
      <c r="G6139" s="68">
        <v>10296</v>
      </c>
    </row>
    <row r="6140" spans="1:7" x14ac:dyDescent="0.3">
      <c r="A6140" t="s">
        <v>1345</v>
      </c>
      <c r="B6140" t="s">
        <v>1348</v>
      </c>
      <c r="C6140" t="s">
        <v>24</v>
      </c>
      <c r="D6140" t="s">
        <v>21</v>
      </c>
      <c r="E6140" s="68">
        <v>4140</v>
      </c>
      <c r="F6140" s="68">
        <v>3860</v>
      </c>
      <c r="G6140" s="68">
        <v>8000</v>
      </c>
    </row>
    <row r="6141" spans="1:7" x14ac:dyDescent="0.3">
      <c r="A6141" t="s">
        <v>1345</v>
      </c>
      <c r="B6141" t="s">
        <v>1348</v>
      </c>
      <c r="C6141" t="s">
        <v>24</v>
      </c>
      <c r="D6141" t="s">
        <v>22</v>
      </c>
      <c r="E6141" s="68">
        <v>2930</v>
      </c>
      <c r="F6141" s="68">
        <v>2721</v>
      </c>
      <c r="G6141" s="68">
        <v>5651</v>
      </c>
    </row>
    <row r="6142" spans="1:7" x14ac:dyDescent="0.3">
      <c r="A6142" t="s">
        <v>1345</v>
      </c>
      <c r="B6142" t="s">
        <v>1348</v>
      </c>
      <c r="C6142" t="s">
        <v>24</v>
      </c>
      <c r="D6142" t="s">
        <v>23</v>
      </c>
      <c r="E6142" s="68">
        <v>4022</v>
      </c>
      <c r="F6142" s="68">
        <v>3387</v>
      </c>
      <c r="G6142" s="68">
        <v>7409</v>
      </c>
    </row>
    <row r="6143" spans="1:7" x14ac:dyDescent="0.3">
      <c r="A6143" t="s">
        <v>1345</v>
      </c>
      <c r="B6143" t="s">
        <v>31</v>
      </c>
      <c r="C6143" t="s">
        <v>6</v>
      </c>
      <c r="D6143" t="s">
        <v>7</v>
      </c>
      <c r="E6143" s="68">
        <v>917</v>
      </c>
      <c r="F6143" s="68">
        <v>981</v>
      </c>
      <c r="G6143" s="68">
        <v>1898</v>
      </c>
    </row>
    <row r="6144" spans="1:7" x14ac:dyDescent="0.3">
      <c r="A6144" t="s">
        <v>1345</v>
      </c>
      <c r="B6144" t="s">
        <v>31</v>
      </c>
      <c r="C6144" t="s">
        <v>6</v>
      </c>
      <c r="D6144" t="s">
        <v>8</v>
      </c>
      <c r="E6144" s="68">
        <v>1184</v>
      </c>
      <c r="F6144" s="68">
        <v>1212</v>
      </c>
      <c r="G6144" s="68">
        <v>2396</v>
      </c>
    </row>
    <row r="6145" spans="1:7" x14ac:dyDescent="0.3">
      <c r="A6145" t="s">
        <v>1345</v>
      </c>
      <c r="B6145" t="s">
        <v>31</v>
      </c>
      <c r="C6145" t="s">
        <v>6</v>
      </c>
      <c r="D6145" t="s">
        <v>9</v>
      </c>
      <c r="E6145" s="68">
        <v>1246</v>
      </c>
      <c r="F6145" s="68">
        <v>1285</v>
      </c>
      <c r="G6145" s="68">
        <v>2531</v>
      </c>
    </row>
    <row r="6146" spans="1:7" x14ac:dyDescent="0.3">
      <c r="A6146" t="s">
        <v>1345</v>
      </c>
      <c r="B6146" t="s">
        <v>31</v>
      </c>
      <c r="C6146" t="s">
        <v>6</v>
      </c>
      <c r="D6146" t="s">
        <v>10</v>
      </c>
      <c r="E6146" s="68">
        <v>1476</v>
      </c>
      <c r="F6146" s="68">
        <v>1682</v>
      </c>
      <c r="G6146" s="68">
        <v>3158</v>
      </c>
    </row>
    <row r="6147" spans="1:7" x14ac:dyDescent="0.3">
      <c r="A6147" t="s">
        <v>1345</v>
      </c>
      <c r="B6147" t="s">
        <v>31</v>
      </c>
      <c r="C6147" t="s">
        <v>6</v>
      </c>
      <c r="D6147" t="s">
        <v>11</v>
      </c>
      <c r="E6147" s="68">
        <v>2522</v>
      </c>
      <c r="F6147" s="68">
        <v>2901</v>
      </c>
      <c r="G6147" s="68">
        <v>5423</v>
      </c>
    </row>
    <row r="6148" spans="1:7" x14ac:dyDescent="0.3">
      <c r="A6148" t="s">
        <v>1345</v>
      </c>
      <c r="B6148" t="s">
        <v>31</v>
      </c>
      <c r="C6148" t="s">
        <v>6</v>
      </c>
      <c r="D6148" t="s">
        <v>12</v>
      </c>
      <c r="E6148" s="68">
        <v>2828</v>
      </c>
      <c r="F6148" s="68">
        <v>2971</v>
      </c>
      <c r="G6148" s="68">
        <v>5799</v>
      </c>
    </row>
    <row r="6149" spans="1:7" x14ac:dyDescent="0.3">
      <c r="A6149" t="s">
        <v>1345</v>
      </c>
      <c r="B6149" t="s">
        <v>31</v>
      </c>
      <c r="C6149" t="s">
        <v>6</v>
      </c>
      <c r="D6149" t="s">
        <v>13</v>
      </c>
      <c r="E6149" s="68">
        <v>2676</v>
      </c>
      <c r="F6149" s="68">
        <v>2727</v>
      </c>
      <c r="G6149" s="68">
        <v>5403</v>
      </c>
    </row>
    <row r="6150" spans="1:7" x14ac:dyDescent="0.3">
      <c r="A6150" t="s">
        <v>1345</v>
      </c>
      <c r="B6150" t="s">
        <v>31</v>
      </c>
      <c r="C6150" t="s">
        <v>6</v>
      </c>
      <c r="D6150" t="s">
        <v>14</v>
      </c>
      <c r="E6150" s="68">
        <v>2180</v>
      </c>
      <c r="F6150" s="68">
        <v>2372</v>
      </c>
      <c r="G6150" s="68">
        <v>4552</v>
      </c>
    </row>
    <row r="6151" spans="1:7" x14ac:dyDescent="0.3">
      <c r="A6151" t="s">
        <v>1345</v>
      </c>
      <c r="B6151" t="s">
        <v>31</v>
      </c>
      <c r="C6151" t="s">
        <v>6</v>
      </c>
      <c r="D6151" t="s">
        <v>15</v>
      </c>
      <c r="E6151" s="68">
        <v>2062</v>
      </c>
      <c r="F6151" s="68">
        <v>2154</v>
      </c>
      <c r="G6151" s="68">
        <v>4216</v>
      </c>
    </row>
    <row r="6152" spans="1:7" x14ac:dyDescent="0.3">
      <c r="A6152" t="s">
        <v>1345</v>
      </c>
      <c r="B6152" t="s">
        <v>31</v>
      </c>
      <c r="C6152" t="s">
        <v>6</v>
      </c>
      <c r="D6152" t="s">
        <v>16</v>
      </c>
      <c r="E6152" s="68">
        <v>1807</v>
      </c>
      <c r="F6152" s="68">
        <v>1941</v>
      </c>
      <c r="G6152" s="68">
        <v>3748</v>
      </c>
    </row>
    <row r="6153" spans="1:7" x14ac:dyDescent="0.3">
      <c r="A6153" t="s">
        <v>1345</v>
      </c>
      <c r="B6153" t="s">
        <v>31</v>
      </c>
      <c r="C6153" t="s">
        <v>6</v>
      </c>
      <c r="D6153" t="s">
        <v>17</v>
      </c>
      <c r="E6153" s="68">
        <v>1320</v>
      </c>
      <c r="F6153" s="68">
        <v>1532</v>
      </c>
      <c r="G6153" s="68">
        <v>2852</v>
      </c>
    </row>
    <row r="6154" spans="1:7" x14ac:dyDescent="0.3">
      <c r="A6154" t="s">
        <v>1345</v>
      </c>
      <c r="B6154" t="s">
        <v>31</v>
      </c>
      <c r="C6154" t="s">
        <v>6</v>
      </c>
      <c r="D6154" t="s">
        <v>18</v>
      </c>
      <c r="E6154" s="68">
        <v>1193</v>
      </c>
      <c r="F6154" s="68">
        <v>1310</v>
      </c>
      <c r="G6154" s="68">
        <v>2503</v>
      </c>
    </row>
    <row r="6155" spans="1:7" x14ac:dyDescent="0.3">
      <c r="A6155" t="s">
        <v>1345</v>
      </c>
      <c r="B6155" t="s">
        <v>31</v>
      </c>
      <c r="C6155" t="s">
        <v>6</v>
      </c>
      <c r="D6155" t="s">
        <v>19</v>
      </c>
      <c r="E6155" s="68">
        <v>997</v>
      </c>
      <c r="F6155" s="68">
        <v>1106</v>
      </c>
      <c r="G6155" s="68">
        <v>2103</v>
      </c>
    </row>
    <row r="6156" spans="1:7" x14ac:dyDescent="0.3">
      <c r="A6156" t="s">
        <v>1345</v>
      </c>
      <c r="B6156" t="s">
        <v>31</v>
      </c>
      <c r="C6156" t="s">
        <v>6</v>
      </c>
      <c r="D6156" t="s">
        <v>20</v>
      </c>
      <c r="E6156" s="68">
        <v>830</v>
      </c>
      <c r="F6156" s="68">
        <v>854</v>
      </c>
      <c r="G6156" s="68">
        <v>1684</v>
      </c>
    </row>
    <row r="6157" spans="1:7" x14ac:dyDescent="0.3">
      <c r="A6157" t="s">
        <v>1345</v>
      </c>
      <c r="B6157" t="s">
        <v>31</v>
      </c>
      <c r="C6157" t="s">
        <v>6</v>
      </c>
      <c r="D6157" t="s">
        <v>21</v>
      </c>
      <c r="E6157" s="68">
        <v>561</v>
      </c>
      <c r="F6157" s="68">
        <v>506</v>
      </c>
      <c r="G6157" s="68">
        <v>1067</v>
      </c>
    </row>
    <row r="6158" spans="1:7" x14ac:dyDescent="0.3">
      <c r="A6158" t="s">
        <v>1345</v>
      </c>
      <c r="B6158" t="s">
        <v>31</v>
      </c>
      <c r="C6158" t="s">
        <v>6</v>
      </c>
      <c r="D6158" t="s">
        <v>22</v>
      </c>
      <c r="E6158" s="68">
        <v>325</v>
      </c>
      <c r="F6158" s="68">
        <v>313</v>
      </c>
      <c r="G6158" s="68">
        <v>638</v>
      </c>
    </row>
    <row r="6159" spans="1:7" x14ac:dyDescent="0.3">
      <c r="A6159" t="s">
        <v>1345</v>
      </c>
      <c r="B6159" t="s">
        <v>31</v>
      </c>
      <c r="C6159" t="s">
        <v>6</v>
      </c>
      <c r="D6159" t="s">
        <v>23</v>
      </c>
      <c r="E6159" s="68">
        <v>499</v>
      </c>
      <c r="F6159" s="68">
        <v>301</v>
      </c>
      <c r="G6159" s="68">
        <v>800</v>
      </c>
    </row>
    <row r="6160" spans="1:7" x14ac:dyDescent="0.3">
      <c r="A6160" t="s">
        <v>1345</v>
      </c>
      <c r="B6160" t="s">
        <v>31</v>
      </c>
      <c r="C6160" t="s">
        <v>24</v>
      </c>
      <c r="D6160" t="s">
        <v>7</v>
      </c>
      <c r="E6160" s="68">
        <v>6538</v>
      </c>
      <c r="F6160" s="68">
        <v>6895</v>
      </c>
      <c r="G6160" s="68">
        <v>13433</v>
      </c>
    </row>
    <row r="6161" spans="1:7" x14ac:dyDescent="0.3">
      <c r="A6161" t="s">
        <v>1345</v>
      </c>
      <c r="B6161" t="s">
        <v>31</v>
      </c>
      <c r="C6161" t="s">
        <v>24</v>
      </c>
      <c r="D6161" t="s">
        <v>8</v>
      </c>
      <c r="E6161" s="68">
        <v>11649</v>
      </c>
      <c r="F6161" s="68">
        <v>12076</v>
      </c>
      <c r="G6161" s="68">
        <v>23725</v>
      </c>
    </row>
    <row r="6162" spans="1:7" x14ac:dyDescent="0.3">
      <c r="A6162" t="s">
        <v>1345</v>
      </c>
      <c r="B6162" t="s">
        <v>31</v>
      </c>
      <c r="C6162" t="s">
        <v>24</v>
      </c>
      <c r="D6162" t="s">
        <v>9</v>
      </c>
      <c r="E6162" s="68">
        <v>13198</v>
      </c>
      <c r="F6162" s="68">
        <v>13740</v>
      </c>
      <c r="G6162" s="68">
        <v>26938</v>
      </c>
    </row>
    <row r="6163" spans="1:7" x14ac:dyDescent="0.3">
      <c r="A6163" t="s">
        <v>1345</v>
      </c>
      <c r="B6163" t="s">
        <v>31</v>
      </c>
      <c r="C6163" t="s">
        <v>24</v>
      </c>
      <c r="D6163" t="s">
        <v>10</v>
      </c>
      <c r="E6163" s="68">
        <v>14563</v>
      </c>
      <c r="F6163" s="68">
        <v>14744</v>
      </c>
      <c r="G6163" s="68">
        <v>29307</v>
      </c>
    </row>
    <row r="6164" spans="1:7" x14ac:dyDescent="0.3">
      <c r="A6164" t="s">
        <v>1345</v>
      </c>
      <c r="B6164" t="s">
        <v>31</v>
      </c>
      <c r="C6164" t="s">
        <v>24</v>
      </c>
      <c r="D6164" t="s">
        <v>11</v>
      </c>
      <c r="E6164" s="68">
        <v>11255</v>
      </c>
      <c r="F6164" s="68">
        <v>10634</v>
      </c>
      <c r="G6164" s="68">
        <v>21889</v>
      </c>
    </row>
    <row r="6165" spans="1:7" x14ac:dyDescent="0.3">
      <c r="A6165" t="s">
        <v>1345</v>
      </c>
      <c r="B6165" t="s">
        <v>31</v>
      </c>
      <c r="C6165" t="s">
        <v>24</v>
      </c>
      <c r="D6165" t="s">
        <v>12</v>
      </c>
      <c r="E6165" s="68">
        <v>11186</v>
      </c>
      <c r="F6165" s="68">
        <v>9696</v>
      </c>
      <c r="G6165" s="68">
        <v>20882</v>
      </c>
    </row>
    <row r="6166" spans="1:7" x14ac:dyDescent="0.3">
      <c r="A6166" t="s">
        <v>1345</v>
      </c>
      <c r="B6166" t="s">
        <v>31</v>
      </c>
      <c r="C6166" t="s">
        <v>24</v>
      </c>
      <c r="D6166" t="s">
        <v>13</v>
      </c>
      <c r="E6166" s="68">
        <v>12096</v>
      </c>
      <c r="F6166" s="68">
        <v>10564</v>
      </c>
      <c r="G6166" s="68">
        <v>22660</v>
      </c>
    </row>
    <row r="6167" spans="1:7" x14ac:dyDescent="0.3">
      <c r="A6167" t="s">
        <v>1345</v>
      </c>
      <c r="B6167" t="s">
        <v>31</v>
      </c>
      <c r="C6167" t="s">
        <v>24</v>
      </c>
      <c r="D6167" t="s">
        <v>14</v>
      </c>
      <c r="E6167" s="68">
        <v>10910</v>
      </c>
      <c r="F6167" s="68">
        <v>9922</v>
      </c>
      <c r="G6167" s="68">
        <v>20832</v>
      </c>
    </row>
    <row r="6168" spans="1:7" x14ac:dyDescent="0.3">
      <c r="A6168" t="s">
        <v>1345</v>
      </c>
      <c r="B6168" t="s">
        <v>31</v>
      </c>
      <c r="C6168" t="s">
        <v>24</v>
      </c>
      <c r="D6168" t="s">
        <v>15</v>
      </c>
      <c r="E6168" s="68">
        <v>12180</v>
      </c>
      <c r="F6168" s="68">
        <v>10470</v>
      </c>
      <c r="G6168" s="68">
        <v>22650</v>
      </c>
    </row>
    <row r="6169" spans="1:7" x14ac:dyDescent="0.3">
      <c r="A6169" t="s">
        <v>1345</v>
      </c>
      <c r="B6169" t="s">
        <v>31</v>
      </c>
      <c r="C6169" t="s">
        <v>24</v>
      </c>
      <c r="D6169" t="s">
        <v>16</v>
      </c>
      <c r="E6169" s="68">
        <v>12041</v>
      </c>
      <c r="F6169" s="68">
        <v>10541</v>
      </c>
      <c r="G6169" s="68">
        <v>22582</v>
      </c>
    </row>
    <row r="6170" spans="1:7" x14ac:dyDescent="0.3">
      <c r="A6170" t="s">
        <v>1345</v>
      </c>
      <c r="B6170" t="s">
        <v>31</v>
      </c>
      <c r="C6170" t="s">
        <v>24</v>
      </c>
      <c r="D6170" t="s">
        <v>17</v>
      </c>
      <c r="E6170" s="68">
        <v>9992</v>
      </c>
      <c r="F6170" s="68">
        <v>8865</v>
      </c>
      <c r="G6170" s="68">
        <v>18857</v>
      </c>
    </row>
    <row r="6171" spans="1:7" x14ac:dyDescent="0.3">
      <c r="A6171" t="s">
        <v>1345</v>
      </c>
      <c r="B6171" t="s">
        <v>31</v>
      </c>
      <c r="C6171" t="s">
        <v>24</v>
      </c>
      <c r="D6171" t="s">
        <v>18</v>
      </c>
      <c r="E6171" s="68">
        <v>9697</v>
      </c>
      <c r="F6171" s="68">
        <v>9095</v>
      </c>
      <c r="G6171" s="68">
        <v>18792</v>
      </c>
    </row>
    <row r="6172" spans="1:7" x14ac:dyDescent="0.3">
      <c r="A6172" t="s">
        <v>1345</v>
      </c>
      <c r="B6172" t="s">
        <v>31</v>
      </c>
      <c r="C6172" t="s">
        <v>24</v>
      </c>
      <c r="D6172" t="s">
        <v>19</v>
      </c>
      <c r="E6172" s="68">
        <v>9995</v>
      </c>
      <c r="F6172" s="68">
        <v>9056</v>
      </c>
      <c r="G6172" s="68">
        <v>19051</v>
      </c>
    </row>
    <row r="6173" spans="1:7" x14ac:dyDescent="0.3">
      <c r="A6173" t="s">
        <v>1345</v>
      </c>
      <c r="B6173" t="s">
        <v>31</v>
      </c>
      <c r="C6173" t="s">
        <v>24</v>
      </c>
      <c r="D6173" t="s">
        <v>20</v>
      </c>
      <c r="E6173" s="68">
        <v>8671</v>
      </c>
      <c r="F6173" s="68">
        <v>7492</v>
      </c>
      <c r="G6173" s="68">
        <v>16163</v>
      </c>
    </row>
    <row r="6174" spans="1:7" x14ac:dyDescent="0.3">
      <c r="A6174" t="s">
        <v>1345</v>
      </c>
      <c r="B6174" t="s">
        <v>31</v>
      </c>
      <c r="C6174" t="s">
        <v>24</v>
      </c>
      <c r="D6174" t="s">
        <v>21</v>
      </c>
      <c r="E6174" s="68">
        <v>6442</v>
      </c>
      <c r="F6174" s="68">
        <v>5660</v>
      </c>
      <c r="G6174" s="68">
        <v>12102</v>
      </c>
    </row>
    <row r="6175" spans="1:7" x14ac:dyDescent="0.3">
      <c r="A6175" t="s">
        <v>1345</v>
      </c>
      <c r="B6175" t="s">
        <v>31</v>
      </c>
      <c r="C6175" t="s">
        <v>24</v>
      </c>
      <c r="D6175" t="s">
        <v>22</v>
      </c>
      <c r="E6175" s="68">
        <v>4118</v>
      </c>
      <c r="F6175" s="68">
        <v>3491</v>
      </c>
      <c r="G6175" s="68">
        <v>7609</v>
      </c>
    </row>
    <row r="6176" spans="1:7" x14ac:dyDescent="0.3">
      <c r="A6176" t="s">
        <v>1345</v>
      </c>
      <c r="B6176" t="s">
        <v>31</v>
      </c>
      <c r="C6176" t="s">
        <v>24</v>
      </c>
      <c r="D6176" t="s">
        <v>23</v>
      </c>
      <c r="E6176" s="68">
        <v>5381</v>
      </c>
      <c r="F6176" s="68">
        <v>4022</v>
      </c>
      <c r="G6176" s="68">
        <v>9403</v>
      </c>
    </row>
    <row r="6177" spans="1:7" x14ac:dyDescent="0.3">
      <c r="A6177" t="s">
        <v>1345</v>
      </c>
      <c r="B6177" t="s">
        <v>32</v>
      </c>
      <c r="C6177" t="s">
        <v>24</v>
      </c>
      <c r="D6177" t="s">
        <v>7</v>
      </c>
      <c r="E6177" s="68"/>
      <c r="F6177" s="68">
        <v>1</v>
      </c>
      <c r="G6177" s="68">
        <v>1</v>
      </c>
    </row>
    <row r="6178" spans="1:7" x14ac:dyDescent="0.3">
      <c r="A6178" t="s">
        <v>1345</v>
      </c>
      <c r="B6178" t="s">
        <v>5</v>
      </c>
      <c r="C6178" t="s">
        <v>6</v>
      </c>
      <c r="D6178" t="s">
        <v>7</v>
      </c>
      <c r="E6178" s="68">
        <v>3397</v>
      </c>
      <c r="F6178" s="68">
        <v>3530</v>
      </c>
      <c r="G6178" s="68">
        <v>6927</v>
      </c>
    </row>
    <row r="6179" spans="1:7" x14ac:dyDescent="0.3">
      <c r="A6179" t="s">
        <v>1345</v>
      </c>
      <c r="B6179" t="s">
        <v>5</v>
      </c>
      <c r="C6179" t="s">
        <v>6</v>
      </c>
      <c r="D6179" t="s">
        <v>8</v>
      </c>
      <c r="E6179" s="68">
        <v>4470</v>
      </c>
      <c r="F6179" s="68">
        <v>4800</v>
      </c>
      <c r="G6179" s="68">
        <v>9270</v>
      </c>
    </row>
    <row r="6180" spans="1:7" x14ac:dyDescent="0.3">
      <c r="A6180" t="s">
        <v>1345</v>
      </c>
      <c r="B6180" t="s">
        <v>5</v>
      </c>
      <c r="C6180" t="s">
        <v>6</v>
      </c>
      <c r="D6180" t="s">
        <v>9</v>
      </c>
      <c r="E6180" s="68">
        <v>5158</v>
      </c>
      <c r="F6180" s="68">
        <v>5333</v>
      </c>
      <c r="G6180" s="68">
        <v>10491</v>
      </c>
    </row>
    <row r="6181" spans="1:7" x14ac:dyDescent="0.3">
      <c r="A6181" t="s">
        <v>1345</v>
      </c>
      <c r="B6181" t="s">
        <v>5</v>
      </c>
      <c r="C6181" t="s">
        <v>6</v>
      </c>
      <c r="D6181" t="s">
        <v>10</v>
      </c>
      <c r="E6181" s="68">
        <v>4942</v>
      </c>
      <c r="F6181" s="68">
        <v>5201</v>
      </c>
      <c r="G6181" s="68">
        <v>10143</v>
      </c>
    </row>
    <row r="6182" spans="1:7" x14ac:dyDescent="0.3">
      <c r="A6182" t="s">
        <v>1345</v>
      </c>
      <c r="B6182" t="s">
        <v>5</v>
      </c>
      <c r="C6182" t="s">
        <v>6</v>
      </c>
      <c r="D6182" t="s">
        <v>11</v>
      </c>
      <c r="E6182" s="68">
        <v>4785</v>
      </c>
      <c r="F6182" s="68">
        <v>4553</v>
      </c>
      <c r="G6182" s="68">
        <v>9338</v>
      </c>
    </row>
    <row r="6183" spans="1:7" x14ac:dyDescent="0.3">
      <c r="A6183" t="s">
        <v>1345</v>
      </c>
      <c r="B6183" t="s">
        <v>5</v>
      </c>
      <c r="C6183" t="s">
        <v>6</v>
      </c>
      <c r="D6183" t="s">
        <v>12</v>
      </c>
      <c r="E6183" s="68">
        <v>5610</v>
      </c>
      <c r="F6183" s="68">
        <v>4586</v>
      </c>
      <c r="G6183" s="68">
        <v>10196</v>
      </c>
    </row>
    <row r="6184" spans="1:7" x14ac:dyDescent="0.3">
      <c r="A6184" t="s">
        <v>1345</v>
      </c>
      <c r="B6184" t="s">
        <v>5</v>
      </c>
      <c r="C6184" t="s">
        <v>6</v>
      </c>
      <c r="D6184" t="s">
        <v>13</v>
      </c>
      <c r="E6184" s="68">
        <v>7409</v>
      </c>
      <c r="F6184" s="68">
        <v>5754</v>
      </c>
      <c r="G6184" s="68">
        <v>13163</v>
      </c>
    </row>
    <row r="6185" spans="1:7" x14ac:dyDescent="0.3">
      <c r="A6185" t="s">
        <v>1345</v>
      </c>
      <c r="B6185" t="s">
        <v>5</v>
      </c>
      <c r="C6185" t="s">
        <v>6</v>
      </c>
      <c r="D6185" t="s">
        <v>14</v>
      </c>
      <c r="E6185" s="68">
        <v>7424</v>
      </c>
      <c r="F6185" s="68">
        <v>6159</v>
      </c>
      <c r="G6185" s="68">
        <v>13583</v>
      </c>
    </row>
    <row r="6186" spans="1:7" x14ac:dyDescent="0.3">
      <c r="A6186" t="s">
        <v>1345</v>
      </c>
      <c r="B6186" t="s">
        <v>5</v>
      </c>
      <c r="C6186" t="s">
        <v>6</v>
      </c>
      <c r="D6186" t="s">
        <v>15</v>
      </c>
      <c r="E6186" s="68">
        <v>6839</v>
      </c>
      <c r="F6186" s="68">
        <v>5887</v>
      </c>
      <c r="G6186" s="68">
        <v>12726</v>
      </c>
    </row>
    <row r="6187" spans="1:7" x14ac:dyDescent="0.3">
      <c r="A6187" t="s">
        <v>1345</v>
      </c>
      <c r="B6187" t="s">
        <v>5</v>
      </c>
      <c r="C6187" t="s">
        <v>6</v>
      </c>
      <c r="D6187" t="s">
        <v>16</v>
      </c>
      <c r="E6187" s="68">
        <v>5626</v>
      </c>
      <c r="F6187" s="68">
        <v>4967</v>
      </c>
      <c r="G6187" s="68">
        <v>10593</v>
      </c>
    </row>
    <row r="6188" spans="1:7" x14ac:dyDescent="0.3">
      <c r="A6188" t="s">
        <v>1345</v>
      </c>
      <c r="B6188" t="s">
        <v>5</v>
      </c>
      <c r="C6188" t="s">
        <v>6</v>
      </c>
      <c r="D6188" t="s">
        <v>17</v>
      </c>
      <c r="E6188" s="68">
        <v>4426</v>
      </c>
      <c r="F6188" s="68">
        <v>3889</v>
      </c>
      <c r="G6188" s="68">
        <v>8315</v>
      </c>
    </row>
    <row r="6189" spans="1:7" x14ac:dyDescent="0.3">
      <c r="A6189" t="s">
        <v>1345</v>
      </c>
      <c r="B6189" t="s">
        <v>5</v>
      </c>
      <c r="C6189" t="s">
        <v>6</v>
      </c>
      <c r="D6189" t="s">
        <v>18</v>
      </c>
      <c r="E6189" s="68">
        <v>4203</v>
      </c>
      <c r="F6189" s="68">
        <v>3413</v>
      </c>
      <c r="G6189" s="68">
        <v>7616</v>
      </c>
    </row>
    <row r="6190" spans="1:7" x14ac:dyDescent="0.3">
      <c r="A6190" t="s">
        <v>1345</v>
      </c>
      <c r="B6190" t="s">
        <v>5</v>
      </c>
      <c r="C6190" t="s">
        <v>6</v>
      </c>
      <c r="D6190" t="s">
        <v>19</v>
      </c>
      <c r="E6190" s="68">
        <v>4005</v>
      </c>
      <c r="F6190" s="68">
        <v>3221</v>
      </c>
      <c r="G6190" s="68">
        <v>7226</v>
      </c>
    </row>
    <row r="6191" spans="1:7" x14ac:dyDescent="0.3">
      <c r="A6191" t="s">
        <v>1345</v>
      </c>
      <c r="B6191" t="s">
        <v>5</v>
      </c>
      <c r="C6191" t="s">
        <v>6</v>
      </c>
      <c r="D6191" t="s">
        <v>20</v>
      </c>
      <c r="E6191" s="68">
        <v>3271</v>
      </c>
      <c r="F6191" s="68">
        <v>2509</v>
      </c>
      <c r="G6191" s="68">
        <v>5780</v>
      </c>
    </row>
    <row r="6192" spans="1:7" x14ac:dyDescent="0.3">
      <c r="A6192" t="s">
        <v>1345</v>
      </c>
      <c r="B6192" t="s">
        <v>5</v>
      </c>
      <c r="C6192" t="s">
        <v>6</v>
      </c>
      <c r="D6192" t="s">
        <v>21</v>
      </c>
      <c r="E6192" s="68">
        <v>2434</v>
      </c>
      <c r="F6192" s="68">
        <v>1902</v>
      </c>
      <c r="G6192" s="68">
        <v>4336</v>
      </c>
    </row>
    <row r="6193" spans="1:7" x14ac:dyDescent="0.3">
      <c r="A6193" t="s">
        <v>1345</v>
      </c>
      <c r="B6193" t="s">
        <v>5</v>
      </c>
      <c r="C6193" t="s">
        <v>6</v>
      </c>
      <c r="D6193" t="s">
        <v>22</v>
      </c>
      <c r="E6193" s="68">
        <v>1450</v>
      </c>
      <c r="F6193" s="68">
        <v>1224</v>
      </c>
      <c r="G6193" s="68">
        <v>2674</v>
      </c>
    </row>
    <row r="6194" spans="1:7" x14ac:dyDescent="0.3">
      <c r="A6194" t="s">
        <v>1345</v>
      </c>
      <c r="B6194" t="s">
        <v>5</v>
      </c>
      <c r="C6194" t="s">
        <v>6</v>
      </c>
      <c r="D6194" t="s">
        <v>23</v>
      </c>
      <c r="E6194" s="68">
        <v>1958</v>
      </c>
      <c r="F6194" s="68">
        <v>1156</v>
      </c>
      <c r="G6194" s="68">
        <v>3114</v>
      </c>
    </row>
    <row r="6195" spans="1:7" x14ac:dyDescent="0.3">
      <c r="A6195" t="s">
        <v>1345</v>
      </c>
      <c r="B6195" t="s">
        <v>5</v>
      </c>
      <c r="C6195" t="s">
        <v>24</v>
      </c>
      <c r="D6195" t="s">
        <v>7</v>
      </c>
      <c r="E6195" s="68">
        <v>3669</v>
      </c>
      <c r="F6195" s="68">
        <v>3774</v>
      </c>
      <c r="G6195" s="68">
        <v>7443</v>
      </c>
    </row>
    <row r="6196" spans="1:7" x14ac:dyDescent="0.3">
      <c r="A6196" t="s">
        <v>1345</v>
      </c>
      <c r="B6196" t="s">
        <v>5</v>
      </c>
      <c r="C6196" t="s">
        <v>24</v>
      </c>
      <c r="D6196" t="s">
        <v>8</v>
      </c>
      <c r="E6196" s="68">
        <v>5331</v>
      </c>
      <c r="F6196" s="68">
        <v>5622</v>
      </c>
      <c r="G6196" s="68">
        <v>10953</v>
      </c>
    </row>
    <row r="6197" spans="1:7" x14ac:dyDescent="0.3">
      <c r="A6197" t="s">
        <v>1345</v>
      </c>
      <c r="B6197" t="s">
        <v>5</v>
      </c>
      <c r="C6197" t="s">
        <v>24</v>
      </c>
      <c r="D6197" t="s">
        <v>9</v>
      </c>
      <c r="E6197" s="68">
        <v>6484</v>
      </c>
      <c r="F6197" s="68">
        <v>6990</v>
      </c>
      <c r="G6197" s="68">
        <v>13474</v>
      </c>
    </row>
    <row r="6198" spans="1:7" x14ac:dyDescent="0.3">
      <c r="A6198" t="s">
        <v>1345</v>
      </c>
      <c r="B6198" t="s">
        <v>5</v>
      </c>
      <c r="C6198" t="s">
        <v>24</v>
      </c>
      <c r="D6198" t="s">
        <v>10</v>
      </c>
      <c r="E6198" s="68">
        <v>6616</v>
      </c>
      <c r="F6198" s="68">
        <v>7167</v>
      </c>
      <c r="G6198" s="68">
        <v>13783</v>
      </c>
    </row>
    <row r="6199" spans="1:7" x14ac:dyDescent="0.3">
      <c r="A6199" t="s">
        <v>1345</v>
      </c>
      <c r="B6199" t="s">
        <v>5</v>
      </c>
      <c r="C6199" t="s">
        <v>24</v>
      </c>
      <c r="D6199" t="s">
        <v>11</v>
      </c>
      <c r="E6199" s="68">
        <v>5737</v>
      </c>
      <c r="F6199" s="68">
        <v>5005</v>
      </c>
      <c r="G6199" s="68">
        <v>10742</v>
      </c>
    </row>
    <row r="6200" spans="1:7" x14ac:dyDescent="0.3">
      <c r="A6200" t="s">
        <v>1345</v>
      </c>
      <c r="B6200" t="s">
        <v>5</v>
      </c>
      <c r="C6200" t="s">
        <v>24</v>
      </c>
      <c r="D6200" t="s">
        <v>12</v>
      </c>
      <c r="E6200" s="68">
        <v>5793</v>
      </c>
      <c r="F6200" s="68">
        <v>4783</v>
      </c>
      <c r="G6200" s="68">
        <v>10576</v>
      </c>
    </row>
    <row r="6201" spans="1:7" x14ac:dyDescent="0.3">
      <c r="A6201" t="s">
        <v>1345</v>
      </c>
      <c r="B6201" t="s">
        <v>5</v>
      </c>
      <c r="C6201" t="s">
        <v>24</v>
      </c>
      <c r="D6201" t="s">
        <v>13</v>
      </c>
      <c r="E6201" s="68">
        <v>5433</v>
      </c>
      <c r="F6201" s="68">
        <v>4578</v>
      </c>
      <c r="G6201" s="68">
        <v>10011</v>
      </c>
    </row>
    <row r="6202" spans="1:7" x14ac:dyDescent="0.3">
      <c r="A6202" t="s">
        <v>1345</v>
      </c>
      <c r="B6202" t="s">
        <v>5</v>
      </c>
      <c r="C6202" t="s">
        <v>24</v>
      </c>
      <c r="D6202" t="s">
        <v>14</v>
      </c>
      <c r="E6202" s="68">
        <v>5376</v>
      </c>
      <c r="F6202" s="68">
        <v>4419</v>
      </c>
      <c r="G6202" s="68">
        <v>9795</v>
      </c>
    </row>
    <row r="6203" spans="1:7" x14ac:dyDescent="0.3">
      <c r="A6203" t="s">
        <v>1345</v>
      </c>
      <c r="B6203" t="s">
        <v>5</v>
      </c>
      <c r="C6203" t="s">
        <v>24</v>
      </c>
      <c r="D6203" t="s">
        <v>15</v>
      </c>
      <c r="E6203" s="68">
        <v>5197</v>
      </c>
      <c r="F6203" s="68">
        <v>4185</v>
      </c>
      <c r="G6203" s="68">
        <v>9382</v>
      </c>
    </row>
    <row r="6204" spans="1:7" x14ac:dyDescent="0.3">
      <c r="A6204" t="s">
        <v>1345</v>
      </c>
      <c r="B6204" t="s">
        <v>5</v>
      </c>
      <c r="C6204" t="s">
        <v>24</v>
      </c>
      <c r="D6204" t="s">
        <v>16</v>
      </c>
      <c r="E6204" s="68">
        <v>4669</v>
      </c>
      <c r="F6204" s="68">
        <v>3911</v>
      </c>
      <c r="G6204" s="68">
        <v>8580</v>
      </c>
    </row>
    <row r="6205" spans="1:7" x14ac:dyDescent="0.3">
      <c r="A6205" t="s">
        <v>1345</v>
      </c>
      <c r="B6205" t="s">
        <v>5</v>
      </c>
      <c r="C6205" t="s">
        <v>24</v>
      </c>
      <c r="D6205" t="s">
        <v>17</v>
      </c>
      <c r="E6205" s="68">
        <v>4085</v>
      </c>
      <c r="F6205" s="68">
        <v>3483</v>
      </c>
      <c r="G6205" s="68">
        <v>7568</v>
      </c>
    </row>
    <row r="6206" spans="1:7" x14ac:dyDescent="0.3">
      <c r="A6206" t="s">
        <v>1345</v>
      </c>
      <c r="B6206" t="s">
        <v>5</v>
      </c>
      <c r="C6206" t="s">
        <v>24</v>
      </c>
      <c r="D6206" t="s">
        <v>18</v>
      </c>
      <c r="E6206" s="68">
        <v>3794</v>
      </c>
      <c r="F6206" s="68">
        <v>3520</v>
      </c>
      <c r="G6206" s="68">
        <v>7314</v>
      </c>
    </row>
    <row r="6207" spans="1:7" x14ac:dyDescent="0.3">
      <c r="A6207" t="s">
        <v>1345</v>
      </c>
      <c r="B6207" t="s">
        <v>5</v>
      </c>
      <c r="C6207" t="s">
        <v>24</v>
      </c>
      <c r="D6207" t="s">
        <v>19</v>
      </c>
      <c r="E6207" s="68">
        <v>3483</v>
      </c>
      <c r="F6207" s="68">
        <v>3134</v>
      </c>
      <c r="G6207" s="68">
        <v>6617</v>
      </c>
    </row>
    <row r="6208" spans="1:7" x14ac:dyDescent="0.3">
      <c r="A6208" t="s">
        <v>1345</v>
      </c>
      <c r="B6208" t="s">
        <v>5</v>
      </c>
      <c r="C6208" t="s">
        <v>24</v>
      </c>
      <c r="D6208" t="s">
        <v>20</v>
      </c>
      <c r="E6208" s="68">
        <v>2823</v>
      </c>
      <c r="F6208" s="68">
        <v>2598</v>
      </c>
      <c r="G6208" s="68">
        <v>5421</v>
      </c>
    </row>
    <row r="6209" spans="1:7" x14ac:dyDescent="0.3">
      <c r="A6209" t="s">
        <v>1345</v>
      </c>
      <c r="B6209" t="s">
        <v>5</v>
      </c>
      <c r="C6209" t="s">
        <v>24</v>
      </c>
      <c r="D6209" t="s">
        <v>21</v>
      </c>
      <c r="E6209" s="68">
        <v>2216</v>
      </c>
      <c r="F6209" s="68">
        <v>1973</v>
      </c>
      <c r="G6209" s="68">
        <v>4189</v>
      </c>
    </row>
    <row r="6210" spans="1:7" x14ac:dyDescent="0.3">
      <c r="A6210" t="s">
        <v>1345</v>
      </c>
      <c r="B6210" t="s">
        <v>5</v>
      </c>
      <c r="C6210" t="s">
        <v>24</v>
      </c>
      <c r="D6210" t="s">
        <v>22</v>
      </c>
      <c r="E6210" s="68">
        <v>1642</v>
      </c>
      <c r="F6210" s="68">
        <v>1417</v>
      </c>
      <c r="G6210" s="68">
        <v>3059</v>
      </c>
    </row>
    <row r="6211" spans="1:7" x14ac:dyDescent="0.3">
      <c r="A6211" t="s">
        <v>1345</v>
      </c>
      <c r="B6211" t="s">
        <v>5</v>
      </c>
      <c r="C6211" t="s">
        <v>24</v>
      </c>
      <c r="D6211" t="s">
        <v>23</v>
      </c>
      <c r="E6211" s="68">
        <v>2201</v>
      </c>
      <c r="F6211" s="68">
        <v>1648</v>
      </c>
      <c r="G6211" s="68">
        <v>3849</v>
      </c>
    </row>
    <row r="6212" spans="1:7" x14ac:dyDescent="0.3">
      <c r="A6212" t="s">
        <v>1345</v>
      </c>
      <c r="B6212" t="s">
        <v>33</v>
      </c>
      <c r="C6212" t="s">
        <v>24</v>
      </c>
      <c r="D6212" t="s">
        <v>11</v>
      </c>
      <c r="E6212" s="68"/>
      <c r="F6212" s="68">
        <v>1</v>
      </c>
      <c r="G6212" s="68">
        <v>1</v>
      </c>
    </row>
    <row r="6213" spans="1:7" x14ac:dyDescent="0.3">
      <c r="A6213" t="s">
        <v>1345</v>
      </c>
      <c r="B6213" t="s">
        <v>34</v>
      </c>
      <c r="C6213" t="s">
        <v>6</v>
      </c>
      <c r="D6213" t="s">
        <v>9</v>
      </c>
      <c r="E6213" s="68">
        <v>1</v>
      </c>
      <c r="F6213" s="68"/>
      <c r="G6213" s="68">
        <v>1</v>
      </c>
    </row>
    <row r="6214" spans="1:7" x14ac:dyDescent="0.3">
      <c r="A6214" t="s">
        <v>1345</v>
      </c>
      <c r="B6214" t="s">
        <v>34</v>
      </c>
      <c r="C6214" t="s">
        <v>6</v>
      </c>
      <c r="D6214" t="s">
        <v>10</v>
      </c>
      <c r="E6214" s="68"/>
      <c r="F6214" s="68">
        <v>1</v>
      </c>
      <c r="G6214" s="68">
        <v>1</v>
      </c>
    </row>
    <row r="6215" spans="1:7" x14ac:dyDescent="0.3">
      <c r="A6215" t="s">
        <v>1345</v>
      </c>
      <c r="B6215" t="s">
        <v>35</v>
      </c>
      <c r="C6215" t="s">
        <v>6</v>
      </c>
      <c r="D6215" t="s">
        <v>15</v>
      </c>
      <c r="E6215" s="68">
        <v>1</v>
      </c>
      <c r="F6215" s="68"/>
      <c r="G6215" s="68">
        <v>1</v>
      </c>
    </row>
    <row r="6216" spans="1:7" x14ac:dyDescent="0.3">
      <c r="A6216" t="s">
        <v>1345</v>
      </c>
      <c r="B6216" t="s">
        <v>35</v>
      </c>
      <c r="C6216" t="s">
        <v>6</v>
      </c>
      <c r="D6216" t="s">
        <v>18</v>
      </c>
      <c r="E6216" s="68">
        <v>4</v>
      </c>
      <c r="F6216" s="68"/>
      <c r="G6216" s="68">
        <v>4</v>
      </c>
    </row>
    <row r="6217" spans="1:7" x14ac:dyDescent="0.3">
      <c r="A6217" t="s">
        <v>1345</v>
      </c>
      <c r="B6217" t="s">
        <v>35</v>
      </c>
      <c r="C6217" t="s">
        <v>6</v>
      </c>
      <c r="D6217" t="s">
        <v>19</v>
      </c>
      <c r="E6217" s="68">
        <v>5</v>
      </c>
      <c r="F6217" s="68"/>
      <c r="G6217" s="68">
        <v>5</v>
      </c>
    </row>
    <row r="6218" spans="1:7" x14ac:dyDescent="0.3">
      <c r="A6218" t="s">
        <v>1345</v>
      </c>
      <c r="B6218" t="s">
        <v>35</v>
      </c>
      <c r="C6218" t="s">
        <v>6</v>
      </c>
      <c r="D6218" t="s">
        <v>20</v>
      </c>
      <c r="E6218" s="68">
        <v>3</v>
      </c>
      <c r="F6218" s="68"/>
      <c r="G6218" s="68">
        <v>3</v>
      </c>
    </row>
    <row r="6219" spans="1:7" x14ac:dyDescent="0.3">
      <c r="A6219" t="s">
        <v>1345</v>
      </c>
      <c r="B6219" t="s">
        <v>35</v>
      </c>
      <c r="C6219" t="s">
        <v>6</v>
      </c>
      <c r="D6219" t="s">
        <v>21</v>
      </c>
      <c r="E6219" s="68">
        <v>4</v>
      </c>
      <c r="F6219" s="68"/>
      <c r="G6219" s="68">
        <v>4</v>
      </c>
    </row>
    <row r="6220" spans="1:7" x14ac:dyDescent="0.3">
      <c r="A6220" t="s">
        <v>1345</v>
      </c>
      <c r="B6220" t="s">
        <v>35</v>
      </c>
      <c r="C6220" t="s">
        <v>6</v>
      </c>
      <c r="D6220" t="s">
        <v>22</v>
      </c>
      <c r="E6220" s="68">
        <v>4</v>
      </c>
      <c r="F6220" s="68">
        <v>3</v>
      </c>
      <c r="G6220" s="68">
        <v>7</v>
      </c>
    </row>
    <row r="6221" spans="1:7" x14ac:dyDescent="0.3">
      <c r="A6221" t="s">
        <v>1345</v>
      </c>
      <c r="B6221" t="s">
        <v>35</v>
      </c>
      <c r="C6221" t="s">
        <v>6</v>
      </c>
      <c r="D6221" t="s">
        <v>23</v>
      </c>
      <c r="E6221" s="68">
        <v>9</v>
      </c>
      <c r="F6221" s="68">
        <v>2</v>
      </c>
      <c r="G6221" s="68">
        <v>11</v>
      </c>
    </row>
    <row r="6222" spans="1:7" x14ac:dyDescent="0.3">
      <c r="A6222" t="s">
        <v>1345</v>
      </c>
      <c r="B6222" t="s">
        <v>588</v>
      </c>
      <c r="C6222" t="s">
        <v>24</v>
      </c>
      <c r="D6222" t="s">
        <v>8</v>
      </c>
      <c r="E6222" s="68">
        <v>1</v>
      </c>
      <c r="F6222" s="68"/>
      <c r="G6222" s="68">
        <v>1</v>
      </c>
    </row>
    <row r="6223" spans="1:7" x14ac:dyDescent="0.3">
      <c r="A6223" t="s">
        <v>1345</v>
      </c>
      <c r="B6223" t="s">
        <v>588</v>
      </c>
      <c r="C6223" t="s">
        <v>24</v>
      </c>
      <c r="D6223" t="s">
        <v>9</v>
      </c>
      <c r="E6223" s="68">
        <v>1</v>
      </c>
      <c r="F6223" s="68">
        <v>1</v>
      </c>
      <c r="G6223" s="68">
        <v>2</v>
      </c>
    </row>
    <row r="6224" spans="1:7" x14ac:dyDescent="0.3">
      <c r="A6224" t="s">
        <v>1345</v>
      </c>
      <c r="B6224" t="s">
        <v>26</v>
      </c>
      <c r="C6224" t="s">
        <v>6</v>
      </c>
      <c r="D6224" t="s">
        <v>7</v>
      </c>
      <c r="E6224" s="68">
        <v>4743</v>
      </c>
      <c r="F6224" s="68">
        <v>4984</v>
      </c>
      <c r="G6224" s="68">
        <v>9727</v>
      </c>
    </row>
    <row r="6225" spans="1:7" x14ac:dyDescent="0.3">
      <c r="A6225" t="s">
        <v>1345</v>
      </c>
      <c r="B6225" t="s">
        <v>26</v>
      </c>
      <c r="C6225" t="s">
        <v>6</v>
      </c>
      <c r="D6225" t="s">
        <v>8</v>
      </c>
      <c r="E6225" s="68">
        <v>5896</v>
      </c>
      <c r="F6225" s="68">
        <v>6167</v>
      </c>
      <c r="G6225" s="68">
        <v>12063</v>
      </c>
    </row>
    <row r="6226" spans="1:7" x14ac:dyDescent="0.3">
      <c r="A6226" t="s">
        <v>1345</v>
      </c>
      <c r="B6226" t="s">
        <v>26</v>
      </c>
      <c r="C6226" t="s">
        <v>6</v>
      </c>
      <c r="D6226" t="s">
        <v>9</v>
      </c>
      <c r="E6226" s="68">
        <v>6229</v>
      </c>
      <c r="F6226" s="68">
        <v>6383</v>
      </c>
      <c r="G6226" s="68">
        <v>12612</v>
      </c>
    </row>
    <row r="6227" spans="1:7" x14ac:dyDescent="0.3">
      <c r="A6227" t="s">
        <v>1345</v>
      </c>
      <c r="B6227" t="s">
        <v>26</v>
      </c>
      <c r="C6227" t="s">
        <v>6</v>
      </c>
      <c r="D6227" t="s">
        <v>10</v>
      </c>
      <c r="E6227" s="68">
        <v>6658</v>
      </c>
      <c r="F6227" s="68">
        <v>6799</v>
      </c>
      <c r="G6227" s="68">
        <v>13457</v>
      </c>
    </row>
    <row r="6228" spans="1:7" x14ac:dyDescent="0.3">
      <c r="A6228" t="s">
        <v>1345</v>
      </c>
      <c r="B6228" t="s">
        <v>26</v>
      </c>
      <c r="C6228" t="s">
        <v>6</v>
      </c>
      <c r="D6228" t="s">
        <v>11</v>
      </c>
      <c r="E6228" s="68">
        <v>8786</v>
      </c>
      <c r="F6228" s="68">
        <v>10299</v>
      </c>
      <c r="G6228" s="68">
        <v>19085</v>
      </c>
    </row>
    <row r="6229" spans="1:7" x14ac:dyDescent="0.3">
      <c r="A6229" t="s">
        <v>1345</v>
      </c>
      <c r="B6229" t="s">
        <v>26</v>
      </c>
      <c r="C6229" t="s">
        <v>6</v>
      </c>
      <c r="D6229" t="s">
        <v>12</v>
      </c>
      <c r="E6229" s="68">
        <v>10173</v>
      </c>
      <c r="F6229" s="68">
        <v>11571</v>
      </c>
      <c r="G6229" s="68">
        <v>21744</v>
      </c>
    </row>
    <row r="6230" spans="1:7" x14ac:dyDescent="0.3">
      <c r="A6230" t="s">
        <v>1345</v>
      </c>
      <c r="B6230" t="s">
        <v>26</v>
      </c>
      <c r="C6230" t="s">
        <v>6</v>
      </c>
      <c r="D6230" t="s">
        <v>13</v>
      </c>
      <c r="E6230" s="68">
        <v>10576</v>
      </c>
      <c r="F6230" s="68">
        <v>12608</v>
      </c>
      <c r="G6230" s="68">
        <v>23184</v>
      </c>
    </row>
    <row r="6231" spans="1:7" x14ac:dyDescent="0.3">
      <c r="A6231" t="s">
        <v>1345</v>
      </c>
      <c r="B6231" t="s">
        <v>26</v>
      </c>
      <c r="C6231" t="s">
        <v>6</v>
      </c>
      <c r="D6231" t="s">
        <v>14</v>
      </c>
      <c r="E6231" s="68">
        <v>9526</v>
      </c>
      <c r="F6231" s="68">
        <v>11125</v>
      </c>
      <c r="G6231" s="68">
        <v>20651</v>
      </c>
    </row>
    <row r="6232" spans="1:7" x14ac:dyDescent="0.3">
      <c r="A6232" t="s">
        <v>1345</v>
      </c>
      <c r="B6232" t="s">
        <v>26</v>
      </c>
      <c r="C6232" t="s">
        <v>6</v>
      </c>
      <c r="D6232" t="s">
        <v>15</v>
      </c>
      <c r="E6232" s="68">
        <v>8359</v>
      </c>
      <c r="F6232" s="68">
        <v>9523</v>
      </c>
      <c r="G6232" s="68">
        <v>17882</v>
      </c>
    </row>
    <row r="6233" spans="1:7" x14ac:dyDescent="0.3">
      <c r="A6233" t="s">
        <v>1345</v>
      </c>
      <c r="B6233" t="s">
        <v>26</v>
      </c>
      <c r="C6233" t="s">
        <v>6</v>
      </c>
      <c r="D6233" t="s">
        <v>16</v>
      </c>
      <c r="E6233" s="68">
        <v>7247</v>
      </c>
      <c r="F6233" s="68">
        <v>7560</v>
      </c>
      <c r="G6233" s="68">
        <v>14807</v>
      </c>
    </row>
    <row r="6234" spans="1:7" x14ac:dyDescent="0.3">
      <c r="A6234" t="s">
        <v>1345</v>
      </c>
      <c r="B6234" t="s">
        <v>26</v>
      </c>
      <c r="C6234" t="s">
        <v>6</v>
      </c>
      <c r="D6234" t="s">
        <v>17</v>
      </c>
      <c r="E6234" s="68">
        <v>6312</v>
      </c>
      <c r="F6234" s="68">
        <v>6297</v>
      </c>
      <c r="G6234" s="68">
        <v>12609</v>
      </c>
    </row>
    <row r="6235" spans="1:7" x14ac:dyDescent="0.3">
      <c r="A6235" t="s">
        <v>1345</v>
      </c>
      <c r="B6235" t="s">
        <v>26</v>
      </c>
      <c r="C6235" t="s">
        <v>6</v>
      </c>
      <c r="D6235" t="s">
        <v>18</v>
      </c>
      <c r="E6235" s="68">
        <v>6236</v>
      </c>
      <c r="F6235" s="68">
        <v>5795</v>
      </c>
      <c r="G6235" s="68">
        <v>12031</v>
      </c>
    </row>
    <row r="6236" spans="1:7" x14ac:dyDescent="0.3">
      <c r="A6236" t="s">
        <v>1345</v>
      </c>
      <c r="B6236" t="s">
        <v>26</v>
      </c>
      <c r="C6236" t="s">
        <v>6</v>
      </c>
      <c r="D6236" t="s">
        <v>19</v>
      </c>
      <c r="E6236" s="68">
        <v>6108</v>
      </c>
      <c r="F6236" s="68">
        <v>5169</v>
      </c>
      <c r="G6236" s="68">
        <v>11277</v>
      </c>
    </row>
    <row r="6237" spans="1:7" x14ac:dyDescent="0.3">
      <c r="A6237" t="s">
        <v>1345</v>
      </c>
      <c r="B6237" t="s">
        <v>26</v>
      </c>
      <c r="C6237" t="s">
        <v>6</v>
      </c>
      <c r="D6237" t="s">
        <v>20</v>
      </c>
      <c r="E6237" s="68">
        <v>5397</v>
      </c>
      <c r="F6237" s="68">
        <v>4209</v>
      </c>
      <c r="G6237" s="68">
        <v>9606</v>
      </c>
    </row>
    <row r="6238" spans="1:7" x14ac:dyDescent="0.3">
      <c r="A6238" t="s">
        <v>1345</v>
      </c>
      <c r="B6238" t="s">
        <v>26</v>
      </c>
      <c r="C6238" t="s">
        <v>6</v>
      </c>
      <c r="D6238" t="s">
        <v>21</v>
      </c>
      <c r="E6238" s="68">
        <v>4004</v>
      </c>
      <c r="F6238" s="68">
        <v>3145</v>
      </c>
      <c r="G6238" s="68">
        <v>7149</v>
      </c>
    </row>
    <row r="6239" spans="1:7" x14ac:dyDescent="0.3">
      <c r="A6239" t="s">
        <v>1345</v>
      </c>
      <c r="B6239" t="s">
        <v>26</v>
      </c>
      <c r="C6239" t="s">
        <v>6</v>
      </c>
      <c r="D6239" t="s">
        <v>22</v>
      </c>
      <c r="E6239" s="68">
        <v>2877</v>
      </c>
      <c r="F6239" s="68">
        <v>2102</v>
      </c>
      <c r="G6239" s="68">
        <v>4979</v>
      </c>
    </row>
    <row r="6240" spans="1:7" x14ac:dyDescent="0.3">
      <c r="A6240" t="s">
        <v>1345</v>
      </c>
      <c r="B6240" t="s">
        <v>26</v>
      </c>
      <c r="C6240" t="s">
        <v>6</v>
      </c>
      <c r="D6240" t="s">
        <v>23</v>
      </c>
      <c r="E6240" s="68">
        <v>3981</v>
      </c>
      <c r="F6240" s="68">
        <v>2237</v>
      </c>
      <c r="G6240" s="68">
        <v>6218</v>
      </c>
    </row>
    <row r="6241" spans="1:7" x14ac:dyDescent="0.3">
      <c r="A6241" t="s">
        <v>1345</v>
      </c>
      <c r="B6241" t="s">
        <v>26</v>
      </c>
      <c r="C6241" t="s">
        <v>24</v>
      </c>
      <c r="D6241" t="s">
        <v>7</v>
      </c>
      <c r="E6241" s="68">
        <v>18295</v>
      </c>
      <c r="F6241" s="68">
        <v>19522</v>
      </c>
      <c r="G6241" s="68">
        <v>37817</v>
      </c>
    </row>
    <row r="6242" spans="1:7" x14ac:dyDescent="0.3">
      <c r="A6242" t="s">
        <v>1345</v>
      </c>
      <c r="B6242" t="s">
        <v>26</v>
      </c>
      <c r="C6242" t="s">
        <v>24</v>
      </c>
      <c r="D6242" t="s">
        <v>8</v>
      </c>
      <c r="E6242" s="68">
        <v>22667</v>
      </c>
      <c r="F6242" s="68">
        <v>23794</v>
      </c>
      <c r="G6242" s="68">
        <v>46461</v>
      </c>
    </row>
    <row r="6243" spans="1:7" x14ac:dyDescent="0.3">
      <c r="A6243" t="s">
        <v>1345</v>
      </c>
      <c r="B6243" t="s">
        <v>26</v>
      </c>
      <c r="C6243" t="s">
        <v>24</v>
      </c>
      <c r="D6243" t="s">
        <v>9</v>
      </c>
      <c r="E6243" s="68">
        <v>20788</v>
      </c>
      <c r="F6243" s="68">
        <v>21751</v>
      </c>
      <c r="G6243" s="68">
        <v>42539</v>
      </c>
    </row>
    <row r="6244" spans="1:7" x14ac:dyDescent="0.3">
      <c r="A6244" t="s">
        <v>1345</v>
      </c>
      <c r="B6244" t="s">
        <v>26</v>
      </c>
      <c r="C6244" t="s">
        <v>24</v>
      </c>
      <c r="D6244" t="s">
        <v>10</v>
      </c>
      <c r="E6244" s="68">
        <v>22371</v>
      </c>
      <c r="F6244" s="68">
        <v>22226</v>
      </c>
      <c r="G6244" s="68">
        <v>44597</v>
      </c>
    </row>
    <row r="6245" spans="1:7" x14ac:dyDescent="0.3">
      <c r="A6245" t="s">
        <v>1345</v>
      </c>
      <c r="B6245" t="s">
        <v>26</v>
      </c>
      <c r="C6245" t="s">
        <v>24</v>
      </c>
      <c r="D6245" t="s">
        <v>11</v>
      </c>
      <c r="E6245" s="68">
        <v>23351</v>
      </c>
      <c r="F6245" s="68">
        <v>20032</v>
      </c>
      <c r="G6245" s="68">
        <v>43383</v>
      </c>
    </row>
    <row r="6246" spans="1:7" x14ac:dyDescent="0.3">
      <c r="A6246" t="s">
        <v>1345</v>
      </c>
      <c r="B6246" t="s">
        <v>26</v>
      </c>
      <c r="C6246" t="s">
        <v>24</v>
      </c>
      <c r="D6246" t="s">
        <v>12</v>
      </c>
      <c r="E6246" s="68">
        <v>23873</v>
      </c>
      <c r="F6246" s="68">
        <v>20983</v>
      </c>
      <c r="G6246" s="68">
        <v>44856</v>
      </c>
    </row>
    <row r="6247" spans="1:7" x14ac:dyDescent="0.3">
      <c r="A6247" t="s">
        <v>1345</v>
      </c>
      <c r="B6247" t="s">
        <v>26</v>
      </c>
      <c r="C6247" t="s">
        <v>24</v>
      </c>
      <c r="D6247" t="s">
        <v>13</v>
      </c>
      <c r="E6247" s="68">
        <v>23144</v>
      </c>
      <c r="F6247" s="68">
        <v>21217</v>
      </c>
      <c r="G6247" s="68">
        <v>44361</v>
      </c>
    </row>
    <row r="6248" spans="1:7" x14ac:dyDescent="0.3">
      <c r="A6248" t="s">
        <v>1345</v>
      </c>
      <c r="B6248" t="s">
        <v>26</v>
      </c>
      <c r="C6248" t="s">
        <v>24</v>
      </c>
      <c r="D6248" t="s">
        <v>14</v>
      </c>
      <c r="E6248" s="68">
        <v>22219</v>
      </c>
      <c r="F6248" s="68">
        <v>20311</v>
      </c>
      <c r="G6248" s="68">
        <v>42530</v>
      </c>
    </row>
    <row r="6249" spans="1:7" x14ac:dyDescent="0.3">
      <c r="A6249" t="s">
        <v>1345</v>
      </c>
      <c r="B6249" t="s">
        <v>26</v>
      </c>
      <c r="C6249" t="s">
        <v>24</v>
      </c>
      <c r="D6249" t="s">
        <v>15</v>
      </c>
      <c r="E6249" s="68">
        <v>20006</v>
      </c>
      <c r="F6249" s="68">
        <v>18629</v>
      </c>
      <c r="G6249" s="68">
        <v>38635</v>
      </c>
    </row>
    <row r="6250" spans="1:7" x14ac:dyDescent="0.3">
      <c r="A6250" t="s">
        <v>1345</v>
      </c>
      <c r="B6250" t="s">
        <v>26</v>
      </c>
      <c r="C6250" t="s">
        <v>24</v>
      </c>
      <c r="D6250" t="s">
        <v>16</v>
      </c>
      <c r="E6250" s="68">
        <v>18730</v>
      </c>
      <c r="F6250" s="68">
        <v>16974</v>
      </c>
      <c r="G6250" s="68">
        <v>35704</v>
      </c>
    </row>
    <row r="6251" spans="1:7" x14ac:dyDescent="0.3">
      <c r="A6251" t="s">
        <v>1345</v>
      </c>
      <c r="B6251" t="s">
        <v>26</v>
      </c>
      <c r="C6251" t="s">
        <v>24</v>
      </c>
      <c r="D6251" t="s">
        <v>17</v>
      </c>
      <c r="E6251" s="68">
        <v>18579</v>
      </c>
      <c r="F6251" s="68">
        <v>16237</v>
      </c>
      <c r="G6251" s="68">
        <v>34816</v>
      </c>
    </row>
    <row r="6252" spans="1:7" x14ac:dyDescent="0.3">
      <c r="A6252" t="s">
        <v>1345</v>
      </c>
      <c r="B6252" t="s">
        <v>26</v>
      </c>
      <c r="C6252" t="s">
        <v>24</v>
      </c>
      <c r="D6252" t="s">
        <v>18</v>
      </c>
      <c r="E6252" s="68">
        <v>17963</v>
      </c>
      <c r="F6252" s="68">
        <v>15419</v>
      </c>
      <c r="G6252" s="68">
        <v>33382</v>
      </c>
    </row>
    <row r="6253" spans="1:7" x14ac:dyDescent="0.3">
      <c r="A6253" t="s">
        <v>1345</v>
      </c>
      <c r="B6253" t="s">
        <v>26</v>
      </c>
      <c r="C6253" t="s">
        <v>24</v>
      </c>
      <c r="D6253" t="s">
        <v>19</v>
      </c>
      <c r="E6253" s="68">
        <v>15086</v>
      </c>
      <c r="F6253" s="68">
        <v>13361</v>
      </c>
      <c r="G6253" s="68">
        <v>28447</v>
      </c>
    </row>
    <row r="6254" spans="1:7" x14ac:dyDescent="0.3">
      <c r="A6254" t="s">
        <v>1345</v>
      </c>
      <c r="B6254" t="s">
        <v>26</v>
      </c>
      <c r="C6254" t="s">
        <v>24</v>
      </c>
      <c r="D6254" t="s">
        <v>20</v>
      </c>
      <c r="E6254" s="68">
        <v>12271</v>
      </c>
      <c r="F6254" s="68">
        <v>10774</v>
      </c>
      <c r="G6254" s="68">
        <v>23045</v>
      </c>
    </row>
    <row r="6255" spans="1:7" x14ac:dyDescent="0.3">
      <c r="A6255" t="s">
        <v>1345</v>
      </c>
      <c r="B6255" t="s">
        <v>26</v>
      </c>
      <c r="C6255" t="s">
        <v>24</v>
      </c>
      <c r="D6255" t="s">
        <v>21</v>
      </c>
      <c r="E6255" s="68">
        <v>9042</v>
      </c>
      <c r="F6255" s="68">
        <v>7892</v>
      </c>
      <c r="G6255" s="68">
        <v>16934</v>
      </c>
    </row>
    <row r="6256" spans="1:7" x14ac:dyDescent="0.3">
      <c r="A6256" t="s">
        <v>1345</v>
      </c>
      <c r="B6256" t="s">
        <v>26</v>
      </c>
      <c r="C6256" t="s">
        <v>24</v>
      </c>
      <c r="D6256" t="s">
        <v>22</v>
      </c>
      <c r="E6256" s="68">
        <v>6552</v>
      </c>
      <c r="F6256" s="68">
        <v>5463</v>
      </c>
      <c r="G6256" s="68">
        <v>12015</v>
      </c>
    </row>
    <row r="6257" spans="1:7" x14ac:dyDescent="0.3">
      <c r="A6257" t="s">
        <v>1345</v>
      </c>
      <c r="B6257" t="s">
        <v>26</v>
      </c>
      <c r="C6257" t="s">
        <v>24</v>
      </c>
      <c r="D6257" t="s">
        <v>23</v>
      </c>
      <c r="E6257" s="68">
        <v>8660</v>
      </c>
      <c r="F6257" s="68">
        <v>6540</v>
      </c>
      <c r="G6257" s="68">
        <v>15200</v>
      </c>
    </row>
    <row r="6258" spans="1:7" x14ac:dyDescent="0.3">
      <c r="A6258" t="s">
        <v>1345</v>
      </c>
      <c r="B6258" t="s">
        <v>27</v>
      </c>
      <c r="C6258" t="s">
        <v>28</v>
      </c>
      <c r="D6258" t="s">
        <v>7</v>
      </c>
      <c r="E6258" s="68">
        <v>350</v>
      </c>
      <c r="F6258" s="68">
        <v>398</v>
      </c>
      <c r="G6258" s="68">
        <v>748</v>
      </c>
    </row>
    <row r="6259" spans="1:7" x14ac:dyDescent="0.3">
      <c r="A6259" t="s">
        <v>1345</v>
      </c>
      <c r="B6259" t="s">
        <v>27</v>
      </c>
      <c r="C6259" t="s">
        <v>28</v>
      </c>
      <c r="D6259" t="s">
        <v>8</v>
      </c>
      <c r="E6259" s="68">
        <v>486</v>
      </c>
      <c r="F6259" s="68">
        <v>487</v>
      </c>
      <c r="G6259" s="68">
        <v>973</v>
      </c>
    </row>
    <row r="6260" spans="1:7" x14ac:dyDescent="0.3">
      <c r="A6260" t="s">
        <v>1345</v>
      </c>
      <c r="B6260" t="s">
        <v>27</v>
      </c>
      <c r="C6260" t="s">
        <v>28</v>
      </c>
      <c r="D6260" t="s">
        <v>9</v>
      </c>
      <c r="E6260" s="68">
        <v>654</v>
      </c>
      <c r="F6260" s="68">
        <v>688</v>
      </c>
      <c r="G6260" s="68">
        <v>1342</v>
      </c>
    </row>
    <row r="6261" spans="1:7" x14ac:dyDescent="0.3">
      <c r="A6261" t="s">
        <v>1345</v>
      </c>
      <c r="B6261" t="s">
        <v>27</v>
      </c>
      <c r="C6261" t="s">
        <v>28</v>
      </c>
      <c r="D6261" t="s">
        <v>10</v>
      </c>
      <c r="E6261" s="68">
        <v>851</v>
      </c>
      <c r="F6261" s="68">
        <v>918</v>
      </c>
      <c r="G6261" s="68">
        <v>1769</v>
      </c>
    </row>
    <row r="6262" spans="1:7" x14ac:dyDescent="0.3">
      <c r="A6262" t="s">
        <v>1345</v>
      </c>
      <c r="B6262" t="s">
        <v>27</v>
      </c>
      <c r="C6262" t="s">
        <v>28</v>
      </c>
      <c r="D6262" t="s">
        <v>11</v>
      </c>
      <c r="E6262" s="68">
        <v>926</v>
      </c>
      <c r="F6262" s="68">
        <v>912</v>
      </c>
      <c r="G6262" s="68">
        <v>1838</v>
      </c>
    </row>
    <row r="6263" spans="1:7" x14ac:dyDescent="0.3">
      <c r="A6263" t="s">
        <v>1345</v>
      </c>
      <c r="B6263" t="s">
        <v>27</v>
      </c>
      <c r="C6263" t="s">
        <v>28</v>
      </c>
      <c r="D6263" t="s">
        <v>12</v>
      </c>
      <c r="E6263" s="68">
        <v>569</v>
      </c>
      <c r="F6263" s="68">
        <v>382</v>
      </c>
      <c r="G6263" s="68">
        <v>951</v>
      </c>
    </row>
    <row r="6264" spans="1:7" x14ac:dyDescent="0.3">
      <c r="A6264" t="s">
        <v>1345</v>
      </c>
      <c r="B6264" t="s">
        <v>27</v>
      </c>
      <c r="C6264" t="s">
        <v>28</v>
      </c>
      <c r="D6264" t="s">
        <v>13</v>
      </c>
      <c r="E6264" s="68">
        <v>756</v>
      </c>
      <c r="F6264" s="68">
        <v>427</v>
      </c>
      <c r="G6264" s="68">
        <v>1183</v>
      </c>
    </row>
    <row r="6265" spans="1:7" x14ac:dyDescent="0.3">
      <c r="A6265" t="s">
        <v>1345</v>
      </c>
      <c r="B6265" t="s">
        <v>27</v>
      </c>
      <c r="C6265" t="s">
        <v>28</v>
      </c>
      <c r="D6265" t="s">
        <v>14</v>
      </c>
      <c r="E6265" s="68">
        <v>951</v>
      </c>
      <c r="F6265" s="68">
        <v>544</v>
      </c>
      <c r="G6265" s="68">
        <v>1495</v>
      </c>
    </row>
    <row r="6266" spans="1:7" x14ac:dyDescent="0.3">
      <c r="A6266" t="s">
        <v>1345</v>
      </c>
      <c r="B6266" t="s">
        <v>27</v>
      </c>
      <c r="C6266" t="s">
        <v>28</v>
      </c>
      <c r="D6266" t="s">
        <v>15</v>
      </c>
      <c r="E6266" s="68">
        <v>1056</v>
      </c>
      <c r="F6266" s="68">
        <v>590</v>
      </c>
      <c r="G6266" s="68">
        <v>1646</v>
      </c>
    </row>
    <row r="6267" spans="1:7" x14ac:dyDescent="0.3">
      <c r="A6267" t="s">
        <v>1345</v>
      </c>
      <c r="B6267" t="s">
        <v>27</v>
      </c>
      <c r="C6267" t="s">
        <v>28</v>
      </c>
      <c r="D6267" t="s">
        <v>16</v>
      </c>
      <c r="E6267" s="68">
        <v>1242</v>
      </c>
      <c r="F6267" s="68">
        <v>645</v>
      </c>
      <c r="G6267" s="68">
        <v>1887</v>
      </c>
    </row>
    <row r="6268" spans="1:7" x14ac:dyDescent="0.3">
      <c r="A6268" t="s">
        <v>1345</v>
      </c>
      <c r="B6268" t="s">
        <v>27</v>
      </c>
      <c r="C6268" t="s">
        <v>28</v>
      </c>
      <c r="D6268" t="s">
        <v>17</v>
      </c>
      <c r="E6268" s="68">
        <v>1582</v>
      </c>
      <c r="F6268" s="68">
        <v>824</v>
      </c>
      <c r="G6268" s="68">
        <v>2406</v>
      </c>
    </row>
    <row r="6269" spans="1:7" x14ac:dyDescent="0.3">
      <c r="A6269" t="s">
        <v>1345</v>
      </c>
      <c r="B6269" t="s">
        <v>27</v>
      </c>
      <c r="C6269" t="s">
        <v>28</v>
      </c>
      <c r="D6269" t="s">
        <v>18</v>
      </c>
      <c r="E6269" s="68">
        <v>1937</v>
      </c>
      <c r="F6269" s="68">
        <v>1022</v>
      </c>
      <c r="G6269" s="68">
        <v>2959</v>
      </c>
    </row>
    <row r="6270" spans="1:7" x14ac:dyDescent="0.3">
      <c r="A6270" t="s">
        <v>1345</v>
      </c>
      <c r="B6270" t="s">
        <v>27</v>
      </c>
      <c r="C6270" t="s">
        <v>28</v>
      </c>
      <c r="D6270" t="s">
        <v>19</v>
      </c>
      <c r="E6270" s="68">
        <v>1636</v>
      </c>
      <c r="F6270" s="68">
        <v>1002</v>
      </c>
      <c r="G6270" s="68">
        <v>2638</v>
      </c>
    </row>
    <row r="6271" spans="1:7" x14ac:dyDescent="0.3">
      <c r="A6271" t="s">
        <v>1345</v>
      </c>
      <c r="B6271" t="s">
        <v>27</v>
      </c>
      <c r="C6271" t="s">
        <v>28</v>
      </c>
      <c r="D6271" t="s">
        <v>20</v>
      </c>
      <c r="E6271" s="68">
        <v>1563</v>
      </c>
      <c r="F6271" s="68">
        <v>1096</v>
      </c>
      <c r="G6271" s="68">
        <v>2659</v>
      </c>
    </row>
    <row r="6272" spans="1:7" x14ac:dyDescent="0.3">
      <c r="A6272" t="s">
        <v>1345</v>
      </c>
      <c r="B6272" t="s">
        <v>27</v>
      </c>
      <c r="C6272" t="s">
        <v>28</v>
      </c>
      <c r="D6272" t="s">
        <v>21</v>
      </c>
      <c r="E6272" s="68">
        <v>1457</v>
      </c>
      <c r="F6272" s="68">
        <v>966</v>
      </c>
      <c r="G6272" s="68">
        <v>2423</v>
      </c>
    </row>
    <row r="6273" spans="1:7" x14ac:dyDescent="0.3">
      <c r="A6273" t="s">
        <v>1345</v>
      </c>
      <c r="B6273" t="s">
        <v>27</v>
      </c>
      <c r="C6273" t="s">
        <v>28</v>
      </c>
      <c r="D6273" t="s">
        <v>22</v>
      </c>
      <c r="E6273" s="68">
        <v>964</v>
      </c>
      <c r="F6273" s="68">
        <v>657</v>
      </c>
      <c r="G6273" s="68">
        <v>1621</v>
      </c>
    </row>
    <row r="6274" spans="1:7" x14ac:dyDescent="0.3">
      <c r="A6274" t="s">
        <v>1345</v>
      </c>
      <c r="B6274" t="s">
        <v>27</v>
      </c>
      <c r="C6274" t="s">
        <v>28</v>
      </c>
      <c r="D6274" t="s">
        <v>23</v>
      </c>
      <c r="E6274" s="68">
        <v>841</v>
      </c>
      <c r="F6274" s="68">
        <v>484</v>
      </c>
      <c r="G6274" s="68">
        <v>1325</v>
      </c>
    </row>
    <row r="6275" spans="1:7" x14ac:dyDescent="0.3">
      <c r="A6275" t="s">
        <v>1345</v>
      </c>
      <c r="B6275" t="s">
        <v>27</v>
      </c>
      <c r="C6275" t="s">
        <v>29</v>
      </c>
      <c r="D6275" t="s">
        <v>7</v>
      </c>
      <c r="E6275" s="68">
        <v>2</v>
      </c>
      <c r="F6275" s="68">
        <v>2</v>
      </c>
      <c r="G6275" s="68">
        <v>4</v>
      </c>
    </row>
    <row r="6276" spans="1:7" x14ac:dyDescent="0.3">
      <c r="A6276" t="s">
        <v>1345</v>
      </c>
      <c r="B6276" t="s">
        <v>27</v>
      </c>
      <c r="C6276" t="s">
        <v>29</v>
      </c>
      <c r="D6276" t="s">
        <v>10</v>
      </c>
      <c r="E6276" s="68">
        <v>2</v>
      </c>
      <c r="F6276" s="68">
        <v>24</v>
      </c>
      <c r="G6276" s="68">
        <v>26</v>
      </c>
    </row>
    <row r="6277" spans="1:7" x14ac:dyDescent="0.3">
      <c r="A6277" t="s">
        <v>1345</v>
      </c>
      <c r="B6277" t="s">
        <v>27</v>
      </c>
      <c r="C6277" t="s">
        <v>29</v>
      </c>
      <c r="D6277" t="s">
        <v>11</v>
      </c>
      <c r="E6277" s="68">
        <v>13</v>
      </c>
      <c r="F6277" s="68">
        <v>361</v>
      </c>
      <c r="G6277" s="68">
        <v>374</v>
      </c>
    </row>
    <row r="6278" spans="1:7" x14ac:dyDescent="0.3">
      <c r="A6278" t="s">
        <v>1345</v>
      </c>
      <c r="B6278" t="s">
        <v>27</v>
      </c>
      <c r="C6278" t="s">
        <v>29</v>
      </c>
      <c r="D6278" t="s">
        <v>12</v>
      </c>
      <c r="E6278" s="68">
        <v>44</v>
      </c>
      <c r="F6278" s="68">
        <v>542</v>
      </c>
      <c r="G6278" s="68">
        <v>586</v>
      </c>
    </row>
    <row r="6279" spans="1:7" x14ac:dyDescent="0.3">
      <c r="A6279" t="s">
        <v>1345</v>
      </c>
      <c r="B6279" t="s">
        <v>27</v>
      </c>
      <c r="C6279" t="s">
        <v>29</v>
      </c>
      <c r="D6279" t="s">
        <v>13</v>
      </c>
      <c r="E6279" s="68">
        <v>35</v>
      </c>
      <c r="F6279" s="68">
        <v>492</v>
      </c>
      <c r="G6279" s="68">
        <v>527</v>
      </c>
    </row>
    <row r="6280" spans="1:7" x14ac:dyDescent="0.3">
      <c r="A6280" t="s">
        <v>1345</v>
      </c>
      <c r="B6280" t="s">
        <v>27</v>
      </c>
      <c r="C6280" t="s">
        <v>29</v>
      </c>
      <c r="D6280" t="s">
        <v>14</v>
      </c>
      <c r="E6280" s="68">
        <v>27</v>
      </c>
      <c r="F6280" s="68">
        <v>372</v>
      </c>
      <c r="G6280" s="68">
        <v>399</v>
      </c>
    </row>
    <row r="6281" spans="1:7" x14ac:dyDescent="0.3">
      <c r="A6281" t="s">
        <v>1345</v>
      </c>
      <c r="B6281" t="s">
        <v>27</v>
      </c>
      <c r="C6281" t="s">
        <v>29</v>
      </c>
      <c r="D6281" t="s">
        <v>15</v>
      </c>
      <c r="E6281" s="68">
        <v>27</v>
      </c>
      <c r="F6281" s="68">
        <v>300</v>
      </c>
      <c r="G6281" s="68">
        <v>327</v>
      </c>
    </row>
    <row r="6282" spans="1:7" x14ac:dyDescent="0.3">
      <c r="A6282" t="s">
        <v>1345</v>
      </c>
      <c r="B6282" t="s">
        <v>27</v>
      </c>
      <c r="C6282" t="s">
        <v>29</v>
      </c>
      <c r="D6282" t="s">
        <v>16</v>
      </c>
      <c r="E6282" s="68">
        <v>13</v>
      </c>
      <c r="F6282" s="68">
        <v>212</v>
      </c>
      <c r="G6282" s="68">
        <v>225</v>
      </c>
    </row>
    <row r="6283" spans="1:7" x14ac:dyDescent="0.3">
      <c r="A6283" t="s">
        <v>1345</v>
      </c>
      <c r="B6283" t="s">
        <v>27</v>
      </c>
      <c r="C6283" t="s">
        <v>29</v>
      </c>
      <c r="D6283" t="s">
        <v>17</v>
      </c>
      <c r="E6283" s="68">
        <v>12</v>
      </c>
      <c r="F6283" s="68">
        <v>133</v>
      </c>
      <c r="G6283" s="68">
        <v>145</v>
      </c>
    </row>
    <row r="6284" spans="1:7" x14ac:dyDescent="0.3">
      <c r="A6284" t="s">
        <v>1345</v>
      </c>
      <c r="B6284" t="s">
        <v>27</v>
      </c>
      <c r="C6284" t="s">
        <v>29</v>
      </c>
      <c r="D6284" t="s">
        <v>18</v>
      </c>
      <c r="E6284" s="68">
        <v>2</v>
      </c>
      <c r="F6284" s="68">
        <v>107</v>
      </c>
      <c r="G6284" s="68">
        <v>109</v>
      </c>
    </row>
    <row r="6285" spans="1:7" x14ac:dyDescent="0.3">
      <c r="A6285" t="s">
        <v>1345</v>
      </c>
      <c r="B6285" t="s">
        <v>27</v>
      </c>
      <c r="C6285" t="s">
        <v>29</v>
      </c>
      <c r="D6285" t="s">
        <v>19</v>
      </c>
      <c r="E6285" s="68">
        <v>1</v>
      </c>
      <c r="F6285" s="68">
        <v>69</v>
      </c>
      <c r="G6285" s="68">
        <v>70</v>
      </c>
    </row>
    <row r="6286" spans="1:7" x14ac:dyDescent="0.3">
      <c r="A6286" t="s">
        <v>1345</v>
      </c>
      <c r="B6286" t="s">
        <v>27</v>
      </c>
      <c r="C6286" t="s">
        <v>29</v>
      </c>
      <c r="D6286" t="s">
        <v>20</v>
      </c>
      <c r="E6286" s="68">
        <v>5</v>
      </c>
      <c r="F6286" s="68">
        <v>36</v>
      </c>
      <c r="G6286" s="68">
        <v>41</v>
      </c>
    </row>
    <row r="6287" spans="1:7" x14ac:dyDescent="0.3">
      <c r="A6287" t="s">
        <v>1345</v>
      </c>
      <c r="B6287" t="s">
        <v>27</v>
      </c>
      <c r="C6287" t="s">
        <v>29</v>
      </c>
      <c r="D6287" t="s">
        <v>21</v>
      </c>
      <c r="E6287" s="68"/>
      <c r="F6287" s="68">
        <v>25</v>
      </c>
      <c r="G6287" s="68">
        <v>25</v>
      </c>
    </row>
    <row r="6288" spans="1:7" x14ac:dyDescent="0.3">
      <c r="A6288" t="s">
        <v>1345</v>
      </c>
      <c r="B6288" t="s">
        <v>27</v>
      </c>
      <c r="C6288" t="s">
        <v>29</v>
      </c>
      <c r="D6288" t="s">
        <v>22</v>
      </c>
      <c r="E6288" s="68"/>
      <c r="F6288" s="68">
        <v>10</v>
      </c>
      <c r="G6288" s="68">
        <v>10</v>
      </c>
    </row>
    <row r="6289" spans="1:7" x14ac:dyDescent="0.3">
      <c r="A6289" t="s">
        <v>1345</v>
      </c>
      <c r="B6289" t="s">
        <v>27</v>
      </c>
      <c r="C6289" t="s">
        <v>29</v>
      </c>
      <c r="D6289" t="s">
        <v>23</v>
      </c>
      <c r="E6289" s="68">
        <v>1</v>
      </c>
      <c r="F6289" s="68">
        <v>3</v>
      </c>
      <c r="G6289" s="68">
        <v>4</v>
      </c>
    </row>
    <row r="6290" spans="1:7" x14ac:dyDescent="0.3">
      <c r="A6290" t="s">
        <v>1345</v>
      </c>
      <c r="B6290" t="s">
        <v>36</v>
      </c>
      <c r="C6290" t="s">
        <v>6</v>
      </c>
      <c r="D6290" t="s">
        <v>7</v>
      </c>
      <c r="E6290" s="68">
        <v>115</v>
      </c>
      <c r="F6290" s="68">
        <v>95</v>
      </c>
      <c r="G6290" s="68">
        <v>210</v>
      </c>
    </row>
    <row r="6291" spans="1:7" x14ac:dyDescent="0.3">
      <c r="A6291" t="s">
        <v>1345</v>
      </c>
      <c r="B6291" t="s">
        <v>36</v>
      </c>
      <c r="C6291" t="s">
        <v>6</v>
      </c>
      <c r="D6291" t="s">
        <v>8</v>
      </c>
      <c r="E6291" s="68">
        <v>162</v>
      </c>
      <c r="F6291" s="68">
        <v>163</v>
      </c>
      <c r="G6291" s="68">
        <v>325</v>
      </c>
    </row>
    <row r="6292" spans="1:7" x14ac:dyDescent="0.3">
      <c r="A6292" t="s">
        <v>1345</v>
      </c>
      <c r="B6292" t="s">
        <v>36</v>
      </c>
      <c r="C6292" t="s">
        <v>6</v>
      </c>
      <c r="D6292" t="s">
        <v>9</v>
      </c>
      <c r="E6292" s="68">
        <v>177</v>
      </c>
      <c r="F6292" s="68">
        <v>199</v>
      </c>
      <c r="G6292" s="68">
        <v>376</v>
      </c>
    </row>
    <row r="6293" spans="1:7" x14ac:dyDescent="0.3">
      <c r="A6293" t="s">
        <v>1345</v>
      </c>
      <c r="B6293" t="s">
        <v>36</v>
      </c>
      <c r="C6293" t="s">
        <v>6</v>
      </c>
      <c r="D6293" t="s">
        <v>10</v>
      </c>
      <c r="E6293" s="68">
        <v>181</v>
      </c>
      <c r="F6293" s="68">
        <v>178</v>
      </c>
      <c r="G6293" s="68">
        <v>359</v>
      </c>
    </row>
    <row r="6294" spans="1:7" x14ac:dyDescent="0.3">
      <c r="A6294" t="s">
        <v>1345</v>
      </c>
      <c r="B6294" t="s">
        <v>36</v>
      </c>
      <c r="C6294" t="s">
        <v>6</v>
      </c>
      <c r="D6294" t="s">
        <v>11</v>
      </c>
      <c r="E6294" s="68">
        <v>169</v>
      </c>
      <c r="F6294" s="68">
        <v>171</v>
      </c>
      <c r="G6294" s="68">
        <v>340</v>
      </c>
    </row>
    <row r="6295" spans="1:7" x14ac:dyDescent="0.3">
      <c r="A6295" t="s">
        <v>1345</v>
      </c>
      <c r="B6295" t="s">
        <v>36</v>
      </c>
      <c r="C6295" t="s">
        <v>6</v>
      </c>
      <c r="D6295" t="s">
        <v>12</v>
      </c>
      <c r="E6295" s="68">
        <v>153</v>
      </c>
      <c r="F6295" s="68">
        <v>149</v>
      </c>
      <c r="G6295" s="68">
        <v>302</v>
      </c>
    </row>
    <row r="6296" spans="1:7" x14ac:dyDescent="0.3">
      <c r="A6296" t="s">
        <v>1345</v>
      </c>
      <c r="B6296" t="s">
        <v>36</v>
      </c>
      <c r="C6296" t="s">
        <v>6</v>
      </c>
      <c r="D6296" t="s">
        <v>13</v>
      </c>
      <c r="E6296" s="68">
        <v>169</v>
      </c>
      <c r="F6296" s="68">
        <v>172</v>
      </c>
      <c r="G6296" s="68">
        <v>341</v>
      </c>
    </row>
    <row r="6297" spans="1:7" x14ac:dyDescent="0.3">
      <c r="A6297" t="s">
        <v>1345</v>
      </c>
      <c r="B6297" t="s">
        <v>36</v>
      </c>
      <c r="C6297" t="s">
        <v>6</v>
      </c>
      <c r="D6297" t="s">
        <v>14</v>
      </c>
      <c r="E6297" s="68">
        <v>184</v>
      </c>
      <c r="F6297" s="68">
        <v>173</v>
      </c>
      <c r="G6297" s="68">
        <v>357</v>
      </c>
    </row>
    <row r="6298" spans="1:7" x14ac:dyDescent="0.3">
      <c r="A6298" t="s">
        <v>1345</v>
      </c>
      <c r="B6298" t="s">
        <v>36</v>
      </c>
      <c r="C6298" t="s">
        <v>6</v>
      </c>
      <c r="D6298" t="s">
        <v>15</v>
      </c>
      <c r="E6298" s="68">
        <v>114</v>
      </c>
      <c r="F6298" s="68">
        <v>184</v>
      </c>
      <c r="G6298" s="68">
        <v>298</v>
      </c>
    </row>
    <row r="6299" spans="1:7" x14ac:dyDescent="0.3">
      <c r="A6299" t="s">
        <v>1345</v>
      </c>
      <c r="B6299" t="s">
        <v>36</v>
      </c>
      <c r="C6299" t="s">
        <v>6</v>
      </c>
      <c r="D6299" t="s">
        <v>16</v>
      </c>
      <c r="E6299" s="68">
        <v>102</v>
      </c>
      <c r="F6299" s="68">
        <v>102</v>
      </c>
      <c r="G6299" s="68">
        <v>204</v>
      </c>
    </row>
    <row r="6300" spans="1:7" x14ac:dyDescent="0.3">
      <c r="A6300" t="s">
        <v>1345</v>
      </c>
      <c r="B6300" t="s">
        <v>36</v>
      </c>
      <c r="C6300" t="s">
        <v>6</v>
      </c>
      <c r="D6300" t="s">
        <v>17</v>
      </c>
      <c r="E6300" s="68">
        <v>65</v>
      </c>
      <c r="F6300" s="68">
        <v>79</v>
      </c>
      <c r="G6300" s="68">
        <v>144</v>
      </c>
    </row>
    <row r="6301" spans="1:7" x14ac:dyDescent="0.3">
      <c r="A6301" t="s">
        <v>1345</v>
      </c>
      <c r="B6301" t="s">
        <v>36</v>
      </c>
      <c r="C6301" t="s">
        <v>6</v>
      </c>
      <c r="D6301" t="s">
        <v>18</v>
      </c>
      <c r="E6301" s="68">
        <v>52</v>
      </c>
      <c r="F6301" s="68">
        <v>71</v>
      </c>
      <c r="G6301" s="68">
        <v>123</v>
      </c>
    </row>
    <row r="6302" spans="1:7" x14ac:dyDescent="0.3">
      <c r="A6302" t="s">
        <v>1345</v>
      </c>
      <c r="B6302" t="s">
        <v>36</v>
      </c>
      <c r="C6302" t="s">
        <v>6</v>
      </c>
      <c r="D6302" t="s">
        <v>19</v>
      </c>
      <c r="E6302" s="68">
        <v>54</v>
      </c>
      <c r="F6302" s="68">
        <v>51</v>
      </c>
      <c r="G6302" s="68">
        <v>105</v>
      </c>
    </row>
    <row r="6303" spans="1:7" x14ac:dyDescent="0.3">
      <c r="A6303" t="s">
        <v>1345</v>
      </c>
      <c r="B6303" t="s">
        <v>36</v>
      </c>
      <c r="C6303" t="s">
        <v>6</v>
      </c>
      <c r="D6303" t="s">
        <v>20</v>
      </c>
      <c r="E6303" s="68">
        <v>40</v>
      </c>
      <c r="F6303" s="68">
        <v>35</v>
      </c>
      <c r="G6303" s="68">
        <v>75</v>
      </c>
    </row>
    <row r="6304" spans="1:7" x14ac:dyDescent="0.3">
      <c r="A6304" t="s">
        <v>1345</v>
      </c>
      <c r="B6304" t="s">
        <v>36</v>
      </c>
      <c r="C6304" t="s">
        <v>6</v>
      </c>
      <c r="D6304" t="s">
        <v>21</v>
      </c>
      <c r="E6304" s="68">
        <v>24</v>
      </c>
      <c r="F6304" s="68">
        <v>31</v>
      </c>
      <c r="G6304" s="68">
        <v>55</v>
      </c>
    </row>
    <row r="6305" spans="1:7" x14ac:dyDescent="0.3">
      <c r="A6305" t="s">
        <v>1345</v>
      </c>
      <c r="B6305" t="s">
        <v>36</v>
      </c>
      <c r="C6305" t="s">
        <v>6</v>
      </c>
      <c r="D6305" t="s">
        <v>22</v>
      </c>
      <c r="E6305" s="68">
        <v>14</v>
      </c>
      <c r="F6305" s="68">
        <v>19</v>
      </c>
      <c r="G6305" s="68">
        <v>33</v>
      </c>
    </row>
    <row r="6306" spans="1:7" x14ac:dyDescent="0.3">
      <c r="A6306" t="s">
        <v>1345</v>
      </c>
      <c r="B6306" t="s">
        <v>36</v>
      </c>
      <c r="C6306" t="s">
        <v>6</v>
      </c>
      <c r="D6306" t="s">
        <v>23</v>
      </c>
      <c r="E6306" s="68">
        <v>21</v>
      </c>
      <c r="F6306" s="68">
        <v>17</v>
      </c>
      <c r="G6306" s="68">
        <v>38</v>
      </c>
    </row>
    <row r="6307" spans="1:7" x14ac:dyDescent="0.3">
      <c r="A6307" t="s">
        <v>1345</v>
      </c>
      <c r="B6307" t="s">
        <v>36</v>
      </c>
      <c r="C6307" t="s">
        <v>24</v>
      </c>
      <c r="D6307" t="s">
        <v>7</v>
      </c>
      <c r="E6307" s="68">
        <v>166</v>
      </c>
      <c r="F6307" s="68">
        <v>164</v>
      </c>
      <c r="G6307" s="68">
        <v>330</v>
      </c>
    </row>
    <row r="6308" spans="1:7" x14ac:dyDescent="0.3">
      <c r="A6308" t="s">
        <v>1345</v>
      </c>
      <c r="B6308" t="s">
        <v>36</v>
      </c>
      <c r="C6308" t="s">
        <v>24</v>
      </c>
      <c r="D6308" t="s">
        <v>8</v>
      </c>
      <c r="E6308" s="68">
        <v>211</v>
      </c>
      <c r="F6308" s="68">
        <v>253</v>
      </c>
      <c r="G6308" s="68">
        <v>464</v>
      </c>
    </row>
    <row r="6309" spans="1:7" x14ac:dyDescent="0.3">
      <c r="A6309" t="s">
        <v>1345</v>
      </c>
      <c r="B6309" t="s">
        <v>36</v>
      </c>
      <c r="C6309" t="s">
        <v>24</v>
      </c>
      <c r="D6309" t="s">
        <v>9</v>
      </c>
      <c r="E6309" s="68">
        <v>212</v>
      </c>
      <c r="F6309" s="68">
        <v>225</v>
      </c>
      <c r="G6309" s="68">
        <v>437</v>
      </c>
    </row>
    <row r="6310" spans="1:7" x14ac:dyDescent="0.3">
      <c r="A6310" t="s">
        <v>1345</v>
      </c>
      <c r="B6310" t="s">
        <v>36</v>
      </c>
      <c r="C6310" t="s">
        <v>24</v>
      </c>
      <c r="D6310" t="s">
        <v>10</v>
      </c>
      <c r="E6310" s="68">
        <v>230</v>
      </c>
      <c r="F6310" s="68">
        <v>224</v>
      </c>
      <c r="G6310" s="68">
        <v>454</v>
      </c>
    </row>
    <row r="6311" spans="1:7" x14ac:dyDescent="0.3">
      <c r="A6311" t="s">
        <v>1345</v>
      </c>
      <c r="B6311" t="s">
        <v>36</v>
      </c>
      <c r="C6311" t="s">
        <v>24</v>
      </c>
      <c r="D6311" t="s">
        <v>11</v>
      </c>
      <c r="E6311" s="68">
        <v>203</v>
      </c>
      <c r="F6311" s="68">
        <v>162</v>
      </c>
      <c r="G6311" s="68">
        <v>365</v>
      </c>
    </row>
    <row r="6312" spans="1:7" x14ac:dyDescent="0.3">
      <c r="A6312" t="s">
        <v>1345</v>
      </c>
      <c r="B6312" t="s">
        <v>36</v>
      </c>
      <c r="C6312" t="s">
        <v>24</v>
      </c>
      <c r="D6312" t="s">
        <v>12</v>
      </c>
      <c r="E6312" s="68">
        <v>196</v>
      </c>
      <c r="F6312" s="68">
        <v>125</v>
      </c>
      <c r="G6312" s="68">
        <v>321</v>
      </c>
    </row>
    <row r="6313" spans="1:7" x14ac:dyDescent="0.3">
      <c r="A6313" t="s">
        <v>1345</v>
      </c>
      <c r="B6313" t="s">
        <v>36</v>
      </c>
      <c r="C6313" t="s">
        <v>24</v>
      </c>
      <c r="D6313" t="s">
        <v>13</v>
      </c>
      <c r="E6313" s="68">
        <v>224</v>
      </c>
      <c r="F6313" s="68">
        <v>126</v>
      </c>
      <c r="G6313" s="68">
        <v>350</v>
      </c>
    </row>
    <row r="6314" spans="1:7" x14ac:dyDescent="0.3">
      <c r="A6314" t="s">
        <v>1345</v>
      </c>
      <c r="B6314" t="s">
        <v>36</v>
      </c>
      <c r="C6314" t="s">
        <v>24</v>
      </c>
      <c r="D6314" t="s">
        <v>14</v>
      </c>
      <c r="E6314" s="68">
        <v>193</v>
      </c>
      <c r="F6314" s="68">
        <v>129</v>
      </c>
      <c r="G6314" s="68">
        <v>322</v>
      </c>
    </row>
    <row r="6315" spans="1:7" x14ac:dyDescent="0.3">
      <c r="A6315" t="s">
        <v>1345</v>
      </c>
      <c r="B6315" t="s">
        <v>36</v>
      </c>
      <c r="C6315" t="s">
        <v>24</v>
      </c>
      <c r="D6315" t="s">
        <v>15</v>
      </c>
      <c r="E6315" s="68">
        <v>162</v>
      </c>
      <c r="F6315" s="68">
        <v>100</v>
      </c>
      <c r="G6315" s="68">
        <v>262</v>
      </c>
    </row>
    <row r="6316" spans="1:7" x14ac:dyDescent="0.3">
      <c r="A6316" t="s">
        <v>1345</v>
      </c>
      <c r="B6316" t="s">
        <v>36</v>
      </c>
      <c r="C6316" t="s">
        <v>24</v>
      </c>
      <c r="D6316" t="s">
        <v>16</v>
      </c>
      <c r="E6316" s="68">
        <v>130</v>
      </c>
      <c r="F6316" s="68">
        <v>100</v>
      </c>
      <c r="G6316" s="68">
        <v>230</v>
      </c>
    </row>
    <row r="6317" spans="1:7" x14ac:dyDescent="0.3">
      <c r="A6317" t="s">
        <v>1345</v>
      </c>
      <c r="B6317" t="s">
        <v>36</v>
      </c>
      <c r="C6317" t="s">
        <v>24</v>
      </c>
      <c r="D6317" t="s">
        <v>17</v>
      </c>
      <c r="E6317" s="68">
        <v>115</v>
      </c>
      <c r="F6317" s="68">
        <v>76</v>
      </c>
      <c r="G6317" s="68">
        <v>191</v>
      </c>
    </row>
    <row r="6318" spans="1:7" x14ac:dyDescent="0.3">
      <c r="A6318" t="s">
        <v>1345</v>
      </c>
      <c r="B6318" t="s">
        <v>36</v>
      </c>
      <c r="C6318" t="s">
        <v>24</v>
      </c>
      <c r="D6318" t="s">
        <v>18</v>
      </c>
      <c r="E6318" s="68">
        <v>104</v>
      </c>
      <c r="F6318" s="68">
        <v>75</v>
      </c>
      <c r="G6318" s="68">
        <v>179</v>
      </c>
    </row>
    <row r="6319" spans="1:7" x14ac:dyDescent="0.3">
      <c r="A6319" t="s">
        <v>1345</v>
      </c>
      <c r="B6319" t="s">
        <v>36</v>
      </c>
      <c r="C6319" t="s">
        <v>24</v>
      </c>
      <c r="D6319" t="s">
        <v>19</v>
      </c>
      <c r="E6319" s="68">
        <v>75</v>
      </c>
      <c r="F6319" s="68">
        <v>72</v>
      </c>
      <c r="G6319" s="68">
        <v>147</v>
      </c>
    </row>
    <row r="6320" spans="1:7" x14ac:dyDescent="0.3">
      <c r="A6320" t="s">
        <v>1345</v>
      </c>
      <c r="B6320" t="s">
        <v>36</v>
      </c>
      <c r="C6320" t="s">
        <v>24</v>
      </c>
      <c r="D6320" t="s">
        <v>20</v>
      </c>
      <c r="E6320" s="68">
        <v>53</v>
      </c>
      <c r="F6320" s="68">
        <v>48</v>
      </c>
      <c r="G6320" s="68">
        <v>101</v>
      </c>
    </row>
    <row r="6321" spans="1:7" x14ac:dyDescent="0.3">
      <c r="A6321" t="s">
        <v>1345</v>
      </c>
      <c r="B6321" t="s">
        <v>36</v>
      </c>
      <c r="C6321" t="s">
        <v>24</v>
      </c>
      <c r="D6321" t="s">
        <v>21</v>
      </c>
      <c r="E6321" s="68">
        <v>41</v>
      </c>
      <c r="F6321" s="68">
        <v>32</v>
      </c>
      <c r="G6321" s="68">
        <v>73</v>
      </c>
    </row>
    <row r="6322" spans="1:7" x14ac:dyDescent="0.3">
      <c r="A6322" t="s">
        <v>1345</v>
      </c>
      <c r="B6322" t="s">
        <v>36</v>
      </c>
      <c r="C6322" t="s">
        <v>24</v>
      </c>
      <c r="D6322" t="s">
        <v>22</v>
      </c>
      <c r="E6322" s="68">
        <v>17</v>
      </c>
      <c r="F6322" s="68">
        <v>18</v>
      </c>
      <c r="G6322" s="68">
        <v>35</v>
      </c>
    </row>
    <row r="6323" spans="1:7" x14ac:dyDescent="0.3">
      <c r="A6323" t="s">
        <v>1345</v>
      </c>
      <c r="B6323" t="s">
        <v>36</v>
      </c>
      <c r="C6323" t="s">
        <v>24</v>
      </c>
      <c r="D6323" t="s">
        <v>23</v>
      </c>
      <c r="E6323" s="68">
        <v>15</v>
      </c>
      <c r="F6323" s="68">
        <v>19</v>
      </c>
      <c r="G6323" s="68">
        <v>34</v>
      </c>
    </row>
    <row r="6324" spans="1:7" x14ac:dyDescent="0.3">
      <c r="A6324" t="s">
        <v>1345</v>
      </c>
      <c r="B6324" t="s">
        <v>538</v>
      </c>
      <c r="C6324" t="s">
        <v>24</v>
      </c>
      <c r="D6324" t="s">
        <v>10</v>
      </c>
      <c r="E6324" s="68"/>
      <c r="F6324" s="68">
        <v>1</v>
      </c>
      <c r="G6324" s="68">
        <v>1</v>
      </c>
    </row>
    <row r="6325" spans="1:7" x14ac:dyDescent="0.3">
      <c r="A6325" t="s">
        <v>1345</v>
      </c>
      <c r="B6325" t="s">
        <v>538</v>
      </c>
      <c r="C6325" t="s">
        <v>24</v>
      </c>
      <c r="D6325" t="s">
        <v>14</v>
      </c>
      <c r="E6325" s="68">
        <v>1</v>
      </c>
      <c r="F6325" s="68"/>
      <c r="G6325" s="68">
        <v>1</v>
      </c>
    </row>
    <row r="6326" spans="1:7" x14ac:dyDescent="0.3">
      <c r="A6326" t="s">
        <v>1384</v>
      </c>
      <c r="B6326" t="s">
        <v>31</v>
      </c>
      <c r="C6326" t="s">
        <v>24</v>
      </c>
      <c r="D6326" t="s">
        <v>19</v>
      </c>
      <c r="E6326" s="68"/>
      <c r="F6326" s="68">
        <v>1</v>
      </c>
      <c r="G6326" s="68">
        <v>1</v>
      </c>
    </row>
    <row r="6327" spans="1:7" x14ac:dyDescent="0.3">
      <c r="A6327" t="s">
        <v>1384</v>
      </c>
      <c r="B6327" t="s">
        <v>40</v>
      </c>
      <c r="C6327" t="s">
        <v>6</v>
      </c>
      <c r="D6327" t="s">
        <v>7</v>
      </c>
      <c r="E6327" s="68">
        <v>87</v>
      </c>
      <c r="F6327" s="68">
        <v>103</v>
      </c>
      <c r="G6327" s="68">
        <v>190</v>
      </c>
    </row>
    <row r="6328" spans="1:7" x14ac:dyDescent="0.3">
      <c r="A6328" t="s">
        <v>1384</v>
      </c>
      <c r="B6328" t="s">
        <v>40</v>
      </c>
      <c r="C6328" t="s">
        <v>6</v>
      </c>
      <c r="D6328" t="s">
        <v>8</v>
      </c>
      <c r="E6328" s="68">
        <v>65</v>
      </c>
      <c r="F6328" s="68">
        <v>68</v>
      </c>
      <c r="G6328" s="68">
        <v>133</v>
      </c>
    </row>
    <row r="6329" spans="1:7" x14ac:dyDescent="0.3">
      <c r="A6329" t="s">
        <v>1384</v>
      </c>
      <c r="B6329" t="s">
        <v>40</v>
      </c>
      <c r="C6329" t="s">
        <v>6</v>
      </c>
      <c r="D6329" t="s">
        <v>9</v>
      </c>
      <c r="E6329" s="68">
        <v>49</v>
      </c>
      <c r="F6329" s="68">
        <v>56</v>
      </c>
      <c r="G6329" s="68">
        <v>105</v>
      </c>
    </row>
    <row r="6330" spans="1:7" x14ac:dyDescent="0.3">
      <c r="A6330" t="s">
        <v>1384</v>
      </c>
      <c r="B6330" t="s">
        <v>40</v>
      </c>
      <c r="C6330" t="s">
        <v>6</v>
      </c>
      <c r="D6330" t="s">
        <v>10</v>
      </c>
      <c r="E6330" s="68">
        <v>144</v>
      </c>
      <c r="F6330" s="68">
        <v>176</v>
      </c>
      <c r="G6330" s="68">
        <v>320</v>
      </c>
    </row>
    <row r="6331" spans="1:7" x14ac:dyDescent="0.3">
      <c r="A6331" t="s">
        <v>1384</v>
      </c>
      <c r="B6331" t="s">
        <v>40</v>
      </c>
      <c r="C6331" t="s">
        <v>6</v>
      </c>
      <c r="D6331" t="s">
        <v>11</v>
      </c>
      <c r="E6331" s="68">
        <v>711</v>
      </c>
      <c r="F6331" s="68">
        <v>906</v>
      </c>
      <c r="G6331" s="68">
        <v>1617</v>
      </c>
    </row>
    <row r="6332" spans="1:7" x14ac:dyDescent="0.3">
      <c r="A6332" t="s">
        <v>1384</v>
      </c>
      <c r="B6332" t="s">
        <v>40</v>
      </c>
      <c r="C6332" t="s">
        <v>6</v>
      </c>
      <c r="D6332" t="s">
        <v>12</v>
      </c>
      <c r="E6332" s="68">
        <v>1073</v>
      </c>
      <c r="F6332" s="68">
        <v>1160</v>
      </c>
      <c r="G6332" s="68">
        <v>2233</v>
      </c>
    </row>
    <row r="6333" spans="1:7" x14ac:dyDescent="0.3">
      <c r="A6333" t="s">
        <v>1384</v>
      </c>
      <c r="B6333" t="s">
        <v>40</v>
      </c>
      <c r="C6333" t="s">
        <v>6</v>
      </c>
      <c r="D6333" t="s">
        <v>13</v>
      </c>
      <c r="E6333" s="68">
        <v>924</v>
      </c>
      <c r="F6333" s="68">
        <v>1052</v>
      </c>
      <c r="G6333" s="68">
        <v>1976</v>
      </c>
    </row>
    <row r="6334" spans="1:7" x14ac:dyDescent="0.3">
      <c r="A6334" t="s">
        <v>1384</v>
      </c>
      <c r="B6334" t="s">
        <v>40</v>
      </c>
      <c r="C6334" t="s">
        <v>6</v>
      </c>
      <c r="D6334" t="s">
        <v>14</v>
      </c>
      <c r="E6334" s="68">
        <v>627</v>
      </c>
      <c r="F6334" s="68">
        <v>696</v>
      </c>
      <c r="G6334" s="68">
        <v>1323</v>
      </c>
    </row>
    <row r="6335" spans="1:7" x14ac:dyDescent="0.3">
      <c r="A6335" t="s">
        <v>1384</v>
      </c>
      <c r="B6335" t="s">
        <v>40</v>
      </c>
      <c r="C6335" t="s">
        <v>6</v>
      </c>
      <c r="D6335" t="s">
        <v>15</v>
      </c>
      <c r="E6335" s="68">
        <v>458</v>
      </c>
      <c r="F6335" s="68">
        <v>513</v>
      </c>
      <c r="G6335" s="68">
        <v>971</v>
      </c>
    </row>
    <row r="6336" spans="1:7" x14ac:dyDescent="0.3">
      <c r="A6336" t="s">
        <v>1384</v>
      </c>
      <c r="B6336" t="s">
        <v>40</v>
      </c>
      <c r="C6336" t="s">
        <v>6</v>
      </c>
      <c r="D6336" t="s">
        <v>16</v>
      </c>
      <c r="E6336" s="68">
        <v>245</v>
      </c>
      <c r="F6336" s="68">
        <v>381</v>
      </c>
      <c r="G6336" s="68">
        <v>626</v>
      </c>
    </row>
    <row r="6337" spans="1:7" x14ac:dyDescent="0.3">
      <c r="A6337" t="s">
        <v>1384</v>
      </c>
      <c r="B6337" t="s">
        <v>40</v>
      </c>
      <c r="C6337" t="s">
        <v>6</v>
      </c>
      <c r="D6337" t="s">
        <v>17</v>
      </c>
      <c r="E6337" s="68">
        <v>181</v>
      </c>
      <c r="F6337" s="68">
        <v>271</v>
      </c>
      <c r="G6337" s="68">
        <v>452</v>
      </c>
    </row>
    <row r="6338" spans="1:7" x14ac:dyDescent="0.3">
      <c r="A6338" t="s">
        <v>1384</v>
      </c>
      <c r="B6338" t="s">
        <v>40</v>
      </c>
      <c r="C6338" t="s">
        <v>6</v>
      </c>
      <c r="D6338" t="s">
        <v>18</v>
      </c>
      <c r="E6338" s="68">
        <v>107</v>
      </c>
      <c r="F6338" s="68">
        <v>191</v>
      </c>
      <c r="G6338" s="68">
        <v>298</v>
      </c>
    </row>
    <row r="6339" spans="1:7" x14ac:dyDescent="0.3">
      <c r="A6339" t="s">
        <v>1384</v>
      </c>
      <c r="B6339" t="s">
        <v>40</v>
      </c>
      <c r="C6339" t="s">
        <v>6</v>
      </c>
      <c r="D6339" t="s">
        <v>19</v>
      </c>
      <c r="E6339" s="68">
        <v>47</v>
      </c>
      <c r="F6339" s="68">
        <v>126</v>
      </c>
      <c r="G6339" s="68">
        <v>173</v>
      </c>
    </row>
    <row r="6340" spans="1:7" x14ac:dyDescent="0.3">
      <c r="A6340" t="s">
        <v>1384</v>
      </c>
      <c r="B6340" t="s">
        <v>40</v>
      </c>
      <c r="C6340" t="s">
        <v>6</v>
      </c>
      <c r="D6340" t="s">
        <v>20</v>
      </c>
      <c r="E6340" s="68">
        <v>25</v>
      </c>
      <c r="F6340" s="68">
        <v>63</v>
      </c>
      <c r="G6340" s="68">
        <v>88</v>
      </c>
    </row>
    <row r="6341" spans="1:7" x14ac:dyDescent="0.3">
      <c r="A6341" t="s">
        <v>1384</v>
      </c>
      <c r="B6341" t="s">
        <v>40</v>
      </c>
      <c r="C6341" t="s">
        <v>6</v>
      </c>
      <c r="D6341" t="s">
        <v>21</v>
      </c>
      <c r="E6341" s="68">
        <v>10</v>
      </c>
      <c r="F6341" s="68">
        <v>29</v>
      </c>
      <c r="G6341" s="68">
        <v>39</v>
      </c>
    </row>
    <row r="6342" spans="1:7" x14ac:dyDescent="0.3">
      <c r="A6342" t="s">
        <v>1384</v>
      </c>
      <c r="B6342" t="s">
        <v>40</v>
      </c>
      <c r="C6342" t="s">
        <v>6</v>
      </c>
      <c r="D6342" t="s">
        <v>22</v>
      </c>
      <c r="E6342" s="68">
        <v>7</v>
      </c>
      <c r="F6342" s="68">
        <v>6</v>
      </c>
      <c r="G6342" s="68">
        <v>13</v>
      </c>
    </row>
    <row r="6343" spans="1:7" x14ac:dyDescent="0.3">
      <c r="A6343" t="s">
        <v>1384</v>
      </c>
      <c r="B6343" t="s">
        <v>40</v>
      </c>
      <c r="C6343" t="s">
        <v>6</v>
      </c>
      <c r="D6343" t="s">
        <v>23</v>
      </c>
      <c r="E6343" s="68">
        <v>7</v>
      </c>
      <c r="F6343" s="68">
        <v>5</v>
      </c>
      <c r="G6343" s="68">
        <v>12</v>
      </c>
    </row>
    <row r="6344" spans="1:7" x14ac:dyDescent="0.3">
      <c r="A6344" t="s">
        <v>1384</v>
      </c>
      <c r="B6344" t="s">
        <v>40</v>
      </c>
      <c r="C6344" t="s">
        <v>24</v>
      </c>
      <c r="D6344" t="s">
        <v>7</v>
      </c>
      <c r="E6344" s="68">
        <v>4904</v>
      </c>
      <c r="F6344" s="68">
        <v>5118</v>
      </c>
      <c r="G6344" s="68">
        <v>10022</v>
      </c>
    </row>
    <row r="6345" spans="1:7" x14ac:dyDescent="0.3">
      <c r="A6345" t="s">
        <v>1384</v>
      </c>
      <c r="B6345" t="s">
        <v>40</v>
      </c>
      <c r="C6345" t="s">
        <v>24</v>
      </c>
      <c r="D6345" t="s">
        <v>8</v>
      </c>
      <c r="E6345" s="68">
        <v>6619</v>
      </c>
      <c r="F6345" s="68">
        <v>6849</v>
      </c>
      <c r="G6345" s="68">
        <v>13468</v>
      </c>
    </row>
    <row r="6346" spans="1:7" x14ac:dyDescent="0.3">
      <c r="A6346" t="s">
        <v>1384</v>
      </c>
      <c r="B6346" t="s">
        <v>40</v>
      </c>
      <c r="C6346" t="s">
        <v>24</v>
      </c>
      <c r="D6346" t="s">
        <v>9</v>
      </c>
      <c r="E6346" s="68">
        <v>7558</v>
      </c>
      <c r="F6346" s="68">
        <v>7969</v>
      </c>
      <c r="G6346" s="68">
        <v>15527</v>
      </c>
    </row>
    <row r="6347" spans="1:7" x14ac:dyDescent="0.3">
      <c r="A6347" t="s">
        <v>1384</v>
      </c>
      <c r="B6347" t="s">
        <v>40</v>
      </c>
      <c r="C6347" t="s">
        <v>24</v>
      </c>
      <c r="D6347" t="s">
        <v>10</v>
      </c>
      <c r="E6347" s="68">
        <v>8425</v>
      </c>
      <c r="F6347" s="68">
        <v>8600</v>
      </c>
      <c r="G6347" s="68">
        <v>17025</v>
      </c>
    </row>
    <row r="6348" spans="1:7" x14ac:dyDescent="0.3">
      <c r="A6348" t="s">
        <v>1384</v>
      </c>
      <c r="B6348" t="s">
        <v>40</v>
      </c>
      <c r="C6348" t="s">
        <v>24</v>
      </c>
      <c r="D6348" t="s">
        <v>11</v>
      </c>
      <c r="E6348" s="68">
        <v>8452</v>
      </c>
      <c r="F6348" s="68">
        <v>7374</v>
      </c>
      <c r="G6348" s="68">
        <v>15826</v>
      </c>
    </row>
    <row r="6349" spans="1:7" x14ac:dyDescent="0.3">
      <c r="A6349" t="s">
        <v>1384</v>
      </c>
      <c r="B6349" t="s">
        <v>40</v>
      </c>
      <c r="C6349" t="s">
        <v>24</v>
      </c>
      <c r="D6349" t="s">
        <v>12</v>
      </c>
      <c r="E6349" s="68">
        <v>7562</v>
      </c>
      <c r="F6349" s="68">
        <v>6792</v>
      </c>
      <c r="G6349" s="68">
        <v>14354</v>
      </c>
    </row>
    <row r="6350" spans="1:7" x14ac:dyDescent="0.3">
      <c r="A6350" t="s">
        <v>1384</v>
      </c>
      <c r="B6350" t="s">
        <v>40</v>
      </c>
      <c r="C6350" t="s">
        <v>24</v>
      </c>
      <c r="D6350" t="s">
        <v>13</v>
      </c>
      <c r="E6350" s="68">
        <v>6673</v>
      </c>
      <c r="F6350" s="68">
        <v>5931</v>
      </c>
      <c r="G6350" s="68">
        <v>12604</v>
      </c>
    </row>
    <row r="6351" spans="1:7" x14ac:dyDescent="0.3">
      <c r="A6351" t="s">
        <v>1384</v>
      </c>
      <c r="B6351" t="s">
        <v>40</v>
      </c>
      <c r="C6351" t="s">
        <v>24</v>
      </c>
      <c r="D6351" t="s">
        <v>14</v>
      </c>
      <c r="E6351" s="68">
        <v>5998</v>
      </c>
      <c r="F6351" s="68">
        <v>5363</v>
      </c>
      <c r="G6351" s="68">
        <v>11361</v>
      </c>
    </row>
    <row r="6352" spans="1:7" x14ac:dyDescent="0.3">
      <c r="A6352" t="s">
        <v>1384</v>
      </c>
      <c r="B6352" t="s">
        <v>40</v>
      </c>
      <c r="C6352" t="s">
        <v>24</v>
      </c>
      <c r="D6352" t="s">
        <v>15</v>
      </c>
      <c r="E6352" s="68">
        <v>6116</v>
      </c>
      <c r="F6352" s="68">
        <v>5297</v>
      </c>
      <c r="G6352" s="68">
        <v>11413</v>
      </c>
    </row>
    <row r="6353" spans="1:7" x14ac:dyDescent="0.3">
      <c r="A6353" t="s">
        <v>1384</v>
      </c>
      <c r="B6353" t="s">
        <v>40</v>
      </c>
      <c r="C6353" t="s">
        <v>24</v>
      </c>
      <c r="D6353" t="s">
        <v>16</v>
      </c>
      <c r="E6353" s="68">
        <v>5506</v>
      </c>
      <c r="F6353" s="68">
        <v>5016</v>
      </c>
      <c r="G6353" s="68">
        <v>10522</v>
      </c>
    </row>
    <row r="6354" spans="1:7" x14ac:dyDescent="0.3">
      <c r="A6354" t="s">
        <v>1384</v>
      </c>
      <c r="B6354" t="s">
        <v>40</v>
      </c>
      <c r="C6354" t="s">
        <v>24</v>
      </c>
      <c r="D6354" t="s">
        <v>17</v>
      </c>
      <c r="E6354" s="68">
        <v>4757</v>
      </c>
      <c r="F6354" s="68">
        <v>4646</v>
      </c>
      <c r="G6354" s="68">
        <v>9403</v>
      </c>
    </row>
    <row r="6355" spans="1:7" x14ac:dyDescent="0.3">
      <c r="A6355" t="s">
        <v>1384</v>
      </c>
      <c r="B6355" t="s">
        <v>40</v>
      </c>
      <c r="C6355" t="s">
        <v>24</v>
      </c>
      <c r="D6355" t="s">
        <v>18</v>
      </c>
      <c r="E6355" s="68">
        <v>4063</v>
      </c>
      <c r="F6355" s="68">
        <v>4075</v>
      </c>
      <c r="G6355" s="68">
        <v>8138</v>
      </c>
    </row>
    <row r="6356" spans="1:7" x14ac:dyDescent="0.3">
      <c r="A6356" t="s">
        <v>1384</v>
      </c>
      <c r="B6356" t="s">
        <v>40</v>
      </c>
      <c r="C6356" t="s">
        <v>24</v>
      </c>
      <c r="D6356" t="s">
        <v>19</v>
      </c>
      <c r="E6356" s="68">
        <v>3222</v>
      </c>
      <c r="F6356" s="68">
        <v>3500</v>
      </c>
      <c r="G6356" s="68">
        <v>6722</v>
      </c>
    </row>
    <row r="6357" spans="1:7" x14ac:dyDescent="0.3">
      <c r="A6357" t="s">
        <v>1384</v>
      </c>
      <c r="B6357" t="s">
        <v>40</v>
      </c>
      <c r="C6357" t="s">
        <v>24</v>
      </c>
      <c r="D6357" t="s">
        <v>20</v>
      </c>
      <c r="E6357" s="68">
        <v>2518</v>
      </c>
      <c r="F6357" s="68">
        <v>2735</v>
      </c>
      <c r="G6357" s="68">
        <v>5253</v>
      </c>
    </row>
    <row r="6358" spans="1:7" x14ac:dyDescent="0.3">
      <c r="A6358" t="s">
        <v>1384</v>
      </c>
      <c r="B6358" t="s">
        <v>40</v>
      </c>
      <c r="C6358" t="s">
        <v>24</v>
      </c>
      <c r="D6358" t="s">
        <v>21</v>
      </c>
      <c r="E6358" s="68">
        <v>1764</v>
      </c>
      <c r="F6358" s="68">
        <v>2073</v>
      </c>
      <c r="G6358" s="68">
        <v>3837</v>
      </c>
    </row>
    <row r="6359" spans="1:7" x14ac:dyDescent="0.3">
      <c r="A6359" t="s">
        <v>1384</v>
      </c>
      <c r="B6359" t="s">
        <v>40</v>
      </c>
      <c r="C6359" t="s">
        <v>24</v>
      </c>
      <c r="D6359" t="s">
        <v>22</v>
      </c>
      <c r="E6359" s="68">
        <v>1333</v>
      </c>
      <c r="F6359" s="68">
        <v>1543</v>
      </c>
      <c r="G6359" s="68">
        <v>2876</v>
      </c>
    </row>
    <row r="6360" spans="1:7" x14ac:dyDescent="0.3">
      <c r="A6360" t="s">
        <v>1384</v>
      </c>
      <c r="B6360" t="s">
        <v>40</v>
      </c>
      <c r="C6360" t="s">
        <v>24</v>
      </c>
      <c r="D6360" t="s">
        <v>23</v>
      </c>
      <c r="E6360" s="68">
        <v>2069</v>
      </c>
      <c r="F6360" s="68">
        <v>2205</v>
      </c>
      <c r="G6360" s="68">
        <v>4274</v>
      </c>
    </row>
    <row r="6361" spans="1:7" x14ac:dyDescent="0.3">
      <c r="A6361" t="s">
        <v>1384</v>
      </c>
      <c r="B6361" t="s">
        <v>32</v>
      </c>
      <c r="C6361" t="s">
        <v>6</v>
      </c>
      <c r="D6361" t="s">
        <v>10</v>
      </c>
      <c r="E6361" s="68">
        <v>1</v>
      </c>
      <c r="F6361" s="68">
        <v>3</v>
      </c>
      <c r="G6361" s="68">
        <v>4</v>
      </c>
    </row>
    <row r="6362" spans="1:7" x14ac:dyDescent="0.3">
      <c r="A6362" t="s">
        <v>1384</v>
      </c>
      <c r="B6362" t="s">
        <v>32</v>
      </c>
      <c r="C6362" t="s">
        <v>6</v>
      </c>
      <c r="D6362" t="s">
        <v>11</v>
      </c>
      <c r="E6362" s="68">
        <v>11</v>
      </c>
      <c r="F6362" s="68">
        <v>16</v>
      </c>
      <c r="G6362" s="68">
        <v>27</v>
      </c>
    </row>
    <row r="6363" spans="1:7" x14ac:dyDescent="0.3">
      <c r="A6363" t="s">
        <v>1384</v>
      </c>
      <c r="B6363" t="s">
        <v>32</v>
      </c>
      <c r="C6363" t="s">
        <v>6</v>
      </c>
      <c r="D6363" t="s">
        <v>12</v>
      </c>
      <c r="E6363" s="68">
        <v>15</v>
      </c>
      <c r="F6363" s="68">
        <v>9</v>
      </c>
      <c r="G6363" s="68">
        <v>24</v>
      </c>
    </row>
    <row r="6364" spans="1:7" x14ac:dyDescent="0.3">
      <c r="A6364" t="s">
        <v>1384</v>
      </c>
      <c r="B6364" t="s">
        <v>32</v>
      </c>
      <c r="C6364" t="s">
        <v>6</v>
      </c>
      <c r="D6364" t="s">
        <v>13</v>
      </c>
      <c r="E6364" s="68">
        <v>5</v>
      </c>
      <c r="F6364" s="68">
        <v>12</v>
      </c>
      <c r="G6364" s="68">
        <v>17</v>
      </c>
    </row>
    <row r="6365" spans="1:7" x14ac:dyDescent="0.3">
      <c r="A6365" t="s">
        <v>1384</v>
      </c>
      <c r="B6365" t="s">
        <v>32</v>
      </c>
      <c r="C6365" t="s">
        <v>6</v>
      </c>
      <c r="D6365" t="s">
        <v>14</v>
      </c>
      <c r="E6365" s="68">
        <v>4</v>
      </c>
      <c r="F6365" s="68">
        <v>3</v>
      </c>
      <c r="G6365" s="68">
        <v>7</v>
      </c>
    </row>
    <row r="6366" spans="1:7" x14ac:dyDescent="0.3">
      <c r="A6366" t="s">
        <v>1384</v>
      </c>
      <c r="B6366" t="s">
        <v>32</v>
      </c>
      <c r="C6366" t="s">
        <v>6</v>
      </c>
      <c r="D6366" t="s">
        <v>15</v>
      </c>
      <c r="E6366" s="68">
        <v>4</v>
      </c>
      <c r="F6366" s="68">
        <v>3</v>
      </c>
      <c r="G6366" s="68">
        <v>7</v>
      </c>
    </row>
    <row r="6367" spans="1:7" x14ac:dyDescent="0.3">
      <c r="A6367" t="s">
        <v>1384</v>
      </c>
      <c r="B6367" t="s">
        <v>32</v>
      </c>
      <c r="C6367" t="s">
        <v>6</v>
      </c>
      <c r="D6367" t="s">
        <v>16</v>
      </c>
      <c r="E6367" s="68">
        <v>2</v>
      </c>
      <c r="F6367" s="68">
        <v>4</v>
      </c>
      <c r="G6367" s="68">
        <v>6</v>
      </c>
    </row>
    <row r="6368" spans="1:7" x14ac:dyDescent="0.3">
      <c r="A6368" t="s">
        <v>1384</v>
      </c>
      <c r="B6368" t="s">
        <v>32</v>
      </c>
      <c r="C6368" t="s">
        <v>6</v>
      </c>
      <c r="D6368" t="s">
        <v>17</v>
      </c>
      <c r="E6368" s="68">
        <v>2</v>
      </c>
      <c r="F6368" s="68">
        <v>2</v>
      </c>
      <c r="G6368" s="68">
        <v>4</v>
      </c>
    </row>
    <row r="6369" spans="1:7" x14ac:dyDescent="0.3">
      <c r="A6369" t="s">
        <v>1384</v>
      </c>
      <c r="B6369" t="s">
        <v>32</v>
      </c>
      <c r="C6369" t="s">
        <v>6</v>
      </c>
      <c r="D6369" t="s">
        <v>18</v>
      </c>
      <c r="E6369" s="68">
        <v>1</v>
      </c>
      <c r="F6369" s="68">
        <v>1</v>
      </c>
      <c r="G6369" s="68">
        <v>2</v>
      </c>
    </row>
    <row r="6370" spans="1:7" x14ac:dyDescent="0.3">
      <c r="A6370" t="s">
        <v>1384</v>
      </c>
      <c r="B6370" t="s">
        <v>32</v>
      </c>
      <c r="C6370" t="s">
        <v>6</v>
      </c>
      <c r="D6370" t="s">
        <v>19</v>
      </c>
      <c r="E6370" s="68"/>
      <c r="F6370" s="68">
        <v>2</v>
      </c>
      <c r="G6370" s="68">
        <v>2</v>
      </c>
    </row>
    <row r="6371" spans="1:7" x14ac:dyDescent="0.3">
      <c r="A6371" t="s">
        <v>1384</v>
      </c>
      <c r="B6371" t="s">
        <v>32</v>
      </c>
      <c r="C6371" t="s">
        <v>6</v>
      </c>
      <c r="D6371" t="s">
        <v>20</v>
      </c>
      <c r="E6371" s="68">
        <v>1</v>
      </c>
      <c r="F6371" s="68">
        <v>2</v>
      </c>
      <c r="G6371" s="68">
        <v>3</v>
      </c>
    </row>
    <row r="6372" spans="1:7" x14ac:dyDescent="0.3">
      <c r="A6372" t="s">
        <v>1384</v>
      </c>
      <c r="B6372" t="s">
        <v>32</v>
      </c>
      <c r="C6372" t="s">
        <v>24</v>
      </c>
      <c r="D6372" t="s">
        <v>7</v>
      </c>
      <c r="E6372" s="68">
        <v>170</v>
      </c>
      <c r="F6372" s="68">
        <v>161</v>
      </c>
      <c r="G6372" s="68">
        <v>331</v>
      </c>
    </row>
    <row r="6373" spans="1:7" x14ac:dyDescent="0.3">
      <c r="A6373" t="s">
        <v>1384</v>
      </c>
      <c r="B6373" t="s">
        <v>32</v>
      </c>
      <c r="C6373" t="s">
        <v>24</v>
      </c>
      <c r="D6373" t="s">
        <v>8</v>
      </c>
      <c r="E6373" s="68">
        <v>176</v>
      </c>
      <c r="F6373" s="68">
        <v>220</v>
      </c>
      <c r="G6373" s="68">
        <v>396</v>
      </c>
    </row>
    <row r="6374" spans="1:7" x14ac:dyDescent="0.3">
      <c r="A6374" t="s">
        <v>1384</v>
      </c>
      <c r="B6374" t="s">
        <v>32</v>
      </c>
      <c r="C6374" t="s">
        <v>24</v>
      </c>
      <c r="D6374" t="s">
        <v>9</v>
      </c>
      <c r="E6374" s="68">
        <v>208</v>
      </c>
      <c r="F6374" s="68">
        <v>240</v>
      </c>
      <c r="G6374" s="68">
        <v>448</v>
      </c>
    </row>
    <row r="6375" spans="1:7" x14ac:dyDescent="0.3">
      <c r="A6375" t="s">
        <v>1384</v>
      </c>
      <c r="B6375" t="s">
        <v>32</v>
      </c>
      <c r="C6375" t="s">
        <v>24</v>
      </c>
      <c r="D6375" t="s">
        <v>10</v>
      </c>
      <c r="E6375" s="68">
        <v>229</v>
      </c>
      <c r="F6375" s="68">
        <v>218</v>
      </c>
      <c r="G6375" s="68">
        <v>447</v>
      </c>
    </row>
    <row r="6376" spans="1:7" x14ac:dyDescent="0.3">
      <c r="A6376" t="s">
        <v>1384</v>
      </c>
      <c r="B6376" t="s">
        <v>32</v>
      </c>
      <c r="C6376" t="s">
        <v>24</v>
      </c>
      <c r="D6376" t="s">
        <v>11</v>
      </c>
      <c r="E6376" s="68">
        <v>224</v>
      </c>
      <c r="F6376" s="68">
        <v>189</v>
      </c>
      <c r="G6376" s="68">
        <v>413</v>
      </c>
    </row>
    <row r="6377" spans="1:7" x14ac:dyDescent="0.3">
      <c r="A6377" t="s">
        <v>1384</v>
      </c>
      <c r="B6377" t="s">
        <v>32</v>
      </c>
      <c r="C6377" t="s">
        <v>24</v>
      </c>
      <c r="D6377" t="s">
        <v>12</v>
      </c>
      <c r="E6377" s="68">
        <v>216</v>
      </c>
      <c r="F6377" s="68">
        <v>170</v>
      </c>
      <c r="G6377" s="68">
        <v>386</v>
      </c>
    </row>
    <row r="6378" spans="1:7" x14ac:dyDescent="0.3">
      <c r="A6378" t="s">
        <v>1384</v>
      </c>
      <c r="B6378" t="s">
        <v>32</v>
      </c>
      <c r="C6378" t="s">
        <v>24</v>
      </c>
      <c r="D6378" t="s">
        <v>13</v>
      </c>
      <c r="E6378" s="68">
        <v>172</v>
      </c>
      <c r="F6378" s="68">
        <v>124</v>
      </c>
      <c r="G6378" s="68">
        <v>296</v>
      </c>
    </row>
    <row r="6379" spans="1:7" x14ac:dyDescent="0.3">
      <c r="A6379" t="s">
        <v>1384</v>
      </c>
      <c r="B6379" t="s">
        <v>32</v>
      </c>
      <c r="C6379" t="s">
        <v>24</v>
      </c>
      <c r="D6379" t="s">
        <v>14</v>
      </c>
      <c r="E6379" s="68">
        <v>167</v>
      </c>
      <c r="F6379" s="68">
        <v>141</v>
      </c>
      <c r="G6379" s="68">
        <v>308</v>
      </c>
    </row>
    <row r="6380" spans="1:7" x14ac:dyDescent="0.3">
      <c r="A6380" t="s">
        <v>1384</v>
      </c>
      <c r="B6380" t="s">
        <v>32</v>
      </c>
      <c r="C6380" t="s">
        <v>24</v>
      </c>
      <c r="D6380" t="s">
        <v>15</v>
      </c>
      <c r="E6380" s="68">
        <v>187</v>
      </c>
      <c r="F6380" s="68">
        <v>101</v>
      </c>
      <c r="G6380" s="68">
        <v>288</v>
      </c>
    </row>
    <row r="6381" spans="1:7" x14ac:dyDescent="0.3">
      <c r="A6381" t="s">
        <v>1384</v>
      </c>
      <c r="B6381" t="s">
        <v>32</v>
      </c>
      <c r="C6381" t="s">
        <v>24</v>
      </c>
      <c r="D6381" t="s">
        <v>16</v>
      </c>
      <c r="E6381" s="68">
        <v>158</v>
      </c>
      <c r="F6381" s="68">
        <v>114</v>
      </c>
      <c r="G6381" s="68">
        <v>272</v>
      </c>
    </row>
    <row r="6382" spans="1:7" x14ac:dyDescent="0.3">
      <c r="A6382" t="s">
        <v>1384</v>
      </c>
      <c r="B6382" t="s">
        <v>32</v>
      </c>
      <c r="C6382" t="s">
        <v>24</v>
      </c>
      <c r="D6382" t="s">
        <v>17</v>
      </c>
      <c r="E6382" s="68">
        <v>140</v>
      </c>
      <c r="F6382" s="68">
        <v>137</v>
      </c>
      <c r="G6382" s="68">
        <v>277</v>
      </c>
    </row>
    <row r="6383" spans="1:7" x14ac:dyDescent="0.3">
      <c r="A6383" t="s">
        <v>1384</v>
      </c>
      <c r="B6383" t="s">
        <v>32</v>
      </c>
      <c r="C6383" t="s">
        <v>24</v>
      </c>
      <c r="D6383" t="s">
        <v>18</v>
      </c>
      <c r="E6383" s="68">
        <v>135</v>
      </c>
      <c r="F6383" s="68">
        <v>114</v>
      </c>
      <c r="G6383" s="68">
        <v>249</v>
      </c>
    </row>
    <row r="6384" spans="1:7" x14ac:dyDescent="0.3">
      <c r="A6384" t="s">
        <v>1384</v>
      </c>
      <c r="B6384" t="s">
        <v>32</v>
      </c>
      <c r="C6384" t="s">
        <v>24</v>
      </c>
      <c r="D6384" t="s">
        <v>19</v>
      </c>
      <c r="E6384" s="68">
        <v>99</v>
      </c>
      <c r="F6384" s="68">
        <v>105</v>
      </c>
      <c r="G6384" s="68">
        <v>204</v>
      </c>
    </row>
    <row r="6385" spans="1:7" x14ac:dyDescent="0.3">
      <c r="A6385" t="s">
        <v>1384</v>
      </c>
      <c r="B6385" t="s">
        <v>32</v>
      </c>
      <c r="C6385" t="s">
        <v>24</v>
      </c>
      <c r="D6385" t="s">
        <v>20</v>
      </c>
      <c r="E6385" s="68">
        <v>88</v>
      </c>
      <c r="F6385" s="68">
        <v>76</v>
      </c>
      <c r="G6385" s="68">
        <v>164</v>
      </c>
    </row>
    <row r="6386" spans="1:7" x14ac:dyDescent="0.3">
      <c r="A6386" t="s">
        <v>1384</v>
      </c>
      <c r="B6386" t="s">
        <v>32</v>
      </c>
      <c r="C6386" t="s">
        <v>24</v>
      </c>
      <c r="D6386" t="s">
        <v>21</v>
      </c>
      <c r="E6386" s="68">
        <v>65</v>
      </c>
      <c r="F6386" s="68">
        <v>62</v>
      </c>
      <c r="G6386" s="68">
        <v>127</v>
      </c>
    </row>
    <row r="6387" spans="1:7" x14ac:dyDescent="0.3">
      <c r="A6387" t="s">
        <v>1384</v>
      </c>
      <c r="B6387" t="s">
        <v>32</v>
      </c>
      <c r="C6387" t="s">
        <v>24</v>
      </c>
      <c r="D6387" t="s">
        <v>22</v>
      </c>
      <c r="E6387" s="68">
        <v>50</v>
      </c>
      <c r="F6387" s="68">
        <v>38</v>
      </c>
      <c r="G6387" s="68">
        <v>88</v>
      </c>
    </row>
    <row r="6388" spans="1:7" x14ac:dyDescent="0.3">
      <c r="A6388" t="s">
        <v>1384</v>
      </c>
      <c r="B6388" t="s">
        <v>32</v>
      </c>
      <c r="C6388" t="s">
        <v>24</v>
      </c>
      <c r="D6388" t="s">
        <v>23</v>
      </c>
      <c r="E6388" s="68">
        <v>58</v>
      </c>
      <c r="F6388" s="68">
        <v>60</v>
      </c>
      <c r="G6388" s="68">
        <v>118</v>
      </c>
    </row>
    <row r="6389" spans="1:7" x14ac:dyDescent="0.3">
      <c r="A6389" t="s">
        <v>1384</v>
      </c>
      <c r="B6389" t="s">
        <v>5</v>
      </c>
      <c r="C6389" t="s">
        <v>6</v>
      </c>
      <c r="D6389" t="s">
        <v>13</v>
      </c>
      <c r="E6389" s="68"/>
      <c r="F6389" s="68">
        <v>1</v>
      </c>
      <c r="G6389" s="68">
        <v>1</v>
      </c>
    </row>
    <row r="6390" spans="1:7" x14ac:dyDescent="0.3">
      <c r="A6390" t="s">
        <v>1384</v>
      </c>
      <c r="B6390" t="s">
        <v>5</v>
      </c>
      <c r="C6390" t="s">
        <v>6</v>
      </c>
      <c r="D6390" t="s">
        <v>15</v>
      </c>
      <c r="E6390" s="68">
        <v>1</v>
      </c>
      <c r="F6390" s="68"/>
      <c r="G6390" s="68">
        <v>1</v>
      </c>
    </row>
    <row r="6391" spans="1:7" x14ac:dyDescent="0.3">
      <c r="A6391" t="s">
        <v>1384</v>
      </c>
      <c r="B6391" t="s">
        <v>5</v>
      </c>
      <c r="C6391" t="s">
        <v>6</v>
      </c>
      <c r="D6391" t="s">
        <v>17</v>
      </c>
      <c r="E6391" s="68"/>
      <c r="F6391" s="68">
        <v>1</v>
      </c>
      <c r="G6391" s="68">
        <v>1</v>
      </c>
    </row>
    <row r="6392" spans="1:7" x14ac:dyDescent="0.3">
      <c r="A6392" t="s">
        <v>1384</v>
      </c>
      <c r="B6392" t="s">
        <v>25</v>
      </c>
      <c r="C6392" t="s">
        <v>6</v>
      </c>
      <c r="D6392" t="s">
        <v>7</v>
      </c>
      <c r="E6392" s="68">
        <v>125</v>
      </c>
      <c r="F6392" s="68">
        <v>140</v>
      </c>
      <c r="G6392" s="68">
        <v>265</v>
      </c>
    </row>
    <row r="6393" spans="1:7" x14ac:dyDescent="0.3">
      <c r="A6393" t="s">
        <v>1384</v>
      </c>
      <c r="B6393" t="s">
        <v>25</v>
      </c>
      <c r="C6393" t="s">
        <v>6</v>
      </c>
      <c r="D6393" t="s">
        <v>8</v>
      </c>
      <c r="E6393" s="68">
        <v>137</v>
      </c>
      <c r="F6393" s="68">
        <v>180</v>
      </c>
      <c r="G6393" s="68">
        <v>317</v>
      </c>
    </row>
    <row r="6394" spans="1:7" x14ac:dyDescent="0.3">
      <c r="A6394" t="s">
        <v>1384</v>
      </c>
      <c r="B6394" t="s">
        <v>25</v>
      </c>
      <c r="C6394" t="s">
        <v>6</v>
      </c>
      <c r="D6394" t="s">
        <v>9</v>
      </c>
      <c r="E6394" s="68">
        <v>121</v>
      </c>
      <c r="F6394" s="68">
        <v>130</v>
      </c>
      <c r="G6394" s="68">
        <v>251</v>
      </c>
    </row>
    <row r="6395" spans="1:7" x14ac:dyDescent="0.3">
      <c r="A6395" t="s">
        <v>1384</v>
      </c>
      <c r="B6395" t="s">
        <v>25</v>
      </c>
      <c r="C6395" t="s">
        <v>6</v>
      </c>
      <c r="D6395" t="s">
        <v>10</v>
      </c>
      <c r="E6395" s="68">
        <v>107</v>
      </c>
      <c r="F6395" s="68">
        <v>117</v>
      </c>
      <c r="G6395" s="68">
        <v>224</v>
      </c>
    </row>
    <row r="6396" spans="1:7" x14ac:dyDescent="0.3">
      <c r="A6396" t="s">
        <v>1384</v>
      </c>
      <c r="B6396" t="s">
        <v>25</v>
      </c>
      <c r="C6396" t="s">
        <v>6</v>
      </c>
      <c r="D6396" t="s">
        <v>11</v>
      </c>
      <c r="E6396" s="68">
        <v>284</v>
      </c>
      <c r="F6396" s="68">
        <v>301</v>
      </c>
      <c r="G6396" s="68">
        <v>585</v>
      </c>
    </row>
    <row r="6397" spans="1:7" x14ac:dyDescent="0.3">
      <c r="A6397" t="s">
        <v>1384</v>
      </c>
      <c r="B6397" t="s">
        <v>25</v>
      </c>
      <c r="C6397" t="s">
        <v>6</v>
      </c>
      <c r="D6397" t="s">
        <v>12</v>
      </c>
      <c r="E6397" s="68">
        <v>413</v>
      </c>
      <c r="F6397" s="68">
        <v>391</v>
      </c>
      <c r="G6397" s="68">
        <v>804</v>
      </c>
    </row>
    <row r="6398" spans="1:7" x14ac:dyDescent="0.3">
      <c r="A6398" t="s">
        <v>1384</v>
      </c>
      <c r="B6398" t="s">
        <v>25</v>
      </c>
      <c r="C6398" t="s">
        <v>6</v>
      </c>
      <c r="D6398" t="s">
        <v>13</v>
      </c>
      <c r="E6398" s="68">
        <v>346</v>
      </c>
      <c r="F6398" s="68">
        <v>321</v>
      </c>
      <c r="G6398" s="68">
        <v>667</v>
      </c>
    </row>
    <row r="6399" spans="1:7" x14ac:dyDescent="0.3">
      <c r="A6399" t="s">
        <v>1384</v>
      </c>
      <c r="B6399" t="s">
        <v>25</v>
      </c>
      <c r="C6399" t="s">
        <v>6</v>
      </c>
      <c r="D6399" t="s">
        <v>14</v>
      </c>
      <c r="E6399" s="68">
        <v>218</v>
      </c>
      <c r="F6399" s="68">
        <v>258</v>
      </c>
      <c r="G6399" s="68">
        <v>476</v>
      </c>
    </row>
    <row r="6400" spans="1:7" x14ac:dyDescent="0.3">
      <c r="A6400" t="s">
        <v>1384</v>
      </c>
      <c r="B6400" t="s">
        <v>25</v>
      </c>
      <c r="C6400" t="s">
        <v>6</v>
      </c>
      <c r="D6400" t="s">
        <v>15</v>
      </c>
      <c r="E6400" s="68">
        <v>141</v>
      </c>
      <c r="F6400" s="68">
        <v>193</v>
      </c>
      <c r="G6400" s="68">
        <v>334</v>
      </c>
    </row>
    <row r="6401" spans="1:7" x14ac:dyDescent="0.3">
      <c r="A6401" t="s">
        <v>1384</v>
      </c>
      <c r="B6401" t="s">
        <v>25</v>
      </c>
      <c r="C6401" t="s">
        <v>6</v>
      </c>
      <c r="D6401" t="s">
        <v>16</v>
      </c>
      <c r="E6401" s="68">
        <v>124</v>
      </c>
      <c r="F6401" s="68">
        <v>149</v>
      </c>
      <c r="G6401" s="68">
        <v>273</v>
      </c>
    </row>
    <row r="6402" spans="1:7" x14ac:dyDescent="0.3">
      <c r="A6402" t="s">
        <v>1384</v>
      </c>
      <c r="B6402" t="s">
        <v>25</v>
      </c>
      <c r="C6402" t="s">
        <v>6</v>
      </c>
      <c r="D6402" t="s">
        <v>17</v>
      </c>
      <c r="E6402" s="68">
        <v>63</v>
      </c>
      <c r="F6402" s="68">
        <v>88</v>
      </c>
      <c r="G6402" s="68">
        <v>151</v>
      </c>
    </row>
    <row r="6403" spans="1:7" x14ac:dyDescent="0.3">
      <c r="A6403" t="s">
        <v>1384</v>
      </c>
      <c r="B6403" t="s">
        <v>25</v>
      </c>
      <c r="C6403" t="s">
        <v>6</v>
      </c>
      <c r="D6403" t="s">
        <v>18</v>
      </c>
      <c r="E6403" s="68">
        <v>38</v>
      </c>
      <c r="F6403" s="68">
        <v>64</v>
      </c>
      <c r="G6403" s="68">
        <v>102</v>
      </c>
    </row>
    <row r="6404" spans="1:7" x14ac:dyDescent="0.3">
      <c r="A6404" t="s">
        <v>1384</v>
      </c>
      <c r="B6404" t="s">
        <v>25</v>
      </c>
      <c r="C6404" t="s">
        <v>6</v>
      </c>
      <c r="D6404" t="s">
        <v>19</v>
      </c>
      <c r="E6404" s="68">
        <v>12</v>
      </c>
      <c r="F6404" s="68">
        <v>36</v>
      </c>
      <c r="G6404" s="68">
        <v>48</v>
      </c>
    </row>
    <row r="6405" spans="1:7" x14ac:dyDescent="0.3">
      <c r="A6405" t="s">
        <v>1384</v>
      </c>
      <c r="B6405" t="s">
        <v>25</v>
      </c>
      <c r="C6405" t="s">
        <v>6</v>
      </c>
      <c r="D6405" t="s">
        <v>20</v>
      </c>
      <c r="E6405" s="68">
        <v>7</v>
      </c>
      <c r="F6405" s="68">
        <v>24</v>
      </c>
      <c r="G6405" s="68">
        <v>31</v>
      </c>
    </row>
    <row r="6406" spans="1:7" x14ac:dyDescent="0.3">
      <c r="A6406" t="s">
        <v>1384</v>
      </c>
      <c r="B6406" t="s">
        <v>25</v>
      </c>
      <c r="C6406" t="s">
        <v>6</v>
      </c>
      <c r="D6406" t="s">
        <v>21</v>
      </c>
      <c r="E6406" s="68">
        <v>9</v>
      </c>
      <c r="F6406" s="68">
        <v>15</v>
      </c>
      <c r="G6406" s="68">
        <v>24</v>
      </c>
    </row>
    <row r="6407" spans="1:7" x14ac:dyDescent="0.3">
      <c r="A6407" t="s">
        <v>1384</v>
      </c>
      <c r="B6407" t="s">
        <v>25</v>
      </c>
      <c r="C6407" t="s">
        <v>6</v>
      </c>
      <c r="D6407" t="s">
        <v>22</v>
      </c>
      <c r="E6407" s="68">
        <v>5</v>
      </c>
      <c r="F6407" s="68">
        <v>5</v>
      </c>
      <c r="G6407" s="68">
        <v>10</v>
      </c>
    </row>
    <row r="6408" spans="1:7" x14ac:dyDescent="0.3">
      <c r="A6408" t="s">
        <v>1384</v>
      </c>
      <c r="B6408" t="s">
        <v>25</v>
      </c>
      <c r="C6408" t="s">
        <v>6</v>
      </c>
      <c r="D6408" t="s">
        <v>23</v>
      </c>
      <c r="E6408" s="68">
        <v>2</v>
      </c>
      <c r="F6408" s="68">
        <v>4</v>
      </c>
      <c r="G6408" s="68">
        <v>6</v>
      </c>
    </row>
    <row r="6409" spans="1:7" x14ac:dyDescent="0.3">
      <c r="A6409" t="s">
        <v>1384</v>
      </c>
      <c r="B6409" t="s">
        <v>25</v>
      </c>
      <c r="C6409" t="s">
        <v>24</v>
      </c>
      <c r="D6409" t="s">
        <v>7</v>
      </c>
      <c r="E6409" s="68">
        <v>2300</v>
      </c>
      <c r="F6409" s="68">
        <v>2335</v>
      </c>
      <c r="G6409" s="68">
        <v>4635</v>
      </c>
    </row>
    <row r="6410" spans="1:7" x14ac:dyDescent="0.3">
      <c r="A6410" t="s">
        <v>1384</v>
      </c>
      <c r="B6410" t="s">
        <v>25</v>
      </c>
      <c r="C6410" t="s">
        <v>24</v>
      </c>
      <c r="D6410" t="s">
        <v>8</v>
      </c>
      <c r="E6410" s="68">
        <v>2809</v>
      </c>
      <c r="F6410" s="68">
        <v>3073</v>
      </c>
      <c r="G6410" s="68">
        <v>5882</v>
      </c>
    </row>
    <row r="6411" spans="1:7" x14ac:dyDescent="0.3">
      <c r="A6411" t="s">
        <v>1384</v>
      </c>
      <c r="B6411" t="s">
        <v>25</v>
      </c>
      <c r="C6411" t="s">
        <v>24</v>
      </c>
      <c r="D6411" t="s">
        <v>9</v>
      </c>
      <c r="E6411" s="68">
        <v>3025</v>
      </c>
      <c r="F6411" s="68">
        <v>3008</v>
      </c>
      <c r="G6411" s="68">
        <v>6033</v>
      </c>
    </row>
    <row r="6412" spans="1:7" x14ac:dyDescent="0.3">
      <c r="A6412" t="s">
        <v>1384</v>
      </c>
      <c r="B6412" t="s">
        <v>25</v>
      </c>
      <c r="C6412" t="s">
        <v>24</v>
      </c>
      <c r="D6412" t="s">
        <v>10</v>
      </c>
      <c r="E6412" s="68">
        <v>2995</v>
      </c>
      <c r="F6412" s="68">
        <v>3097</v>
      </c>
      <c r="G6412" s="68">
        <v>6092</v>
      </c>
    </row>
    <row r="6413" spans="1:7" x14ac:dyDescent="0.3">
      <c r="A6413" t="s">
        <v>1384</v>
      </c>
      <c r="B6413" t="s">
        <v>25</v>
      </c>
      <c r="C6413" t="s">
        <v>24</v>
      </c>
      <c r="D6413" t="s">
        <v>11</v>
      </c>
      <c r="E6413" s="68">
        <v>2986</v>
      </c>
      <c r="F6413" s="68">
        <v>2382</v>
      </c>
      <c r="G6413" s="68">
        <v>5368</v>
      </c>
    </row>
    <row r="6414" spans="1:7" x14ac:dyDescent="0.3">
      <c r="A6414" t="s">
        <v>1384</v>
      </c>
      <c r="B6414" t="s">
        <v>25</v>
      </c>
      <c r="C6414" t="s">
        <v>24</v>
      </c>
      <c r="D6414" t="s">
        <v>12</v>
      </c>
      <c r="E6414" s="68">
        <v>3085</v>
      </c>
      <c r="F6414" s="68">
        <v>2564</v>
      </c>
      <c r="G6414" s="68">
        <v>5649</v>
      </c>
    </row>
    <row r="6415" spans="1:7" x14ac:dyDescent="0.3">
      <c r="A6415" t="s">
        <v>1384</v>
      </c>
      <c r="B6415" t="s">
        <v>25</v>
      </c>
      <c r="C6415" t="s">
        <v>24</v>
      </c>
      <c r="D6415" t="s">
        <v>13</v>
      </c>
      <c r="E6415" s="68">
        <v>2606</v>
      </c>
      <c r="F6415" s="68">
        <v>2176</v>
      </c>
      <c r="G6415" s="68">
        <v>4782</v>
      </c>
    </row>
    <row r="6416" spans="1:7" x14ac:dyDescent="0.3">
      <c r="A6416" t="s">
        <v>1384</v>
      </c>
      <c r="B6416" t="s">
        <v>25</v>
      </c>
      <c r="C6416" t="s">
        <v>24</v>
      </c>
      <c r="D6416" t="s">
        <v>14</v>
      </c>
      <c r="E6416" s="68">
        <v>2174</v>
      </c>
      <c r="F6416" s="68">
        <v>1818</v>
      </c>
      <c r="G6416" s="68">
        <v>3992</v>
      </c>
    </row>
    <row r="6417" spans="1:7" x14ac:dyDescent="0.3">
      <c r="A6417" t="s">
        <v>1384</v>
      </c>
      <c r="B6417" t="s">
        <v>25</v>
      </c>
      <c r="C6417" t="s">
        <v>24</v>
      </c>
      <c r="D6417" t="s">
        <v>15</v>
      </c>
      <c r="E6417" s="68">
        <v>1983</v>
      </c>
      <c r="F6417" s="68">
        <v>1748</v>
      </c>
      <c r="G6417" s="68">
        <v>3731</v>
      </c>
    </row>
    <row r="6418" spans="1:7" x14ac:dyDescent="0.3">
      <c r="A6418" t="s">
        <v>1384</v>
      </c>
      <c r="B6418" t="s">
        <v>25</v>
      </c>
      <c r="C6418" t="s">
        <v>24</v>
      </c>
      <c r="D6418" t="s">
        <v>16</v>
      </c>
      <c r="E6418" s="68">
        <v>1698</v>
      </c>
      <c r="F6418" s="68">
        <v>1583</v>
      </c>
      <c r="G6418" s="68">
        <v>3281</v>
      </c>
    </row>
    <row r="6419" spans="1:7" x14ac:dyDescent="0.3">
      <c r="A6419" t="s">
        <v>1384</v>
      </c>
      <c r="B6419" t="s">
        <v>25</v>
      </c>
      <c r="C6419" t="s">
        <v>24</v>
      </c>
      <c r="D6419" t="s">
        <v>17</v>
      </c>
      <c r="E6419" s="68">
        <v>1552</v>
      </c>
      <c r="F6419" s="68">
        <v>1415</v>
      </c>
      <c r="G6419" s="68">
        <v>2967</v>
      </c>
    </row>
    <row r="6420" spans="1:7" x14ac:dyDescent="0.3">
      <c r="A6420" t="s">
        <v>1384</v>
      </c>
      <c r="B6420" t="s">
        <v>25</v>
      </c>
      <c r="C6420" t="s">
        <v>24</v>
      </c>
      <c r="D6420" t="s">
        <v>18</v>
      </c>
      <c r="E6420" s="68">
        <v>1333</v>
      </c>
      <c r="F6420" s="68">
        <v>1303</v>
      </c>
      <c r="G6420" s="68">
        <v>2636</v>
      </c>
    </row>
    <row r="6421" spans="1:7" x14ac:dyDescent="0.3">
      <c r="A6421" t="s">
        <v>1384</v>
      </c>
      <c r="B6421" t="s">
        <v>25</v>
      </c>
      <c r="C6421" t="s">
        <v>24</v>
      </c>
      <c r="D6421" t="s">
        <v>19</v>
      </c>
      <c r="E6421" s="68">
        <v>1112</v>
      </c>
      <c r="F6421" s="68">
        <v>1103</v>
      </c>
      <c r="G6421" s="68">
        <v>2215</v>
      </c>
    </row>
    <row r="6422" spans="1:7" x14ac:dyDescent="0.3">
      <c r="A6422" t="s">
        <v>1384</v>
      </c>
      <c r="B6422" t="s">
        <v>25</v>
      </c>
      <c r="C6422" t="s">
        <v>24</v>
      </c>
      <c r="D6422" t="s">
        <v>20</v>
      </c>
      <c r="E6422" s="68">
        <v>770</v>
      </c>
      <c r="F6422" s="68">
        <v>795</v>
      </c>
      <c r="G6422" s="68">
        <v>1565</v>
      </c>
    </row>
    <row r="6423" spans="1:7" x14ac:dyDescent="0.3">
      <c r="A6423" t="s">
        <v>1384</v>
      </c>
      <c r="B6423" t="s">
        <v>25</v>
      </c>
      <c r="C6423" t="s">
        <v>24</v>
      </c>
      <c r="D6423" t="s">
        <v>21</v>
      </c>
      <c r="E6423" s="68">
        <v>587</v>
      </c>
      <c r="F6423" s="68">
        <v>621</v>
      </c>
      <c r="G6423" s="68">
        <v>1208</v>
      </c>
    </row>
    <row r="6424" spans="1:7" x14ac:dyDescent="0.3">
      <c r="A6424" t="s">
        <v>1384</v>
      </c>
      <c r="B6424" t="s">
        <v>25</v>
      </c>
      <c r="C6424" t="s">
        <v>24</v>
      </c>
      <c r="D6424" t="s">
        <v>22</v>
      </c>
      <c r="E6424" s="68">
        <v>440</v>
      </c>
      <c r="F6424" s="68">
        <v>450</v>
      </c>
      <c r="G6424" s="68">
        <v>890</v>
      </c>
    </row>
    <row r="6425" spans="1:7" x14ac:dyDescent="0.3">
      <c r="A6425" t="s">
        <v>1384</v>
      </c>
      <c r="B6425" t="s">
        <v>25</v>
      </c>
      <c r="C6425" t="s">
        <v>24</v>
      </c>
      <c r="D6425" t="s">
        <v>23</v>
      </c>
      <c r="E6425" s="68">
        <v>654</v>
      </c>
      <c r="F6425" s="68">
        <v>517</v>
      </c>
      <c r="G6425" s="68">
        <v>1171</v>
      </c>
    </row>
    <row r="6426" spans="1:7" x14ac:dyDescent="0.3">
      <c r="A6426" t="s">
        <v>1384</v>
      </c>
      <c r="B6426" t="s">
        <v>26</v>
      </c>
      <c r="C6426" t="s">
        <v>6</v>
      </c>
      <c r="D6426" t="s">
        <v>7</v>
      </c>
      <c r="E6426" s="68">
        <v>756</v>
      </c>
      <c r="F6426" s="68">
        <v>749</v>
      </c>
      <c r="G6426" s="68">
        <v>1505</v>
      </c>
    </row>
    <row r="6427" spans="1:7" x14ac:dyDescent="0.3">
      <c r="A6427" t="s">
        <v>1384</v>
      </c>
      <c r="B6427" t="s">
        <v>26</v>
      </c>
      <c r="C6427" t="s">
        <v>6</v>
      </c>
      <c r="D6427" t="s">
        <v>8</v>
      </c>
      <c r="E6427" s="68">
        <v>1086</v>
      </c>
      <c r="F6427" s="68">
        <v>1029</v>
      </c>
      <c r="G6427" s="68">
        <v>2115</v>
      </c>
    </row>
    <row r="6428" spans="1:7" x14ac:dyDescent="0.3">
      <c r="A6428" t="s">
        <v>1384</v>
      </c>
      <c r="B6428" t="s">
        <v>26</v>
      </c>
      <c r="C6428" t="s">
        <v>6</v>
      </c>
      <c r="D6428" t="s">
        <v>9</v>
      </c>
      <c r="E6428" s="68">
        <v>1148</v>
      </c>
      <c r="F6428" s="68">
        <v>1142</v>
      </c>
      <c r="G6428" s="68">
        <v>2290</v>
      </c>
    </row>
    <row r="6429" spans="1:7" x14ac:dyDescent="0.3">
      <c r="A6429" t="s">
        <v>1384</v>
      </c>
      <c r="B6429" t="s">
        <v>26</v>
      </c>
      <c r="C6429" t="s">
        <v>6</v>
      </c>
      <c r="D6429" t="s">
        <v>10</v>
      </c>
      <c r="E6429" s="68">
        <v>1044</v>
      </c>
      <c r="F6429" s="68">
        <v>1058</v>
      </c>
      <c r="G6429" s="68">
        <v>2102</v>
      </c>
    </row>
    <row r="6430" spans="1:7" x14ac:dyDescent="0.3">
      <c r="A6430" t="s">
        <v>1384</v>
      </c>
      <c r="B6430" t="s">
        <v>26</v>
      </c>
      <c r="C6430" t="s">
        <v>6</v>
      </c>
      <c r="D6430" t="s">
        <v>11</v>
      </c>
      <c r="E6430" s="68">
        <v>1100</v>
      </c>
      <c r="F6430" s="68">
        <v>1194</v>
      </c>
      <c r="G6430" s="68">
        <v>2294</v>
      </c>
    </row>
    <row r="6431" spans="1:7" x14ac:dyDescent="0.3">
      <c r="A6431" t="s">
        <v>1384</v>
      </c>
      <c r="B6431" t="s">
        <v>26</v>
      </c>
      <c r="C6431" t="s">
        <v>6</v>
      </c>
      <c r="D6431" t="s">
        <v>12</v>
      </c>
      <c r="E6431" s="68">
        <v>1712</v>
      </c>
      <c r="F6431" s="68">
        <v>1700</v>
      </c>
      <c r="G6431" s="68">
        <v>3412</v>
      </c>
    </row>
    <row r="6432" spans="1:7" x14ac:dyDescent="0.3">
      <c r="A6432" t="s">
        <v>1384</v>
      </c>
      <c r="B6432" t="s">
        <v>26</v>
      </c>
      <c r="C6432" t="s">
        <v>6</v>
      </c>
      <c r="D6432" t="s">
        <v>13</v>
      </c>
      <c r="E6432" s="68">
        <v>2186</v>
      </c>
      <c r="F6432" s="68">
        <v>2246</v>
      </c>
      <c r="G6432" s="68">
        <v>4432</v>
      </c>
    </row>
    <row r="6433" spans="1:7" x14ac:dyDescent="0.3">
      <c r="A6433" t="s">
        <v>1384</v>
      </c>
      <c r="B6433" t="s">
        <v>26</v>
      </c>
      <c r="C6433" t="s">
        <v>6</v>
      </c>
      <c r="D6433" t="s">
        <v>14</v>
      </c>
      <c r="E6433" s="68">
        <v>2114</v>
      </c>
      <c r="F6433" s="68">
        <v>2256</v>
      </c>
      <c r="G6433" s="68">
        <v>4370</v>
      </c>
    </row>
    <row r="6434" spans="1:7" x14ac:dyDescent="0.3">
      <c r="A6434" t="s">
        <v>1384</v>
      </c>
      <c r="B6434" t="s">
        <v>26</v>
      </c>
      <c r="C6434" t="s">
        <v>6</v>
      </c>
      <c r="D6434" t="s">
        <v>15</v>
      </c>
      <c r="E6434" s="68">
        <v>1788</v>
      </c>
      <c r="F6434" s="68">
        <v>2126</v>
      </c>
      <c r="G6434" s="68">
        <v>3914</v>
      </c>
    </row>
    <row r="6435" spans="1:7" x14ac:dyDescent="0.3">
      <c r="A6435" t="s">
        <v>1384</v>
      </c>
      <c r="B6435" t="s">
        <v>26</v>
      </c>
      <c r="C6435" t="s">
        <v>6</v>
      </c>
      <c r="D6435" t="s">
        <v>16</v>
      </c>
      <c r="E6435" s="68">
        <v>1491</v>
      </c>
      <c r="F6435" s="68">
        <v>1658</v>
      </c>
      <c r="G6435" s="68">
        <v>3149</v>
      </c>
    </row>
    <row r="6436" spans="1:7" x14ac:dyDescent="0.3">
      <c r="A6436" t="s">
        <v>1384</v>
      </c>
      <c r="B6436" t="s">
        <v>26</v>
      </c>
      <c r="C6436" t="s">
        <v>6</v>
      </c>
      <c r="D6436" t="s">
        <v>17</v>
      </c>
      <c r="E6436" s="68">
        <v>1150</v>
      </c>
      <c r="F6436" s="68">
        <v>1261</v>
      </c>
      <c r="G6436" s="68">
        <v>2411</v>
      </c>
    </row>
    <row r="6437" spans="1:7" x14ac:dyDescent="0.3">
      <c r="A6437" t="s">
        <v>1384</v>
      </c>
      <c r="B6437" t="s">
        <v>26</v>
      </c>
      <c r="C6437" t="s">
        <v>6</v>
      </c>
      <c r="D6437" t="s">
        <v>18</v>
      </c>
      <c r="E6437" s="68">
        <v>881</v>
      </c>
      <c r="F6437" s="68">
        <v>973</v>
      </c>
      <c r="G6437" s="68">
        <v>1854</v>
      </c>
    </row>
    <row r="6438" spans="1:7" x14ac:dyDescent="0.3">
      <c r="A6438" t="s">
        <v>1384</v>
      </c>
      <c r="B6438" t="s">
        <v>26</v>
      </c>
      <c r="C6438" t="s">
        <v>6</v>
      </c>
      <c r="D6438" t="s">
        <v>19</v>
      </c>
      <c r="E6438" s="68">
        <v>640</v>
      </c>
      <c r="F6438" s="68">
        <v>678</v>
      </c>
      <c r="G6438" s="68">
        <v>1318</v>
      </c>
    </row>
    <row r="6439" spans="1:7" x14ac:dyDescent="0.3">
      <c r="A6439" t="s">
        <v>1384</v>
      </c>
      <c r="B6439" t="s">
        <v>26</v>
      </c>
      <c r="C6439" t="s">
        <v>6</v>
      </c>
      <c r="D6439" t="s">
        <v>20</v>
      </c>
      <c r="E6439" s="68">
        <v>461</v>
      </c>
      <c r="F6439" s="68">
        <v>474</v>
      </c>
      <c r="G6439" s="68">
        <v>935</v>
      </c>
    </row>
    <row r="6440" spans="1:7" x14ac:dyDescent="0.3">
      <c r="A6440" t="s">
        <v>1384</v>
      </c>
      <c r="B6440" t="s">
        <v>26</v>
      </c>
      <c r="C6440" t="s">
        <v>6</v>
      </c>
      <c r="D6440" t="s">
        <v>21</v>
      </c>
      <c r="E6440" s="68">
        <v>358</v>
      </c>
      <c r="F6440" s="68">
        <v>290</v>
      </c>
      <c r="G6440" s="68">
        <v>648</v>
      </c>
    </row>
    <row r="6441" spans="1:7" x14ac:dyDescent="0.3">
      <c r="A6441" t="s">
        <v>1384</v>
      </c>
      <c r="B6441" t="s">
        <v>26</v>
      </c>
      <c r="C6441" t="s">
        <v>6</v>
      </c>
      <c r="D6441" t="s">
        <v>22</v>
      </c>
      <c r="E6441" s="68">
        <v>267</v>
      </c>
      <c r="F6441" s="68">
        <v>244</v>
      </c>
      <c r="G6441" s="68">
        <v>511</v>
      </c>
    </row>
    <row r="6442" spans="1:7" x14ac:dyDescent="0.3">
      <c r="A6442" t="s">
        <v>1384</v>
      </c>
      <c r="B6442" t="s">
        <v>26</v>
      </c>
      <c r="C6442" t="s">
        <v>6</v>
      </c>
      <c r="D6442" t="s">
        <v>23</v>
      </c>
      <c r="E6442" s="68">
        <v>308</v>
      </c>
      <c r="F6442" s="68">
        <v>282</v>
      </c>
      <c r="G6442" s="68">
        <v>590</v>
      </c>
    </row>
    <row r="6443" spans="1:7" x14ac:dyDescent="0.3">
      <c r="A6443" t="s">
        <v>1384</v>
      </c>
      <c r="B6443" t="s">
        <v>26</v>
      </c>
      <c r="C6443" t="s">
        <v>24</v>
      </c>
      <c r="D6443" t="s">
        <v>7</v>
      </c>
      <c r="E6443" s="68">
        <v>1165</v>
      </c>
      <c r="F6443" s="68">
        <v>1299</v>
      </c>
      <c r="G6443" s="68">
        <v>2464</v>
      </c>
    </row>
    <row r="6444" spans="1:7" x14ac:dyDescent="0.3">
      <c r="A6444" t="s">
        <v>1384</v>
      </c>
      <c r="B6444" t="s">
        <v>26</v>
      </c>
      <c r="C6444" t="s">
        <v>24</v>
      </c>
      <c r="D6444" t="s">
        <v>8</v>
      </c>
      <c r="E6444" s="68">
        <v>1364</v>
      </c>
      <c r="F6444" s="68">
        <v>1459</v>
      </c>
      <c r="G6444" s="68">
        <v>2823</v>
      </c>
    </row>
    <row r="6445" spans="1:7" x14ac:dyDescent="0.3">
      <c r="A6445" t="s">
        <v>1384</v>
      </c>
      <c r="B6445" t="s">
        <v>26</v>
      </c>
      <c r="C6445" t="s">
        <v>24</v>
      </c>
      <c r="D6445" t="s">
        <v>9</v>
      </c>
      <c r="E6445" s="68">
        <v>1244</v>
      </c>
      <c r="F6445" s="68">
        <v>1266</v>
      </c>
      <c r="G6445" s="68">
        <v>2510</v>
      </c>
    </row>
    <row r="6446" spans="1:7" x14ac:dyDescent="0.3">
      <c r="A6446" t="s">
        <v>1384</v>
      </c>
      <c r="B6446" t="s">
        <v>26</v>
      </c>
      <c r="C6446" t="s">
        <v>24</v>
      </c>
      <c r="D6446" t="s">
        <v>10</v>
      </c>
      <c r="E6446" s="68">
        <v>1301</v>
      </c>
      <c r="F6446" s="68">
        <v>1149</v>
      </c>
      <c r="G6446" s="68">
        <v>2450</v>
      </c>
    </row>
    <row r="6447" spans="1:7" x14ac:dyDescent="0.3">
      <c r="A6447" t="s">
        <v>1384</v>
      </c>
      <c r="B6447" t="s">
        <v>26</v>
      </c>
      <c r="C6447" t="s">
        <v>24</v>
      </c>
      <c r="D6447" t="s">
        <v>11</v>
      </c>
      <c r="E6447" s="68">
        <v>1713</v>
      </c>
      <c r="F6447" s="68">
        <v>1466</v>
      </c>
      <c r="G6447" s="68">
        <v>3179</v>
      </c>
    </row>
    <row r="6448" spans="1:7" x14ac:dyDescent="0.3">
      <c r="A6448" t="s">
        <v>1384</v>
      </c>
      <c r="B6448" t="s">
        <v>26</v>
      </c>
      <c r="C6448" t="s">
        <v>24</v>
      </c>
      <c r="D6448" t="s">
        <v>12</v>
      </c>
      <c r="E6448" s="68">
        <v>1963</v>
      </c>
      <c r="F6448" s="68">
        <v>2061</v>
      </c>
      <c r="G6448" s="68">
        <v>4024</v>
      </c>
    </row>
    <row r="6449" spans="1:7" x14ac:dyDescent="0.3">
      <c r="A6449" t="s">
        <v>1384</v>
      </c>
      <c r="B6449" t="s">
        <v>26</v>
      </c>
      <c r="C6449" t="s">
        <v>24</v>
      </c>
      <c r="D6449" t="s">
        <v>13</v>
      </c>
      <c r="E6449" s="68">
        <v>1905</v>
      </c>
      <c r="F6449" s="68">
        <v>2063</v>
      </c>
      <c r="G6449" s="68">
        <v>3968</v>
      </c>
    </row>
    <row r="6450" spans="1:7" x14ac:dyDescent="0.3">
      <c r="A6450" t="s">
        <v>1384</v>
      </c>
      <c r="B6450" t="s">
        <v>26</v>
      </c>
      <c r="C6450" t="s">
        <v>24</v>
      </c>
      <c r="D6450" t="s">
        <v>14</v>
      </c>
      <c r="E6450" s="68">
        <v>1688</v>
      </c>
      <c r="F6450" s="68">
        <v>1989</v>
      </c>
      <c r="G6450" s="68">
        <v>3677</v>
      </c>
    </row>
    <row r="6451" spans="1:7" x14ac:dyDescent="0.3">
      <c r="A6451" t="s">
        <v>1384</v>
      </c>
      <c r="B6451" t="s">
        <v>26</v>
      </c>
      <c r="C6451" t="s">
        <v>24</v>
      </c>
      <c r="D6451" t="s">
        <v>15</v>
      </c>
      <c r="E6451" s="68">
        <v>1498</v>
      </c>
      <c r="F6451" s="68">
        <v>1879</v>
      </c>
      <c r="G6451" s="68">
        <v>3377</v>
      </c>
    </row>
    <row r="6452" spans="1:7" x14ac:dyDescent="0.3">
      <c r="A6452" t="s">
        <v>1384</v>
      </c>
      <c r="B6452" t="s">
        <v>26</v>
      </c>
      <c r="C6452" t="s">
        <v>24</v>
      </c>
      <c r="D6452" t="s">
        <v>16</v>
      </c>
      <c r="E6452" s="68">
        <v>1331</v>
      </c>
      <c r="F6452" s="68">
        <v>1537</v>
      </c>
      <c r="G6452" s="68">
        <v>2868</v>
      </c>
    </row>
    <row r="6453" spans="1:7" x14ac:dyDescent="0.3">
      <c r="A6453" t="s">
        <v>1384</v>
      </c>
      <c r="B6453" t="s">
        <v>26</v>
      </c>
      <c r="C6453" t="s">
        <v>24</v>
      </c>
      <c r="D6453" t="s">
        <v>17</v>
      </c>
      <c r="E6453" s="68">
        <v>1150</v>
      </c>
      <c r="F6453" s="68">
        <v>1300</v>
      </c>
      <c r="G6453" s="68">
        <v>2450</v>
      </c>
    </row>
    <row r="6454" spans="1:7" x14ac:dyDescent="0.3">
      <c r="A6454" t="s">
        <v>1384</v>
      </c>
      <c r="B6454" t="s">
        <v>26</v>
      </c>
      <c r="C6454" t="s">
        <v>24</v>
      </c>
      <c r="D6454" t="s">
        <v>18</v>
      </c>
      <c r="E6454" s="68">
        <v>927</v>
      </c>
      <c r="F6454" s="68">
        <v>1045</v>
      </c>
      <c r="G6454" s="68">
        <v>1972</v>
      </c>
    </row>
    <row r="6455" spans="1:7" x14ac:dyDescent="0.3">
      <c r="A6455" t="s">
        <v>1384</v>
      </c>
      <c r="B6455" t="s">
        <v>26</v>
      </c>
      <c r="C6455" t="s">
        <v>24</v>
      </c>
      <c r="D6455" t="s">
        <v>19</v>
      </c>
      <c r="E6455" s="68">
        <v>720</v>
      </c>
      <c r="F6455" s="68">
        <v>822</v>
      </c>
      <c r="G6455" s="68">
        <v>1542</v>
      </c>
    </row>
    <row r="6456" spans="1:7" x14ac:dyDescent="0.3">
      <c r="A6456" t="s">
        <v>1384</v>
      </c>
      <c r="B6456" t="s">
        <v>26</v>
      </c>
      <c r="C6456" t="s">
        <v>24</v>
      </c>
      <c r="D6456" t="s">
        <v>20</v>
      </c>
      <c r="E6456" s="68">
        <v>453</v>
      </c>
      <c r="F6456" s="68">
        <v>544</v>
      </c>
      <c r="G6456" s="68">
        <v>997</v>
      </c>
    </row>
    <row r="6457" spans="1:7" x14ac:dyDescent="0.3">
      <c r="A6457" t="s">
        <v>1384</v>
      </c>
      <c r="B6457" t="s">
        <v>26</v>
      </c>
      <c r="C6457" t="s">
        <v>24</v>
      </c>
      <c r="D6457" t="s">
        <v>21</v>
      </c>
      <c r="E6457" s="68">
        <v>314</v>
      </c>
      <c r="F6457" s="68">
        <v>382</v>
      </c>
      <c r="G6457" s="68">
        <v>696</v>
      </c>
    </row>
    <row r="6458" spans="1:7" x14ac:dyDescent="0.3">
      <c r="A6458" t="s">
        <v>1384</v>
      </c>
      <c r="B6458" t="s">
        <v>26</v>
      </c>
      <c r="C6458" t="s">
        <v>24</v>
      </c>
      <c r="D6458" t="s">
        <v>22</v>
      </c>
      <c r="E6458" s="68">
        <v>210</v>
      </c>
      <c r="F6458" s="68">
        <v>220</v>
      </c>
      <c r="G6458" s="68">
        <v>430</v>
      </c>
    </row>
    <row r="6459" spans="1:7" x14ac:dyDescent="0.3">
      <c r="A6459" t="s">
        <v>1384</v>
      </c>
      <c r="B6459" t="s">
        <v>26</v>
      </c>
      <c r="C6459" t="s">
        <v>24</v>
      </c>
      <c r="D6459" t="s">
        <v>23</v>
      </c>
      <c r="E6459" s="68">
        <v>255</v>
      </c>
      <c r="F6459" s="68">
        <v>248</v>
      </c>
      <c r="G6459" s="68">
        <v>503</v>
      </c>
    </row>
    <row r="6460" spans="1:7" x14ac:dyDescent="0.3">
      <c r="A6460" t="s">
        <v>1384</v>
      </c>
      <c r="B6460" t="s">
        <v>27</v>
      </c>
      <c r="C6460" t="s">
        <v>28</v>
      </c>
      <c r="D6460" t="s">
        <v>7</v>
      </c>
      <c r="E6460" s="68">
        <v>129</v>
      </c>
      <c r="F6460" s="68">
        <v>113</v>
      </c>
      <c r="G6460" s="68">
        <v>242</v>
      </c>
    </row>
    <row r="6461" spans="1:7" x14ac:dyDescent="0.3">
      <c r="A6461" t="s">
        <v>1384</v>
      </c>
      <c r="B6461" t="s">
        <v>27</v>
      </c>
      <c r="C6461" t="s">
        <v>28</v>
      </c>
      <c r="D6461" t="s">
        <v>8</v>
      </c>
      <c r="E6461" s="68">
        <v>173</v>
      </c>
      <c r="F6461" s="68">
        <v>179</v>
      </c>
      <c r="G6461" s="68">
        <v>352</v>
      </c>
    </row>
    <row r="6462" spans="1:7" x14ac:dyDescent="0.3">
      <c r="A6462" t="s">
        <v>1384</v>
      </c>
      <c r="B6462" t="s">
        <v>27</v>
      </c>
      <c r="C6462" t="s">
        <v>28</v>
      </c>
      <c r="D6462" t="s">
        <v>9</v>
      </c>
      <c r="E6462" s="68">
        <v>270</v>
      </c>
      <c r="F6462" s="68">
        <v>298</v>
      </c>
      <c r="G6462" s="68">
        <v>568</v>
      </c>
    </row>
    <row r="6463" spans="1:7" x14ac:dyDescent="0.3">
      <c r="A6463" t="s">
        <v>1384</v>
      </c>
      <c r="B6463" t="s">
        <v>27</v>
      </c>
      <c r="C6463" t="s">
        <v>28</v>
      </c>
      <c r="D6463" t="s">
        <v>10</v>
      </c>
      <c r="E6463" s="68">
        <v>374</v>
      </c>
      <c r="F6463" s="68">
        <v>376</v>
      </c>
      <c r="G6463" s="68">
        <v>750</v>
      </c>
    </row>
    <row r="6464" spans="1:7" x14ac:dyDescent="0.3">
      <c r="A6464" t="s">
        <v>1384</v>
      </c>
      <c r="B6464" t="s">
        <v>27</v>
      </c>
      <c r="C6464" t="s">
        <v>28</v>
      </c>
      <c r="D6464" t="s">
        <v>11</v>
      </c>
      <c r="E6464" s="68">
        <v>310</v>
      </c>
      <c r="F6464" s="68">
        <v>319</v>
      </c>
      <c r="G6464" s="68">
        <v>629</v>
      </c>
    </row>
    <row r="6465" spans="1:7" x14ac:dyDescent="0.3">
      <c r="A6465" t="s">
        <v>1384</v>
      </c>
      <c r="B6465" t="s">
        <v>27</v>
      </c>
      <c r="C6465" t="s">
        <v>28</v>
      </c>
      <c r="D6465" t="s">
        <v>12</v>
      </c>
      <c r="E6465" s="68">
        <v>186</v>
      </c>
      <c r="F6465" s="68">
        <v>122</v>
      </c>
      <c r="G6465" s="68">
        <v>308</v>
      </c>
    </row>
    <row r="6466" spans="1:7" x14ac:dyDescent="0.3">
      <c r="A6466" t="s">
        <v>1384</v>
      </c>
      <c r="B6466" t="s">
        <v>27</v>
      </c>
      <c r="C6466" t="s">
        <v>28</v>
      </c>
      <c r="D6466" t="s">
        <v>13</v>
      </c>
      <c r="E6466" s="68">
        <v>280</v>
      </c>
      <c r="F6466" s="68">
        <v>223</v>
      </c>
      <c r="G6466" s="68">
        <v>503</v>
      </c>
    </row>
    <row r="6467" spans="1:7" x14ac:dyDescent="0.3">
      <c r="A6467" t="s">
        <v>1384</v>
      </c>
      <c r="B6467" t="s">
        <v>27</v>
      </c>
      <c r="C6467" t="s">
        <v>28</v>
      </c>
      <c r="D6467" t="s">
        <v>14</v>
      </c>
      <c r="E6467" s="68">
        <v>365</v>
      </c>
      <c r="F6467" s="68">
        <v>279</v>
      </c>
      <c r="G6467" s="68">
        <v>644</v>
      </c>
    </row>
    <row r="6468" spans="1:7" x14ac:dyDescent="0.3">
      <c r="A6468" t="s">
        <v>1384</v>
      </c>
      <c r="B6468" t="s">
        <v>27</v>
      </c>
      <c r="C6468" t="s">
        <v>28</v>
      </c>
      <c r="D6468" t="s">
        <v>15</v>
      </c>
      <c r="E6468" s="68">
        <v>399</v>
      </c>
      <c r="F6468" s="68">
        <v>318</v>
      </c>
      <c r="G6468" s="68">
        <v>717</v>
      </c>
    </row>
    <row r="6469" spans="1:7" x14ac:dyDescent="0.3">
      <c r="A6469" t="s">
        <v>1384</v>
      </c>
      <c r="B6469" t="s">
        <v>27</v>
      </c>
      <c r="C6469" t="s">
        <v>28</v>
      </c>
      <c r="D6469" t="s">
        <v>16</v>
      </c>
      <c r="E6469" s="68">
        <v>460</v>
      </c>
      <c r="F6469" s="68">
        <v>365</v>
      </c>
      <c r="G6469" s="68">
        <v>825</v>
      </c>
    </row>
    <row r="6470" spans="1:7" x14ac:dyDescent="0.3">
      <c r="A6470" t="s">
        <v>1384</v>
      </c>
      <c r="B6470" t="s">
        <v>27</v>
      </c>
      <c r="C6470" t="s">
        <v>28</v>
      </c>
      <c r="D6470" t="s">
        <v>17</v>
      </c>
      <c r="E6470" s="68">
        <v>507</v>
      </c>
      <c r="F6470" s="68">
        <v>371</v>
      </c>
      <c r="G6470" s="68">
        <v>878</v>
      </c>
    </row>
    <row r="6471" spans="1:7" x14ac:dyDescent="0.3">
      <c r="A6471" t="s">
        <v>1384</v>
      </c>
      <c r="B6471" t="s">
        <v>27</v>
      </c>
      <c r="C6471" t="s">
        <v>28</v>
      </c>
      <c r="D6471" t="s">
        <v>18</v>
      </c>
      <c r="E6471" s="68">
        <v>523</v>
      </c>
      <c r="F6471" s="68">
        <v>373</v>
      </c>
      <c r="G6471" s="68">
        <v>896</v>
      </c>
    </row>
    <row r="6472" spans="1:7" x14ac:dyDescent="0.3">
      <c r="A6472" t="s">
        <v>1384</v>
      </c>
      <c r="B6472" t="s">
        <v>27</v>
      </c>
      <c r="C6472" t="s">
        <v>28</v>
      </c>
      <c r="D6472" t="s">
        <v>19</v>
      </c>
      <c r="E6472" s="68">
        <v>470</v>
      </c>
      <c r="F6472" s="68">
        <v>373</v>
      </c>
      <c r="G6472" s="68">
        <v>843</v>
      </c>
    </row>
    <row r="6473" spans="1:7" x14ac:dyDescent="0.3">
      <c r="A6473" t="s">
        <v>1384</v>
      </c>
      <c r="B6473" t="s">
        <v>27</v>
      </c>
      <c r="C6473" t="s">
        <v>28</v>
      </c>
      <c r="D6473" t="s">
        <v>20</v>
      </c>
      <c r="E6473" s="68">
        <v>360</v>
      </c>
      <c r="F6473" s="68">
        <v>312</v>
      </c>
      <c r="G6473" s="68">
        <v>672</v>
      </c>
    </row>
    <row r="6474" spans="1:7" x14ac:dyDescent="0.3">
      <c r="A6474" t="s">
        <v>1384</v>
      </c>
      <c r="B6474" t="s">
        <v>27</v>
      </c>
      <c r="C6474" t="s">
        <v>28</v>
      </c>
      <c r="D6474" t="s">
        <v>21</v>
      </c>
      <c r="E6474" s="68">
        <v>266</v>
      </c>
      <c r="F6474" s="68">
        <v>201</v>
      </c>
      <c r="G6474" s="68">
        <v>467</v>
      </c>
    </row>
    <row r="6475" spans="1:7" x14ac:dyDescent="0.3">
      <c r="A6475" t="s">
        <v>1384</v>
      </c>
      <c r="B6475" t="s">
        <v>27</v>
      </c>
      <c r="C6475" t="s">
        <v>28</v>
      </c>
      <c r="D6475" t="s">
        <v>22</v>
      </c>
      <c r="E6475" s="68">
        <v>123</v>
      </c>
      <c r="F6475" s="68">
        <v>112</v>
      </c>
      <c r="G6475" s="68">
        <v>235</v>
      </c>
    </row>
    <row r="6476" spans="1:7" x14ac:dyDescent="0.3">
      <c r="A6476" t="s">
        <v>1384</v>
      </c>
      <c r="B6476" t="s">
        <v>27</v>
      </c>
      <c r="C6476" t="s">
        <v>28</v>
      </c>
      <c r="D6476" t="s">
        <v>23</v>
      </c>
      <c r="E6476" s="68">
        <v>125</v>
      </c>
      <c r="F6476" s="68">
        <v>84</v>
      </c>
      <c r="G6476" s="68">
        <v>209</v>
      </c>
    </row>
    <row r="6477" spans="1:7" x14ac:dyDescent="0.3">
      <c r="A6477" t="s">
        <v>1384</v>
      </c>
      <c r="B6477" t="s">
        <v>27</v>
      </c>
      <c r="C6477" t="s">
        <v>29</v>
      </c>
      <c r="D6477" t="s">
        <v>10</v>
      </c>
      <c r="E6477" s="68"/>
      <c r="F6477" s="68">
        <v>1</v>
      </c>
      <c r="G6477" s="68">
        <v>1</v>
      </c>
    </row>
    <row r="6478" spans="1:7" x14ac:dyDescent="0.3">
      <c r="A6478" t="s">
        <v>1384</v>
      </c>
      <c r="B6478" t="s">
        <v>27</v>
      </c>
      <c r="C6478" t="s">
        <v>29</v>
      </c>
      <c r="D6478" t="s">
        <v>11</v>
      </c>
      <c r="E6478" s="68">
        <v>2</v>
      </c>
      <c r="F6478" s="68">
        <v>48</v>
      </c>
      <c r="G6478" s="68">
        <v>50</v>
      </c>
    </row>
    <row r="6479" spans="1:7" x14ac:dyDescent="0.3">
      <c r="A6479" t="s">
        <v>1384</v>
      </c>
      <c r="B6479" t="s">
        <v>27</v>
      </c>
      <c r="C6479" t="s">
        <v>29</v>
      </c>
      <c r="D6479" t="s">
        <v>12</v>
      </c>
      <c r="E6479" s="68">
        <v>5</v>
      </c>
      <c r="F6479" s="68">
        <v>94</v>
      </c>
      <c r="G6479" s="68">
        <v>99</v>
      </c>
    </row>
    <row r="6480" spans="1:7" x14ac:dyDescent="0.3">
      <c r="A6480" t="s">
        <v>1384</v>
      </c>
      <c r="B6480" t="s">
        <v>27</v>
      </c>
      <c r="C6480" t="s">
        <v>29</v>
      </c>
      <c r="D6480" t="s">
        <v>13</v>
      </c>
      <c r="E6480" s="68">
        <v>6</v>
      </c>
      <c r="F6480" s="68">
        <v>88</v>
      </c>
      <c r="G6480" s="68">
        <v>94</v>
      </c>
    </row>
    <row r="6481" spans="1:7" x14ac:dyDescent="0.3">
      <c r="A6481" t="s">
        <v>1384</v>
      </c>
      <c r="B6481" t="s">
        <v>27</v>
      </c>
      <c r="C6481" t="s">
        <v>29</v>
      </c>
      <c r="D6481" t="s">
        <v>14</v>
      </c>
      <c r="E6481" s="68">
        <v>2</v>
      </c>
      <c r="F6481" s="68">
        <v>82</v>
      </c>
      <c r="G6481" s="68">
        <v>84</v>
      </c>
    </row>
    <row r="6482" spans="1:7" x14ac:dyDescent="0.3">
      <c r="A6482" t="s">
        <v>1384</v>
      </c>
      <c r="B6482" t="s">
        <v>27</v>
      </c>
      <c r="C6482" t="s">
        <v>29</v>
      </c>
      <c r="D6482" t="s">
        <v>15</v>
      </c>
      <c r="E6482" s="68">
        <v>3</v>
      </c>
      <c r="F6482" s="68">
        <v>63</v>
      </c>
      <c r="G6482" s="68">
        <v>66</v>
      </c>
    </row>
    <row r="6483" spans="1:7" x14ac:dyDescent="0.3">
      <c r="A6483" t="s">
        <v>1384</v>
      </c>
      <c r="B6483" t="s">
        <v>27</v>
      </c>
      <c r="C6483" t="s">
        <v>29</v>
      </c>
      <c r="D6483" t="s">
        <v>16</v>
      </c>
      <c r="E6483" s="68">
        <v>5</v>
      </c>
      <c r="F6483" s="68">
        <v>47</v>
      </c>
      <c r="G6483" s="68">
        <v>52</v>
      </c>
    </row>
    <row r="6484" spans="1:7" x14ac:dyDescent="0.3">
      <c r="A6484" t="s">
        <v>1384</v>
      </c>
      <c r="B6484" t="s">
        <v>27</v>
      </c>
      <c r="C6484" t="s">
        <v>29</v>
      </c>
      <c r="D6484" t="s">
        <v>17</v>
      </c>
      <c r="E6484" s="68">
        <v>1</v>
      </c>
      <c r="F6484" s="68">
        <v>40</v>
      </c>
      <c r="G6484" s="68">
        <v>41</v>
      </c>
    </row>
    <row r="6485" spans="1:7" x14ac:dyDescent="0.3">
      <c r="A6485" t="s">
        <v>1384</v>
      </c>
      <c r="B6485" t="s">
        <v>27</v>
      </c>
      <c r="C6485" t="s">
        <v>29</v>
      </c>
      <c r="D6485" t="s">
        <v>18</v>
      </c>
      <c r="E6485" s="68"/>
      <c r="F6485" s="68">
        <v>23</v>
      </c>
      <c r="G6485" s="68">
        <v>23</v>
      </c>
    </row>
    <row r="6486" spans="1:7" x14ac:dyDescent="0.3">
      <c r="A6486" t="s">
        <v>1384</v>
      </c>
      <c r="B6486" t="s">
        <v>27</v>
      </c>
      <c r="C6486" t="s">
        <v>29</v>
      </c>
      <c r="D6486" t="s">
        <v>19</v>
      </c>
      <c r="E6486" s="68">
        <v>1</v>
      </c>
      <c r="F6486" s="68">
        <v>12</v>
      </c>
      <c r="G6486" s="68">
        <v>13</v>
      </c>
    </row>
    <row r="6487" spans="1:7" x14ac:dyDescent="0.3">
      <c r="A6487" t="s">
        <v>1384</v>
      </c>
      <c r="B6487" t="s">
        <v>27</v>
      </c>
      <c r="C6487" t="s">
        <v>29</v>
      </c>
      <c r="D6487" t="s">
        <v>20</v>
      </c>
      <c r="E6487" s="68"/>
      <c r="F6487" s="68">
        <v>11</v>
      </c>
      <c r="G6487" s="68">
        <v>11</v>
      </c>
    </row>
    <row r="6488" spans="1:7" x14ac:dyDescent="0.3">
      <c r="A6488" t="s">
        <v>1384</v>
      </c>
      <c r="B6488" t="s">
        <v>27</v>
      </c>
      <c r="C6488" t="s">
        <v>29</v>
      </c>
      <c r="D6488" t="s">
        <v>21</v>
      </c>
      <c r="E6488" s="68"/>
      <c r="F6488" s="68">
        <v>5</v>
      </c>
      <c r="G6488" s="68">
        <v>5</v>
      </c>
    </row>
    <row r="6489" spans="1:7" x14ac:dyDescent="0.3">
      <c r="A6489" t="s">
        <v>1384</v>
      </c>
      <c r="B6489" t="s">
        <v>27</v>
      </c>
      <c r="C6489" t="s">
        <v>29</v>
      </c>
      <c r="D6489" t="s">
        <v>22</v>
      </c>
      <c r="E6489" s="68"/>
      <c r="F6489" s="68">
        <v>3</v>
      </c>
      <c r="G6489" s="68">
        <v>3</v>
      </c>
    </row>
    <row r="6490" spans="1:7" x14ac:dyDescent="0.3">
      <c r="A6490" t="s">
        <v>1384</v>
      </c>
      <c r="B6490" t="s">
        <v>27</v>
      </c>
      <c r="C6490" t="s">
        <v>29</v>
      </c>
      <c r="D6490" t="s">
        <v>23</v>
      </c>
      <c r="E6490" s="68"/>
      <c r="F6490" s="68">
        <v>1</v>
      </c>
      <c r="G6490" s="68">
        <v>1</v>
      </c>
    </row>
    <row r="6491" spans="1:7" x14ac:dyDescent="0.3">
      <c r="A6491" t="s">
        <v>1395</v>
      </c>
      <c r="B6491" t="s">
        <v>38</v>
      </c>
      <c r="C6491" t="s">
        <v>6</v>
      </c>
      <c r="D6491" t="s">
        <v>7</v>
      </c>
      <c r="E6491" s="68">
        <v>27</v>
      </c>
      <c r="F6491" s="68">
        <v>31</v>
      </c>
      <c r="G6491" s="68">
        <v>58</v>
      </c>
    </row>
    <row r="6492" spans="1:7" x14ac:dyDescent="0.3">
      <c r="A6492" t="s">
        <v>1395</v>
      </c>
      <c r="B6492" t="s">
        <v>38</v>
      </c>
      <c r="C6492" t="s">
        <v>6</v>
      </c>
      <c r="D6492" t="s">
        <v>8</v>
      </c>
      <c r="E6492" s="68">
        <v>41</v>
      </c>
      <c r="F6492" s="68">
        <v>27</v>
      </c>
      <c r="G6492" s="68">
        <v>68</v>
      </c>
    </row>
    <row r="6493" spans="1:7" x14ac:dyDescent="0.3">
      <c r="A6493" t="s">
        <v>1395</v>
      </c>
      <c r="B6493" t="s">
        <v>38</v>
      </c>
      <c r="C6493" t="s">
        <v>6</v>
      </c>
      <c r="D6493" t="s">
        <v>9</v>
      </c>
      <c r="E6493" s="68">
        <v>32</v>
      </c>
      <c r="F6493" s="68">
        <v>37</v>
      </c>
      <c r="G6493" s="68">
        <v>69</v>
      </c>
    </row>
    <row r="6494" spans="1:7" x14ac:dyDescent="0.3">
      <c r="A6494" t="s">
        <v>1395</v>
      </c>
      <c r="B6494" t="s">
        <v>38</v>
      </c>
      <c r="C6494" t="s">
        <v>6</v>
      </c>
      <c r="D6494" t="s">
        <v>10</v>
      </c>
      <c r="E6494" s="68">
        <v>107</v>
      </c>
      <c r="F6494" s="68">
        <v>136</v>
      </c>
      <c r="G6494" s="68">
        <v>243</v>
      </c>
    </row>
    <row r="6495" spans="1:7" x14ac:dyDescent="0.3">
      <c r="A6495" t="s">
        <v>1395</v>
      </c>
      <c r="B6495" t="s">
        <v>38</v>
      </c>
      <c r="C6495" t="s">
        <v>6</v>
      </c>
      <c r="D6495" t="s">
        <v>11</v>
      </c>
      <c r="E6495" s="68">
        <v>356</v>
      </c>
      <c r="F6495" s="68">
        <v>449</v>
      </c>
      <c r="G6495" s="68">
        <v>805</v>
      </c>
    </row>
    <row r="6496" spans="1:7" x14ac:dyDescent="0.3">
      <c r="A6496" t="s">
        <v>1395</v>
      </c>
      <c r="B6496" t="s">
        <v>38</v>
      </c>
      <c r="C6496" t="s">
        <v>6</v>
      </c>
      <c r="D6496" t="s">
        <v>12</v>
      </c>
      <c r="E6496" s="68">
        <v>390</v>
      </c>
      <c r="F6496" s="68">
        <v>400</v>
      </c>
      <c r="G6496" s="68">
        <v>790</v>
      </c>
    </row>
    <row r="6497" spans="1:7" x14ac:dyDescent="0.3">
      <c r="A6497" t="s">
        <v>1395</v>
      </c>
      <c r="B6497" t="s">
        <v>38</v>
      </c>
      <c r="C6497" t="s">
        <v>6</v>
      </c>
      <c r="D6497" t="s">
        <v>13</v>
      </c>
      <c r="E6497" s="68">
        <v>254</v>
      </c>
      <c r="F6497" s="68">
        <v>235</v>
      </c>
      <c r="G6497" s="68">
        <v>489</v>
      </c>
    </row>
    <row r="6498" spans="1:7" x14ac:dyDescent="0.3">
      <c r="A6498" t="s">
        <v>1395</v>
      </c>
      <c r="B6498" t="s">
        <v>38</v>
      </c>
      <c r="C6498" t="s">
        <v>6</v>
      </c>
      <c r="D6498" t="s">
        <v>14</v>
      </c>
      <c r="E6498" s="68">
        <v>199</v>
      </c>
      <c r="F6498" s="68">
        <v>167</v>
      </c>
      <c r="G6498" s="68">
        <v>366</v>
      </c>
    </row>
    <row r="6499" spans="1:7" x14ac:dyDescent="0.3">
      <c r="A6499" t="s">
        <v>1395</v>
      </c>
      <c r="B6499" t="s">
        <v>38</v>
      </c>
      <c r="C6499" t="s">
        <v>6</v>
      </c>
      <c r="D6499" t="s">
        <v>15</v>
      </c>
      <c r="E6499" s="68">
        <v>166</v>
      </c>
      <c r="F6499" s="68">
        <v>134</v>
      </c>
      <c r="G6499" s="68">
        <v>300</v>
      </c>
    </row>
    <row r="6500" spans="1:7" x14ac:dyDescent="0.3">
      <c r="A6500" t="s">
        <v>1395</v>
      </c>
      <c r="B6500" t="s">
        <v>38</v>
      </c>
      <c r="C6500" t="s">
        <v>6</v>
      </c>
      <c r="D6500" t="s">
        <v>16</v>
      </c>
      <c r="E6500" s="68">
        <v>176</v>
      </c>
      <c r="F6500" s="68">
        <v>156</v>
      </c>
      <c r="G6500" s="68">
        <v>332</v>
      </c>
    </row>
    <row r="6501" spans="1:7" x14ac:dyDescent="0.3">
      <c r="A6501" t="s">
        <v>1395</v>
      </c>
      <c r="B6501" t="s">
        <v>38</v>
      </c>
      <c r="C6501" t="s">
        <v>6</v>
      </c>
      <c r="D6501" t="s">
        <v>17</v>
      </c>
      <c r="E6501" s="68">
        <v>90</v>
      </c>
      <c r="F6501" s="68">
        <v>131</v>
      </c>
      <c r="G6501" s="68">
        <v>221</v>
      </c>
    </row>
    <row r="6502" spans="1:7" x14ac:dyDescent="0.3">
      <c r="A6502" t="s">
        <v>1395</v>
      </c>
      <c r="B6502" t="s">
        <v>38</v>
      </c>
      <c r="C6502" t="s">
        <v>6</v>
      </c>
      <c r="D6502" t="s">
        <v>18</v>
      </c>
      <c r="E6502" s="68">
        <v>97</v>
      </c>
      <c r="F6502" s="68">
        <v>148</v>
      </c>
      <c r="G6502" s="68">
        <v>245</v>
      </c>
    </row>
    <row r="6503" spans="1:7" x14ac:dyDescent="0.3">
      <c r="A6503" t="s">
        <v>1395</v>
      </c>
      <c r="B6503" t="s">
        <v>38</v>
      </c>
      <c r="C6503" t="s">
        <v>6</v>
      </c>
      <c r="D6503" t="s">
        <v>19</v>
      </c>
      <c r="E6503" s="68">
        <v>81</v>
      </c>
      <c r="F6503" s="68">
        <v>150</v>
      </c>
      <c r="G6503" s="68">
        <v>231</v>
      </c>
    </row>
    <row r="6504" spans="1:7" x14ac:dyDescent="0.3">
      <c r="A6504" t="s">
        <v>1395</v>
      </c>
      <c r="B6504" t="s">
        <v>38</v>
      </c>
      <c r="C6504" t="s">
        <v>6</v>
      </c>
      <c r="D6504" t="s">
        <v>20</v>
      </c>
      <c r="E6504" s="68">
        <v>48</v>
      </c>
      <c r="F6504" s="68">
        <v>114</v>
      </c>
      <c r="G6504" s="68">
        <v>162</v>
      </c>
    </row>
    <row r="6505" spans="1:7" x14ac:dyDescent="0.3">
      <c r="A6505" t="s">
        <v>1395</v>
      </c>
      <c r="B6505" t="s">
        <v>38</v>
      </c>
      <c r="C6505" t="s">
        <v>6</v>
      </c>
      <c r="D6505" t="s">
        <v>21</v>
      </c>
      <c r="E6505" s="68">
        <v>28</v>
      </c>
      <c r="F6505" s="68">
        <v>61</v>
      </c>
      <c r="G6505" s="68">
        <v>89</v>
      </c>
    </row>
    <row r="6506" spans="1:7" x14ac:dyDescent="0.3">
      <c r="A6506" t="s">
        <v>1395</v>
      </c>
      <c r="B6506" t="s">
        <v>38</v>
      </c>
      <c r="C6506" t="s">
        <v>6</v>
      </c>
      <c r="D6506" t="s">
        <v>22</v>
      </c>
      <c r="E6506" s="68">
        <v>14</v>
      </c>
      <c r="F6506" s="68">
        <v>20</v>
      </c>
      <c r="G6506" s="68">
        <v>34</v>
      </c>
    </row>
    <row r="6507" spans="1:7" x14ac:dyDescent="0.3">
      <c r="A6507" t="s">
        <v>1395</v>
      </c>
      <c r="B6507" t="s">
        <v>38</v>
      </c>
      <c r="C6507" t="s">
        <v>6</v>
      </c>
      <c r="D6507" t="s">
        <v>23</v>
      </c>
      <c r="E6507" s="68">
        <v>7</v>
      </c>
      <c r="F6507" s="68">
        <v>5</v>
      </c>
      <c r="G6507" s="68">
        <v>12</v>
      </c>
    </row>
    <row r="6508" spans="1:7" x14ac:dyDescent="0.3">
      <c r="A6508" t="s">
        <v>1395</v>
      </c>
      <c r="B6508" t="s">
        <v>38</v>
      </c>
      <c r="C6508" t="s">
        <v>24</v>
      </c>
      <c r="D6508" t="s">
        <v>7</v>
      </c>
      <c r="E6508" s="68">
        <v>1061</v>
      </c>
      <c r="F6508" s="68">
        <v>1101</v>
      </c>
      <c r="G6508" s="68">
        <v>2162</v>
      </c>
    </row>
    <row r="6509" spans="1:7" x14ac:dyDescent="0.3">
      <c r="A6509" t="s">
        <v>1395</v>
      </c>
      <c r="B6509" t="s">
        <v>38</v>
      </c>
      <c r="C6509" t="s">
        <v>24</v>
      </c>
      <c r="D6509" t="s">
        <v>8</v>
      </c>
      <c r="E6509" s="68">
        <v>1637</v>
      </c>
      <c r="F6509" s="68">
        <v>1735</v>
      </c>
      <c r="G6509" s="68">
        <v>3372</v>
      </c>
    </row>
    <row r="6510" spans="1:7" x14ac:dyDescent="0.3">
      <c r="A6510" t="s">
        <v>1395</v>
      </c>
      <c r="B6510" t="s">
        <v>38</v>
      </c>
      <c r="C6510" t="s">
        <v>24</v>
      </c>
      <c r="D6510" t="s">
        <v>9</v>
      </c>
      <c r="E6510" s="68">
        <v>1992</v>
      </c>
      <c r="F6510" s="68">
        <v>2109</v>
      </c>
      <c r="G6510" s="68">
        <v>4101</v>
      </c>
    </row>
    <row r="6511" spans="1:7" x14ac:dyDescent="0.3">
      <c r="A6511" t="s">
        <v>1395</v>
      </c>
      <c r="B6511" t="s">
        <v>38</v>
      </c>
      <c r="C6511" t="s">
        <v>24</v>
      </c>
      <c r="D6511" t="s">
        <v>10</v>
      </c>
      <c r="E6511" s="68">
        <v>2224</v>
      </c>
      <c r="F6511" s="68">
        <v>2277</v>
      </c>
      <c r="G6511" s="68">
        <v>4501</v>
      </c>
    </row>
    <row r="6512" spans="1:7" x14ac:dyDescent="0.3">
      <c r="A6512" t="s">
        <v>1395</v>
      </c>
      <c r="B6512" t="s">
        <v>38</v>
      </c>
      <c r="C6512" t="s">
        <v>24</v>
      </c>
      <c r="D6512" t="s">
        <v>11</v>
      </c>
      <c r="E6512" s="68">
        <v>1885</v>
      </c>
      <c r="F6512" s="68">
        <v>1771</v>
      </c>
      <c r="G6512" s="68">
        <v>3656</v>
      </c>
    </row>
    <row r="6513" spans="1:7" x14ac:dyDescent="0.3">
      <c r="A6513" t="s">
        <v>1395</v>
      </c>
      <c r="B6513" t="s">
        <v>38</v>
      </c>
      <c r="C6513" t="s">
        <v>24</v>
      </c>
      <c r="D6513" t="s">
        <v>12</v>
      </c>
      <c r="E6513" s="68">
        <v>2258</v>
      </c>
      <c r="F6513" s="68">
        <v>1862</v>
      </c>
      <c r="G6513" s="68">
        <v>4120</v>
      </c>
    </row>
    <row r="6514" spans="1:7" x14ac:dyDescent="0.3">
      <c r="A6514" t="s">
        <v>1395</v>
      </c>
      <c r="B6514" t="s">
        <v>38</v>
      </c>
      <c r="C6514" t="s">
        <v>24</v>
      </c>
      <c r="D6514" t="s">
        <v>13</v>
      </c>
      <c r="E6514" s="68">
        <v>1999</v>
      </c>
      <c r="F6514" s="68">
        <v>1510</v>
      </c>
      <c r="G6514" s="68">
        <v>3509</v>
      </c>
    </row>
    <row r="6515" spans="1:7" x14ac:dyDescent="0.3">
      <c r="A6515" t="s">
        <v>1395</v>
      </c>
      <c r="B6515" t="s">
        <v>38</v>
      </c>
      <c r="C6515" t="s">
        <v>24</v>
      </c>
      <c r="D6515" t="s">
        <v>14</v>
      </c>
      <c r="E6515" s="68">
        <v>1522</v>
      </c>
      <c r="F6515" s="68">
        <v>1170</v>
      </c>
      <c r="G6515" s="68">
        <v>2692</v>
      </c>
    </row>
    <row r="6516" spans="1:7" x14ac:dyDescent="0.3">
      <c r="A6516" t="s">
        <v>1395</v>
      </c>
      <c r="B6516" t="s">
        <v>38</v>
      </c>
      <c r="C6516" t="s">
        <v>24</v>
      </c>
      <c r="D6516" t="s">
        <v>15</v>
      </c>
      <c r="E6516" s="68">
        <v>1847</v>
      </c>
      <c r="F6516" s="68">
        <v>1348</v>
      </c>
      <c r="G6516" s="68">
        <v>3195</v>
      </c>
    </row>
    <row r="6517" spans="1:7" x14ac:dyDescent="0.3">
      <c r="A6517" t="s">
        <v>1395</v>
      </c>
      <c r="B6517" t="s">
        <v>38</v>
      </c>
      <c r="C6517" t="s">
        <v>24</v>
      </c>
      <c r="D6517" t="s">
        <v>16</v>
      </c>
      <c r="E6517" s="68">
        <v>1915</v>
      </c>
      <c r="F6517" s="68">
        <v>1403</v>
      </c>
      <c r="G6517" s="68">
        <v>3318</v>
      </c>
    </row>
    <row r="6518" spans="1:7" x14ac:dyDescent="0.3">
      <c r="A6518" t="s">
        <v>1395</v>
      </c>
      <c r="B6518" t="s">
        <v>38</v>
      </c>
      <c r="C6518" t="s">
        <v>24</v>
      </c>
      <c r="D6518" t="s">
        <v>17</v>
      </c>
      <c r="E6518" s="68">
        <v>1636</v>
      </c>
      <c r="F6518" s="68">
        <v>1184</v>
      </c>
      <c r="G6518" s="68">
        <v>2820</v>
      </c>
    </row>
    <row r="6519" spans="1:7" x14ac:dyDescent="0.3">
      <c r="A6519" t="s">
        <v>1395</v>
      </c>
      <c r="B6519" t="s">
        <v>38</v>
      </c>
      <c r="C6519" t="s">
        <v>24</v>
      </c>
      <c r="D6519" t="s">
        <v>18</v>
      </c>
      <c r="E6519" s="68">
        <v>1856</v>
      </c>
      <c r="F6519" s="68">
        <v>1500</v>
      </c>
      <c r="G6519" s="68">
        <v>3356</v>
      </c>
    </row>
    <row r="6520" spans="1:7" x14ac:dyDescent="0.3">
      <c r="A6520" t="s">
        <v>1395</v>
      </c>
      <c r="B6520" t="s">
        <v>38</v>
      </c>
      <c r="C6520" t="s">
        <v>24</v>
      </c>
      <c r="D6520" t="s">
        <v>19</v>
      </c>
      <c r="E6520" s="68">
        <v>2153</v>
      </c>
      <c r="F6520" s="68">
        <v>1807</v>
      </c>
      <c r="G6520" s="68">
        <v>3960</v>
      </c>
    </row>
    <row r="6521" spans="1:7" x14ac:dyDescent="0.3">
      <c r="A6521" t="s">
        <v>1395</v>
      </c>
      <c r="B6521" t="s">
        <v>38</v>
      </c>
      <c r="C6521" t="s">
        <v>24</v>
      </c>
      <c r="D6521" t="s">
        <v>20</v>
      </c>
      <c r="E6521" s="68">
        <v>1659</v>
      </c>
      <c r="F6521" s="68">
        <v>1602</v>
      </c>
      <c r="G6521" s="68">
        <v>3261</v>
      </c>
    </row>
    <row r="6522" spans="1:7" x14ac:dyDescent="0.3">
      <c r="A6522" t="s">
        <v>1395</v>
      </c>
      <c r="B6522" t="s">
        <v>38</v>
      </c>
      <c r="C6522" t="s">
        <v>24</v>
      </c>
      <c r="D6522" t="s">
        <v>21</v>
      </c>
      <c r="E6522" s="68">
        <v>1257</v>
      </c>
      <c r="F6522" s="68">
        <v>1294</v>
      </c>
      <c r="G6522" s="68">
        <v>2551</v>
      </c>
    </row>
    <row r="6523" spans="1:7" x14ac:dyDescent="0.3">
      <c r="A6523" t="s">
        <v>1395</v>
      </c>
      <c r="B6523" t="s">
        <v>38</v>
      </c>
      <c r="C6523" t="s">
        <v>24</v>
      </c>
      <c r="D6523" t="s">
        <v>22</v>
      </c>
      <c r="E6523" s="68">
        <v>770</v>
      </c>
      <c r="F6523" s="68">
        <v>753</v>
      </c>
      <c r="G6523" s="68">
        <v>1523</v>
      </c>
    </row>
    <row r="6524" spans="1:7" x14ac:dyDescent="0.3">
      <c r="A6524" t="s">
        <v>1395</v>
      </c>
      <c r="B6524" t="s">
        <v>38</v>
      </c>
      <c r="C6524" t="s">
        <v>24</v>
      </c>
      <c r="D6524" t="s">
        <v>23</v>
      </c>
      <c r="E6524" s="68">
        <v>1193</v>
      </c>
      <c r="F6524" s="68">
        <v>920</v>
      </c>
      <c r="G6524" s="68">
        <v>2113</v>
      </c>
    </row>
    <row r="6525" spans="1:7" x14ac:dyDescent="0.3">
      <c r="A6525" t="s">
        <v>1395</v>
      </c>
      <c r="B6525" t="s">
        <v>31</v>
      </c>
      <c r="C6525" t="s">
        <v>6</v>
      </c>
      <c r="D6525" t="s">
        <v>19</v>
      </c>
      <c r="E6525" s="68">
        <v>1</v>
      </c>
      <c r="F6525" s="68"/>
      <c r="G6525" s="68">
        <v>1</v>
      </c>
    </row>
    <row r="6526" spans="1:7" x14ac:dyDescent="0.3">
      <c r="A6526" t="s">
        <v>1395</v>
      </c>
      <c r="B6526" t="s">
        <v>5</v>
      </c>
      <c r="C6526" t="s">
        <v>6</v>
      </c>
      <c r="D6526" t="s">
        <v>7</v>
      </c>
      <c r="E6526" s="68">
        <v>1016</v>
      </c>
      <c r="F6526" s="68">
        <v>1219</v>
      </c>
      <c r="G6526" s="68">
        <v>2235</v>
      </c>
    </row>
    <row r="6527" spans="1:7" x14ac:dyDescent="0.3">
      <c r="A6527" t="s">
        <v>1395</v>
      </c>
      <c r="B6527" t="s">
        <v>5</v>
      </c>
      <c r="C6527" t="s">
        <v>6</v>
      </c>
      <c r="D6527" t="s">
        <v>8</v>
      </c>
      <c r="E6527" s="68">
        <v>1504</v>
      </c>
      <c r="F6527" s="68">
        <v>1575</v>
      </c>
      <c r="G6527" s="68">
        <v>3079</v>
      </c>
    </row>
    <row r="6528" spans="1:7" x14ac:dyDescent="0.3">
      <c r="A6528" t="s">
        <v>1395</v>
      </c>
      <c r="B6528" t="s">
        <v>5</v>
      </c>
      <c r="C6528" t="s">
        <v>6</v>
      </c>
      <c r="D6528" t="s">
        <v>9</v>
      </c>
      <c r="E6528" s="68">
        <v>1767</v>
      </c>
      <c r="F6528" s="68">
        <v>1848</v>
      </c>
      <c r="G6528" s="68">
        <v>3615</v>
      </c>
    </row>
    <row r="6529" spans="1:7" x14ac:dyDescent="0.3">
      <c r="A6529" t="s">
        <v>1395</v>
      </c>
      <c r="B6529" t="s">
        <v>5</v>
      </c>
      <c r="C6529" t="s">
        <v>6</v>
      </c>
      <c r="D6529" t="s">
        <v>10</v>
      </c>
      <c r="E6529" s="68">
        <v>1862</v>
      </c>
      <c r="F6529" s="68">
        <v>1899</v>
      </c>
      <c r="G6529" s="68">
        <v>3761</v>
      </c>
    </row>
    <row r="6530" spans="1:7" x14ac:dyDescent="0.3">
      <c r="A6530" t="s">
        <v>1395</v>
      </c>
      <c r="B6530" t="s">
        <v>5</v>
      </c>
      <c r="C6530" t="s">
        <v>6</v>
      </c>
      <c r="D6530" t="s">
        <v>11</v>
      </c>
      <c r="E6530" s="68">
        <v>2113</v>
      </c>
      <c r="F6530" s="68">
        <v>2079</v>
      </c>
      <c r="G6530" s="68">
        <v>4192</v>
      </c>
    </row>
    <row r="6531" spans="1:7" x14ac:dyDescent="0.3">
      <c r="A6531" t="s">
        <v>1395</v>
      </c>
      <c r="B6531" t="s">
        <v>5</v>
      </c>
      <c r="C6531" t="s">
        <v>6</v>
      </c>
      <c r="D6531" t="s">
        <v>12</v>
      </c>
      <c r="E6531" s="68">
        <v>2572</v>
      </c>
      <c r="F6531" s="68">
        <v>2116</v>
      </c>
      <c r="G6531" s="68">
        <v>4688</v>
      </c>
    </row>
    <row r="6532" spans="1:7" x14ac:dyDescent="0.3">
      <c r="A6532" t="s">
        <v>1395</v>
      </c>
      <c r="B6532" t="s">
        <v>5</v>
      </c>
      <c r="C6532" t="s">
        <v>6</v>
      </c>
      <c r="D6532" t="s">
        <v>13</v>
      </c>
      <c r="E6532" s="68">
        <v>3106</v>
      </c>
      <c r="F6532" s="68">
        <v>2523</v>
      </c>
      <c r="G6532" s="68">
        <v>5629</v>
      </c>
    </row>
    <row r="6533" spans="1:7" x14ac:dyDescent="0.3">
      <c r="A6533" t="s">
        <v>1395</v>
      </c>
      <c r="B6533" t="s">
        <v>5</v>
      </c>
      <c r="C6533" t="s">
        <v>6</v>
      </c>
      <c r="D6533" t="s">
        <v>14</v>
      </c>
      <c r="E6533" s="68">
        <v>3007</v>
      </c>
      <c r="F6533" s="68">
        <v>2590</v>
      </c>
      <c r="G6533" s="68">
        <v>5597</v>
      </c>
    </row>
    <row r="6534" spans="1:7" x14ac:dyDescent="0.3">
      <c r="A6534" t="s">
        <v>1395</v>
      </c>
      <c r="B6534" t="s">
        <v>5</v>
      </c>
      <c r="C6534" t="s">
        <v>6</v>
      </c>
      <c r="D6534" t="s">
        <v>15</v>
      </c>
      <c r="E6534" s="68">
        <v>3058</v>
      </c>
      <c r="F6534" s="68">
        <v>2589</v>
      </c>
      <c r="G6534" s="68">
        <v>5647</v>
      </c>
    </row>
    <row r="6535" spans="1:7" x14ac:dyDescent="0.3">
      <c r="A6535" t="s">
        <v>1395</v>
      </c>
      <c r="B6535" t="s">
        <v>5</v>
      </c>
      <c r="C6535" t="s">
        <v>6</v>
      </c>
      <c r="D6535" t="s">
        <v>16</v>
      </c>
      <c r="E6535" s="68">
        <v>2841</v>
      </c>
      <c r="F6535" s="68">
        <v>2490</v>
      </c>
      <c r="G6535" s="68">
        <v>5331</v>
      </c>
    </row>
    <row r="6536" spans="1:7" x14ac:dyDescent="0.3">
      <c r="A6536" t="s">
        <v>1395</v>
      </c>
      <c r="B6536" t="s">
        <v>5</v>
      </c>
      <c r="C6536" t="s">
        <v>6</v>
      </c>
      <c r="D6536" t="s">
        <v>17</v>
      </c>
      <c r="E6536" s="68">
        <v>2423</v>
      </c>
      <c r="F6536" s="68">
        <v>2054</v>
      </c>
      <c r="G6536" s="68">
        <v>4477</v>
      </c>
    </row>
    <row r="6537" spans="1:7" x14ac:dyDescent="0.3">
      <c r="A6537" t="s">
        <v>1395</v>
      </c>
      <c r="B6537" t="s">
        <v>5</v>
      </c>
      <c r="C6537" t="s">
        <v>6</v>
      </c>
      <c r="D6537" t="s">
        <v>18</v>
      </c>
      <c r="E6537" s="68">
        <v>2556</v>
      </c>
      <c r="F6537" s="68">
        <v>2125</v>
      </c>
      <c r="G6537" s="68">
        <v>4681</v>
      </c>
    </row>
    <row r="6538" spans="1:7" x14ac:dyDescent="0.3">
      <c r="A6538" t="s">
        <v>1395</v>
      </c>
      <c r="B6538" t="s">
        <v>5</v>
      </c>
      <c r="C6538" t="s">
        <v>6</v>
      </c>
      <c r="D6538" t="s">
        <v>19</v>
      </c>
      <c r="E6538" s="68">
        <v>2779</v>
      </c>
      <c r="F6538" s="68">
        <v>2191</v>
      </c>
      <c r="G6538" s="68">
        <v>4970</v>
      </c>
    </row>
    <row r="6539" spans="1:7" x14ac:dyDescent="0.3">
      <c r="A6539" t="s">
        <v>1395</v>
      </c>
      <c r="B6539" t="s">
        <v>5</v>
      </c>
      <c r="C6539" t="s">
        <v>6</v>
      </c>
      <c r="D6539" t="s">
        <v>20</v>
      </c>
      <c r="E6539" s="68">
        <v>2255</v>
      </c>
      <c r="F6539" s="68">
        <v>1875</v>
      </c>
      <c r="G6539" s="68">
        <v>4130</v>
      </c>
    </row>
    <row r="6540" spans="1:7" x14ac:dyDescent="0.3">
      <c r="A6540" t="s">
        <v>1395</v>
      </c>
      <c r="B6540" t="s">
        <v>5</v>
      </c>
      <c r="C6540" t="s">
        <v>6</v>
      </c>
      <c r="D6540" t="s">
        <v>21</v>
      </c>
      <c r="E6540" s="68">
        <v>1792</v>
      </c>
      <c r="F6540" s="68">
        <v>1398</v>
      </c>
      <c r="G6540" s="68">
        <v>3190</v>
      </c>
    </row>
    <row r="6541" spans="1:7" x14ac:dyDescent="0.3">
      <c r="A6541" t="s">
        <v>1395</v>
      </c>
      <c r="B6541" t="s">
        <v>5</v>
      </c>
      <c r="C6541" t="s">
        <v>6</v>
      </c>
      <c r="D6541" t="s">
        <v>22</v>
      </c>
      <c r="E6541" s="68">
        <v>1120</v>
      </c>
      <c r="F6541" s="68">
        <v>866</v>
      </c>
      <c r="G6541" s="68">
        <v>1986</v>
      </c>
    </row>
    <row r="6542" spans="1:7" x14ac:dyDescent="0.3">
      <c r="A6542" t="s">
        <v>1395</v>
      </c>
      <c r="B6542" t="s">
        <v>5</v>
      </c>
      <c r="C6542" t="s">
        <v>6</v>
      </c>
      <c r="D6542" t="s">
        <v>23</v>
      </c>
      <c r="E6542" s="68">
        <v>1412</v>
      </c>
      <c r="F6542" s="68">
        <v>895</v>
      </c>
      <c r="G6542" s="68">
        <v>2307</v>
      </c>
    </row>
    <row r="6543" spans="1:7" x14ac:dyDescent="0.3">
      <c r="A6543" t="s">
        <v>1395</v>
      </c>
      <c r="B6543" t="s">
        <v>5</v>
      </c>
      <c r="C6543" t="s">
        <v>24</v>
      </c>
      <c r="D6543" t="s">
        <v>7</v>
      </c>
      <c r="E6543" s="68">
        <v>261</v>
      </c>
      <c r="F6543" s="68">
        <v>308</v>
      </c>
      <c r="G6543" s="68">
        <v>569</v>
      </c>
    </row>
    <row r="6544" spans="1:7" x14ac:dyDescent="0.3">
      <c r="A6544" t="s">
        <v>1395</v>
      </c>
      <c r="B6544" t="s">
        <v>5</v>
      </c>
      <c r="C6544" t="s">
        <v>24</v>
      </c>
      <c r="D6544" t="s">
        <v>8</v>
      </c>
      <c r="E6544" s="68">
        <v>523</v>
      </c>
      <c r="F6544" s="68">
        <v>568</v>
      </c>
      <c r="G6544" s="68">
        <v>1091</v>
      </c>
    </row>
    <row r="6545" spans="1:7" x14ac:dyDescent="0.3">
      <c r="A6545" t="s">
        <v>1395</v>
      </c>
      <c r="B6545" t="s">
        <v>5</v>
      </c>
      <c r="C6545" t="s">
        <v>24</v>
      </c>
      <c r="D6545" t="s">
        <v>9</v>
      </c>
      <c r="E6545" s="68">
        <v>780</v>
      </c>
      <c r="F6545" s="68">
        <v>829</v>
      </c>
      <c r="G6545" s="68">
        <v>1609</v>
      </c>
    </row>
    <row r="6546" spans="1:7" x14ac:dyDescent="0.3">
      <c r="A6546" t="s">
        <v>1395</v>
      </c>
      <c r="B6546" t="s">
        <v>5</v>
      </c>
      <c r="C6546" t="s">
        <v>24</v>
      </c>
      <c r="D6546" t="s">
        <v>10</v>
      </c>
      <c r="E6546" s="68">
        <v>737</v>
      </c>
      <c r="F6546" s="68">
        <v>830</v>
      </c>
      <c r="G6546" s="68">
        <v>1567</v>
      </c>
    </row>
    <row r="6547" spans="1:7" x14ac:dyDescent="0.3">
      <c r="A6547" t="s">
        <v>1395</v>
      </c>
      <c r="B6547" t="s">
        <v>5</v>
      </c>
      <c r="C6547" t="s">
        <v>24</v>
      </c>
      <c r="D6547" t="s">
        <v>11</v>
      </c>
      <c r="E6547" s="68">
        <v>749</v>
      </c>
      <c r="F6547" s="68">
        <v>716</v>
      </c>
      <c r="G6547" s="68">
        <v>1465</v>
      </c>
    </row>
    <row r="6548" spans="1:7" x14ac:dyDescent="0.3">
      <c r="A6548" t="s">
        <v>1395</v>
      </c>
      <c r="B6548" t="s">
        <v>5</v>
      </c>
      <c r="C6548" t="s">
        <v>24</v>
      </c>
      <c r="D6548" t="s">
        <v>12</v>
      </c>
      <c r="E6548" s="68">
        <v>843</v>
      </c>
      <c r="F6548" s="68">
        <v>846</v>
      </c>
      <c r="G6548" s="68">
        <v>1689</v>
      </c>
    </row>
    <row r="6549" spans="1:7" x14ac:dyDescent="0.3">
      <c r="A6549" t="s">
        <v>1395</v>
      </c>
      <c r="B6549" t="s">
        <v>5</v>
      </c>
      <c r="C6549" t="s">
        <v>24</v>
      </c>
      <c r="D6549" t="s">
        <v>13</v>
      </c>
      <c r="E6549" s="68">
        <v>868</v>
      </c>
      <c r="F6549" s="68">
        <v>810</v>
      </c>
      <c r="G6549" s="68">
        <v>1678</v>
      </c>
    </row>
    <row r="6550" spans="1:7" x14ac:dyDescent="0.3">
      <c r="A6550" t="s">
        <v>1395</v>
      </c>
      <c r="B6550" t="s">
        <v>5</v>
      </c>
      <c r="C6550" t="s">
        <v>24</v>
      </c>
      <c r="D6550" t="s">
        <v>14</v>
      </c>
      <c r="E6550" s="68">
        <v>719</v>
      </c>
      <c r="F6550" s="68">
        <v>682</v>
      </c>
      <c r="G6550" s="68">
        <v>1401</v>
      </c>
    </row>
    <row r="6551" spans="1:7" x14ac:dyDescent="0.3">
      <c r="A6551" t="s">
        <v>1395</v>
      </c>
      <c r="B6551" t="s">
        <v>5</v>
      </c>
      <c r="C6551" t="s">
        <v>24</v>
      </c>
      <c r="D6551" t="s">
        <v>15</v>
      </c>
      <c r="E6551" s="68">
        <v>615</v>
      </c>
      <c r="F6551" s="68">
        <v>517</v>
      </c>
      <c r="G6551" s="68">
        <v>1132</v>
      </c>
    </row>
    <row r="6552" spans="1:7" x14ac:dyDescent="0.3">
      <c r="A6552" t="s">
        <v>1395</v>
      </c>
      <c r="B6552" t="s">
        <v>5</v>
      </c>
      <c r="C6552" t="s">
        <v>24</v>
      </c>
      <c r="D6552" t="s">
        <v>16</v>
      </c>
      <c r="E6552" s="68">
        <v>555</v>
      </c>
      <c r="F6552" s="68">
        <v>460</v>
      </c>
      <c r="G6552" s="68">
        <v>1015</v>
      </c>
    </row>
    <row r="6553" spans="1:7" x14ac:dyDescent="0.3">
      <c r="A6553" t="s">
        <v>1395</v>
      </c>
      <c r="B6553" t="s">
        <v>5</v>
      </c>
      <c r="C6553" t="s">
        <v>24</v>
      </c>
      <c r="D6553" t="s">
        <v>17</v>
      </c>
      <c r="E6553" s="68">
        <v>490</v>
      </c>
      <c r="F6553" s="68">
        <v>417</v>
      </c>
      <c r="G6553" s="68">
        <v>907</v>
      </c>
    </row>
    <row r="6554" spans="1:7" x14ac:dyDescent="0.3">
      <c r="A6554" t="s">
        <v>1395</v>
      </c>
      <c r="B6554" t="s">
        <v>5</v>
      </c>
      <c r="C6554" t="s">
        <v>24</v>
      </c>
      <c r="D6554" t="s">
        <v>18</v>
      </c>
      <c r="E6554" s="68">
        <v>548</v>
      </c>
      <c r="F6554" s="68">
        <v>439</v>
      </c>
      <c r="G6554" s="68">
        <v>987</v>
      </c>
    </row>
    <row r="6555" spans="1:7" x14ac:dyDescent="0.3">
      <c r="A6555" t="s">
        <v>1395</v>
      </c>
      <c r="B6555" t="s">
        <v>5</v>
      </c>
      <c r="C6555" t="s">
        <v>24</v>
      </c>
      <c r="D6555" t="s">
        <v>19</v>
      </c>
      <c r="E6555" s="68">
        <v>447</v>
      </c>
      <c r="F6555" s="68">
        <v>440</v>
      </c>
      <c r="G6555" s="68">
        <v>887</v>
      </c>
    </row>
    <row r="6556" spans="1:7" x14ac:dyDescent="0.3">
      <c r="A6556" t="s">
        <v>1395</v>
      </c>
      <c r="B6556" t="s">
        <v>5</v>
      </c>
      <c r="C6556" t="s">
        <v>24</v>
      </c>
      <c r="D6556" t="s">
        <v>20</v>
      </c>
      <c r="E6556" s="68">
        <v>416</v>
      </c>
      <c r="F6556" s="68">
        <v>412</v>
      </c>
      <c r="G6556" s="68">
        <v>828</v>
      </c>
    </row>
    <row r="6557" spans="1:7" x14ac:dyDescent="0.3">
      <c r="A6557" t="s">
        <v>1395</v>
      </c>
      <c r="B6557" t="s">
        <v>5</v>
      </c>
      <c r="C6557" t="s">
        <v>24</v>
      </c>
      <c r="D6557" t="s">
        <v>21</v>
      </c>
      <c r="E6557" s="68">
        <v>316</v>
      </c>
      <c r="F6557" s="68">
        <v>328</v>
      </c>
      <c r="G6557" s="68">
        <v>644</v>
      </c>
    </row>
    <row r="6558" spans="1:7" x14ac:dyDescent="0.3">
      <c r="A6558" t="s">
        <v>1395</v>
      </c>
      <c r="B6558" t="s">
        <v>5</v>
      </c>
      <c r="C6558" t="s">
        <v>24</v>
      </c>
      <c r="D6558" t="s">
        <v>22</v>
      </c>
      <c r="E6558" s="68">
        <v>246</v>
      </c>
      <c r="F6558" s="68">
        <v>202</v>
      </c>
      <c r="G6558" s="68">
        <v>448</v>
      </c>
    </row>
    <row r="6559" spans="1:7" x14ac:dyDescent="0.3">
      <c r="A6559" t="s">
        <v>1395</v>
      </c>
      <c r="B6559" t="s">
        <v>5</v>
      </c>
      <c r="C6559" t="s">
        <v>24</v>
      </c>
      <c r="D6559" t="s">
        <v>23</v>
      </c>
      <c r="E6559" s="68">
        <v>325</v>
      </c>
      <c r="F6559" s="68">
        <v>256</v>
      </c>
      <c r="G6559" s="68">
        <v>581</v>
      </c>
    </row>
    <row r="6560" spans="1:7" x14ac:dyDescent="0.3">
      <c r="A6560" t="s">
        <v>1395</v>
      </c>
      <c r="B6560" t="s">
        <v>33</v>
      </c>
      <c r="C6560" t="s">
        <v>6</v>
      </c>
      <c r="D6560" t="s">
        <v>7</v>
      </c>
      <c r="E6560" s="68">
        <v>116</v>
      </c>
      <c r="F6560" s="68">
        <v>159</v>
      </c>
      <c r="G6560" s="68">
        <v>275</v>
      </c>
    </row>
    <row r="6561" spans="1:7" x14ac:dyDescent="0.3">
      <c r="A6561" t="s">
        <v>1395</v>
      </c>
      <c r="B6561" t="s">
        <v>33</v>
      </c>
      <c r="C6561" t="s">
        <v>6</v>
      </c>
      <c r="D6561" t="s">
        <v>8</v>
      </c>
      <c r="E6561" s="68">
        <v>268</v>
      </c>
      <c r="F6561" s="68">
        <v>266</v>
      </c>
      <c r="G6561" s="68">
        <v>534</v>
      </c>
    </row>
    <row r="6562" spans="1:7" x14ac:dyDescent="0.3">
      <c r="A6562" t="s">
        <v>1395</v>
      </c>
      <c r="B6562" t="s">
        <v>33</v>
      </c>
      <c r="C6562" t="s">
        <v>6</v>
      </c>
      <c r="D6562" t="s">
        <v>9</v>
      </c>
      <c r="E6562" s="68">
        <v>339</v>
      </c>
      <c r="F6562" s="68">
        <v>314</v>
      </c>
      <c r="G6562" s="68">
        <v>653</v>
      </c>
    </row>
    <row r="6563" spans="1:7" x14ac:dyDescent="0.3">
      <c r="A6563" t="s">
        <v>1395</v>
      </c>
      <c r="B6563" t="s">
        <v>33</v>
      </c>
      <c r="C6563" t="s">
        <v>6</v>
      </c>
      <c r="D6563" t="s">
        <v>10</v>
      </c>
      <c r="E6563" s="68">
        <v>426</v>
      </c>
      <c r="F6563" s="68">
        <v>460</v>
      </c>
      <c r="G6563" s="68">
        <v>886</v>
      </c>
    </row>
    <row r="6564" spans="1:7" x14ac:dyDescent="0.3">
      <c r="A6564" t="s">
        <v>1395</v>
      </c>
      <c r="B6564" t="s">
        <v>33</v>
      </c>
      <c r="C6564" t="s">
        <v>6</v>
      </c>
      <c r="D6564" t="s">
        <v>11</v>
      </c>
      <c r="E6564" s="68">
        <v>519</v>
      </c>
      <c r="F6564" s="68">
        <v>530</v>
      </c>
      <c r="G6564" s="68">
        <v>1049</v>
      </c>
    </row>
    <row r="6565" spans="1:7" x14ac:dyDescent="0.3">
      <c r="A6565" t="s">
        <v>1395</v>
      </c>
      <c r="B6565" t="s">
        <v>33</v>
      </c>
      <c r="C6565" t="s">
        <v>6</v>
      </c>
      <c r="D6565" t="s">
        <v>12</v>
      </c>
      <c r="E6565" s="68">
        <v>317</v>
      </c>
      <c r="F6565" s="68">
        <v>350</v>
      </c>
      <c r="G6565" s="68">
        <v>667</v>
      </c>
    </row>
    <row r="6566" spans="1:7" x14ac:dyDescent="0.3">
      <c r="A6566" t="s">
        <v>1395</v>
      </c>
      <c r="B6566" t="s">
        <v>33</v>
      </c>
      <c r="C6566" t="s">
        <v>6</v>
      </c>
      <c r="D6566" t="s">
        <v>13</v>
      </c>
      <c r="E6566" s="68">
        <v>379</v>
      </c>
      <c r="F6566" s="68">
        <v>427</v>
      </c>
      <c r="G6566" s="68">
        <v>806</v>
      </c>
    </row>
    <row r="6567" spans="1:7" x14ac:dyDescent="0.3">
      <c r="A6567" t="s">
        <v>1395</v>
      </c>
      <c r="B6567" t="s">
        <v>33</v>
      </c>
      <c r="C6567" t="s">
        <v>6</v>
      </c>
      <c r="D6567" t="s">
        <v>14</v>
      </c>
      <c r="E6567" s="68">
        <v>512</v>
      </c>
      <c r="F6567" s="68">
        <v>541</v>
      </c>
      <c r="G6567" s="68">
        <v>1053</v>
      </c>
    </row>
    <row r="6568" spans="1:7" x14ac:dyDescent="0.3">
      <c r="A6568" t="s">
        <v>1395</v>
      </c>
      <c r="B6568" t="s">
        <v>33</v>
      </c>
      <c r="C6568" t="s">
        <v>6</v>
      </c>
      <c r="D6568" t="s">
        <v>15</v>
      </c>
      <c r="E6568" s="68">
        <v>576</v>
      </c>
      <c r="F6568" s="68">
        <v>561</v>
      </c>
      <c r="G6568" s="68">
        <v>1137</v>
      </c>
    </row>
    <row r="6569" spans="1:7" x14ac:dyDescent="0.3">
      <c r="A6569" t="s">
        <v>1395</v>
      </c>
      <c r="B6569" t="s">
        <v>33</v>
      </c>
      <c r="C6569" t="s">
        <v>6</v>
      </c>
      <c r="D6569" t="s">
        <v>16</v>
      </c>
      <c r="E6569" s="68">
        <v>551</v>
      </c>
      <c r="F6569" s="68">
        <v>569</v>
      </c>
      <c r="G6569" s="68">
        <v>1120</v>
      </c>
    </row>
    <row r="6570" spans="1:7" x14ac:dyDescent="0.3">
      <c r="A6570" t="s">
        <v>1395</v>
      </c>
      <c r="B6570" t="s">
        <v>33</v>
      </c>
      <c r="C6570" t="s">
        <v>6</v>
      </c>
      <c r="D6570" t="s">
        <v>17</v>
      </c>
      <c r="E6570" s="68">
        <v>487</v>
      </c>
      <c r="F6570" s="68">
        <v>503</v>
      </c>
      <c r="G6570" s="68">
        <v>990</v>
      </c>
    </row>
    <row r="6571" spans="1:7" x14ac:dyDescent="0.3">
      <c r="A6571" t="s">
        <v>1395</v>
      </c>
      <c r="B6571" t="s">
        <v>33</v>
      </c>
      <c r="C6571" t="s">
        <v>6</v>
      </c>
      <c r="D6571" t="s">
        <v>18</v>
      </c>
      <c r="E6571" s="68">
        <v>472</v>
      </c>
      <c r="F6571" s="68">
        <v>498</v>
      </c>
      <c r="G6571" s="68">
        <v>970</v>
      </c>
    </row>
    <row r="6572" spans="1:7" x14ac:dyDescent="0.3">
      <c r="A6572" t="s">
        <v>1395</v>
      </c>
      <c r="B6572" t="s">
        <v>33</v>
      </c>
      <c r="C6572" t="s">
        <v>6</v>
      </c>
      <c r="D6572" t="s">
        <v>19</v>
      </c>
      <c r="E6572" s="68">
        <v>419</v>
      </c>
      <c r="F6572" s="68">
        <v>465</v>
      </c>
      <c r="G6572" s="68">
        <v>884</v>
      </c>
    </row>
    <row r="6573" spans="1:7" x14ac:dyDescent="0.3">
      <c r="A6573" t="s">
        <v>1395</v>
      </c>
      <c r="B6573" t="s">
        <v>33</v>
      </c>
      <c r="C6573" t="s">
        <v>6</v>
      </c>
      <c r="D6573" t="s">
        <v>20</v>
      </c>
      <c r="E6573" s="68">
        <v>355</v>
      </c>
      <c r="F6573" s="68">
        <v>311</v>
      </c>
      <c r="G6573" s="68">
        <v>666</v>
      </c>
    </row>
    <row r="6574" spans="1:7" x14ac:dyDescent="0.3">
      <c r="A6574" t="s">
        <v>1395</v>
      </c>
      <c r="B6574" t="s">
        <v>33</v>
      </c>
      <c r="C6574" t="s">
        <v>6</v>
      </c>
      <c r="D6574" t="s">
        <v>21</v>
      </c>
      <c r="E6574" s="68">
        <v>270</v>
      </c>
      <c r="F6574" s="68">
        <v>286</v>
      </c>
      <c r="G6574" s="68">
        <v>556</v>
      </c>
    </row>
    <row r="6575" spans="1:7" x14ac:dyDescent="0.3">
      <c r="A6575" t="s">
        <v>1395</v>
      </c>
      <c r="B6575" t="s">
        <v>33</v>
      </c>
      <c r="C6575" t="s">
        <v>6</v>
      </c>
      <c r="D6575" t="s">
        <v>22</v>
      </c>
      <c r="E6575" s="68">
        <v>171</v>
      </c>
      <c r="F6575" s="68">
        <v>174</v>
      </c>
      <c r="G6575" s="68">
        <v>345</v>
      </c>
    </row>
    <row r="6576" spans="1:7" x14ac:dyDescent="0.3">
      <c r="A6576" t="s">
        <v>1395</v>
      </c>
      <c r="B6576" t="s">
        <v>33</v>
      </c>
      <c r="C6576" t="s">
        <v>6</v>
      </c>
      <c r="D6576" t="s">
        <v>23</v>
      </c>
      <c r="E6576" s="68">
        <v>203</v>
      </c>
      <c r="F6576" s="68">
        <v>156</v>
      </c>
      <c r="G6576" s="68">
        <v>359</v>
      </c>
    </row>
    <row r="6577" spans="1:7" x14ac:dyDescent="0.3">
      <c r="A6577" t="s">
        <v>1395</v>
      </c>
      <c r="B6577" t="s">
        <v>33</v>
      </c>
      <c r="C6577" t="s">
        <v>24</v>
      </c>
      <c r="D6577" t="s">
        <v>7</v>
      </c>
      <c r="E6577" s="68">
        <v>97</v>
      </c>
      <c r="F6577" s="68">
        <v>109</v>
      </c>
      <c r="G6577" s="68">
        <v>206</v>
      </c>
    </row>
    <row r="6578" spans="1:7" x14ac:dyDescent="0.3">
      <c r="A6578" t="s">
        <v>1395</v>
      </c>
      <c r="B6578" t="s">
        <v>33</v>
      </c>
      <c r="C6578" t="s">
        <v>24</v>
      </c>
      <c r="D6578" t="s">
        <v>8</v>
      </c>
      <c r="E6578" s="68">
        <v>177</v>
      </c>
      <c r="F6578" s="68">
        <v>189</v>
      </c>
      <c r="G6578" s="68">
        <v>366</v>
      </c>
    </row>
    <row r="6579" spans="1:7" x14ac:dyDescent="0.3">
      <c r="A6579" t="s">
        <v>1395</v>
      </c>
      <c r="B6579" t="s">
        <v>33</v>
      </c>
      <c r="C6579" t="s">
        <v>24</v>
      </c>
      <c r="D6579" t="s">
        <v>9</v>
      </c>
      <c r="E6579" s="68">
        <v>197</v>
      </c>
      <c r="F6579" s="68">
        <v>205</v>
      </c>
      <c r="G6579" s="68">
        <v>402</v>
      </c>
    </row>
    <row r="6580" spans="1:7" x14ac:dyDescent="0.3">
      <c r="A6580" t="s">
        <v>1395</v>
      </c>
      <c r="B6580" t="s">
        <v>33</v>
      </c>
      <c r="C6580" t="s">
        <v>24</v>
      </c>
      <c r="D6580" t="s">
        <v>10</v>
      </c>
      <c r="E6580" s="68">
        <v>209</v>
      </c>
      <c r="F6580" s="68">
        <v>201</v>
      </c>
      <c r="G6580" s="68">
        <v>410</v>
      </c>
    </row>
    <row r="6581" spans="1:7" x14ac:dyDescent="0.3">
      <c r="A6581" t="s">
        <v>1395</v>
      </c>
      <c r="B6581" t="s">
        <v>33</v>
      </c>
      <c r="C6581" t="s">
        <v>24</v>
      </c>
      <c r="D6581" t="s">
        <v>11</v>
      </c>
      <c r="E6581" s="68">
        <v>185</v>
      </c>
      <c r="F6581" s="68">
        <v>193</v>
      </c>
      <c r="G6581" s="68">
        <v>378</v>
      </c>
    </row>
    <row r="6582" spans="1:7" x14ac:dyDescent="0.3">
      <c r="A6582" t="s">
        <v>1395</v>
      </c>
      <c r="B6582" t="s">
        <v>33</v>
      </c>
      <c r="C6582" t="s">
        <v>24</v>
      </c>
      <c r="D6582" t="s">
        <v>12</v>
      </c>
      <c r="E6582" s="68">
        <v>292</v>
      </c>
      <c r="F6582" s="68">
        <v>304</v>
      </c>
      <c r="G6582" s="68">
        <v>596</v>
      </c>
    </row>
    <row r="6583" spans="1:7" x14ac:dyDescent="0.3">
      <c r="A6583" t="s">
        <v>1395</v>
      </c>
      <c r="B6583" t="s">
        <v>33</v>
      </c>
      <c r="C6583" t="s">
        <v>24</v>
      </c>
      <c r="D6583" t="s">
        <v>13</v>
      </c>
      <c r="E6583" s="68">
        <v>315</v>
      </c>
      <c r="F6583" s="68">
        <v>363</v>
      </c>
      <c r="G6583" s="68">
        <v>678</v>
      </c>
    </row>
    <row r="6584" spans="1:7" x14ac:dyDescent="0.3">
      <c r="A6584" t="s">
        <v>1395</v>
      </c>
      <c r="B6584" t="s">
        <v>33</v>
      </c>
      <c r="C6584" t="s">
        <v>24</v>
      </c>
      <c r="D6584" t="s">
        <v>14</v>
      </c>
      <c r="E6584" s="68">
        <v>291</v>
      </c>
      <c r="F6584" s="68">
        <v>369</v>
      </c>
      <c r="G6584" s="68">
        <v>660</v>
      </c>
    </row>
    <row r="6585" spans="1:7" x14ac:dyDescent="0.3">
      <c r="A6585" t="s">
        <v>1395</v>
      </c>
      <c r="B6585" t="s">
        <v>33</v>
      </c>
      <c r="C6585" t="s">
        <v>24</v>
      </c>
      <c r="D6585" t="s">
        <v>15</v>
      </c>
      <c r="E6585" s="68">
        <v>259</v>
      </c>
      <c r="F6585" s="68">
        <v>294</v>
      </c>
      <c r="G6585" s="68">
        <v>553</v>
      </c>
    </row>
    <row r="6586" spans="1:7" x14ac:dyDescent="0.3">
      <c r="A6586" t="s">
        <v>1395</v>
      </c>
      <c r="B6586" t="s">
        <v>33</v>
      </c>
      <c r="C6586" t="s">
        <v>24</v>
      </c>
      <c r="D6586" t="s">
        <v>16</v>
      </c>
      <c r="E6586" s="68">
        <v>210</v>
      </c>
      <c r="F6586" s="68">
        <v>252</v>
      </c>
      <c r="G6586" s="68">
        <v>462</v>
      </c>
    </row>
    <row r="6587" spans="1:7" x14ac:dyDescent="0.3">
      <c r="A6587" t="s">
        <v>1395</v>
      </c>
      <c r="B6587" t="s">
        <v>33</v>
      </c>
      <c r="C6587" t="s">
        <v>24</v>
      </c>
      <c r="D6587" t="s">
        <v>17</v>
      </c>
      <c r="E6587" s="68">
        <v>139</v>
      </c>
      <c r="F6587" s="68">
        <v>184</v>
      </c>
      <c r="G6587" s="68">
        <v>323</v>
      </c>
    </row>
    <row r="6588" spans="1:7" x14ac:dyDescent="0.3">
      <c r="A6588" t="s">
        <v>1395</v>
      </c>
      <c r="B6588" t="s">
        <v>33</v>
      </c>
      <c r="C6588" t="s">
        <v>24</v>
      </c>
      <c r="D6588" t="s">
        <v>18</v>
      </c>
      <c r="E6588" s="68">
        <v>149</v>
      </c>
      <c r="F6588" s="68">
        <v>178</v>
      </c>
      <c r="G6588" s="68">
        <v>327</v>
      </c>
    </row>
    <row r="6589" spans="1:7" x14ac:dyDescent="0.3">
      <c r="A6589" t="s">
        <v>1395</v>
      </c>
      <c r="B6589" t="s">
        <v>33</v>
      </c>
      <c r="C6589" t="s">
        <v>24</v>
      </c>
      <c r="D6589" t="s">
        <v>19</v>
      </c>
      <c r="E6589" s="68">
        <v>123</v>
      </c>
      <c r="F6589" s="68">
        <v>172</v>
      </c>
      <c r="G6589" s="68">
        <v>295</v>
      </c>
    </row>
    <row r="6590" spans="1:7" x14ac:dyDescent="0.3">
      <c r="A6590" t="s">
        <v>1395</v>
      </c>
      <c r="B6590" t="s">
        <v>33</v>
      </c>
      <c r="C6590" t="s">
        <v>24</v>
      </c>
      <c r="D6590" t="s">
        <v>20</v>
      </c>
      <c r="E6590" s="68">
        <v>73</v>
      </c>
      <c r="F6590" s="68">
        <v>116</v>
      </c>
      <c r="G6590" s="68">
        <v>189</v>
      </c>
    </row>
    <row r="6591" spans="1:7" x14ac:dyDescent="0.3">
      <c r="A6591" t="s">
        <v>1395</v>
      </c>
      <c r="B6591" t="s">
        <v>33</v>
      </c>
      <c r="C6591" t="s">
        <v>24</v>
      </c>
      <c r="D6591" t="s">
        <v>21</v>
      </c>
      <c r="E6591" s="68">
        <v>37</v>
      </c>
      <c r="F6591" s="68">
        <v>62</v>
      </c>
      <c r="G6591" s="68">
        <v>99</v>
      </c>
    </row>
    <row r="6592" spans="1:7" x14ac:dyDescent="0.3">
      <c r="A6592" t="s">
        <v>1395</v>
      </c>
      <c r="B6592" t="s">
        <v>33</v>
      </c>
      <c r="C6592" t="s">
        <v>24</v>
      </c>
      <c r="D6592" t="s">
        <v>22</v>
      </c>
      <c r="E6592" s="68">
        <v>22</v>
      </c>
      <c r="F6592" s="68">
        <v>29</v>
      </c>
      <c r="G6592" s="68">
        <v>51</v>
      </c>
    </row>
    <row r="6593" spans="1:7" x14ac:dyDescent="0.3">
      <c r="A6593" t="s">
        <v>1395</v>
      </c>
      <c r="B6593" t="s">
        <v>33</v>
      </c>
      <c r="C6593" t="s">
        <v>24</v>
      </c>
      <c r="D6593" t="s">
        <v>23</v>
      </c>
      <c r="E6593" s="68">
        <v>12</v>
      </c>
      <c r="F6593" s="68">
        <v>18</v>
      </c>
      <c r="G6593" s="68">
        <v>30</v>
      </c>
    </row>
    <row r="6594" spans="1:7" x14ac:dyDescent="0.3">
      <c r="A6594" t="s">
        <v>1395</v>
      </c>
      <c r="B6594" t="s">
        <v>34</v>
      </c>
      <c r="C6594" t="s">
        <v>6</v>
      </c>
      <c r="D6594" t="s">
        <v>7</v>
      </c>
      <c r="E6594" s="68">
        <v>1261</v>
      </c>
      <c r="F6594" s="68">
        <v>1412</v>
      </c>
      <c r="G6594" s="68">
        <v>2673</v>
      </c>
    </row>
    <row r="6595" spans="1:7" x14ac:dyDescent="0.3">
      <c r="A6595" t="s">
        <v>1395</v>
      </c>
      <c r="B6595" t="s">
        <v>34</v>
      </c>
      <c r="C6595" t="s">
        <v>6</v>
      </c>
      <c r="D6595" t="s">
        <v>8</v>
      </c>
      <c r="E6595" s="68">
        <v>1845</v>
      </c>
      <c r="F6595" s="68">
        <v>1955</v>
      </c>
      <c r="G6595" s="68">
        <v>3800</v>
      </c>
    </row>
    <row r="6596" spans="1:7" x14ac:dyDescent="0.3">
      <c r="A6596" t="s">
        <v>1395</v>
      </c>
      <c r="B6596" t="s">
        <v>34</v>
      </c>
      <c r="C6596" t="s">
        <v>6</v>
      </c>
      <c r="D6596" t="s">
        <v>9</v>
      </c>
      <c r="E6596" s="68">
        <v>2167</v>
      </c>
      <c r="F6596" s="68">
        <v>2180</v>
      </c>
      <c r="G6596" s="68">
        <v>4347</v>
      </c>
    </row>
    <row r="6597" spans="1:7" x14ac:dyDescent="0.3">
      <c r="A6597" t="s">
        <v>1395</v>
      </c>
      <c r="B6597" t="s">
        <v>34</v>
      </c>
      <c r="C6597" t="s">
        <v>6</v>
      </c>
      <c r="D6597" t="s">
        <v>10</v>
      </c>
      <c r="E6597" s="68">
        <v>2271</v>
      </c>
      <c r="F6597" s="68">
        <v>2304</v>
      </c>
      <c r="G6597" s="68">
        <v>4575</v>
      </c>
    </row>
    <row r="6598" spans="1:7" x14ac:dyDescent="0.3">
      <c r="A6598" t="s">
        <v>1395</v>
      </c>
      <c r="B6598" t="s">
        <v>34</v>
      </c>
      <c r="C6598" t="s">
        <v>6</v>
      </c>
      <c r="D6598" t="s">
        <v>11</v>
      </c>
      <c r="E6598" s="68">
        <v>2633</v>
      </c>
      <c r="F6598" s="68">
        <v>2871</v>
      </c>
      <c r="G6598" s="68">
        <v>5504</v>
      </c>
    </row>
    <row r="6599" spans="1:7" x14ac:dyDescent="0.3">
      <c r="A6599" t="s">
        <v>1395</v>
      </c>
      <c r="B6599" t="s">
        <v>34</v>
      </c>
      <c r="C6599" t="s">
        <v>6</v>
      </c>
      <c r="D6599" t="s">
        <v>12</v>
      </c>
      <c r="E6599" s="68">
        <v>3365</v>
      </c>
      <c r="F6599" s="68">
        <v>2956</v>
      </c>
      <c r="G6599" s="68">
        <v>6321</v>
      </c>
    </row>
    <row r="6600" spans="1:7" x14ac:dyDescent="0.3">
      <c r="A6600" t="s">
        <v>1395</v>
      </c>
      <c r="B6600" t="s">
        <v>34</v>
      </c>
      <c r="C6600" t="s">
        <v>6</v>
      </c>
      <c r="D6600" t="s">
        <v>13</v>
      </c>
      <c r="E6600" s="68">
        <v>4165</v>
      </c>
      <c r="F6600" s="68">
        <v>3671</v>
      </c>
      <c r="G6600" s="68">
        <v>7836</v>
      </c>
    </row>
    <row r="6601" spans="1:7" x14ac:dyDescent="0.3">
      <c r="A6601" t="s">
        <v>1395</v>
      </c>
      <c r="B6601" t="s">
        <v>34</v>
      </c>
      <c r="C6601" t="s">
        <v>6</v>
      </c>
      <c r="D6601" t="s">
        <v>14</v>
      </c>
      <c r="E6601" s="68">
        <v>4090</v>
      </c>
      <c r="F6601" s="68">
        <v>3531</v>
      </c>
      <c r="G6601" s="68">
        <v>7621</v>
      </c>
    </row>
    <row r="6602" spans="1:7" x14ac:dyDescent="0.3">
      <c r="A6602" t="s">
        <v>1395</v>
      </c>
      <c r="B6602" t="s">
        <v>34</v>
      </c>
      <c r="C6602" t="s">
        <v>6</v>
      </c>
      <c r="D6602" t="s">
        <v>15</v>
      </c>
      <c r="E6602" s="68">
        <v>3914</v>
      </c>
      <c r="F6602" s="68">
        <v>3518</v>
      </c>
      <c r="G6602" s="68">
        <v>7432</v>
      </c>
    </row>
    <row r="6603" spans="1:7" x14ac:dyDescent="0.3">
      <c r="A6603" t="s">
        <v>1395</v>
      </c>
      <c r="B6603" t="s">
        <v>34</v>
      </c>
      <c r="C6603" t="s">
        <v>6</v>
      </c>
      <c r="D6603" t="s">
        <v>16</v>
      </c>
      <c r="E6603" s="68">
        <v>3485</v>
      </c>
      <c r="F6603" s="68">
        <v>3213</v>
      </c>
      <c r="G6603" s="68">
        <v>6698</v>
      </c>
    </row>
    <row r="6604" spans="1:7" x14ac:dyDescent="0.3">
      <c r="A6604" t="s">
        <v>1395</v>
      </c>
      <c r="B6604" t="s">
        <v>34</v>
      </c>
      <c r="C6604" t="s">
        <v>6</v>
      </c>
      <c r="D6604" t="s">
        <v>17</v>
      </c>
      <c r="E6604" s="68">
        <v>2862</v>
      </c>
      <c r="F6604" s="68">
        <v>2615</v>
      </c>
      <c r="G6604" s="68">
        <v>5477</v>
      </c>
    </row>
    <row r="6605" spans="1:7" x14ac:dyDescent="0.3">
      <c r="A6605" t="s">
        <v>1395</v>
      </c>
      <c r="B6605" t="s">
        <v>34</v>
      </c>
      <c r="C6605" t="s">
        <v>6</v>
      </c>
      <c r="D6605" t="s">
        <v>18</v>
      </c>
      <c r="E6605" s="68">
        <v>3237</v>
      </c>
      <c r="F6605" s="68">
        <v>2591</v>
      </c>
      <c r="G6605" s="68">
        <v>5828</v>
      </c>
    </row>
    <row r="6606" spans="1:7" x14ac:dyDescent="0.3">
      <c r="A6606" t="s">
        <v>1395</v>
      </c>
      <c r="B6606" t="s">
        <v>34</v>
      </c>
      <c r="C6606" t="s">
        <v>6</v>
      </c>
      <c r="D6606" t="s">
        <v>19</v>
      </c>
      <c r="E6606" s="68">
        <v>3338</v>
      </c>
      <c r="F6606" s="68">
        <v>2675</v>
      </c>
      <c r="G6606" s="68">
        <v>6013</v>
      </c>
    </row>
    <row r="6607" spans="1:7" x14ac:dyDescent="0.3">
      <c r="A6607" t="s">
        <v>1395</v>
      </c>
      <c r="B6607" t="s">
        <v>34</v>
      </c>
      <c r="C6607" t="s">
        <v>6</v>
      </c>
      <c r="D6607" t="s">
        <v>20</v>
      </c>
      <c r="E6607" s="68">
        <v>2957</v>
      </c>
      <c r="F6607" s="68">
        <v>2288</v>
      </c>
      <c r="G6607" s="68">
        <v>5245</v>
      </c>
    </row>
    <row r="6608" spans="1:7" x14ac:dyDescent="0.3">
      <c r="A6608" t="s">
        <v>1395</v>
      </c>
      <c r="B6608" t="s">
        <v>34</v>
      </c>
      <c r="C6608" t="s">
        <v>6</v>
      </c>
      <c r="D6608" t="s">
        <v>21</v>
      </c>
      <c r="E6608" s="68">
        <v>2168</v>
      </c>
      <c r="F6608" s="68">
        <v>1759</v>
      </c>
      <c r="G6608" s="68">
        <v>3927</v>
      </c>
    </row>
    <row r="6609" spans="1:7" x14ac:dyDescent="0.3">
      <c r="A6609" t="s">
        <v>1395</v>
      </c>
      <c r="B6609" t="s">
        <v>34</v>
      </c>
      <c r="C6609" t="s">
        <v>6</v>
      </c>
      <c r="D6609" t="s">
        <v>22</v>
      </c>
      <c r="E6609" s="68">
        <v>1363</v>
      </c>
      <c r="F6609" s="68">
        <v>1088</v>
      </c>
      <c r="G6609" s="68">
        <v>2451</v>
      </c>
    </row>
    <row r="6610" spans="1:7" x14ac:dyDescent="0.3">
      <c r="A6610" t="s">
        <v>1395</v>
      </c>
      <c r="B6610" t="s">
        <v>34</v>
      </c>
      <c r="C6610" t="s">
        <v>6</v>
      </c>
      <c r="D6610" t="s">
        <v>23</v>
      </c>
      <c r="E6610" s="68">
        <v>1538</v>
      </c>
      <c r="F6610" s="68">
        <v>918</v>
      </c>
      <c r="G6610" s="68">
        <v>2456</v>
      </c>
    </row>
    <row r="6611" spans="1:7" x14ac:dyDescent="0.3">
      <c r="A6611" t="s">
        <v>1395</v>
      </c>
      <c r="B6611" t="s">
        <v>34</v>
      </c>
      <c r="C6611" t="s">
        <v>24</v>
      </c>
      <c r="D6611" t="s">
        <v>7</v>
      </c>
      <c r="E6611" s="68">
        <v>578</v>
      </c>
      <c r="F6611" s="68">
        <v>646</v>
      </c>
      <c r="G6611" s="68">
        <v>1224</v>
      </c>
    </row>
    <row r="6612" spans="1:7" x14ac:dyDescent="0.3">
      <c r="A6612" t="s">
        <v>1395</v>
      </c>
      <c r="B6612" t="s">
        <v>34</v>
      </c>
      <c r="C6612" t="s">
        <v>24</v>
      </c>
      <c r="D6612" t="s">
        <v>8</v>
      </c>
      <c r="E6612" s="68">
        <v>1047</v>
      </c>
      <c r="F6612" s="68">
        <v>1054</v>
      </c>
      <c r="G6612" s="68">
        <v>2101</v>
      </c>
    </row>
    <row r="6613" spans="1:7" x14ac:dyDescent="0.3">
      <c r="A6613" t="s">
        <v>1395</v>
      </c>
      <c r="B6613" t="s">
        <v>34</v>
      </c>
      <c r="C6613" t="s">
        <v>24</v>
      </c>
      <c r="D6613" t="s">
        <v>9</v>
      </c>
      <c r="E6613" s="68">
        <v>1233</v>
      </c>
      <c r="F6613" s="68">
        <v>1341</v>
      </c>
      <c r="G6613" s="68">
        <v>2574</v>
      </c>
    </row>
    <row r="6614" spans="1:7" x14ac:dyDescent="0.3">
      <c r="A6614" t="s">
        <v>1395</v>
      </c>
      <c r="B6614" t="s">
        <v>34</v>
      </c>
      <c r="C6614" t="s">
        <v>24</v>
      </c>
      <c r="D6614" t="s">
        <v>10</v>
      </c>
      <c r="E6614" s="68">
        <v>1332</v>
      </c>
      <c r="F6614" s="68">
        <v>1384</v>
      </c>
      <c r="G6614" s="68">
        <v>2716</v>
      </c>
    </row>
    <row r="6615" spans="1:7" x14ac:dyDescent="0.3">
      <c r="A6615" t="s">
        <v>1395</v>
      </c>
      <c r="B6615" t="s">
        <v>34</v>
      </c>
      <c r="C6615" t="s">
        <v>24</v>
      </c>
      <c r="D6615" t="s">
        <v>11</v>
      </c>
      <c r="E6615" s="68">
        <v>1284</v>
      </c>
      <c r="F6615" s="68">
        <v>1211</v>
      </c>
      <c r="G6615" s="68">
        <v>2495</v>
      </c>
    </row>
    <row r="6616" spans="1:7" x14ac:dyDescent="0.3">
      <c r="A6616" t="s">
        <v>1395</v>
      </c>
      <c r="B6616" t="s">
        <v>34</v>
      </c>
      <c r="C6616" t="s">
        <v>24</v>
      </c>
      <c r="D6616" t="s">
        <v>12</v>
      </c>
      <c r="E6616" s="68">
        <v>1650</v>
      </c>
      <c r="F6616" s="68">
        <v>1528</v>
      </c>
      <c r="G6616" s="68">
        <v>3178</v>
      </c>
    </row>
    <row r="6617" spans="1:7" x14ac:dyDescent="0.3">
      <c r="A6617" t="s">
        <v>1395</v>
      </c>
      <c r="B6617" t="s">
        <v>34</v>
      </c>
      <c r="C6617" t="s">
        <v>24</v>
      </c>
      <c r="D6617" t="s">
        <v>13</v>
      </c>
      <c r="E6617" s="68">
        <v>1609</v>
      </c>
      <c r="F6617" s="68">
        <v>1464</v>
      </c>
      <c r="G6617" s="68">
        <v>3073</v>
      </c>
    </row>
    <row r="6618" spans="1:7" x14ac:dyDescent="0.3">
      <c r="A6618" t="s">
        <v>1395</v>
      </c>
      <c r="B6618" t="s">
        <v>34</v>
      </c>
      <c r="C6618" t="s">
        <v>24</v>
      </c>
      <c r="D6618" t="s">
        <v>14</v>
      </c>
      <c r="E6618" s="68">
        <v>1363</v>
      </c>
      <c r="F6618" s="68">
        <v>1252</v>
      </c>
      <c r="G6618" s="68">
        <v>2615</v>
      </c>
    </row>
    <row r="6619" spans="1:7" x14ac:dyDescent="0.3">
      <c r="A6619" t="s">
        <v>1395</v>
      </c>
      <c r="B6619" t="s">
        <v>34</v>
      </c>
      <c r="C6619" t="s">
        <v>24</v>
      </c>
      <c r="D6619" t="s">
        <v>15</v>
      </c>
      <c r="E6619" s="68">
        <v>1288</v>
      </c>
      <c r="F6619" s="68">
        <v>1012</v>
      </c>
      <c r="G6619" s="68">
        <v>2300</v>
      </c>
    </row>
    <row r="6620" spans="1:7" x14ac:dyDescent="0.3">
      <c r="A6620" t="s">
        <v>1395</v>
      </c>
      <c r="B6620" t="s">
        <v>34</v>
      </c>
      <c r="C6620" t="s">
        <v>24</v>
      </c>
      <c r="D6620" t="s">
        <v>16</v>
      </c>
      <c r="E6620" s="68">
        <v>1328</v>
      </c>
      <c r="F6620" s="68">
        <v>1010</v>
      </c>
      <c r="G6620" s="68">
        <v>2338</v>
      </c>
    </row>
    <row r="6621" spans="1:7" x14ac:dyDescent="0.3">
      <c r="A6621" t="s">
        <v>1395</v>
      </c>
      <c r="B6621" t="s">
        <v>34</v>
      </c>
      <c r="C6621" t="s">
        <v>24</v>
      </c>
      <c r="D6621" t="s">
        <v>17</v>
      </c>
      <c r="E6621" s="68">
        <v>1141</v>
      </c>
      <c r="F6621" s="68">
        <v>968</v>
      </c>
      <c r="G6621" s="68">
        <v>2109</v>
      </c>
    </row>
    <row r="6622" spans="1:7" x14ac:dyDescent="0.3">
      <c r="A6622" t="s">
        <v>1395</v>
      </c>
      <c r="B6622" t="s">
        <v>34</v>
      </c>
      <c r="C6622" t="s">
        <v>24</v>
      </c>
      <c r="D6622" t="s">
        <v>18</v>
      </c>
      <c r="E6622" s="68">
        <v>1261</v>
      </c>
      <c r="F6622" s="68">
        <v>1068</v>
      </c>
      <c r="G6622" s="68">
        <v>2329</v>
      </c>
    </row>
    <row r="6623" spans="1:7" x14ac:dyDescent="0.3">
      <c r="A6623" t="s">
        <v>1395</v>
      </c>
      <c r="B6623" t="s">
        <v>34</v>
      </c>
      <c r="C6623" t="s">
        <v>24</v>
      </c>
      <c r="D6623" t="s">
        <v>19</v>
      </c>
      <c r="E6623" s="68">
        <v>1246</v>
      </c>
      <c r="F6623" s="68">
        <v>1158</v>
      </c>
      <c r="G6623" s="68">
        <v>2404</v>
      </c>
    </row>
    <row r="6624" spans="1:7" x14ac:dyDescent="0.3">
      <c r="A6624" t="s">
        <v>1395</v>
      </c>
      <c r="B6624" t="s">
        <v>34</v>
      </c>
      <c r="C6624" t="s">
        <v>24</v>
      </c>
      <c r="D6624" t="s">
        <v>20</v>
      </c>
      <c r="E6624" s="68">
        <v>923</v>
      </c>
      <c r="F6624" s="68">
        <v>956</v>
      </c>
      <c r="G6624" s="68">
        <v>1879</v>
      </c>
    </row>
    <row r="6625" spans="1:7" x14ac:dyDescent="0.3">
      <c r="A6625" t="s">
        <v>1395</v>
      </c>
      <c r="B6625" t="s">
        <v>34</v>
      </c>
      <c r="C6625" t="s">
        <v>24</v>
      </c>
      <c r="D6625" t="s">
        <v>21</v>
      </c>
      <c r="E6625" s="68">
        <v>698</v>
      </c>
      <c r="F6625" s="68">
        <v>825</v>
      </c>
      <c r="G6625" s="68">
        <v>1523</v>
      </c>
    </row>
    <row r="6626" spans="1:7" x14ac:dyDescent="0.3">
      <c r="A6626" t="s">
        <v>1395</v>
      </c>
      <c r="B6626" t="s">
        <v>34</v>
      </c>
      <c r="C6626" t="s">
        <v>24</v>
      </c>
      <c r="D6626" t="s">
        <v>22</v>
      </c>
      <c r="E6626" s="68">
        <v>485</v>
      </c>
      <c r="F6626" s="68">
        <v>569</v>
      </c>
      <c r="G6626" s="68">
        <v>1054</v>
      </c>
    </row>
    <row r="6627" spans="1:7" x14ac:dyDescent="0.3">
      <c r="A6627" t="s">
        <v>1395</v>
      </c>
      <c r="B6627" t="s">
        <v>34</v>
      </c>
      <c r="C6627" t="s">
        <v>24</v>
      </c>
      <c r="D6627" t="s">
        <v>23</v>
      </c>
      <c r="E6627" s="68">
        <v>675</v>
      </c>
      <c r="F6627" s="68">
        <v>581</v>
      </c>
      <c r="G6627" s="68">
        <v>1256</v>
      </c>
    </row>
    <row r="6628" spans="1:7" x14ac:dyDescent="0.3">
      <c r="A6628" t="s">
        <v>1395</v>
      </c>
      <c r="B6628" t="s">
        <v>37</v>
      </c>
      <c r="C6628" t="s">
        <v>6</v>
      </c>
      <c r="D6628" t="s">
        <v>7</v>
      </c>
      <c r="E6628" s="68">
        <v>36</v>
      </c>
      <c r="F6628" s="68">
        <v>39</v>
      </c>
      <c r="G6628" s="68">
        <v>75</v>
      </c>
    </row>
    <row r="6629" spans="1:7" x14ac:dyDescent="0.3">
      <c r="A6629" t="s">
        <v>1395</v>
      </c>
      <c r="B6629" t="s">
        <v>37</v>
      </c>
      <c r="C6629" t="s">
        <v>6</v>
      </c>
      <c r="D6629" t="s">
        <v>8</v>
      </c>
      <c r="E6629" s="68">
        <v>59</v>
      </c>
      <c r="F6629" s="68">
        <v>65</v>
      </c>
      <c r="G6629" s="68">
        <v>124</v>
      </c>
    </row>
    <row r="6630" spans="1:7" x14ac:dyDescent="0.3">
      <c r="A6630" t="s">
        <v>1395</v>
      </c>
      <c r="B6630" t="s">
        <v>37</v>
      </c>
      <c r="C6630" t="s">
        <v>6</v>
      </c>
      <c r="D6630" t="s">
        <v>9</v>
      </c>
      <c r="E6630" s="68">
        <v>72</v>
      </c>
      <c r="F6630" s="68">
        <v>75</v>
      </c>
      <c r="G6630" s="68">
        <v>147</v>
      </c>
    </row>
    <row r="6631" spans="1:7" x14ac:dyDescent="0.3">
      <c r="A6631" t="s">
        <v>1395</v>
      </c>
      <c r="B6631" t="s">
        <v>37</v>
      </c>
      <c r="C6631" t="s">
        <v>6</v>
      </c>
      <c r="D6631" t="s">
        <v>10</v>
      </c>
      <c r="E6631" s="68">
        <v>87</v>
      </c>
      <c r="F6631" s="68">
        <v>85</v>
      </c>
      <c r="G6631" s="68">
        <v>172</v>
      </c>
    </row>
    <row r="6632" spans="1:7" x14ac:dyDescent="0.3">
      <c r="A6632" t="s">
        <v>1395</v>
      </c>
      <c r="B6632" t="s">
        <v>37</v>
      </c>
      <c r="C6632" t="s">
        <v>6</v>
      </c>
      <c r="D6632" t="s">
        <v>11</v>
      </c>
      <c r="E6632" s="68">
        <v>118</v>
      </c>
      <c r="F6632" s="68">
        <v>142</v>
      </c>
      <c r="G6632" s="68">
        <v>260</v>
      </c>
    </row>
    <row r="6633" spans="1:7" x14ac:dyDescent="0.3">
      <c r="A6633" t="s">
        <v>1395</v>
      </c>
      <c r="B6633" t="s">
        <v>37</v>
      </c>
      <c r="C6633" t="s">
        <v>6</v>
      </c>
      <c r="D6633" t="s">
        <v>12</v>
      </c>
      <c r="E6633" s="68">
        <v>89</v>
      </c>
      <c r="F6633" s="68">
        <v>100</v>
      </c>
      <c r="G6633" s="68">
        <v>189</v>
      </c>
    </row>
    <row r="6634" spans="1:7" x14ac:dyDescent="0.3">
      <c r="A6634" t="s">
        <v>1395</v>
      </c>
      <c r="B6634" t="s">
        <v>37</v>
      </c>
      <c r="C6634" t="s">
        <v>6</v>
      </c>
      <c r="D6634" t="s">
        <v>13</v>
      </c>
      <c r="E6634" s="68">
        <v>93</v>
      </c>
      <c r="F6634" s="68">
        <v>100</v>
      </c>
      <c r="G6634" s="68">
        <v>193</v>
      </c>
    </row>
    <row r="6635" spans="1:7" x14ac:dyDescent="0.3">
      <c r="A6635" t="s">
        <v>1395</v>
      </c>
      <c r="B6635" t="s">
        <v>37</v>
      </c>
      <c r="C6635" t="s">
        <v>6</v>
      </c>
      <c r="D6635" t="s">
        <v>14</v>
      </c>
      <c r="E6635" s="68">
        <v>90</v>
      </c>
      <c r="F6635" s="68">
        <v>88</v>
      </c>
      <c r="G6635" s="68">
        <v>178</v>
      </c>
    </row>
    <row r="6636" spans="1:7" x14ac:dyDescent="0.3">
      <c r="A6636" t="s">
        <v>1395</v>
      </c>
      <c r="B6636" t="s">
        <v>37</v>
      </c>
      <c r="C6636" t="s">
        <v>6</v>
      </c>
      <c r="D6636" t="s">
        <v>15</v>
      </c>
      <c r="E6636" s="68">
        <v>107</v>
      </c>
      <c r="F6636" s="68">
        <v>84</v>
      </c>
      <c r="G6636" s="68">
        <v>191</v>
      </c>
    </row>
    <row r="6637" spans="1:7" x14ac:dyDescent="0.3">
      <c r="A6637" t="s">
        <v>1395</v>
      </c>
      <c r="B6637" t="s">
        <v>37</v>
      </c>
      <c r="C6637" t="s">
        <v>6</v>
      </c>
      <c r="D6637" t="s">
        <v>16</v>
      </c>
      <c r="E6637" s="68">
        <v>94</v>
      </c>
      <c r="F6637" s="68">
        <v>105</v>
      </c>
      <c r="G6637" s="68">
        <v>199</v>
      </c>
    </row>
    <row r="6638" spans="1:7" x14ac:dyDescent="0.3">
      <c r="A6638" t="s">
        <v>1395</v>
      </c>
      <c r="B6638" t="s">
        <v>37</v>
      </c>
      <c r="C6638" t="s">
        <v>6</v>
      </c>
      <c r="D6638" t="s">
        <v>17</v>
      </c>
      <c r="E6638" s="68">
        <v>106</v>
      </c>
      <c r="F6638" s="68">
        <v>104</v>
      </c>
      <c r="G6638" s="68">
        <v>210</v>
      </c>
    </row>
    <row r="6639" spans="1:7" x14ac:dyDescent="0.3">
      <c r="A6639" t="s">
        <v>1395</v>
      </c>
      <c r="B6639" t="s">
        <v>37</v>
      </c>
      <c r="C6639" t="s">
        <v>6</v>
      </c>
      <c r="D6639" t="s">
        <v>18</v>
      </c>
      <c r="E6639" s="68">
        <v>87</v>
      </c>
      <c r="F6639" s="68">
        <v>99</v>
      </c>
      <c r="G6639" s="68">
        <v>186</v>
      </c>
    </row>
    <row r="6640" spans="1:7" x14ac:dyDescent="0.3">
      <c r="A6640" t="s">
        <v>1395</v>
      </c>
      <c r="B6640" t="s">
        <v>37</v>
      </c>
      <c r="C6640" t="s">
        <v>6</v>
      </c>
      <c r="D6640" t="s">
        <v>19</v>
      </c>
      <c r="E6640" s="68">
        <v>110</v>
      </c>
      <c r="F6640" s="68">
        <v>98</v>
      </c>
      <c r="G6640" s="68">
        <v>208</v>
      </c>
    </row>
    <row r="6641" spans="1:7" x14ac:dyDescent="0.3">
      <c r="A6641" t="s">
        <v>1395</v>
      </c>
      <c r="B6641" t="s">
        <v>37</v>
      </c>
      <c r="C6641" t="s">
        <v>6</v>
      </c>
      <c r="D6641" t="s">
        <v>20</v>
      </c>
      <c r="E6641" s="68">
        <v>71</v>
      </c>
      <c r="F6641" s="68">
        <v>92</v>
      </c>
      <c r="G6641" s="68">
        <v>163</v>
      </c>
    </row>
    <row r="6642" spans="1:7" x14ac:dyDescent="0.3">
      <c r="A6642" t="s">
        <v>1395</v>
      </c>
      <c r="B6642" t="s">
        <v>37</v>
      </c>
      <c r="C6642" t="s">
        <v>6</v>
      </c>
      <c r="D6642" t="s">
        <v>21</v>
      </c>
      <c r="E6642" s="68">
        <v>58</v>
      </c>
      <c r="F6642" s="68">
        <v>67</v>
      </c>
      <c r="G6642" s="68">
        <v>125</v>
      </c>
    </row>
    <row r="6643" spans="1:7" x14ac:dyDescent="0.3">
      <c r="A6643" t="s">
        <v>1395</v>
      </c>
      <c r="B6643" t="s">
        <v>37</v>
      </c>
      <c r="C6643" t="s">
        <v>6</v>
      </c>
      <c r="D6643" t="s">
        <v>22</v>
      </c>
      <c r="E6643" s="68">
        <v>25</v>
      </c>
      <c r="F6643" s="68">
        <v>38</v>
      </c>
      <c r="G6643" s="68">
        <v>63</v>
      </c>
    </row>
    <row r="6644" spans="1:7" x14ac:dyDescent="0.3">
      <c r="A6644" t="s">
        <v>1395</v>
      </c>
      <c r="B6644" t="s">
        <v>37</v>
      </c>
      <c r="C6644" t="s">
        <v>6</v>
      </c>
      <c r="D6644" t="s">
        <v>23</v>
      </c>
      <c r="E6644" s="68">
        <v>47</v>
      </c>
      <c r="F6644" s="68">
        <v>28</v>
      </c>
      <c r="G6644" s="68">
        <v>75</v>
      </c>
    </row>
    <row r="6645" spans="1:7" x14ac:dyDescent="0.3">
      <c r="A6645" t="s">
        <v>1395</v>
      </c>
      <c r="B6645" t="s">
        <v>37</v>
      </c>
      <c r="C6645" t="s">
        <v>24</v>
      </c>
      <c r="D6645" t="s">
        <v>7</v>
      </c>
      <c r="E6645" s="68">
        <v>78</v>
      </c>
      <c r="F6645" s="68">
        <v>68</v>
      </c>
      <c r="G6645" s="68">
        <v>146</v>
      </c>
    </row>
    <row r="6646" spans="1:7" x14ac:dyDescent="0.3">
      <c r="A6646" t="s">
        <v>1395</v>
      </c>
      <c r="B6646" t="s">
        <v>37</v>
      </c>
      <c r="C6646" t="s">
        <v>24</v>
      </c>
      <c r="D6646" t="s">
        <v>8</v>
      </c>
      <c r="E6646" s="68">
        <v>123</v>
      </c>
      <c r="F6646" s="68">
        <v>139</v>
      </c>
      <c r="G6646" s="68">
        <v>262</v>
      </c>
    </row>
    <row r="6647" spans="1:7" x14ac:dyDescent="0.3">
      <c r="A6647" t="s">
        <v>1395</v>
      </c>
      <c r="B6647" t="s">
        <v>37</v>
      </c>
      <c r="C6647" t="s">
        <v>24</v>
      </c>
      <c r="D6647" t="s">
        <v>9</v>
      </c>
      <c r="E6647" s="68">
        <v>173</v>
      </c>
      <c r="F6647" s="68">
        <v>164</v>
      </c>
      <c r="G6647" s="68">
        <v>337</v>
      </c>
    </row>
    <row r="6648" spans="1:7" x14ac:dyDescent="0.3">
      <c r="A6648" t="s">
        <v>1395</v>
      </c>
      <c r="B6648" t="s">
        <v>37</v>
      </c>
      <c r="C6648" t="s">
        <v>24</v>
      </c>
      <c r="D6648" t="s">
        <v>10</v>
      </c>
      <c r="E6648" s="68">
        <v>154</v>
      </c>
      <c r="F6648" s="68">
        <v>147</v>
      </c>
      <c r="G6648" s="68">
        <v>301</v>
      </c>
    </row>
    <row r="6649" spans="1:7" x14ac:dyDescent="0.3">
      <c r="A6649" t="s">
        <v>1395</v>
      </c>
      <c r="B6649" t="s">
        <v>37</v>
      </c>
      <c r="C6649" t="s">
        <v>24</v>
      </c>
      <c r="D6649" t="s">
        <v>11</v>
      </c>
      <c r="E6649" s="68">
        <v>162</v>
      </c>
      <c r="F6649" s="68">
        <v>160</v>
      </c>
      <c r="G6649" s="68">
        <v>322</v>
      </c>
    </row>
    <row r="6650" spans="1:7" x14ac:dyDescent="0.3">
      <c r="A6650" t="s">
        <v>1395</v>
      </c>
      <c r="B6650" t="s">
        <v>37</v>
      </c>
      <c r="C6650" t="s">
        <v>24</v>
      </c>
      <c r="D6650" t="s">
        <v>12</v>
      </c>
      <c r="E6650" s="68">
        <v>179</v>
      </c>
      <c r="F6650" s="68">
        <v>150</v>
      </c>
      <c r="G6650" s="68">
        <v>329</v>
      </c>
    </row>
    <row r="6651" spans="1:7" x14ac:dyDescent="0.3">
      <c r="A6651" t="s">
        <v>1395</v>
      </c>
      <c r="B6651" t="s">
        <v>37</v>
      </c>
      <c r="C6651" t="s">
        <v>24</v>
      </c>
      <c r="D6651" t="s">
        <v>13</v>
      </c>
      <c r="E6651" s="68">
        <v>196</v>
      </c>
      <c r="F6651" s="68">
        <v>126</v>
      </c>
      <c r="G6651" s="68">
        <v>322</v>
      </c>
    </row>
    <row r="6652" spans="1:7" x14ac:dyDescent="0.3">
      <c r="A6652" t="s">
        <v>1395</v>
      </c>
      <c r="B6652" t="s">
        <v>37</v>
      </c>
      <c r="C6652" t="s">
        <v>24</v>
      </c>
      <c r="D6652" t="s">
        <v>14</v>
      </c>
      <c r="E6652" s="68">
        <v>160</v>
      </c>
      <c r="F6652" s="68">
        <v>110</v>
      </c>
      <c r="G6652" s="68">
        <v>270</v>
      </c>
    </row>
    <row r="6653" spans="1:7" x14ac:dyDescent="0.3">
      <c r="A6653" t="s">
        <v>1395</v>
      </c>
      <c r="B6653" t="s">
        <v>37</v>
      </c>
      <c r="C6653" t="s">
        <v>24</v>
      </c>
      <c r="D6653" t="s">
        <v>15</v>
      </c>
      <c r="E6653" s="68">
        <v>179</v>
      </c>
      <c r="F6653" s="68">
        <v>100</v>
      </c>
      <c r="G6653" s="68">
        <v>279</v>
      </c>
    </row>
    <row r="6654" spans="1:7" x14ac:dyDescent="0.3">
      <c r="A6654" t="s">
        <v>1395</v>
      </c>
      <c r="B6654" t="s">
        <v>37</v>
      </c>
      <c r="C6654" t="s">
        <v>24</v>
      </c>
      <c r="D6654" t="s">
        <v>16</v>
      </c>
      <c r="E6654" s="68">
        <v>158</v>
      </c>
      <c r="F6654" s="68">
        <v>91</v>
      </c>
      <c r="G6654" s="68">
        <v>249</v>
      </c>
    </row>
    <row r="6655" spans="1:7" x14ac:dyDescent="0.3">
      <c r="A6655" t="s">
        <v>1395</v>
      </c>
      <c r="B6655" t="s">
        <v>37</v>
      </c>
      <c r="C6655" t="s">
        <v>24</v>
      </c>
      <c r="D6655" t="s">
        <v>17</v>
      </c>
      <c r="E6655" s="68">
        <v>112</v>
      </c>
      <c r="F6655" s="68">
        <v>105</v>
      </c>
      <c r="G6655" s="68">
        <v>217</v>
      </c>
    </row>
    <row r="6656" spans="1:7" x14ac:dyDescent="0.3">
      <c r="A6656" t="s">
        <v>1395</v>
      </c>
      <c r="B6656" t="s">
        <v>37</v>
      </c>
      <c r="C6656" t="s">
        <v>24</v>
      </c>
      <c r="D6656" t="s">
        <v>18</v>
      </c>
      <c r="E6656" s="68">
        <v>104</v>
      </c>
      <c r="F6656" s="68">
        <v>98</v>
      </c>
      <c r="G6656" s="68">
        <v>202</v>
      </c>
    </row>
    <row r="6657" spans="1:7" x14ac:dyDescent="0.3">
      <c r="A6657" t="s">
        <v>1395</v>
      </c>
      <c r="B6657" t="s">
        <v>37</v>
      </c>
      <c r="C6657" t="s">
        <v>24</v>
      </c>
      <c r="D6657" t="s">
        <v>19</v>
      </c>
      <c r="E6657" s="68">
        <v>104</v>
      </c>
      <c r="F6657" s="68">
        <v>102</v>
      </c>
      <c r="G6657" s="68">
        <v>206</v>
      </c>
    </row>
    <row r="6658" spans="1:7" x14ac:dyDescent="0.3">
      <c r="A6658" t="s">
        <v>1395</v>
      </c>
      <c r="B6658" t="s">
        <v>37</v>
      </c>
      <c r="C6658" t="s">
        <v>24</v>
      </c>
      <c r="D6658" t="s">
        <v>20</v>
      </c>
      <c r="E6658" s="68">
        <v>84</v>
      </c>
      <c r="F6658" s="68">
        <v>68</v>
      </c>
      <c r="G6658" s="68">
        <v>152</v>
      </c>
    </row>
    <row r="6659" spans="1:7" x14ac:dyDescent="0.3">
      <c r="A6659" t="s">
        <v>1395</v>
      </c>
      <c r="B6659" t="s">
        <v>37</v>
      </c>
      <c r="C6659" t="s">
        <v>24</v>
      </c>
      <c r="D6659" t="s">
        <v>21</v>
      </c>
      <c r="E6659" s="68">
        <v>55</v>
      </c>
      <c r="F6659" s="68">
        <v>82</v>
      </c>
      <c r="G6659" s="68">
        <v>137</v>
      </c>
    </row>
    <row r="6660" spans="1:7" x14ac:dyDescent="0.3">
      <c r="A6660" t="s">
        <v>1395</v>
      </c>
      <c r="B6660" t="s">
        <v>37</v>
      </c>
      <c r="C6660" t="s">
        <v>24</v>
      </c>
      <c r="D6660" t="s">
        <v>22</v>
      </c>
      <c r="E6660" s="68">
        <v>34</v>
      </c>
      <c r="F6660" s="68">
        <v>42</v>
      </c>
      <c r="G6660" s="68">
        <v>76</v>
      </c>
    </row>
    <row r="6661" spans="1:7" x14ac:dyDescent="0.3">
      <c r="A6661" t="s">
        <v>1395</v>
      </c>
      <c r="B6661" t="s">
        <v>37</v>
      </c>
      <c r="C6661" t="s">
        <v>24</v>
      </c>
      <c r="D6661" t="s">
        <v>23</v>
      </c>
      <c r="E6661" s="68">
        <v>38</v>
      </c>
      <c r="F6661" s="68">
        <v>51</v>
      </c>
      <c r="G6661" s="68">
        <v>89</v>
      </c>
    </row>
    <row r="6662" spans="1:7" x14ac:dyDescent="0.3">
      <c r="A6662" t="s">
        <v>1395</v>
      </c>
      <c r="B6662" t="s">
        <v>35</v>
      </c>
      <c r="C6662" t="s">
        <v>6</v>
      </c>
      <c r="D6662" t="s">
        <v>10</v>
      </c>
      <c r="E6662" s="68">
        <v>1</v>
      </c>
      <c r="F6662" s="68"/>
      <c r="G6662" s="68">
        <v>1</v>
      </c>
    </row>
    <row r="6663" spans="1:7" x14ac:dyDescent="0.3">
      <c r="A6663" t="s">
        <v>1395</v>
      </c>
      <c r="B6663" t="s">
        <v>35</v>
      </c>
      <c r="C6663" t="s">
        <v>6</v>
      </c>
      <c r="D6663" t="s">
        <v>11</v>
      </c>
      <c r="E6663" s="68">
        <v>6</v>
      </c>
      <c r="F6663" s="68"/>
      <c r="G6663" s="68">
        <v>6</v>
      </c>
    </row>
    <row r="6664" spans="1:7" x14ac:dyDescent="0.3">
      <c r="A6664" t="s">
        <v>1395</v>
      </c>
      <c r="B6664" t="s">
        <v>35</v>
      </c>
      <c r="C6664" t="s">
        <v>6</v>
      </c>
      <c r="D6664" t="s">
        <v>13</v>
      </c>
      <c r="E6664" s="68"/>
      <c r="F6664" s="68">
        <v>1</v>
      </c>
      <c r="G6664" s="68">
        <v>1</v>
      </c>
    </row>
    <row r="6665" spans="1:7" x14ac:dyDescent="0.3">
      <c r="A6665" t="s">
        <v>1395</v>
      </c>
      <c r="B6665" t="s">
        <v>35</v>
      </c>
      <c r="C6665" t="s">
        <v>6</v>
      </c>
      <c r="D6665" t="s">
        <v>14</v>
      </c>
      <c r="E6665" s="68"/>
      <c r="F6665" s="68">
        <v>1</v>
      </c>
      <c r="G6665" s="68">
        <v>1</v>
      </c>
    </row>
    <row r="6666" spans="1:7" x14ac:dyDescent="0.3">
      <c r="A6666" t="s">
        <v>1395</v>
      </c>
      <c r="B6666" t="s">
        <v>35</v>
      </c>
      <c r="C6666" t="s">
        <v>6</v>
      </c>
      <c r="D6666" t="s">
        <v>15</v>
      </c>
      <c r="E6666" s="68">
        <v>1</v>
      </c>
      <c r="F6666" s="68"/>
      <c r="G6666" s="68">
        <v>1</v>
      </c>
    </row>
    <row r="6667" spans="1:7" x14ac:dyDescent="0.3">
      <c r="A6667" t="s">
        <v>1395</v>
      </c>
      <c r="B6667" t="s">
        <v>35</v>
      </c>
      <c r="C6667" t="s">
        <v>6</v>
      </c>
      <c r="D6667" t="s">
        <v>16</v>
      </c>
      <c r="E6667" s="68">
        <v>3</v>
      </c>
      <c r="F6667" s="68">
        <v>1</v>
      </c>
      <c r="G6667" s="68">
        <v>4</v>
      </c>
    </row>
    <row r="6668" spans="1:7" x14ac:dyDescent="0.3">
      <c r="A6668" t="s">
        <v>1395</v>
      </c>
      <c r="B6668" t="s">
        <v>35</v>
      </c>
      <c r="C6668" t="s">
        <v>6</v>
      </c>
      <c r="D6668" t="s">
        <v>17</v>
      </c>
      <c r="E6668" s="68">
        <v>6</v>
      </c>
      <c r="F6668" s="68">
        <v>1</v>
      </c>
      <c r="G6668" s="68">
        <v>7</v>
      </c>
    </row>
    <row r="6669" spans="1:7" x14ac:dyDescent="0.3">
      <c r="A6669" t="s">
        <v>1395</v>
      </c>
      <c r="B6669" t="s">
        <v>35</v>
      </c>
      <c r="C6669" t="s">
        <v>6</v>
      </c>
      <c r="D6669" t="s">
        <v>18</v>
      </c>
      <c r="E6669" s="68">
        <v>8</v>
      </c>
      <c r="F6669" s="68">
        <v>1</v>
      </c>
      <c r="G6669" s="68">
        <v>9</v>
      </c>
    </row>
    <row r="6670" spans="1:7" x14ac:dyDescent="0.3">
      <c r="A6670" t="s">
        <v>1395</v>
      </c>
      <c r="B6670" t="s">
        <v>35</v>
      </c>
      <c r="C6670" t="s">
        <v>6</v>
      </c>
      <c r="D6670" t="s">
        <v>19</v>
      </c>
      <c r="E6670" s="68">
        <v>14</v>
      </c>
      <c r="F6670" s="68">
        <v>2</v>
      </c>
      <c r="G6670" s="68">
        <v>16</v>
      </c>
    </row>
    <row r="6671" spans="1:7" x14ac:dyDescent="0.3">
      <c r="A6671" t="s">
        <v>1395</v>
      </c>
      <c r="B6671" t="s">
        <v>35</v>
      </c>
      <c r="C6671" t="s">
        <v>6</v>
      </c>
      <c r="D6671" t="s">
        <v>20</v>
      </c>
      <c r="E6671" s="68">
        <v>11</v>
      </c>
      <c r="F6671" s="68">
        <v>2</v>
      </c>
      <c r="G6671" s="68">
        <v>13</v>
      </c>
    </row>
    <row r="6672" spans="1:7" x14ac:dyDescent="0.3">
      <c r="A6672" t="s">
        <v>1395</v>
      </c>
      <c r="B6672" t="s">
        <v>35</v>
      </c>
      <c r="C6672" t="s">
        <v>6</v>
      </c>
      <c r="D6672" t="s">
        <v>21</v>
      </c>
      <c r="E6672" s="68">
        <v>27</v>
      </c>
      <c r="F6672" s="68">
        <v>6</v>
      </c>
      <c r="G6672" s="68">
        <v>33</v>
      </c>
    </row>
    <row r="6673" spans="1:7" x14ac:dyDescent="0.3">
      <c r="A6673" t="s">
        <v>1395</v>
      </c>
      <c r="B6673" t="s">
        <v>35</v>
      </c>
      <c r="C6673" t="s">
        <v>6</v>
      </c>
      <c r="D6673" t="s">
        <v>22</v>
      </c>
      <c r="E6673" s="68">
        <v>24</v>
      </c>
      <c r="F6673" s="68">
        <v>9</v>
      </c>
      <c r="G6673" s="68">
        <v>33</v>
      </c>
    </row>
    <row r="6674" spans="1:7" x14ac:dyDescent="0.3">
      <c r="A6674" t="s">
        <v>1395</v>
      </c>
      <c r="B6674" t="s">
        <v>35</v>
      </c>
      <c r="C6674" t="s">
        <v>6</v>
      </c>
      <c r="D6674" t="s">
        <v>23</v>
      </c>
      <c r="E6674" s="68">
        <v>56</v>
      </c>
      <c r="F6674" s="68">
        <v>26</v>
      </c>
      <c r="G6674" s="68">
        <v>82</v>
      </c>
    </row>
    <row r="6675" spans="1:7" x14ac:dyDescent="0.3">
      <c r="A6675" t="s">
        <v>1395</v>
      </c>
      <c r="B6675" t="s">
        <v>26</v>
      </c>
      <c r="C6675" t="s">
        <v>6</v>
      </c>
      <c r="D6675" t="s">
        <v>7</v>
      </c>
      <c r="E6675" s="68">
        <v>1132</v>
      </c>
      <c r="F6675" s="68">
        <v>1187</v>
      </c>
      <c r="G6675" s="68">
        <v>2319</v>
      </c>
    </row>
    <row r="6676" spans="1:7" x14ac:dyDescent="0.3">
      <c r="A6676" t="s">
        <v>1395</v>
      </c>
      <c r="B6676" t="s">
        <v>26</v>
      </c>
      <c r="C6676" t="s">
        <v>6</v>
      </c>
      <c r="D6676" t="s">
        <v>8</v>
      </c>
      <c r="E6676" s="68">
        <v>1608</v>
      </c>
      <c r="F6676" s="68">
        <v>1657</v>
      </c>
      <c r="G6676" s="68">
        <v>3265</v>
      </c>
    </row>
    <row r="6677" spans="1:7" x14ac:dyDescent="0.3">
      <c r="A6677" t="s">
        <v>1395</v>
      </c>
      <c r="B6677" t="s">
        <v>26</v>
      </c>
      <c r="C6677" t="s">
        <v>6</v>
      </c>
      <c r="D6677" t="s">
        <v>9</v>
      </c>
      <c r="E6677" s="68">
        <v>1695</v>
      </c>
      <c r="F6677" s="68">
        <v>1717</v>
      </c>
      <c r="G6677" s="68">
        <v>3412</v>
      </c>
    </row>
    <row r="6678" spans="1:7" x14ac:dyDescent="0.3">
      <c r="A6678" t="s">
        <v>1395</v>
      </c>
      <c r="B6678" t="s">
        <v>26</v>
      </c>
      <c r="C6678" t="s">
        <v>6</v>
      </c>
      <c r="D6678" t="s">
        <v>10</v>
      </c>
      <c r="E6678" s="68">
        <v>1850</v>
      </c>
      <c r="F6678" s="68">
        <v>2059</v>
      </c>
      <c r="G6678" s="68">
        <v>3909</v>
      </c>
    </row>
    <row r="6679" spans="1:7" x14ac:dyDescent="0.3">
      <c r="A6679" t="s">
        <v>1395</v>
      </c>
      <c r="B6679" t="s">
        <v>26</v>
      </c>
      <c r="C6679" t="s">
        <v>6</v>
      </c>
      <c r="D6679" t="s">
        <v>11</v>
      </c>
      <c r="E6679" s="68">
        <v>2774</v>
      </c>
      <c r="F6679" s="68">
        <v>3498</v>
      </c>
      <c r="G6679" s="68">
        <v>6272</v>
      </c>
    </row>
    <row r="6680" spans="1:7" x14ac:dyDescent="0.3">
      <c r="A6680" t="s">
        <v>1395</v>
      </c>
      <c r="B6680" t="s">
        <v>26</v>
      </c>
      <c r="C6680" t="s">
        <v>6</v>
      </c>
      <c r="D6680" t="s">
        <v>12</v>
      </c>
      <c r="E6680" s="68">
        <v>3131</v>
      </c>
      <c r="F6680" s="68">
        <v>3569</v>
      </c>
      <c r="G6680" s="68">
        <v>6700</v>
      </c>
    </row>
    <row r="6681" spans="1:7" x14ac:dyDescent="0.3">
      <c r="A6681" t="s">
        <v>1395</v>
      </c>
      <c r="B6681" t="s">
        <v>26</v>
      </c>
      <c r="C6681" t="s">
        <v>6</v>
      </c>
      <c r="D6681" t="s">
        <v>13</v>
      </c>
      <c r="E6681" s="68">
        <v>2990</v>
      </c>
      <c r="F6681" s="68">
        <v>3515</v>
      </c>
      <c r="G6681" s="68">
        <v>6505</v>
      </c>
    </row>
    <row r="6682" spans="1:7" x14ac:dyDescent="0.3">
      <c r="A6682" t="s">
        <v>1395</v>
      </c>
      <c r="B6682" t="s">
        <v>26</v>
      </c>
      <c r="C6682" t="s">
        <v>6</v>
      </c>
      <c r="D6682" t="s">
        <v>14</v>
      </c>
      <c r="E6682" s="68">
        <v>2592</v>
      </c>
      <c r="F6682" s="68">
        <v>2696</v>
      </c>
      <c r="G6682" s="68">
        <v>5288</v>
      </c>
    </row>
    <row r="6683" spans="1:7" x14ac:dyDescent="0.3">
      <c r="A6683" t="s">
        <v>1395</v>
      </c>
      <c r="B6683" t="s">
        <v>26</v>
      </c>
      <c r="C6683" t="s">
        <v>6</v>
      </c>
      <c r="D6683" t="s">
        <v>15</v>
      </c>
      <c r="E6683" s="68">
        <v>2361</v>
      </c>
      <c r="F6683" s="68">
        <v>2499</v>
      </c>
      <c r="G6683" s="68">
        <v>4860</v>
      </c>
    </row>
    <row r="6684" spans="1:7" x14ac:dyDescent="0.3">
      <c r="A6684" t="s">
        <v>1395</v>
      </c>
      <c r="B6684" t="s">
        <v>26</v>
      </c>
      <c r="C6684" t="s">
        <v>6</v>
      </c>
      <c r="D6684" t="s">
        <v>16</v>
      </c>
      <c r="E6684" s="68">
        <v>2333</v>
      </c>
      <c r="F6684" s="68">
        <v>2590</v>
      </c>
      <c r="G6684" s="68">
        <v>4923</v>
      </c>
    </row>
    <row r="6685" spans="1:7" x14ac:dyDescent="0.3">
      <c r="A6685" t="s">
        <v>1395</v>
      </c>
      <c r="B6685" t="s">
        <v>26</v>
      </c>
      <c r="C6685" t="s">
        <v>6</v>
      </c>
      <c r="D6685" t="s">
        <v>17</v>
      </c>
      <c r="E6685" s="68">
        <v>2363</v>
      </c>
      <c r="F6685" s="68">
        <v>2335</v>
      </c>
      <c r="G6685" s="68">
        <v>4698</v>
      </c>
    </row>
    <row r="6686" spans="1:7" x14ac:dyDescent="0.3">
      <c r="A6686" t="s">
        <v>1395</v>
      </c>
      <c r="B6686" t="s">
        <v>26</v>
      </c>
      <c r="C6686" t="s">
        <v>6</v>
      </c>
      <c r="D6686" t="s">
        <v>18</v>
      </c>
      <c r="E6686" s="68">
        <v>2824</v>
      </c>
      <c r="F6686" s="68">
        <v>2786</v>
      </c>
      <c r="G6686" s="68">
        <v>5610</v>
      </c>
    </row>
    <row r="6687" spans="1:7" x14ac:dyDescent="0.3">
      <c r="A6687" t="s">
        <v>1395</v>
      </c>
      <c r="B6687" t="s">
        <v>26</v>
      </c>
      <c r="C6687" t="s">
        <v>6</v>
      </c>
      <c r="D6687" t="s">
        <v>19</v>
      </c>
      <c r="E6687" s="68">
        <v>3191</v>
      </c>
      <c r="F6687" s="68">
        <v>2814</v>
      </c>
      <c r="G6687" s="68">
        <v>6005</v>
      </c>
    </row>
    <row r="6688" spans="1:7" x14ac:dyDescent="0.3">
      <c r="A6688" t="s">
        <v>1395</v>
      </c>
      <c r="B6688" t="s">
        <v>26</v>
      </c>
      <c r="C6688" t="s">
        <v>6</v>
      </c>
      <c r="D6688" t="s">
        <v>20</v>
      </c>
      <c r="E6688" s="68">
        <v>3098</v>
      </c>
      <c r="F6688" s="68">
        <v>2512</v>
      </c>
      <c r="G6688" s="68">
        <v>5610</v>
      </c>
    </row>
    <row r="6689" spans="1:7" x14ac:dyDescent="0.3">
      <c r="A6689" t="s">
        <v>1395</v>
      </c>
      <c r="B6689" t="s">
        <v>26</v>
      </c>
      <c r="C6689" t="s">
        <v>6</v>
      </c>
      <c r="D6689" t="s">
        <v>21</v>
      </c>
      <c r="E6689" s="68">
        <v>2858</v>
      </c>
      <c r="F6689" s="68">
        <v>2119</v>
      </c>
      <c r="G6689" s="68">
        <v>4977</v>
      </c>
    </row>
    <row r="6690" spans="1:7" x14ac:dyDescent="0.3">
      <c r="A6690" t="s">
        <v>1395</v>
      </c>
      <c r="B6690" t="s">
        <v>26</v>
      </c>
      <c r="C6690" t="s">
        <v>6</v>
      </c>
      <c r="D6690" t="s">
        <v>22</v>
      </c>
      <c r="E6690" s="68">
        <v>2234</v>
      </c>
      <c r="F6690" s="68">
        <v>1632</v>
      </c>
      <c r="G6690" s="68">
        <v>3866</v>
      </c>
    </row>
    <row r="6691" spans="1:7" x14ac:dyDescent="0.3">
      <c r="A6691" t="s">
        <v>1395</v>
      </c>
      <c r="B6691" t="s">
        <v>26</v>
      </c>
      <c r="C6691" t="s">
        <v>6</v>
      </c>
      <c r="D6691" t="s">
        <v>23</v>
      </c>
      <c r="E6691" s="68">
        <v>3263</v>
      </c>
      <c r="F6691" s="68">
        <v>2012</v>
      </c>
      <c r="G6691" s="68">
        <v>5275</v>
      </c>
    </row>
    <row r="6692" spans="1:7" x14ac:dyDescent="0.3">
      <c r="A6692" t="s">
        <v>1395</v>
      </c>
      <c r="B6692" t="s">
        <v>26</v>
      </c>
      <c r="C6692" t="s">
        <v>24</v>
      </c>
      <c r="D6692" t="s">
        <v>7</v>
      </c>
      <c r="E6692" s="68">
        <v>3660</v>
      </c>
      <c r="F6692" s="68">
        <v>3820</v>
      </c>
      <c r="G6692" s="68">
        <v>7480</v>
      </c>
    </row>
    <row r="6693" spans="1:7" x14ac:dyDescent="0.3">
      <c r="A6693" t="s">
        <v>1395</v>
      </c>
      <c r="B6693" t="s">
        <v>26</v>
      </c>
      <c r="C6693" t="s">
        <v>24</v>
      </c>
      <c r="D6693" t="s">
        <v>8</v>
      </c>
      <c r="E6693" s="68">
        <v>4910</v>
      </c>
      <c r="F6693" s="68">
        <v>5009</v>
      </c>
      <c r="G6693" s="68">
        <v>9919</v>
      </c>
    </row>
    <row r="6694" spans="1:7" x14ac:dyDescent="0.3">
      <c r="A6694" t="s">
        <v>1395</v>
      </c>
      <c r="B6694" t="s">
        <v>26</v>
      </c>
      <c r="C6694" t="s">
        <v>24</v>
      </c>
      <c r="D6694" t="s">
        <v>9</v>
      </c>
      <c r="E6694" s="68">
        <v>4099</v>
      </c>
      <c r="F6694" s="68">
        <v>4586</v>
      </c>
      <c r="G6694" s="68">
        <v>8685</v>
      </c>
    </row>
    <row r="6695" spans="1:7" x14ac:dyDescent="0.3">
      <c r="A6695" t="s">
        <v>1395</v>
      </c>
      <c r="B6695" t="s">
        <v>26</v>
      </c>
      <c r="C6695" t="s">
        <v>24</v>
      </c>
      <c r="D6695" t="s">
        <v>10</v>
      </c>
      <c r="E6695" s="68">
        <v>4675</v>
      </c>
      <c r="F6695" s="68">
        <v>4429</v>
      </c>
      <c r="G6695" s="68">
        <v>9104</v>
      </c>
    </row>
    <row r="6696" spans="1:7" x14ac:dyDescent="0.3">
      <c r="A6696" t="s">
        <v>1395</v>
      </c>
      <c r="B6696" t="s">
        <v>26</v>
      </c>
      <c r="C6696" t="s">
        <v>24</v>
      </c>
      <c r="D6696" t="s">
        <v>11</v>
      </c>
      <c r="E6696" s="68">
        <v>5583</v>
      </c>
      <c r="F6696" s="68">
        <v>4570</v>
      </c>
      <c r="G6696" s="68">
        <v>10153</v>
      </c>
    </row>
    <row r="6697" spans="1:7" x14ac:dyDescent="0.3">
      <c r="A6697" t="s">
        <v>1395</v>
      </c>
      <c r="B6697" t="s">
        <v>26</v>
      </c>
      <c r="C6697" t="s">
        <v>24</v>
      </c>
      <c r="D6697" t="s">
        <v>12</v>
      </c>
      <c r="E6697" s="68">
        <v>6143</v>
      </c>
      <c r="F6697" s="68">
        <v>5075</v>
      </c>
      <c r="G6697" s="68">
        <v>11218</v>
      </c>
    </row>
    <row r="6698" spans="1:7" x14ac:dyDescent="0.3">
      <c r="A6698" t="s">
        <v>1395</v>
      </c>
      <c r="B6698" t="s">
        <v>26</v>
      </c>
      <c r="C6698" t="s">
        <v>24</v>
      </c>
      <c r="D6698" t="s">
        <v>13</v>
      </c>
      <c r="E6698" s="68">
        <v>5701</v>
      </c>
      <c r="F6698" s="68">
        <v>4901</v>
      </c>
      <c r="G6698" s="68">
        <v>10602</v>
      </c>
    </row>
    <row r="6699" spans="1:7" x14ac:dyDescent="0.3">
      <c r="A6699" t="s">
        <v>1395</v>
      </c>
      <c r="B6699" t="s">
        <v>26</v>
      </c>
      <c r="C6699" t="s">
        <v>24</v>
      </c>
      <c r="D6699" t="s">
        <v>14</v>
      </c>
      <c r="E6699" s="68">
        <v>5006</v>
      </c>
      <c r="F6699" s="68">
        <v>4010</v>
      </c>
      <c r="G6699" s="68">
        <v>9016</v>
      </c>
    </row>
    <row r="6700" spans="1:7" x14ac:dyDescent="0.3">
      <c r="A6700" t="s">
        <v>1395</v>
      </c>
      <c r="B6700" t="s">
        <v>26</v>
      </c>
      <c r="C6700" t="s">
        <v>24</v>
      </c>
      <c r="D6700" t="s">
        <v>15</v>
      </c>
      <c r="E6700" s="68">
        <v>4457</v>
      </c>
      <c r="F6700" s="68">
        <v>3546</v>
      </c>
      <c r="G6700" s="68">
        <v>8003</v>
      </c>
    </row>
    <row r="6701" spans="1:7" x14ac:dyDescent="0.3">
      <c r="A6701" t="s">
        <v>1395</v>
      </c>
      <c r="B6701" t="s">
        <v>26</v>
      </c>
      <c r="C6701" t="s">
        <v>24</v>
      </c>
      <c r="D6701" t="s">
        <v>16</v>
      </c>
      <c r="E6701" s="68">
        <v>4572</v>
      </c>
      <c r="F6701" s="68">
        <v>3811</v>
      </c>
      <c r="G6701" s="68">
        <v>8383</v>
      </c>
    </row>
    <row r="6702" spans="1:7" x14ac:dyDescent="0.3">
      <c r="A6702" t="s">
        <v>1395</v>
      </c>
      <c r="B6702" t="s">
        <v>26</v>
      </c>
      <c r="C6702" t="s">
        <v>24</v>
      </c>
      <c r="D6702" t="s">
        <v>17</v>
      </c>
      <c r="E6702" s="68">
        <v>4891</v>
      </c>
      <c r="F6702" s="68">
        <v>3811</v>
      </c>
      <c r="G6702" s="68">
        <v>8702</v>
      </c>
    </row>
    <row r="6703" spans="1:7" x14ac:dyDescent="0.3">
      <c r="A6703" t="s">
        <v>1395</v>
      </c>
      <c r="B6703" t="s">
        <v>26</v>
      </c>
      <c r="C6703" t="s">
        <v>24</v>
      </c>
      <c r="D6703" t="s">
        <v>18</v>
      </c>
      <c r="E6703" s="68">
        <v>5066</v>
      </c>
      <c r="F6703" s="68">
        <v>4081</v>
      </c>
      <c r="G6703" s="68">
        <v>9147</v>
      </c>
    </row>
    <row r="6704" spans="1:7" x14ac:dyDescent="0.3">
      <c r="A6704" t="s">
        <v>1395</v>
      </c>
      <c r="B6704" t="s">
        <v>26</v>
      </c>
      <c r="C6704" t="s">
        <v>24</v>
      </c>
      <c r="D6704" t="s">
        <v>19</v>
      </c>
      <c r="E6704" s="68">
        <v>4554</v>
      </c>
      <c r="F6704" s="68">
        <v>4142</v>
      </c>
      <c r="G6704" s="68">
        <v>8696</v>
      </c>
    </row>
    <row r="6705" spans="1:7" x14ac:dyDescent="0.3">
      <c r="A6705" t="s">
        <v>1395</v>
      </c>
      <c r="B6705" t="s">
        <v>26</v>
      </c>
      <c r="C6705" t="s">
        <v>24</v>
      </c>
      <c r="D6705" t="s">
        <v>20</v>
      </c>
      <c r="E6705" s="68">
        <v>3922</v>
      </c>
      <c r="F6705" s="68">
        <v>3765</v>
      </c>
      <c r="G6705" s="68">
        <v>7687</v>
      </c>
    </row>
    <row r="6706" spans="1:7" x14ac:dyDescent="0.3">
      <c r="A6706" t="s">
        <v>1395</v>
      </c>
      <c r="B6706" t="s">
        <v>26</v>
      </c>
      <c r="C6706" t="s">
        <v>24</v>
      </c>
      <c r="D6706" t="s">
        <v>21</v>
      </c>
      <c r="E6706" s="68">
        <v>2986</v>
      </c>
      <c r="F6706" s="68">
        <v>3191</v>
      </c>
      <c r="G6706" s="68">
        <v>6177</v>
      </c>
    </row>
    <row r="6707" spans="1:7" x14ac:dyDescent="0.3">
      <c r="A6707" t="s">
        <v>1395</v>
      </c>
      <c r="B6707" t="s">
        <v>26</v>
      </c>
      <c r="C6707" t="s">
        <v>24</v>
      </c>
      <c r="D6707" t="s">
        <v>22</v>
      </c>
      <c r="E6707" s="68">
        <v>2159</v>
      </c>
      <c r="F6707" s="68">
        <v>2151</v>
      </c>
      <c r="G6707" s="68">
        <v>4310</v>
      </c>
    </row>
    <row r="6708" spans="1:7" x14ac:dyDescent="0.3">
      <c r="A6708" t="s">
        <v>1395</v>
      </c>
      <c r="B6708" t="s">
        <v>26</v>
      </c>
      <c r="C6708" t="s">
        <v>24</v>
      </c>
      <c r="D6708" t="s">
        <v>23</v>
      </c>
      <c r="E6708" s="68">
        <v>2640</v>
      </c>
      <c r="F6708" s="68">
        <v>2310</v>
      </c>
      <c r="G6708" s="68">
        <v>4950</v>
      </c>
    </row>
    <row r="6709" spans="1:7" x14ac:dyDescent="0.3">
      <c r="A6709" t="s">
        <v>1395</v>
      </c>
      <c r="B6709" t="s">
        <v>27</v>
      </c>
      <c r="C6709" t="s">
        <v>28</v>
      </c>
      <c r="D6709" t="s">
        <v>7</v>
      </c>
      <c r="E6709" s="68">
        <v>69</v>
      </c>
      <c r="F6709" s="68">
        <v>90</v>
      </c>
      <c r="G6709" s="68">
        <v>159</v>
      </c>
    </row>
    <row r="6710" spans="1:7" x14ac:dyDescent="0.3">
      <c r="A6710" t="s">
        <v>1395</v>
      </c>
      <c r="B6710" t="s">
        <v>27</v>
      </c>
      <c r="C6710" t="s">
        <v>28</v>
      </c>
      <c r="D6710" t="s">
        <v>8</v>
      </c>
      <c r="E6710" s="68">
        <v>116</v>
      </c>
      <c r="F6710" s="68">
        <v>124</v>
      </c>
      <c r="G6710" s="68">
        <v>240</v>
      </c>
    </row>
    <row r="6711" spans="1:7" x14ac:dyDescent="0.3">
      <c r="A6711" t="s">
        <v>1395</v>
      </c>
      <c r="B6711" t="s">
        <v>27</v>
      </c>
      <c r="C6711" t="s">
        <v>28</v>
      </c>
      <c r="D6711" t="s">
        <v>9</v>
      </c>
      <c r="E6711" s="68">
        <v>195</v>
      </c>
      <c r="F6711" s="68">
        <v>212</v>
      </c>
      <c r="G6711" s="68">
        <v>407</v>
      </c>
    </row>
    <row r="6712" spans="1:7" x14ac:dyDescent="0.3">
      <c r="A6712" t="s">
        <v>1395</v>
      </c>
      <c r="B6712" t="s">
        <v>27</v>
      </c>
      <c r="C6712" t="s">
        <v>28</v>
      </c>
      <c r="D6712" t="s">
        <v>10</v>
      </c>
      <c r="E6712" s="68">
        <v>261</v>
      </c>
      <c r="F6712" s="68">
        <v>264</v>
      </c>
      <c r="G6712" s="68">
        <v>525</v>
      </c>
    </row>
    <row r="6713" spans="1:7" x14ac:dyDescent="0.3">
      <c r="A6713" t="s">
        <v>1395</v>
      </c>
      <c r="B6713" t="s">
        <v>27</v>
      </c>
      <c r="C6713" t="s">
        <v>28</v>
      </c>
      <c r="D6713" t="s">
        <v>11</v>
      </c>
      <c r="E6713" s="68">
        <v>223</v>
      </c>
      <c r="F6713" s="68">
        <v>249</v>
      </c>
      <c r="G6713" s="68">
        <v>472</v>
      </c>
    </row>
    <row r="6714" spans="1:7" x14ac:dyDescent="0.3">
      <c r="A6714" t="s">
        <v>1395</v>
      </c>
      <c r="B6714" t="s">
        <v>27</v>
      </c>
      <c r="C6714" t="s">
        <v>28</v>
      </c>
      <c r="D6714" t="s">
        <v>12</v>
      </c>
      <c r="E6714" s="68">
        <v>131</v>
      </c>
      <c r="F6714" s="68">
        <v>86</v>
      </c>
      <c r="G6714" s="68">
        <v>217</v>
      </c>
    </row>
    <row r="6715" spans="1:7" x14ac:dyDescent="0.3">
      <c r="A6715" t="s">
        <v>1395</v>
      </c>
      <c r="B6715" t="s">
        <v>27</v>
      </c>
      <c r="C6715" t="s">
        <v>28</v>
      </c>
      <c r="D6715" t="s">
        <v>13</v>
      </c>
      <c r="E6715" s="68">
        <v>204</v>
      </c>
      <c r="F6715" s="68">
        <v>114</v>
      </c>
      <c r="G6715" s="68">
        <v>318</v>
      </c>
    </row>
    <row r="6716" spans="1:7" x14ac:dyDescent="0.3">
      <c r="A6716" t="s">
        <v>1395</v>
      </c>
      <c r="B6716" t="s">
        <v>27</v>
      </c>
      <c r="C6716" t="s">
        <v>28</v>
      </c>
      <c r="D6716" t="s">
        <v>14</v>
      </c>
      <c r="E6716" s="68">
        <v>269</v>
      </c>
      <c r="F6716" s="68">
        <v>178</v>
      </c>
      <c r="G6716" s="68">
        <v>447</v>
      </c>
    </row>
    <row r="6717" spans="1:7" x14ac:dyDescent="0.3">
      <c r="A6717" t="s">
        <v>1395</v>
      </c>
      <c r="B6717" t="s">
        <v>27</v>
      </c>
      <c r="C6717" t="s">
        <v>28</v>
      </c>
      <c r="D6717" t="s">
        <v>15</v>
      </c>
      <c r="E6717" s="68">
        <v>363</v>
      </c>
      <c r="F6717" s="68">
        <v>235</v>
      </c>
      <c r="G6717" s="68">
        <v>598</v>
      </c>
    </row>
    <row r="6718" spans="1:7" x14ac:dyDescent="0.3">
      <c r="A6718" t="s">
        <v>1395</v>
      </c>
      <c r="B6718" t="s">
        <v>27</v>
      </c>
      <c r="C6718" t="s">
        <v>28</v>
      </c>
      <c r="D6718" t="s">
        <v>16</v>
      </c>
      <c r="E6718" s="68">
        <v>457</v>
      </c>
      <c r="F6718" s="68">
        <v>294</v>
      </c>
      <c r="G6718" s="68">
        <v>751</v>
      </c>
    </row>
    <row r="6719" spans="1:7" x14ac:dyDescent="0.3">
      <c r="A6719" t="s">
        <v>1395</v>
      </c>
      <c r="B6719" t="s">
        <v>27</v>
      </c>
      <c r="C6719" t="s">
        <v>28</v>
      </c>
      <c r="D6719" t="s">
        <v>17</v>
      </c>
      <c r="E6719" s="68">
        <v>383</v>
      </c>
      <c r="F6719" s="68">
        <v>244</v>
      </c>
      <c r="G6719" s="68">
        <v>627</v>
      </c>
    </row>
    <row r="6720" spans="1:7" x14ac:dyDescent="0.3">
      <c r="A6720" t="s">
        <v>1395</v>
      </c>
      <c r="B6720" t="s">
        <v>27</v>
      </c>
      <c r="C6720" t="s">
        <v>28</v>
      </c>
      <c r="D6720" t="s">
        <v>18</v>
      </c>
      <c r="E6720" s="68">
        <v>507</v>
      </c>
      <c r="F6720" s="68">
        <v>276</v>
      </c>
      <c r="G6720" s="68">
        <v>783</v>
      </c>
    </row>
    <row r="6721" spans="1:7" x14ac:dyDescent="0.3">
      <c r="A6721" t="s">
        <v>1395</v>
      </c>
      <c r="B6721" t="s">
        <v>27</v>
      </c>
      <c r="C6721" t="s">
        <v>28</v>
      </c>
      <c r="D6721" t="s">
        <v>19</v>
      </c>
      <c r="E6721" s="68">
        <v>632</v>
      </c>
      <c r="F6721" s="68">
        <v>294</v>
      </c>
      <c r="G6721" s="68">
        <v>926</v>
      </c>
    </row>
    <row r="6722" spans="1:7" x14ac:dyDescent="0.3">
      <c r="A6722" t="s">
        <v>1395</v>
      </c>
      <c r="B6722" t="s">
        <v>27</v>
      </c>
      <c r="C6722" t="s">
        <v>28</v>
      </c>
      <c r="D6722" t="s">
        <v>20</v>
      </c>
      <c r="E6722" s="68">
        <v>817</v>
      </c>
      <c r="F6722" s="68">
        <v>430</v>
      </c>
      <c r="G6722" s="68">
        <v>1247</v>
      </c>
    </row>
    <row r="6723" spans="1:7" x14ac:dyDescent="0.3">
      <c r="A6723" t="s">
        <v>1395</v>
      </c>
      <c r="B6723" t="s">
        <v>27</v>
      </c>
      <c r="C6723" t="s">
        <v>28</v>
      </c>
      <c r="D6723" t="s">
        <v>21</v>
      </c>
      <c r="E6723" s="68">
        <v>913</v>
      </c>
      <c r="F6723" s="68">
        <v>490</v>
      </c>
      <c r="G6723" s="68">
        <v>1403</v>
      </c>
    </row>
    <row r="6724" spans="1:7" x14ac:dyDescent="0.3">
      <c r="A6724" t="s">
        <v>1395</v>
      </c>
      <c r="B6724" t="s">
        <v>27</v>
      </c>
      <c r="C6724" t="s">
        <v>28</v>
      </c>
      <c r="D6724" t="s">
        <v>22</v>
      </c>
      <c r="E6724" s="68">
        <v>594</v>
      </c>
      <c r="F6724" s="68">
        <v>373</v>
      </c>
      <c r="G6724" s="68">
        <v>967</v>
      </c>
    </row>
    <row r="6725" spans="1:7" x14ac:dyDescent="0.3">
      <c r="A6725" t="s">
        <v>1395</v>
      </c>
      <c r="B6725" t="s">
        <v>27</v>
      </c>
      <c r="C6725" t="s">
        <v>28</v>
      </c>
      <c r="D6725" t="s">
        <v>23</v>
      </c>
      <c r="E6725" s="68">
        <v>482</v>
      </c>
      <c r="F6725" s="68">
        <v>301</v>
      </c>
      <c r="G6725" s="68">
        <v>783</v>
      </c>
    </row>
    <row r="6726" spans="1:7" x14ac:dyDescent="0.3">
      <c r="A6726" t="s">
        <v>1395</v>
      </c>
      <c r="B6726" t="s">
        <v>27</v>
      </c>
      <c r="C6726" t="s">
        <v>29</v>
      </c>
      <c r="D6726" t="s">
        <v>10</v>
      </c>
      <c r="E6726" s="68">
        <v>1</v>
      </c>
      <c r="F6726" s="68">
        <v>3</v>
      </c>
      <c r="G6726" s="68">
        <v>4</v>
      </c>
    </row>
    <row r="6727" spans="1:7" x14ac:dyDescent="0.3">
      <c r="A6727" t="s">
        <v>1395</v>
      </c>
      <c r="B6727" t="s">
        <v>27</v>
      </c>
      <c r="C6727" t="s">
        <v>29</v>
      </c>
      <c r="D6727" t="s">
        <v>11</v>
      </c>
      <c r="E6727" s="68">
        <v>13</v>
      </c>
      <c r="F6727" s="68">
        <v>162</v>
      </c>
      <c r="G6727" s="68">
        <v>175</v>
      </c>
    </row>
    <row r="6728" spans="1:7" x14ac:dyDescent="0.3">
      <c r="A6728" t="s">
        <v>1395</v>
      </c>
      <c r="B6728" t="s">
        <v>27</v>
      </c>
      <c r="C6728" t="s">
        <v>29</v>
      </c>
      <c r="D6728" t="s">
        <v>12</v>
      </c>
      <c r="E6728" s="68">
        <v>40</v>
      </c>
      <c r="F6728" s="68">
        <v>350</v>
      </c>
      <c r="G6728" s="68">
        <v>390</v>
      </c>
    </row>
    <row r="6729" spans="1:7" x14ac:dyDescent="0.3">
      <c r="A6729" t="s">
        <v>1395</v>
      </c>
      <c r="B6729" t="s">
        <v>27</v>
      </c>
      <c r="C6729" t="s">
        <v>29</v>
      </c>
      <c r="D6729" t="s">
        <v>13</v>
      </c>
      <c r="E6729" s="68">
        <v>25</v>
      </c>
      <c r="F6729" s="68">
        <v>297</v>
      </c>
      <c r="G6729" s="68">
        <v>322</v>
      </c>
    </row>
    <row r="6730" spans="1:7" x14ac:dyDescent="0.3">
      <c r="A6730" t="s">
        <v>1395</v>
      </c>
      <c r="B6730" t="s">
        <v>27</v>
      </c>
      <c r="C6730" t="s">
        <v>29</v>
      </c>
      <c r="D6730" t="s">
        <v>14</v>
      </c>
      <c r="E6730" s="68">
        <v>29</v>
      </c>
      <c r="F6730" s="68">
        <v>178</v>
      </c>
      <c r="G6730" s="68">
        <v>207</v>
      </c>
    </row>
    <row r="6731" spans="1:7" x14ac:dyDescent="0.3">
      <c r="A6731" t="s">
        <v>1395</v>
      </c>
      <c r="B6731" t="s">
        <v>27</v>
      </c>
      <c r="C6731" t="s">
        <v>29</v>
      </c>
      <c r="D6731" t="s">
        <v>15</v>
      </c>
      <c r="E6731" s="68">
        <v>15</v>
      </c>
      <c r="F6731" s="68">
        <v>115</v>
      </c>
      <c r="G6731" s="68">
        <v>130</v>
      </c>
    </row>
    <row r="6732" spans="1:7" x14ac:dyDescent="0.3">
      <c r="A6732" t="s">
        <v>1395</v>
      </c>
      <c r="B6732" t="s">
        <v>27</v>
      </c>
      <c r="C6732" t="s">
        <v>29</v>
      </c>
      <c r="D6732" t="s">
        <v>16</v>
      </c>
      <c r="E6732" s="68">
        <v>12</v>
      </c>
      <c r="F6732" s="68">
        <v>84</v>
      </c>
      <c r="G6732" s="68">
        <v>96</v>
      </c>
    </row>
    <row r="6733" spans="1:7" x14ac:dyDescent="0.3">
      <c r="A6733" t="s">
        <v>1395</v>
      </c>
      <c r="B6733" t="s">
        <v>27</v>
      </c>
      <c r="C6733" t="s">
        <v>29</v>
      </c>
      <c r="D6733" t="s">
        <v>17</v>
      </c>
      <c r="E6733" s="68">
        <v>10</v>
      </c>
      <c r="F6733" s="68">
        <v>65</v>
      </c>
      <c r="G6733" s="68">
        <v>75</v>
      </c>
    </row>
    <row r="6734" spans="1:7" x14ac:dyDescent="0.3">
      <c r="A6734" t="s">
        <v>1395</v>
      </c>
      <c r="B6734" t="s">
        <v>27</v>
      </c>
      <c r="C6734" t="s">
        <v>29</v>
      </c>
      <c r="D6734" t="s">
        <v>18</v>
      </c>
      <c r="E6734" s="68"/>
      <c r="F6734" s="68">
        <v>47</v>
      </c>
      <c r="G6734" s="68">
        <v>47</v>
      </c>
    </row>
    <row r="6735" spans="1:7" x14ac:dyDescent="0.3">
      <c r="A6735" t="s">
        <v>1395</v>
      </c>
      <c r="B6735" t="s">
        <v>27</v>
      </c>
      <c r="C6735" t="s">
        <v>29</v>
      </c>
      <c r="D6735" t="s">
        <v>19</v>
      </c>
      <c r="E6735" s="68">
        <v>5</v>
      </c>
      <c r="F6735" s="68">
        <v>39</v>
      </c>
      <c r="G6735" s="68">
        <v>44</v>
      </c>
    </row>
    <row r="6736" spans="1:7" x14ac:dyDescent="0.3">
      <c r="A6736" t="s">
        <v>1395</v>
      </c>
      <c r="B6736" t="s">
        <v>27</v>
      </c>
      <c r="C6736" t="s">
        <v>29</v>
      </c>
      <c r="D6736" t="s">
        <v>20</v>
      </c>
      <c r="E6736" s="68">
        <v>2</v>
      </c>
      <c r="F6736" s="68">
        <v>21</v>
      </c>
      <c r="G6736" s="68">
        <v>23</v>
      </c>
    </row>
    <row r="6737" spans="1:7" x14ac:dyDescent="0.3">
      <c r="A6737" t="s">
        <v>1395</v>
      </c>
      <c r="B6737" t="s">
        <v>27</v>
      </c>
      <c r="C6737" t="s">
        <v>29</v>
      </c>
      <c r="D6737" t="s">
        <v>21</v>
      </c>
      <c r="E6737" s="68">
        <v>1</v>
      </c>
      <c r="F6737" s="68">
        <v>14</v>
      </c>
      <c r="G6737" s="68">
        <v>15</v>
      </c>
    </row>
    <row r="6738" spans="1:7" x14ac:dyDescent="0.3">
      <c r="A6738" t="s">
        <v>1395</v>
      </c>
      <c r="B6738" t="s">
        <v>27</v>
      </c>
      <c r="C6738" t="s">
        <v>29</v>
      </c>
      <c r="D6738" t="s">
        <v>22</v>
      </c>
      <c r="E6738" s="68"/>
      <c r="F6738" s="68">
        <v>5</v>
      </c>
      <c r="G6738" s="68">
        <v>5</v>
      </c>
    </row>
    <row r="6739" spans="1:7" x14ac:dyDescent="0.3">
      <c r="A6739" t="s">
        <v>1395</v>
      </c>
      <c r="B6739" t="s">
        <v>27</v>
      </c>
      <c r="C6739" t="s">
        <v>29</v>
      </c>
      <c r="D6739" t="s">
        <v>23</v>
      </c>
      <c r="E6739" s="68"/>
      <c r="F6739" s="68">
        <v>6</v>
      </c>
      <c r="G6739" s="68">
        <v>6</v>
      </c>
    </row>
    <row r="6740" spans="1:7" x14ac:dyDescent="0.3">
      <c r="A6740" t="s">
        <v>1395</v>
      </c>
      <c r="B6740" t="s">
        <v>36</v>
      </c>
      <c r="C6740" t="s">
        <v>6</v>
      </c>
      <c r="D6740" t="s">
        <v>7</v>
      </c>
      <c r="E6740" s="68">
        <v>544</v>
      </c>
      <c r="F6740" s="68">
        <v>549</v>
      </c>
      <c r="G6740" s="68">
        <v>1093</v>
      </c>
    </row>
    <row r="6741" spans="1:7" x14ac:dyDescent="0.3">
      <c r="A6741" t="s">
        <v>1395</v>
      </c>
      <c r="B6741" t="s">
        <v>36</v>
      </c>
      <c r="C6741" t="s">
        <v>6</v>
      </c>
      <c r="D6741" t="s">
        <v>8</v>
      </c>
      <c r="E6741" s="68">
        <v>796</v>
      </c>
      <c r="F6741" s="68">
        <v>862</v>
      </c>
      <c r="G6741" s="68">
        <v>1658</v>
      </c>
    </row>
    <row r="6742" spans="1:7" x14ac:dyDescent="0.3">
      <c r="A6742" t="s">
        <v>1395</v>
      </c>
      <c r="B6742" t="s">
        <v>36</v>
      </c>
      <c r="C6742" t="s">
        <v>6</v>
      </c>
      <c r="D6742" t="s">
        <v>9</v>
      </c>
      <c r="E6742" s="68">
        <v>939</v>
      </c>
      <c r="F6742" s="68">
        <v>982</v>
      </c>
      <c r="G6742" s="68">
        <v>1921</v>
      </c>
    </row>
    <row r="6743" spans="1:7" x14ac:dyDescent="0.3">
      <c r="A6743" t="s">
        <v>1395</v>
      </c>
      <c r="B6743" t="s">
        <v>36</v>
      </c>
      <c r="C6743" t="s">
        <v>6</v>
      </c>
      <c r="D6743" t="s">
        <v>10</v>
      </c>
      <c r="E6743" s="68">
        <v>989</v>
      </c>
      <c r="F6743" s="68">
        <v>984</v>
      </c>
      <c r="G6743" s="68">
        <v>1973</v>
      </c>
    </row>
    <row r="6744" spans="1:7" x14ac:dyDescent="0.3">
      <c r="A6744" t="s">
        <v>1395</v>
      </c>
      <c r="B6744" t="s">
        <v>36</v>
      </c>
      <c r="C6744" t="s">
        <v>6</v>
      </c>
      <c r="D6744" t="s">
        <v>11</v>
      </c>
      <c r="E6744" s="68">
        <v>1223</v>
      </c>
      <c r="F6744" s="68">
        <v>1376</v>
      </c>
      <c r="G6744" s="68">
        <v>2599</v>
      </c>
    </row>
    <row r="6745" spans="1:7" x14ac:dyDescent="0.3">
      <c r="A6745" t="s">
        <v>1395</v>
      </c>
      <c r="B6745" t="s">
        <v>36</v>
      </c>
      <c r="C6745" t="s">
        <v>6</v>
      </c>
      <c r="D6745" t="s">
        <v>12</v>
      </c>
      <c r="E6745" s="68">
        <v>1252</v>
      </c>
      <c r="F6745" s="68">
        <v>1512</v>
      </c>
      <c r="G6745" s="68">
        <v>2764</v>
      </c>
    </row>
    <row r="6746" spans="1:7" x14ac:dyDescent="0.3">
      <c r="A6746" t="s">
        <v>1395</v>
      </c>
      <c r="B6746" t="s">
        <v>36</v>
      </c>
      <c r="C6746" t="s">
        <v>6</v>
      </c>
      <c r="D6746" t="s">
        <v>13</v>
      </c>
      <c r="E6746" s="68">
        <v>1364</v>
      </c>
      <c r="F6746" s="68">
        <v>1488</v>
      </c>
      <c r="G6746" s="68">
        <v>2852</v>
      </c>
    </row>
    <row r="6747" spans="1:7" x14ac:dyDescent="0.3">
      <c r="A6747" t="s">
        <v>1395</v>
      </c>
      <c r="B6747" t="s">
        <v>36</v>
      </c>
      <c r="C6747" t="s">
        <v>6</v>
      </c>
      <c r="D6747" t="s">
        <v>14</v>
      </c>
      <c r="E6747" s="68">
        <v>1298</v>
      </c>
      <c r="F6747" s="68">
        <v>1437</v>
      </c>
      <c r="G6747" s="68">
        <v>2735</v>
      </c>
    </row>
    <row r="6748" spans="1:7" x14ac:dyDescent="0.3">
      <c r="A6748" t="s">
        <v>1395</v>
      </c>
      <c r="B6748" t="s">
        <v>36</v>
      </c>
      <c r="C6748" t="s">
        <v>6</v>
      </c>
      <c r="D6748" t="s">
        <v>15</v>
      </c>
      <c r="E6748" s="68">
        <v>1237</v>
      </c>
      <c r="F6748" s="68">
        <v>1298</v>
      </c>
      <c r="G6748" s="68">
        <v>2535</v>
      </c>
    </row>
    <row r="6749" spans="1:7" x14ac:dyDescent="0.3">
      <c r="A6749" t="s">
        <v>1395</v>
      </c>
      <c r="B6749" t="s">
        <v>36</v>
      </c>
      <c r="C6749" t="s">
        <v>6</v>
      </c>
      <c r="D6749" t="s">
        <v>16</v>
      </c>
      <c r="E6749" s="68">
        <v>1102</v>
      </c>
      <c r="F6749" s="68">
        <v>1196</v>
      </c>
      <c r="G6749" s="68">
        <v>2298</v>
      </c>
    </row>
    <row r="6750" spans="1:7" x14ac:dyDescent="0.3">
      <c r="A6750" t="s">
        <v>1395</v>
      </c>
      <c r="B6750" t="s">
        <v>36</v>
      </c>
      <c r="C6750" t="s">
        <v>6</v>
      </c>
      <c r="D6750" t="s">
        <v>17</v>
      </c>
      <c r="E6750" s="68">
        <v>859</v>
      </c>
      <c r="F6750" s="68">
        <v>942</v>
      </c>
      <c r="G6750" s="68">
        <v>1801</v>
      </c>
    </row>
    <row r="6751" spans="1:7" x14ac:dyDescent="0.3">
      <c r="A6751" t="s">
        <v>1395</v>
      </c>
      <c r="B6751" t="s">
        <v>36</v>
      </c>
      <c r="C6751" t="s">
        <v>6</v>
      </c>
      <c r="D6751" t="s">
        <v>18</v>
      </c>
      <c r="E6751" s="68">
        <v>906</v>
      </c>
      <c r="F6751" s="68">
        <v>956</v>
      </c>
      <c r="G6751" s="68">
        <v>1862</v>
      </c>
    </row>
    <row r="6752" spans="1:7" x14ac:dyDescent="0.3">
      <c r="A6752" t="s">
        <v>1395</v>
      </c>
      <c r="B6752" t="s">
        <v>36</v>
      </c>
      <c r="C6752" t="s">
        <v>6</v>
      </c>
      <c r="D6752" t="s">
        <v>19</v>
      </c>
      <c r="E6752" s="68">
        <v>851</v>
      </c>
      <c r="F6752" s="68">
        <v>860</v>
      </c>
      <c r="G6752" s="68">
        <v>1711</v>
      </c>
    </row>
    <row r="6753" spans="1:7" x14ac:dyDescent="0.3">
      <c r="A6753" t="s">
        <v>1395</v>
      </c>
      <c r="B6753" t="s">
        <v>36</v>
      </c>
      <c r="C6753" t="s">
        <v>6</v>
      </c>
      <c r="D6753" t="s">
        <v>20</v>
      </c>
      <c r="E6753" s="68">
        <v>669</v>
      </c>
      <c r="F6753" s="68">
        <v>664</v>
      </c>
      <c r="G6753" s="68">
        <v>1333</v>
      </c>
    </row>
    <row r="6754" spans="1:7" x14ac:dyDescent="0.3">
      <c r="A6754" t="s">
        <v>1395</v>
      </c>
      <c r="B6754" t="s">
        <v>36</v>
      </c>
      <c r="C6754" t="s">
        <v>6</v>
      </c>
      <c r="D6754" t="s">
        <v>21</v>
      </c>
      <c r="E6754" s="68">
        <v>534</v>
      </c>
      <c r="F6754" s="68">
        <v>527</v>
      </c>
      <c r="G6754" s="68">
        <v>1061</v>
      </c>
    </row>
    <row r="6755" spans="1:7" x14ac:dyDescent="0.3">
      <c r="A6755" t="s">
        <v>1395</v>
      </c>
      <c r="B6755" t="s">
        <v>36</v>
      </c>
      <c r="C6755" t="s">
        <v>6</v>
      </c>
      <c r="D6755" t="s">
        <v>22</v>
      </c>
      <c r="E6755" s="68">
        <v>386</v>
      </c>
      <c r="F6755" s="68">
        <v>348</v>
      </c>
      <c r="G6755" s="68">
        <v>734</v>
      </c>
    </row>
    <row r="6756" spans="1:7" x14ac:dyDescent="0.3">
      <c r="A6756" t="s">
        <v>1395</v>
      </c>
      <c r="B6756" t="s">
        <v>36</v>
      </c>
      <c r="C6756" t="s">
        <v>6</v>
      </c>
      <c r="D6756" t="s">
        <v>23</v>
      </c>
      <c r="E6756" s="68">
        <v>358</v>
      </c>
      <c r="F6756" s="68">
        <v>277</v>
      </c>
      <c r="G6756" s="68">
        <v>635</v>
      </c>
    </row>
    <row r="6757" spans="1:7" x14ac:dyDescent="0.3">
      <c r="A6757" t="s">
        <v>1395</v>
      </c>
      <c r="B6757" t="s">
        <v>36</v>
      </c>
      <c r="C6757" t="s">
        <v>24</v>
      </c>
      <c r="D6757" t="s">
        <v>7</v>
      </c>
      <c r="E6757" s="68">
        <v>332</v>
      </c>
      <c r="F6757" s="68">
        <v>389</v>
      </c>
      <c r="G6757" s="68">
        <v>721</v>
      </c>
    </row>
    <row r="6758" spans="1:7" x14ac:dyDescent="0.3">
      <c r="A6758" t="s">
        <v>1395</v>
      </c>
      <c r="B6758" t="s">
        <v>36</v>
      </c>
      <c r="C6758" t="s">
        <v>24</v>
      </c>
      <c r="D6758" t="s">
        <v>8</v>
      </c>
      <c r="E6758" s="68">
        <v>698</v>
      </c>
      <c r="F6758" s="68">
        <v>722</v>
      </c>
      <c r="G6758" s="68">
        <v>1420</v>
      </c>
    </row>
    <row r="6759" spans="1:7" x14ac:dyDescent="0.3">
      <c r="A6759" t="s">
        <v>1395</v>
      </c>
      <c r="B6759" t="s">
        <v>36</v>
      </c>
      <c r="C6759" t="s">
        <v>24</v>
      </c>
      <c r="D6759" t="s">
        <v>9</v>
      </c>
      <c r="E6759" s="68">
        <v>639</v>
      </c>
      <c r="F6759" s="68">
        <v>681</v>
      </c>
      <c r="G6759" s="68">
        <v>1320</v>
      </c>
    </row>
    <row r="6760" spans="1:7" x14ac:dyDescent="0.3">
      <c r="A6760" t="s">
        <v>1395</v>
      </c>
      <c r="B6760" t="s">
        <v>36</v>
      </c>
      <c r="C6760" t="s">
        <v>24</v>
      </c>
      <c r="D6760" t="s">
        <v>10</v>
      </c>
      <c r="E6760" s="68">
        <v>601</v>
      </c>
      <c r="F6760" s="68">
        <v>542</v>
      </c>
      <c r="G6760" s="68">
        <v>1143</v>
      </c>
    </row>
    <row r="6761" spans="1:7" x14ac:dyDescent="0.3">
      <c r="A6761" t="s">
        <v>1395</v>
      </c>
      <c r="B6761" t="s">
        <v>36</v>
      </c>
      <c r="C6761" t="s">
        <v>24</v>
      </c>
      <c r="D6761" t="s">
        <v>11</v>
      </c>
      <c r="E6761" s="68">
        <v>642</v>
      </c>
      <c r="F6761" s="68">
        <v>630</v>
      </c>
      <c r="G6761" s="68">
        <v>1272</v>
      </c>
    </row>
    <row r="6762" spans="1:7" x14ac:dyDescent="0.3">
      <c r="A6762" t="s">
        <v>1395</v>
      </c>
      <c r="B6762" t="s">
        <v>36</v>
      </c>
      <c r="C6762" t="s">
        <v>24</v>
      </c>
      <c r="D6762" t="s">
        <v>12</v>
      </c>
      <c r="E6762" s="68">
        <v>692</v>
      </c>
      <c r="F6762" s="68">
        <v>774</v>
      </c>
      <c r="G6762" s="68">
        <v>1466</v>
      </c>
    </row>
    <row r="6763" spans="1:7" x14ac:dyDescent="0.3">
      <c r="A6763" t="s">
        <v>1395</v>
      </c>
      <c r="B6763" t="s">
        <v>36</v>
      </c>
      <c r="C6763" t="s">
        <v>24</v>
      </c>
      <c r="D6763" t="s">
        <v>13</v>
      </c>
      <c r="E6763" s="68">
        <v>679</v>
      </c>
      <c r="F6763" s="68">
        <v>726</v>
      </c>
      <c r="G6763" s="68">
        <v>1405</v>
      </c>
    </row>
    <row r="6764" spans="1:7" x14ac:dyDescent="0.3">
      <c r="A6764" t="s">
        <v>1395</v>
      </c>
      <c r="B6764" t="s">
        <v>36</v>
      </c>
      <c r="C6764" t="s">
        <v>24</v>
      </c>
      <c r="D6764" t="s">
        <v>14</v>
      </c>
      <c r="E6764" s="68">
        <v>580</v>
      </c>
      <c r="F6764" s="68">
        <v>553</v>
      </c>
      <c r="G6764" s="68">
        <v>1133</v>
      </c>
    </row>
    <row r="6765" spans="1:7" x14ac:dyDescent="0.3">
      <c r="A6765" t="s">
        <v>1395</v>
      </c>
      <c r="B6765" t="s">
        <v>36</v>
      </c>
      <c r="C6765" t="s">
        <v>24</v>
      </c>
      <c r="D6765" t="s">
        <v>15</v>
      </c>
      <c r="E6765" s="68">
        <v>520</v>
      </c>
      <c r="F6765" s="68">
        <v>419</v>
      </c>
      <c r="G6765" s="68">
        <v>939</v>
      </c>
    </row>
    <row r="6766" spans="1:7" x14ac:dyDescent="0.3">
      <c r="A6766" t="s">
        <v>1395</v>
      </c>
      <c r="B6766" t="s">
        <v>36</v>
      </c>
      <c r="C6766" t="s">
        <v>24</v>
      </c>
      <c r="D6766" t="s">
        <v>16</v>
      </c>
      <c r="E6766" s="68">
        <v>482</v>
      </c>
      <c r="F6766" s="68">
        <v>402</v>
      </c>
      <c r="G6766" s="68">
        <v>884</v>
      </c>
    </row>
    <row r="6767" spans="1:7" x14ac:dyDescent="0.3">
      <c r="A6767" t="s">
        <v>1395</v>
      </c>
      <c r="B6767" t="s">
        <v>36</v>
      </c>
      <c r="C6767" t="s">
        <v>24</v>
      </c>
      <c r="D6767" t="s">
        <v>17</v>
      </c>
      <c r="E6767" s="68">
        <v>372</v>
      </c>
      <c r="F6767" s="68">
        <v>388</v>
      </c>
      <c r="G6767" s="68">
        <v>760</v>
      </c>
    </row>
    <row r="6768" spans="1:7" x14ac:dyDescent="0.3">
      <c r="A6768" t="s">
        <v>1395</v>
      </c>
      <c r="B6768" t="s">
        <v>36</v>
      </c>
      <c r="C6768" t="s">
        <v>24</v>
      </c>
      <c r="D6768" t="s">
        <v>18</v>
      </c>
      <c r="E6768" s="68">
        <v>367</v>
      </c>
      <c r="F6768" s="68">
        <v>361</v>
      </c>
      <c r="G6768" s="68">
        <v>728</v>
      </c>
    </row>
    <row r="6769" spans="1:7" x14ac:dyDescent="0.3">
      <c r="A6769" t="s">
        <v>1395</v>
      </c>
      <c r="B6769" t="s">
        <v>36</v>
      </c>
      <c r="C6769" t="s">
        <v>24</v>
      </c>
      <c r="D6769" t="s">
        <v>19</v>
      </c>
      <c r="E6769" s="68">
        <v>276</v>
      </c>
      <c r="F6769" s="68">
        <v>295</v>
      </c>
      <c r="G6769" s="68">
        <v>571</v>
      </c>
    </row>
    <row r="6770" spans="1:7" x14ac:dyDescent="0.3">
      <c r="A6770" t="s">
        <v>1395</v>
      </c>
      <c r="B6770" t="s">
        <v>36</v>
      </c>
      <c r="C6770" t="s">
        <v>24</v>
      </c>
      <c r="D6770" t="s">
        <v>20</v>
      </c>
      <c r="E6770" s="68">
        <v>253</v>
      </c>
      <c r="F6770" s="68">
        <v>231</v>
      </c>
      <c r="G6770" s="68">
        <v>484</v>
      </c>
    </row>
    <row r="6771" spans="1:7" x14ac:dyDescent="0.3">
      <c r="A6771" t="s">
        <v>1395</v>
      </c>
      <c r="B6771" t="s">
        <v>36</v>
      </c>
      <c r="C6771" t="s">
        <v>24</v>
      </c>
      <c r="D6771" t="s">
        <v>21</v>
      </c>
      <c r="E6771" s="68">
        <v>183</v>
      </c>
      <c r="F6771" s="68">
        <v>193</v>
      </c>
      <c r="G6771" s="68">
        <v>376</v>
      </c>
    </row>
    <row r="6772" spans="1:7" x14ac:dyDescent="0.3">
      <c r="A6772" t="s">
        <v>1395</v>
      </c>
      <c r="B6772" t="s">
        <v>36</v>
      </c>
      <c r="C6772" t="s">
        <v>24</v>
      </c>
      <c r="D6772" t="s">
        <v>22</v>
      </c>
      <c r="E6772" s="68">
        <v>129</v>
      </c>
      <c r="F6772" s="68">
        <v>92</v>
      </c>
      <c r="G6772" s="68">
        <v>221</v>
      </c>
    </row>
    <row r="6773" spans="1:7" x14ac:dyDescent="0.3">
      <c r="A6773" t="s">
        <v>1395</v>
      </c>
      <c r="B6773" t="s">
        <v>36</v>
      </c>
      <c r="C6773" t="s">
        <v>24</v>
      </c>
      <c r="D6773" t="s">
        <v>23</v>
      </c>
      <c r="E6773" s="68">
        <v>137</v>
      </c>
      <c r="F6773" s="68">
        <v>120</v>
      </c>
      <c r="G6773" s="68">
        <v>257</v>
      </c>
    </row>
    <row r="6774" spans="1:7" x14ac:dyDescent="0.3">
      <c r="A6774" t="s">
        <v>897</v>
      </c>
      <c r="B6774" t="s">
        <v>38</v>
      </c>
      <c r="C6774" t="s">
        <v>6</v>
      </c>
      <c r="D6774" t="s">
        <v>7</v>
      </c>
      <c r="E6774" s="68">
        <v>75</v>
      </c>
      <c r="F6774" s="68">
        <v>82</v>
      </c>
      <c r="G6774" s="68">
        <v>157</v>
      </c>
    </row>
    <row r="6775" spans="1:7" x14ac:dyDescent="0.3">
      <c r="A6775" t="s">
        <v>897</v>
      </c>
      <c r="B6775" t="s">
        <v>38</v>
      </c>
      <c r="C6775" t="s">
        <v>6</v>
      </c>
      <c r="D6775" t="s">
        <v>8</v>
      </c>
      <c r="E6775" s="68">
        <v>72</v>
      </c>
      <c r="F6775" s="68">
        <v>78</v>
      </c>
      <c r="G6775" s="68">
        <v>150</v>
      </c>
    </row>
    <row r="6776" spans="1:7" x14ac:dyDescent="0.3">
      <c r="A6776" t="s">
        <v>897</v>
      </c>
      <c r="B6776" t="s">
        <v>38</v>
      </c>
      <c r="C6776" t="s">
        <v>6</v>
      </c>
      <c r="D6776" t="s">
        <v>9</v>
      </c>
      <c r="E6776" s="68">
        <v>74</v>
      </c>
      <c r="F6776" s="68">
        <v>86</v>
      </c>
      <c r="G6776" s="68">
        <v>160</v>
      </c>
    </row>
    <row r="6777" spans="1:7" x14ac:dyDescent="0.3">
      <c r="A6777" t="s">
        <v>897</v>
      </c>
      <c r="B6777" t="s">
        <v>38</v>
      </c>
      <c r="C6777" t="s">
        <v>6</v>
      </c>
      <c r="D6777" t="s">
        <v>10</v>
      </c>
      <c r="E6777" s="68">
        <v>336</v>
      </c>
      <c r="F6777" s="68">
        <v>446</v>
      </c>
      <c r="G6777" s="68">
        <v>782</v>
      </c>
    </row>
    <row r="6778" spans="1:7" x14ac:dyDescent="0.3">
      <c r="A6778" t="s">
        <v>897</v>
      </c>
      <c r="B6778" t="s">
        <v>38</v>
      </c>
      <c r="C6778" t="s">
        <v>6</v>
      </c>
      <c r="D6778" t="s">
        <v>11</v>
      </c>
      <c r="E6778" s="68">
        <v>926</v>
      </c>
      <c r="F6778" s="68">
        <v>1255</v>
      </c>
      <c r="G6778" s="68">
        <v>2181</v>
      </c>
    </row>
    <row r="6779" spans="1:7" x14ac:dyDescent="0.3">
      <c r="A6779" t="s">
        <v>897</v>
      </c>
      <c r="B6779" t="s">
        <v>38</v>
      </c>
      <c r="C6779" t="s">
        <v>6</v>
      </c>
      <c r="D6779" t="s">
        <v>12</v>
      </c>
      <c r="E6779" s="68">
        <v>805</v>
      </c>
      <c r="F6779" s="68">
        <v>914</v>
      </c>
      <c r="G6779" s="68">
        <v>1719</v>
      </c>
    </row>
    <row r="6780" spans="1:7" x14ac:dyDescent="0.3">
      <c r="A6780" t="s">
        <v>897</v>
      </c>
      <c r="B6780" t="s">
        <v>38</v>
      </c>
      <c r="C6780" t="s">
        <v>6</v>
      </c>
      <c r="D6780" t="s">
        <v>13</v>
      </c>
      <c r="E6780" s="68">
        <v>618</v>
      </c>
      <c r="F6780" s="68">
        <v>552</v>
      </c>
      <c r="G6780" s="68">
        <v>1170</v>
      </c>
    </row>
    <row r="6781" spans="1:7" x14ac:dyDescent="0.3">
      <c r="A6781" t="s">
        <v>897</v>
      </c>
      <c r="B6781" t="s">
        <v>38</v>
      </c>
      <c r="C6781" t="s">
        <v>6</v>
      </c>
      <c r="D6781" t="s">
        <v>14</v>
      </c>
      <c r="E6781" s="68">
        <v>508</v>
      </c>
      <c r="F6781" s="68">
        <v>390</v>
      </c>
      <c r="G6781" s="68">
        <v>898</v>
      </c>
    </row>
    <row r="6782" spans="1:7" x14ac:dyDescent="0.3">
      <c r="A6782" t="s">
        <v>897</v>
      </c>
      <c r="B6782" t="s">
        <v>38</v>
      </c>
      <c r="C6782" t="s">
        <v>6</v>
      </c>
      <c r="D6782" t="s">
        <v>15</v>
      </c>
      <c r="E6782" s="68">
        <v>355</v>
      </c>
      <c r="F6782" s="68">
        <v>331</v>
      </c>
      <c r="G6782" s="68">
        <v>686</v>
      </c>
    </row>
    <row r="6783" spans="1:7" x14ac:dyDescent="0.3">
      <c r="A6783" t="s">
        <v>897</v>
      </c>
      <c r="B6783" t="s">
        <v>38</v>
      </c>
      <c r="C6783" t="s">
        <v>6</v>
      </c>
      <c r="D6783" t="s">
        <v>16</v>
      </c>
      <c r="E6783" s="68">
        <v>297</v>
      </c>
      <c r="F6783" s="68">
        <v>273</v>
      </c>
      <c r="G6783" s="68">
        <v>570</v>
      </c>
    </row>
    <row r="6784" spans="1:7" x14ac:dyDescent="0.3">
      <c r="A6784" t="s">
        <v>897</v>
      </c>
      <c r="B6784" t="s">
        <v>38</v>
      </c>
      <c r="C6784" t="s">
        <v>6</v>
      </c>
      <c r="D6784" t="s">
        <v>17</v>
      </c>
      <c r="E6784" s="68">
        <v>207</v>
      </c>
      <c r="F6784" s="68">
        <v>277</v>
      </c>
      <c r="G6784" s="68">
        <v>484</v>
      </c>
    </row>
    <row r="6785" spans="1:7" x14ac:dyDescent="0.3">
      <c r="A6785" t="s">
        <v>897</v>
      </c>
      <c r="B6785" t="s">
        <v>38</v>
      </c>
      <c r="C6785" t="s">
        <v>6</v>
      </c>
      <c r="D6785" t="s">
        <v>18</v>
      </c>
      <c r="E6785" s="68">
        <v>186</v>
      </c>
      <c r="F6785" s="68">
        <v>264</v>
      </c>
      <c r="G6785" s="68">
        <v>450</v>
      </c>
    </row>
    <row r="6786" spans="1:7" x14ac:dyDescent="0.3">
      <c r="A6786" t="s">
        <v>897</v>
      </c>
      <c r="B6786" t="s">
        <v>38</v>
      </c>
      <c r="C6786" t="s">
        <v>6</v>
      </c>
      <c r="D6786" t="s">
        <v>19</v>
      </c>
      <c r="E6786" s="68">
        <v>150</v>
      </c>
      <c r="F6786" s="68">
        <v>248</v>
      </c>
      <c r="G6786" s="68">
        <v>398</v>
      </c>
    </row>
    <row r="6787" spans="1:7" x14ac:dyDescent="0.3">
      <c r="A6787" t="s">
        <v>897</v>
      </c>
      <c r="B6787" t="s">
        <v>38</v>
      </c>
      <c r="C6787" t="s">
        <v>6</v>
      </c>
      <c r="D6787" t="s">
        <v>20</v>
      </c>
      <c r="E6787" s="68">
        <v>101</v>
      </c>
      <c r="F6787" s="68">
        <v>212</v>
      </c>
      <c r="G6787" s="68">
        <v>313</v>
      </c>
    </row>
    <row r="6788" spans="1:7" x14ac:dyDescent="0.3">
      <c r="A6788" t="s">
        <v>897</v>
      </c>
      <c r="B6788" t="s">
        <v>38</v>
      </c>
      <c r="C6788" t="s">
        <v>6</v>
      </c>
      <c r="D6788" t="s">
        <v>21</v>
      </c>
      <c r="E6788" s="68">
        <v>53</v>
      </c>
      <c r="F6788" s="68">
        <v>110</v>
      </c>
      <c r="G6788" s="68">
        <v>163</v>
      </c>
    </row>
    <row r="6789" spans="1:7" x14ac:dyDescent="0.3">
      <c r="A6789" t="s">
        <v>897</v>
      </c>
      <c r="B6789" t="s">
        <v>38</v>
      </c>
      <c r="C6789" t="s">
        <v>6</v>
      </c>
      <c r="D6789" t="s">
        <v>22</v>
      </c>
      <c r="E6789" s="68">
        <v>24</v>
      </c>
      <c r="F6789" s="68">
        <v>35</v>
      </c>
      <c r="G6789" s="68">
        <v>59</v>
      </c>
    </row>
    <row r="6790" spans="1:7" x14ac:dyDescent="0.3">
      <c r="A6790" t="s">
        <v>897</v>
      </c>
      <c r="B6790" t="s">
        <v>38</v>
      </c>
      <c r="C6790" t="s">
        <v>6</v>
      </c>
      <c r="D6790" t="s">
        <v>23</v>
      </c>
      <c r="E6790" s="68">
        <v>37</v>
      </c>
      <c r="F6790" s="68">
        <v>36</v>
      </c>
      <c r="G6790" s="68">
        <v>73</v>
      </c>
    </row>
    <row r="6791" spans="1:7" x14ac:dyDescent="0.3">
      <c r="A6791" t="s">
        <v>897</v>
      </c>
      <c r="B6791" t="s">
        <v>38</v>
      </c>
      <c r="C6791" t="s">
        <v>24</v>
      </c>
      <c r="D6791" t="s">
        <v>7</v>
      </c>
      <c r="E6791" s="68">
        <v>3140</v>
      </c>
      <c r="F6791" s="68">
        <v>3277</v>
      </c>
      <c r="G6791" s="68">
        <v>6417</v>
      </c>
    </row>
    <row r="6792" spans="1:7" x14ac:dyDescent="0.3">
      <c r="A6792" t="s">
        <v>897</v>
      </c>
      <c r="B6792" t="s">
        <v>38</v>
      </c>
      <c r="C6792" t="s">
        <v>24</v>
      </c>
      <c r="D6792" t="s">
        <v>8</v>
      </c>
      <c r="E6792" s="68">
        <v>4183</v>
      </c>
      <c r="F6792" s="68">
        <v>4578</v>
      </c>
      <c r="G6792" s="68">
        <v>8761</v>
      </c>
    </row>
    <row r="6793" spans="1:7" x14ac:dyDescent="0.3">
      <c r="A6793" t="s">
        <v>897</v>
      </c>
      <c r="B6793" t="s">
        <v>38</v>
      </c>
      <c r="C6793" t="s">
        <v>24</v>
      </c>
      <c r="D6793" t="s">
        <v>9</v>
      </c>
      <c r="E6793" s="68">
        <v>5082</v>
      </c>
      <c r="F6793" s="68">
        <v>5387</v>
      </c>
      <c r="G6793" s="68">
        <v>10469</v>
      </c>
    </row>
    <row r="6794" spans="1:7" x14ac:dyDescent="0.3">
      <c r="A6794" t="s">
        <v>897</v>
      </c>
      <c r="B6794" t="s">
        <v>38</v>
      </c>
      <c r="C6794" t="s">
        <v>24</v>
      </c>
      <c r="D6794" t="s">
        <v>10</v>
      </c>
      <c r="E6794" s="68">
        <v>5824</v>
      </c>
      <c r="F6794" s="68">
        <v>5882</v>
      </c>
      <c r="G6794" s="68">
        <v>11706</v>
      </c>
    </row>
    <row r="6795" spans="1:7" x14ac:dyDescent="0.3">
      <c r="A6795" t="s">
        <v>897</v>
      </c>
      <c r="B6795" t="s">
        <v>38</v>
      </c>
      <c r="C6795" t="s">
        <v>24</v>
      </c>
      <c r="D6795" t="s">
        <v>11</v>
      </c>
      <c r="E6795" s="68">
        <v>5209</v>
      </c>
      <c r="F6795" s="68">
        <v>4643</v>
      </c>
      <c r="G6795" s="68">
        <v>9852</v>
      </c>
    </row>
    <row r="6796" spans="1:7" x14ac:dyDescent="0.3">
      <c r="A6796" t="s">
        <v>897</v>
      </c>
      <c r="B6796" t="s">
        <v>38</v>
      </c>
      <c r="C6796" t="s">
        <v>24</v>
      </c>
      <c r="D6796" t="s">
        <v>12</v>
      </c>
      <c r="E6796" s="68">
        <v>5471</v>
      </c>
      <c r="F6796" s="68">
        <v>4865</v>
      </c>
      <c r="G6796" s="68">
        <v>10336</v>
      </c>
    </row>
    <row r="6797" spans="1:7" x14ac:dyDescent="0.3">
      <c r="A6797" t="s">
        <v>897</v>
      </c>
      <c r="B6797" t="s">
        <v>38</v>
      </c>
      <c r="C6797" t="s">
        <v>24</v>
      </c>
      <c r="D6797" t="s">
        <v>13</v>
      </c>
      <c r="E6797" s="68">
        <v>5149</v>
      </c>
      <c r="F6797" s="68">
        <v>4273</v>
      </c>
      <c r="G6797" s="68">
        <v>9422</v>
      </c>
    </row>
    <row r="6798" spans="1:7" x14ac:dyDescent="0.3">
      <c r="A6798" t="s">
        <v>897</v>
      </c>
      <c r="B6798" t="s">
        <v>38</v>
      </c>
      <c r="C6798" t="s">
        <v>24</v>
      </c>
      <c r="D6798" t="s">
        <v>14</v>
      </c>
      <c r="E6798" s="68">
        <v>4696</v>
      </c>
      <c r="F6798" s="68">
        <v>3860</v>
      </c>
      <c r="G6798" s="68">
        <v>8556</v>
      </c>
    </row>
    <row r="6799" spans="1:7" x14ac:dyDescent="0.3">
      <c r="A6799" t="s">
        <v>897</v>
      </c>
      <c r="B6799" t="s">
        <v>38</v>
      </c>
      <c r="C6799" t="s">
        <v>24</v>
      </c>
      <c r="D6799" t="s">
        <v>15</v>
      </c>
      <c r="E6799" s="68">
        <v>4768</v>
      </c>
      <c r="F6799" s="68">
        <v>3538</v>
      </c>
      <c r="G6799" s="68">
        <v>8306</v>
      </c>
    </row>
    <row r="6800" spans="1:7" x14ac:dyDescent="0.3">
      <c r="A6800" t="s">
        <v>897</v>
      </c>
      <c r="B6800" t="s">
        <v>38</v>
      </c>
      <c r="C6800" t="s">
        <v>24</v>
      </c>
      <c r="D6800" t="s">
        <v>16</v>
      </c>
      <c r="E6800" s="68">
        <v>4820</v>
      </c>
      <c r="F6800" s="68">
        <v>3855</v>
      </c>
      <c r="G6800" s="68">
        <v>8675</v>
      </c>
    </row>
    <row r="6801" spans="1:7" x14ac:dyDescent="0.3">
      <c r="A6801" t="s">
        <v>897</v>
      </c>
      <c r="B6801" t="s">
        <v>38</v>
      </c>
      <c r="C6801" t="s">
        <v>24</v>
      </c>
      <c r="D6801" t="s">
        <v>17</v>
      </c>
      <c r="E6801" s="68">
        <v>4593</v>
      </c>
      <c r="F6801" s="68">
        <v>3735</v>
      </c>
      <c r="G6801" s="68">
        <v>8328</v>
      </c>
    </row>
    <row r="6802" spans="1:7" x14ac:dyDescent="0.3">
      <c r="A6802" t="s">
        <v>897</v>
      </c>
      <c r="B6802" t="s">
        <v>38</v>
      </c>
      <c r="C6802" t="s">
        <v>24</v>
      </c>
      <c r="D6802" t="s">
        <v>18</v>
      </c>
      <c r="E6802" s="68">
        <v>5167</v>
      </c>
      <c r="F6802" s="68">
        <v>4231</v>
      </c>
      <c r="G6802" s="68">
        <v>9398</v>
      </c>
    </row>
    <row r="6803" spans="1:7" x14ac:dyDescent="0.3">
      <c r="A6803" t="s">
        <v>897</v>
      </c>
      <c r="B6803" t="s">
        <v>38</v>
      </c>
      <c r="C6803" t="s">
        <v>24</v>
      </c>
      <c r="D6803" t="s">
        <v>19</v>
      </c>
      <c r="E6803" s="68">
        <v>5010</v>
      </c>
      <c r="F6803" s="68">
        <v>4524</v>
      </c>
      <c r="G6803" s="68">
        <v>9534</v>
      </c>
    </row>
    <row r="6804" spans="1:7" x14ac:dyDescent="0.3">
      <c r="A6804" t="s">
        <v>897</v>
      </c>
      <c r="B6804" t="s">
        <v>38</v>
      </c>
      <c r="C6804" t="s">
        <v>24</v>
      </c>
      <c r="D6804" t="s">
        <v>20</v>
      </c>
      <c r="E6804" s="68">
        <v>4259</v>
      </c>
      <c r="F6804" s="68">
        <v>4125</v>
      </c>
      <c r="G6804" s="68">
        <v>8384</v>
      </c>
    </row>
    <row r="6805" spans="1:7" x14ac:dyDescent="0.3">
      <c r="A6805" t="s">
        <v>897</v>
      </c>
      <c r="B6805" t="s">
        <v>38</v>
      </c>
      <c r="C6805" t="s">
        <v>24</v>
      </c>
      <c r="D6805" t="s">
        <v>21</v>
      </c>
      <c r="E6805" s="68">
        <v>3400</v>
      </c>
      <c r="F6805" s="68">
        <v>3288</v>
      </c>
      <c r="G6805" s="68">
        <v>6688</v>
      </c>
    </row>
    <row r="6806" spans="1:7" x14ac:dyDescent="0.3">
      <c r="A6806" t="s">
        <v>897</v>
      </c>
      <c r="B6806" t="s">
        <v>38</v>
      </c>
      <c r="C6806" t="s">
        <v>24</v>
      </c>
      <c r="D6806" t="s">
        <v>22</v>
      </c>
      <c r="E6806" s="68">
        <v>2498</v>
      </c>
      <c r="F6806" s="68">
        <v>2212</v>
      </c>
      <c r="G6806" s="68">
        <v>4710</v>
      </c>
    </row>
    <row r="6807" spans="1:7" x14ac:dyDescent="0.3">
      <c r="A6807" t="s">
        <v>897</v>
      </c>
      <c r="B6807" t="s">
        <v>38</v>
      </c>
      <c r="C6807" t="s">
        <v>24</v>
      </c>
      <c r="D6807" t="s">
        <v>23</v>
      </c>
      <c r="E6807" s="68">
        <v>3286</v>
      </c>
      <c r="F6807" s="68">
        <v>2521</v>
      </c>
      <c r="G6807" s="68">
        <v>5807</v>
      </c>
    </row>
    <row r="6808" spans="1:7" x14ac:dyDescent="0.3">
      <c r="A6808" t="s">
        <v>897</v>
      </c>
      <c r="B6808" t="s">
        <v>41</v>
      </c>
      <c r="C6808" t="s">
        <v>6</v>
      </c>
      <c r="D6808" t="s">
        <v>7</v>
      </c>
      <c r="E6808" s="68">
        <v>22</v>
      </c>
      <c r="F6808" s="68">
        <v>21</v>
      </c>
      <c r="G6808" s="68">
        <v>43</v>
      </c>
    </row>
    <row r="6809" spans="1:7" x14ac:dyDescent="0.3">
      <c r="A6809" t="s">
        <v>897</v>
      </c>
      <c r="B6809" t="s">
        <v>41</v>
      </c>
      <c r="C6809" t="s">
        <v>6</v>
      </c>
      <c r="D6809" t="s">
        <v>8</v>
      </c>
      <c r="E6809" s="68">
        <v>30</v>
      </c>
      <c r="F6809" s="68">
        <v>37</v>
      </c>
      <c r="G6809" s="68">
        <v>67</v>
      </c>
    </row>
    <row r="6810" spans="1:7" x14ac:dyDescent="0.3">
      <c r="A6810" t="s">
        <v>897</v>
      </c>
      <c r="B6810" t="s">
        <v>41</v>
      </c>
      <c r="C6810" t="s">
        <v>6</v>
      </c>
      <c r="D6810" t="s">
        <v>9</v>
      </c>
      <c r="E6810" s="68">
        <v>42</v>
      </c>
      <c r="F6810" s="68">
        <v>49</v>
      </c>
      <c r="G6810" s="68">
        <v>91</v>
      </c>
    </row>
    <row r="6811" spans="1:7" x14ac:dyDescent="0.3">
      <c r="A6811" t="s">
        <v>897</v>
      </c>
      <c r="B6811" t="s">
        <v>41</v>
      </c>
      <c r="C6811" t="s">
        <v>6</v>
      </c>
      <c r="D6811" t="s">
        <v>10</v>
      </c>
      <c r="E6811" s="68">
        <v>60</v>
      </c>
      <c r="F6811" s="68">
        <v>86</v>
      </c>
      <c r="G6811" s="68">
        <v>146</v>
      </c>
    </row>
    <row r="6812" spans="1:7" x14ac:dyDescent="0.3">
      <c r="A6812" t="s">
        <v>897</v>
      </c>
      <c r="B6812" t="s">
        <v>41</v>
      </c>
      <c r="C6812" t="s">
        <v>6</v>
      </c>
      <c r="D6812" t="s">
        <v>11</v>
      </c>
      <c r="E6812" s="68">
        <v>92</v>
      </c>
      <c r="F6812" s="68">
        <v>104</v>
      </c>
      <c r="G6812" s="68">
        <v>196</v>
      </c>
    </row>
    <row r="6813" spans="1:7" x14ac:dyDescent="0.3">
      <c r="A6813" t="s">
        <v>897</v>
      </c>
      <c r="B6813" t="s">
        <v>41</v>
      </c>
      <c r="C6813" t="s">
        <v>6</v>
      </c>
      <c r="D6813" t="s">
        <v>12</v>
      </c>
      <c r="E6813" s="68">
        <v>73</v>
      </c>
      <c r="F6813" s="68">
        <v>58</v>
      </c>
      <c r="G6813" s="68">
        <v>131</v>
      </c>
    </row>
    <row r="6814" spans="1:7" x14ac:dyDescent="0.3">
      <c r="A6814" t="s">
        <v>897</v>
      </c>
      <c r="B6814" t="s">
        <v>41</v>
      </c>
      <c r="C6814" t="s">
        <v>6</v>
      </c>
      <c r="D6814" t="s">
        <v>13</v>
      </c>
      <c r="E6814" s="68">
        <v>75</v>
      </c>
      <c r="F6814" s="68">
        <v>50</v>
      </c>
      <c r="G6814" s="68">
        <v>125</v>
      </c>
    </row>
    <row r="6815" spans="1:7" x14ac:dyDescent="0.3">
      <c r="A6815" t="s">
        <v>897</v>
      </c>
      <c r="B6815" t="s">
        <v>41</v>
      </c>
      <c r="C6815" t="s">
        <v>6</v>
      </c>
      <c r="D6815" t="s">
        <v>14</v>
      </c>
      <c r="E6815" s="68">
        <v>66</v>
      </c>
      <c r="F6815" s="68">
        <v>39</v>
      </c>
      <c r="G6815" s="68">
        <v>105</v>
      </c>
    </row>
    <row r="6816" spans="1:7" x14ac:dyDescent="0.3">
      <c r="A6816" t="s">
        <v>897</v>
      </c>
      <c r="B6816" t="s">
        <v>41</v>
      </c>
      <c r="C6816" t="s">
        <v>6</v>
      </c>
      <c r="D6816" t="s">
        <v>15</v>
      </c>
      <c r="E6816" s="68">
        <v>71</v>
      </c>
      <c r="F6816" s="68">
        <v>52</v>
      </c>
      <c r="G6816" s="68">
        <v>123</v>
      </c>
    </row>
    <row r="6817" spans="1:7" x14ac:dyDescent="0.3">
      <c r="A6817" t="s">
        <v>897</v>
      </c>
      <c r="B6817" t="s">
        <v>41</v>
      </c>
      <c r="C6817" t="s">
        <v>6</v>
      </c>
      <c r="D6817" t="s">
        <v>16</v>
      </c>
      <c r="E6817" s="68">
        <v>61</v>
      </c>
      <c r="F6817" s="68">
        <v>51</v>
      </c>
      <c r="G6817" s="68">
        <v>112</v>
      </c>
    </row>
    <row r="6818" spans="1:7" x14ac:dyDescent="0.3">
      <c r="A6818" t="s">
        <v>897</v>
      </c>
      <c r="B6818" t="s">
        <v>41</v>
      </c>
      <c r="C6818" t="s">
        <v>6</v>
      </c>
      <c r="D6818" t="s">
        <v>17</v>
      </c>
      <c r="E6818" s="68">
        <v>73</v>
      </c>
      <c r="F6818" s="68">
        <v>53</v>
      </c>
      <c r="G6818" s="68">
        <v>126</v>
      </c>
    </row>
    <row r="6819" spans="1:7" x14ac:dyDescent="0.3">
      <c r="A6819" t="s">
        <v>897</v>
      </c>
      <c r="B6819" t="s">
        <v>41</v>
      </c>
      <c r="C6819" t="s">
        <v>6</v>
      </c>
      <c r="D6819" t="s">
        <v>18</v>
      </c>
      <c r="E6819" s="68">
        <v>62</v>
      </c>
      <c r="F6819" s="68">
        <v>54</v>
      </c>
      <c r="G6819" s="68">
        <v>116</v>
      </c>
    </row>
    <row r="6820" spans="1:7" x14ac:dyDescent="0.3">
      <c r="A6820" t="s">
        <v>897</v>
      </c>
      <c r="B6820" t="s">
        <v>41</v>
      </c>
      <c r="C6820" t="s">
        <v>6</v>
      </c>
      <c r="D6820" t="s">
        <v>19</v>
      </c>
      <c r="E6820" s="68">
        <v>69</v>
      </c>
      <c r="F6820" s="68">
        <v>69</v>
      </c>
      <c r="G6820" s="68">
        <v>138</v>
      </c>
    </row>
    <row r="6821" spans="1:7" x14ac:dyDescent="0.3">
      <c r="A6821" t="s">
        <v>897</v>
      </c>
      <c r="B6821" t="s">
        <v>41</v>
      </c>
      <c r="C6821" t="s">
        <v>6</v>
      </c>
      <c r="D6821" t="s">
        <v>20</v>
      </c>
      <c r="E6821" s="68">
        <v>52</v>
      </c>
      <c r="F6821" s="68">
        <v>60</v>
      </c>
      <c r="G6821" s="68">
        <v>112</v>
      </c>
    </row>
    <row r="6822" spans="1:7" x14ac:dyDescent="0.3">
      <c r="A6822" t="s">
        <v>897</v>
      </c>
      <c r="B6822" t="s">
        <v>41</v>
      </c>
      <c r="C6822" t="s">
        <v>6</v>
      </c>
      <c r="D6822" t="s">
        <v>21</v>
      </c>
      <c r="E6822" s="68">
        <v>44</v>
      </c>
      <c r="F6822" s="68">
        <v>49</v>
      </c>
      <c r="G6822" s="68">
        <v>93</v>
      </c>
    </row>
    <row r="6823" spans="1:7" x14ac:dyDescent="0.3">
      <c r="A6823" t="s">
        <v>897</v>
      </c>
      <c r="B6823" t="s">
        <v>41</v>
      </c>
      <c r="C6823" t="s">
        <v>6</v>
      </c>
      <c r="D6823" t="s">
        <v>22</v>
      </c>
      <c r="E6823" s="68">
        <v>21</v>
      </c>
      <c r="F6823" s="68">
        <v>31</v>
      </c>
      <c r="G6823" s="68">
        <v>52</v>
      </c>
    </row>
    <row r="6824" spans="1:7" x14ac:dyDescent="0.3">
      <c r="A6824" t="s">
        <v>897</v>
      </c>
      <c r="B6824" t="s">
        <v>41</v>
      </c>
      <c r="C6824" t="s">
        <v>6</v>
      </c>
      <c r="D6824" t="s">
        <v>23</v>
      </c>
      <c r="E6824" s="68">
        <v>40</v>
      </c>
      <c r="F6824" s="68">
        <v>18</v>
      </c>
      <c r="G6824" s="68">
        <v>58</v>
      </c>
    </row>
    <row r="6825" spans="1:7" x14ac:dyDescent="0.3">
      <c r="A6825" t="s">
        <v>897</v>
      </c>
      <c r="B6825" t="s">
        <v>41</v>
      </c>
      <c r="C6825" t="s">
        <v>24</v>
      </c>
      <c r="D6825" t="s">
        <v>7</v>
      </c>
      <c r="E6825" s="68">
        <v>134</v>
      </c>
      <c r="F6825" s="68">
        <v>134</v>
      </c>
      <c r="G6825" s="68">
        <v>268</v>
      </c>
    </row>
    <row r="6826" spans="1:7" x14ac:dyDescent="0.3">
      <c r="A6826" t="s">
        <v>897</v>
      </c>
      <c r="B6826" t="s">
        <v>41</v>
      </c>
      <c r="C6826" t="s">
        <v>24</v>
      </c>
      <c r="D6826" t="s">
        <v>8</v>
      </c>
      <c r="E6826" s="68">
        <v>289</v>
      </c>
      <c r="F6826" s="68">
        <v>261</v>
      </c>
      <c r="G6826" s="68">
        <v>550</v>
      </c>
    </row>
    <row r="6827" spans="1:7" x14ac:dyDescent="0.3">
      <c r="A6827" t="s">
        <v>897</v>
      </c>
      <c r="B6827" t="s">
        <v>41</v>
      </c>
      <c r="C6827" t="s">
        <v>24</v>
      </c>
      <c r="D6827" t="s">
        <v>9</v>
      </c>
      <c r="E6827" s="68">
        <v>369</v>
      </c>
      <c r="F6827" s="68">
        <v>353</v>
      </c>
      <c r="G6827" s="68">
        <v>722</v>
      </c>
    </row>
    <row r="6828" spans="1:7" x14ac:dyDescent="0.3">
      <c r="A6828" t="s">
        <v>897</v>
      </c>
      <c r="B6828" t="s">
        <v>41</v>
      </c>
      <c r="C6828" t="s">
        <v>24</v>
      </c>
      <c r="D6828" t="s">
        <v>10</v>
      </c>
      <c r="E6828" s="68">
        <v>390</v>
      </c>
      <c r="F6828" s="68">
        <v>405</v>
      </c>
      <c r="G6828" s="68">
        <v>795</v>
      </c>
    </row>
    <row r="6829" spans="1:7" x14ac:dyDescent="0.3">
      <c r="A6829" t="s">
        <v>897</v>
      </c>
      <c r="B6829" t="s">
        <v>41</v>
      </c>
      <c r="C6829" t="s">
        <v>24</v>
      </c>
      <c r="D6829" t="s">
        <v>11</v>
      </c>
      <c r="E6829" s="68">
        <v>324</v>
      </c>
      <c r="F6829" s="68">
        <v>359</v>
      </c>
      <c r="G6829" s="68">
        <v>683</v>
      </c>
    </row>
    <row r="6830" spans="1:7" x14ac:dyDescent="0.3">
      <c r="A6830" t="s">
        <v>897</v>
      </c>
      <c r="B6830" t="s">
        <v>41</v>
      </c>
      <c r="C6830" t="s">
        <v>24</v>
      </c>
      <c r="D6830" t="s">
        <v>12</v>
      </c>
      <c r="E6830" s="68">
        <v>328</v>
      </c>
      <c r="F6830" s="68">
        <v>283</v>
      </c>
      <c r="G6830" s="68">
        <v>611</v>
      </c>
    </row>
    <row r="6831" spans="1:7" x14ac:dyDescent="0.3">
      <c r="A6831" t="s">
        <v>897</v>
      </c>
      <c r="B6831" t="s">
        <v>41</v>
      </c>
      <c r="C6831" t="s">
        <v>24</v>
      </c>
      <c r="D6831" t="s">
        <v>13</v>
      </c>
      <c r="E6831" s="68">
        <v>383</v>
      </c>
      <c r="F6831" s="68">
        <v>275</v>
      </c>
      <c r="G6831" s="68">
        <v>658</v>
      </c>
    </row>
    <row r="6832" spans="1:7" x14ac:dyDescent="0.3">
      <c r="A6832" t="s">
        <v>897</v>
      </c>
      <c r="B6832" t="s">
        <v>41</v>
      </c>
      <c r="C6832" t="s">
        <v>24</v>
      </c>
      <c r="D6832" t="s">
        <v>14</v>
      </c>
      <c r="E6832" s="68">
        <v>364</v>
      </c>
      <c r="F6832" s="68">
        <v>308</v>
      </c>
      <c r="G6832" s="68">
        <v>672</v>
      </c>
    </row>
    <row r="6833" spans="1:7" x14ac:dyDescent="0.3">
      <c r="A6833" t="s">
        <v>897</v>
      </c>
      <c r="B6833" t="s">
        <v>41</v>
      </c>
      <c r="C6833" t="s">
        <v>24</v>
      </c>
      <c r="D6833" t="s">
        <v>15</v>
      </c>
      <c r="E6833" s="68">
        <v>386</v>
      </c>
      <c r="F6833" s="68">
        <v>278</v>
      </c>
      <c r="G6833" s="68">
        <v>664</v>
      </c>
    </row>
    <row r="6834" spans="1:7" x14ac:dyDescent="0.3">
      <c r="A6834" t="s">
        <v>897</v>
      </c>
      <c r="B6834" t="s">
        <v>41</v>
      </c>
      <c r="C6834" t="s">
        <v>24</v>
      </c>
      <c r="D6834" t="s">
        <v>16</v>
      </c>
      <c r="E6834" s="68">
        <v>363</v>
      </c>
      <c r="F6834" s="68">
        <v>331</v>
      </c>
      <c r="G6834" s="68">
        <v>694</v>
      </c>
    </row>
    <row r="6835" spans="1:7" x14ac:dyDescent="0.3">
      <c r="A6835" t="s">
        <v>897</v>
      </c>
      <c r="B6835" t="s">
        <v>41</v>
      </c>
      <c r="C6835" t="s">
        <v>24</v>
      </c>
      <c r="D6835" t="s">
        <v>17</v>
      </c>
      <c r="E6835" s="68">
        <v>368</v>
      </c>
      <c r="F6835" s="68">
        <v>316</v>
      </c>
      <c r="G6835" s="68">
        <v>684</v>
      </c>
    </row>
    <row r="6836" spans="1:7" x14ac:dyDescent="0.3">
      <c r="A6836" t="s">
        <v>897</v>
      </c>
      <c r="B6836" t="s">
        <v>41</v>
      </c>
      <c r="C6836" t="s">
        <v>24</v>
      </c>
      <c r="D6836" t="s">
        <v>18</v>
      </c>
      <c r="E6836" s="68">
        <v>406</v>
      </c>
      <c r="F6836" s="68">
        <v>376</v>
      </c>
      <c r="G6836" s="68">
        <v>782</v>
      </c>
    </row>
    <row r="6837" spans="1:7" x14ac:dyDescent="0.3">
      <c r="A6837" t="s">
        <v>897</v>
      </c>
      <c r="B6837" t="s">
        <v>41</v>
      </c>
      <c r="C6837" t="s">
        <v>24</v>
      </c>
      <c r="D6837" t="s">
        <v>19</v>
      </c>
      <c r="E6837" s="68">
        <v>356</v>
      </c>
      <c r="F6837" s="68">
        <v>375</v>
      </c>
      <c r="G6837" s="68">
        <v>731</v>
      </c>
    </row>
    <row r="6838" spans="1:7" x14ac:dyDescent="0.3">
      <c r="A6838" t="s">
        <v>897</v>
      </c>
      <c r="B6838" t="s">
        <v>41</v>
      </c>
      <c r="C6838" t="s">
        <v>24</v>
      </c>
      <c r="D6838" t="s">
        <v>20</v>
      </c>
      <c r="E6838" s="68">
        <v>300</v>
      </c>
      <c r="F6838" s="68">
        <v>338</v>
      </c>
      <c r="G6838" s="68">
        <v>638</v>
      </c>
    </row>
    <row r="6839" spans="1:7" x14ac:dyDescent="0.3">
      <c r="A6839" t="s">
        <v>897</v>
      </c>
      <c r="B6839" t="s">
        <v>41</v>
      </c>
      <c r="C6839" t="s">
        <v>24</v>
      </c>
      <c r="D6839" t="s">
        <v>21</v>
      </c>
      <c r="E6839" s="68">
        <v>212</v>
      </c>
      <c r="F6839" s="68">
        <v>257</v>
      </c>
      <c r="G6839" s="68">
        <v>469</v>
      </c>
    </row>
    <row r="6840" spans="1:7" x14ac:dyDescent="0.3">
      <c r="A6840" t="s">
        <v>897</v>
      </c>
      <c r="B6840" t="s">
        <v>41</v>
      </c>
      <c r="C6840" t="s">
        <v>24</v>
      </c>
      <c r="D6840" t="s">
        <v>22</v>
      </c>
      <c r="E6840" s="68">
        <v>175</v>
      </c>
      <c r="F6840" s="68">
        <v>193</v>
      </c>
      <c r="G6840" s="68">
        <v>368</v>
      </c>
    </row>
    <row r="6841" spans="1:7" x14ac:dyDescent="0.3">
      <c r="A6841" t="s">
        <v>897</v>
      </c>
      <c r="B6841" t="s">
        <v>41</v>
      </c>
      <c r="C6841" t="s">
        <v>24</v>
      </c>
      <c r="D6841" t="s">
        <v>23</v>
      </c>
      <c r="E6841" s="68">
        <v>207</v>
      </c>
      <c r="F6841" s="68">
        <v>209</v>
      </c>
      <c r="G6841" s="68">
        <v>416</v>
      </c>
    </row>
    <row r="6842" spans="1:7" x14ac:dyDescent="0.3">
      <c r="A6842" t="s">
        <v>897</v>
      </c>
      <c r="B6842" t="s">
        <v>31</v>
      </c>
      <c r="C6842" t="s">
        <v>6</v>
      </c>
      <c r="D6842" t="s">
        <v>7</v>
      </c>
      <c r="E6842" s="68">
        <v>46</v>
      </c>
      <c r="F6842" s="68">
        <v>50</v>
      </c>
      <c r="G6842" s="68">
        <v>96</v>
      </c>
    </row>
    <row r="6843" spans="1:7" x14ac:dyDescent="0.3">
      <c r="A6843" t="s">
        <v>897</v>
      </c>
      <c r="B6843" t="s">
        <v>31</v>
      </c>
      <c r="C6843" t="s">
        <v>6</v>
      </c>
      <c r="D6843" t="s">
        <v>8</v>
      </c>
      <c r="E6843" s="68">
        <v>55</v>
      </c>
      <c r="F6843" s="68">
        <v>52</v>
      </c>
      <c r="G6843" s="68">
        <v>107</v>
      </c>
    </row>
    <row r="6844" spans="1:7" x14ac:dyDescent="0.3">
      <c r="A6844" t="s">
        <v>897</v>
      </c>
      <c r="B6844" t="s">
        <v>31</v>
      </c>
      <c r="C6844" t="s">
        <v>6</v>
      </c>
      <c r="D6844" t="s">
        <v>9</v>
      </c>
      <c r="E6844" s="68">
        <v>57</v>
      </c>
      <c r="F6844" s="68">
        <v>45</v>
      </c>
      <c r="G6844" s="68">
        <v>102</v>
      </c>
    </row>
    <row r="6845" spans="1:7" x14ac:dyDescent="0.3">
      <c r="A6845" t="s">
        <v>897</v>
      </c>
      <c r="B6845" t="s">
        <v>31</v>
      </c>
      <c r="C6845" t="s">
        <v>6</v>
      </c>
      <c r="D6845" t="s">
        <v>10</v>
      </c>
      <c r="E6845" s="68">
        <v>101</v>
      </c>
      <c r="F6845" s="68">
        <v>110</v>
      </c>
      <c r="G6845" s="68">
        <v>211</v>
      </c>
    </row>
    <row r="6846" spans="1:7" x14ac:dyDescent="0.3">
      <c r="A6846" t="s">
        <v>897</v>
      </c>
      <c r="B6846" t="s">
        <v>31</v>
      </c>
      <c r="C6846" t="s">
        <v>6</v>
      </c>
      <c r="D6846" t="s">
        <v>11</v>
      </c>
      <c r="E6846" s="68">
        <v>157</v>
      </c>
      <c r="F6846" s="68">
        <v>243</v>
      </c>
      <c r="G6846" s="68">
        <v>400</v>
      </c>
    </row>
    <row r="6847" spans="1:7" x14ac:dyDescent="0.3">
      <c r="A6847" t="s">
        <v>897</v>
      </c>
      <c r="B6847" t="s">
        <v>31</v>
      </c>
      <c r="C6847" t="s">
        <v>6</v>
      </c>
      <c r="D6847" t="s">
        <v>12</v>
      </c>
      <c r="E6847" s="68">
        <v>167</v>
      </c>
      <c r="F6847" s="68">
        <v>177</v>
      </c>
      <c r="G6847" s="68">
        <v>344</v>
      </c>
    </row>
    <row r="6848" spans="1:7" x14ac:dyDescent="0.3">
      <c r="A6848" t="s">
        <v>897</v>
      </c>
      <c r="B6848" t="s">
        <v>31</v>
      </c>
      <c r="C6848" t="s">
        <v>6</v>
      </c>
      <c r="D6848" t="s">
        <v>13</v>
      </c>
      <c r="E6848" s="68">
        <v>147</v>
      </c>
      <c r="F6848" s="68">
        <v>155</v>
      </c>
      <c r="G6848" s="68">
        <v>302</v>
      </c>
    </row>
    <row r="6849" spans="1:7" x14ac:dyDescent="0.3">
      <c r="A6849" t="s">
        <v>897</v>
      </c>
      <c r="B6849" t="s">
        <v>31</v>
      </c>
      <c r="C6849" t="s">
        <v>6</v>
      </c>
      <c r="D6849" t="s">
        <v>14</v>
      </c>
      <c r="E6849" s="68">
        <v>117</v>
      </c>
      <c r="F6849" s="68">
        <v>130</v>
      </c>
      <c r="G6849" s="68">
        <v>247</v>
      </c>
    </row>
    <row r="6850" spans="1:7" x14ac:dyDescent="0.3">
      <c r="A6850" t="s">
        <v>897</v>
      </c>
      <c r="B6850" t="s">
        <v>31</v>
      </c>
      <c r="C6850" t="s">
        <v>6</v>
      </c>
      <c r="D6850" t="s">
        <v>15</v>
      </c>
      <c r="E6850" s="68">
        <v>103</v>
      </c>
      <c r="F6850" s="68">
        <v>95</v>
      </c>
      <c r="G6850" s="68">
        <v>198</v>
      </c>
    </row>
    <row r="6851" spans="1:7" x14ac:dyDescent="0.3">
      <c r="A6851" t="s">
        <v>897</v>
      </c>
      <c r="B6851" t="s">
        <v>31</v>
      </c>
      <c r="C6851" t="s">
        <v>6</v>
      </c>
      <c r="D6851" t="s">
        <v>16</v>
      </c>
      <c r="E6851" s="68">
        <v>87</v>
      </c>
      <c r="F6851" s="68">
        <v>107</v>
      </c>
      <c r="G6851" s="68">
        <v>194</v>
      </c>
    </row>
    <row r="6852" spans="1:7" x14ac:dyDescent="0.3">
      <c r="A6852" t="s">
        <v>897</v>
      </c>
      <c r="B6852" t="s">
        <v>31</v>
      </c>
      <c r="C6852" t="s">
        <v>6</v>
      </c>
      <c r="D6852" t="s">
        <v>17</v>
      </c>
      <c r="E6852" s="68">
        <v>75</v>
      </c>
      <c r="F6852" s="68">
        <v>102</v>
      </c>
      <c r="G6852" s="68">
        <v>177</v>
      </c>
    </row>
    <row r="6853" spans="1:7" x14ac:dyDescent="0.3">
      <c r="A6853" t="s">
        <v>897</v>
      </c>
      <c r="B6853" t="s">
        <v>31</v>
      </c>
      <c r="C6853" t="s">
        <v>6</v>
      </c>
      <c r="D6853" t="s">
        <v>18</v>
      </c>
      <c r="E6853" s="68">
        <v>63</v>
      </c>
      <c r="F6853" s="68">
        <v>78</v>
      </c>
      <c r="G6853" s="68">
        <v>141</v>
      </c>
    </row>
    <row r="6854" spans="1:7" x14ac:dyDescent="0.3">
      <c r="A6854" t="s">
        <v>897</v>
      </c>
      <c r="B6854" t="s">
        <v>31</v>
      </c>
      <c r="C6854" t="s">
        <v>6</v>
      </c>
      <c r="D6854" t="s">
        <v>19</v>
      </c>
      <c r="E6854" s="68">
        <v>44</v>
      </c>
      <c r="F6854" s="68">
        <v>68</v>
      </c>
      <c r="G6854" s="68">
        <v>112</v>
      </c>
    </row>
    <row r="6855" spans="1:7" x14ac:dyDescent="0.3">
      <c r="A6855" t="s">
        <v>897</v>
      </c>
      <c r="B6855" t="s">
        <v>31</v>
      </c>
      <c r="C6855" t="s">
        <v>6</v>
      </c>
      <c r="D6855" t="s">
        <v>20</v>
      </c>
      <c r="E6855" s="68">
        <v>56</v>
      </c>
      <c r="F6855" s="68">
        <v>73</v>
      </c>
      <c r="G6855" s="68">
        <v>129</v>
      </c>
    </row>
    <row r="6856" spans="1:7" x14ac:dyDescent="0.3">
      <c r="A6856" t="s">
        <v>897</v>
      </c>
      <c r="B6856" t="s">
        <v>31</v>
      </c>
      <c r="C6856" t="s">
        <v>6</v>
      </c>
      <c r="D6856" t="s">
        <v>21</v>
      </c>
      <c r="E6856" s="68">
        <v>42</v>
      </c>
      <c r="F6856" s="68">
        <v>53</v>
      </c>
      <c r="G6856" s="68">
        <v>95</v>
      </c>
    </row>
    <row r="6857" spans="1:7" x14ac:dyDescent="0.3">
      <c r="A6857" t="s">
        <v>897</v>
      </c>
      <c r="B6857" t="s">
        <v>31</v>
      </c>
      <c r="C6857" t="s">
        <v>6</v>
      </c>
      <c r="D6857" t="s">
        <v>22</v>
      </c>
      <c r="E6857" s="68">
        <v>26</v>
      </c>
      <c r="F6857" s="68">
        <v>22</v>
      </c>
      <c r="G6857" s="68">
        <v>48</v>
      </c>
    </row>
    <row r="6858" spans="1:7" x14ac:dyDescent="0.3">
      <c r="A6858" t="s">
        <v>897</v>
      </c>
      <c r="B6858" t="s">
        <v>31</v>
      </c>
      <c r="C6858" t="s">
        <v>6</v>
      </c>
      <c r="D6858" t="s">
        <v>23</v>
      </c>
      <c r="E6858" s="68">
        <v>16</v>
      </c>
      <c r="F6858" s="68">
        <v>27</v>
      </c>
      <c r="G6858" s="68">
        <v>43</v>
      </c>
    </row>
    <row r="6859" spans="1:7" x14ac:dyDescent="0.3">
      <c r="A6859" t="s">
        <v>897</v>
      </c>
      <c r="B6859" t="s">
        <v>31</v>
      </c>
      <c r="C6859" t="s">
        <v>24</v>
      </c>
      <c r="D6859" t="s">
        <v>7</v>
      </c>
      <c r="E6859" s="68">
        <v>911</v>
      </c>
      <c r="F6859" s="68">
        <v>915</v>
      </c>
      <c r="G6859" s="68">
        <v>1826</v>
      </c>
    </row>
    <row r="6860" spans="1:7" x14ac:dyDescent="0.3">
      <c r="A6860" t="s">
        <v>897</v>
      </c>
      <c r="B6860" t="s">
        <v>31</v>
      </c>
      <c r="C6860" t="s">
        <v>24</v>
      </c>
      <c r="D6860" t="s">
        <v>8</v>
      </c>
      <c r="E6860" s="68">
        <v>1255</v>
      </c>
      <c r="F6860" s="68">
        <v>1431</v>
      </c>
      <c r="G6860" s="68">
        <v>2686</v>
      </c>
    </row>
    <row r="6861" spans="1:7" x14ac:dyDescent="0.3">
      <c r="A6861" t="s">
        <v>897</v>
      </c>
      <c r="B6861" t="s">
        <v>31</v>
      </c>
      <c r="C6861" t="s">
        <v>24</v>
      </c>
      <c r="D6861" t="s">
        <v>9</v>
      </c>
      <c r="E6861" s="68">
        <v>1211</v>
      </c>
      <c r="F6861" s="68">
        <v>1224</v>
      </c>
      <c r="G6861" s="68">
        <v>2435</v>
      </c>
    </row>
    <row r="6862" spans="1:7" x14ac:dyDescent="0.3">
      <c r="A6862" t="s">
        <v>897</v>
      </c>
      <c r="B6862" t="s">
        <v>31</v>
      </c>
      <c r="C6862" t="s">
        <v>24</v>
      </c>
      <c r="D6862" t="s">
        <v>10</v>
      </c>
      <c r="E6862" s="68">
        <v>1224</v>
      </c>
      <c r="F6862" s="68">
        <v>1116</v>
      </c>
      <c r="G6862" s="68">
        <v>2340</v>
      </c>
    </row>
    <row r="6863" spans="1:7" x14ac:dyDescent="0.3">
      <c r="A6863" t="s">
        <v>897</v>
      </c>
      <c r="B6863" t="s">
        <v>31</v>
      </c>
      <c r="C6863" t="s">
        <v>24</v>
      </c>
      <c r="D6863" t="s">
        <v>11</v>
      </c>
      <c r="E6863" s="68">
        <v>1107</v>
      </c>
      <c r="F6863" s="68">
        <v>837</v>
      </c>
      <c r="G6863" s="68">
        <v>1944</v>
      </c>
    </row>
    <row r="6864" spans="1:7" x14ac:dyDescent="0.3">
      <c r="A6864" t="s">
        <v>897</v>
      </c>
      <c r="B6864" t="s">
        <v>31</v>
      </c>
      <c r="C6864" t="s">
        <v>24</v>
      </c>
      <c r="D6864" t="s">
        <v>12</v>
      </c>
      <c r="E6864" s="68">
        <v>1273</v>
      </c>
      <c r="F6864" s="68">
        <v>927</v>
      </c>
      <c r="G6864" s="68">
        <v>2200</v>
      </c>
    </row>
    <row r="6865" spans="1:7" x14ac:dyDescent="0.3">
      <c r="A6865" t="s">
        <v>897</v>
      </c>
      <c r="B6865" t="s">
        <v>31</v>
      </c>
      <c r="C6865" t="s">
        <v>24</v>
      </c>
      <c r="D6865" t="s">
        <v>13</v>
      </c>
      <c r="E6865" s="68">
        <v>1279</v>
      </c>
      <c r="F6865" s="68">
        <v>1022</v>
      </c>
      <c r="G6865" s="68">
        <v>2301</v>
      </c>
    </row>
    <row r="6866" spans="1:7" x14ac:dyDescent="0.3">
      <c r="A6866" t="s">
        <v>897</v>
      </c>
      <c r="B6866" t="s">
        <v>31</v>
      </c>
      <c r="C6866" t="s">
        <v>24</v>
      </c>
      <c r="D6866" t="s">
        <v>14</v>
      </c>
      <c r="E6866" s="68">
        <v>1089</v>
      </c>
      <c r="F6866" s="68">
        <v>801</v>
      </c>
      <c r="G6866" s="68">
        <v>1890</v>
      </c>
    </row>
    <row r="6867" spans="1:7" x14ac:dyDescent="0.3">
      <c r="A6867" t="s">
        <v>897</v>
      </c>
      <c r="B6867" t="s">
        <v>31</v>
      </c>
      <c r="C6867" t="s">
        <v>24</v>
      </c>
      <c r="D6867" t="s">
        <v>15</v>
      </c>
      <c r="E6867" s="68">
        <v>959</v>
      </c>
      <c r="F6867" s="68">
        <v>715</v>
      </c>
      <c r="G6867" s="68">
        <v>1674</v>
      </c>
    </row>
    <row r="6868" spans="1:7" x14ac:dyDescent="0.3">
      <c r="A6868" t="s">
        <v>897</v>
      </c>
      <c r="B6868" t="s">
        <v>31</v>
      </c>
      <c r="C6868" t="s">
        <v>24</v>
      </c>
      <c r="D6868" t="s">
        <v>16</v>
      </c>
      <c r="E6868" s="68">
        <v>917</v>
      </c>
      <c r="F6868" s="68">
        <v>695</v>
      </c>
      <c r="G6868" s="68">
        <v>1612</v>
      </c>
    </row>
    <row r="6869" spans="1:7" x14ac:dyDescent="0.3">
      <c r="A6869" t="s">
        <v>897</v>
      </c>
      <c r="B6869" t="s">
        <v>31</v>
      </c>
      <c r="C6869" t="s">
        <v>24</v>
      </c>
      <c r="D6869" t="s">
        <v>17</v>
      </c>
      <c r="E6869" s="68">
        <v>834</v>
      </c>
      <c r="F6869" s="68">
        <v>611</v>
      </c>
      <c r="G6869" s="68">
        <v>1445</v>
      </c>
    </row>
    <row r="6870" spans="1:7" x14ac:dyDescent="0.3">
      <c r="A6870" t="s">
        <v>897</v>
      </c>
      <c r="B6870" t="s">
        <v>31</v>
      </c>
      <c r="C6870" t="s">
        <v>24</v>
      </c>
      <c r="D6870" t="s">
        <v>18</v>
      </c>
      <c r="E6870" s="68">
        <v>739</v>
      </c>
      <c r="F6870" s="68">
        <v>647</v>
      </c>
      <c r="G6870" s="68">
        <v>1386</v>
      </c>
    </row>
    <row r="6871" spans="1:7" x14ac:dyDescent="0.3">
      <c r="A6871" t="s">
        <v>897</v>
      </c>
      <c r="B6871" t="s">
        <v>31</v>
      </c>
      <c r="C6871" t="s">
        <v>24</v>
      </c>
      <c r="D6871" t="s">
        <v>19</v>
      </c>
      <c r="E6871" s="68">
        <v>693</v>
      </c>
      <c r="F6871" s="68">
        <v>630</v>
      </c>
      <c r="G6871" s="68">
        <v>1323</v>
      </c>
    </row>
    <row r="6872" spans="1:7" x14ac:dyDescent="0.3">
      <c r="A6872" t="s">
        <v>897</v>
      </c>
      <c r="B6872" t="s">
        <v>31</v>
      </c>
      <c r="C6872" t="s">
        <v>24</v>
      </c>
      <c r="D6872" t="s">
        <v>20</v>
      </c>
      <c r="E6872" s="68">
        <v>526</v>
      </c>
      <c r="F6872" s="68">
        <v>532</v>
      </c>
      <c r="G6872" s="68">
        <v>1058</v>
      </c>
    </row>
    <row r="6873" spans="1:7" x14ac:dyDescent="0.3">
      <c r="A6873" t="s">
        <v>897</v>
      </c>
      <c r="B6873" t="s">
        <v>31</v>
      </c>
      <c r="C6873" t="s">
        <v>24</v>
      </c>
      <c r="D6873" t="s">
        <v>21</v>
      </c>
      <c r="E6873" s="68">
        <v>376</v>
      </c>
      <c r="F6873" s="68">
        <v>397</v>
      </c>
      <c r="G6873" s="68">
        <v>773</v>
      </c>
    </row>
    <row r="6874" spans="1:7" x14ac:dyDescent="0.3">
      <c r="A6874" t="s">
        <v>897</v>
      </c>
      <c r="B6874" t="s">
        <v>31</v>
      </c>
      <c r="C6874" t="s">
        <v>24</v>
      </c>
      <c r="D6874" t="s">
        <v>22</v>
      </c>
      <c r="E6874" s="68">
        <v>264</v>
      </c>
      <c r="F6874" s="68">
        <v>240</v>
      </c>
      <c r="G6874" s="68">
        <v>504</v>
      </c>
    </row>
    <row r="6875" spans="1:7" x14ac:dyDescent="0.3">
      <c r="A6875" t="s">
        <v>897</v>
      </c>
      <c r="B6875" t="s">
        <v>31</v>
      </c>
      <c r="C6875" t="s">
        <v>24</v>
      </c>
      <c r="D6875" t="s">
        <v>23</v>
      </c>
      <c r="E6875" s="68">
        <v>315</v>
      </c>
      <c r="F6875" s="68">
        <v>336</v>
      </c>
      <c r="G6875" s="68">
        <v>651</v>
      </c>
    </row>
    <row r="6876" spans="1:7" x14ac:dyDescent="0.3">
      <c r="A6876" t="s">
        <v>897</v>
      </c>
      <c r="B6876" t="s">
        <v>553</v>
      </c>
      <c r="C6876" t="s">
        <v>6</v>
      </c>
      <c r="D6876" t="s">
        <v>20</v>
      </c>
      <c r="E6876" s="68">
        <v>1</v>
      </c>
      <c r="F6876" s="68"/>
      <c r="G6876" s="68">
        <v>1</v>
      </c>
    </row>
    <row r="6877" spans="1:7" x14ac:dyDescent="0.3">
      <c r="A6877" t="s">
        <v>897</v>
      </c>
      <c r="B6877" t="s">
        <v>32</v>
      </c>
      <c r="C6877" t="s">
        <v>24</v>
      </c>
      <c r="D6877" t="s">
        <v>12</v>
      </c>
      <c r="E6877" s="68"/>
      <c r="F6877" s="68">
        <v>1</v>
      </c>
      <c r="G6877" s="68">
        <v>1</v>
      </c>
    </row>
    <row r="6878" spans="1:7" x14ac:dyDescent="0.3">
      <c r="A6878" t="s">
        <v>897</v>
      </c>
      <c r="B6878" t="s">
        <v>5</v>
      </c>
      <c r="C6878" t="s">
        <v>6</v>
      </c>
      <c r="D6878" t="s">
        <v>7</v>
      </c>
      <c r="E6878" s="68">
        <v>937</v>
      </c>
      <c r="F6878" s="68">
        <v>998</v>
      </c>
      <c r="G6878" s="68">
        <v>1935</v>
      </c>
    </row>
    <row r="6879" spans="1:7" x14ac:dyDescent="0.3">
      <c r="A6879" t="s">
        <v>897</v>
      </c>
      <c r="B6879" t="s">
        <v>5</v>
      </c>
      <c r="C6879" t="s">
        <v>6</v>
      </c>
      <c r="D6879" t="s">
        <v>8</v>
      </c>
      <c r="E6879" s="68">
        <v>1356</v>
      </c>
      <c r="F6879" s="68">
        <v>1481</v>
      </c>
      <c r="G6879" s="68">
        <v>2837</v>
      </c>
    </row>
    <row r="6880" spans="1:7" x14ac:dyDescent="0.3">
      <c r="A6880" t="s">
        <v>897</v>
      </c>
      <c r="B6880" t="s">
        <v>5</v>
      </c>
      <c r="C6880" t="s">
        <v>6</v>
      </c>
      <c r="D6880" t="s">
        <v>9</v>
      </c>
      <c r="E6880" s="68">
        <v>1632</v>
      </c>
      <c r="F6880" s="68">
        <v>1712</v>
      </c>
      <c r="G6880" s="68">
        <v>3344</v>
      </c>
    </row>
    <row r="6881" spans="1:7" x14ac:dyDescent="0.3">
      <c r="A6881" t="s">
        <v>897</v>
      </c>
      <c r="B6881" t="s">
        <v>5</v>
      </c>
      <c r="C6881" t="s">
        <v>6</v>
      </c>
      <c r="D6881" t="s">
        <v>10</v>
      </c>
      <c r="E6881" s="68">
        <v>1792</v>
      </c>
      <c r="F6881" s="68">
        <v>1850</v>
      </c>
      <c r="G6881" s="68">
        <v>3642</v>
      </c>
    </row>
    <row r="6882" spans="1:7" x14ac:dyDescent="0.3">
      <c r="A6882" t="s">
        <v>897</v>
      </c>
      <c r="B6882" t="s">
        <v>5</v>
      </c>
      <c r="C6882" t="s">
        <v>6</v>
      </c>
      <c r="D6882" t="s">
        <v>11</v>
      </c>
      <c r="E6882" s="68">
        <v>2021</v>
      </c>
      <c r="F6882" s="68">
        <v>1891</v>
      </c>
      <c r="G6882" s="68">
        <v>3912</v>
      </c>
    </row>
    <row r="6883" spans="1:7" x14ac:dyDescent="0.3">
      <c r="A6883" t="s">
        <v>897</v>
      </c>
      <c r="B6883" t="s">
        <v>5</v>
      </c>
      <c r="C6883" t="s">
        <v>6</v>
      </c>
      <c r="D6883" t="s">
        <v>12</v>
      </c>
      <c r="E6883" s="68">
        <v>2315</v>
      </c>
      <c r="F6883" s="68">
        <v>1928</v>
      </c>
      <c r="G6883" s="68">
        <v>4243</v>
      </c>
    </row>
    <row r="6884" spans="1:7" x14ac:dyDescent="0.3">
      <c r="A6884" t="s">
        <v>897</v>
      </c>
      <c r="B6884" t="s">
        <v>5</v>
      </c>
      <c r="C6884" t="s">
        <v>6</v>
      </c>
      <c r="D6884" t="s">
        <v>13</v>
      </c>
      <c r="E6884" s="68">
        <v>2844</v>
      </c>
      <c r="F6884" s="68">
        <v>2196</v>
      </c>
      <c r="G6884" s="68">
        <v>5040</v>
      </c>
    </row>
    <row r="6885" spans="1:7" x14ac:dyDescent="0.3">
      <c r="A6885" t="s">
        <v>897</v>
      </c>
      <c r="B6885" t="s">
        <v>5</v>
      </c>
      <c r="C6885" t="s">
        <v>6</v>
      </c>
      <c r="D6885" t="s">
        <v>14</v>
      </c>
      <c r="E6885" s="68">
        <v>2962</v>
      </c>
      <c r="F6885" s="68">
        <v>2262</v>
      </c>
      <c r="G6885" s="68">
        <v>5224</v>
      </c>
    </row>
    <row r="6886" spans="1:7" x14ac:dyDescent="0.3">
      <c r="A6886" t="s">
        <v>897</v>
      </c>
      <c r="B6886" t="s">
        <v>5</v>
      </c>
      <c r="C6886" t="s">
        <v>6</v>
      </c>
      <c r="D6886" t="s">
        <v>15</v>
      </c>
      <c r="E6886" s="68">
        <v>2743</v>
      </c>
      <c r="F6886" s="68">
        <v>2322</v>
      </c>
      <c r="G6886" s="68">
        <v>5065</v>
      </c>
    </row>
    <row r="6887" spans="1:7" x14ac:dyDescent="0.3">
      <c r="A6887" t="s">
        <v>897</v>
      </c>
      <c r="B6887" t="s">
        <v>5</v>
      </c>
      <c r="C6887" t="s">
        <v>6</v>
      </c>
      <c r="D6887" t="s">
        <v>16</v>
      </c>
      <c r="E6887" s="68">
        <v>2587</v>
      </c>
      <c r="F6887" s="68">
        <v>2176</v>
      </c>
      <c r="G6887" s="68">
        <v>4763</v>
      </c>
    </row>
    <row r="6888" spans="1:7" x14ac:dyDescent="0.3">
      <c r="A6888" t="s">
        <v>897</v>
      </c>
      <c r="B6888" t="s">
        <v>5</v>
      </c>
      <c r="C6888" t="s">
        <v>6</v>
      </c>
      <c r="D6888" t="s">
        <v>17</v>
      </c>
      <c r="E6888" s="68">
        <v>1903</v>
      </c>
      <c r="F6888" s="68">
        <v>1711</v>
      </c>
      <c r="G6888" s="68">
        <v>3614</v>
      </c>
    </row>
    <row r="6889" spans="1:7" x14ac:dyDescent="0.3">
      <c r="A6889" t="s">
        <v>897</v>
      </c>
      <c r="B6889" t="s">
        <v>5</v>
      </c>
      <c r="C6889" t="s">
        <v>6</v>
      </c>
      <c r="D6889" t="s">
        <v>18</v>
      </c>
      <c r="E6889" s="68">
        <v>2028</v>
      </c>
      <c r="F6889" s="68">
        <v>1694</v>
      </c>
      <c r="G6889" s="68">
        <v>3722</v>
      </c>
    </row>
    <row r="6890" spans="1:7" x14ac:dyDescent="0.3">
      <c r="A6890" t="s">
        <v>897</v>
      </c>
      <c r="B6890" t="s">
        <v>5</v>
      </c>
      <c r="C6890" t="s">
        <v>6</v>
      </c>
      <c r="D6890" t="s">
        <v>19</v>
      </c>
      <c r="E6890" s="68">
        <v>2211</v>
      </c>
      <c r="F6890" s="68">
        <v>1758</v>
      </c>
      <c r="G6890" s="68">
        <v>3969</v>
      </c>
    </row>
    <row r="6891" spans="1:7" x14ac:dyDescent="0.3">
      <c r="A6891" t="s">
        <v>897</v>
      </c>
      <c r="B6891" t="s">
        <v>5</v>
      </c>
      <c r="C6891" t="s">
        <v>6</v>
      </c>
      <c r="D6891" t="s">
        <v>20</v>
      </c>
      <c r="E6891" s="68">
        <v>1898</v>
      </c>
      <c r="F6891" s="68">
        <v>1450</v>
      </c>
      <c r="G6891" s="68">
        <v>3348</v>
      </c>
    </row>
    <row r="6892" spans="1:7" x14ac:dyDescent="0.3">
      <c r="A6892" t="s">
        <v>897</v>
      </c>
      <c r="B6892" t="s">
        <v>5</v>
      </c>
      <c r="C6892" t="s">
        <v>6</v>
      </c>
      <c r="D6892" t="s">
        <v>21</v>
      </c>
      <c r="E6892" s="68">
        <v>1417</v>
      </c>
      <c r="F6892" s="68">
        <v>1109</v>
      </c>
      <c r="G6892" s="68">
        <v>2526</v>
      </c>
    </row>
    <row r="6893" spans="1:7" x14ac:dyDescent="0.3">
      <c r="A6893" t="s">
        <v>897</v>
      </c>
      <c r="B6893" t="s">
        <v>5</v>
      </c>
      <c r="C6893" t="s">
        <v>6</v>
      </c>
      <c r="D6893" t="s">
        <v>22</v>
      </c>
      <c r="E6893" s="68">
        <v>935</v>
      </c>
      <c r="F6893" s="68">
        <v>751</v>
      </c>
      <c r="G6893" s="68">
        <v>1686</v>
      </c>
    </row>
    <row r="6894" spans="1:7" x14ac:dyDescent="0.3">
      <c r="A6894" t="s">
        <v>897</v>
      </c>
      <c r="B6894" t="s">
        <v>5</v>
      </c>
      <c r="C6894" t="s">
        <v>6</v>
      </c>
      <c r="D6894" t="s">
        <v>23</v>
      </c>
      <c r="E6894" s="68">
        <v>1218</v>
      </c>
      <c r="F6894" s="68">
        <v>787</v>
      </c>
      <c r="G6894" s="68">
        <v>2005</v>
      </c>
    </row>
    <row r="6895" spans="1:7" x14ac:dyDescent="0.3">
      <c r="A6895" t="s">
        <v>897</v>
      </c>
      <c r="B6895" t="s">
        <v>5</v>
      </c>
      <c r="C6895" t="s">
        <v>24</v>
      </c>
      <c r="D6895" t="s">
        <v>7</v>
      </c>
      <c r="E6895" s="68">
        <v>220</v>
      </c>
      <c r="F6895" s="68">
        <v>243</v>
      </c>
      <c r="G6895" s="68">
        <v>463</v>
      </c>
    </row>
    <row r="6896" spans="1:7" x14ac:dyDescent="0.3">
      <c r="A6896" t="s">
        <v>897</v>
      </c>
      <c r="B6896" t="s">
        <v>5</v>
      </c>
      <c r="C6896" t="s">
        <v>24</v>
      </c>
      <c r="D6896" t="s">
        <v>8</v>
      </c>
      <c r="E6896" s="68">
        <v>432</v>
      </c>
      <c r="F6896" s="68">
        <v>418</v>
      </c>
      <c r="G6896" s="68">
        <v>850</v>
      </c>
    </row>
    <row r="6897" spans="1:7" x14ac:dyDescent="0.3">
      <c r="A6897" t="s">
        <v>897</v>
      </c>
      <c r="B6897" t="s">
        <v>5</v>
      </c>
      <c r="C6897" t="s">
        <v>24</v>
      </c>
      <c r="D6897" t="s">
        <v>9</v>
      </c>
      <c r="E6897" s="68">
        <v>420</v>
      </c>
      <c r="F6897" s="68">
        <v>512</v>
      </c>
      <c r="G6897" s="68">
        <v>932</v>
      </c>
    </row>
    <row r="6898" spans="1:7" x14ac:dyDescent="0.3">
      <c r="A6898" t="s">
        <v>897</v>
      </c>
      <c r="B6898" t="s">
        <v>5</v>
      </c>
      <c r="C6898" t="s">
        <v>24</v>
      </c>
      <c r="D6898" t="s">
        <v>10</v>
      </c>
      <c r="E6898" s="68">
        <v>645</v>
      </c>
      <c r="F6898" s="68">
        <v>641</v>
      </c>
      <c r="G6898" s="68">
        <v>1286</v>
      </c>
    </row>
    <row r="6899" spans="1:7" x14ac:dyDescent="0.3">
      <c r="A6899" t="s">
        <v>897</v>
      </c>
      <c r="B6899" t="s">
        <v>5</v>
      </c>
      <c r="C6899" t="s">
        <v>24</v>
      </c>
      <c r="D6899" t="s">
        <v>11</v>
      </c>
      <c r="E6899" s="68">
        <v>676</v>
      </c>
      <c r="F6899" s="68">
        <v>637</v>
      </c>
      <c r="G6899" s="68">
        <v>1313</v>
      </c>
    </row>
    <row r="6900" spans="1:7" x14ac:dyDescent="0.3">
      <c r="A6900" t="s">
        <v>897</v>
      </c>
      <c r="B6900" t="s">
        <v>5</v>
      </c>
      <c r="C6900" t="s">
        <v>24</v>
      </c>
      <c r="D6900" t="s">
        <v>12</v>
      </c>
      <c r="E6900" s="68">
        <v>803</v>
      </c>
      <c r="F6900" s="68">
        <v>721</v>
      </c>
      <c r="G6900" s="68">
        <v>1524</v>
      </c>
    </row>
    <row r="6901" spans="1:7" x14ac:dyDescent="0.3">
      <c r="A6901" t="s">
        <v>897</v>
      </c>
      <c r="B6901" t="s">
        <v>5</v>
      </c>
      <c r="C6901" t="s">
        <v>24</v>
      </c>
      <c r="D6901" t="s">
        <v>13</v>
      </c>
      <c r="E6901" s="68">
        <v>808</v>
      </c>
      <c r="F6901" s="68">
        <v>619</v>
      </c>
      <c r="G6901" s="68">
        <v>1427</v>
      </c>
    </row>
    <row r="6902" spans="1:7" x14ac:dyDescent="0.3">
      <c r="A6902" t="s">
        <v>897</v>
      </c>
      <c r="B6902" t="s">
        <v>5</v>
      </c>
      <c r="C6902" t="s">
        <v>24</v>
      </c>
      <c r="D6902" t="s">
        <v>14</v>
      </c>
      <c r="E6902" s="68">
        <v>673</v>
      </c>
      <c r="F6902" s="68">
        <v>519</v>
      </c>
      <c r="G6902" s="68">
        <v>1192</v>
      </c>
    </row>
    <row r="6903" spans="1:7" x14ac:dyDescent="0.3">
      <c r="A6903" t="s">
        <v>897</v>
      </c>
      <c r="B6903" t="s">
        <v>5</v>
      </c>
      <c r="C6903" t="s">
        <v>24</v>
      </c>
      <c r="D6903" t="s">
        <v>15</v>
      </c>
      <c r="E6903" s="68">
        <v>668</v>
      </c>
      <c r="F6903" s="68">
        <v>433</v>
      </c>
      <c r="G6903" s="68">
        <v>1101</v>
      </c>
    </row>
    <row r="6904" spans="1:7" x14ac:dyDescent="0.3">
      <c r="A6904" t="s">
        <v>897</v>
      </c>
      <c r="B6904" t="s">
        <v>5</v>
      </c>
      <c r="C6904" t="s">
        <v>24</v>
      </c>
      <c r="D6904" t="s">
        <v>16</v>
      </c>
      <c r="E6904" s="68">
        <v>552</v>
      </c>
      <c r="F6904" s="68">
        <v>402</v>
      </c>
      <c r="G6904" s="68">
        <v>954</v>
      </c>
    </row>
    <row r="6905" spans="1:7" x14ac:dyDescent="0.3">
      <c r="A6905" t="s">
        <v>897</v>
      </c>
      <c r="B6905" t="s">
        <v>5</v>
      </c>
      <c r="C6905" t="s">
        <v>24</v>
      </c>
      <c r="D6905" t="s">
        <v>17</v>
      </c>
      <c r="E6905" s="68">
        <v>449</v>
      </c>
      <c r="F6905" s="68">
        <v>324</v>
      </c>
      <c r="G6905" s="68">
        <v>773</v>
      </c>
    </row>
    <row r="6906" spans="1:7" x14ac:dyDescent="0.3">
      <c r="A6906" t="s">
        <v>897</v>
      </c>
      <c r="B6906" t="s">
        <v>5</v>
      </c>
      <c r="C6906" t="s">
        <v>24</v>
      </c>
      <c r="D6906" t="s">
        <v>18</v>
      </c>
      <c r="E6906" s="68">
        <v>482</v>
      </c>
      <c r="F6906" s="68">
        <v>343</v>
      </c>
      <c r="G6906" s="68">
        <v>825</v>
      </c>
    </row>
    <row r="6907" spans="1:7" x14ac:dyDescent="0.3">
      <c r="A6907" t="s">
        <v>897</v>
      </c>
      <c r="B6907" t="s">
        <v>5</v>
      </c>
      <c r="C6907" t="s">
        <v>24</v>
      </c>
      <c r="D6907" t="s">
        <v>19</v>
      </c>
      <c r="E6907" s="68">
        <v>426</v>
      </c>
      <c r="F6907" s="68">
        <v>343</v>
      </c>
      <c r="G6907" s="68">
        <v>769</v>
      </c>
    </row>
    <row r="6908" spans="1:7" x14ac:dyDescent="0.3">
      <c r="A6908" t="s">
        <v>897</v>
      </c>
      <c r="B6908" t="s">
        <v>5</v>
      </c>
      <c r="C6908" t="s">
        <v>24</v>
      </c>
      <c r="D6908" t="s">
        <v>20</v>
      </c>
      <c r="E6908" s="68">
        <v>354</v>
      </c>
      <c r="F6908" s="68">
        <v>317</v>
      </c>
      <c r="G6908" s="68">
        <v>671</v>
      </c>
    </row>
    <row r="6909" spans="1:7" x14ac:dyDescent="0.3">
      <c r="A6909" t="s">
        <v>897</v>
      </c>
      <c r="B6909" t="s">
        <v>5</v>
      </c>
      <c r="C6909" t="s">
        <v>24</v>
      </c>
      <c r="D6909" t="s">
        <v>21</v>
      </c>
      <c r="E6909" s="68">
        <v>297</v>
      </c>
      <c r="F6909" s="68">
        <v>246</v>
      </c>
      <c r="G6909" s="68">
        <v>543</v>
      </c>
    </row>
    <row r="6910" spans="1:7" x14ac:dyDescent="0.3">
      <c r="A6910" t="s">
        <v>897</v>
      </c>
      <c r="B6910" t="s">
        <v>5</v>
      </c>
      <c r="C6910" t="s">
        <v>24</v>
      </c>
      <c r="D6910" t="s">
        <v>22</v>
      </c>
      <c r="E6910" s="68">
        <v>203</v>
      </c>
      <c r="F6910" s="68">
        <v>155</v>
      </c>
      <c r="G6910" s="68">
        <v>358</v>
      </c>
    </row>
    <row r="6911" spans="1:7" x14ac:dyDescent="0.3">
      <c r="A6911" t="s">
        <v>897</v>
      </c>
      <c r="B6911" t="s">
        <v>5</v>
      </c>
      <c r="C6911" t="s">
        <v>24</v>
      </c>
      <c r="D6911" t="s">
        <v>23</v>
      </c>
      <c r="E6911" s="68">
        <v>279</v>
      </c>
      <c r="F6911" s="68">
        <v>210</v>
      </c>
      <c r="G6911" s="68">
        <v>489</v>
      </c>
    </row>
    <row r="6912" spans="1:7" x14ac:dyDescent="0.3">
      <c r="A6912" t="s">
        <v>897</v>
      </c>
      <c r="B6912" t="s">
        <v>33</v>
      </c>
      <c r="C6912" t="s">
        <v>6</v>
      </c>
      <c r="D6912" t="s">
        <v>7</v>
      </c>
      <c r="E6912" s="68">
        <v>591</v>
      </c>
      <c r="F6912" s="68">
        <v>587</v>
      </c>
      <c r="G6912" s="68">
        <v>1178</v>
      </c>
    </row>
    <row r="6913" spans="1:7" x14ac:dyDescent="0.3">
      <c r="A6913" t="s">
        <v>897</v>
      </c>
      <c r="B6913" t="s">
        <v>33</v>
      </c>
      <c r="C6913" t="s">
        <v>6</v>
      </c>
      <c r="D6913" t="s">
        <v>8</v>
      </c>
      <c r="E6913" s="68">
        <v>1007</v>
      </c>
      <c r="F6913" s="68">
        <v>992</v>
      </c>
      <c r="G6913" s="68">
        <v>1999</v>
      </c>
    </row>
    <row r="6914" spans="1:7" x14ac:dyDescent="0.3">
      <c r="A6914" t="s">
        <v>897</v>
      </c>
      <c r="B6914" t="s">
        <v>33</v>
      </c>
      <c r="C6914" t="s">
        <v>6</v>
      </c>
      <c r="D6914" t="s">
        <v>9</v>
      </c>
      <c r="E6914" s="68">
        <v>1367</v>
      </c>
      <c r="F6914" s="68">
        <v>1453</v>
      </c>
      <c r="G6914" s="68">
        <v>2820</v>
      </c>
    </row>
    <row r="6915" spans="1:7" x14ac:dyDescent="0.3">
      <c r="A6915" t="s">
        <v>897</v>
      </c>
      <c r="B6915" t="s">
        <v>33</v>
      </c>
      <c r="C6915" t="s">
        <v>6</v>
      </c>
      <c r="D6915" t="s">
        <v>10</v>
      </c>
      <c r="E6915" s="68">
        <v>1806</v>
      </c>
      <c r="F6915" s="68">
        <v>1848</v>
      </c>
      <c r="G6915" s="68">
        <v>3654</v>
      </c>
    </row>
    <row r="6916" spans="1:7" x14ac:dyDescent="0.3">
      <c r="A6916" t="s">
        <v>897</v>
      </c>
      <c r="B6916" t="s">
        <v>33</v>
      </c>
      <c r="C6916" t="s">
        <v>6</v>
      </c>
      <c r="D6916" t="s">
        <v>11</v>
      </c>
      <c r="E6916" s="68">
        <v>1950</v>
      </c>
      <c r="F6916" s="68">
        <v>2135</v>
      </c>
      <c r="G6916" s="68">
        <v>4085</v>
      </c>
    </row>
    <row r="6917" spans="1:7" x14ac:dyDescent="0.3">
      <c r="A6917" t="s">
        <v>897</v>
      </c>
      <c r="B6917" t="s">
        <v>33</v>
      </c>
      <c r="C6917" t="s">
        <v>6</v>
      </c>
      <c r="D6917" t="s">
        <v>12</v>
      </c>
      <c r="E6917" s="68">
        <v>1400</v>
      </c>
      <c r="F6917" s="68">
        <v>1440</v>
      </c>
      <c r="G6917" s="68">
        <v>2840</v>
      </c>
    </row>
    <row r="6918" spans="1:7" x14ac:dyDescent="0.3">
      <c r="A6918" t="s">
        <v>897</v>
      </c>
      <c r="B6918" t="s">
        <v>33</v>
      </c>
      <c r="C6918" t="s">
        <v>6</v>
      </c>
      <c r="D6918" t="s">
        <v>13</v>
      </c>
      <c r="E6918" s="68">
        <v>1939</v>
      </c>
      <c r="F6918" s="68">
        <v>1728</v>
      </c>
      <c r="G6918" s="68">
        <v>3667</v>
      </c>
    </row>
    <row r="6919" spans="1:7" x14ac:dyDescent="0.3">
      <c r="A6919" t="s">
        <v>897</v>
      </c>
      <c r="B6919" t="s">
        <v>33</v>
      </c>
      <c r="C6919" t="s">
        <v>6</v>
      </c>
      <c r="D6919" t="s">
        <v>14</v>
      </c>
      <c r="E6919" s="68">
        <v>2241</v>
      </c>
      <c r="F6919" s="68">
        <v>1973</v>
      </c>
      <c r="G6919" s="68">
        <v>4214</v>
      </c>
    </row>
    <row r="6920" spans="1:7" x14ac:dyDescent="0.3">
      <c r="A6920" t="s">
        <v>897</v>
      </c>
      <c r="B6920" t="s">
        <v>33</v>
      </c>
      <c r="C6920" t="s">
        <v>6</v>
      </c>
      <c r="D6920" t="s">
        <v>15</v>
      </c>
      <c r="E6920" s="68">
        <v>2356</v>
      </c>
      <c r="F6920" s="68">
        <v>2288</v>
      </c>
      <c r="G6920" s="68">
        <v>4644</v>
      </c>
    </row>
    <row r="6921" spans="1:7" x14ac:dyDescent="0.3">
      <c r="A6921" t="s">
        <v>897</v>
      </c>
      <c r="B6921" t="s">
        <v>33</v>
      </c>
      <c r="C6921" t="s">
        <v>6</v>
      </c>
      <c r="D6921" t="s">
        <v>16</v>
      </c>
      <c r="E6921" s="68">
        <v>2188</v>
      </c>
      <c r="F6921" s="68">
        <v>2096</v>
      </c>
      <c r="G6921" s="68">
        <v>4284</v>
      </c>
    </row>
    <row r="6922" spans="1:7" x14ac:dyDescent="0.3">
      <c r="A6922" t="s">
        <v>897</v>
      </c>
      <c r="B6922" t="s">
        <v>33</v>
      </c>
      <c r="C6922" t="s">
        <v>6</v>
      </c>
      <c r="D6922" t="s">
        <v>17</v>
      </c>
      <c r="E6922" s="68">
        <v>1902</v>
      </c>
      <c r="F6922" s="68">
        <v>1776</v>
      </c>
      <c r="G6922" s="68">
        <v>3678</v>
      </c>
    </row>
    <row r="6923" spans="1:7" x14ac:dyDescent="0.3">
      <c r="A6923" t="s">
        <v>897</v>
      </c>
      <c r="B6923" t="s">
        <v>33</v>
      </c>
      <c r="C6923" t="s">
        <v>6</v>
      </c>
      <c r="D6923" t="s">
        <v>18</v>
      </c>
      <c r="E6923" s="68">
        <v>2150</v>
      </c>
      <c r="F6923" s="68">
        <v>1975</v>
      </c>
      <c r="G6923" s="68">
        <v>4125</v>
      </c>
    </row>
    <row r="6924" spans="1:7" x14ac:dyDescent="0.3">
      <c r="A6924" t="s">
        <v>897</v>
      </c>
      <c r="B6924" t="s">
        <v>33</v>
      </c>
      <c r="C6924" t="s">
        <v>6</v>
      </c>
      <c r="D6924" t="s">
        <v>19</v>
      </c>
      <c r="E6924" s="68">
        <v>2227</v>
      </c>
      <c r="F6924" s="68">
        <v>1850</v>
      </c>
      <c r="G6924" s="68">
        <v>4077</v>
      </c>
    </row>
    <row r="6925" spans="1:7" x14ac:dyDescent="0.3">
      <c r="A6925" t="s">
        <v>897</v>
      </c>
      <c r="B6925" t="s">
        <v>33</v>
      </c>
      <c r="C6925" t="s">
        <v>6</v>
      </c>
      <c r="D6925" t="s">
        <v>20</v>
      </c>
      <c r="E6925" s="68">
        <v>1781</v>
      </c>
      <c r="F6925" s="68">
        <v>1711</v>
      </c>
      <c r="G6925" s="68">
        <v>3492</v>
      </c>
    </row>
    <row r="6926" spans="1:7" x14ac:dyDescent="0.3">
      <c r="A6926" t="s">
        <v>897</v>
      </c>
      <c r="B6926" t="s">
        <v>33</v>
      </c>
      <c r="C6926" t="s">
        <v>6</v>
      </c>
      <c r="D6926" t="s">
        <v>21</v>
      </c>
      <c r="E6926" s="68">
        <v>1363</v>
      </c>
      <c r="F6926" s="68">
        <v>1232</v>
      </c>
      <c r="G6926" s="68">
        <v>2595</v>
      </c>
    </row>
    <row r="6927" spans="1:7" x14ac:dyDescent="0.3">
      <c r="A6927" t="s">
        <v>897</v>
      </c>
      <c r="B6927" t="s">
        <v>33</v>
      </c>
      <c r="C6927" t="s">
        <v>6</v>
      </c>
      <c r="D6927" t="s">
        <v>22</v>
      </c>
      <c r="E6927" s="68">
        <v>680</v>
      </c>
      <c r="F6927" s="68">
        <v>662</v>
      </c>
      <c r="G6927" s="68">
        <v>1342</v>
      </c>
    </row>
    <row r="6928" spans="1:7" x14ac:dyDescent="0.3">
      <c r="A6928" t="s">
        <v>897</v>
      </c>
      <c r="B6928" t="s">
        <v>33</v>
      </c>
      <c r="C6928" t="s">
        <v>6</v>
      </c>
      <c r="D6928" t="s">
        <v>23</v>
      </c>
      <c r="E6928" s="68">
        <v>663</v>
      </c>
      <c r="F6928" s="68">
        <v>440</v>
      </c>
      <c r="G6928" s="68">
        <v>1103</v>
      </c>
    </row>
    <row r="6929" spans="1:7" x14ac:dyDescent="0.3">
      <c r="A6929" t="s">
        <v>897</v>
      </c>
      <c r="B6929" t="s">
        <v>33</v>
      </c>
      <c r="C6929" t="s">
        <v>24</v>
      </c>
      <c r="D6929" t="s">
        <v>7</v>
      </c>
      <c r="E6929" s="68">
        <v>265</v>
      </c>
      <c r="F6929" s="68">
        <v>335</v>
      </c>
      <c r="G6929" s="68">
        <v>600</v>
      </c>
    </row>
    <row r="6930" spans="1:7" x14ac:dyDescent="0.3">
      <c r="A6930" t="s">
        <v>897</v>
      </c>
      <c r="B6930" t="s">
        <v>33</v>
      </c>
      <c r="C6930" t="s">
        <v>24</v>
      </c>
      <c r="D6930" t="s">
        <v>8</v>
      </c>
      <c r="E6930" s="68">
        <v>689</v>
      </c>
      <c r="F6930" s="68">
        <v>661</v>
      </c>
      <c r="G6930" s="68">
        <v>1350</v>
      </c>
    </row>
    <row r="6931" spans="1:7" x14ac:dyDescent="0.3">
      <c r="A6931" t="s">
        <v>897</v>
      </c>
      <c r="B6931" t="s">
        <v>33</v>
      </c>
      <c r="C6931" t="s">
        <v>24</v>
      </c>
      <c r="D6931" t="s">
        <v>9</v>
      </c>
      <c r="E6931" s="68">
        <v>921</v>
      </c>
      <c r="F6931" s="68">
        <v>945</v>
      </c>
      <c r="G6931" s="68">
        <v>1866</v>
      </c>
    </row>
    <row r="6932" spans="1:7" x14ac:dyDescent="0.3">
      <c r="A6932" t="s">
        <v>897</v>
      </c>
      <c r="B6932" t="s">
        <v>33</v>
      </c>
      <c r="C6932" t="s">
        <v>24</v>
      </c>
      <c r="D6932" t="s">
        <v>10</v>
      </c>
      <c r="E6932" s="68">
        <v>932</v>
      </c>
      <c r="F6932" s="68">
        <v>1022</v>
      </c>
      <c r="G6932" s="68">
        <v>1954</v>
      </c>
    </row>
    <row r="6933" spans="1:7" x14ac:dyDescent="0.3">
      <c r="A6933" t="s">
        <v>897</v>
      </c>
      <c r="B6933" t="s">
        <v>33</v>
      </c>
      <c r="C6933" t="s">
        <v>24</v>
      </c>
      <c r="D6933" t="s">
        <v>11</v>
      </c>
      <c r="E6933" s="68">
        <v>743</v>
      </c>
      <c r="F6933" s="68">
        <v>689</v>
      </c>
      <c r="G6933" s="68">
        <v>1432</v>
      </c>
    </row>
    <row r="6934" spans="1:7" x14ac:dyDescent="0.3">
      <c r="A6934" t="s">
        <v>897</v>
      </c>
      <c r="B6934" t="s">
        <v>33</v>
      </c>
      <c r="C6934" t="s">
        <v>24</v>
      </c>
      <c r="D6934" t="s">
        <v>12</v>
      </c>
      <c r="E6934" s="68">
        <v>1077</v>
      </c>
      <c r="F6934" s="68">
        <v>1051</v>
      </c>
      <c r="G6934" s="68">
        <v>2128</v>
      </c>
    </row>
    <row r="6935" spans="1:7" x14ac:dyDescent="0.3">
      <c r="A6935" t="s">
        <v>897</v>
      </c>
      <c r="B6935" t="s">
        <v>33</v>
      </c>
      <c r="C6935" t="s">
        <v>24</v>
      </c>
      <c r="D6935" t="s">
        <v>13</v>
      </c>
      <c r="E6935" s="68">
        <v>1303</v>
      </c>
      <c r="F6935" s="68">
        <v>1274</v>
      </c>
      <c r="G6935" s="68">
        <v>2577</v>
      </c>
    </row>
    <row r="6936" spans="1:7" x14ac:dyDescent="0.3">
      <c r="A6936" t="s">
        <v>897</v>
      </c>
      <c r="B6936" t="s">
        <v>33</v>
      </c>
      <c r="C6936" t="s">
        <v>24</v>
      </c>
      <c r="D6936" t="s">
        <v>14</v>
      </c>
      <c r="E6936" s="68">
        <v>1266</v>
      </c>
      <c r="F6936" s="68">
        <v>1057</v>
      </c>
      <c r="G6936" s="68">
        <v>2323</v>
      </c>
    </row>
    <row r="6937" spans="1:7" x14ac:dyDescent="0.3">
      <c r="A6937" t="s">
        <v>897</v>
      </c>
      <c r="B6937" t="s">
        <v>33</v>
      </c>
      <c r="C6937" t="s">
        <v>24</v>
      </c>
      <c r="D6937" t="s">
        <v>15</v>
      </c>
      <c r="E6937" s="68">
        <v>1098</v>
      </c>
      <c r="F6937" s="68">
        <v>890</v>
      </c>
      <c r="G6937" s="68">
        <v>1988</v>
      </c>
    </row>
    <row r="6938" spans="1:7" x14ac:dyDescent="0.3">
      <c r="A6938" t="s">
        <v>897</v>
      </c>
      <c r="B6938" t="s">
        <v>33</v>
      </c>
      <c r="C6938" t="s">
        <v>24</v>
      </c>
      <c r="D6938" t="s">
        <v>16</v>
      </c>
      <c r="E6938" s="68">
        <v>892</v>
      </c>
      <c r="F6938" s="68">
        <v>710</v>
      </c>
      <c r="G6938" s="68">
        <v>1602</v>
      </c>
    </row>
    <row r="6939" spans="1:7" x14ac:dyDescent="0.3">
      <c r="A6939" t="s">
        <v>897</v>
      </c>
      <c r="B6939" t="s">
        <v>33</v>
      </c>
      <c r="C6939" t="s">
        <v>24</v>
      </c>
      <c r="D6939" t="s">
        <v>17</v>
      </c>
      <c r="E6939" s="68">
        <v>666</v>
      </c>
      <c r="F6939" s="68">
        <v>591</v>
      </c>
      <c r="G6939" s="68">
        <v>1257</v>
      </c>
    </row>
    <row r="6940" spans="1:7" x14ac:dyDescent="0.3">
      <c r="A6940" t="s">
        <v>897</v>
      </c>
      <c r="B6940" t="s">
        <v>33</v>
      </c>
      <c r="C6940" t="s">
        <v>24</v>
      </c>
      <c r="D6940" t="s">
        <v>18</v>
      </c>
      <c r="E6940" s="68">
        <v>546</v>
      </c>
      <c r="F6940" s="68">
        <v>471</v>
      </c>
      <c r="G6940" s="68">
        <v>1017</v>
      </c>
    </row>
    <row r="6941" spans="1:7" x14ac:dyDescent="0.3">
      <c r="A6941" t="s">
        <v>897</v>
      </c>
      <c r="B6941" t="s">
        <v>33</v>
      </c>
      <c r="C6941" t="s">
        <v>24</v>
      </c>
      <c r="D6941" t="s">
        <v>19</v>
      </c>
      <c r="E6941" s="68">
        <v>437</v>
      </c>
      <c r="F6941" s="68">
        <v>375</v>
      </c>
      <c r="G6941" s="68">
        <v>812</v>
      </c>
    </row>
    <row r="6942" spans="1:7" x14ac:dyDescent="0.3">
      <c r="A6942" t="s">
        <v>897</v>
      </c>
      <c r="B6942" t="s">
        <v>33</v>
      </c>
      <c r="C6942" t="s">
        <v>24</v>
      </c>
      <c r="D6942" t="s">
        <v>20</v>
      </c>
      <c r="E6942" s="68">
        <v>310</v>
      </c>
      <c r="F6942" s="68">
        <v>268</v>
      </c>
      <c r="G6942" s="68">
        <v>578</v>
      </c>
    </row>
    <row r="6943" spans="1:7" x14ac:dyDescent="0.3">
      <c r="A6943" t="s">
        <v>897</v>
      </c>
      <c r="B6943" t="s">
        <v>33</v>
      </c>
      <c r="C6943" t="s">
        <v>24</v>
      </c>
      <c r="D6943" t="s">
        <v>21</v>
      </c>
      <c r="E6943" s="68">
        <v>156</v>
      </c>
      <c r="F6943" s="68">
        <v>168</v>
      </c>
      <c r="G6943" s="68">
        <v>324</v>
      </c>
    </row>
    <row r="6944" spans="1:7" x14ac:dyDescent="0.3">
      <c r="A6944" t="s">
        <v>897</v>
      </c>
      <c r="B6944" t="s">
        <v>33</v>
      </c>
      <c r="C6944" t="s">
        <v>24</v>
      </c>
      <c r="D6944" t="s">
        <v>22</v>
      </c>
      <c r="E6944" s="68">
        <v>85</v>
      </c>
      <c r="F6944" s="68">
        <v>62</v>
      </c>
      <c r="G6944" s="68">
        <v>147</v>
      </c>
    </row>
    <row r="6945" spans="1:7" x14ac:dyDescent="0.3">
      <c r="A6945" t="s">
        <v>897</v>
      </c>
      <c r="B6945" t="s">
        <v>33</v>
      </c>
      <c r="C6945" t="s">
        <v>24</v>
      </c>
      <c r="D6945" t="s">
        <v>23</v>
      </c>
      <c r="E6945" s="68">
        <v>56</v>
      </c>
      <c r="F6945" s="68">
        <v>44</v>
      </c>
      <c r="G6945" s="68">
        <v>100</v>
      </c>
    </row>
    <row r="6946" spans="1:7" x14ac:dyDescent="0.3">
      <c r="A6946" t="s">
        <v>897</v>
      </c>
      <c r="B6946" t="s">
        <v>34</v>
      </c>
      <c r="C6946" t="s">
        <v>6</v>
      </c>
      <c r="D6946" t="s">
        <v>7</v>
      </c>
      <c r="E6946" s="68">
        <v>1996</v>
      </c>
      <c r="F6946" s="68">
        <v>2102</v>
      </c>
      <c r="G6946" s="68">
        <v>4098</v>
      </c>
    </row>
    <row r="6947" spans="1:7" x14ac:dyDescent="0.3">
      <c r="A6947" t="s">
        <v>897</v>
      </c>
      <c r="B6947" t="s">
        <v>34</v>
      </c>
      <c r="C6947" t="s">
        <v>6</v>
      </c>
      <c r="D6947" t="s">
        <v>8</v>
      </c>
      <c r="E6947" s="68">
        <v>2666</v>
      </c>
      <c r="F6947" s="68">
        <v>2854</v>
      </c>
      <c r="G6947" s="68">
        <v>5520</v>
      </c>
    </row>
    <row r="6948" spans="1:7" x14ac:dyDescent="0.3">
      <c r="A6948" t="s">
        <v>897</v>
      </c>
      <c r="B6948" t="s">
        <v>34</v>
      </c>
      <c r="C6948" t="s">
        <v>6</v>
      </c>
      <c r="D6948" t="s">
        <v>9</v>
      </c>
      <c r="E6948" s="68">
        <v>3123</v>
      </c>
      <c r="F6948" s="68">
        <v>3198</v>
      </c>
      <c r="G6948" s="68">
        <v>6321</v>
      </c>
    </row>
    <row r="6949" spans="1:7" x14ac:dyDescent="0.3">
      <c r="A6949" t="s">
        <v>897</v>
      </c>
      <c r="B6949" t="s">
        <v>34</v>
      </c>
      <c r="C6949" t="s">
        <v>6</v>
      </c>
      <c r="D6949" t="s">
        <v>10</v>
      </c>
      <c r="E6949" s="68">
        <v>3243</v>
      </c>
      <c r="F6949" s="68">
        <v>3215</v>
      </c>
      <c r="G6949" s="68">
        <v>6458</v>
      </c>
    </row>
    <row r="6950" spans="1:7" x14ac:dyDescent="0.3">
      <c r="A6950" t="s">
        <v>897</v>
      </c>
      <c r="B6950" t="s">
        <v>34</v>
      </c>
      <c r="C6950" t="s">
        <v>6</v>
      </c>
      <c r="D6950" t="s">
        <v>11</v>
      </c>
      <c r="E6950" s="68">
        <v>3883</v>
      </c>
      <c r="F6950" s="68">
        <v>3717</v>
      </c>
      <c r="G6950" s="68">
        <v>7600</v>
      </c>
    </row>
    <row r="6951" spans="1:7" x14ac:dyDescent="0.3">
      <c r="A6951" t="s">
        <v>897</v>
      </c>
      <c r="B6951" t="s">
        <v>34</v>
      </c>
      <c r="C6951" t="s">
        <v>6</v>
      </c>
      <c r="D6951" t="s">
        <v>12</v>
      </c>
      <c r="E6951" s="68">
        <v>4998</v>
      </c>
      <c r="F6951" s="68">
        <v>3908</v>
      </c>
      <c r="G6951" s="68">
        <v>8906</v>
      </c>
    </row>
    <row r="6952" spans="1:7" x14ac:dyDescent="0.3">
      <c r="A6952" t="s">
        <v>897</v>
      </c>
      <c r="B6952" t="s">
        <v>34</v>
      </c>
      <c r="C6952" t="s">
        <v>6</v>
      </c>
      <c r="D6952" t="s">
        <v>13</v>
      </c>
      <c r="E6952" s="68">
        <v>6234</v>
      </c>
      <c r="F6952" s="68">
        <v>4977</v>
      </c>
      <c r="G6952" s="68">
        <v>11211</v>
      </c>
    </row>
    <row r="6953" spans="1:7" x14ac:dyDescent="0.3">
      <c r="A6953" t="s">
        <v>897</v>
      </c>
      <c r="B6953" t="s">
        <v>34</v>
      </c>
      <c r="C6953" t="s">
        <v>6</v>
      </c>
      <c r="D6953" t="s">
        <v>14</v>
      </c>
      <c r="E6953" s="68">
        <v>5963</v>
      </c>
      <c r="F6953" s="68">
        <v>4815</v>
      </c>
      <c r="G6953" s="68">
        <v>10778</v>
      </c>
    </row>
    <row r="6954" spans="1:7" x14ac:dyDescent="0.3">
      <c r="A6954" t="s">
        <v>897</v>
      </c>
      <c r="B6954" t="s">
        <v>34</v>
      </c>
      <c r="C6954" t="s">
        <v>6</v>
      </c>
      <c r="D6954" t="s">
        <v>15</v>
      </c>
      <c r="E6954" s="68">
        <v>5621</v>
      </c>
      <c r="F6954" s="68">
        <v>4851</v>
      </c>
      <c r="G6954" s="68">
        <v>10472</v>
      </c>
    </row>
    <row r="6955" spans="1:7" x14ac:dyDescent="0.3">
      <c r="A6955" t="s">
        <v>897</v>
      </c>
      <c r="B6955" t="s">
        <v>34</v>
      </c>
      <c r="C6955" t="s">
        <v>6</v>
      </c>
      <c r="D6955" t="s">
        <v>16</v>
      </c>
      <c r="E6955" s="68">
        <v>4832</v>
      </c>
      <c r="F6955" s="68">
        <v>4231</v>
      </c>
      <c r="G6955" s="68">
        <v>9063</v>
      </c>
    </row>
    <row r="6956" spans="1:7" x14ac:dyDescent="0.3">
      <c r="A6956" t="s">
        <v>897</v>
      </c>
      <c r="B6956" t="s">
        <v>34</v>
      </c>
      <c r="C6956" t="s">
        <v>6</v>
      </c>
      <c r="D6956" t="s">
        <v>17</v>
      </c>
      <c r="E6956" s="68">
        <v>3909</v>
      </c>
      <c r="F6956" s="68">
        <v>3319</v>
      </c>
      <c r="G6956" s="68">
        <v>7228</v>
      </c>
    </row>
    <row r="6957" spans="1:7" x14ac:dyDescent="0.3">
      <c r="A6957" t="s">
        <v>897</v>
      </c>
      <c r="B6957" t="s">
        <v>34</v>
      </c>
      <c r="C6957" t="s">
        <v>6</v>
      </c>
      <c r="D6957" t="s">
        <v>18</v>
      </c>
      <c r="E6957" s="68">
        <v>4147</v>
      </c>
      <c r="F6957" s="68">
        <v>3306</v>
      </c>
      <c r="G6957" s="68">
        <v>7453</v>
      </c>
    </row>
    <row r="6958" spans="1:7" x14ac:dyDescent="0.3">
      <c r="A6958" t="s">
        <v>897</v>
      </c>
      <c r="B6958" t="s">
        <v>34</v>
      </c>
      <c r="C6958" t="s">
        <v>6</v>
      </c>
      <c r="D6958" t="s">
        <v>19</v>
      </c>
      <c r="E6958" s="68">
        <v>4197</v>
      </c>
      <c r="F6958" s="68">
        <v>3309</v>
      </c>
      <c r="G6958" s="68">
        <v>7506</v>
      </c>
    </row>
    <row r="6959" spans="1:7" x14ac:dyDescent="0.3">
      <c r="A6959" t="s">
        <v>897</v>
      </c>
      <c r="B6959" t="s">
        <v>34</v>
      </c>
      <c r="C6959" t="s">
        <v>6</v>
      </c>
      <c r="D6959" t="s">
        <v>20</v>
      </c>
      <c r="E6959" s="68">
        <v>3462</v>
      </c>
      <c r="F6959" s="68">
        <v>2719</v>
      </c>
      <c r="G6959" s="68">
        <v>6181</v>
      </c>
    </row>
    <row r="6960" spans="1:7" x14ac:dyDescent="0.3">
      <c r="A6960" t="s">
        <v>897</v>
      </c>
      <c r="B6960" t="s">
        <v>34</v>
      </c>
      <c r="C6960" t="s">
        <v>6</v>
      </c>
      <c r="D6960" t="s">
        <v>21</v>
      </c>
      <c r="E6960" s="68">
        <v>2682</v>
      </c>
      <c r="F6960" s="68">
        <v>1924</v>
      </c>
      <c r="G6960" s="68">
        <v>4606</v>
      </c>
    </row>
    <row r="6961" spans="1:7" x14ac:dyDescent="0.3">
      <c r="A6961" t="s">
        <v>897</v>
      </c>
      <c r="B6961" t="s">
        <v>34</v>
      </c>
      <c r="C6961" t="s">
        <v>6</v>
      </c>
      <c r="D6961" t="s">
        <v>22</v>
      </c>
      <c r="E6961" s="68">
        <v>1701</v>
      </c>
      <c r="F6961" s="68">
        <v>1301</v>
      </c>
      <c r="G6961" s="68">
        <v>3002</v>
      </c>
    </row>
    <row r="6962" spans="1:7" x14ac:dyDescent="0.3">
      <c r="A6962" t="s">
        <v>897</v>
      </c>
      <c r="B6962" t="s">
        <v>34</v>
      </c>
      <c r="C6962" t="s">
        <v>6</v>
      </c>
      <c r="D6962" t="s">
        <v>23</v>
      </c>
      <c r="E6962" s="68">
        <v>1992</v>
      </c>
      <c r="F6962" s="68">
        <v>1256</v>
      </c>
      <c r="G6962" s="68">
        <v>3248</v>
      </c>
    </row>
    <row r="6963" spans="1:7" x14ac:dyDescent="0.3">
      <c r="A6963" t="s">
        <v>897</v>
      </c>
      <c r="B6963" t="s">
        <v>34</v>
      </c>
      <c r="C6963" t="s">
        <v>24</v>
      </c>
      <c r="D6963" t="s">
        <v>7</v>
      </c>
      <c r="E6963" s="68">
        <v>520</v>
      </c>
      <c r="F6963" s="68">
        <v>528</v>
      </c>
      <c r="G6963" s="68">
        <v>1048</v>
      </c>
    </row>
    <row r="6964" spans="1:7" x14ac:dyDescent="0.3">
      <c r="A6964" t="s">
        <v>897</v>
      </c>
      <c r="B6964" t="s">
        <v>34</v>
      </c>
      <c r="C6964" t="s">
        <v>24</v>
      </c>
      <c r="D6964" t="s">
        <v>8</v>
      </c>
      <c r="E6964" s="68">
        <v>871</v>
      </c>
      <c r="F6964" s="68">
        <v>877</v>
      </c>
      <c r="G6964" s="68">
        <v>1748</v>
      </c>
    </row>
    <row r="6965" spans="1:7" x14ac:dyDescent="0.3">
      <c r="A6965" t="s">
        <v>897</v>
      </c>
      <c r="B6965" t="s">
        <v>34</v>
      </c>
      <c r="C6965" t="s">
        <v>24</v>
      </c>
      <c r="D6965" t="s">
        <v>9</v>
      </c>
      <c r="E6965" s="68">
        <v>1017</v>
      </c>
      <c r="F6965" s="68">
        <v>1037</v>
      </c>
      <c r="G6965" s="68">
        <v>2054</v>
      </c>
    </row>
    <row r="6966" spans="1:7" x14ac:dyDescent="0.3">
      <c r="A6966" t="s">
        <v>897</v>
      </c>
      <c r="B6966" t="s">
        <v>34</v>
      </c>
      <c r="C6966" t="s">
        <v>24</v>
      </c>
      <c r="D6966" t="s">
        <v>10</v>
      </c>
      <c r="E6966" s="68">
        <v>1000</v>
      </c>
      <c r="F6966" s="68">
        <v>1045</v>
      </c>
      <c r="G6966" s="68">
        <v>2045</v>
      </c>
    </row>
    <row r="6967" spans="1:7" x14ac:dyDescent="0.3">
      <c r="A6967" t="s">
        <v>897</v>
      </c>
      <c r="B6967" t="s">
        <v>34</v>
      </c>
      <c r="C6967" t="s">
        <v>24</v>
      </c>
      <c r="D6967" t="s">
        <v>11</v>
      </c>
      <c r="E6967" s="68">
        <v>1027</v>
      </c>
      <c r="F6967" s="68">
        <v>968</v>
      </c>
      <c r="G6967" s="68">
        <v>1995</v>
      </c>
    </row>
    <row r="6968" spans="1:7" x14ac:dyDescent="0.3">
      <c r="A6968" t="s">
        <v>897</v>
      </c>
      <c r="B6968" t="s">
        <v>34</v>
      </c>
      <c r="C6968" t="s">
        <v>24</v>
      </c>
      <c r="D6968" t="s">
        <v>12</v>
      </c>
      <c r="E6968" s="68">
        <v>1466</v>
      </c>
      <c r="F6968" s="68">
        <v>1225</v>
      </c>
      <c r="G6968" s="68">
        <v>2691</v>
      </c>
    </row>
    <row r="6969" spans="1:7" x14ac:dyDescent="0.3">
      <c r="A6969" t="s">
        <v>897</v>
      </c>
      <c r="B6969" t="s">
        <v>34</v>
      </c>
      <c r="C6969" t="s">
        <v>24</v>
      </c>
      <c r="D6969" t="s">
        <v>13</v>
      </c>
      <c r="E6969" s="68">
        <v>1649</v>
      </c>
      <c r="F6969" s="68">
        <v>1388</v>
      </c>
      <c r="G6969" s="68">
        <v>3037</v>
      </c>
    </row>
    <row r="6970" spans="1:7" x14ac:dyDescent="0.3">
      <c r="A6970" t="s">
        <v>897</v>
      </c>
      <c r="B6970" t="s">
        <v>34</v>
      </c>
      <c r="C6970" t="s">
        <v>24</v>
      </c>
      <c r="D6970" t="s">
        <v>14</v>
      </c>
      <c r="E6970" s="68">
        <v>1326</v>
      </c>
      <c r="F6970" s="68">
        <v>1103</v>
      </c>
      <c r="G6970" s="68">
        <v>2429</v>
      </c>
    </row>
    <row r="6971" spans="1:7" x14ac:dyDescent="0.3">
      <c r="A6971" t="s">
        <v>897</v>
      </c>
      <c r="B6971" t="s">
        <v>34</v>
      </c>
      <c r="C6971" t="s">
        <v>24</v>
      </c>
      <c r="D6971" t="s">
        <v>15</v>
      </c>
      <c r="E6971" s="68">
        <v>1185</v>
      </c>
      <c r="F6971" s="68">
        <v>905</v>
      </c>
      <c r="G6971" s="68">
        <v>2090</v>
      </c>
    </row>
    <row r="6972" spans="1:7" x14ac:dyDescent="0.3">
      <c r="A6972" t="s">
        <v>897</v>
      </c>
      <c r="B6972" t="s">
        <v>34</v>
      </c>
      <c r="C6972" t="s">
        <v>24</v>
      </c>
      <c r="D6972" t="s">
        <v>16</v>
      </c>
      <c r="E6972" s="68">
        <v>1038</v>
      </c>
      <c r="F6972" s="68">
        <v>791</v>
      </c>
      <c r="G6972" s="68">
        <v>1829</v>
      </c>
    </row>
    <row r="6973" spans="1:7" x14ac:dyDescent="0.3">
      <c r="A6973" t="s">
        <v>897</v>
      </c>
      <c r="B6973" t="s">
        <v>34</v>
      </c>
      <c r="C6973" t="s">
        <v>24</v>
      </c>
      <c r="D6973" t="s">
        <v>17</v>
      </c>
      <c r="E6973" s="68">
        <v>985</v>
      </c>
      <c r="F6973" s="68">
        <v>655</v>
      </c>
      <c r="G6973" s="68">
        <v>1640</v>
      </c>
    </row>
    <row r="6974" spans="1:7" x14ac:dyDescent="0.3">
      <c r="A6974" t="s">
        <v>897</v>
      </c>
      <c r="B6974" t="s">
        <v>34</v>
      </c>
      <c r="C6974" t="s">
        <v>24</v>
      </c>
      <c r="D6974" t="s">
        <v>18</v>
      </c>
      <c r="E6974" s="68">
        <v>1106</v>
      </c>
      <c r="F6974" s="68">
        <v>719</v>
      </c>
      <c r="G6974" s="68">
        <v>1825</v>
      </c>
    </row>
    <row r="6975" spans="1:7" x14ac:dyDescent="0.3">
      <c r="A6975" t="s">
        <v>897</v>
      </c>
      <c r="B6975" t="s">
        <v>34</v>
      </c>
      <c r="C6975" t="s">
        <v>24</v>
      </c>
      <c r="D6975" t="s">
        <v>19</v>
      </c>
      <c r="E6975" s="68">
        <v>982</v>
      </c>
      <c r="F6975" s="68">
        <v>739</v>
      </c>
      <c r="G6975" s="68">
        <v>1721</v>
      </c>
    </row>
    <row r="6976" spans="1:7" x14ac:dyDescent="0.3">
      <c r="A6976" t="s">
        <v>897</v>
      </c>
      <c r="B6976" t="s">
        <v>34</v>
      </c>
      <c r="C6976" t="s">
        <v>24</v>
      </c>
      <c r="D6976" t="s">
        <v>20</v>
      </c>
      <c r="E6976" s="68">
        <v>828</v>
      </c>
      <c r="F6976" s="68">
        <v>632</v>
      </c>
      <c r="G6976" s="68">
        <v>1460</v>
      </c>
    </row>
    <row r="6977" spans="1:7" x14ac:dyDescent="0.3">
      <c r="A6977" t="s">
        <v>897</v>
      </c>
      <c r="B6977" t="s">
        <v>34</v>
      </c>
      <c r="C6977" t="s">
        <v>24</v>
      </c>
      <c r="D6977" t="s">
        <v>21</v>
      </c>
      <c r="E6977" s="68">
        <v>676</v>
      </c>
      <c r="F6977" s="68">
        <v>543</v>
      </c>
      <c r="G6977" s="68">
        <v>1219</v>
      </c>
    </row>
    <row r="6978" spans="1:7" x14ac:dyDescent="0.3">
      <c r="A6978" t="s">
        <v>897</v>
      </c>
      <c r="B6978" t="s">
        <v>34</v>
      </c>
      <c r="C6978" t="s">
        <v>24</v>
      </c>
      <c r="D6978" t="s">
        <v>22</v>
      </c>
      <c r="E6978" s="68">
        <v>461</v>
      </c>
      <c r="F6978" s="68">
        <v>383</v>
      </c>
      <c r="G6978" s="68">
        <v>844</v>
      </c>
    </row>
    <row r="6979" spans="1:7" x14ac:dyDescent="0.3">
      <c r="A6979" t="s">
        <v>897</v>
      </c>
      <c r="B6979" t="s">
        <v>34</v>
      </c>
      <c r="C6979" t="s">
        <v>24</v>
      </c>
      <c r="D6979" t="s">
        <v>23</v>
      </c>
      <c r="E6979" s="68">
        <v>567</v>
      </c>
      <c r="F6979" s="68">
        <v>416</v>
      </c>
      <c r="G6979" s="68">
        <v>983</v>
      </c>
    </row>
    <row r="6980" spans="1:7" x14ac:dyDescent="0.3">
      <c r="A6980" t="s">
        <v>897</v>
      </c>
      <c r="B6980" t="s">
        <v>37</v>
      </c>
      <c r="C6980" t="s">
        <v>6</v>
      </c>
      <c r="D6980" t="s">
        <v>7</v>
      </c>
      <c r="E6980" s="68">
        <v>55</v>
      </c>
      <c r="F6980" s="68">
        <v>59</v>
      </c>
      <c r="G6980" s="68">
        <v>114</v>
      </c>
    </row>
    <row r="6981" spans="1:7" x14ac:dyDescent="0.3">
      <c r="A6981" t="s">
        <v>897</v>
      </c>
      <c r="B6981" t="s">
        <v>37</v>
      </c>
      <c r="C6981" t="s">
        <v>6</v>
      </c>
      <c r="D6981" t="s">
        <v>8</v>
      </c>
      <c r="E6981" s="68">
        <v>81</v>
      </c>
      <c r="F6981" s="68">
        <v>87</v>
      </c>
      <c r="G6981" s="68">
        <v>168</v>
      </c>
    </row>
    <row r="6982" spans="1:7" x14ac:dyDescent="0.3">
      <c r="A6982" t="s">
        <v>897</v>
      </c>
      <c r="B6982" t="s">
        <v>37</v>
      </c>
      <c r="C6982" t="s">
        <v>6</v>
      </c>
      <c r="D6982" t="s">
        <v>9</v>
      </c>
      <c r="E6982" s="68">
        <v>108</v>
      </c>
      <c r="F6982" s="68">
        <v>115</v>
      </c>
      <c r="G6982" s="68">
        <v>223</v>
      </c>
    </row>
    <row r="6983" spans="1:7" x14ac:dyDescent="0.3">
      <c r="A6983" t="s">
        <v>897</v>
      </c>
      <c r="B6983" t="s">
        <v>37</v>
      </c>
      <c r="C6983" t="s">
        <v>6</v>
      </c>
      <c r="D6983" t="s">
        <v>10</v>
      </c>
      <c r="E6983" s="68">
        <v>181</v>
      </c>
      <c r="F6983" s="68">
        <v>144</v>
      </c>
      <c r="G6983" s="68">
        <v>325</v>
      </c>
    </row>
    <row r="6984" spans="1:7" x14ac:dyDescent="0.3">
      <c r="A6984" t="s">
        <v>897</v>
      </c>
      <c r="B6984" t="s">
        <v>37</v>
      </c>
      <c r="C6984" t="s">
        <v>6</v>
      </c>
      <c r="D6984" t="s">
        <v>11</v>
      </c>
      <c r="E6984" s="68">
        <v>177</v>
      </c>
      <c r="F6984" s="68">
        <v>224</v>
      </c>
      <c r="G6984" s="68">
        <v>401</v>
      </c>
    </row>
    <row r="6985" spans="1:7" x14ac:dyDescent="0.3">
      <c r="A6985" t="s">
        <v>897</v>
      </c>
      <c r="B6985" t="s">
        <v>37</v>
      </c>
      <c r="C6985" t="s">
        <v>6</v>
      </c>
      <c r="D6985" t="s">
        <v>12</v>
      </c>
      <c r="E6985" s="68">
        <v>159</v>
      </c>
      <c r="F6985" s="68">
        <v>134</v>
      </c>
      <c r="G6985" s="68">
        <v>293</v>
      </c>
    </row>
    <row r="6986" spans="1:7" x14ac:dyDescent="0.3">
      <c r="A6986" t="s">
        <v>897</v>
      </c>
      <c r="B6986" t="s">
        <v>37</v>
      </c>
      <c r="C6986" t="s">
        <v>6</v>
      </c>
      <c r="D6986" t="s">
        <v>13</v>
      </c>
      <c r="E6986" s="68">
        <v>136</v>
      </c>
      <c r="F6986" s="68">
        <v>153</v>
      </c>
      <c r="G6986" s="68">
        <v>289</v>
      </c>
    </row>
    <row r="6987" spans="1:7" x14ac:dyDescent="0.3">
      <c r="A6987" t="s">
        <v>897</v>
      </c>
      <c r="B6987" t="s">
        <v>37</v>
      </c>
      <c r="C6987" t="s">
        <v>6</v>
      </c>
      <c r="D6987" t="s">
        <v>14</v>
      </c>
      <c r="E6987" s="68">
        <v>146</v>
      </c>
      <c r="F6987" s="68">
        <v>139</v>
      </c>
      <c r="G6987" s="68">
        <v>285</v>
      </c>
    </row>
    <row r="6988" spans="1:7" x14ac:dyDescent="0.3">
      <c r="A6988" t="s">
        <v>897</v>
      </c>
      <c r="B6988" t="s">
        <v>37</v>
      </c>
      <c r="C6988" t="s">
        <v>6</v>
      </c>
      <c r="D6988" t="s">
        <v>15</v>
      </c>
      <c r="E6988" s="68">
        <v>155</v>
      </c>
      <c r="F6988" s="68">
        <v>141</v>
      </c>
      <c r="G6988" s="68">
        <v>296</v>
      </c>
    </row>
    <row r="6989" spans="1:7" x14ac:dyDescent="0.3">
      <c r="A6989" t="s">
        <v>897</v>
      </c>
      <c r="B6989" t="s">
        <v>37</v>
      </c>
      <c r="C6989" t="s">
        <v>6</v>
      </c>
      <c r="D6989" t="s">
        <v>16</v>
      </c>
      <c r="E6989" s="68">
        <v>150</v>
      </c>
      <c r="F6989" s="68">
        <v>141</v>
      </c>
      <c r="G6989" s="68">
        <v>291</v>
      </c>
    </row>
    <row r="6990" spans="1:7" x14ac:dyDescent="0.3">
      <c r="A6990" t="s">
        <v>897</v>
      </c>
      <c r="B6990" t="s">
        <v>37</v>
      </c>
      <c r="C6990" t="s">
        <v>6</v>
      </c>
      <c r="D6990" t="s">
        <v>17</v>
      </c>
      <c r="E6990" s="68">
        <v>150</v>
      </c>
      <c r="F6990" s="68">
        <v>140</v>
      </c>
      <c r="G6990" s="68">
        <v>290</v>
      </c>
    </row>
    <row r="6991" spans="1:7" x14ac:dyDescent="0.3">
      <c r="A6991" t="s">
        <v>897</v>
      </c>
      <c r="B6991" t="s">
        <v>37</v>
      </c>
      <c r="C6991" t="s">
        <v>6</v>
      </c>
      <c r="D6991" t="s">
        <v>18</v>
      </c>
      <c r="E6991" s="68">
        <v>126</v>
      </c>
      <c r="F6991" s="68">
        <v>127</v>
      </c>
      <c r="G6991" s="68">
        <v>253</v>
      </c>
    </row>
    <row r="6992" spans="1:7" x14ac:dyDescent="0.3">
      <c r="A6992" t="s">
        <v>897</v>
      </c>
      <c r="B6992" t="s">
        <v>37</v>
      </c>
      <c r="C6992" t="s">
        <v>6</v>
      </c>
      <c r="D6992" t="s">
        <v>19</v>
      </c>
      <c r="E6992" s="68">
        <v>139</v>
      </c>
      <c r="F6992" s="68">
        <v>139</v>
      </c>
      <c r="G6992" s="68">
        <v>278</v>
      </c>
    </row>
    <row r="6993" spans="1:7" x14ac:dyDescent="0.3">
      <c r="A6993" t="s">
        <v>897</v>
      </c>
      <c r="B6993" t="s">
        <v>37</v>
      </c>
      <c r="C6993" t="s">
        <v>6</v>
      </c>
      <c r="D6993" t="s">
        <v>20</v>
      </c>
      <c r="E6993" s="68">
        <v>106</v>
      </c>
      <c r="F6993" s="68">
        <v>118</v>
      </c>
      <c r="G6993" s="68">
        <v>224</v>
      </c>
    </row>
    <row r="6994" spans="1:7" x14ac:dyDescent="0.3">
      <c r="A6994" t="s">
        <v>897</v>
      </c>
      <c r="B6994" t="s">
        <v>37</v>
      </c>
      <c r="C6994" t="s">
        <v>6</v>
      </c>
      <c r="D6994" t="s">
        <v>21</v>
      </c>
      <c r="E6994" s="68">
        <v>69</v>
      </c>
      <c r="F6994" s="68">
        <v>83</v>
      </c>
      <c r="G6994" s="68">
        <v>152</v>
      </c>
    </row>
    <row r="6995" spans="1:7" x14ac:dyDescent="0.3">
      <c r="A6995" t="s">
        <v>897</v>
      </c>
      <c r="B6995" t="s">
        <v>37</v>
      </c>
      <c r="C6995" t="s">
        <v>6</v>
      </c>
      <c r="D6995" t="s">
        <v>22</v>
      </c>
      <c r="E6995" s="68">
        <v>33</v>
      </c>
      <c r="F6995" s="68">
        <v>42</v>
      </c>
      <c r="G6995" s="68">
        <v>75</v>
      </c>
    </row>
    <row r="6996" spans="1:7" x14ac:dyDescent="0.3">
      <c r="A6996" t="s">
        <v>897</v>
      </c>
      <c r="B6996" t="s">
        <v>37</v>
      </c>
      <c r="C6996" t="s">
        <v>6</v>
      </c>
      <c r="D6996" t="s">
        <v>23</v>
      </c>
      <c r="E6996" s="68">
        <v>74</v>
      </c>
      <c r="F6996" s="68">
        <v>52</v>
      </c>
      <c r="G6996" s="68">
        <v>126</v>
      </c>
    </row>
    <row r="6997" spans="1:7" x14ac:dyDescent="0.3">
      <c r="A6997" t="s">
        <v>897</v>
      </c>
      <c r="B6997" t="s">
        <v>37</v>
      </c>
      <c r="C6997" t="s">
        <v>24</v>
      </c>
      <c r="D6997" t="s">
        <v>7</v>
      </c>
      <c r="E6997" s="68">
        <v>131</v>
      </c>
      <c r="F6997" s="68">
        <v>143</v>
      </c>
      <c r="G6997" s="68">
        <v>274</v>
      </c>
    </row>
    <row r="6998" spans="1:7" x14ac:dyDescent="0.3">
      <c r="A6998" t="s">
        <v>897</v>
      </c>
      <c r="B6998" t="s">
        <v>37</v>
      </c>
      <c r="C6998" t="s">
        <v>24</v>
      </c>
      <c r="D6998" t="s">
        <v>8</v>
      </c>
      <c r="E6998" s="68">
        <v>286</v>
      </c>
      <c r="F6998" s="68">
        <v>312</v>
      </c>
      <c r="G6998" s="68">
        <v>598</v>
      </c>
    </row>
    <row r="6999" spans="1:7" x14ac:dyDescent="0.3">
      <c r="A6999" t="s">
        <v>897</v>
      </c>
      <c r="B6999" t="s">
        <v>37</v>
      </c>
      <c r="C6999" t="s">
        <v>24</v>
      </c>
      <c r="D6999" t="s">
        <v>9</v>
      </c>
      <c r="E6999" s="68">
        <v>376</v>
      </c>
      <c r="F6999" s="68">
        <v>348</v>
      </c>
      <c r="G6999" s="68">
        <v>724</v>
      </c>
    </row>
    <row r="7000" spans="1:7" x14ac:dyDescent="0.3">
      <c r="A7000" t="s">
        <v>897</v>
      </c>
      <c r="B7000" t="s">
        <v>37</v>
      </c>
      <c r="C7000" t="s">
        <v>24</v>
      </c>
      <c r="D7000" t="s">
        <v>10</v>
      </c>
      <c r="E7000" s="68">
        <v>378</v>
      </c>
      <c r="F7000" s="68">
        <v>411</v>
      </c>
      <c r="G7000" s="68">
        <v>789</v>
      </c>
    </row>
    <row r="7001" spans="1:7" x14ac:dyDescent="0.3">
      <c r="A7001" t="s">
        <v>897</v>
      </c>
      <c r="B7001" t="s">
        <v>37</v>
      </c>
      <c r="C7001" t="s">
        <v>24</v>
      </c>
      <c r="D7001" t="s">
        <v>11</v>
      </c>
      <c r="E7001" s="68">
        <v>317</v>
      </c>
      <c r="F7001" s="68">
        <v>336</v>
      </c>
      <c r="G7001" s="68">
        <v>653</v>
      </c>
    </row>
    <row r="7002" spans="1:7" x14ac:dyDescent="0.3">
      <c r="A7002" t="s">
        <v>897</v>
      </c>
      <c r="B7002" t="s">
        <v>37</v>
      </c>
      <c r="C7002" t="s">
        <v>24</v>
      </c>
      <c r="D7002" t="s">
        <v>12</v>
      </c>
      <c r="E7002" s="68">
        <v>342</v>
      </c>
      <c r="F7002" s="68">
        <v>269</v>
      </c>
      <c r="G7002" s="68">
        <v>611</v>
      </c>
    </row>
    <row r="7003" spans="1:7" x14ac:dyDescent="0.3">
      <c r="A7003" t="s">
        <v>897</v>
      </c>
      <c r="B7003" t="s">
        <v>37</v>
      </c>
      <c r="C7003" t="s">
        <v>24</v>
      </c>
      <c r="D7003" t="s">
        <v>13</v>
      </c>
      <c r="E7003" s="68">
        <v>372</v>
      </c>
      <c r="F7003" s="68">
        <v>252</v>
      </c>
      <c r="G7003" s="68">
        <v>624</v>
      </c>
    </row>
    <row r="7004" spans="1:7" x14ac:dyDescent="0.3">
      <c r="A7004" t="s">
        <v>897</v>
      </c>
      <c r="B7004" t="s">
        <v>37</v>
      </c>
      <c r="C7004" t="s">
        <v>24</v>
      </c>
      <c r="D7004" t="s">
        <v>14</v>
      </c>
      <c r="E7004" s="68">
        <v>322</v>
      </c>
      <c r="F7004" s="68">
        <v>217</v>
      </c>
      <c r="G7004" s="68">
        <v>539</v>
      </c>
    </row>
    <row r="7005" spans="1:7" x14ac:dyDescent="0.3">
      <c r="A7005" t="s">
        <v>897</v>
      </c>
      <c r="B7005" t="s">
        <v>37</v>
      </c>
      <c r="C7005" t="s">
        <v>24</v>
      </c>
      <c r="D7005" t="s">
        <v>15</v>
      </c>
      <c r="E7005" s="68">
        <v>320</v>
      </c>
      <c r="F7005" s="68">
        <v>185</v>
      </c>
      <c r="G7005" s="68">
        <v>505</v>
      </c>
    </row>
    <row r="7006" spans="1:7" x14ac:dyDescent="0.3">
      <c r="A7006" t="s">
        <v>897</v>
      </c>
      <c r="B7006" t="s">
        <v>37</v>
      </c>
      <c r="C7006" t="s">
        <v>24</v>
      </c>
      <c r="D7006" t="s">
        <v>16</v>
      </c>
      <c r="E7006" s="68">
        <v>335</v>
      </c>
      <c r="F7006" s="68">
        <v>203</v>
      </c>
      <c r="G7006" s="68">
        <v>538</v>
      </c>
    </row>
    <row r="7007" spans="1:7" x14ac:dyDescent="0.3">
      <c r="A7007" t="s">
        <v>897</v>
      </c>
      <c r="B7007" t="s">
        <v>37</v>
      </c>
      <c r="C7007" t="s">
        <v>24</v>
      </c>
      <c r="D7007" t="s">
        <v>17</v>
      </c>
      <c r="E7007" s="68">
        <v>328</v>
      </c>
      <c r="F7007" s="68">
        <v>193</v>
      </c>
      <c r="G7007" s="68">
        <v>521</v>
      </c>
    </row>
    <row r="7008" spans="1:7" x14ac:dyDescent="0.3">
      <c r="A7008" t="s">
        <v>897</v>
      </c>
      <c r="B7008" t="s">
        <v>37</v>
      </c>
      <c r="C7008" t="s">
        <v>24</v>
      </c>
      <c r="D7008" t="s">
        <v>18</v>
      </c>
      <c r="E7008" s="68">
        <v>306</v>
      </c>
      <c r="F7008" s="68">
        <v>233</v>
      </c>
      <c r="G7008" s="68">
        <v>539</v>
      </c>
    </row>
    <row r="7009" spans="1:7" x14ac:dyDescent="0.3">
      <c r="A7009" t="s">
        <v>897</v>
      </c>
      <c r="B7009" t="s">
        <v>37</v>
      </c>
      <c r="C7009" t="s">
        <v>24</v>
      </c>
      <c r="D7009" t="s">
        <v>19</v>
      </c>
      <c r="E7009" s="68">
        <v>289</v>
      </c>
      <c r="F7009" s="68">
        <v>208</v>
      </c>
      <c r="G7009" s="68">
        <v>497</v>
      </c>
    </row>
    <row r="7010" spans="1:7" x14ac:dyDescent="0.3">
      <c r="A7010" t="s">
        <v>897</v>
      </c>
      <c r="B7010" t="s">
        <v>37</v>
      </c>
      <c r="C7010" t="s">
        <v>24</v>
      </c>
      <c r="D7010" t="s">
        <v>20</v>
      </c>
      <c r="E7010" s="68">
        <v>189</v>
      </c>
      <c r="F7010" s="68">
        <v>190</v>
      </c>
      <c r="G7010" s="68">
        <v>379</v>
      </c>
    </row>
    <row r="7011" spans="1:7" x14ac:dyDescent="0.3">
      <c r="A7011" t="s">
        <v>897</v>
      </c>
      <c r="B7011" t="s">
        <v>37</v>
      </c>
      <c r="C7011" t="s">
        <v>24</v>
      </c>
      <c r="D7011" t="s">
        <v>21</v>
      </c>
      <c r="E7011" s="68">
        <v>155</v>
      </c>
      <c r="F7011" s="68">
        <v>158</v>
      </c>
      <c r="G7011" s="68">
        <v>313</v>
      </c>
    </row>
    <row r="7012" spans="1:7" x14ac:dyDescent="0.3">
      <c r="A7012" t="s">
        <v>897</v>
      </c>
      <c r="B7012" t="s">
        <v>37</v>
      </c>
      <c r="C7012" t="s">
        <v>24</v>
      </c>
      <c r="D7012" t="s">
        <v>22</v>
      </c>
      <c r="E7012" s="68">
        <v>84</v>
      </c>
      <c r="F7012" s="68">
        <v>108</v>
      </c>
      <c r="G7012" s="68">
        <v>192</v>
      </c>
    </row>
    <row r="7013" spans="1:7" x14ac:dyDescent="0.3">
      <c r="A7013" t="s">
        <v>897</v>
      </c>
      <c r="B7013" t="s">
        <v>37</v>
      </c>
      <c r="C7013" t="s">
        <v>24</v>
      </c>
      <c r="D7013" t="s">
        <v>23</v>
      </c>
      <c r="E7013" s="68">
        <v>129</v>
      </c>
      <c r="F7013" s="68">
        <v>109</v>
      </c>
      <c r="G7013" s="68">
        <v>238</v>
      </c>
    </row>
    <row r="7014" spans="1:7" x14ac:dyDescent="0.3">
      <c r="A7014" t="s">
        <v>897</v>
      </c>
      <c r="B7014" t="s">
        <v>35</v>
      </c>
      <c r="C7014" t="s">
        <v>6</v>
      </c>
      <c r="D7014" t="s">
        <v>9</v>
      </c>
      <c r="E7014" s="68"/>
      <c r="F7014" s="68">
        <v>1</v>
      </c>
      <c r="G7014" s="68">
        <v>1</v>
      </c>
    </row>
    <row r="7015" spans="1:7" x14ac:dyDescent="0.3">
      <c r="A7015" t="s">
        <v>897</v>
      </c>
      <c r="B7015" t="s">
        <v>35</v>
      </c>
      <c r="C7015" t="s">
        <v>6</v>
      </c>
      <c r="D7015" t="s">
        <v>10</v>
      </c>
      <c r="E7015" s="68">
        <v>1</v>
      </c>
      <c r="F7015" s="68"/>
      <c r="G7015" s="68">
        <v>1</v>
      </c>
    </row>
    <row r="7016" spans="1:7" x14ac:dyDescent="0.3">
      <c r="A7016" t="s">
        <v>897</v>
      </c>
      <c r="B7016" t="s">
        <v>35</v>
      </c>
      <c r="C7016" t="s">
        <v>6</v>
      </c>
      <c r="D7016" t="s">
        <v>11</v>
      </c>
      <c r="E7016" s="68">
        <v>3</v>
      </c>
      <c r="F7016" s="68">
        <v>3</v>
      </c>
      <c r="G7016" s="68">
        <v>6</v>
      </c>
    </row>
    <row r="7017" spans="1:7" x14ac:dyDescent="0.3">
      <c r="A7017" t="s">
        <v>897</v>
      </c>
      <c r="B7017" t="s">
        <v>35</v>
      </c>
      <c r="C7017" t="s">
        <v>6</v>
      </c>
      <c r="D7017" t="s">
        <v>12</v>
      </c>
      <c r="E7017" s="68">
        <v>1</v>
      </c>
      <c r="F7017" s="68"/>
      <c r="G7017" s="68">
        <v>1</v>
      </c>
    </row>
    <row r="7018" spans="1:7" x14ac:dyDescent="0.3">
      <c r="A7018" t="s">
        <v>897</v>
      </c>
      <c r="B7018" t="s">
        <v>35</v>
      </c>
      <c r="C7018" t="s">
        <v>6</v>
      </c>
      <c r="D7018" t="s">
        <v>14</v>
      </c>
      <c r="E7018" s="68">
        <v>1</v>
      </c>
      <c r="F7018" s="68"/>
      <c r="G7018" s="68">
        <v>1</v>
      </c>
    </row>
    <row r="7019" spans="1:7" x14ac:dyDescent="0.3">
      <c r="A7019" t="s">
        <v>897</v>
      </c>
      <c r="B7019" t="s">
        <v>35</v>
      </c>
      <c r="C7019" t="s">
        <v>6</v>
      </c>
      <c r="D7019" t="s">
        <v>15</v>
      </c>
      <c r="E7019" s="68">
        <v>1</v>
      </c>
      <c r="F7019" s="68"/>
      <c r="G7019" s="68">
        <v>1</v>
      </c>
    </row>
    <row r="7020" spans="1:7" x14ac:dyDescent="0.3">
      <c r="A7020" t="s">
        <v>897</v>
      </c>
      <c r="B7020" t="s">
        <v>35</v>
      </c>
      <c r="C7020" t="s">
        <v>6</v>
      </c>
      <c r="D7020" t="s">
        <v>16</v>
      </c>
      <c r="E7020" s="68">
        <v>4</v>
      </c>
      <c r="F7020" s="68">
        <v>2</v>
      </c>
      <c r="G7020" s="68">
        <v>6</v>
      </c>
    </row>
    <row r="7021" spans="1:7" x14ac:dyDescent="0.3">
      <c r="A7021" t="s">
        <v>897</v>
      </c>
      <c r="B7021" t="s">
        <v>35</v>
      </c>
      <c r="C7021" t="s">
        <v>6</v>
      </c>
      <c r="D7021" t="s">
        <v>17</v>
      </c>
      <c r="E7021" s="68">
        <v>3</v>
      </c>
      <c r="F7021" s="68"/>
      <c r="G7021" s="68">
        <v>3</v>
      </c>
    </row>
    <row r="7022" spans="1:7" x14ac:dyDescent="0.3">
      <c r="A7022" t="s">
        <v>897</v>
      </c>
      <c r="B7022" t="s">
        <v>35</v>
      </c>
      <c r="C7022" t="s">
        <v>6</v>
      </c>
      <c r="D7022" t="s">
        <v>18</v>
      </c>
      <c r="E7022" s="68">
        <v>8</v>
      </c>
      <c r="F7022" s="68"/>
      <c r="G7022" s="68">
        <v>8</v>
      </c>
    </row>
    <row r="7023" spans="1:7" x14ac:dyDescent="0.3">
      <c r="A7023" t="s">
        <v>897</v>
      </c>
      <c r="B7023" t="s">
        <v>35</v>
      </c>
      <c r="C7023" t="s">
        <v>6</v>
      </c>
      <c r="D7023" t="s">
        <v>19</v>
      </c>
      <c r="E7023" s="68">
        <v>7</v>
      </c>
      <c r="F7023" s="68">
        <v>1</v>
      </c>
      <c r="G7023" s="68">
        <v>8</v>
      </c>
    </row>
    <row r="7024" spans="1:7" x14ac:dyDescent="0.3">
      <c r="A7024" t="s">
        <v>897</v>
      </c>
      <c r="B7024" t="s">
        <v>35</v>
      </c>
      <c r="C7024" t="s">
        <v>6</v>
      </c>
      <c r="D7024" t="s">
        <v>20</v>
      </c>
      <c r="E7024" s="68">
        <v>21</v>
      </c>
      <c r="F7024" s="68">
        <v>4</v>
      </c>
      <c r="G7024" s="68">
        <v>25</v>
      </c>
    </row>
    <row r="7025" spans="1:7" x14ac:dyDescent="0.3">
      <c r="A7025" t="s">
        <v>897</v>
      </c>
      <c r="B7025" t="s">
        <v>35</v>
      </c>
      <c r="C7025" t="s">
        <v>6</v>
      </c>
      <c r="D7025" t="s">
        <v>21</v>
      </c>
      <c r="E7025" s="68">
        <v>23</v>
      </c>
      <c r="F7025" s="68">
        <v>9</v>
      </c>
      <c r="G7025" s="68">
        <v>32</v>
      </c>
    </row>
    <row r="7026" spans="1:7" x14ac:dyDescent="0.3">
      <c r="A7026" t="s">
        <v>897</v>
      </c>
      <c r="B7026" t="s">
        <v>35</v>
      </c>
      <c r="C7026" t="s">
        <v>6</v>
      </c>
      <c r="D7026" t="s">
        <v>22</v>
      </c>
      <c r="E7026" s="68">
        <v>15</v>
      </c>
      <c r="F7026" s="68">
        <v>15</v>
      </c>
      <c r="G7026" s="68">
        <v>30</v>
      </c>
    </row>
    <row r="7027" spans="1:7" x14ac:dyDescent="0.3">
      <c r="A7027" t="s">
        <v>897</v>
      </c>
      <c r="B7027" t="s">
        <v>35</v>
      </c>
      <c r="C7027" t="s">
        <v>6</v>
      </c>
      <c r="D7027" t="s">
        <v>23</v>
      </c>
      <c r="E7027" s="68">
        <v>34</v>
      </c>
      <c r="F7027" s="68">
        <v>13</v>
      </c>
      <c r="G7027" s="68">
        <v>47</v>
      </c>
    </row>
    <row r="7028" spans="1:7" x14ac:dyDescent="0.3">
      <c r="A7028" t="s">
        <v>897</v>
      </c>
      <c r="B7028" t="s">
        <v>26</v>
      </c>
      <c r="C7028" t="s">
        <v>6</v>
      </c>
      <c r="D7028" t="s">
        <v>7</v>
      </c>
      <c r="E7028" s="68">
        <v>1359</v>
      </c>
      <c r="F7028" s="68">
        <v>1421</v>
      </c>
      <c r="G7028" s="68">
        <v>2780</v>
      </c>
    </row>
    <row r="7029" spans="1:7" x14ac:dyDescent="0.3">
      <c r="A7029" t="s">
        <v>897</v>
      </c>
      <c r="B7029" t="s">
        <v>26</v>
      </c>
      <c r="C7029" t="s">
        <v>6</v>
      </c>
      <c r="D7029" t="s">
        <v>8</v>
      </c>
      <c r="E7029" s="68">
        <v>1882</v>
      </c>
      <c r="F7029" s="68">
        <v>1891</v>
      </c>
      <c r="G7029" s="68">
        <v>3773</v>
      </c>
    </row>
    <row r="7030" spans="1:7" x14ac:dyDescent="0.3">
      <c r="A7030" t="s">
        <v>897</v>
      </c>
      <c r="B7030" t="s">
        <v>26</v>
      </c>
      <c r="C7030" t="s">
        <v>6</v>
      </c>
      <c r="D7030" t="s">
        <v>9</v>
      </c>
      <c r="E7030" s="68">
        <v>2125</v>
      </c>
      <c r="F7030" s="68">
        <v>2149</v>
      </c>
      <c r="G7030" s="68">
        <v>4274</v>
      </c>
    </row>
    <row r="7031" spans="1:7" x14ac:dyDescent="0.3">
      <c r="A7031" t="s">
        <v>897</v>
      </c>
      <c r="B7031" t="s">
        <v>26</v>
      </c>
      <c r="C7031" t="s">
        <v>6</v>
      </c>
      <c r="D7031" t="s">
        <v>10</v>
      </c>
      <c r="E7031" s="68">
        <v>2627</v>
      </c>
      <c r="F7031" s="68">
        <v>2675</v>
      </c>
      <c r="G7031" s="68">
        <v>5302</v>
      </c>
    </row>
    <row r="7032" spans="1:7" x14ac:dyDescent="0.3">
      <c r="A7032" t="s">
        <v>897</v>
      </c>
      <c r="B7032" t="s">
        <v>26</v>
      </c>
      <c r="C7032" t="s">
        <v>6</v>
      </c>
      <c r="D7032" t="s">
        <v>11</v>
      </c>
      <c r="E7032" s="68">
        <v>3765</v>
      </c>
      <c r="F7032" s="68">
        <v>4221</v>
      </c>
      <c r="G7032" s="68">
        <v>7986</v>
      </c>
    </row>
    <row r="7033" spans="1:7" x14ac:dyDescent="0.3">
      <c r="A7033" t="s">
        <v>897</v>
      </c>
      <c r="B7033" t="s">
        <v>26</v>
      </c>
      <c r="C7033" t="s">
        <v>6</v>
      </c>
      <c r="D7033" t="s">
        <v>12</v>
      </c>
      <c r="E7033" s="68">
        <v>3889</v>
      </c>
      <c r="F7033" s="68">
        <v>4490</v>
      </c>
      <c r="G7033" s="68">
        <v>8379</v>
      </c>
    </row>
    <row r="7034" spans="1:7" x14ac:dyDescent="0.3">
      <c r="A7034" t="s">
        <v>897</v>
      </c>
      <c r="B7034" t="s">
        <v>26</v>
      </c>
      <c r="C7034" t="s">
        <v>6</v>
      </c>
      <c r="D7034" t="s">
        <v>13</v>
      </c>
      <c r="E7034" s="68">
        <v>3901</v>
      </c>
      <c r="F7034" s="68">
        <v>4291</v>
      </c>
      <c r="G7034" s="68">
        <v>8192</v>
      </c>
    </row>
    <row r="7035" spans="1:7" x14ac:dyDescent="0.3">
      <c r="A7035" t="s">
        <v>897</v>
      </c>
      <c r="B7035" t="s">
        <v>26</v>
      </c>
      <c r="C7035" t="s">
        <v>6</v>
      </c>
      <c r="D7035" t="s">
        <v>14</v>
      </c>
      <c r="E7035" s="68">
        <v>3386</v>
      </c>
      <c r="F7035" s="68">
        <v>3742</v>
      </c>
      <c r="G7035" s="68">
        <v>7128</v>
      </c>
    </row>
    <row r="7036" spans="1:7" x14ac:dyDescent="0.3">
      <c r="A7036" t="s">
        <v>897</v>
      </c>
      <c r="B7036" t="s">
        <v>26</v>
      </c>
      <c r="C7036" t="s">
        <v>6</v>
      </c>
      <c r="D7036" t="s">
        <v>15</v>
      </c>
      <c r="E7036" s="68">
        <v>3264</v>
      </c>
      <c r="F7036" s="68">
        <v>3190</v>
      </c>
      <c r="G7036" s="68">
        <v>6454</v>
      </c>
    </row>
    <row r="7037" spans="1:7" x14ac:dyDescent="0.3">
      <c r="A7037" t="s">
        <v>897</v>
      </c>
      <c r="B7037" t="s">
        <v>26</v>
      </c>
      <c r="C7037" t="s">
        <v>6</v>
      </c>
      <c r="D7037" t="s">
        <v>16</v>
      </c>
      <c r="E7037" s="68">
        <v>3149</v>
      </c>
      <c r="F7037" s="68">
        <v>3135</v>
      </c>
      <c r="G7037" s="68">
        <v>6284</v>
      </c>
    </row>
    <row r="7038" spans="1:7" x14ac:dyDescent="0.3">
      <c r="A7038" t="s">
        <v>897</v>
      </c>
      <c r="B7038" t="s">
        <v>26</v>
      </c>
      <c r="C7038" t="s">
        <v>6</v>
      </c>
      <c r="D7038" t="s">
        <v>17</v>
      </c>
      <c r="E7038" s="68">
        <v>3017</v>
      </c>
      <c r="F7038" s="68">
        <v>2990</v>
      </c>
      <c r="G7038" s="68">
        <v>6007</v>
      </c>
    </row>
    <row r="7039" spans="1:7" x14ac:dyDescent="0.3">
      <c r="A7039" t="s">
        <v>897</v>
      </c>
      <c r="B7039" t="s">
        <v>26</v>
      </c>
      <c r="C7039" t="s">
        <v>6</v>
      </c>
      <c r="D7039" t="s">
        <v>18</v>
      </c>
      <c r="E7039" s="68">
        <v>3679</v>
      </c>
      <c r="F7039" s="68">
        <v>3281</v>
      </c>
      <c r="G7039" s="68">
        <v>6960</v>
      </c>
    </row>
    <row r="7040" spans="1:7" x14ac:dyDescent="0.3">
      <c r="A7040" t="s">
        <v>897</v>
      </c>
      <c r="B7040" t="s">
        <v>26</v>
      </c>
      <c r="C7040" t="s">
        <v>6</v>
      </c>
      <c r="D7040" t="s">
        <v>19</v>
      </c>
      <c r="E7040" s="68">
        <v>4284</v>
      </c>
      <c r="F7040" s="68">
        <v>3394</v>
      </c>
      <c r="G7040" s="68">
        <v>7678</v>
      </c>
    </row>
    <row r="7041" spans="1:7" x14ac:dyDescent="0.3">
      <c r="A7041" t="s">
        <v>897</v>
      </c>
      <c r="B7041" t="s">
        <v>26</v>
      </c>
      <c r="C7041" t="s">
        <v>6</v>
      </c>
      <c r="D7041" t="s">
        <v>20</v>
      </c>
      <c r="E7041" s="68">
        <v>4236</v>
      </c>
      <c r="F7041" s="68">
        <v>3167</v>
      </c>
      <c r="G7041" s="68">
        <v>7403</v>
      </c>
    </row>
    <row r="7042" spans="1:7" x14ac:dyDescent="0.3">
      <c r="A7042" t="s">
        <v>897</v>
      </c>
      <c r="B7042" t="s">
        <v>26</v>
      </c>
      <c r="C7042" t="s">
        <v>6</v>
      </c>
      <c r="D7042" t="s">
        <v>21</v>
      </c>
      <c r="E7042" s="68">
        <v>3951</v>
      </c>
      <c r="F7042" s="68">
        <v>2720</v>
      </c>
      <c r="G7042" s="68">
        <v>6671</v>
      </c>
    </row>
    <row r="7043" spans="1:7" x14ac:dyDescent="0.3">
      <c r="A7043" t="s">
        <v>897</v>
      </c>
      <c r="B7043" t="s">
        <v>26</v>
      </c>
      <c r="C7043" t="s">
        <v>6</v>
      </c>
      <c r="D7043" t="s">
        <v>22</v>
      </c>
      <c r="E7043" s="68">
        <v>3140</v>
      </c>
      <c r="F7043" s="68">
        <v>2020</v>
      </c>
      <c r="G7043" s="68">
        <v>5160</v>
      </c>
    </row>
    <row r="7044" spans="1:7" x14ac:dyDescent="0.3">
      <c r="A7044" t="s">
        <v>897</v>
      </c>
      <c r="B7044" t="s">
        <v>26</v>
      </c>
      <c r="C7044" t="s">
        <v>6</v>
      </c>
      <c r="D7044" t="s">
        <v>23</v>
      </c>
      <c r="E7044" s="68">
        <v>4933</v>
      </c>
      <c r="F7044" s="68">
        <v>2793</v>
      </c>
      <c r="G7044" s="68">
        <v>7726</v>
      </c>
    </row>
    <row r="7045" spans="1:7" x14ac:dyDescent="0.3">
      <c r="A7045" t="s">
        <v>897</v>
      </c>
      <c r="B7045" t="s">
        <v>26</v>
      </c>
      <c r="C7045" t="s">
        <v>24</v>
      </c>
      <c r="D7045" t="s">
        <v>7</v>
      </c>
      <c r="E7045" s="68">
        <v>2374</v>
      </c>
      <c r="F7045" s="68">
        <v>2506</v>
      </c>
      <c r="G7045" s="68">
        <v>4880</v>
      </c>
    </row>
    <row r="7046" spans="1:7" x14ac:dyDescent="0.3">
      <c r="A7046" t="s">
        <v>897</v>
      </c>
      <c r="B7046" t="s">
        <v>26</v>
      </c>
      <c r="C7046" t="s">
        <v>24</v>
      </c>
      <c r="D7046" t="s">
        <v>8</v>
      </c>
      <c r="E7046" s="68">
        <v>2801</v>
      </c>
      <c r="F7046" s="68">
        <v>2959</v>
      </c>
      <c r="G7046" s="68">
        <v>5760</v>
      </c>
    </row>
    <row r="7047" spans="1:7" x14ac:dyDescent="0.3">
      <c r="A7047" t="s">
        <v>897</v>
      </c>
      <c r="B7047" t="s">
        <v>26</v>
      </c>
      <c r="C7047" t="s">
        <v>24</v>
      </c>
      <c r="D7047" t="s">
        <v>9</v>
      </c>
      <c r="E7047" s="68">
        <v>2873</v>
      </c>
      <c r="F7047" s="68">
        <v>2954</v>
      </c>
      <c r="G7047" s="68">
        <v>5827</v>
      </c>
    </row>
    <row r="7048" spans="1:7" x14ac:dyDescent="0.3">
      <c r="A7048" t="s">
        <v>897</v>
      </c>
      <c r="B7048" t="s">
        <v>26</v>
      </c>
      <c r="C7048" t="s">
        <v>24</v>
      </c>
      <c r="D7048" t="s">
        <v>10</v>
      </c>
      <c r="E7048" s="68">
        <v>3150</v>
      </c>
      <c r="F7048" s="68">
        <v>2946</v>
      </c>
      <c r="G7048" s="68">
        <v>6096</v>
      </c>
    </row>
    <row r="7049" spans="1:7" x14ac:dyDescent="0.3">
      <c r="A7049" t="s">
        <v>897</v>
      </c>
      <c r="B7049" t="s">
        <v>26</v>
      </c>
      <c r="C7049" t="s">
        <v>24</v>
      </c>
      <c r="D7049" t="s">
        <v>11</v>
      </c>
      <c r="E7049" s="68">
        <v>4083</v>
      </c>
      <c r="F7049" s="68">
        <v>3408</v>
      </c>
      <c r="G7049" s="68">
        <v>7491</v>
      </c>
    </row>
    <row r="7050" spans="1:7" x14ac:dyDescent="0.3">
      <c r="A7050" t="s">
        <v>897</v>
      </c>
      <c r="B7050" t="s">
        <v>26</v>
      </c>
      <c r="C7050" t="s">
        <v>24</v>
      </c>
      <c r="D7050" t="s">
        <v>12</v>
      </c>
      <c r="E7050" s="68">
        <v>4595</v>
      </c>
      <c r="F7050" s="68">
        <v>4226</v>
      </c>
      <c r="G7050" s="68">
        <v>8821</v>
      </c>
    </row>
    <row r="7051" spans="1:7" x14ac:dyDescent="0.3">
      <c r="A7051" t="s">
        <v>897</v>
      </c>
      <c r="B7051" t="s">
        <v>26</v>
      </c>
      <c r="C7051" t="s">
        <v>24</v>
      </c>
      <c r="D7051" t="s">
        <v>13</v>
      </c>
      <c r="E7051" s="68">
        <v>4059</v>
      </c>
      <c r="F7051" s="68">
        <v>4097</v>
      </c>
      <c r="G7051" s="68">
        <v>8156</v>
      </c>
    </row>
    <row r="7052" spans="1:7" x14ac:dyDescent="0.3">
      <c r="A7052" t="s">
        <v>897</v>
      </c>
      <c r="B7052" t="s">
        <v>26</v>
      </c>
      <c r="C7052" t="s">
        <v>24</v>
      </c>
      <c r="D7052" t="s">
        <v>14</v>
      </c>
      <c r="E7052" s="68">
        <v>3467</v>
      </c>
      <c r="F7052" s="68">
        <v>3419</v>
      </c>
      <c r="G7052" s="68">
        <v>6886</v>
      </c>
    </row>
    <row r="7053" spans="1:7" x14ac:dyDescent="0.3">
      <c r="A7053" t="s">
        <v>897</v>
      </c>
      <c r="B7053" t="s">
        <v>26</v>
      </c>
      <c r="C7053" t="s">
        <v>24</v>
      </c>
      <c r="D7053" t="s">
        <v>15</v>
      </c>
      <c r="E7053" s="68">
        <v>3211</v>
      </c>
      <c r="F7053" s="68">
        <v>2923</v>
      </c>
      <c r="G7053" s="68">
        <v>6134</v>
      </c>
    </row>
    <row r="7054" spans="1:7" x14ac:dyDescent="0.3">
      <c r="A7054" t="s">
        <v>897</v>
      </c>
      <c r="B7054" t="s">
        <v>26</v>
      </c>
      <c r="C7054" t="s">
        <v>24</v>
      </c>
      <c r="D7054" t="s">
        <v>16</v>
      </c>
      <c r="E7054" s="68">
        <v>3286</v>
      </c>
      <c r="F7054" s="68">
        <v>2769</v>
      </c>
      <c r="G7054" s="68">
        <v>6055</v>
      </c>
    </row>
    <row r="7055" spans="1:7" x14ac:dyDescent="0.3">
      <c r="A7055" t="s">
        <v>897</v>
      </c>
      <c r="B7055" t="s">
        <v>26</v>
      </c>
      <c r="C7055" t="s">
        <v>24</v>
      </c>
      <c r="D7055" t="s">
        <v>17</v>
      </c>
      <c r="E7055" s="68">
        <v>3123</v>
      </c>
      <c r="F7055" s="68">
        <v>2655</v>
      </c>
      <c r="G7055" s="68">
        <v>5778</v>
      </c>
    </row>
    <row r="7056" spans="1:7" x14ac:dyDescent="0.3">
      <c r="A7056" t="s">
        <v>897</v>
      </c>
      <c r="B7056" t="s">
        <v>26</v>
      </c>
      <c r="C7056" t="s">
        <v>24</v>
      </c>
      <c r="D7056" t="s">
        <v>18</v>
      </c>
      <c r="E7056" s="68">
        <v>3344</v>
      </c>
      <c r="F7056" s="68">
        <v>2867</v>
      </c>
      <c r="G7056" s="68">
        <v>6211</v>
      </c>
    </row>
    <row r="7057" spans="1:7" x14ac:dyDescent="0.3">
      <c r="A7057" t="s">
        <v>897</v>
      </c>
      <c r="B7057" t="s">
        <v>26</v>
      </c>
      <c r="C7057" t="s">
        <v>24</v>
      </c>
      <c r="D7057" t="s">
        <v>19</v>
      </c>
      <c r="E7057" s="68">
        <v>3025</v>
      </c>
      <c r="F7057" s="68">
        <v>2761</v>
      </c>
      <c r="G7057" s="68">
        <v>5786</v>
      </c>
    </row>
    <row r="7058" spans="1:7" x14ac:dyDescent="0.3">
      <c r="A7058" t="s">
        <v>897</v>
      </c>
      <c r="B7058" t="s">
        <v>26</v>
      </c>
      <c r="C7058" t="s">
        <v>24</v>
      </c>
      <c r="D7058" t="s">
        <v>20</v>
      </c>
      <c r="E7058" s="68">
        <v>2572</v>
      </c>
      <c r="F7058" s="68">
        <v>2352</v>
      </c>
      <c r="G7058" s="68">
        <v>4924</v>
      </c>
    </row>
    <row r="7059" spans="1:7" x14ac:dyDescent="0.3">
      <c r="A7059" t="s">
        <v>897</v>
      </c>
      <c r="B7059" t="s">
        <v>26</v>
      </c>
      <c r="C7059" t="s">
        <v>24</v>
      </c>
      <c r="D7059" t="s">
        <v>21</v>
      </c>
      <c r="E7059" s="68">
        <v>1913</v>
      </c>
      <c r="F7059" s="68">
        <v>1850</v>
      </c>
      <c r="G7059" s="68">
        <v>3763</v>
      </c>
    </row>
    <row r="7060" spans="1:7" x14ac:dyDescent="0.3">
      <c r="A7060" t="s">
        <v>897</v>
      </c>
      <c r="B7060" t="s">
        <v>26</v>
      </c>
      <c r="C7060" t="s">
        <v>24</v>
      </c>
      <c r="D7060" t="s">
        <v>22</v>
      </c>
      <c r="E7060" s="68">
        <v>1440</v>
      </c>
      <c r="F7060" s="68">
        <v>1209</v>
      </c>
      <c r="G7060" s="68">
        <v>2649</v>
      </c>
    </row>
    <row r="7061" spans="1:7" x14ac:dyDescent="0.3">
      <c r="A7061" t="s">
        <v>897</v>
      </c>
      <c r="B7061" t="s">
        <v>26</v>
      </c>
      <c r="C7061" t="s">
        <v>24</v>
      </c>
      <c r="D7061" t="s">
        <v>23</v>
      </c>
      <c r="E7061" s="68">
        <v>1790</v>
      </c>
      <c r="F7061" s="68">
        <v>1421</v>
      </c>
      <c r="G7061" s="68">
        <v>3211</v>
      </c>
    </row>
    <row r="7062" spans="1:7" x14ac:dyDescent="0.3">
      <c r="A7062" t="s">
        <v>897</v>
      </c>
      <c r="B7062" t="s">
        <v>1077</v>
      </c>
      <c r="C7062" t="s">
        <v>6</v>
      </c>
      <c r="D7062" t="s">
        <v>7</v>
      </c>
      <c r="E7062" s="68">
        <v>60</v>
      </c>
      <c r="F7062" s="68">
        <v>62</v>
      </c>
      <c r="G7062" s="68">
        <v>122</v>
      </c>
    </row>
    <row r="7063" spans="1:7" x14ac:dyDescent="0.3">
      <c r="A7063" t="s">
        <v>897</v>
      </c>
      <c r="B7063" t="s">
        <v>1077</v>
      </c>
      <c r="C7063" t="s">
        <v>6</v>
      </c>
      <c r="D7063" t="s">
        <v>8</v>
      </c>
      <c r="E7063" s="68">
        <v>93</v>
      </c>
      <c r="F7063" s="68">
        <v>90</v>
      </c>
      <c r="G7063" s="68">
        <v>183</v>
      </c>
    </row>
    <row r="7064" spans="1:7" x14ac:dyDescent="0.3">
      <c r="A7064" t="s">
        <v>897</v>
      </c>
      <c r="B7064" t="s">
        <v>1077</v>
      </c>
      <c r="C7064" t="s">
        <v>6</v>
      </c>
      <c r="D7064" t="s">
        <v>9</v>
      </c>
      <c r="E7064" s="68">
        <v>68</v>
      </c>
      <c r="F7064" s="68">
        <v>68</v>
      </c>
      <c r="G7064" s="68">
        <v>136</v>
      </c>
    </row>
    <row r="7065" spans="1:7" x14ac:dyDescent="0.3">
      <c r="A7065" t="s">
        <v>897</v>
      </c>
      <c r="B7065" t="s">
        <v>1077</v>
      </c>
      <c r="C7065" t="s">
        <v>6</v>
      </c>
      <c r="D7065" t="s">
        <v>10</v>
      </c>
      <c r="E7065" s="68">
        <v>80</v>
      </c>
      <c r="F7065" s="68">
        <v>79</v>
      </c>
      <c r="G7065" s="68">
        <v>159</v>
      </c>
    </row>
    <row r="7066" spans="1:7" x14ac:dyDescent="0.3">
      <c r="A7066" t="s">
        <v>897</v>
      </c>
      <c r="B7066" t="s">
        <v>1077</v>
      </c>
      <c r="C7066" t="s">
        <v>6</v>
      </c>
      <c r="D7066" t="s">
        <v>11</v>
      </c>
      <c r="E7066" s="68">
        <v>117</v>
      </c>
      <c r="F7066" s="68">
        <v>136</v>
      </c>
      <c r="G7066" s="68">
        <v>253</v>
      </c>
    </row>
    <row r="7067" spans="1:7" x14ac:dyDescent="0.3">
      <c r="A7067" t="s">
        <v>897</v>
      </c>
      <c r="B7067" t="s">
        <v>1077</v>
      </c>
      <c r="C7067" t="s">
        <v>6</v>
      </c>
      <c r="D7067" t="s">
        <v>12</v>
      </c>
      <c r="E7067" s="68">
        <v>121</v>
      </c>
      <c r="F7067" s="68">
        <v>172</v>
      </c>
      <c r="G7067" s="68">
        <v>293</v>
      </c>
    </row>
    <row r="7068" spans="1:7" x14ac:dyDescent="0.3">
      <c r="A7068" t="s">
        <v>897</v>
      </c>
      <c r="B7068" t="s">
        <v>1077</v>
      </c>
      <c r="C7068" t="s">
        <v>6</v>
      </c>
      <c r="D7068" t="s">
        <v>13</v>
      </c>
      <c r="E7068" s="68">
        <v>79</v>
      </c>
      <c r="F7068" s="68">
        <v>112</v>
      </c>
      <c r="G7068" s="68">
        <v>191</v>
      </c>
    </row>
    <row r="7069" spans="1:7" x14ac:dyDescent="0.3">
      <c r="A7069" t="s">
        <v>897</v>
      </c>
      <c r="B7069" t="s">
        <v>1077</v>
      </c>
      <c r="C7069" t="s">
        <v>6</v>
      </c>
      <c r="D7069" t="s">
        <v>14</v>
      </c>
      <c r="E7069" s="68">
        <v>76</v>
      </c>
      <c r="F7069" s="68">
        <v>93</v>
      </c>
      <c r="G7069" s="68">
        <v>169</v>
      </c>
    </row>
    <row r="7070" spans="1:7" x14ac:dyDescent="0.3">
      <c r="A7070" t="s">
        <v>897</v>
      </c>
      <c r="B7070" t="s">
        <v>1077</v>
      </c>
      <c r="C7070" t="s">
        <v>6</v>
      </c>
      <c r="D7070" t="s">
        <v>15</v>
      </c>
      <c r="E7070" s="68">
        <v>38</v>
      </c>
      <c r="F7070" s="68">
        <v>61</v>
      </c>
      <c r="G7070" s="68">
        <v>99</v>
      </c>
    </row>
    <row r="7071" spans="1:7" x14ac:dyDescent="0.3">
      <c r="A7071" t="s">
        <v>897</v>
      </c>
      <c r="B7071" t="s">
        <v>1077</v>
      </c>
      <c r="C7071" t="s">
        <v>6</v>
      </c>
      <c r="D7071" t="s">
        <v>16</v>
      </c>
      <c r="E7071" s="68">
        <v>31</v>
      </c>
      <c r="F7071" s="68">
        <v>59</v>
      </c>
      <c r="G7071" s="68">
        <v>90</v>
      </c>
    </row>
    <row r="7072" spans="1:7" x14ac:dyDescent="0.3">
      <c r="A7072" t="s">
        <v>897</v>
      </c>
      <c r="B7072" t="s">
        <v>1077</v>
      </c>
      <c r="C7072" t="s">
        <v>6</v>
      </c>
      <c r="D7072" t="s">
        <v>17</v>
      </c>
      <c r="E7072" s="68">
        <v>19</v>
      </c>
      <c r="F7072" s="68">
        <v>38</v>
      </c>
      <c r="G7072" s="68">
        <v>57</v>
      </c>
    </row>
    <row r="7073" spans="1:7" x14ac:dyDescent="0.3">
      <c r="A7073" t="s">
        <v>897</v>
      </c>
      <c r="B7073" t="s">
        <v>1077</v>
      </c>
      <c r="C7073" t="s">
        <v>6</v>
      </c>
      <c r="D7073" t="s">
        <v>18</v>
      </c>
      <c r="E7073" s="68">
        <v>10</v>
      </c>
      <c r="F7073" s="68">
        <v>23</v>
      </c>
      <c r="G7073" s="68">
        <v>33</v>
      </c>
    </row>
    <row r="7074" spans="1:7" x14ac:dyDescent="0.3">
      <c r="A7074" t="s">
        <v>897</v>
      </c>
      <c r="B7074" t="s">
        <v>1077</v>
      </c>
      <c r="C7074" t="s">
        <v>6</v>
      </c>
      <c r="D7074" t="s">
        <v>19</v>
      </c>
      <c r="E7074" s="68">
        <v>9</v>
      </c>
      <c r="F7074" s="68">
        <v>16</v>
      </c>
      <c r="G7074" s="68">
        <v>25</v>
      </c>
    </row>
    <row r="7075" spans="1:7" x14ac:dyDescent="0.3">
      <c r="A7075" t="s">
        <v>897</v>
      </c>
      <c r="B7075" t="s">
        <v>1077</v>
      </c>
      <c r="C7075" t="s">
        <v>6</v>
      </c>
      <c r="D7075" t="s">
        <v>20</v>
      </c>
      <c r="E7075" s="68">
        <v>9</v>
      </c>
      <c r="F7075" s="68">
        <v>13</v>
      </c>
      <c r="G7075" s="68">
        <v>22</v>
      </c>
    </row>
    <row r="7076" spans="1:7" x14ac:dyDescent="0.3">
      <c r="A7076" t="s">
        <v>897</v>
      </c>
      <c r="B7076" t="s">
        <v>1077</v>
      </c>
      <c r="C7076" t="s">
        <v>6</v>
      </c>
      <c r="D7076" t="s">
        <v>21</v>
      </c>
      <c r="E7076" s="68">
        <v>1</v>
      </c>
      <c r="F7076" s="68">
        <v>7</v>
      </c>
      <c r="G7076" s="68">
        <v>8</v>
      </c>
    </row>
    <row r="7077" spans="1:7" x14ac:dyDescent="0.3">
      <c r="A7077" t="s">
        <v>897</v>
      </c>
      <c r="B7077" t="s">
        <v>1077</v>
      </c>
      <c r="C7077" t="s">
        <v>6</v>
      </c>
      <c r="D7077" t="s">
        <v>22</v>
      </c>
      <c r="E7077" s="68">
        <v>1</v>
      </c>
      <c r="F7077" s="68">
        <v>3</v>
      </c>
      <c r="G7077" s="68">
        <v>4</v>
      </c>
    </row>
    <row r="7078" spans="1:7" x14ac:dyDescent="0.3">
      <c r="A7078" t="s">
        <v>897</v>
      </c>
      <c r="B7078" t="s">
        <v>1077</v>
      </c>
      <c r="C7078" t="s">
        <v>6</v>
      </c>
      <c r="D7078" t="s">
        <v>23</v>
      </c>
      <c r="E7078" s="68">
        <v>2</v>
      </c>
      <c r="F7078" s="68">
        <v>1</v>
      </c>
      <c r="G7078" s="68">
        <v>3</v>
      </c>
    </row>
    <row r="7079" spans="1:7" x14ac:dyDescent="0.3">
      <c r="A7079" t="s">
        <v>897</v>
      </c>
      <c r="B7079" t="s">
        <v>1077</v>
      </c>
      <c r="C7079" t="s">
        <v>24</v>
      </c>
      <c r="D7079" t="s">
        <v>7</v>
      </c>
      <c r="E7079" s="68">
        <v>2162</v>
      </c>
      <c r="F7079" s="68">
        <v>2201</v>
      </c>
      <c r="G7079" s="68">
        <v>4363</v>
      </c>
    </row>
    <row r="7080" spans="1:7" x14ac:dyDescent="0.3">
      <c r="A7080" t="s">
        <v>897</v>
      </c>
      <c r="B7080" t="s">
        <v>1077</v>
      </c>
      <c r="C7080" t="s">
        <v>24</v>
      </c>
      <c r="D7080" t="s">
        <v>8</v>
      </c>
      <c r="E7080" s="68">
        <v>2099</v>
      </c>
      <c r="F7080" s="68">
        <v>2104</v>
      </c>
      <c r="G7080" s="68">
        <v>4203</v>
      </c>
    </row>
    <row r="7081" spans="1:7" x14ac:dyDescent="0.3">
      <c r="A7081" t="s">
        <v>897</v>
      </c>
      <c r="B7081" t="s">
        <v>1077</v>
      </c>
      <c r="C7081" t="s">
        <v>24</v>
      </c>
      <c r="D7081" t="s">
        <v>9</v>
      </c>
      <c r="E7081" s="68">
        <v>1778</v>
      </c>
      <c r="F7081" s="68">
        <v>1915</v>
      </c>
      <c r="G7081" s="68">
        <v>3693</v>
      </c>
    </row>
    <row r="7082" spans="1:7" x14ac:dyDescent="0.3">
      <c r="A7082" t="s">
        <v>897</v>
      </c>
      <c r="B7082" t="s">
        <v>1077</v>
      </c>
      <c r="C7082" t="s">
        <v>24</v>
      </c>
      <c r="D7082" t="s">
        <v>10</v>
      </c>
      <c r="E7082" s="68">
        <v>1492</v>
      </c>
      <c r="F7082" s="68">
        <v>1510</v>
      </c>
      <c r="G7082" s="68">
        <v>3002</v>
      </c>
    </row>
    <row r="7083" spans="1:7" x14ac:dyDescent="0.3">
      <c r="A7083" t="s">
        <v>897</v>
      </c>
      <c r="B7083" t="s">
        <v>1077</v>
      </c>
      <c r="C7083" t="s">
        <v>24</v>
      </c>
      <c r="D7083" t="s">
        <v>11</v>
      </c>
      <c r="E7083" s="68">
        <v>1280</v>
      </c>
      <c r="F7083" s="68">
        <v>1054</v>
      </c>
      <c r="G7083" s="68">
        <v>2334</v>
      </c>
    </row>
    <row r="7084" spans="1:7" x14ac:dyDescent="0.3">
      <c r="A7084" t="s">
        <v>897</v>
      </c>
      <c r="B7084" t="s">
        <v>1077</v>
      </c>
      <c r="C7084" t="s">
        <v>24</v>
      </c>
      <c r="D7084" t="s">
        <v>12</v>
      </c>
      <c r="E7084" s="68">
        <v>1126</v>
      </c>
      <c r="F7084" s="68">
        <v>835</v>
      </c>
      <c r="G7084" s="68">
        <v>1961</v>
      </c>
    </row>
    <row r="7085" spans="1:7" x14ac:dyDescent="0.3">
      <c r="A7085" t="s">
        <v>897</v>
      </c>
      <c r="B7085" t="s">
        <v>1077</v>
      </c>
      <c r="C7085" t="s">
        <v>24</v>
      </c>
      <c r="D7085" t="s">
        <v>13</v>
      </c>
      <c r="E7085" s="68">
        <v>908</v>
      </c>
      <c r="F7085" s="68">
        <v>769</v>
      </c>
      <c r="G7085" s="68">
        <v>1677</v>
      </c>
    </row>
    <row r="7086" spans="1:7" x14ac:dyDescent="0.3">
      <c r="A7086" t="s">
        <v>897</v>
      </c>
      <c r="B7086" t="s">
        <v>1077</v>
      </c>
      <c r="C7086" t="s">
        <v>24</v>
      </c>
      <c r="D7086" t="s">
        <v>14</v>
      </c>
      <c r="E7086" s="68">
        <v>739</v>
      </c>
      <c r="F7086" s="68">
        <v>606</v>
      </c>
      <c r="G7086" s="68">
        <v>1345</v>
      </c>
    </row>
    <row r="7087" spans="1:7" x14ac:dyDescent="0.3">
      <c r="A7087" t="s">
        <v>897</v>
      </c>
      <c r="B7087" t="s">
        <v>1077</v>
      </c>
      <c r="C7087" t="s">
        <v>24</v>
      </c>
      <c r="D7087" t="s">
        <v>15</v>
      </c>
      <c r="E7087" s="68">
        <v>662</v>
      </c>
      <c r="F7087" s="68">
        <v>563</v>
      </c>
      <c r="G7087" s="68">
        <v>1225</v>
      </c>
    </row>
    <row r="7088" spans="1:7" x14ac:dyDescent="0.3">
      <c r="A7088" t="s">
        <v>897</v>
      </c>
      <c r="B7088" t="s">
        <v>1077</v>
      </c>
      <c r="C7088" t="s">
        <v>24</v>
      </c>
      <c r="D7088" t="s">
        <v>16</v>
      </c>
      <c r="E7088" s="68">
        <v>638</v>
      </c>
      <c r="F7088" s="68">
        <v>546</v>
      </c>
      <c r="G7088" s="68">
        <v>1184</v>
      </c>
    </row>
    <row r="7089" spans="1:7" x14ac:dyDescent="0.3">
      <c r="A7089" t="s">
        <v>897</v>
      </c>
      <c r="B7089" t="s">
        <v>1077</v>
      </c>
      <c r="C7089" t="s">
        <v>24</v>
      </c>
      <c r="D7089" t="s">
        <v>17</v>
      </c>
      <c r="E7089" s="68">
        <v>512</v>
      </c>
      <c r="F7089" s="68">
        <v>457</v>
      </c>
      <c r="G7089" s="68">
        <v>969</v>
      </c>
    </row>
    <row r="7090" spans="1:7" x14ac:dyDescent="0.3">
      <c r="A7090" t="s">
        <v>897</v>
      </c>
      <c r="B7090" t="s">
        <v>1077</v>
      </c>
      <c r="C7090" t="s">
        <v>24</v>
      </c>
      <c r="D7090" t="s">
        <v>18</v>
      </c>
      <c r="E7090" s="68">
        <v>519</v>
      </c>
      <c r="F7090" s="68">
        <v>468</v>
      </c>
      <c r="G7090" s="68">
        <v>987</v>
      </c>
    </row>
    <row r="7091" spans="1:7" x14ac:dyDescent="0.3">
      <c r="A7091" t="s">
        <v>897</v>
      </c>
      <c r="B7091" t="s">
        <v>1077</v>
      </c>
      <c r="C7091" t="s">
        <v>24</v>
      </c>
      <c r="D7091" t="s">
        <v>19</v>
      </c>
      <c r="E7091" s="68">
        <v>428</v>
      </c>
      <c r="F7091" s="68">
        <v>434</v>
      </c>
      <c r="G7091" s="68">
        <v>862</v>
      </c>
    </row>
    <row r="7092" spans="1:7" x14ac:dyDescent="0.3">
      <c r="A7092" t="s">
        <v>897</v>
      </c>
      <c r="B7092" t="s">
        <v>1077</v>
      </c>
      <c r="C7092" t="s">
        <v>24</v>
      </c>
      <c r="D7092" t="s">
        <v>20</v>
      </c>
      <c r="E7092" s="68">
        <v>330</v>
      </c>
      <c r="F7092" s="68">
        <v>356</v>
      </c>
      <c r="G7092" s="68">
        <v>686</v>
      </c>
    </row>
    <row r="7093" spans="1:7" x14ac:dyDescent="0.3">
      <c r="A7093" t="s">
        <v>897</v>
      </c>
      <c r="B7093" t="s">
        <v>1077</v>
      </c>
      <c r="C7093" t="s">
        <v>24</v>
      </c>
      <c r="D7093" t="s">
        <v>21</v>
      </c>
      <c r="E7093" s="68">
        <v>228</v>
      </c>
      <c r="F7093" s="68">
        <v>292</v>
      </c>
      <c r="G7093" s="68">
        <v>520</v>
      </c>
    </row>
    <row r="7094" spans="1:7" x14ac:dyDescent="0.3">
      <c r="A7094" t="s">
        <v>897</v>
      </c>
      <c r="B7094" t="s">
        <v>1077</v>
      </c>
      <c r="C7094" t="s">
        <v>24</v>
      </c>
      <c r="D7094" t="s">
        <v>22</v>
      </c>
      <c r="E7094" s="68">
        <v>164</v>
      </c>
      <c r="F7094" s="68">
        <v>180</v>
      </c>
      <c r="G7094" s="68">
        <v>344</v>
      </c>
    </row>
    <row r="7095" spans="1:7" x14ac:dyDescent="0.3">
      <c r="A7095" t="s">
        <v>897</v>
      </c>
      <c r="B7095" t="s">
        <v>1077</v>
      </c>
      <c r="C7095" t="s">
        <v>24</v>
      </c>
      <c r="D7095" t="s">
        <v>23</v>
      </c>
      <c r="E7095" s="68">
        <v>230</v>
      </c>
      <c r="F7095" s="68">
        <v>189</v>
      </c>
      <c r="G7095" s="68">
        <v>419</v>
      </c>
    </row>
    <row r="7096" spans="1:7" x14ac:dyDescent="0.3">
      <c r="A7096" t="s">
        <v>897</v>
      </c>
      <c r="B7096" t="s">
        <v>27</v>
      </c>
      <c r="C7096" t="s">
        <v>28</v>
      </c>
      <c r="D7096" t="s">
        <v>7</v>
      </c>
      <c r="E7096" s="68">
        <v>199</v>
      </c>
      <c r="F7096" s="68">
        <v>234</v>
      </c>
      <c r="G7096" s="68">
        <v>433</v>
      </c>
    </row>
    <row r="7097" spans="1:7" x14ac:dyDescent="0.3">
      <c r="A7097" t="s">
        <v>897</v>
      </c>
      <c r="B7097" t="s">
        <v>27</v>
      </c>
      <c r="C7097" t="s">
        <v>28</v>
      </c>
      <c r="D7097" t="s">
        <v>8</v>
      </c>
      <c r="E7097" s="68">
        <v>292</v>
      </c>
      <c r="F7097" s="68">
        <v>297</v>
      </c>
      <c r="G7097" s="68">
        <v>589</v>
      </c>
    </row>
    <row r="7098" spans="1:7" x14ac:dyDescent="0.3">
      <c r="A7098" t="s">
        <v>897</v>
      </c>
      <c r="B7098" t="s">
        <v>27</v>
      </c>
      <c r="C7098" t="s">
        <v>28</v>
      </c>
      <c r="D7098" t="s">
        <v>9</v>
      </c>
      <c r="E7098" s="68">
        <v>477</v>
      </c>
      <c r="F7098" s="68">
        <v>453</v>
      </c>
      <c r="G7098" s="68">
        <v>930</v>
      </c>
    </row>
    <row r="7099" spans="1:7" x14ac:dyDescent="0.3">
      <c r="A7099" t="s">
        <v>897</v>
      </c>
      <c r="B7099" t="s">
        <v>27</v>
      </c>
      <c r="C7099" t="s">
        <v>28</v>
      </c>
      <c r="D7099" t="s">
        <v>10</v>
      </c>
      <c r="E7099" s="68">
        <v>533</v>
      </c>
      <c r="F7099" s="68">
        <v>512</v>
      </c>
      <c r="G7099" s="68">
        <v>1045</v>
      </c>
    </row>
    <row r="7100" spans="1:7" x14ac:dyDescent="0.3">
      <c r="A7100" t="s">
        <v>897</v>
      </c>
      <c r="B7100" t="s">
        <v>27</v>
      </c>
      <c r="C7100" t="s">
        <v>28</v>
      </c>
      <c r="D7100" t="s">
        <v>11</v>
      </c>
      <c r="E7100" s="68">
        <v>408</v>
      </c>
      <c r="F7100" s="68">
        <v>417</v>
      </c>
      <c r="G7100" s="68">
        <v>825</v>
      </c>
    </row>
    <row r="7101" spans="1:7" x14ac:dyDescent="0.3">
      <c r="A7101" t="s">
        <v>897</v>
      </c>
      <c r="B7101" t="s">
        <v>27</v>
      </c>
      <c r="C7101" t="s">
        <v>28</v>
      </c>
      <c r="D7101" t="s">
        <v>12</v>
      </c>
      <c r="E7101" s="68">
        <v>253</v>
      </c>
      <c r="F7101" s="68">
        <v>154</v>
      </c>
      <c r="G7101" s="68">
        <v>407</v>
      </c>
    </row>
    <row r="7102" spans="1:7" x14ac:dyDescent="0.3">
      <c r="A7102" t="s">
        <v>897</v>
      </c>
      <c r="B7102" t="s">
        <v>27</v>
      </c>
      <c r="C7102" t="s">
        <v>28</v>
      </c>
      <c r="D7102" t="s">
        <v>13</v>
      </c>
      <c r="E7102" s="68">
        <v>340</v>
      </c>
      <c r="F7102" s="68">
        <v>263</v>
      </c>
      <c r="G7102" s="68">
        <v>603</v>
      </c>
    </row>
    <row r="7103" spans="1:7" x14ac:dyDescent="0.3">
      <c r="A7103" t="s">
        <v>897</v>
      </c>
      <c r="B7103" t="s">
        <v>27</v>
      </c>
      <c r="C7103" t="s">
        <v>28</v>
      </c>
      <c r="D7103" t="s">
        <v>14</v>
      </c>
      <c r="E7103" s="68">
        <v>470</v>
      </c>
      <c r="F7103" s="68">
        <v>320</v>
      </c>
      <c r="G7103" s="68">
        <v>790</v>
      </c>
    </row>
    <row r="7104" spans="1:7" x14ac:dyDescent="0.3">
      <c r="A7104" t="s">
        <v>897</v>
      </c>
      <c r="B7104" t="s">
        <v>27</v>
      </c>
      <c r="C7104" t="s">
        <v>28</v>
      </c>
      <c r="D7104" t="s">
        <v>15</v>
      </c>
      <c r="E7104" s="68">
        <v>660</v>
      </c>
      <c r="F7104" s="68">
        <v>425</v>
      </c>
      <c r="G7104" s="68">
        <v>1085</v>
      </c>
    </row>
    <row r="7105" spans="1:7" x14ac:dyDescent="0.3">
      <c r="A7105" t="s">
        <v>897</v>
      </c>
      <c r="B7105" t="s">
        <v>27</v>
      </c>
      <c r="C7105" t="s">
        <v>28</v>
      </c>
      <c r="D7105" t="s">
        <v>16</v>
      </c>
      <c r="E7105" s="68">
        <v>797</v>
      </c>
      <c r="F7105" s="68">
        <v>488</v>
      </c>
      <c r="G7105" s="68">
        <v>1285</v>
      </c>
    </row>
    <row r="7106" spans="1:7" x14ac:dyDescent="0.3">
      <c r="A7106" t="s">
        <v>897</v>
      </c>
      <c r="B7106" t="s">
        <v>27</v>
      </c>
      <c r="C7106" t="s">
        <v>28</v>
      </c>
      <c r="D7106" t="s">
        <v>17</v>
      </c>
      <c r="E7106" s="68">
        <v>780</v>
      </c>
      <c r="F7106" s="68">
        <v>466</v>
      </c>
      <c r="G7106" s="68">
        <v>1246</v>
      </c>
    </row>
    <row r="7107" spans="1:7" x14ac:dyDescent="0.3">
      <c r="A7107" t="s">
        <v>897</v>
      </c>
      <c r="B7107" t="s">
        <v>27</v>
      </c>
      <c r="C7107" t="s">
        <v>28</v>
      </c>
      <c r="D7107" t="s">
        <v>18</v>
      </c>
      <c r="E7107" s="68">
        <v>915</v>
      </c>
      <c r="F7107" s="68">
        <v>457</v>
      </c>
      <c r="G7107" s="68">
        <v>1372</v>
      </c>
    </row>
    <row r="7108" spans="1:7" x14ac:dyDescent="0.3">
      <c r="A7108" t="s">
        <v>897</v>
      </c>
      <c r="B7108" t="s">
        <v>27</v>
      </c>
      <c r="C7108" t="s">
        <v>28</v>
      </c>
      <c r="D7108" t="s">
        <v>19</v>
      </c>
      <c r="E7108" s="68">
        <v>975</v>
      </c>
      <c r="F7108" s="68">
        <v>516</v>
      </c>
      <c r="G7108" s="68">
        <v>1491</v>
      </c>
    </row>
    <row r="7109" spans="1:7" x14ac:dyDescent="0.3">
      <c r="A7109" t="s">
        <v>897</v>
      </c>
      <c r="B7109" t="s">
        <v>27</v>
      </c>
      <c r="C7109" t="s">
        <v>28</v>
      </c>
      <c r="D7109" t="s">
        <v>20</v>
      </c>
      <c r="E7109" s="68">
        <v>1041</v>
      </c>
      <c r="F7109" s="68">
        <v>544</v>
      </c>
      <c r="G7109" s="68">
        <v>1585</v>
      </c>
    </row>
    <row r="7110" spans="1:7" x14ac:dyDescent="0.3">
      <c r="A7110" t="s">
        <v>897</v>
      </c>
      <c r="B7110" t="s">
        <v>27</v>
      </c>
      <c r="C7110" t="s">
        <v>28</v>
      </c>
      <c r="D7110" t="s">
        <v>21</v>
      </c>
      <c r="E7110" s="68">
        <v>960</v>
      </c>
      <c r="F7110" s="68">
        <v>618</v>
      </c>
      <c r="G7110" s="68">
        <v>1578</v>
      </c>
    </row>
    <row r="7111" spans="1:7" x14ac:dyDescent="0.3">
      <c r="A7111" t="s">
        <v>897</v>
      </c>
      <c r="B7111" t="s">
        <v>27</v>
      </c>
      <c r="C7111" t="s">
        <v>28</v>
      </c>
      <c r="D7111" t="s">
        <v>22</v>
      </c>
      <c r="E7111" s="68">
        <v>754</v>
      </c>
      <c r="F7111" s="68">
        <v>439</v>
      </c>
      <c r="G7111" s="68">
        <v>1193</v>
      </c>
    </row>
    <row r="7112" spans="1:7" x14ac:dyDescent="0.3">
      <c r="A7112" t="s">
        <v>897</v>
      </c>
      <c r="B7112" t="s">
        <v>27</v>
      </c>
      <c r="C7112" t="s">
        <v>28</v>
      </c>
      <c r="D7112" t="s">
        <v>23</v>
      </c>
      <c r="E7112" s="68">
        <v>609</v>
      </c>
      <c r="F7112" s="68">
        <v>359</v>
      </c>
      <c r="G7112" s="68">
        <v>968</v>
      </c>
    </row>
    <row r="7113" spans="1:7" x14ac:dyDescent="0.3">
      <c r="A7113" t="s">
        <v>897</v>
      </c>
      <c r="B7113" t="s">
        <v>27</v>
      </c>
      <c r="C7113" t="s">
        <v>29</v>
      </c>
      <c r="D7113" t="s">
        <v>10</v>
      </c>
      <c r="E7113" s="68"/>
      <c r="F7113" s="68">
        <v>5</v>
      </c>
      <c r="G7113" s="68">
        <v>5</v>
      </c>
    </row>
    <row r="7114" spans="1:7" x14ac:dyDescent="0.3">
      <c r="A7114" t="s">
        <v>897</v>
      </c>
      <c r="B7114" t="s">
        <v>27</v>
      </c>
      <c r="C7114" t="s">
        <v>29</v>
      </c>
      <c r="D7114" t="s">
        <v>11</v>
      </c>
      <c r="E7114" s="68">
        <v>11</v>
      </c>
      <c r="F7114" s="68">
        <v>163</v>
      </c>
      <c r="G7114" s="68">
        <v>174</v>
      </c>
    </row>
    <row r="7115" spans="1:7" x14ac:dyDescent="0.3">
      <c r="A7115" t="s">
        <v>897</v>
      </c>
      <c r="B7115" t="s">
        <v>27</v>
      </c>
      <c r="C7115" t="s">
        <v>29</v>
      </c>
      <c r="D7115" t="s">
        <v>12</v>
      </c>
      <c r="E7115" s="68">
        <v>22</v>
      </c>
      <c r="F7115" s="68">
        <v>371</v>
      </c>
      <c r="G7115" s="68">
        <v>393</v>
      </c>
    </row>
    <row r="7116" spans="1:7" x14ac:dyDescent="0.3">
      <c r="A7116" t="s">
        <v>897</v>
      </c>
      <c r="B7116" t="s">
        <v>27</v>
      </c>
      <c r="C7116" t="s">
        <v>29</v>
      </c>
      <c r="D7116" t="s">
        <v>13</v>
      </c>
      <c r="E7116" s="68">
        <v>22</v>
      </c>
      <c r="F7116" s="68">
        <v>380</v>
      </c>
      <c r="G7116" s="68">
        <v>402</v>
      </c>
    </row>
    <row r="7117" spans="1:7" x14ac:dyDescent="0.3">
      <c r="A7117" t="s">
        <v>897</v>
      </c>
      <c r="B7117" t="s">
        <v>27</v>
      </c>
      <c r="C7117" t="s">
        <v>29</v>
      </c>
      <c r="D7117" t="s">
        <v>14</v>
      </c>
      <c r="E7117" s="68">
        <v>22</v>
      </c>
      <c r="F7117" s="68">
        <v>262</v>
      </c>
      <c r="G7117" s="68">
        <v>284</v>
      </c>
    </row>
    <row r="7118" spans="1:7" x14ac:dyDescent="0.3">
      <c r="A7118" t="s">
        <v>897</v>
      </c>
      <c r="B7118" t="s">
        <v>27</v>
      </c>
      <c r="C7118" t="s">
        <v>29</v>
      </c>
      <c r="D7118" t="s">
        <v>15</v>
      </c>
      <c r="E7118" s="68">
        <v>19</v>
      </c>
      <c r="F7118" s="68">
        <v>170</v>
      </c>
      <c r="G7118" s="68">
        <v>189</v>
      </c>
    </row>
    <row r="7119" spans="1:7" x14ac:dyDescent="0.3">
      <c r="A7119" t="s">
        <v>897</v>
      </c>
      <c r="B7119" t="s">
        <v>27</v>
      </c>
      <c r="C7119" t="s">
        <v>29</v>
      </c>
      <c r="D7119" t="s">
        <v>16</v>
      </c>
      <c r="E7119" s="68">
        <v>16</v>
      </c>
      <c r="F7119" s="68">
        <v>124</v>
      </c>
      <c r="G7119" s="68">
        <v>140</v>
      </c>
    </row>
    <row r="7120" spans="1:7" x14ac:dyDescent="0.3">
      <c r="A7120" t="s">
        <v>897</v>
      </c>
      <c r="B7120" t="s">
        <v>27</v>
      </c>
      <c r="C7120" t="s">
        <v>29</v>
      </c>
      <c r="D7120" t="s">
        <v>17</v>
      </c>
      <c r="E7120" s="68">
        <v>5</v>
      </c>
      <c r="F7120" s="68">
        <v>95</v>
      </c>
      <c r="G7120" s="68">
        <v>100</v>
      </c>
    </row>
    <row r="7121" spans="1:7" x14ac:dyDescent="0.3">
      <c r="A7121" t="s">
        <v>897</v>
      </c>
      <c r="B7121" t="s">
        <v>27</v>
      </c>
      <c r="C7121" t="s">
        <v>29</v>
      </c>
      <c r="D7121" t="s">
        <v>18</v>
      </c>
      <c r="E7121" s="68">
        <v>2</v>
      </c>
      <c r="F7121" s="68">
        <v>72</v>
      </c>
      <c r="G7121" s="68">
        <v>74</v>
      </c>
    </row>
    <row r="7122" spans="1:7" x14ac:dyDescent="0.3">
      <c r="A7122" t="s">
        <v>897</v>
      </c>
      <c r="B7122" t="s">
        <v>27</v>
      </c>
      <c r="C7122" t="s">
        <v>29</v>
      </c>
      <c r="D7122" t="s">
        <v>19</v>
      </c>
      <c r="E7122" s="68">
        <v>1</v>
      </c>
      <c r="F7122" s="68">
        <v>56</v>
      </c>
      <c r="G7122" s="68">
        <v>57</v>
      </c>
    </row>
    <row r="7123" spans="1:7" x14ac:dyDescent="0.3">
      <c r="A7123" t="s">
        <v>897</v>
      </c>
      <c r="B7123" t="s">
        <v>27</v>
      </c>
      <c r="C7123" t="s">
        <v>29</v>
      </c>
      <c r="D7123" t="s">
        <v>20</v>
      </c>
      <c r="E7123" s="68">
        <v>1</v>
      </c>
      <c r="F7123" s="68">
        <v>47</v>
      </c>
      <c r="G7123" s="68">
        <v>48</v>
      </c>
    </row>
    <row r="7124" spans="1:7" x14ac:dyDescent="0.3">
      <c r="A7124" t="s">
        <v>897</v>
      </c>
      <c r="B7124" t="s">
        <v>27</v>
      </c>
      <c r="C7124" t="s">
        <v>29</v>
      </c>
      <c r="D7124" t="s">
        <v>21</v>
      </c>
      <c r="E7124" s="68"/>
      <c r="F7124" s="68">
        <v>18</v>
      </c>
      <c r="G7124" s="68">
        <v>18</v>
      </c>
    </row>
    <row r="7125" spans="1:7" x14ac:dyDescent="0.3">
      <c r="A7125" t="s">
        <v>897</v>
      </c>
      <c r="B7125" t="s">
        <v>27</v>
      </c>
      <c r="C7125" t="s">
        <v>29</v>
      </c>
      <c r="D7125" t="s">
        <v>22</v>
      </c>
      <c r="E7125" s="68"/>
      <c r="F7125" s="68">
        <v>11</v>
      </c>
      <c r="G7125" s="68">
        <v>11</v>
      </c>
    </row>
    <row r="7126" spans="1:7" x14ac:dyDescent="0.3">
      <c r="A7126" t="s">
        <v>897</v>
      </c>
      <c r="B7126" t="s">
        <v>27</v>
      </c>
      <c r="C7126" t="s">
        <v>29</v>
      </c>
      <c r="D7126" t="s">
        <v>23</v>
      </c>
      <c r="E7126" s="68"/>
      <c r="F7126" s="68">
        <v>5</v>
      </c>
      <c r="G7126" s="68">
        <v>5</v>
      </c>
    </row>
    <row r="7127" spans="1:7" x14ac:dyDescent="0.3">
      <c r="A7127" t="s">
        <v>897</v>
      </c>
      <c r="B7127" t="s">
        <v>36</v>
      </c>
      <c r="C7127" t="s">
        <v>6</v>
      </c>
      <c r="D7127" t="s">
        <v>7</v>
      </c>
      <c r="E7127" s="68">
        <v>3430</v>
      </c>
      <c r="F7127" s="68">
        <v>3653</v>
      </c>
      <c r="G7127" s="68">
        <v>7083</v>
      </c>
    </row>
    <row r="7128" spans="1:7" x14ac:dyDescent="0.3">
      <c r="A7128" t="s">
        <v>897</v>
      </c>
      <c r="B7128" t="s">
        <v>36</v>
      </c>
      <c r="C7128" t="s">
        <v>6</v>
      </c>
      <c r="D7128" t="s">
        <v>8</v>
      </c>
      <c r="E7128" s="68">
        <v>5291</v>
      </c>
      <c r="F7128" s="68">
        <v>5518</v>
      </c>
      <c r="G7128" s="68">
        <v>10809</v>
      </c>
    </row>
    <row r="7129" spans="1:7" x14ac:dyDescent="0.3">
      <c r="A7129" t="s">
        <v>897</v>
      </c>
      <c r="B7129" t="s">
        <v>36</v>
      </c>
      <c r="C7129" t="s">
        <v>6</v>
      </c>
      <c r="D7129" t="s">
        <v>9</v>
      </c>
      <c r="E7129" s="68">
        <v>6511</v>
      </c>
      <c r="F7129" s="68">
        <v>6470</v>
      </c>
      <c r="G7129" s="68">
        <v>12981</v>
      </c>
    </row>
    <row r="7130" spans="1:7" x14ac:dyDescent="0.3">
      <c r="A7130" t="s">
        <v>897</v>
      </c>
      <c r="B7130" t="s">
        <v>36</v>
      </c>
      <c r="C7130" t="s">
        <v>6</v>
      </c>
      <c r="D7130" t="s">
        <v>10</v>
      </c>
      <c r="E7130" s="68">
        <v>6989</v>
      </c>
      <c r="F7130" s="68">
        <v>7328</v>
      </c>
      <c r="G7130" s="68">
        <v>14317</v>
      </c>
    </row>
    <row r="7131" spans="1:7" x14ac:dyDescent="0.3">
      <c r="A7131" t="s">
        <v>897</v>
      </c>
      <c r="B7131" t="s">
        <v>36</v>
      </c>
      <c r="C7131" t="s">
        <v>6</v>
      </c>
      <c r="D7131" t="s">
        <v>11</v>
      </c>
      <c r="E7131" s="68">
        <v>8938</v>
      </c>
      <c r="F7131" s="68">
        <v>9409</v>
      </c>
      <c r="G7131" s="68">
        <v>18347</v>
      </c>
    </row>
    <row r="7132" spans="1:7" x14ac:dyDescent="0.3">
      <c r="A7132" t="s">
        <v>897</v>
      </c>
      <c r="B7132" t="s">
        <v>36</v>
      </c>
      <c r="C7132" t="s">
        <v>6</v>
      </c>
      <c r="D7132" t="s">
        <v>12</v>
      </c>
      <c r="E7132" s="68">
        <v>9881</v>
      </c>
      <c r="F7132" s="68">
        <v>10114</v>
      </c>
      <c r="G7132" s="68">
        <v>19995</v>
      </c>
    </row>
    <row r="7133" spans="1:7" x14ac:dyDescent="0.3">
      <c r="A7133" t="s">
        <v>897</v>
      </c>
      <c r="B7133" t="s">
        <v>36</v>
      </c>
      <c r="C7133" t="s">
        <v>6</v>
      </c>
      <c r="D7133" t="s">
        <v>13</v>
      </c>
      <c r="E7133" s="68">
        <v>10082</v>
      </c>
      <c r="F7133" s="68">
        <v>10499</v>
      </c>
      <c r="G7133" s="68">
        <v>20581</v>
      </c>
    </row>
    <row r="7134" spans="1:7" x14ac:dyDescent="0.3">
      <c r="A7134" t="s">
        <v>897</v>
      </c>
      <c r="B7134" t="s">
        <v>36</v>
      </c>
      <c r="C7134" t="s">
        <v>6</v>
      </c>
      <c r="D7134" t="s">
        <v>14</v>
      </c>
      <c r="E7134" s="68">
        <v>9101</v>
      </c>
      <c r="F7134" s="68">
        <v>9388</v>
      </c>
      <c r="G7134" s="68">
        <v>18489</v>
      </c>
    </row>
    <row r="7135" spans="1:7" x14ac:dyDescent="0.3">
      <c r="A7135" t="s">
        <v>897</v>
      </c>
      <c r="B7135" t="s">
        <v>36</v>
      </c>
      <c r="C7135" t="s">
        <v>6</v>
      </c>
      <c r="D7135" t="s">
        <v>15</v>
      </c>
      <c r="E7135" s="68">
        <v>8498</v>
      </c>
      <c r="F7135" s="68">
        <v>8481</v>
      </c>
      <c r="G7135" s="68">
        <v>16979</v>
      </c>
    </row>
    <row r="7136" spans="1:7" x14ac:dyDescent="0.3">
      <c r="A7136" t="s">
        <v>897</v>
      </c>
      <c r="B7136" t="s">
        <v>36</v>
      </c>
      <c r="C7136" t="s">
        <v>6</v>
      </c>
      <c r="D7136" t="s">
        <v>16</v>
      </c>
      <c r="E7136" s="68">
        <v>8004</v>
      </c>
      <c r="F7136" s="68">
        <v>7923</v>
      </c>
      <c r="G7136" s="68">
        <v>15927</v>
      </c>
    </row>
    <row r="7137" spans="1:7" x14ac:dyDescent="0.3">
      <c r="A7137" t="s">
        <v>897</v>
      </c>
      <c r="B7137" t="s">
        <v>36</v>
      </c>
      <c r="C7137" t="s">
        <v>6</v>
      </c>
      <c r="D7137" t="s">
        <v>17</v>
      </c>
      <c r="E7137" s="68">
        <v>6479</v>
      </c>
      <c r="F7137" s="68">
        <v>6513</v>
      </c>
      <c r="G7137" s="68">
        <v>12992</v>
      </c>
    </row>
    <row r="7138" spans="1:7" x14ac:dyDescent="0.3">
      <c r="A7138" t="s">
        <v>897</v>
      </c>
      <c r="B7138" t="s">
        <v>36</v>
      </c>
      <c r="C7138" t="s">
        <v>6</v>
      </c>
      <c r="D7138" t="s">
        <v>18</v>
      </c>
      <c r="E7138" s="68">
        <v>6582</v>
      </c>
      <c r="F7138" s="68">
        <v>6444</v>
      </c>
      <c r="G7138" s="68">
        <v>13026</v>
      </c>
    </row>
    <row r="7139" spans="1:7" x14ac:dyDescent="0.3">
      <c r="A7139" t="s">
        <v>897</v>
      </c>
      <c r="B7139" t="s">
        <v>36</v>
      </c>
      <c r="C7139" t="s">
        <v>6</v>
      </c>
      <c r="D7139" t="s">
        <v>19</v>
      </c>
      <c r="E7139" s="68">
        <v>6218</v>
      </c>
      <c r="F7139" s="68">
        <v>5682</v>
      </c>
      <c r="G7139" s="68">
        <v>11900</v>
      </c>
    </row>
    <row r="7140" spans="1:7" x14ac:dyDescent="0.3">
      <c r="A7140" t="s">
        <v>897</v>
      </c>
      <c r="B7140" t="s">
        <v>36</v>
      </c>
      <c r="C7140" t="s">
        <v>6</v>
      </c>
      <c r="D7140" t="s">
        <v>20</v>
      </c>
      <c r="E7140" s="68">
        <v>5279</v>
      </c>
      <c r="F7140" s="68">
        <v>4505</v>
      </c>
      <c r="G7140" s="68">
        <v>9784</v>
      </c>
    </row>
    <row r="7141" spans="1:7" x14ac:dyDescent="0.3">
      <c r="A7141" t="s">
        <v>897</v>
      </c>
      <c r="B7141" t="s">
        <v>36</v>
      </c>
      <c r="C7141" t="s">
        <v>6</v>
      </c>
      <c r="D7141" t="s">
        <v>21</v>
      </c>
      <c r="E7141" s="68">
        <v>4319</v>
      </c>
      <c r="F7141" s="68">
        <v>3318</v>
      </c>
      <c r="G7141" s="68">
        <v>7637</v>
      </c>
    </row>
    <row r="7142" spans="1:7" x14ac:dyDescent="0.3">
      <c r="A7142" t="s">
        <v>897</v>
      </c>
      <c r="B7142" t="s">
        <v>36</v>
      </c>
      <c r="C7142" t="s">
        <v>6</v>
      </c>
      <c r="D7142" t="s">
        <v>22</v>
      </c>
      <c r="E7142" s="68">
        <v>2763</v>
      </c>
      <c r="F7142" s="68">
        <v>2293</v>
      </c>
      <c r="G7142" s="68">
        <v>5056</v>
      </c>
    </row>
    <row r="7143" spans="1:7" x14ac:dyDescent="0.3">
      <c r="A7143" t="s">
        <v>897</v>
      </c>
      <c r="B7143" t="s">
        <v>36</v>
      </c>
      <c r="C7143" t="s">
        <v>6</v>
      </c>
      <c r="D7143" t="s">
        <v>23</v>
      </c>
      <c r="E7143" s="68">
        <v>3298</v>
      </c>
      <c r="F7143" s="68">
        <v>2089</v>
      </c>
      <c r="G7143" s="68">
        <v>5387</v>
      </c>
    </row>
    <row r="7144" spans="1:7" x14ac:dyDescent="0.3">
      <c r="A7144" t="s">
        <v>897</v>
      </c>
      <c r="B7144" t="s">
        <v>36</v>
      </c>
      <c r="C7144" t="s">
        <v>24</v>
      </c>
      <c r="D7144" t="s">
        <v>7</v>
      </c>
      <c r="E7144" s="68">
        <v>1721</v>
      </c>
      <c r="F7144" s="68">
        <v>1878</v>
      </c>
      <c r="G7144" s="68">
        <v>3599</v>
      </c>
    </row>
    <row r="7145" spans="1:7" x14ac:dyDescent="0.3">
      <c r="A7145" t="s">
        <v>897</v>
      </c>
      <c r="B7145" t="s">
        <v>36</v>
      </c>
      <c r="C7145" t="s">
        <v>24</v>
      </c>
      <c r="D7145" t="s">
        <v>8</v>
      </c>
      <c r="E7145" s="68">
        <v>3128</v>
      </c>
      <c r="F7145" s="68">
        <v>3231</v>
      </c>
      <c r="G7145" s="68">
        <v>6359</v>
      </c>
    </row>
    <row r="7146" spans="1:7" x14ac:dyDescent="0.3">
      <c r="A7146" t="s">
        <v>897</v>
      </c>
      <c r="B7146" t="s">
        <v>36</v>
      </c>
      <c r="C7146" t="s">
        <v>24</v>
      </c>
      <c r="D7146" t="s">
        <v>9</v>
      </c>
      <c r="E7146" s="68">
        <v>3436</v>
      </c>
      <c r="F7146" s="68">
        <v>3699</v>
      </c>
      <c r="G7146" s="68">
        <v>7135</v>
      </c>
    </row>
    <row r="7147" spans="1:7" x14ac:dyDescent="0.3">
      <c r="A7147" t="s">
        <v>897</v>
      </c>
      <c r="B7147" t="s">
        <v>36</v>
      </c>
      <c r="C7147" t="s">
        <v>24</v>
      </c>
      <c r="D7147" t="s">
        <v>10</v>
      </c>
      <c r="E7147" s="68">
        <v>3525</v>
      </c>
      <c r="F7147" s="68">
        <v>3709</v>
      </c>
      <c r="G7147" s="68">
        <v>7234</v>
      </c>
    </row>
    <row r="7148" spans="1:7" x14ac:dyDescent="0.3">
      <c r="A7148" t="s">
        <v>897</v>
      </c>
      <c r="B7148" t="s">
        <v>36</v>
      </c>
      <c r="C7148" t="s">
        <v>24</v>
      </c>
      <c r="D7148" t="s">
        <v>11</v>
      </c>
      <c r="E7148" s="68">
        <v>3938</v>
      </c>
      <c r="F7148" s="68">
        <v>3987</v>
      </c>
      <c r="G7148" s="68">
        <v>7925</v>
      </c>
    </row>
    <row r="7149" spans="1:7" x14ac:dyDescent="0.3">
      <c r="A7149" t="s">
        <v>897</v>
      </c>
      <c r="B7149" t="s">
        <v>36</v>
      </c>
      <c r="C7149" t="s">
        <v>24</v>
      </c>
      <c r="D7149" t="s">
        <v>12</v>
      </c>
      <c r="E7149" s="68">
        <v>4717</v>
      </c>
      <c r="F7149" s="68">
        <v>4916</v>
      </c>
      <c r="G7149" s="68">
        <v>9633</v>
      </c>
    </row>
    <row r="7150" spans="1:7" x14ac:dyDescent="0.3">
      <c r="A7150" t="s">
        <v>897</v>
      </c>
      <c r="B7150" t="s">
        <v>36</v>
      </c>
      <c r="C7150" t="s">
        <v>24</v>
      </c>
      <c r="D7150" t="s">
        <v>13</v>
      </c>
      <c r="E7150" s="68">
        <v>4452</v>
      </c>
      <c r="F7150" s="68">
        <v>4918</v>
      </c>
      <c r="G7150" s="68">
        <v>9370</v>
      </c>
    </row>
    <row r="7151" spans="1:7" x14ac:dyDescent="0.3">
      <c r="A7151" t="s">
        <v>897</v>
      </c>
      <c r="B7151" t="s">
        <v>36</v>
      </c>
      <c r="C7151" t="s">
        <v>24</v>
      </c>
      <c r="D7151" t="s">
        <v>14</v>
      </c>
      <c r="E7151" s="68">
        <v>3799</v>
      </c>
      <c r="F7151" s="68">
        <v>3934</v>
      </c>
      <c r="G7151" s="68">
        <v>7733</v>
      </c>
    </row>
    <row r="7152" spans="1:7" x14ac:dyDescent="0.3">
      <c r="A7152" t="s">
        <v>897</v>
      </c>
      <c r="B7152" t="s">
        <v>36</v>
      </c>
      <c r="C7152" t="s">
        <v>24</v>
      </c>
      <c r="D7152" t="s">
        <v>15</v>
      </c>
      <c r="E7152" s="68">
        <v>3322</v>
      </c>
      <c r="F7152" s="68">
        <v>3311</v>
      </c>
      <c r="G7152" s="68">
        <v>6633</v>
      </c>
    </row>
    <row r="7153" spans="1:7" x14ac:dyDescent="0.3">
      <c r="A7153" t="s">
        <v>897</v>
      </c>
      <c r="B7153" t="s">
        <v>36</v>
      </c>
      <c r="C7153" t="s">
        <v>24</v>
      </c>
      <c r="D7153" t="s">
        <v>16</v>
      </c>
      <c r="E7153" s="68">
        <v>3290</v>
      </c>
      <c r="F7153" s="68">
        <v>3007</v>
      </c>
      <c r="G7153" s="68">
        <v>6297</v>
      </c>
    </row>
    <row r="7154" spans="1:7" x14ac:dyDescent="0.3">
      <c r="A7154" t="s">
        <v>897</v>
      </c>
      <c r="B7154" t="s">
        <v>36</v>
      </c>
      <c r="C7154" t="s">
        <v>24</v>
      </c>
      <c r="D7154" t="s">
        <v>17</v>
      </c>
      <c r="E7154" s="68">
        <v>2795</v>
      </c>
      <c r="F7154" s="68">
        <v>2622</v>
      </c>
      <c r="G7154" s="68">
        <v>5417</v>
      </c>
    </row>
    <row r="7155" spans="1:7" x14ac:dyDescent="0.3">
      <c r="A7155" t="s">
        <v>897</v>
      </c>
      <c r="B7155" t="s">
        <v>36</v>
      </c>
      <c r="C7155" t="s">
        <v>24</v>
      </c>
      <c r="D7155" t="s">
        <v>18</v>
      </c>
      <c r="E7155" s="68">
        <v>2906</v>
      </c>
      <c r="F7155" s="68">
        <v>2805</v>
      </c>
      <c r="G7155" s="68">
        <v>5711</v>
      </c>
    </row>
    <row r="7156" spans="1:7" x14ac:dyDescent="0.3">
      <c r="A7156" t="s">
        <v>897</v>
      </c>
      <c r="B7156" t="s">
        <v>36</v>
      </c>
      <c r="C7156" t="s">
        <v>24</v>
      </c>
      <c r="D7156" t="s">
        <v>19</v>
      </c>
      <c r="E7156" s="68">
        <v>2803</v>
      </c>
      <c r="F7156" s="68">
        <v>2737</v>
      </c>
      <c r="G7156" s="68">
        <v>5540</v>
      </c>
    </row>
    <row r="7157" spans="1:7" x14ac:dyDescent="0.3">
      <c r="A7157" t="s">
        <v>897</v>
      </c>
      <c r="B7157" t="s">
        <v>36</v>
      </c>
      <c r="C7157" t="s">
        <v>24</v>
      </c>
      <c r="D7157" t="s">
        <v>20</v>
      </c>
      <c r="E7157" s="68">
        <v>2275</v>
      </c>
      <c r="F7157" s="68">
        <v>2273</v>
      </c>
      <c r="G7157" s="68">
        <v>4548</v>
      </c>
    </row>
    <row r="7158" spans="1:7" x14ac:dyDescent="0.3">
      <c r="A7158" t="s">
        <v>897</v>
      </c>
      <c r="B7158" t="s">
        <v>36</v>
      </c>
      <c r="C7158" t="s">
        <v>24</v>
      </c>
      <c r="D7158" t="s">
        <v>21</v>
      </c>
      <c r="E7158" s="68">
        <v>1611</v>
      </c>
      <c r="F7158" s="68">
        <v>1729</v>
      </c>
      <c r="G7158" s="68">
        <v>3340</v>
      </c>
    </row>
    <row r="7159" spans="1:7" x14ac:dyDescent="0.3">
      <c r="A7159" t="s">
        <v>897</v>
      </c>
      <c r="B7159" t="s">
        <v>36</v>
      </c>
      <c r="C7159" t="s">
        <v>24</v>
      </c>
      <c r="D7159" t="s">
        <v>22</v>
      </c>
      <c r="E7159" s="68">
        <v>1162</v>
      </c>
      <c r="F7159" s="68">
        <v>1068</v>
      </c>
      <c r="G7159" s="68">
        <v>2230</v>
      </c>
    </row>
    <row r="7160" spans="1:7" x14ac:dyDescent="0.3">
      <c r="A7160" t="s">
        <v>897</v>
      </c>
      <c r="B7160" t="s">
        <v>36</v>
      </c>
      <c r="C7160" t="s">
        <v>24</v>
      </c>
      <c r="D7160" t="s">
        <v>23</v>
      </c>
      <c r="E7160" s="68">
        <v>1405</v>
      </c>
      <c r="F7160" s="68">
        <v>1111</v>
      </c>
      <c r="G7160" s="68">
        <v>2516</v>
      </c>
    </row>
    <row r="7161" spans="1:7" x14ac:dyDescent="0.3">
      <c r="A7161" t="s">
        <v>897</v>
      </c>
      <c r="B7161" t="s">
        <v>538</v>
      </c>
      <c r="C7161" t="s">
        <v>24</v>
      </c>
      <c r="D7161" t="s">
        <v>11</v>
      </c>
      <c r="E7161" s="68"/>
      <c r="F7161" s="68">
        <v>1</v>
      </c>
      <c r="G7161" s="68">
        <v>1</v>
      </c>
    </row>
    <row r="7162" spans="1:7" x14ac:dyDescent="0.3">
      <c r="A7162" t="s">
        <v>395</v>
      </c>
      <c r="B7162" t="s">
        <v>30</v>
      </c>
      <c r="C7162" t="s">
        <v>6</v>
      </c>
      <c r="D7162" t="s">
        <v>9</v>
      </c>
      <c r="E7162" s="68">
        <v>1</v>
      </c>
      <c r="F7162" s="68"/>
      <c r="G7162" s="68">
        <v>1</v>
      </c>
    </row>
    <row r="7163" spans="1:7" x14ac:dyDescent="0.3">
      <c r="A7163" t="s">
        <v>395</v>
      </c>
      <c r="B7163" t="s">
        <v>30</v>
      </c>
      <c r="C7163" t="s">
        <v>24</v>
      </c>
      <c r="D7163" t="s">
        <v>9</v>
      </c>
      <c r="E7163" s="68">
        <v>1</v>
      </c>
      <c r="F7163" s="68"/>
      <c r="G7163" s="68">
        <v>1</v>
      </c>
    </row>
    <row r="7164" spans="1:7" x14ac:dyDescent="0.3">
      <c r="A7164" t="s">
        <v>395</v>
      </c>
      <c r="B7164" t="s">
        <v>30</v>
      </c>
      <c r="C7164" t="s">
        <v>24</v>
      </c>
      <c r="D7164" t="s">
        <v>11</v>
      </c>
      <c r="E7164" s="68"/>
      <c r="F7164" s="68">
        <v>1</v>
      </c>
      <c r="G7164" s="68">
        <v>1</v>
      </c>
    </row>
    <row r="7165" spans="1:7" x14ac:dyDescent="0.3">
      <c r="A7165" t="s">
        <v>395</v>
      </c>
      <c r="B7165" t="s">
        <v>536</v>
      </c>
      <c r="C7165" t="s">
        <v>24</v>
      </c>
      <c r="D7165" t="s">
        <v>8</v>
      </c>
      <c r="E7165" s="68"/>
      <c r="F7165" s="68">
        <v>1</v>
      </c>
      <c r="G7165" s="68">
        <v>1</v>
      </c>
    </row>
    <row r="7166" spans="1:7" x14ac:dyDescent="0.3">
      <c r="A7166" t="s">
        <v>395</v>
      </c>
      <c r="B7166" t="s">
        <v>536</v>
      </c>
      <c r="C7166" t="s">
        <v>24</v>
      </c>
      <c r="D7166" t="s">
        <v>9</v>
      </c>
      <c r="E7166" s="68"/>
      <c r="F7166" s="68">
        <v>1</v>
      </c>
      <c r="G7166" s="68">
        <v>1</v>
      </c>
    </row>
    <row r="7167" spans="1:7" x14ac:dyDescent="0.3">
      <c r="A7167" t="s">
        <v>395</v>
      </c>
      <c r="B7167" t="s">
        <v>536</v>
      </c>
      <c r="C7167" t="s">
        <v>24</v>
      </c>
      <c r="D7167" t="s">
        <v>13</v>
      </c>
      <c r="E7167" s="68">
        <v>1</v>
      </c>
      <c r="F7167" s="68"/>
      <c r="G7167" s="68">
        <v>1</v>
      </c>
    </row>
    <row r="7168" spans="1:7" x14ac:dyDescent="0.3">
      <c r="A7168" t="s">
        <v>395</v>
      </c>
      <c r="B7168" t="s">
        <v>536</v>
      </c>
      <c r="C7168" t="s">
        <v>24</v>
      </c>
      <c r="D7168" t="s">
        <v>14</v>
      </c>
      <c r="E7168" s="68">
        <v>1</v>
      </c>
      <c r="F7168" s="68"/>
      <c r="G7168" s="68">
        <v>1</v>
      </c>
    </row>
    <row r="7169" spans="1:7" x14ac:dyDescent="0.3">
      <c r="A7169" t="s">
        <v>395</v>
      </c>
      <c r="B7169" t="s">
        <v>536</v>
      </c>
      <c r="C7169" t="s">
        <v>24</v>
      </c>
      <c r="D7169" t="s">
        <v>15</v>
      </c>
      <c r="E7169" s="68">
        <v>1</v>
      </c>
      <c r="F7169" s="68"/>
      <c r="G7169" s="68">
        <v>1</v>
      </c>
    </row>
    <row r="7170" spans="1:7" x14ac:dyDescent="0.3">
      <c r="A7170" t="s">
        <v>395</v>
      </c>
      <c r="B7170" t="s">
        <v>31</v>
      </c>
      <c r="C7170" t="s">
        <v>6</v>
      </c>
      <c r="D7170" t="s">
        <v>7</v>
      </c>
      <c r="E7170" s="68">
        <v>847</v>
      </c>
      <c r="F7170" s="68">
        <v>921</v>
      </c>
      <c r="G7170" s="68">
        <v>1768</v>
      </c>
    </row>
    <row r="7171" spans="1:7" x14ac:dyDescent="0.3">
      <c r="A7171" t="s">
        <v>395</v>
      </c>
      <c r="B7171" t="s">
        <v>31</v>
      </c>
      <c r="C7171" t="s">
        <v>6</v>
      </c>
      <c r="D7171" t="s">
        <v>8</v>
      </c>
      <c r="E7171" s="68">
        <v>1012</v>
      </c>
      <c r="F7171" s="68">
        <v>1058</v>
      </c>
      <c r="G7171" s="68">
        <v>2070</v>
      </c>
    </row>
    <row r="7172" spans="1:7" x14ac:dyDescent="0.3">
      <c r="A7172" t="s">
        <v>395</v>
      </c>
      <c r="B7172" t="s">
        <v>31</v>
      </c>
      <c r="C7172" t="s">
        <v>6</v>
      </c>
      <c r="D7172" t="s">
        <v>9</v>
      </c>
      <c r="E7172" s="68">
        <v>1018</v>
      </c>
      <c r="F7172" s="68">
        <v>1117</v>
      </c>
      <c r="G7172" s="68">
        <v>2135</v>
      </c>
    </row>
    <row r="7173" spans="1:7" x14ac:dyDescent="0.3">
      <c r="A7173" t="s">
        <v>395</v>
      </c>
      <c r="B7173" t="s">
        <v>31</v>
      </c>
      <c r="C7173" t="s">
        <v>6</v>
      </c>
      <c r="D7173" t="s">
        <v>10</v>
      </c>
      <c r="E7173" s="68">
        <v>1422</v>
      </c>
      <c r="F7173" s="68">
        <v>1639</v>
      </c>
      <c r="G7173" s="68">
        <v>3061</v>
      </c>
    </row>
    <row r="7174" spans="1:7" x14ac:dyDescent="0.3">
      <c r="A7174" t="s">
        <v>395</v>
      </c>
      <c r="B7174" t="s">
        <v>31</v>
      </c>
      <c r="C7174" t="s">
        <v>6</v>
      </c>
      <c r="D7174" t="s">
        <v>11</v>
      </c>
      <c r="E7174" s="68">
        <v>2482</v>
      </c>
      <c r="F7174" s="68">
        <v>3051</v>
      </c>
      <c r="G7174" s="68">
        <v>5533</v>
      </c>
    </row>
    <row r="7175" spans="1:7" x14ac:dyDescent="0.3">
      <c r="A7175" t="s">
        <v>395</v>
      </c>
      <c r="B7175" t="s">
        <v>31</v>
      </c>
      <c r="C7175" t="s">
        <v>6</v>
      </c>
      <c r="D7175" t="s">
        <v>12</v>
      </c>
      <c r="E7175" s="68">
        <v>2298</v>
      </c>
      <c r="F7175" s="68">
        <v>2909</v>
      </c>
      <c r="G7175" s="68">
        <v>5207</v>
      </c>
    </row>
    <row r="7176" spans="1:7" x14ac:dyDescent="0.3">
      <c r="A7176" t="s">
        <v>395</v>
      </c>
      <c r="B7176" t="s">
        <v>31</v>
      </c>
      <c r="C7176" t="s">
        <v>6</v>
      </c>
      <c r="D7176" t="s">
        <v>13</v>
      </c>
      <c r="E7176" s="68">
        <v>1831</v>
      </c>
      <c r="F7176" s="68">
        <v>2309</v>
      </c>
      <c r="G7176" s="68">
        <v>4140</v>
      </c>
    </row>
    <row r="7177" spans="1:7" x14ac:dyDescent="0.3">
      <c r="A7177" t="s">
        <v>395</v>
      </c>
      <c r="B7177" t="s">
        <v>31</v>
      </c>
      <c r="C7177" t="s">
        <v>6</v>
      </c>
      <c r="D7177" t="s">
        <v>14</v>
      </c>
      <c r="E7177" s="68">
        <v>1446</v>
      </c>
      <c r="F7177" s="68">
        <v>1690</v>
      </c>
      <c r="G7177" s="68">
        <v>3136</v>
      </c>
    </row>
    <row r="7178" spans="1:7" x14ac:dyDescent="0.3">
      <c r="A7178" t="s">
        <v>395</v>
      </c>
      <c r="B7178" t="s">
        <v>31</v>
      </c>
      <c r="C7178" t="s">
        <v>6</v>
      </c>
      <c r="D7178" t="s">
        <v>15</v>
      </c>
      <c r="E7178" s="68">
        <v>1268</v>
      </c>
      <c r="F7178" s="68">
        <v>1440</v>
      </c>
      <c r="G7178" s="68">
        <v>2708</v>
      </c>
    </row>
    <row r="7179" spans="1:7" x14ac:dyDescent="0.3">
      <c r="A7179" t="s">
        <v>395</v>
      </c>
      <c r="B7179" t="s">
        <v>31</v>
      </c>
      <c r="C7179" t="s">
        <v>6</v>
      </c>
      <c r="D7179" t="s">
        <v>16</v>
      </c>
      <c r="E7179" s="68">
        <v>1170</v>
      </c>
      <c r="F7179" s="68">
        <v>1406</v>
      </c>
      <c r="G7179" s="68">
        <v>2576</v>
      </c>
    </row>
    <row r="7180" spans="1:7" x14ac:dyDescent="0.3">
      <c r="A7180" t="s">
        <v>395</v>
      </c>
      <c r="B7180" t="s">
        <v>31</v>
      </c>
      <c r="C7180" t="s">
        <v>6</v>
      </c>
      <c r="D7180" t="s">
        <v>17</v>
      </c>
      <c r="E7180" s="68">
        <v>921</v>
      </c>
      <c r="F7180" s="68">
        <v>1111</v>
      </c>
      <c r="G7180" s="68">
        <v>2032</v>
      </c>
    </row>
    <row r="7181" spans="1:7" x14ac:dyDescent="0.3">
      <c r="A7181" t="s">
        <v>395</v>
      </c>
      <c r="B7181" t="s">
        <v>31</v>
      </c>
      <c r="C7181" t="s">
        <v>6</v>
      </c>
      <c r="D7181" t="s">
        <v>18</v>
      </c>
      <c r="E7181" s="68">
        <v>781</v>
      </c>
      <c r="F7181" s="68">
        <v>1009</v>
      </c>
      <c r="G7181" s="68">
        <v>1790</v>
      </c>
    </row>
    <row r="7182" spans="1:7" x14ac:dyDescent="0.3">
      <c r="A7182" t="s">
        <v>395</v>
      </c>
      <c r="B7182" t="s">
        <v>31</v>
      </c>
      <c r="C7182" t="s">
        <v>6</v>
      </c>
      <c r="D7182" t="s">
        <v>19</v>
      </c>
      <c r="E7182" s="68">
        <v>667</v>
      </c>
      <c r="F7182" s="68">
        <v>813</v>
      </c>
      <c r="G7182" s="68">
        <v>1480</v>
      </c>
    </row>
    <row r="7183" spans="1:7" x14ac:dyDescent="0.3">
      <c r="A7183" t="s">
        <v>395</v>
      </c>
      <c r="B7183" t="s">
        <v>31</v>
      </c>
      <c r="C7183" t="s">
        <v>6</v>
      </c>
      <c r="D7183" t="s">
        <v>20</v>
      </c>
      <c r="E7183" s="68">
        <v>518</v>
      </c>
      <c r="F7183" s="68">
        <v>588</v>
      </c>
      <c r="G7183" s="68">
        <v>1106</v>
      </c>
    </row>
    <row r="7184" spans="1:7" x14ac:dyDescent="0.3">
      <c r="A7184" t="s">
        <v>395</v>
      </c>
      <c r="B7184" t="s">
        <v>31</v>
      </c>
      <c r="C7184" t="s">
        <v>6</v>
      </c>
      <c r="D7184" t="s">
        <v>21</v>
      </c>
      <c r="E7184" s="68">
        <v>282</v>
      </c>
      <c r="F7184" s="68">
        <v>375</v>
      </c>
      <c r="G7184" s="68">
        <v>657</v>
      </c>
    </row>
    <row r="7185" spans="1:7" x14ac:dyDescent="0.3">
      <c r="A7185" t="s">
        <v>395</v>
      </c>
      <c r="B7185" t="s">
        <v>31</v>
      </c>
      <c r="C7185" t="s">
        <v>6</v>
      </c>
      <c r="D7185" t="s">
        <v>22</v>
      </c>
      <c r="E7185" s="68">
        <v>198</v>
      </c>
      <c r="F7185" s="68">
        <v>187</v>
      </c>
      <c r="G7185" s="68">
        <v>385</v>
      </c>
    </row>
    <row r="7186" spans="1:7" x14ac:dyDescent="0.3">
      <c r="A7186" t="s">
        <v>395</v>
      </c>
      <c r="B7186" t="s">
        <v>31</v>
      </c>
      <c r="C7186" t="s">
        <v>6</v>
      </c>
      <c r="D7186" t="s">
        <v>23</v>
      </c>
      <c r="E7186" s="68">
        <v>243</v>
      </c>
      <c r="F7186" s="68">
        <v>175</v>
      </c>
      <c r="G7186" s="68">
        <v>418</v>
      </c>
    </row>
    <row r="7187" spans="1:7" x14ac:dyDescent="0.3">
      <c r="A7187" t="s">
        <v>395</v>
      </c>
      <c r="B7187" t="s">
        <v>31</v>
      </c>
      <c r="C7187" t="s">
        <v>24</v>
      </c>
      <c r="D7187" t="s">
        <v>7</v>
      </c>
      <c r="E7187" s="68">
        <v>6512</v>
      </c>
      <c r="F7187" s="68">
        <v>7089</v>
      </c>
      <c r="G7187" s="68">
        <v>13601</v>
      </c>
    </row>
    <row r="7188" spans="1:7" x14ac:dyDescent="0.3">
      <c r="A7188" t="s">
        <v>395</v>
      </c>
      <c r="B7188" t="s">
        <v>31</v>
      </c>
      <c r="C7188" t="s">
        <v>24</v>
      </c>
      <c r="D7188" t="s">
        <v>8</v>
      </c>
      <c r="E7188" s="68">
        <v>9834</v>
      </c>
      <c r="F7188" s="68">
        <v>10287</v>
      </c>
      <c r="G7188" s="68">
        <v>20121</v>
      </c>
    </row>
    <row r="7189" spans="1:7" x14ac:dyDescent="0.3">
      <c r="A7189" t="s">
        <v>395</v>
      </c>
      <c r="B7189" t="s">
        <v>31</v>
      </c>
      <c r="C7189" t="s">
        <v>24</v>
      </c>
      <c r="D7189" t="s">
        <v>9</v>
      </c>
      <c r="E7189" s="68">
        <v>10866</v>
      </c>
      <c r="F7189" s="68">
        <v>11327</v>
      </c>
      <c r="G7189" s="68">
        <v>22193</v>
      </c>
    </row>
    <row r="7190" spans="1:7" x14ac:dyDescent="0.3">
      <c r="A7190" t="s">
        <v>395</v>
      </c>
      <c r="B7190" t="s">
        <v>31</v>
      </c>
      <c r="C7190" t="s">
        <v>24</v>
      </c>
      <c r="D7190" t="s">
        <v>10</v>
      </c>
      <c r="E7190" s="68">
        <v>12454</v>
      </c>
      <c r="F7190" s="68">
        <v>12936</v>
      </c>
      <c r="G7190" s="68">
        <v>25390</v>
      </c>
    </row>
    <row r="7191" spans="1:7" x14ac:dyDescent="0.3">
      <c r="A7191" t="s">
        <v>395</v>
      </c>
      <c r="B7191" t="s">
        <v>31</v>
      </c>
      <c r="C7191" t="s">
        <v>24</v>
      </c>
      <c r="D7191" t="s">
        <v>11</v>
      </c>
      <c r="E7191" s="68">
        <v>10359</v>
      </c>
      <c r="F7191" s="68">
        <v>10546</v>
      </c>
      <c r="G7191" s="68">
        <v>20905</v>
      </c>
    </row>
    <row r="7192" spans="1:7" x14ac:dyDescent="0.3">
      <c r="A7192" t="s">
        <v>395</v>
      </c>
      <c r="B7192" t="s">
        <v>31</v>
      </c>
      <c r="C7192" t="s">
        <v>24</v>
      </c>
      <c r="D7192" t="s">
        <v>12</v>
      </c>
      <c r="E7192" s="68">
        <v>10685</v>
      </c>
      <c r="F7192" s="68">
        <v>10895</v>
      </c>
      <c r="G7192" s="68">
        <v>21580</v>
      </c>
    </row>
    <row r="7193" spans="1:7" x14ac:dyDescent="0.3">
      <c r="A7193" t="s">
        <v>395</v>
      </c>
      <c r="B7193" t="s">
        <v>31</v>
      </c>
      <c r="C7193" t="s">
        <v>24</v>
      </c>
      <c r="D7193" t="s">
        <v>13</v>
      </c>
      <c r="E7193" s="68">
        <v>10844</v>
      </c>
      <c r="F7193" s="68">
        <v>11635</v>
      </c>
      <c r="G7193" s="68">
        <v>22479</v>
      </c>
    </row>
    <row r="7194" spans="1:7" x14ac:dyDescent="0.3">
      <c r="A7194" t="s">
        <v>395</v>
      </c>
      <c r="B7194" t="s">
        <v>31</v>
      </c>
      <c r="C7194" t="s">
        <v>24</v>
      </c>
      <c r="D7194" t="s">
        <v>14</v>
      </c>
      <c r="E7194" s="68">
        <v>9598</v>
      </c>
      <c r="F7194" s="68">
        <v>9819</v>
      </c>
      <c r="G7194" s="68">
        <v>19417</v>
      </c>
    </row>
    <row r="7195" spans="1:7" x14ac:dyDescent="0.3">
      <c r="A7195" t="s">
        <v>395</v>
      </c>
      <c r="B7195" t="s">
        <v>31</v>
      </c>
      <c r="C7195" t="s">
        <v>24</v>
      </c>
      <c r="D7195" t="s">
        <v>15</v>
      </c>
      <c r="E7195" s="68">
        <v>9912</v>
      </c>
      <c r="F7195" s="68">
        <v>9836</v>
      </c>
      <c r="G7195" s="68">
        <v>19748</v>
      </c>
    </row>
    <row r="7196" spans="1:7" x14ac:dyDescent="0.3">
      <c r="A7196" t="s">
        <v>395</v>
      </c>
      <c r="B7196" t="s">
        <v>31</v>
      </c>
      <c r="C7196" t="s">
        <v>24</v>
      </c>
      <c r="D7196" t="s">
        <v>16</v>
      </c>
      <c r="E7196" s="68">
        <v>10268</v>
      </c>
      <c r="F7196" s="68">
        <v>10186</v>
      </c>
      <c r="G7196" s="68">
        <v>20454</v>
      </c>
    </row>
    <row r="7197" spans="1:7" x14ac:dyDescent="0.3">
      <c r="A7197" t="s">
        <v>395</v>
      </c>
      <c r="B7197" t="s">
        <v>31</v>
      </c>
      <c r="C7197" t="s">
        <v>24</v>
      </c>
      <c r="D7197" t="s">
        <v>17</v>
      </c>
      <c r="E7197" s="68">
        <v>9477</v>
      </c>
      <c r="F7197" s="68">
        <v>9608</v>
      </c>
      <c r="G7197" s="68">
        <v>19085</v>
      </c>
    </row>
    <row r="7198" spans="1:7" x14ac:dyDescent="0.3">
      <c r="A7198" t="s">
        <v>395</v>
      </c>
      <c r="B7198" t="s">
        <v>31</v>
      </c>
      <c r="C7198" t="s">
        <v>24</v>
      </c>
      <c r="D7198" t="s">
        <v>18</v>
      </c>
      <c r="E7198" s="68">
        <v>9390</v>
      </c>
      <c r="F7198" s="68">
        <v>9682</v>
      </c>
      <c r="G7198" s="68">
        <v>19072</v>
      </c>
    </row>
    <row r="7199" spans="1:7" x14ac:dyDescent="0.3">
      <c r="A7199" t="s">
        <v>395</v>
      </c>
      <c r="B7199" t="s">
        <v>31</v>
      </c>
      <c r="C7199" t="s">
        <v>24</v>
      </c>
      <c r="D7199" t="s">
        <v>19</v>
      </c>
      <c r="E7199" s="68">
        <v>8346</v>
      </c>
      <c r="F7199" s="68">
        <v>9108</v>
      </c>
      <c r="G7199" s="68">
        <v>17454</v>
      </c>
    </row>
    <row r="7200" spans="1:7" x14ac:dyDescent="0.3">
      <c r="A7200" t="s">
        <v>395</v>
      </c>
      <c r="B7200" t="s">
        <v>31</v>
      </c>
      <c r="C7200" t="s">
        <v>24</v>
      </c>
      <c r="D7200" t="s">
        <v>20</v>
      </c>
      <c r="E7200" s="68">
        <v>6886</v>
      </c>
      <c r="F7200" s="68">
        <v>7226</v>
      </c>
      <c r="G7200" s="68">
        <v>14112</v>
      </c>
    </row>
    <row r="7201" spans="1:7" x14ac:dyDescent="0.3">
      <c r="A7201" t="s">
        <v>395</v>
      </c>
      <c r="B7201" t="s">
        <v>31</v>
      </c>
      <c r="C7201" t="s">
        <v>24</v>
      </c>
      <c r="D7201" t="s">
        <v>21</v>
      </c>
      <c r="E7201" s="68">
        <v>5193</v>
      </c>
      <c r="F7201" s="68">
        <v>5335</v>
      </c>
      <c r="G7201" s="68">
        <v>10528</v>
      </c>
    </row>
    <row r="7202" spans="1:7" x14ac:dyDescent="0.3">
      <c r="A7202" t="s">
        <v>395</v>
      </c>
      <c r="B7202" t="s">
        <v>31</v>
      </c>
      <c r="C7202" t="s">
        <v>24</v>
      </c>
      <c r="D7202" t="s">
        <v>22</v>
      </c>
      <c r="E7202" s="68">
        <v>3666</v>
      </c>
      <c r="F7202" s="68">
        <v>3379</v>
      </c>
      <c r="G7202" s="68">
        <v>7045</v>
      </c>
    </row>
    <row r="7203" spans="1:7" x14ac:dyDescent="0.3">
      <c r="A7203" t="s">
        <v>395</v>
      </c>
      <c r="B7203" t="s">
        <v>31</v>
      </c>
      <c r="C7203" t="s">
        <v>24</v>
      </c>
      <c r="D7203" t="s">
        <v>23</v>
      </c>
      <c r="E7203" s="68">
        <v>5260</v>
      </c>
      <c r="F7203" s="68">
        <v>3907</v>
      </c>
      <c r="G7203" s="68">
        <v>9167</v>
      </c>
    </row>
    <row r="7204" spans="1:7" x14ac:dyDescent="0.3">
      <c r="A7204" t="s">
        <v>395</v>
      </c>
      <c r="B7204" t="s">
        <v>537</v>
      </c>
      <c r="C7204" t="s">
        <v>24</v>
      </c>
      <c r="D7204" t="s">
        <v>9</v>
      </c>
      <c r="E7204" s="68">
        <v>1</v>
      </c>
      <c r="F7204" s="68"/>
      <c r="G7204" s="68">
        <v>1</v>
      </c>
    </row>
    <row r="7205" spans="1:7" x14ac:dyDescent="0.3">
      <c r="A7205" t="s">
        <v>395</v>
      </c>
      <c r="B7205" t="s">
        <v>5</v>
      </c>
      <c r="C7205" t="s">
        <v>6</v>
      </c>
      <c r="D7205" t="s">
        <v>7</v>
      </c>
      <c r="E7205" s="68">
        <v>5099</v>
      </c>
      <c r="F7205" s="68">
        <v>5304</v>
      </c>
      <c r="G7205" s="68">
        <v>10403</v>
      </c>
    </row>
    <row r="7206" spans="1:7" x14ac:dyDescent="0.3">
      <c r="A7206" t="s">
        <v>395</v>
      </c>
      <c r="B7206" t="s">
        <v>5</v>
      </c>
      <c r="C7206" t="s">
        <v>6</v>
      </c>
      <c r="D7206" t="s">
        <v>8</v>
      </c>
      <c r="E7206" s="68">
        <v>6768</v>
      </c>
      <c r="F7206" s="68">
        <v>7259</v>
      </c>
      <c r="G7206" s="68">
        <v>14027</v>
      </c>
    </row>
    <row r="7207" spans="1:7" x14ac:dyDescent="0.3">
      <c r="A7207" t="s">
        <v>395</v>
      </c>
      <c r="B7207" t="s">
        <v>5</v>
      </c>
      <c r="C7207" t="s">
        <v>6</v>
      </c>
      <c r="D7207" t="s">
        <v>9</v>
      </c>
      <c r="E7207" s="68">
        <v>8018</v>
      </c>
      <c r="F7207" s="68">
        <v>8349</v>
      </c>
      <c r="G7207" s="68">
        <v>16367</v>
      </c>
    </row>
    <row r="7208" spans="1:7" x14ac:dyDescent="0.3">
      <c r="A7208" t="s">
        <v>395</v>
      </c>
      <c r="B7208" t="s">
        <v>5</v>
      </c>
      <c r="C7208" t="s">
        <v>6</v>
      </c>
      <c r="D7208" t="s">
        <v>10</v>
      </c>
      <c r="E7208" s="68">
        <v>7910</v>
      </c>
      <c r="F7208" s="68">
        <v>8072</v>
      </c>
      <c r="G7208" s="68">
        <v>15982</v>
      </c>
    </row>
    <row r="7209" spans="1:7" x14ac:dyDescent="0.3">
      <c r="A7209" t="s">
        <v>395</v>
      </c>
      <c r="B7209" t="s">
        <v>5</v>
      </c>
      <c r="C7209" t="s">
        <v>6</v>
      </c>
      <c r="D7209" t="s">
        <v>11</v>
      </c>
      <c r="E7209" s="68">
        <v>8422</v>
      </c>
      <c r="F7209" s="68">
        <v>8106</v>
      </c>
      <c r="G7209" s="68">
        <v>16528</v>
      </c>
    </row>
    <row r="7210" spans="1:7" x14ac:dyDescent="0.3">
      <c r="A7210" t="s">
        <v>395</v>
      </c>
      <c r="B7210" t="s">
        <v>5</v>
      </c>
      <c r="C7210" t="s">
        <v>6</v>
      </c>
      <c r="D7210" t="s">
        <v>12</v>
      </c>
      <c r="E7210" s="68">
        <v>9478</v>
      </c>
      <c r="F7210" s="68">
        <v>8234</v>
      </c>
      <c r="G7210" s="68">
        <v>17712</v>
      </c>
    </row>
    <row r="7211" spans="1:7" x14ac:dyDescent="0.3">
      <c r="A7211" t="s">
        <v>395</v>
      </c>
      <c r="B7211" t="s">
        <v>5</v>
      </c>
      <c r="C7211" t="s">
        <v>6</v>
      </c>
      <c r="D7211" t="s">
        <v>13</v>
      </c>
      <c r="E7211" s="68">
        <v>11680</v>
      </c>
      <c r="F7211" s="68">
        <v>9695</v>
      </c>
      <c r="G7211" s="68">
        <v>21375</v>
      </c>
    </row>
    <row r="7212" spans="1:7" x14ac:dyDescent="0.3">
      <c r="A7212" t="s">
        <v>395</v>
      </c>
      <c r="B7212" t="s">
        <v>5</v>
      </c>
      <c r="C7212" t="s">
        <v>6</v>
      </c>
      <c r="D7212" t="s">
        <v>14</v>
      </c>
      <c r="E7212" s="68">
        <v>11954</v>
      </c>
      <c r="F7212" s="68">
        <v>10315</v>
      </c>
      <c r="G7212" s="68">
        <v>22269</v>
      </c>
    </row>
    <row r="7213" spans="1:7" x14ac:dyDescent="0.3">
      <c r="A7213" t="s">
        <v>395</v>
      </c>
      <c r="B7213" t="s">
        <v>5</v>
      </c>
      <c r="C7213" t="s">
        <v>6</v>
      </c>
      <c r="D7213" t="s">
        <v>15</v>
      </c>
      <c r="E7213" s="68">
        <v>11387</v>
      </c>
      <c r="F7213" s="68">
        <v>10024</v>
      </c>
      <c r="G7213" s="68">
        <v>21411</v>
      </c>
    </row>
    <row r="7214" spans="1:7" x14ac:dyDescent="0.3">
      <c r="A7214" t="s">
        <v>395</v>
      </c>
      <c r="B7214" t="s">
        <v>5</v>
      </c>
      <c r="C7214" t="s">
        <v>6</v>
      </c>
      <c r="D7214" t="s">
        <v>16</v>
      </c>
      <c r="E7214" s="68">
        <v>9559</v>
      </c>
      <c r="F7214" s="68">
        <v>8727</v>
      </c>
      <c r="G7214" s="68">
        <v>18286</v>
      </c>
    </row>
    <row r="7215" spans="1:7" x14ac:dyDescent="0.3">
      <c r="A7215" t="s">
        <v>395</v>
      </c>
      <c r="B7215" t="s">
        <v>5</v>
      </c>
      <c r="C7215" t="s">
        <v>6</v>
      </c>
      <c r="D7215" t="s">
        <v>17</v>
      </c>
      <c r="E7215" s="68">
        <v>7719</v>
      </c>
      <c r="F7215" s="68">
        <v>6574</v>
      </c>
      <c r="G7215" s="68">
        <v>14293</v>
      </c>
    </row>
    <row r="7216" spans="1:7" x14ac:dyDescent="0.3">
      <c r="A7216" t="s">
        <v>395</v>
      </c>
      <c r="B7216" t="s">
        <v>5</v>
      </c>
      <c r="C7216" t="s">
        <v>6</v>
      </c>
      <c r="D7216" t="s">
        <v>18</v>
      </c>
      <c r="E7216" s="68">
        <v>7569</v>
      </c>
      <c r="F7216" s="68">
        <v>6255</v>
      </c>
      <c r="G7216" s="68">
        <v>13824</v>
      </c>
    </row>
    <row r="7217" spans="1:7" x14ac:dyDescent="0.3">
      <c r="A7217" t="s">
        <v>395</v>
      </c>
      <c r="B7217" t="s">
        <v>5</v>
      </c>
      <c r="C7217" t="s">
        <v>6</v>
      </c>
      <c r="D7217" t="s">
        <v>19</v>
      </c>
      <c r="E7217" s="68">
        <v>7264</v>
      </c>
      <c r="F7217" s="68">
        <v>5731</v>
      </c>
      <c r="G7217" s="68">
        <v>12995</v>
      </c>
    </row>
    <row r="7218" spans="1:7" x14ac:dyDescent="0.3">
      <c r="A7218" t="s">
        <v>395</v>
      </c>
      <c r="B7218" t="s">
        <v>5</v>
      </c>
      <c r="C7218" t="s">
        <v>6</v>
      </c>
      <c r="D7218" t="s">
        <v>20</v>
      </c>
      <c r="E7218" s="68">
        <v>5766</v>
      </c>
      <c r="F7218" s="68">
        <v>4492</v>
      </c>
      <c r="G7218" s="68">
        <v>10258</v>
      </c>
    </row>
    <row r="7219" spans="1:7" x14ac:dyDescent="0.3">
      <c r="A7219" t="s">
        <v>395</v>
      </c>
      <c r="B7219" t="s">
        <v>5</v>
      </c>
      <c r="C7219" t="s">
        <v>6</v>
      </c>
      <c r="D7219" t="s">
        <v>21</v>
      </c>
      <c r="E7219" s="68">
        <v>4023</v>
      </c>
      <c r="F7219" s="68">
        <v>3120</v>
      </c>
      <c r="G7219" s="68">
        <v>7143</v>
      </c>
    </row>
    <row r="7220" spans="1:7" x14ac:dyDescent="0.3">
      <c r="A7220" t="s">
        <v>395</v>
      </c>
      <c r="B7220" t="s">
        <v>5</v>
      </c>
      <c r="C7220" t="s">
        <v>6</v>
      </c>
      <c r="D7220" t="s">
        <v>22</v>
      </c>
      <c r="E7220" s="68">
        <v>2658</v>
      </c>
      <c r="F7220" s="68">
        <v>2066</v>
      </c>
      <c r="G7220" s="68">
        <v>4724</v>
      </c>
    </row>
    <row r="7221" spans="1:7" x14ac:dyDescent="0.3">
      <c r="A7221" t="s">
        <v>395</v>
      </c>
      <c r="B7221" t="s">
        <v>5</v>
      </c>
      <c r="C7221" t="s">
        <v>6</v>
      </c>
      <c r="D7221" t="s">
        <v>23</v>
      </c>
      <c r="E7221" s="68">
        <v>3539</v>
      </c>
      <c r="F7221" s="68">
        <v>2082</v>
      </c>
      <c r="G7221" s="68">
        <v>5621</v>
      </c>
    </row>
    <row r="7222" spans="1:7" x14ac:dyDescent="0.3">
      <c r="A7222" t="s">
        <v>395</v>
      </c>
      <c r="B7222" t="s">
        <v>5</v>
      </c>
      <c r="C7222" t="s">
        <v>24</v>
      </c>
      <c r="D7222" t="s">
        <v>7</v>
      </c>
      <c r="E7222" s="68">
        <v>2856</v>
      </c>
      <c r="F7222" s="68">
        <v>3010</v>
      </c>
      <c r="G7222" s="68">
        <v>5866</v>
      </c>
    </row>
    <row r="7223" spans="1:7" x14ac:dyDescent="0.3">
      <c r="A7223" t="s">
        <v>395</v>
      </c>
      <c r="B7223" t="s">
        <v>5</v>
      </c>
      <c r="C7223" t="s">
        <v>24</v>
      </c>
      <c r="D7223" t="s">
        <v>8</v>
      </c>
      <c r="E7223" s="68">
        <v>4466</v>
      </c>
      <c r="F7223" s="68">
        <v>4548</v>
      </c>
      <c r="G7223" s="68">
        <v>9014</v>
      </c>
    </row>
    <row r="7224" spans="1:7" x14ac:dyDescent="0.3">
      <c r="A7224" t="s">
        <v>395</v>
      </c>
      <c r="B7224" t="s">
        <v>5</v>
      </c>
      <c r="C7224" t="s">
        <v>24</v>
      </c>
      <c r="D7224" t="s">
        <v>9</v>
      </c>
      <c r="E7224" s="68">
        <v>6241</v>
      </c>
      <c r="F7224" s="68">
        <v>6712</v>
      </c>
      <c r="G7224" s="68">
        <v>12953</v>
      </c>
    </row>
    <row r="7225" spans="1:7" x14ac:dyDescent="0.3">
      <c r="A7225" t="s">
        <v>395</v>
      </c>
      <c r="B7225" t="s">
        <v>5</v>
      </c>
      <c r="C7225" t="s">
        <v>24</v>
      </c>
      <c r="D7225" t="s">
        <v>10</v>
      </c>
      <c r="E7225" s="68">
        <v>6497</v>
      </c>
      <c r="F7225" s="68">
        <v>6693</v>
      </c>
      <c r="G7225" s="68">
        <v>13190</v>
      </c>
    </row>
    <row r="7226" spans="1:7" x14ac:dyDescent="0.3">
      <c r="A7226" t="s">
        <v>395</v>
      </c>
      <c r="B7226" t="s">
        <v>5</v>
      </c>
      <c r="C7226" t="s">
        <v>24</v>
      </c>
      <c r="D7226" t="s">
        <v>11</v>
      </c>
      <c r="E7226" s="68">
        <v>4884</v>
      </c>
      <c r="F7226" s="68">
        <v>4768</v>
      </c>
      <c r="G7226" s="68">
        <v>9652</v>
      </c>
    </row>
    <row r="7227" spans="1:7" x14ac:dyDescent="0.3">
      <c r="A7227" t="s">
        <v>395</v>
      </c>
      <c r="B7227" t="s">
        <v>5</v>
      </c>
      <c r="C7227" t="s">
        <v>24</v>
      </c>
      <c r="D7227" t="s">
        <v>12</v>
      </c>
      <c r="E7227" s="68">
        <v>5164</v>
      </c>
      <c r="F7227" s="68">
        <v>4939</v>
      </c>
      <c r="G7227" s="68">
        <v>10103</v>
      </c>
    </row>
    <row r="7228" spans="1:7" x14ac:dyDescent="0.3">
      <c r="A7228" t="s">
        <v>395</v>
      </c>
      <c r="B7228" t="s">
        <v>5</v>
      </c>
      <c r="C7228" t="s">
        <v>24</v>
      </c>
      <c r="D7228" t="s">
        <v>13</v>
      </c>
      <c r="E7228" s="68">
        <v>5130</v>
      </c>
      <c r="F7228" s="68">
        <v>4542</v>
      </c>
      <c r="G7228" s="68">
        <v>9672</v>
      </c>
    </row>
    <row r="7229" spans="1:7" x14ac:dyDescent="0.3">
      <c r="A7229" t="s">
        <v>395</v>
      </c>
      <c r="B7229" t="s">
        <v>5</v>
      </c>
      <c r="C7229" t="s">
        <v>24</v>
      </c>
      <c r="D7229" t="s">
        <v>14</v>
      </c>
      <c r="E7229" s="68">
        <v>4677</v>
      </c>
      <c r="F7229" s="68">
        <v>4241</v>
      </c>
      <c r="G7229" s="68">
        <v>8918</v>
      </c>
    </row>
    <row r="7230" spans="1:7" x14ac:dyDescent="0.3">
      <c r="A7230" t="s">
        <v>395</v>
      </c>
      <c r="B7230" t="s">
        <v>5</v>
      </c>
      <c r="C7230" t="s">
        <v>24</v>
      </c>
      <c r="D7230" t="s">
        <v>15</v>
      </c>
      <c r="E7230" s="68">
        <v>4735</v>
      </c>
      <c r="F7230" s="68">
        <v>4242</v>
      </c>
      <c r="G7230" s="68">
        <v>8977</v>
      </c>
    </row>
    <row r="7231" spans="1:7" x14ac:dyDescent="0.3">
      <c r="A7231" t="s">
        <v>395</v>
      </c>
      <c r="B7231" t="s">
        <v>5</v>
      </c>
      <c r="C7231" t="s">
        <v>24</v>
      </c>
      <c r="D7231" t="s">
        <v>16</v>
      </c>
      <c r="E7231" s="68">
        <v>4574</v>
      </c>
      <c r="F7231" s="68">
        <v>4131</v>
      </c>
      <c r="G7231" s="68">
        <v>8705</v>
      </c>
    </row>
    <row r="7232" spans="1:7" x14ac:dyDescent="0.3">
      <c r="A7232" t="s">
        <v>395</v>
      </c>
      <c r="B7232" t="s">
        <v>5</v>
      </c>
      <c r="C7232" t="s">
        <v>24</v>
      </c>
      <c r="D7232" t="s">
        <v>17</v>
      </c>
      <c r="E7232" s="68">
        <v>4403</v>
      </c>
      <c r="F7232" s="68">
        <v>4046</v>
      </c>
      <c r="G7232" s="68">
        <v>8449</v>
      </c>
    </row>
    <row r="7233" spans="1:7" x14ac:dyDescent="0.3">
      <c r="A7233" t="s">
        <v>395</v>
      </c>
      <c r="B7233" t="s">
        <v>5</v>
      </c>
      <c r="C7233" t="s">
        <v>24</v>
      </c>
      <c r="D7233" t="s">
        <v>18</v>
      </c>
      <c r="E7233" s="68">
        <v>4272</v>
      </c>
      <c r="F7233" s="68">
        <v>4068</v>
      </c>
      <c r="G7233" s="68">
        <v>8340</v>
      </c>
    </row>
    <row r="7234" spans="1:7" x14ac:dyDescent="0.3">
      <c r="A7234" t="s">
        <v>395</v>
      </c>
      <c r="B7234" t="s">
        <v>5</v>
      </c>
      <c r="C7234" t="s">
        <v>24</v>
      </c>
      <c r="D7234" t="s">
        <v>19</v>
      </c>
      <c r="E7234" s="68">
        <v>3881</v>
      </c>
      <c r="F7234" s="68">
        <v>3927</v>
      </c>
      <c r="G7234" s="68">
        <v>7808</v>
      </c>
    </row>
    <row r="7235" spans="1:7" x14ac:dyDescent="0.3">
      <c r="A7235" t="s">
        <v>395</v>
      </c>
      <c r="B7235" t="s">
        <v>5</v>
      </c>
      <c r="C7235" t="s">
        <v>24</v>
      </c>
      <c r="D7235" t="s">
        <v>20</v>
      </c>
      <c r="E7235" s="68">
        <v>3018</v>
      </c>
      <c r="F7235" s="68">
        <v>2891</v>
      </c>
      <c r="G7235" s="68">
        <v>5909</v>
      </c>
    </row>
    <row r="7236" spans="1:7" x14ac:dyDescent="0.3">
      <c r="A7236" t="s">
        <v>395</v>
      </c>
      <c r="B7236" t="s">
        <v>5</v>
      </c>
      <c r="C7236" t="s">
        <v>24</v>
      </c>
      <c r="D7236" t="s">
        <v>21</v>
      </c>
      <c r="E7236" s="68">
        <v>2354</v>
      </c>
      <c r="F7236" s="68">
        <v>2290</v>
      </c>
      <c r="G7236" s="68">
        <v>4644</v>
      </c>
    </row>
    <row r="7237" spans="1:7" x14ac:dyDescent="0.3">
      <c r="A7237" t="s">
        <v>395</v>
      </c>
      <c r="B7237" t="s">
        <v>5</v>
      </c>
      <c r="C7237" t="s">
        <v>24</v>
      </c>
      <c r="D7237" t="s">
        <v>22</v>
      </c>
      <c r="E7237" s="68">
        <v>1830</v>
      </c>
      <c r="F7237" s="68">
        <v>1784</v>
      </c>
      <c r="G7237" s="68">
        <v>3614</v>
      </c>
    </row>
    <row r="7238" spans="1:7" x14ac:dyDescent="0.3">
      <c r="A7238" t="s">
        <v>395</v>
      </c>
      <c r="B7238" t="s">
        <v>5</v>
      </c>
      <c r="C7238" t="s">
        <v>24</v>
      </c>
      <c r="D7238" t="s">
        <v>23</v>
      </c>
      <c r="E7238" s="68">
        <v>2684</v>
      </c>
      <c r="F7238" s="68">
        <v>2105</v>
      </c>
      <c r="G7238" s="68">
        <v>4789</v>
      </c>
    </row>
    <row r="7239" spans="1:7" x14ac:dyDescent="0.3">
      <c r="A7239" t="s">
        <v>395</v>
      </c>
      <c r="B7239" t="s">
        <v>33</v>
      </c>
      <c r="C7239" t="s">
        <v>6</v>
      </c>
      <c r="D7239" t="s">
        <v>13</v>
      </c>
      <c r="E7239" s="68"/>
      <c r="F7239" s="68">
        <v>1</v>
      </c>
      <c r="G7239" s="68">
        <v>1</v>
      </c>
    </row>
    <row r="7240" spans="1:7" x14ac:dyDescent="0.3">
      <c r="A7240" t="s">
        <v>395</v>
      </c>
      <c r="B7240" t="s">
        <v>34</v>
      </c>
      <c r="C7240" t="s">
        <v>6</v>
      </c>
      <c r="D7240" t="s">
        <v>7</v>
      </c>
      <c r="E7240" s="68">
        <v>2612</v>
      </c>
      <c r="F7240" s="68">
        <v>2662</v>
      </c>
      <c r="G7240" s="68">
        <v>5274</v>
      </c>
    </row>
    <row r="7241" spans="1:7" x14ac:dyDescent="0.3">
      <c r="A7241" t="s">
        <v>395</v>
      </c>
      <c r="B7241" t="s">
        <v>34</v>
      </c>
      <c r="C7241" t="s">
        <v>6</v>
      </c>
      <c r="D7241" t="s">
        <v>8</v>
      </c>
      <c r="E7241" s="68">
        <v>3404</v>
      </c>
      <c r="F7241" s="68">
        <v>3567</v>
      </c>
      <c r="G7241" s="68">
        <v>6971</v>
      </c>
    </row>
    <row r="7242" spans="1:7" x14ac:dyDescent="0.3">
      <c r="A7242" t="s">
        <v>395</v>
      </c>
      <c r="B7242" t="s">
        <v>34</v>
      </c>
      <c r="C7242" t="s">
        <v>6</v>
      </c>
      <c r="D7242" t="s">
        <v>9</v>
      </c>
      <c r="E7242" s="68">
        <v>3947</v>
      </c>
      <c r="F7242" s="68">
        <v>3995</v>
      </c>
      <c r="G7242" s="68">
        <v>7942</v>
      </c>
    </row>
    <row r="7243" spans="1:7" x14ac:dyDescent="0.3">
      <c r="A7243" t="s">
        <v>395</v>
      </c>
      <c r="B7243" t="s">
        <v>34</v>
      </c>
      <c r="C7243" t="s">
        <v>6</v>
      </c>
      <c r="D7243" t="s">
        <v>10</v>
      </c>
      <c r="E7243" s="68">
        <v>3766</v>
      </c>
      <c r="F7243" s="68">
        <v>3884</v>
      </c>
      <c r="G7243" s="68">
        <v>7650</v>
      </c>
    </row>
    <row r="7244" spans="1:7" x14ac:dyDescent="0.3">
      <c r="A7244" t="s">
        <v>395</v>
      </c>
      <c r="B7244" t="s">
        <v>34</v>
      </c>
      <c r="C7244" t="s">
        <v>6</v>
      </c>
      <c r="D7244" t="s">
        <v>11</v>
      </c>
      <c r="E7244" s="68">
        <v>4109</v>
      </c>
      <c r="F7244" s="68">
        <v>4213</v>
      </c>
      <c r="G7244" s="68">
        <v>8322</v>
      </c>
    </row>
    <row r="7245" spans="1:7" x14ac:dyDescent="0.3">
      <c r="A7245" t="s">
        <v>395</v>
      </c>
      <c r="B7245" t="s">
        <v>34</v>
      </c>
      <c r="C7245" t="s">
        <v>6</v>
      </c>
      <c r="D7245" t="s">
        <v>12</v>
      </c>
      <c r="E7245" s="68">
        <v>4940</v>
      </c>
      <c r="F7245" s="68">
        <v>4334</v>
      </c>
      <c r="G7245" s="68">
        <v>9274</v>
      </c>
    </row>
    <row r="7246" spans="1:7" x14ac:dyDescent="0.3">
      <c r="A7246" t="s">
        <v>395</v>
      </c>
      <c r="B7246" t="s">
        <v>34</v>
      </c>
      <c r="C7246" t="s">
        <v>6</v>
      </c>
      <c r="D7246" t="s">
        <v>13</v>
      </c>
      <c r="E7246" s="68">
        <v>6313</v>
      </c>
      <c r="F7246" s="68">
        <v>5394</v>
      </c>
      <c r="G7246" s="68">
        <v>11707</v>
      </c>
    </row>
    <row r="7247" spans="1:7" x14ac:dyDescent="0.3">
      <c r="A7247" t="s">
        <v>395</v>
      </c>
      <c r="B7247" t="s">
        <v>34</v>
      </c>
      <c r="C7247" t="s">
        <v>6</v>
      </c>
      <c r="D7247" t="s">
        <v>14</v>
      </c>
      <c r="E7247" s="68">
        <v>6313</v>
      </c>
      <c r="F7247" s="68">
        <v>5332</v>
      </c>
      <c r="G7247" s="68">
        <v>11645</v>
      </c>
    </row>
    <row r="7248" spans="1:7" x14ac:dyDescent="0.3">
      <c r="A7248" t="s">
        <v>395</v>
      </c>
      <c r="B7248" t="s">
        <v>34</v>
      </c>
      <c r="C7248" t="s">
        <v>6</v>
      </c>
      <c r="D7248" t="s">
        <v>15</v>
      </c>
      <c r="E7248" s="68">
        <v>5501</v>
      </c>
      <c r="F7248" s="68">
        <v>4959</v>
      </c>
      <c r="G7248" s="68">
        <v>10460</v>
      </c>
    </row>
    <row r="7249" spans="1:7" x14ac:dyDescent="0.3">
      <c r="A7249" t="s">
        <v>395</v>
      </c>
      <c r="B7249" t="s">
        <v>34</v>
      </c>
      <c r="C7249" t="s">
        <v>6</v>
      </c>
      <c r="D7249" t="s">
        <v>16</v>
      </c>
      <c r="E7249" s="68">
        <v>4549</v>
      </c>
      <c r="F7249" s="68">
        <v>4104</v>
      </c>
      <c r="G7249" s="68">
        <v>8653</v>
      </c>
    </row>
    <row r="7250" spans="1:7" x14ac:dyDescent="0.3">
      <c r="A7250" t="s">
        <v>395</v>
      </c>
      <c r="B7250" t="s">
        <v>34</v>
      </c>
      <c r="C7250" t="s">
        <v>6</v>
      </c>
      <c r="D7250" t="s">
        <v>17</v>
      </c>
      <c r="E7250" s="68">
        <v>3673</v>
      </c>
      <c r="F7250" s="68">
        <v>3150</v>
      </c>
      <c r="G7250" s="68">
        <v>6823</v>
      </c>
    </row>
    <row r="7251" spans="1:7" x14ac:dyDescent="0.3">
      <c r="A7251" t="s">
        <v>395</v>
      </c>
      <c r="B7251" t="s">
        <v>34</v>
      </c>
      <c r="C7251" t="s">
        <v>6</v>
      </c>
      <c r="D7251" t="s">
        <v>18</v>
      </c>
      <c r="E7251" s="68">
        <v>3580</v>
      </c>
      <c r="F7251" s="68">
        <v>2988</v>
      </c>
      <c r="G7251" s="68">
        <v>6568</v>
      </c>
    </row>
    <row r="7252" spans="1:7" x14ac:dyDescent="0.3">
      <c r="A7252" t="s">
        <v>395</v>
      </c>
      <c r="B7252" t="s">
        <v>34</v>
      </c>
      <c r="C7252" t="s">
        <v>6</v>
      </c>
      <c r="D7252" t="s">
        <v>19</v>
      </c>
      <c r="E7252" s="68">
        <v>3286</v>
      </c>
      <c r="F7252" s="68">
        <v>2556</v>
      </c>
      <c r="G7252" s="68">
        <v>5842</v>
      </c>
    </row>
    <row r="7253" spans="1:7" x14ac:dyDescent="0.3">
      <c r="A7253" t="s">
        <v>395</v>
      </c>
      <c r="B7253" t="s">
        <v>34</v>
      </c>
      <c r="C7253" t="s">
        <v>6</v>
      </c>
      <c r="D7253" t="s">
        <v>20</v>
      </c>
      <c r="E7253" s="68">
        <v>2221</v>
      </c>
      <c r="F7253" s="68">
        <v>1856</v>
      </c>
      <c r="G7253" s="68">
        <v>4077</v>
      </c>
    </row>
    <row r="7254" spans="1:7" x14ac:dyDescent="0.3">
      <c r="A7254" t="s">
        <v>395</v>
      </c>
      <c r="B7254" t="s">
        <v>34</v>
      </c>
      <c r="C7254" t="s">
        <v>6</v>
      </c>
      <c r="D7254" t="s">
        <v>21</v>
      </c>
      <c r="E7254" s="68">
        <v>1331</v>
      </c>
      <c r="F7254" s="68">
        <v>1096</v>
      </c>
      <c r="G7254" s="68">
        <v>2427</v>
      </c>
    </row>
    <row r="7255" spans="1:7" x14ac:dyDescent="0.3">
      <c r="A7255" t="s">
        <v>395</v>
      </c>
      <c r="B7255" t="s">
        <v>34</v>
      </c>
      <c r="C7255" t="s">
        <v>6</v>
      </c>
      <c r="D7255" t="s">
        <v>22</v>
      </c>
      <c r="E7255" s="68">
        <v>781</v>
      </c>
      <c r="F7255" s="68">
        <v>668</v>
      </c>
      <c r="G7255" s="68">
        <v>1449</v>
      </c>
    </row>
    <row r="7256" spans="1:7" x14ac:dyDescent="0.3">
      <c r="A7256" t="s">
        <v>395</v>
      </c>
      <c r="B7256" t="s">
        <v>34</v>
      </c>
      <c r="C7256" t="s">
        <v>6</v>
      </c>
      <c r="D7256" t="s">
        <v>23</v>
      </c>
      <c r="E7256" s="68">
        <v>890</v>
      </c>
      <c r="F7256" s="68">
        <v>545</v>
      </c>
      <c r="G7256" s="68">
        <v>1435</v>
      </c>
    </row>
    <row r="7257" spans="1:7" x14ac:dyDescent="0.3">
      <c r="A7257" t="s">
        <v>395</v>
      </c>
      <c r="B7257" t="s">
        <v>34</v>
      </c>
      <c r="C7257" t="s">
        <v>24</v>
      </c>
      <c r="D7257" t="s">
        <v>7</v>
      </c>
      <c r="E7257" s="68">
        <v>859</v>
      </c>
      <c r="F7257" s="68">
        <v>885</v>
      </c>
      <c r="G7257" s="68">
        <v>1744</v>
      </c>
    </row>
    <row r="7258" spans="1:7" x14ac:dyDescent="0.3">
      <c r="A7258" t="s">
        <v>395</v>
      </c>
      <c r="B7258" t="s">
        <v>34</v>
      </c>
      <c r="C7258" t="s">
        <v>24</v>
      </c>
      <c r="D7258" t="s">
        <v>8</v>
      </c>
      <c r="E7258" s="68">
        <v>1443</v>
      </c>
      <c r="F7258" s="68">
        <v>1473</v>
      </c>
      <c r="G7258" s="68">
        <v>2916</v>
      </c>
    </row>
    <row r="7259" spans="1:7" x14ac:dyDescent="0.3">
      <c r="A7259" t="s">
        <v>395</v>
      </c>
      <c r="B7259" t="s">
        <v>34</v>
      </c>
      <c r="C7259" t="s">
        <v>24</v>
      </c>
      <c r="D7259" t="s">
        <v>9</v>
      </c>
      <c r="E7259" s="68">
        <v>1362</v>
      </c>
      <c r="F7259" s="68">
        <v>1504</v>
      </c>
      <c r="G7259" s="68">
        <v>2866</v>
      </c>
    </row>
    <row r="7260" spans="1:7" x14ac:dyDescent="0.3">
      <c r="A7260" t="s">
        <v>395</v>
      </c>
      <c r="B7260" t="s">
        <v>34</v>
      </c>
      <c r="C7260" t="s">
        <v>24</v>
      </c>
      <c r="D7260" t="s">
        <v>10</v>
      </c>
      <c r="E7260" s="68">
        <v>1383</v>
      </c>
      <c r="F7260" s="68">
        <v>1428</v>
      </c>
      <c r="G7260" s="68">
        <v>2811</v>
      </c>
    </row>
    <row r="7261" spans="1:7" x14ac:dyDescent="0.3">
      <c r="A7261" t="s">
        <v>395</v>
      </c>
      <c r="B7261" t="s">
        <v>34</v>
      </c>
      <c r="C7261" t="s">
        <v>24</v>
      </c>
      <c r="D7261" t="s">
        <v>11</v>
      </c>
      <c r="E7261" s="68">
        <v>1329</v>
      </c>
      <c r="F7261" s="68">
        <v>1228</v>
      </c>
      <c r="G7261" s="68">
        <v>2557</v>
      </c>
    </row>
    <row r="7262" spans="1:7" x14ac:dyDescent="0.3">
      <c r="A7262" t="s">
        <v>395</v>
      </c>
      <c r="B7262" t="s">
        <v>34</v>
      </c>
      <c r="C7262" t="s">
        <v>24</v>
      </c>
      <c r="D7262" t="s">
        <v>12</v>
      </c>
      <c r="E7262" s="68">
        <v>2090</v>
      </c>
      <c r="F7262" s="68">
        <v>1844</v>
      </c>
      <c r="G7262" s="68">
        <v>3934</v>
      </c>
    </row>
    <row r="7263" spans="1:7" x14ac:dyDescent="0.3">
      <c r="A7263" t="s">
        <v>395</v>
      </c>
      <c r="B7263" t="s">
        <v>34</v>
      </c>
      <c r="C7263" t="s">
        <v>24</v>
      </c>
      <c r="D7263" t="s">
        <v>13</v>
      </c>
      <c r="E7263" s="68">
        <v>2027</v>
      </c>
      <c r="F7263" s="68">
        <v>1631</v>
      </c>
      <c r="G7263" s="68">
        <v>3658</v>
      </c>
    </row>
    <row r="7264" spans="1:7" x14ac:dyDescent="0.3">
      <c r="A7264" t="s">
        <v>395</v>
      </c>
      <c r="B7264" t="s">
        <v>34</v>
      </c>
      <c r="C7264" t="s">
        <v>24</v>
      </c>
      <c r="D7264" t="s">
        <v>14</v>
      </c>
      <c r="E7264" s="68">
        <v>1610</v>
      </c>
      <c r="F7264" s="68">
        <v>1312</v>
      </c>
      <c r="G7264" s="68">
        <v>2922</v>
      </c>
    </row>
    <row r="7265" spans="1:7" x14ac:dyDescent="0.3">
      <c r="A7265" t="s">
        <v>395</v>
      </c>
      <c r="B7265" t="s">
        <v>34</v>
      </c>
      <c r="C7265" t="s">
        <v>24</v>
      </c>
      <c r="D7265" t="s">
        <v>15</v>
      </c>
      <c r="E7265" s="68">
        <v>1476</v>
      </c>
      <c r="F7265" s="68">
        <v>1262</v>
      </c>
      <c r="G7265" s="68">
        <v>2738</v>
      </c>
    </row>
    <row r="7266" spans="1:7" x14ac:dyDescent="0.3">
      <c r="A7266" t="s">
        <v>395</v>
      </c>
      <c r="B7266" t="s">
        <v>34</v>
      </c>
      <c r="C7266" t="s">
        <v>24</v>
      </c>
      <c r="D7266" t="s">
        <v>16</v>
      </c>
      <c r="E7266" s="68">
        <v>1247</v>
      </c>
      <c r="F7266" s="68">
        <v>1044</v>
      </c>
      <c r="G7266" s="68">
        <v>2291</v>
      </c>
    </row>
    <row r="7267" spans="1:7" x14ac:dyDescent="0.3">
      <c r="A7267" t="s">
        <v>395</v>
      </c>
      <c r="B7267" t="s">
        <v>34</v>
      </c>
      <c r="C7267" t="s">
        <v>24</v>
      </c>
      <c r="D7267" t="s">
        <v>17</v>
      </c>
      <c r="E7267" s="68">
        <v>1133</v>
      </c>
      <c r="F7267" s="68">
        <v>863</v>
      </c>
      <c r="G7267" s="68">
        <v>1996</v>
      </c>
    </row>
    <row r="7268" spans="1:7" x14ac:dyDescent="0.3">
      <c r="A7268" t="s">
        <v>395</v>
      </c>
      <c r="B7268" t="s">
        <v>34</v>
      </c>
      <c r="C7268" t="s">
        <v>24</v>
      </c>
      <c r="D7268" t="s">
        <v>18</v>
      </c>
      <c r="E7268" s="68">
        <v>1216</v>
      </c>
      <c r="F7268" s="68">
        <v>826</v>
      </c>
      <c r="G7268" s="68">
        <v>2042</v>
      </c>
    </row>
    <row r="7269" spans="1:7" x14ac:dyDescent="0.3">
      <c r="A7269" t="s">
        <v>395</v>
      </c>
      <c r="B7269" t="s">
        <v>34</v>
      </c>
      <c r="C7269" t="s">
        <v>24</v>
      </c>
      <c r="D7269" t="s">
        <v>19</v>
      </c>
      <c r="E7269" s="68">
        <v>1149</v>
      </c>
      <c r="F7269" s="68">
        <v>853</v>
      </c>
      <c r="G7269" s="68">
        <v>2002</v>
      </c>
    </row>
    <row r="7270" spans="1:7" x14ac:dyDescent="0.3">
      <c r="A7270" t="s">
        <v>395</v>
      </c>
      <c r="B7270" t="s">
        <v>34</v>
      </c>
      <c r="C7270" t="s">
        <v>24</v>
      </c>
      <c r="D7270" t="s">
        <v>20</v>
      </c>
      <c r="E7270" s="68">
        <v>703</v>
      </c>
      <c r="F7270" s="68">
        <v>579</v>
      </c>
      <c r="G7270" s="68">
        <v>1282</v>
      </c>
    </row>
    <row r="7271" spans="1:7" x14ac:dyDescent="0.3">
      <c r="A7271" t="s">
        <v>395</v>
      </c>
      <c r="B7271" t="s">
        <v>34</v>
      </c>
      <c r="C7271" t="s">
        <v>24</v>
      </c>
      <c r="D7271" t="s">
        <v>21</v>
      </c>
      <c r="E7271" s="68">
        <v>443</v>
      </c>
      <c r="F7271" s="68">
        <v>311</v>
      </c>
      <c r="G7271" s="68">
        <v>754</v>
      </c>
    </row>
    <row r="7272" spans="1:7" x14ac:dyDescent="0.3">
      <c r="A7272" t="s">
        <v>395</v>
      </c>
      <c r="B7272" t="s">
        <v>34</v>
      </c>
      <c r="C7272" t="s">
        <v>24</v>
      </c>
      <c r="D7272" t="s">
        <v>22</v>
      </c>
      <c r="E7272" s="68">
        <v>265</v>
      </c>
      <c r="F7272" s="68">
        <v>221</v>
      </c>
      <c r="G7272" s="68">
        <v>486</v>
      </c>
    </row>
    <row r="7273" spans="1:7" x14ac:dyDescent="0.3">
      <c r="A7273" t="s">
        <v>395</v>
      </c>
      <c r="B7273" t="s">
        <v>34</v>
      </c>
      <c r="C7273" t="s">
        <v>24</v>
      </c>
      <c r="D7273" t="s">
        <v>23</v>
      </c>
      <c r="E7273" s="68">
        <v>392</v>
      </c>
      <c r="F7273" s="68">
        <v>229</v>
      </c>
      <c r="G7273" s="68">
        <v>621</v>
      </c>
    </row>
    <row r="7274" spans="1:7" x14ac:dyDescent="0.3">
      <c r="A7274" t="s">
        <v>395</v>
      </c>
      <c r="B7274" t="s">
        <v>37</v>
      </c>
      <c r="C7274" t="s">
        <v>6</v>
      </c>
      <c r="D7274" t="s">
        <v>7</v>
      </c>
      <c r="E7274" s="68">
        <v>793</v>
      </c>
      <c r="F7274" s="68">
        <v>836</v>
      </c>
      <c r="G7274" s="68">
        <v>1629</v>
      </c>
    </row>
    <row r="7275" spans="1:7" x14ac:dyDescent="0.3">
      <c r="A7275" t="s">
        <v>395</v>
      </c>
      <c r="B7275" t="s">
        <v>37</v>
      </c>
      <c r="C7275" t="s">
        <v>6</v>
      </c>
      <c r="D7275" t="s">
        <v>8</v>
      </c>
      <c r="E7275" s="68">
        <v>1215</v>
      </c>
      <c r="F7275" s="68">
        <v>1337</v>
      </c>
      <c r="G7275" s="68">
        <v>2552</v>
      </c>
    </row>
    <row r="7276" spans="1:7" x14ac:dyDescent="0.3">
      <c r="A7276" t="s">
        <v>395</v>
      </c>
      <c r="B7276" t="s">
        <v>37</v>
      </c>
      <c r="C7276" t="s">
        <v>6</v>
      </c>
      <c r="D7276" t="s">
        <v>9</v>
      </c>
      <c r="E7276" s="68">
        <v>1758</v>
      </c>
      <c r="F7276" s="68">
        <v>1805</v>
      </c>
      <c r="G7276" s="68">
        <v>3563</v>
      </c>
    </row>
    <row r="7277" spans="1:7" x14ac:dyDescent="0.3">
      <c r="A7277" t="s">
        <v>395</v>
      </c>
      <c r="B7277" t="s">
        <v>37</v>
      </c>
      <c r="C7277" t="s">
        <v>6</v>
      </c>
      <c r="D7277" t="s">
        <v>10</v>
      </c>
      <c r="E7277" s="68">
        <v>1935</v>
      </c>
      <c r="F7277" s="68">
        <v>1974</v>
      </c>
      <c r="G7277" s="68">
        <v>3909</v>
      </c>
    </row>
    <row r="7278" spans="1:7" x14ac:dyDescent="0.3">
      <c r="A7278" t="s">
        <v>395</v>
      </c>
      <c r="B7278" t="s">
        <v>37</v>
      </c>
      <c r="C7278" t="s">
        <v>6</v>
      </c>
      <c r="D7278" t="s">
        <v>11</v>
      </c>
      <c r="E7278" s="68">
        <v>1825</v>
      </c>
      <c r="F7278" s="68">
        <v>2204</v>
      </c>
      <c r="G7278" s="68">
        <v>4029</v>
      </c>
    </row>
    <row r="7279" spans="1:7" x14ac:dyDescent="0.3">
      <c r="A7279" t="s">
        <v>395</v>
      </c>
      <c r="B7279" t="s">
        <v>37</v>
      </c>
      <c r="C7279" t="s">
        <v>6</v>
      </c>
      <c r="D7279" t="s">
        <v>12</v>
      </c>
      <c r="E7279" s="68">
        <v>1670</v>
      </c>
      <c r="F7279" s="68">
        <v>1775</v>
      </c>
      <c r="G7279" s="68">
        <v>3445</v>
      </c>
    </row>
    <row r="7280" spans="1:7" x14ac:dyDescent="0.3">
      <c r="A7280" t="s">
        <v>395</v>
      </c>
      <c r="B7280" t="s">
        <v>37</v>
      </c>
      <c r="C7280" t="s">
        <v>6</v>
      </c>
      <c r="D7280" t="s">
        <v>13</v>
      </c>
      <c r="E7280" s="68">
        <v>1900</v>
      </c>
      <c r="F7280" s="68">
        <v>1884</v>
      </c>
      <c r="G7280" s="68">
        <v>3784</v>
      </c>
    </row>
    <row r="7281" spans="1:7" x14ac:dyDescent="0.3">
      <c r="A7281" t="s">
        <v>395</v>
      </c>
      <c r="B7281" t="s">
        <v>37</v>
      </c>
      <c r="C7281" t="s">
        <v>6</v>
      </c>
      <c r="D7281" t="s">
        <v>14</v>
      </c>
      <c r="E7281" s="68">
        <v>2106</v>
      </c>
      <c r="F7281" s="68">
        <v>1933</v>
      </c>
      <c r="G7281" s="68">
        <v>4039</v>
      </c>
    </row>
    <row r="7282" spans="1:7" x14ac:dyDescent="0.3">
      <c r="A7282" t="s">
        <v>395</v>
      </c>
      <c r="B7282" t="s">
        <v>37</v>
      </c>
      <c r="C7282" t="s">
        <v>6</v>
      </c>
      <c r="D7282" t="s">
        <v>15</v>
      </c>
      <c r="E7282" s="68">
        <v>2093</v>
      </c>
      <c r="F7282" s="68">
        <v>2063</v>
      </c>
      <c r="G7282" s="68">
        <v>4156</v>
      </c>
    </row>
    <row r="7283" spans="1:7" x14ac:dyDescent="0.3">
      <c r="A7283" t="s">
        <v>395</v>
      </c>
      <c r="B7283" t="s">
        <v>37</v>
      </c>
      <c r="C7283" t="s">
        <v>6</v>
      </c>
      <c r="D7283" t="s">
        <v>16</v>
      </c>
      <c r="E7283" s="68">
        <v>2088</v>
      </c>
      <c r="F7283" s="68">
        <v>1901</v>
      </c>
      <c r="G7283" s="68">
        <v>3989</v>
      </c>
    </row>
    <row r="7284" spans="1:7" x14ac:dyDescent="0.3">
      <c r="A7284" t="s">
        <v>395</v>
      </c>
      <c r="B7284" t="s">
        <v>37</v>
      </c>
      <c r="C7284" t="s">
        <v>6</v>
      </c>
      <c r="D7284" t="s">
        <v>17</v>
      </c>
      <c r="E7284" s="68">
        <v>1798</v>
      </c>
      <c r="F7284" s="68">
        <v>1698</v>
      </c>
      <c r="G7284" s="68">
        <v>3496</v>
      </c>
    </row>
    <row r="7285" spans="1:7" x14ac:dyDescent="0.3">
      <c r="A7285" t="s">
        <v>395</v>
      </c>
      <c r="B7285" t="s">
        <v>37</v>
      </c>
      <c r="C7285" t="s">
        <v>6</v>
      </c>
      <c r="D7285" t="s">
        <v>18</v>
      </c>
      <c r="E7285" s="68">
        <v>1674</v>
      </c>
      <c r="F7285" s="68">
        <v>1593</v>
      </c>
      <c r="G7285" s="68">
        <v>3267</v>
      </c>
    </row>
    <row r="7286" spans="1:7" x14ac:dyDescent="0.3">
      <c r="A7286" t="s">
        <v>395</v>
      </c>
      <c r="B7286" t="s">
        <v>37</v>
      </c>
      <c r="C7286" t="s">
        <v>6</v>
      </c>
      <c r="D7286" t="s">
        <v>19</v>
      </c>
      <c r="E7286" s="68">
        <v>1638</v>
      </c>
      <c r="F7286" s="68">
        <v>1468</v>
      </c>
      <c r="G7286" s="68">
        <v>3106</v>
      </c>
    </row>
    <row r="7287" spans="1:7" x14ac:dyDescent="0.3">
      <c r="A7287" t="s">
        <v>395</v>
      </c>
      <c r="B7287" t="s">
        <v>37</v>
      </c>
      <c r="C7287" t="s">
        <v>6</v>
      </c>
      <c r="D7287" t="s">
        <v>20</v>
      </c>
      <c r="E7287" s="68">
        <v>1283</v>
      </c>
      <c r="F7287" s="68">
        <v>1117</v>
      </c>
      <c r="G7287" s="68">
        <v>2400</v>
      </c>
    </row>
    <row r="7288" spans="1:7" x14ac:dyDescent="0.3">
      <c r="A7288" t="s">
        <v>395</v>
      </c>
      <c r="B7288" t="s">
        <v>37</v>
      </c>
      <c r="C7288" t="s">
        <v>6</v>
      </c>
      <c r="D7288" t="s">
        <v>21</v>
      </c>
      <c r="E7288" s="68">
        <v>924</v>
      </c>
      <c r="F7288" s="68">
        <v>801</v>
      </c>
      <c r="G7288" s="68">
        <v>1725</v>
      </c>
    </row>
    <row r="7289" spans="1:7" x14ac:dyDescent="0.3">
      <c r="A7289" t="s">
        <v>395</v>
      </c>
      <c r="B7289" t="s">
        <v>37</v>
      </c>
      <c r="C7289" t="s">
        <v>6</v>
      </c>
      <c r="D7289" t="s">
        <v>22</v>
      </c>
      <c r="E7289" s="68">
        <v>586</v>
      </c>
      <c r="F7289" s="68">
        <v>528</v>
      </c>
      <c r="G7289" s="68">
        <v>1114</v>
      </c>
    </row>
    <row r="7290" spans="1:7" x14ac:dyDescent="0.3">
      <c r="A7290" t="s">
        <v>395</v>
      </c>
      <c r="B7290" t="s">
        <v>37</v>
      </c>
      <c r="C7290" t="s">
        <v>6</v>
      </c>
      <c r="D7290" t="s">
        <v>23</v>
      </c>
      <c r="E7290" s="68">
        <v>731</v>
      </c>
      <c r="F7290" s="68">
        <v>454</v>
      </c>
      <c r="G7290" s="68">
        <v>1185</v>
      </c>
    </row>
    <row r="7291" spans="1:7" x14ac:dyDescent="0.3">
      <c r="A7291" t="s">
        <v>395</v>
      </c>
      <c r="B7291" t="s">
        <v>37</v>
      </c>
      <c r="C7291" t="s">
        <v>24</v>
      </c>
      <c r="D7291" t="s">
        <v>7</v>
      </c>
      <c r="E7291" s="68">
        <v>1260</v>
      </c>
      <c r="F7291" s="68">
        <v>1367</v>
      </c>
      <c r="G7291" s="68">
        <v>2627</v>
      </c>
    </row>
    <row r="7292" spans="1:7" x14ac:dyDescent="0.3">
      <c r="A7292" t="s">
        <v>395</v>
      </c>
      <c r="B7292" t="s">
        <v>37</v>
      </c>
      <c r="C7292" t="s">
        <v>24</v>
      </c>
      <c r="D7292" t="s">
        <v>8</v>
      </c>
      <c r="E7292" s="68">
        <v>1880</v>
      </c>
      <c r="F7292" s="68">
        <v>1982</v>
      </c>
      <c r="G7292" s="68">
        <v>3862</v>
      </c>
    </row>
    <row r="7293" spans="1:7" x14ac:dyDescent="0.3">
      <c r="A7293" t="s">
        <v>395</v>
      </c>
      <c r="B7293" t="s">
        <v>37</v>
      </c>
      <c r="C7293" t="s">
        <v>24</v>
      </c>
      <c r="D7293" t="s">
        <v>9</v>
      </c>
      <c r="E7293" s="68">
        <v>2201</v>
      </c>
      <c r="F7293" s="68">
        <v>2423</v>
      </c>
      <c r="G7293" s="68">
        <v>4624</v>
      </c>
    </row>
    <row r="7294" spans="1:7" x14ac:dyDescent="0.3">
      <c r="A7294" t="s">
        <v>395</v>
      </c>
      <c r="B7294" t="s">
        <v>37</v>
      </c>
      <c r="C7294" t="s">
        <v>24</v>
      </c>
      <c r="D7294" t="s">
        <v>10</v>
      </c>
      <c r="E7294" s="68">
        <v>2555</v>
      </c>
      <c r="F7294" s="68">
        <v>2745</v>
      </c>
      <c r="G7294" s="68">
        <v>5300</v>
      </c>
    </row>
    <row r="7295" spans="1:7" x14ac:dyDescent="0.3">
      <c r="A7295" t="s">
        <v>395</v>
      </c>
      <c r="B7295" t="s">
        <v>37</v>
      </c>
      <c r="C7295" t="s">
        <v>24</v>
      </c>
      <c r="D7295" t="s">
        <v>11</v>
      </c>
      <c r="E7295" s="68">
        <v>2042</v>
      </c>
      <c r="F7295" s="68">
        <v>1949</v>
      </c>
      <c r="G7295" s="68">
        <v>3991</v>
      </c>
    </row>
    <row r="7296" spans="1:7" x14ac:dyDescent="0.3">
      <c r="A7296" t="s">
        <v>395</v>
      </c>
      <c r="B7296" t="s">
        <v>37</v>
      </c>
      <c r="C7296" t="s">
        <v>24</v>
      </c>
      <c r="D7296" t="s">
        <v>12</v>
      </c>
      <c r="E7296" s="68">
        <v>2276</v>
      </c>
      <c r="F7296" s="68">
        <v>1944</v>
      </c>
      <c r="G7296" s="68">
        <v>4220</v>
      </c>
    </row>
    <row r="7297" spans="1:7" x14ac:dyDescent="0.3">
      <c r="A7297" t="s">
        <v>395</v>
      </c>
      <c r="B7297" t="s">
        <v>37</v>
      </c>
      <c r="C7297" t="s">
        <v>24</v>
      </c>
      <c r="D7297" t="s">
        <v>13</v>
      </c>
      <c r="E7297" s="68">
        <v>2108</v>
      </c>
      <c r="F7297" s="68">
        <v>1702</v>
      </c>
      <c r="G7297" s="68">
        <v>3810</v>
      </c>
    </row>
    <row r="7298" spans="1:7" x14ac:dyDescent="0.3">
      <c r="A7298" t="s">
        <v>395</v>
      </c>
      <c r="B7298" t="s">
        <v>37</v>
      </c>
      <c r="C7298" t="s">
        <v>24</v>
      </c>
      <c r="D7298" t="s">
        <v>14</v>
      </c>
      <c r="E7298" s="68">
        <v>1901</v>
      </c>
      <c r="F7298" s="68">
        <v>1521</v>
      </c>
      <c r="G7298" s="68">
        <v>3422</v>
      </c>
    </row>
    <row r="7299" spans="1:7" x14ac:dyDescent="0.3">
      <c r="A7299" t="s">
        <v>395</v>
      </c>
      <c r="B7299" t="s">
        <v>37</v>
      </c>
      <c r="C7299" t="s">
        <v>24</v>
      </c>
      <c r="D7299" t="s">
        <v>15</v>
      </c>
      <c r="E7299" s="68">
        <v>2113</v>
      </c>
      <c r="F7299" s="68">
        <v>1578</v>
      </c>
      <c r="G7299" s="68">
        <v>3691</v>
      </c>
    </row>
    <row r="7300" spans="1:7" x14ac:dyDescent="0.3">
      <c r="A7300" t="s">
        <v>395</v>
      </c>
      <c r="B7300" t="s">
        <v>37</v>
      </c>
      <c r="C7300" t="s">
        <v>24</v>
      </c>
      <c r="D7300" t="s">
        <v>16</v>
      </c>
      <c r="E7300" s="68">
        <v>1940</v>
      </c>
      <c r="F7300" s="68">
        <v>1353</v>
      </c>
      <c r="G7300" s="68">
        <v>3293</v>
      </c>
    </row>
    <row r="7301" spans="1:7" x14ac:dyDescent="0.3">
      <c r="A7301" t="s">
        <v>395</v>
      </c>
      <c r="B7301" t="s">
        <v>37</v>
      </c>
      <c r="C7301" t="s">
        <v>24</v>
      </c>
      <c r="D7301" t="s">
        <v>17</v>
      </c>
      <c r="E7301" s="68">
        <v>1656</v>
      </c>
      <c r="F7301" s="68">
        <v>1250</v>
      </c>
      <c r="G7301" s="68">
        <v>2906</v>
      </c>
    </row>
    <row r="7302" spans="1:7" x14ac:dyDescent="0.3">
      <c r="A7302" t="s">
        <v>395</v>
      </c>
      <c r="B7302" t="s">
        <v>37</v>
      </c>
      <c r="C7302" t="s">
        <v>24</v>
      </c>
      <c r="D7302" t="s">
        <v>18</v>
      </c>
      <c r="E7302" s="68">
        <v>1596</v>
      </c>
      <c r="F7302" s="68">
        <v>1247</v>
      </c>
      <c r="G7302" s="68">
        <v>2843</v>
      </c>
    </row>
    <row r="7303" spans="1:7" x14ac:dyDescent="0.3">
      <c r="A7303" t="s">
        <v>395</v>
      </c>
      <c r="B7303" t="s">
        <v>37</v>
      </c>
      <c r="C7303" t="s">
        <v>24</v>
      </c>
      <c r="D7303" t="s">
        <v>19</v>
      </c>
      <c r="E7303" s="68">
        <v>1462</v>
      </c>
      <c r="F7303" s="68">
        <v>1312</v>
      </c>
      <c r="G7303" s="68">
        <v>2774</v>
      </c>
    </row>
    <row r="7304" spans="1:7" x14ac:dyDescent="0.3">
      <c r="A7304" t="s">
        <v>395</v>
      </c>
      <c r="B7304" t="s">
        <v>37</v>
      </c>
      <c r="C7304" t="s">
        <v>24</v>
      </c>
      <c r="D7304" t="s">
        <v>20</v>
      </c>
      <c r="E7304" s="68">
        <v>1015</v>
      </c>
      <c r="F7304" s="68">
        <v>878</v>
      </c>
      <c r="G7304" s="68">
        <v>1893</v>
      </c>
    </row>
    <row r="7305" spans="1:7" x14ac:dyDescent="0.3">
      <c r="A7305" t="s">
        <v>395</v>
      </c>
      <c r="B7305" t="s">
        <v>37</v>
      </c>
      <c r="C7305" t="s">
        <v>24</v>
      </c>
      <c r="D7305" t="s">
        <v>21</v>
      </c>
      <c r="E7305" s="68">
        <v>691</v>
      </c>
      <c r="F7305" s="68">
        <v>618</v>
      </c>
      <c r="G7305" s="68">
        <v>1309</v>
      </c>
    </row>
    <row r="7306" spans="1:7" x14ac:dyDescent="0.3">
      <c r="A7306" t="s">
        <v>395</v>
      </c>
      <c r="B7306" t="s">
        <v>37</v>
      </c>
      <c r="C7306" t="s">
        <v>24</v>
      </c>
      <c r="D7306" t="s">
        <v>22</v>
      </c>
      <c r="E7306" s="68">
        <v>467</v>
      </c>
      <c r="F7306" s="68">
        <v>373</v>
      </c>
      <c r="G7306" s="68">
        <v>840</v>
      </c>
    </row>
    <row r="7307" spans="1:7" x14ac:dyDescent="0.3">
      <c r="A7307" t="s">
        <v>395</v>
      </c>
      <c r="B7307" t="s">
        <v>37</v>
      </c>
      <c r="C7307" t="s">
        <v>24</v>
      </c>
      <c r="D7307" t="s">
        <v>23</v>
      </c>
      <c r="E7307" s="68">
        <v>668</v>
      </c>
      <c r="F7307" s="68">
        <v>429</v>
      </c>
      <c r="G7307" s="68">
        <v>1097</v>
      </c>
    </row>
    <row r="7308" spans="1:7" x14ac:dyDescent="0.3">
      <c r="A7308" t="s">
        <v>395</v>
      </c>
      <c r="B7308" t="s">
        <v>35</v>
      </c>
      <c r="C7308" t="s">
        <v>6</v>
      </c>
      <c r="D7308" t="s">
        <v>7</v>
      </c>
      <c r="E7308" s="68"/>
      <c r="F7308" s="68">
        <v>1</v>
      </c>
      <c r="G7308" s="68">
        <v>1</v>
      </c>
    </row>
    <row r="7309" spans="1:7" x14ac:dyDescent="0.3">
      <c r="A7309" t="s">
        <v>395</v>
      </c>
      <c r="B7309" t="s">
        <v>35</v>
      </c>
      <c r="C7309" t="s">
        <v>6</v>
      </c>
      <c r="D7309" t="s">
        <v>8</v>
      </c>
      <c r="E7309" s="68"/>
      <c r="F7309" s="68">
        <v>1</v>
      </c>
      <c r="G7309" s="68">
        <v>1</v>
      </c>
    </row>
    <row r="7310" spans="1:7" x14ac:dyDescent="0.3">
      <c r="A7310" t="s">
        <v>395</v>
      </c>
      <c r="B7310" t="s">
        <v>35</v>
      </c>
      <c r="C7310" t="s">
        <v>6</v>
      </c>
      <c r="D7310" t="s">
        <v>9</v>
      </c>
      <c r="E7310" s="68">
        <v>3</v>
      </c>
      <c r="F7310" s="68">
        <v>6</v>
      </c>
      <c r="G7310" s="68">
        <v>9</v>
      </c>
    </row>
    <row r="7311" spans="1:7" x14ac:dyDescent="0.3">
      <c r="A7311" t="s">
        <v>395</v>
      </c>
      <c r="B7311" t="s">
        <v>35</v>
      </c>
      <c r="C7311" t="s">
        <v>6</v>
      </c>
      <c r="D7311" t="s">
        <v>10</v>
      </c>
      <c r="E7311" s="68">
        <v>9</v>
      </c>
      <c r="F7311" s="68">
        <v>8</v>
      </c>
      <c r="G7311" s="68">
        <v>17</v>
      </c>
    </row>
    <row r="7312" spans="1:7" x14ac:dyDescent="0.3">
      <c r="A7312" t="s">
        <v>395</v>
      </c>
      <c r="B7312" t="s">
        <v>35</v>
      </c>
      <c r="C7312" t="s">
        <v>6</v>
      </c>
      <c r="D7312" t="s">
        <v>11</v>
      </c>
      <c r="E7312" s="68">
        <v>5</v>
      </c>
      <c r="F7312" s="68">
        <v>2</v>
      </c>
      <c r="G7312" s="68">
        <v>7</v>
      </c>
    </row>
    <row r="7313" spans="1:7" x14ac:dyDescent="0.3">
      <c r="A7313" t="s">
        <v>395</v>
      </c>
      <c r="B7313" t="s">
        <v>35</v>
      </c>
      <c r="C7313" t="s">
        <v>6</v>
      </c>
      <c r="D7313" t="s">
        <v>12</v>
      </c>
      <c r="E7313" s="68">
        <v>2</v>
      </c>
      <c r="F7313" s="68">
        <v>1</v>
      </c>
      <c r="G7313" s="68">
        <v>3</v>
      </c>
    </row>
    <row r="7314" spans="1:7" x14ac:dyDescent="0.3">
      <c r="A7314" t="s">
        <v>395</v>
      </c>
      <c r="B7314" t="s">
        <v>35</v>
      </c>
      <c r="C7314" t="s">
        <v>6</v>
      </c>
      <c r="D7314" t="s">
        <v>13</v>
      </c>
      <c r="E7314" s="68"/>
      <c r="F7314" s="68">
        <v>3</v>
      </c>
      <c r="G7314" s="68">
        <v>3</v>
      </c>
    </row>
    <row r="7315" spans="1:7" x14ac:dyDescent="0.3">
      <c r="A7315" t="s">
        <v>395</v>
      </c>
      <c r="B7315" t="s">
        <v>35</v>
      </c>
      <c r="C7315" t="s">
        <v>6</v>
      </c>
      <c r="D7315" t="s">
        <v>14</v>
      </c>
      <c r="E7315" s="68">
        <v>5</v>
      </c>
      <c r="F7315" s="68">
        <v>4</v>
      </c>
      <c r="G7315" s="68">
        <v>9</v>
      </c>
    </row>
    <row r="7316" spans="1:7" x14ac:dyDescent="0.3">
      <c r="A7316" t="s">
        <v>395</v>
      </c>
      <c r="B7316" t="s">
        <v>35</v>
      </c>
      <c r="C7316" t="s">
        <v>6</v>
      </c>
      <c r="D7316" t="s">
        <v>15</v>
      </c>
      <c r="E7316" s="68">
        <v>7</v>
      </c>
      <c r="F7316" s="68">
        <v>5</v>
      </c>
      <c r="G7316" s="68">
        <v>12</v>
      </c>
    </row>
    <row r="7317" spans="1:7" x14ac:dyDescent="0.3">
      <c r="A7317" t="s">
        <v>395</v>
      </c>
      <c r="B7317" t="s">
        <v>35</v>
      </c>
      <c r="C7317" t="s">
        <v>6</v>
      </c>
      <c r="D7317" t="s">
        <v>16</v>
      </c>
      <c r="E7317" s="68">
        <v>24</v>
      </c>
      <c r="F7317" s="68">
        <v>5</v>
      </c>
      <c r="G7317" s="68">
        <v>29</v>
      </c>
    </row>
    <row r="7318" spans="1:7" x14ac:dyDescent="0.3">
      <c r="A7318" t="s">
        <v>395</v>
      </c>
      <c r="B7318" t="s">
        <v>35</v>
      </c>
      <c r="C7318" t="s">
        <v>6</v>
      </c>
      <c r="D7318" t="s">
        <v>17</v>
      </c>
      <c r="E7318" s="68">
        <v>19</v>
      </c>
      <c r="F7318" s="68">
        <v>13</v>
      </c>
      <c r="G7318" s="68">
        <v>32</v>
      </c>
    </row>
    <row r="7319" spans="1:7" x14ac:dyDescent="0.3">
      <c r="A7319" t="s">
        <v>395</v>
      </c>
      <c r="B7319" t="s">
        <v>35</v>
      </c>
      <c r="C7319" t="s">
        <v>6</v>
      </c>
      <c r="D7319" t="s">
        <v>18</v>
      </c>
      <c r="E7319" s="68">
        <v>44</v>
      </c>
      <c r="F7319" s="68">
        <v>8</v>
      </c>
      <c r="G7319" s="68">
        <v>52</v>
      </c>
    </row>
    <row r="7320" spans="1:7" x14ac:dyDescent="0.3">
      <c r="A7320" t="s">
        <v>395</v>
      </c>
      <c r="B7320" t="s">
        <v>35</v>
      </c>
      <c r="C7320" t="s">
        <v>6</v>
      </c>
      <c r="D7320" t="s">
        <v>19</v>
      </c>
      <c r="E7320" s="68">
        <v>92</v>
      </c>
      <c r="F7320" s="68">
        <v>9</v>
      </c>
      <c r="G7320" s="68">
        <v>101</v>
      </c>
    </row>
    <row r="7321" spans="1:7" x14ac:dyDescent="0.3">
      <c r="A7321" t="s">
        <v>395</v>
      </c>
      <c r="B7321" t="s">
        <v>35</v>
      </c>
      <c r="C7321" t="s">
        <v>6</v>
      </c>
      <c r="D7321" t="s">
        <v>20</v>
      </c>
      <c r="E7321" s="68">
        <v>167</v>
      </c>
      <c r="F7321" s="68">
        <v>27</v>
      </c>
      <c r="G7321" s="68">
        <v>194</v>
      </c>
    </row>
    <row r="7322" spans="1:7" x14ac:dyDescent="0.3">
      <c r="A7322" t="s">
        <v>395</v>
      </c>
      <c r="B7322" t="s">
        <v>35</v>
      </c>
      <c r="C7322" t="s">
        <v>6</v>
      </c>
      <c r="D7322" t="s">
        <v>21</v>
      </c>
      <c r="E7322" s="68">
        <v>138</v>
      </c>
      <c r="F7322" s="68">
        <v>90</v>
      </c>
      <c r="G7322" s="68">
        <v>228</v>
      </c>
    </row>
    <row r="7323" spans="1:7" x14ac:dyDescent="0.3">
      <c r="A7323" t="s">
        <v>395</v>
      </c>
      <c r="B7323" t="s">
        <v>35</v>
      </c>
      <c r="C7323" t="s">
        <v>6</v>
      </c>
      <c r="D7323" t="s">
        <v>22</v>
      </c>
      <c r="E7323" s="68">
        <v>155</v>
      </c>
      <c r="F7323" s="68">
        <v>163</v>
      </c>
      <c r="G7323" s="68">
        <v>318</v>
      </c>
    </row>
    <row r="7324" spans="1:7" x14ac:dyDescent="0.3">
      <c r="A7324" t="s">
        <v>395</v>
      </c>
      <c r="B7324" t="s">
        <v>35</v>
      </c>
      <c r="C7324" t="s">
        <v>6</v>
      </c>
      <c r="D7324" t="s">
        <v>23</v>
      </c>
      <c r="E7324" s="68">
        <v>201</v>
      </c>
      <c r="F7324" s="68">
        <v>161</v>
      </c>
      <c r="G7324" s="68">
        <v>362</v>
      </c>
    </row>
    <row r="7325" spans="1:7" x14ac:dyDescent="0.3">
      <c r="A7325" t="s">
        <v>395</v>
      </c>
      <c r="B7325" t="s">
        <v>365</v>
      </c>
      <c r="C7325" t="s">
        <v>6</v>
      </c>
      <c r="D7325" t="s">
        <v>7</v>
      </c>
      <c r="E7325" s="68">
        <v>1052</v>
      </c>
      <c r="F7325" s="68">
        <v>1162</v>
      </c>
      <c r="G7325" s="68">
        <v>2214</v>
      </c>
    </row>
    <row r="7326" spans="1:7" x14ac:dyDescent="0.3">
      <c r="A7326" t="s">
        <v>395</v>
      </c>
      <c r="B7326" t="s">
        <v>365</v>
      </c>
      <c r="C7326" t="s">
        <v>6</v>
      </c>
      <c r="D7326" t="s">
        <v>8</v>
      </c>
      <c r="E7326" s="68">
        <v>1554</v>
      </c>
      <c r="F7326" s="68">
        <v>1592</v>
      </c>
      <c r="G7326" s="68">
        <v>3146</v>
      </c>
    </row>
    <row r="7327" spans="1:7" x14ac:dyDescent="0.3">
      <c r="A7327" t="s">
        <v>395</v>
      </c>
      <c r="B7327" t="s">
        <v>365</v>
      </c>
      <c r="C7327" t="s">
        <v>6</v>
      </c>
      <c r="D7327" t="s">
        <v>9</v>
      </c>
      <c r="E7327" s="68">
        <v>1863</v>
      </c>
      <c r="F7327" s="68">
        <v>1902</v>
      </c>
      <c r="G7327" s="68">
        <v>3765</v>
      </c>
    </row>
    <row r="7328" spans="1:7" x14ac:dyDescent="0.3">
      <c r="A7328" t="s">
        <v>395</v>
      </c>
      <c r="B7328" t="s">
        <v>365</v>
      </c>
      <c r="C7328" t="s">
        <v>6</v>
      </c>
      <c r="D7328" t="s">
        <v>10</v>
      </c>
      <c r="E7328" s="68">
        <v>1904</v>
      </c>
      <c r="F7328" s="68">
        <v>1971</v>
      </c>
      <c r="G7328" s="68">
        <v>3875</v>
      </c>
    </row>
    <row r="7329" spans="1:7" x14ac:dyDescent="0.3">
      <c r="A7329" t="s">
        <v>395</v>
      </c>
      <c r="B7329" t="s">
        <v>365</v>
      </c>
      <c r="C7329" t="s">
        <v>6</v>
      </c>
      <c r="D7329" t="s">
        <v>11</v>
      </c>
      <c r="E7329" s="68">
        <v>2333</v>
      </c>
      <c r="F7329" s="68">
        <v>2106</v>
      </c>
      <c r="G7329" s="68">
        <v>4439</v>
      </c>
    </row>
    <row r="7330" spans="1:7" x14ac:dyDescent="0.3">
      <c r="A7330" t="s">
        <v>395</v>
      </c>
      <c r="B7330" t="s">
        <v>365</v>
      </c>
      <c r="C7330" t="s">
        <v>6</v>
      </c>
      <c r="D7330" t="s">
        <v>12</v>
      </c>
      <c r="E7330" s="68">
        <v>2922</v>
      </c>
      <c r="F7330" s="68">
        <v>2548</v>
      </c>
      <c r="G7330" s="68">
        <v>5470</v>
      </c>
    </row>
    <row r="7331" spans="1:7" x14ac:dyDescent="0.3">
      <c r="A7331" t="s">
        <v>395</v>
      </c>
      <c r="B7331" t="s">
        <v>365</v>
      </c>
      <c r="C7331" t="s">
        <v>6</v>
      </c>
      <c r="D7331" t="s">
        <v>13</v>
      </c>
      <c r="E7331" s="68">
        <v>2837</v>
      </c>
      <c r="F7331" s="68">
        <v>2548</v>
      </c>
      <c r="G7331" s="68">
        <v>5385</v>
      </c>
    </row>
    <row r="7332" spans="1:7" x14ac:dyDescent="0.3">
      <c r="A7332" t="s">
        <v>395</v>
      </c>
      <c r="B7332" t="s">
        <v>365</v>
      </c>
      <c r="C7332" t="s">
        <v>6</v>
      </c>
      <c r="D7332" t="s">
        <v>14</v>
      </c>
      <c r="E7332" s="68">
        <v>2524</v>
      </c>
      <c r="F7332" s="68">
        <v>2209</v>
      </c>
      <c r="G7332" s="68">
        <v>4733</v>
      </c>
    </row>
    <row r="7333" spans="1:7" x14ac:dyDescent="0.3">
      <c r="A7333" t="s">
        <v>395</v>
      </c>
      <c r="B7333" t="s">
        <v>365</v>
      </c>
      <c r="C7333" t="s">
        <v>6</v>
      </c>
      <c r="D7333" t="s">
        <v>15</v>
      </c>
      <c r="E7333" s="68">
        <v>2412</v>
      </c>
      <c r="F7333" s="68">
        <v>2046</v>
      </c>
      <c r="G7333" s="68">
        <v>4458</v>
      </c>
    </row>
    <row r="7334" spans="1:7" x14ac:dyDescent="0.3">
      <c r="A7334" t="s">
        <v>395</v>
      </c>
      <c r="B7334" t="s">
        <v>365</v>
      </c>
      <c r="C7334" t="s">
        <v>6</v>
      </c>
      <c r="D7334" t="s">
        <v>16</v>
      </c>
      <c r="E7334" s="68">
        <v>2158</v>
      </c>
      <c r="F7334" s="68">
        <v>1980</v>
      </c>
      <c r="G7334" s="68">
        <v>4138</v>
      </c>
    </row>
    <row r="7335" spans="1:7" x14ac:dyDescent="0.3">
      <c r="A7335" t="s">
        <v>395</v>
      </c>
      <c r="B7335" t="s">
        <v>365</v>
      </c>
      <c r="C7335" t="s">
        <v>6</v>
      </c>
      <c r="D7335" t="s">
        <v>17</v>
      </c>
      <c r="E7335" s="68">
        <v>1729</v>
      </c>
      <c r="F7335" s="68">
        <v>1593</v>
      </c>
      <c r="G7335" s="68">
        <v>3322</v>
      </c>
    </row>
    <row r="7336" spans="1:7" x14ac:dyDescent="0.3">
      <c r="A7336" t="s">
        <v>395</v>
      </c>
      <c r="B7336" t="s">
        <v>365</v>
      </c>
      <c r="C7336" t="s">
        <v>6</v>
      </c>
      <c r="D7336" t="s">
        <v>18</v>
      </c>
      <c r="E7336" s="68">
        <v>1586</v>
      </c>
      <c r="F7336" s="68">
        <v>1459</v>
      </c>
      <c r="G7336" s="68">
        <v>3045</v>
      </c>
    </row>
    <row r="7337" spans="1:7" x14ac:dyDescent="0.3">
      <c r="A7337" t="s">
        <v>395</v>
      </c>
      <c r="B7337" t="s">
        <v>365</v>
      </c>
      <c r="C7337" t="s">
        <v>6</v>
      </c>
      <c r="D7337" t="s">
        <v>19</v>
      </c>
      <c r="E7337" s="68">
        <v>1245</v>
      </c>
      <c r="F7337" s="68">
        <v>1206</v>
      </c>
      <c r="G7337" s="68">
        <v>2451</v>
      </c>
    </row>
    <row r="7338" spans="1:7" x14ac:dyDescent="0.3">
      <c r="A7338" t="s">
        <v>395</v>
      </c>
      <c r="B7338" t="s">
        <v>365</v>
      </c>
      <c r="C7338" t="s">
        <v>6</v>
      </c>
      <c r="D7338" t="s">
        <v>20</v>
      </c>
      <c r="E7338" s="68">
        <v>844</v>
      </c>
      <c r="F7338" s="68">
        <v>762</v>
      </c>
      <c r="G7338" s="68">
        <v>1606</v>
      </c>
    </row>
    <row r="7339" spans="1:7" x14ac:dyDescent="0.3">
      <c r="A7339" t="s">
        <v>395</v>
      </c>
      <c r="B7339" t="s">
        <v>365</v>
      </c>
      <c r="C7339" t="s">
        <v>6</v>
      </c>
      <c r="D7339" t="s">
        <v>21</v>
      </c>
      <c r="E7339" s="68">
        <v>635</v>
      </c>
      <c r="F7339" s="68">
        <v>561</v>
      </c>
      <c r="G7339" s="68">
        <v>1196</v>
      </c>
    </row>
    <row r="7340" spans="1:7" x14ac:dyDescent="0.3">
      <c r="A7340" t="s">
        <v>395</v>
      </c>
      <c r="B7340" t="s">
        <v>365</v>
      </c>
      <c r="C7340" t="s">
        <v>6</v>
      </c>
      <c r="D7340" t="s">
        <v>22</v>
      </c>
      <c r="E7340" s="68">
        <v>384</v>
      </c>
      <c r="F7340" s="68">
        <v>383</v>
      </c>
      <c r="G7340" s="68">
        <v>767</v>
      </c>
    </row>
    <row r="7341" spans="1:7" x14ac:dyDescent="0.3">
      <c r="A7341" t="s">
        <v>395</v>
      </c>
      <c r="B7341" t="s">
        <v>365</v>
      </c>
      <c r="C7341" t="s">
        <v>6</v>
      </c>
      <c r="D7341" t="s">
        <v>23</v>
      </c>
      <c r="E7341" s="68">
        <v>462</v>
      </c>
      <c r="F7341" s="68">
        <v>325</v>
      </c>
      <c r="G7341" s="68">
        <v>787</v>
      </c>
    </row>
    <row r="7342" spans="1:7" x14ac:dyDescent="0.3">
      <c r="A7342" t="s">
        <v>395</v>
      </c>
      <c r="B7342" t="s">
        <v>365</v>
      </c>
      <c r="C7342" t="s">
        <v>24</v>
      </c>
      <c r="D7342" t="s">
        <v>7</v>
      </c>
      <c r="E7342" s="68">
        <v>492</v>
      </c>
      <c r="F7342" s="68">
        <v>505</v>
      </c>
      <c r="G7342" s="68">
        <v>997</v>
      </c>
    </row>
    <row r="7343" spans="1:7" x14ac:dyDescent="0.3">
      <c r="A7343" t="s">
        <v>395</v>
      </c>
      <c r="B7343" t="s">
        <v>365</v>
      </c>
      <c r="C7343" t="s">
        <v>24</v>
      </c>
      <c r="D7343" t="s">
        <v>8</v>
      </c>
      <c r="E7343" s="68">
        <v>815</v>
      </c>
      <c r="F7343" s="68">
        <v>843</v>
      </c>
      <c r="G7343" s="68">
        <v>1658</v>
      </c>
    </row>
    <row r="7344" spans="1:7" x14ac:dyDescent="0.3">
      <c r="A7344" t="s">
        <v>395</v>
      </c>
      <c r="B7344" t="s">
        <v>365</v>
      </c>
      <c r="C7344" t="s">
        <v>24</v>
      </c>
      <c r="D7344" t="s">
        <v>9</v>
      </c>
      <c r="E7344" s="68">
        <v>970</v>
      </c>
      <c r="F7344" s="68">
        <v>1009</v>
      </c>
      <c r="G7344" s="68">
        <v>1979</v>
      </c>
    </row>
    <row r="7345" spans="1:7" x14ac:dyDescent="0.3">
      <c r="A7345" t="s">
        <v>395</v>
      </c>
      <c r="B7345" t="s">
        <v>365</v>
      </c>
      <c r="C7345" t="s">
        <v>24</v>
      </c>
      <c r="D7345" t="s">
        <v>10</v>
      </c>
      <c r="E7345" s="68">
        <v>853</v>
      </c>
      <c r="F7345" s="68">
        <v>934</v>
      </c>
      <c r="G7345" s="68">
        <v>1787</v>
      </c>
    </row>
    <row r="7346" spans="1:7" x14ac:dyDescent="0.3">
      <c r="A7346" t="s">
        <v>395</v>
      </c>
      <c r="B7346" t="s">
        <v>365</v>
      </c>
      <c r="C7346" t="s">
        <v>24</v>
      </c>
      <c r="D7346" t="s">
        <v>11</v>
      </c>
      <c r="E7346" s="68">
        <v>902</v>
      </c>
      <c r="F7346" s="68">
        <v>814</v>
      </c>
      <c r="G7346" s="68">
        <v>1716</v>
      </c>
    </row>
    <row r="7347" spans="1:7" x14ac:dyDescent="0.3">
      <c r="A7347" t="s">
        <v>395</v>
      </c>
      <c r="B7347" t="s">
        <v>365</v>
      </c>
      <c r="C7347" t="s">
        <v>24</v>
      </c>
      <c r="D7347" t="s">
        <v>12</v>
      </c>
      <c r="E7347" s="68">
        <v>1090</v>
      </c>
      <c r="F7347" s="68">
        <v>796</v>
      </c>
      <c r="G7347" s="68">
        <v>1886</v>
      </c>
    </row>
    <row r="7348" spans="1:7" x14ac:dyDescent="0.3">
      <c r="A7348" t="s">
        <v>395</v>
      </c>
      <c r="B7348" t="s">
        <v>365</v>
      </c>
      <c r="C7348" t="s">
        <v>24</v>
      </c>
      <c r="D7348" t="s">
        <v>13</v>
      </c>
      <c r="E7348" s="68">
        <v>1022</v>
      </c>
      <c r="F7348" s="68">
        <v>737</v>
      </c>
      <c r="G7348" s="68">
        <v>1759</v>
      </c>
    </row>
    <row r="7349" spans="1:7" x14ac:dyDescent="0.3">
      <c r="A7349" t="s">
        <v>395</v>
      </c>
      <c r="B7349" t="s">
        <v>365</v>
      </c>
      <c r="C7349" t="s">
        <v>24</v>
      </c>
      <c r="D7349" t="s">
        <v>14</v>
      </c>
      <c r="E7349" s="68">
        <v>813</v>
      </c>
      <c r="F7349" s="68">
        <v>557</v>
      </c>
      <c r="G7349" s="68">
        <v>1370</v>
      </c>
    </row>
    <row r="7350" spans="1:7" x14ac:dyDescent="0.3">
      <c r="A7350" t="s">
        <v>395</v>
      </c>
      <c r="B7350" t="s">
        <v>365</v>
      </c>
      <c r="C7350" t="s">
        <v>24</v>
      </c>
      <c r="D7350" t="s">
        <v>15</v>
      </c>
      <c r="E7350" s="68">
        <v>855</v>
      </c>
      <c r="F7350" s="68">
        <v>562</v>
      </c>
      <c r="G7350" s="68">
        <v>1417</v>
      </c>
    </row>
    <row r="7351" spans="1:7" x14ac:dyDescent="0.3">
      <c r="A7351" t="s">
        <v>395</v>
      </c>
      <c r="B7351" t="s">
        <v>365</v>
      </c>
      <c r="C7351" t="s">
        <v>24</v>
      </c>
      <c r="D7351" t="s">
        <v>16</v>
      </c>
      <c r="E7351" s="68">
        <v>904</v>
      </c>
      <c r="F7351" s="68">
        <v>561</v>
      </c>
      <c r="G7351" s="68">
        <v>1465</v>
      </c>
    </row>
    <row r="7352" spans="1:7" x14ac:dyDescent="0.3">
      <c r="A7352" t="s">
        <v>395</v>
      </c>
      <c r="B7352" t="s">
        <v>365</v>
      </c>
      <c r="C7352" t="s">
        <v>24</v>
      </c>
      <c r="D7352" t="s">
        <v>17</v>
      </c>
      <c r="E7352" s="68">
        <v>838</v>
      </c>
      <c r="F7352" s="68">
        <v>563</v>
      </c>
      <c r="G7352" s="68">
        <v>1401</v>
      </c>
    </row>
    <row r="7353" spans="1:7" x14ac:dyDescent="0.3">
      <c r="A7353" t="s">
        <v>395</v>
      </c>
      <c r="B7353" t="s">
        <v>365</v>
      </c>
      <c r="C7353" t="s">
        <v>24</v>
      </c>
      <c r="D7353" t="s">
        <v>18</v>
      </c>
      <c r="E7353" s="68">
        <v>742</v>
      </c>
      <c r="F7353" s="68">
        <v>555</v>
      </c>
      <c r="G7353" s="68">
        <v>1297</v>
      </c>
    </row>
    <row r="7354" spans="1:7" x14ac:dyDescent="0.3">
      <c r="A7354" t="s">
        <v>395</v>
      </c>
      <c r="B7354" t="s">
        <v>365</v>
      </c>
      <c r="C7354" t="s">
        <v>24</v>
      </c>
      <c r="D7354" t="s">
        <v>19</v>
      </c>
      <c r="E7354" s="68">
        <v>622</v>
      </c>
      <c r="F7354" s="68">
        <v>522</v>
      </c>
      <c r="G7354" s="68">
        <v>1144</v>
      </c>
    </row>
    <row r="7355" spans="1:7" x14ac:dyDescent="0.3">
      <c r="A7355" t="s">
        <v>395</v>
      </c>
      <c r="B7355" t="s">
        <v>365</v>
      </c>
      <c r="C7355" t="s">
        <v>24</v>
      </c>
      <c r="D7355" t="s">
        <v>20</v>
      </c>
      <c r="E7355" s="68">
        <v>412</v>
      </c>
      <c r="F7355" s="68">
        <v>362</v>
      </c>
      <c r="G7355" s="68">
        <v>774</v>
      </c>
    </row>
    <row r="7356" spans="1:7" x14ac:dyDescent="0.3">
      <c r="A7356" t="s">
        <v>395</v>
      </c>
      <c r="B7356" t="s">
        <v>365</v>
      </c>
      <c r="C7356" t="s">
        <v>24</v>
      </c>
      <c r="D7356" t="s">
        <v>21</v>
      </c>
      <c r="E7356" s="68">
        <v>295</v>
      </c>
      <c r="F7356" s="68">
        <v>230</v>
      </c>
      <c r="G7356" s="68">
        <v>525</v>
      </c>
    </row>
    <row r="7357" spans="1:7" x14ac:dyDescent="0.3">
      <c r="A7357" t="s">
        <v>395</v>
      </c>
      <c r="B7357" t="s">
        <v>365</v>
      </c>
      <c r="C7357" t="s">
        <v>24</v>
      </c>
      <c r="D7357" t="s">
        <v>22</v>
      </c>
      <c r="E7357" s="68">
        <v>169</v>
      </c>
      <c r="F7357" s="68">
        <v>148</v>
      </c>
      <c r="G7357" s="68">
        <v>317</v>
      </c>
    </row>
    <row r="7358" spans="1:7" x14ac:dyDescent="0.3">
      <c r="A7358" t="s">
        <v>395</v>
      </c>
      <c r="B7358" t="s">
        <v>365</v>
      </c>
      <c r="C7358" t="s">
        <v>24</v>
      </c>
      <c r="D7358" t="s">
        <v>23</v>
      </c>
      <c r="E7358" s="68">
        <v>217</v>
      </c>
      <c r="F7358" s="68">
        <v>158</v>
      </c>
      <c r="G7358" s="68">
        <v>375</v>
      </c>
    </row>
    <row r="7359" spans="1:7" x14ac:dyDescent="0.3">
      <c r="A7359" t="s">
        <v>395</v>
      </c>
      <c r="B7359" t="s">
        <v>26</v>
      </c>
      <c r="C7359" t="s">
        <v>6</v>
      </c>
      <c r="D7359" t="s">
        <v>7</v>
      </c>
      <c r="E7359" s="68">
        <v>7759</v>
      </c>
      <c r="F7359" s="68">
        <v>8303</v>
      </c>
      <c r="G7359" s="68">
        <v>16062</v>
      </c>
    </row>
    <row r="7360" spans="1:7" x14ac:dyDescent="0.3">
      <c r="A7360" t="s">
        <v>395</v>
      </c>
      <c r="B7360" t="s">
        <v>26</v>
      </c>
      <c r="C7360" t="s">
        <v>6</v>
      </c>
      <c r="D7360" t="s">
        <v>8</v>
      </c>
      <c r="E7360" s="68">
        <v>10667</v>
      </c>
      <c r="F7360" s="68">
        <v>10992</v>
      </c>
      <c r="G7360" s="68">
        <v>21659</v>
      </c>
    </row>
    <row r="7361" spans="1:7" x14ac:dyDescent="0.3">
      <c r="A7361" t="s">
        <v>395</v>
      </c>
      <c r="B7361" t="s">
        <v>26</v>
      </c>
      <c r="C7361" t="s">
        <v>6</v>
      </c>
      <c r="D7361" t="s">
        <v>9</v>
      </c>
      <c r="E7361" s="68">
        <v>12072</v>
      </c>
      <c r="F7361" s="68">
        <v>12467</v>
      </c>
      <c r="G7361" s="68">
        <v>24539</v>
      </c>
    </row>
    <row r="7362" spans="1:7" x14ac:dyDescent="0.3">
      <c r="A7362" t="s">
        <v>395</v>
      </c>
      <c r="B7362" t="s">
        <v>26</v>
      </c>
      <c r="C7362" t="s">
        <v>6</v>
      </c>
      <c r="D7362" t="s">
        <v>10</v>
      </c>
      <c r="E7362" s="68">
        <v>12393</v>
      </c>
      <c r="F7362" s="68">
        <v>13085</v>
      </c>
      <c r="G7362" s="68">
        <v>25478</v>
      </c>
    </row>
    <row r="7363" spans="1:7" x14ac:dyDescent="0.3">
      <c r="A7363" t="s">
        <v>395</v>
      </c>
      <c r="B7363" t="s">
        <v>26</v>
      </c>
      <c r="C7363" t="s">
        <v>6</v>
      </c>
      <c r="D7363" t="s">
        <v>11</v>
      </c>
      <c r="E7363" s="68">
        <v>15932</v>
      </c>
      <c r="F7363" s="68">
        <v>18478</v>
      </c>
      <c r="G7363" s="68">
        <v>34410</v>
      </c>
    </row>
    <row r="7364" spans="1:7" x14ac:dyDescent="0.3">
      <c r="A7364" t="s">
        <v>395</v>
      </c>
      <c r="B7364" t="s">
        <v>26</v>
      </c>
      <c r="C7364" t="s">
        <v>6</v>
      </c>
      <c r="D7364" t="s">
        <v>12</v>
      </c>
      <c r="E7364" s="68">
        <v>16489</v>
      </c>
      <c r="F7364" s="68">
        <v>19373</v>
      </c>
      <c r="G7364" s="68">
        <v>35862</v>
      </c>
    </row>
    <row r="7365" spans="1:7" x14ac:dyDescent="0.3">
      <c r="A7365" t="s">
        <v>395</v>
      </c>
      <c r="B7365" t="s">
        <v>26</v>
      </c>
      <c r="C7365" t="s">
        <v>6</v>
      </c>
      <c r="D7365" t="s">
        <v>13</v>
      </c>
      <c r="E7365" s="68">
        <v>17181</v>
      </c>
      <c r="F7365" s="68">
        <v>19798</v>
      </c>
      <c r="G7365" s="68">
        <v>36979</v>
      </c>
    </row>
    <row r="7366" spans="1:7" x14ac:dyDescent="0.3">
      <c r="A7366" t="s">
        <v>395</v>
      </c>
      <c r="B7366" t="s">
        <v>26</v>
      </c>
      <c r="C7366" t="s">
        <v>6</v>
      </c>
      <c r="D7366" t="s">
        <v>14</v>
      </c>
      <c r="E7366" s="68">
        <v>15029</v>
      </c>
      <c r="F7366" s="68">
        <v>17277</v>
      </c>
      <c r="G7366" s="68">
        <v>32306</v>
      </c>
    </row>
    <row r="7367" spans="1:7" x14ac:dyDescent="0.3">
      <c r="A7367" t="s">
        <v>395</v>
      </c>
      <c r="B7367" t="s">
        <v>26</v>
      </c>
      <c r="C7367" t="s">
        <v>6</v>
      </c>
      <c r="D7367" t="s">
        <v>15</v>
      </c>
      <c r="E7367" s="68">
        <v>13579</v>
      </c>
      <c r="F7367" s="68">
        <v>14978</v>
      </c>
      <c r="G7367" s="68">
        <v>28557</v>
      </c>
    </row>
    <row r="7368" spans="1:7" x14ac:dyDescent="0.3">
      <c r="A7368" t="s">
        <v>395</v>
      </c>
      <c r="B7368" t="s">
        <v>26</v>
      </c>
      <c r="C7368" t="s">
        <v>6</v>
      </c>
      <c r="D7368" t="s">
        <v>16</v>
      </c>
      <c r="E7368" s="68">
        <v>12700</v>
      </c>
      <c r="F7368" s="68">
        <v>13061</v>
      </c>
      <c r="G7368" s="68">
        <v>25761</v>
      </c>
    </row>
    <row r="7369" spans="1:7" x14ac:dyDescent="0.3">
      <c r="A7369" t="s">
        <v>395</v>
      </c>
      <c r="B7369" t="s">
        <v>26</v>
      </c>
      <c r="C7369" t="s">
        <v>6</v>
      </c>
      <c r="D7369" t="s">
        <v>17</v>
      </c>
      <c r="E7369" s="68">
        <v>12093</v>
      </c>
      <c r="F7369" s="68">
        <v>11907</v>
      </c>
      <c r="G7369" s="68">
        <v>24000</v>
      </c>
    </row>
    <row r="7370" spans="1:7" x14ac:dyDescent="0.3">
      <c r="A7370" t="s">
        <v>395</v>
      </c>
      <c r="B7370" t="s">
        <v>26</v>
      </c>
      <c r="C7370" t="s">
        <v>6</v>
      </c>
      <c r="D7370" t="s">
        <v>18</v>
      </c>
      <c r="E7370" s="68">
        <v>13541</v>
      </c>
      <c r="F7370" s="68">
        <v>12419</v>
      </c>
      <c r="G7370" s="68">
        <v>25960</v>
      </c>
    </row>
    <row r="7371" spans="1:7" x14ac:dyDescent="0.3">
      <c r="A7371" t="s">
        <v>395</v>
      </c>
      <c r="B7371" t="s">
        <v>26</v>
      </c>
      <c r="C7371" t="s">
        <v>6</v>
      </c>
      <c r="D7371" t="s">
        <v>19</v>
      </c>
      <c r="E7371" s="68">
        <v>13481</v>
      </c>
      <c r="F7371" s="68">
        <v>11471</v>
      </c>
      <c r="G7371" s="68">
        <v>24952</v>
      </c>
    </row>
    <row r="7372" spans="1:7" x14ac:dyDescent="0.3">
      <c r="A7372" t="s">
        <v>395</v>
      </c>
      <c r="B7372" t="s">
        <v>26</v>
      </c>
      <c r="C7372" t="s">
        <v>6</v>
      </c>
      <c r="D7372" t="s">
        <v>20</v>
      </c>
      <c r="E7372" s="68">
        <v>11484</v>
      </c>
      <c r="F7372" s="68">
        <v>9194</v>
      </c>
      <c r="G7372" s="68">
        <v>20678</v>
      </c>
    </row>
    <row r="7373" spans="1:7" x14ac:dyDescent="0.3">
      <c r="A7373" t="s">
        <v>395</v>
      </c>
      <c r="B7373" t="s">
        <v>26</v>
      </c>
      <c r="C7373" t="s">
        <v>6</v>
      </c>
      <c r="D7373" t="s">
        <v>21</v>
      </c>
      <c r="E7373" s="68">
        <v>9143</v>
      </c>
      <c r="F7373" s="68">
        <v>7036</v>
      </c>
      <c r="G7373" s="68">
        <v>16179</v>
      </c>
    </row>
    <row r="7374" spans="1:7" x14ac:dyDescent="0.3">
      <c r="A7374" t="s">
        <v>395</v>
      </c>
      <c r="B7374" t="s">
        <v>26</v>
      </c>
      <c r="C7374" t="s">
        <v>6</v>
      </c>
      <c r="D7374" t="s">
        <v>22</v>
      </c>
      <c r="E7374" s="68">
        <v>7119</v>
      </c>
      <c r="F7374" s="68">
        <v>5012</v>
      </c>
      <c r="G7374" s="68">
        <v>12131</v>
      </c>
    </row>
    <row r="7375" spans="1:7" x14ac:dyDescent="0.3">
      <c r="A7375" t="s">
        <v>395</v>
      </c>
      <c r="B7375" t="s">
        <v>26</v>
      </c>
      <c r="C7375" t="s">
        <v>6</v>
      </c>
      <c r="D7375" t="s">
        <v>23</v>
      </c>
      <c r="E7375" s="68">
        <v>9654</v>
      </c>
      <c r="F7375" s="68">
        <v>5712</v>
      </c>
      <c r="G7375" s="68">
        <v>15366</v>
      </c>
    </row>
    <row r="7376" spans="1:7" x14ac:dyDescent="0.3">
      <c r="A7376" t="s">
        <v>395</v>
      </c>
      <c r="B7376" t="s">
        <v>26</v>
      </c>
      <c r="C7376" t="s">
        <v>24</v>
      </c>
      <c r="D7376" t="s">
        <v>7</v>
      </c>
      <c r="E7376" s="68">
        <v>13969</v>
      </c>
      <c r="F7376" s="68">
        <v>14731</v>
      </c>
      <c r="G7376" s="68">
        <v>28700</v>
      </c>
    </row>
    <row r="7377" spans="1:7" x14ac:dyDescent="0.3">
      <c r="A7377" t="s">
        <v>395</v>
      </c>
      <c r="B7377" t="s">
        <v>26</v>
      </c>
      <c r="C7377" t="s">
        <v>24</v>
      </c>
      <c r="D7377" t="s">
        <v>8</v>
      </c>
      <c r="E7377" s="68">
        <v>17777</v>
      </c>
      <c r="F7377" s="68">
        <v>18991</v>
      </c>
      <c r="G7377" s="68">
        <v>36768</v>
      </c>
    </row>
    <row r="7378" spans="1:7" x14ac:dyDescent="0.3">
      <c r="A7378" t="s">
        <v>395</v>
      </c>
      <c r="B7378" t="s">
        <v>26</v>
      </c>
      <c r="C7378" t="s">
        <v>24</v>
      </c>
      <c r="D7378" t="s">
        <v>9</v>
      </c>
      <c r="E7378" s="68">
        <v>17025</v>
      </c>
      <c r="F7378" s="68">
        <v>18035</v>
      </c>
      <c r="G7378" s="68">
        <v>35060</v>
      </c>
    </row>
    <row r="7379" spans="1:7" x14ac:dyDescent="0.3">
      <c r="A7379" t="s">
        <v>395</v>
      </c>
      <c r="B7379" t="s">
        <v>26</v>
      </c>
      <c r="C7379" t="s">
        <v>24</v>
      </c>
      <c r="D7379" t="s">
        <v>10</v>
      </c>
      <c r="E7379" s="68">
        <v>18204</v>
      </c>
      <c r="F7379" s="68">
        <v>17955</v>
      </c>
      <c r="G7379" s="68">
        <v>36159</v>
      </c>
    </row>
    <row r="7380" spans="1:7" x14ac:dyDescent="0.3">
      <c r="A7380" t="s">
        <v>395</v>
      </c>
      <c r="B7380" t="s">
        <v>26</v>
      </c>
      <c r="C7380" t="s">
        <v>24</v>
      </c>
      <c r="D7380" t="s">
        <v>11</v>
      </c>
      <c r="E7380" s="68">
        <v>20153</v>
      </c>
      <c r="F7380" s="68">
        <v>17018</v>
      </c>
      <c r="G7380" s="68">
        <v>37171</v>
      </c>
    </row>
    <row r="7381" spans="1:7" x14ac:dyDescent="0.3">
      <c r="A7381" t="s">
        <v>395</v>
      </c>
      <c r="B7381" t="s">
        <v>26</v>
      </c>
      <c r="C7381" t="s">
        <v>24</v>
      </c>
      <c r="D7381" t="s">
        <v>12</v>
      </c>
      <c r="E7381" s="68">
        <v>21348</v>
      </c>
      <c r="F7381" s="68">
        <v>19013</v>
      </c>
      <c r="G7381" s="68">
        <v>40361</v>
      </c>
    </row>
    <row r="7382" spans="1:7" x14ac:dyDescent="0.3">
      <c r="A7382" t="s">
        <v>395</v>
      </c>
      <c r="B7382" t="s">
        <v>26</v>
      </c>
      <c r="C7382" t="s">
        <v>24</v>
      </c>
      <c r="D7382" t="s">
        <v>13</v>
      </c>
      <c r="E7382" s="68">
        <v>20038</v>
      </c>
      <c r="F7382" s="68">
        <v>18945</v>
      </c>
      <c r="G7382" s="68">
        <v>38983</v>
      </c>
    </row>
    <row r="7383" spans="1:7" x14ac:dyDescent="0.3">
      <c r="A7383" t="s">
        <v>395</v>
      </c>
      <c r="B7383" t="s">
        <v>26</v>
      </c>
      <c r="C7383" t="s">
        <v>24</v>
      </c>
      <c r="D7383" t="s">
        <v>14</v>
      </c>
      <c r="E7383" s="68">
        <v>17656</v>
      </c>
      <c r="F7383" s="68">
        <v>16869</v>
      </c>
      <c r="G7383" s="68">
        <v>34525</v>
      </c>
    </row>
    <row r="7384" spans="1:7" x14ac:dyDescent="0.3">
      <c r="A7384" t="s">
        <v>395</v>
      </c>
      <c r="B7384" t="s">
        <v>26</v>
      </c>
      <c r="C7384" t="s">
        <v>24</v>
      </c>
      <c r="D7384" t="s">
        <v>15</v>
      </c>
      <c r="E7384" s="68">
        <v>15966</v>
      </c>
      <c r="F7384" s="68">
        <v>15207</v>
      </c>
      <c r="G7384" s="68">
        <v>31173</v>
      </c>
    </row>
    <row r="7385" spans="1:7" x14ac:dyDescent="0.3">
      <c r="A7385" t="s">
        <v>395</v>
      </c>
      <c r="B7385" t="s">
        <v>26</v>
      </c>
      <c r="C7385" t="s">
        <v>24</v>
      </c>
      <c r="D7385" t="s">
        <v>16</v>
      </c>
      <c r="E7385" s="68">
        <v>15767</v>
      </c>
      <c r="F7385" s="68">
        <v>14752</v>
      </c>
      <c r="G7385" s="68">
        <v>30519</v>
      </c>
    </row>
    <row r="7386" spans="1:7" x14ac:dyDescent="0.3">
      <c r="A7386" t="s">
        <v>395</v>
      </c>
      <c r="B7386" t="s">
        <v>26</v>
      </c>
      <c r="C7386" t="s">
        <v>24</v>
      </c>
      <c r="D7386" t="s">
        <v>17</v>
      </c>
      <c r="E7386" s="68">
        <v>16407</v>
      </c>
      <c r="F7386" s="68">
        <v>14870</v>
      </c>
      <c r="G7386" s="68">
        <v>31277</v>
      </c>
    </row>
    <row r="7387" spans="1:7" x14ac:dyDescent="0.3">
      <c r="A7387" t="s">
        <v>395</v>
      </c>
      <c r="B7387" t="s">
        <v>26</v>
      </c>
      <c r="C7387" t="s">
        <v>24</v>
      </c>
      <c r="D7387" t="s">
        <v>18</v>
      </c>
      <c r="E7387" s="68">
        <v>16389</v>
      </c>
      <c r="F7387" s="68">
        <v>15214</v>
      </c>
      <c r="G7387" s="68">
        <v>31603</v>
      </c>
    </row>
    <row r="7388" spans="1:7" x14ac:dyDescent="0.3">
      <c r="A7388" t="s">
        <v>395</v>
      </c>
      <c r="B7388" t="s">
        <v>26</v>
      </c>
      <c r="C7388" t="s">
        <v>24</v>
      </c>
      <c r="D7388" t="s">
        <v>19</v>
      </c>
      <c r="E7388" s="68">
        <v>13455</v>
      </c>
      <c r="F7388" s="68">
        <v>13333</v>
      </c>
      <c r="G7388" s="68">
        <v>26788</v>
      </c>
    </row>
    <row r="7389" spans="1:7" x14ac:dyDescent="0.3">
      <c r="A7389" t="s">
        <v>395</v>
      </c>
      <c r="B7389" t="s">
        <v>26</v>
      </c>
      <c r="C7389" t="s">
        <v>24</v>
      </c>
      <c r="D7389" t="s">
        <v>20</v>
      </c>
      <c r="E7389" s="68">
        <v>10284</v>
      </c>
      <c r="F7389" s="68">
        <v>10296</v>
      </c>
      <c r="G7389" s="68">
        <v>20580</v>
      </c>
    </row>
    <row r="7390" spans="1:7" x14ac:dyDescent="0.3">
      <c r="A7390" t="s">
        <v>395</v>
      </c>
      <c r="B7390" t="s">
        <v>26</v>
      </c>
      <c r="C7390" t="s">
        <v>24</v>
      </c>
      <c r="D7390" t="s">
        <v>21</v>
      </c>
      <c r="E7390" s="68">
        <v>7559</v>
      </c>
      <c r="F7390" s="68">
        <v>7467</v>
      </c>
      <c r="G7390" s="68">
        <v>15026</v>
      </c>
    </row>
    <row r="7391" spans="1:7" x14ac:dyDescent="0.3">
      <c r="A7391" t="s">
        <v>395</v>
      </c>
      <c r="B7391" t="s">
        <v>26</v>
      </c>
      <c r="C7391" t="s">
        <v>24</v>
      </c>
      <c r="D7391" t="s">
        <v>22</v>
      </c>
      <c r="E7391" s="68">
        <v>5951</v>
      </c>
      <c r="F7391" s="68">
        <v>5208</v>
      </c>
      <c r="G7391" s="68">
        <v>11159</v>
      </c>
    </row>
    <row r="7392" spans="1:7" x14ac:dyDescent="0.3">
      <c r="A7392" t="s">
        <v>395</v>
      </c>
      <c r="B7392" t="s">
        <v>26</v>
      </c>
      <c r="C7392" t="s">
        <v>24</v>
      </c>
      <c r="D7392" t="s">
        <v>23</v>
      </c>
      <c r="E7392" s="68">
        <v>7949</v>
      </c>
      <c r="F7392" s="68">
        <v>5886</v>
      </c>
      <c r="G7392" s="68">
        <v>13835</v>
      </c>
    </row>
    <row r="7393" spans="1:7" x14ac:dyDescent="0.3">
      <c r="A7393" t="s">
        <v>395</v>
      </c>
      <c r="B7393" t="s">
        <v>27</v>
      </c>
      <c r="C7393" t="s">
        <v>28</v>
      </c>
      <c r="D7393" t="s">
        <v>7</v>
      </c>
      <c r="E7393" s="68">
        <v>669</v>
      </c>
      <c r="F7393" s="68">
        <v>781</v>
      </c>
      <c r="G7393" s="68">
        <v>1450</v>
      </c>
    </row>
    <row r="7394" spans="1:7" x14ac:dyDescent="0.3">
      <c r="A7394" t="s">
        <v>395</v>
      </c>
      <c r="B7394" t="s">
        <v>27</v>
      </c>
      <c r="C7394" t="s">
        <v>28</v>
      </c>
      <c r="D7394" t="s">
        <v>8</v>
      </c>
      <c r="E7394" s="68">
        <v>1143</v>
      </c>
      <c r="F7394" s="68">
        <v>1193</v>
      </c>
      <c r="G7394" s="68">
        <v>2336</v>
      </c>
    </row>
    <row r="7395" spans="1:7" x14ac:dyDescent="0.3">
      <c r="A7395" t="s">
        <v>395</v>
      </c>
      <c r="B7395" t="s">
        <v>27</v>
      </c>
      <c r="C7395" t="s">
        <v>28</v>
      </c>
      <c r="D7395" t="s">
        <v>9</v>
      </c>
      <c r="E7395" s="68">
        <v>1762</v>
      </c>
      <c r="F7395" s="68">
        <v>1838</v>
      </c>
      <c r="G7395" s="68">
        <v>3600</v>
      </c>
    </row>
    <row r="7396" spans="1:7" x14ac:dyDescent="0.3">
      <c r="A7396" t="s">
        <v>395</v>
      </c>
      <c r="B7396" t="s">
        <v>27</v>
      </c>
      <c r="C7396" t="s">
        <v>28</v>
      </c>
      <c r="D7396" t="s">
        <v>10</v>
      </c>
      <c r="E7396" s="68">
        <v>2067</v>
      </c>
      <c r="F7396" s="68">
        <v>2027</v>
      </c>
      <c r="G7396" s="68">
        <v>4094</v>
      </c>
    </row>
    <row r="7397" spans="1:7" x14ac:dyDescent="0.3">
      <c r="A7397" t="s">
        <v>395</v>
      </c>
      <c r="B7397" t="s">
        <v>27</v>
      </c>
      <c r="C7397" t="s">
        <v>28</v>
      </c>
      <c r="D7397" t="s">
        <v>11</v>
      </c>
      <c r="E7397" s="68">
        <v>1723</v>
      </c>
      <c r="F7397" s="68">
        <v>1618</v>
      </c>
      <c r="G7397" s="68">
        <v>3341</v>
      </c>
    </row>
    <row r="7398" spans="1:7" x14ac:dyDescent="0.3">
      <c r="A7398" t="s">
        <v>395</v>
      </c>
      <c r="B7398" t="s">
        <v>27</v>
      </c>
      <c r="C7398" t="s">
        <v>28</v>
      </c>
      <c r="D7398" t="s">
        <v>12</v>
      </c>
      <c r="E7398" s="68">
        <v>890</v>
      </c>
      <c r="F7398" s="68">
        <v>585</v>
      </c>
      <c r="G7398" s="68">
        <v>1475</v>
      </c>
    </row>
    <row r="7399" spans="1:7" x14ac:dyDescent="0.3">
      <c r="A7399" t="s">
        <v>395</v>
      </c>
      <c r="B7399" t="s">
        <v>27</v>
      </c>
      <c r="C7399" t="s">
        <v>28</v>
      </c>
      <c r="D7399" t="s">
        <v>13</v>
      </c>
      <c r="E7399" s="68">
        <v>1306</v>
      </c>
      <c r="F7399" s="68">
        <v>743</v>
      </c>
      <c r="G7399" s="68">
        <v>2049</v>
      </c>
    </row>
    <row r="7400" spans="1:7" x14ac:dyDescent="0.3">
      <c r="A7400" t="s">
        <v>395</v>
      </c>
      <c r="B7400" t="s">
        <v>27</v>
      </c>
      <c r="C7400" t="s">
        <v>28</v>
      </c>
      <c r="D7400" t="s">
        <v>14</v>
      </c>
      <c r="E7400" s="68">
        <v>1860</v>
      </c>
      <c r="F7400" s="68">
        <v>1115</v>
      </c>
      <c r="G7400" s="68">
        <v>2975</v>
      </c>
    </row>
    <row r="7401" spans="1:7" x14ac:dyDescent="0.3">
      <c r="A7401" t="s">
        <v>395</v>
      </c>
      <c r="B7401" t="s">
        <v>27</v>
      </c>
      <c r="C7401" t="s">
        <v>28</v>
      </c>
      <c r="D7401" t="s">
        <v>15</v>
      </c>
      <c r="E7401" s="68">
        <v>2371</v>
      </c>
      <c r="F7401" s="68">
        <v>1545</v>
      </c>
      <c r="G7401" s="68">
        <v>3916</v>
      </c>
    </row>
    <row r="7402" spans="1:7" x14ac:dyDescent="0.3">
      <c r="A7402" t="s">
        <v>395</v>
      </c>
      <c r="B7402" t="s">
        <v>27</v>
      </c>
      <c r="C7402" t="s">
        <v>28</v>
      </c>
      <c r="D7402" t="s">
        <v>16</v>
      </c>
      <c r="E7402" s="68">
        <v>2609</v>
      </c>
      <c r="F7402" s="68">
        <v>1857</v>
      </c>
      <c r="G7402" s="68">
        <v>4466</v>
      </c>
    </row>
    <row r="7403" spans="1:7" x14ac:dyDescent="0.3">
      <c r="A7403" t="s">
        <v>395</v>
      </c>
      <c r="B7403" t="s">
        <v>27</v>
      </c>
      <c r="C7403" t="s">
        <v>28</v>
      </c>
      <c r="D7403" t="s">
        <v>17</v>
      </c>
      <c r="E7403" s="68">
        <v>2732</v>
      </c>
      <c r="F7403" s="68">
        <v>1826</v>
      </c>
      <c r="G7403" s="68">
        <v>4558</v>
      </c>
    </row>
    <row r="7404" spans="1:7" x14ac:dyDescent="0.3">
      <c r="A7404" t="s">
        <v>395</v>
      </c>
      <c r="B7404" t="s">
        <v>27</v>
      </c>
      <c r="C7404" t="s">
        <v>28</v>
      </c>
      <c r="D7404" t="s">
        <v>18</v>
      </c>
      <c r="E7404" s="68">
        <v>3235</v>
      </c>
      <c r="F7404" s="68">
        <v>1868</v>
      </c>
      <c r="G7404" s="68">
        <v>5103</v>
      </c>
    </row>
    <row r="7405" spans="1:7" x14ac:dyDescent="0.3">
      <c r="A7405" t="s">
        <v>395</v>
      </c>
      <c r="B7405" t="s">
        <v>27</v>
      </c>
      <c r="C7405" t="s">
        <v>28</v>
      </c>
      <c r="D7405" t="s">
        <v>19</v>
      </c>
      <c r="E7405" s="68">
        <v>3627</v>
      </c>
      <c r="F7405" s="68">
        <v>2103</v>
      </c>
      <c r="G7405" s="68">
        <v>5730</v>
      </c>
    </row>
    <row r="7406" spans="1:7" x14ac:dyDescent="0.3">
      <c r="A7406" t="s">
        <v>395</v>
      </c>
      <c r="B7406" t="s">
        <v>27</v>
      </c>
      <c r="C7406" t="s">
        <v>28</v>
      </c>
      <c r="D7406" t="s">
        <v>20</v>
      </c>
      <c r="E7406" s="68">
        <v>3897</v>
      </c>
      <c r="F7406" s="68">
        <v>2434</v>
      </c>
      <c r="G7406" s="68">
        <v>6331</v>
      </c>
    </row>
    <row r="7407" spans="1:7" x14ac:dyDescent="0.3">
      <c r="A7407" t="s">
        <v>395</v>
      </c>
      <c r="B7407" t="s">
        <v>27</v>
      </c>
      <c r="C7407" t="s">
        <v>28</v>
      </c>
      <c r="D7407" t="s">
        <v>21</v>
      </c>
      <c r="E7407" s="68">
        <v>3880</v>
      </c>
      <c r="F7407" s="68">
        <v>2584</v>
      </c>
      <c r="G7407" s="68">
        <v>6464</v>
      </c>
    </row>
    <row r="7408" spans="1:7" x14ac:dyDescent="0.3">
      <c r="A7408" t="s">
        <v>395</v>
      </c>
      <c r="B7408" t="s">
        <v>27</v>
      </c>
      <c r="C7408" t="s">
        <v>28</v>
      </c>
      <c r="D7408" t="s">
        <v>22</v>
      </c>
      <c r="E7408" s="68">
        <v>2968</v>
      </c>
      <c r="F7408" s="68">
        <v>2030</v>
      </c>
      <c r="G7408" s="68">
        <v>4998</v>
      </c>
    </row>
    <row r="7409" spans="1:7" x14ac:dyDescent="0.3">
      <c r="A7409" t="s">
        <v>395</v>
      </c>
      <c r="B7409" t="s">
        <v>27</v>
      </c>
      <c r="C7409" t="s">
        <v>28</v>
      </c>
      <c r="D7409" t="s">
        <v>23</v>
      </c>
      <c r="E7409" s="68">
        <v>3232</v>
      </c>
      <c r="F7409" s="68">
        <v>1832</v>
      </c>
      <c r="G7409" s="68">
        <v>5064</v>
      </c>
    </row>
    <row r="7410" spans="1:7" x14ac:dyDescent="0.3">
      <c r="A7410" t="s">
        <v>395</v>
      </c>
      <c r="B7410" t="s">
        <v>27</v>
      </c>
      <c r="C7410" t="s">
        <v>29</v>
      </c>
      <c r="D7410" t="s">
        <v>7</v>
      </c>
      <c r="E7410" s="68"/>
      <c r="F7410" s="68">
        <v>3</v>
      </c>
      <c r="G7410" s="68">
        <v>3</v>
      </c>
    </row>
    <row r="7411" spans="1:7" x14ac:dyDescent="0.3">
      <c r="A7411" t="s">
        <v>395</v>
      </c>
      <c r="B7411" t="s">
        <v>27</v>
      </c>
      <c r="C7411" t="s">
        <v>29</v>
      </c>
      <c r="D7411" t="s">
        <v>10</v>
      </c>
      <c r="E7411" s="68">
        <v>3</v>
      </c>
      <c r="F7411" s="68">
        <v>16</v>
      </c>
      <c r="G7411" s="68">
        <v>19</v>
      </c>
    </row>
    <row r="7412" spans="1:7" x14ac:dyDescent="0.3">
      <c r="A7412" t="s">
        <v>395</v>
      </c>
      <c r="B7412" t="s">
        <v>27</v>
      </c>
      <c r="C7412" t="s">
        <v>29</v>
      </c>
      <c r="D7412" t="s">
        <v>11</v>
      </c>
      <c r="E7412" s="68">
        <v>26</v>
      </c>
      <c r="F7412" s="68">
        <v>387</v>
      </c>
      <c r="G7412" s="68">
        <v>413</v>
      </c>
    </row>
    <row r="7413" spans="1:7" x14ac:dyDescent="0.3">
      <c r="A7413" t="s">
        <v>395</v>
      </c>
      <c r="B7413" t="s">
        <v>27</v>
      </c>
      <c r="C7413" t="s">
        <v>29</v>
      </c>
      <c r="D7413" t="s">
        <v>12</v>
      </c>
      <c r="E7413" s="68">
        <v>65</v>
      </c>
      <c r="F7413" s="68">
        <v>1000</v>
      </c>
      <c r="G7413" s="68">
        <v>1065</v>
      </c>
    </row>
    <row r="7414" spans="1:7" x14ac:dyDescent="0.3">
      <c r="A7414" t="s">
        <v>395</v>
      </c>
      <c r="B7414" t="s">
        <v>27</v>
      </c>
      <c r="C7414" t="s">
        <v>29</v>
      </c>
      <c r="D7414" t="s">
        <v>13</v>
      </c>
      <c r="E7414" s="68">
        <v>48</v>
      </c>
      <c r="F7414" s="68">
        <v>987</v>
      </c>
      <c r="G7414" s="68">
        <v>1035</v>
      </c>
    </row>
    <row r="7415" spans="1:7" x14ac:dyDescent="0.3">
      <c r="A7415" t="s">
        <v>395</v>
      </c>
      <c r="B7415" t="s">
        <v>27</v>
      </c>
      <c r="C7415" t="s">
        <v>29</v>
      </c>
      <c r="D7415" t="s">
        <v>14</v>
      </c>
      <c r="E7415" s="68">
        <v>35</v>
      </c>
      <c r="F7415" s="68">
        <v>695</v>
      </c>
      <c r="G7415" s="68">
        <v>730</v>
      </c>
    </row>
    <row r="7416" spans="1:7" x14ac:dyDescent="0.3">
      <c r="A7416" t="s">
        <v>395</v>
      </c>
      <c r="B7416" t="s">
        <v>27</v>
      </c>
      <c r="C7416" t="s">
        <v>29</v>
      </c>
      <c r="D7416" t="s">
        <v>15</v>
      </c>
      <c r="E7416" s="68">
        <v>29</v>
      </c>
      <c r="F7416" s="68">
        <v>526</v>
      </c>
      <c r="G7416" s="68">
        <v>555</v>
      </c>
    </row>
    <row r="7417" spans="1:7" x14ac:dyDescent="0.3">
      <c r="A7417" t="s">
        <v>395</v>
      </c>
      <c r="B7417" t="s">
        <v>27</v>
      </c>
      <c r="C7417" t="s">
        <v>29</v>
      </c>
      <c r="D7417" t="s">
        <v>16</v>
      </c>
      <c r="E7417" s="68">
        <v>31</v>
      </c>
      <c r="F7417" s="68">
        <v>367</v>
      </c>
      <c r="G7417" s="68">
        <v>398</v>
      </c>
    </row>
    <row r="7418" spans="1:7" x14ac:dyDescent="0.3">
      <c r="A7418" t="s">
        <v>395</v>
      </c>
      <c r="B7418" t="s">
        <v>27</v>
      </c>
      <c r="C7418" t="s">
        <v>29</v>
      </c>
      <c r="D7418" t="s">
        <v>17</v>
      </c>
      <c r="E7418" s="68">
        <v>9</v>
      </c>
      <c r="F7418" s="68">
        <v>242</v>
      </c>
      <c r="G7418" s="68">
        <v>251</v>
      </c>
    </row>
    <row r="7419" spans="1:7" x14ac:dyDescent="0.3">
      <c r="A7419" t="s">
        <v>395</v>
      </c>
      <c r="B7419" t="s">
        <v>27</v>
      </c>
      <c r="C7419" t="s">
        <v>29</v>
      </c>
      <c r="D7419" t="s">
        <v>18</v>
      </c>
      <c r="E7419" s="68">
        <v>10</v>
      </c>
      <c r="F7419" s="68">
        <v>178</v>
      </c>
      <c r="G7419" s="68">
        <v>188</v>
      </c>
    </row>
    <row r="7420" spans="1:7" x14ac:dyDescent="0.3">
      <c r="A7420" t="s">
        <v>395</v>
      </c>
      <c r="B7420" t="s">
        <v>27</v>
      </c>
      <c r="C7420" t="s">
        <v>29</v>
      </c>
      <c r="D7420" t="s">
        <v>19</v>
      </c>
      <c r="E7420" s="68">
        <v>7</v>
      </c>
      <c r="F7420" s="68">
        <v>117</v>
      </c>
      <c r="G7420" s="68">
        <v>124</v>
      </c>
    </row>
    <row r="7421" spans="1:7" x14ac:dyDescent="0.3">
      <c r="A7421" t="s">
        <v>395</v>
      </c>
      <c r="B7421" t="s">
        <v>27</v>
      </c>
      <c r="C7421" t="s">
        <v>29</v>
      </c>
      <c r="D7421" t="s">
        <v>20</v>
      </c>
      <c r="E7421" s="68">
        <v>5</v>
      </c>
      <c r="F7421" s="68">
        <v>61</v>
      </c>
      <c r="G7421" s="68">
        <v>66</v>
      </c>
    </row>
    <row r="7422" spans="1:7" x14ac:dyDescent="0.3">
      <c r="A7422" t="s">
        <v>395</v>
      </c>
      <c r="B7422" t="s">
        <v>27</v>
      </c>
      <c r="C7422" t="s">
        <v>29</v>
      </c>
      <c r="D7422" t="s">
        <v>21</v>
      </c>
      <c r="E7422" s="68">
        <v>1</v>
      </c>
      <c r="F7422" s="68">
        <v>42</v>
      </c>
      <c r="G7422" s="68">
        <v>43</v>
      </c>
    </row>
    <row r="7423" spans="1:7" x14ac:dyDescent="0.3">
      <c r="A7423" t="s">
        <v>395</v>
      </c>
      <c r="B7423" t="s">
        <v>27</v>
      </c>
      <c r="C7423" t="s">
        <v>29</v>
      </c>
      <c r="D7423" t="s">
        <v>22</v>
      </c>
      <c r="E7423" s="68"/>
      <c r="F7423" s="68">
        <v>15</v>
      </c>
      <c r="G7423" s="68">
        <v>15</v>
      </c>
    </row>
    <row r="7424" spans="1:7" x14ac:dyDescent="0.3">
      <c r="A7424" t="s">
        <v>395</v>
      </c>
      <c r="B7424" t="s">
        <v>27</v>
      </c>
      <c r="C7424" t="s">
        <v>29</v>
      </c>
      <c r="D7424" t="s">
        <v>23</v>
      </c>
      <c r="E7424" s="68"/>
      <c r="F7424" s="68">
        <v>11</v>
      </c>
      <c r="G7424" s="68">
        <v>11</v>
      </c>
    </row>
    <row r="7425" spans="1:7" x14ac:dyDescent="0.3">
      <c r="A7425" t="s">
        <v>395</v>
      </c>
      <c r="B7425" t="s">
        <v>36</v>
      </c>
      <c r="C7425" t="s">
        <v>6</v>
      </c>
      <c r="D7425" t="s">
        <v>7</v>
      </c>
      <c r="E7425" s="68">
        <v>3534</v>
      </c>
      <c r="F7425" s="68">
        <v>3736</v>
      </c>
      <c r="G7425" s="68">
        <v>7270</v>
      </c>
    </row>
    <row r="7426" spans="1:7" x14ac:dyDescent="0.3">
      <c r="A7426" t="s">
        <v>395</v>
      </c>
      <c r="B7426" t="s">
        <v>36</v>
      </c>
      <c r="C7426" t="s">
        <v>6</v>
      </c>
      <c r="D7426" t="s">
        <v>8</v>
      </c>
      <c r="E7426" s="68">
        <v>5463</v>
      </c>
      <c r="F7426" s="68">
        <v>5725</v>
      </c>
      <c r="G7426" s="68">
        <v>11188</v>
      </c>
    </row>
    <row r="7427" spans="1:7" x14ac:dyDescent="0.3">
      <c r="A7427" t="s">
        <v>395</v>
      </c>
      <c r="B7427" t="s">
        <v>36</v>
      </c>
      <c r="C7427" t="s">
        <v>6</v>
      </c>
      <c r="D7427" t="s">
        <v>9</v>
      </c>
      <c r="E7427" s="68">
        <v>6726</v>
      </c>
      <c r="F7427" s="68">
        <v>6948</v>
      </c>
      <c r="G7427" s="68">
        <v>13674</v>
      </c>
    </row>
    <row r="7428" spans="1:7" x14ac:dyDescent="0.3">
      <c r="A7428" t="s">
        <v>395</v>
      </c>
      <c r="B7428" t="s">
        <v>36</v>
      </c>
      <c r="C7428" t="s">
        <v>6</v>
      </c>
      <c r="D7428" t="s">
        <v>10</v>
      </c>
      <c r="E7428" s="68">
        <v>6776</v>
      </c>
      <c r="F7428" s="68">
        <v>7151</v>
      </c>
      <c r="G7428" s="68">
        <v>13927</v>
      </c>
    </row>
    <row r="7429" spans="1:7" x14ac:dyDescent="0.3">
      <c r="A7429" t="s">
        <v>395</v>
      </c>
      <c r="B7429" t="s">
        <v>36</v>
      </c>
      <c r="C7429" t="s">
        <v>6</v>
      </c>
      <c r="D7429" t="s">
        <v>11</v>
      </c>
      <c r="E7429" s="68">
        <v>6789</v>
      </c>
      <c r="F7429" s="68">
        <v>7433</v>
      </c>
      <c r="G7429" s="68">
        <v>14222</v>
      </c>
    </row>
    <row r="7430" spans="1:7" x14ac:dyDescent="0.3">
      <c r="A7430" t="s">
        <v>395</v>
      </c>
      <c r="B7430" t="s">
        <v>36</v>
      </c>
      <c r="C7430" t="s">
        <v>6</v>
      </c>
      <c r="D7430" t="s">
        <v>12</v>
      </c>
      <c r="E7430" s="68">
        <v>6602</v>
      </c>
      <c r="F7430" s="68">
        <v>6969</v>
      </c>
      <c r="G7430" s="68">
        <v>13571</v>
      </c>
    </row>
    <row r="7431" spans="1:7" x14ac:dyDescent="0.3">
      <c r="A7431" t="s">
        <v>395</v>
      </c>
      <c r="B7431" t="s">
        <v>36</v>
      </c>
      <c r="C7431" t="s">
        <v>6</v>
      </c>
      <c r="D7431" t="s">
        <v>13</v>
      </c>
      <c r="E7431" s="68">
        <v>7609</v>
      </c>
      <c r="F7431" s="68">
        <v>7801</v>
      </c>
      <c r="G7431" s="68">
        <v>15410</v>
      </c>
    </row>
    <row r="7432" spans="1:7" x14ac:dyDescent="0.3">
      <c r="A7432" t="s">
        <v>395</v>
      </c>
      <c r="B7432" t="s">
        <v>36</v>
      </c>
      <c r="C7432" t="s">
        <v>6</v>
      </c>
      <c r="D7432" t="s">
        <v>14</v>
      </c>
      <c r="E7432" s="68">
        <v>7528</v>
      </c>
      <c r="F7432" s="68">
        <v>7913</v>
      </c>
      <c r="G7432" s="68">
        <v>15441</v>
      </c>
    </row>
    <row r="7433" spans="1:7" x14ac:dyDescent="0.3">
      <c r="A7433" t="s">
        <v>395</v>
      </c>
      <c r="B7433" t="s">
        <v>36</v>
      </c>
      <c r="C7433" t="s">
        <v>6</v>
      </c>
      <c r="D7433" t="s">
        <v>15</v>
      </c>
      <c r="E7433" s="68">
        <v>7186</v>
      </c>
      <c r="F7433" s="68">
        <v>7317</v>
      </c>
      <c r="G7433" s="68">
        <v>14503</v>
      </c>
    </row>
    <row r="7434" spans="1:7" x14ac:dyDescent="0.3">
      <c r="A7434" t="s">
        <v>395</v>
      </c>
      <c r="B7434" t="s">
        <v>36</v>
      </c>
      <c r="C7434" t="s">
        <v>6</v>
      </c>
      <c r="D7434" t="s">
        <v>16</v>
      </c>
      <c r="E7434" s="68">
        <v>6485</v>
      </c>
      <c r="F7434" s="68">
        <v>6340</v>
      </c>
      <c r="G7434" s="68">
        <v>12825</v>
      </c>
    </row>
    <row r="7435" spans="1:7" x14ac:dyDescent="0.3">
      <c r="A7435" t="s">
        <v>395</v>
      </c>
      <c r="B7435" t="s">
        <v>36</v>
      </c>
      <c r="C7435" t="s">
        <v>6</v>
      </c>
      <c r="D7435" t="s">
        <v>17</v>
      </c>
      <c r="E7435" s="68">
        <v>5467</v>
      </c>
      <c r="F7435" s="68">
        <v>5425</v>
      </c>
      <c r="G7435" s="68">
        <v>10892</v>
      </c>
    </row>
    <row r="7436" spans="1:7" x14ac:dyDescent="0.3">
      <c r="A7436" t="s">
        <v>395</v>
      </c>
      <c r="B7436" t="s">
        <v>36</v>
      </c>
      <c r="C7436" t="s">
        <v>6</v>
      </c>
      <c r="D7436" t="s">
        <v>18</v>
      </c>
      <c r="E7436" s="68">
        <v>5086</v>
      </c>
      <c r="F7436" s="68">
        <v>5018</v>
      </c>
      <c r="G7436" s="68">
        <v>10104</v>
      </c>
    </row>
    <row r="7437" spans="1:7" x14ac:dyDescent="0.3">
      <c r="A7437" t="s">
        <v>395</v>
      </c>
      <c r="B7437" t="s">
        <v>36</v>
      </c>
      <c r="C7437" t="s">
        <v>6</v>
      </c>
      <c r="D7437" t="s">
        <v>19</v>
      </c>
      <c r="E7437" s="68">
        <v>4672</v>
      </c>
      <c r="F7437" s="68">
        <v>4174</v>
      </c>
      <c r="G7437" s="68">
        <v>8846</v>
      </c>
    </row>
    <row r="7438" spans="1:7" x14ac:dyDescent="0.3">
      <c r="A7438" t="s">
        <v>395</v>
      </c>
      <c r="B7438" t="s">
        <v>36</v>
      </c>
      <c r="C7438" t="s">
        <v>6</v>
      </c>
      <c r="D7438" t="s">
        <v>20</v>
      </c>
      <c r="E7438" s="68">
        <v>3601</v>
      </c>
      <c r="F7438" s="68">
        <v>3208</v>
      </c>
      <c r="G7438" s="68">
        <v>6809</v>
      </c>
    </row>
    <row r="7439" spans="1:7" x14ac:dyDescent="0.3">
      <c r="A7439" t="s">
        <v>395</v>
      </c>
      <c r="B7439" t="s">
        <v>36</v>
      </c>
      <c r="C7439" t="s">
        <v>6</v>
      </c>
      <c r="D7439" t="s">
        <v>21</v>
      </c>
      <c r="E7439" s="68">
        <v>2561</v>
      </c>
      <c r="F7439" s="68">
        <v>2210</v>
      </c>
      <c r="G7439" s="68">
        <v>4771</v>
      </c>
    </row>
    <row r="7440" spans="1:7" x14ac:dyDescent="0.3">
      <c r="A7440" t="s">
        <v>395</v>
      </c>
      <c r="B7440" t="s">
        <v>36</v>
      </c>
      <c r="C7440" t="s">
        <v>6</v>
      </c>
      <c r="D7440" t="s">
        <v>22</v>
      </c>
      <c r="E7440" s="68">
        <v>1757</v>
      </c>
      <c r="F7440" s="68">
        <v>1465</v>
      </c>
      <c r="G7440" s="68">
        <v>3222</v>
      </c>
    </row>
    <row r="7441" spans="1:7" x14ac:dyDescent="0.3">
      <c r="A7441" t="s">
        <v>395</v>
      </c>
      <c r="B7441" t="s">
        <v>36</v>
      </c>
      <c r="C7441" t="s">
        <v>6</v>
      </c>
      <c r="D7441" t="s">
        <v>23</v>
      </c>
      <c r="E7441" s="68">
        <v>2395</v>
      </c>
      <c r="F7441" s="68">
        <v>1471</v>
      </c>
      <c r="G7441" s="68">
        <v>3866</v>
      </c>
    </row>
    <row r="7442" spans="1:7" x14ac:dyDescent="0.3">
      <c r="A7442" t="s">
        <v>395</v>
      </c>
      <c r="B7442" t="s">
        <v>36</v>
      </c>
      <c r="C7442" t="s">
        <v>24</v>
      </c>
      <c r="D7442" t="s">
        <v>7</v>
      </c>
      <c r="E7442" s="68">
        <v>2672</v>
      </c>
      <c r="F7442" s="68">
        <v>2863</v>
      </c>
      <c r="G7442" s="68">
        <v>5535</v>
      </c>
    </row>
    <row r="7443" spans="1:7" x14ac:dyDescent="0.3">
      <c r="A7443" t="s">
        <v>395</v>
      </c>
      <c r="B7443" t="s">
        <v>36</v>
      </c>
      <c r="C7443" t="s">
        <v>24</v>
      </c>
      <c r="D7443" t="s">
        <v>8</v>
      </c>
      <c r="E7443" s="68">
        <v>4633</v>
      </c>
      <c r="F7443" s="68">
        <v>4862</v>
      </c>
      <c r="G7443" s="68">
        <v>9495</v>
      </c>
    </row>
    <row r="7444" spans="1:7" x14ac:dyDescent="0.3">
      <c r="A7444" t="s">
        <v>395</v>
      </c>
      <c r="B7444" t="s">
        <v>36</v>
      </c>
      <c r="C7444" t="s">
        <v>24</v>
      </c>
      <c r="D7444" t="s">
        <v>9</v>
      </c>
      <c r="E7444" s="68">
        <v>5019</v>
      </c>
      <c r="F7444" s="68">
        <v>5440</v>
      </c>
      <c r="G7444" s="68">
        <v>10459</v>
      </c>
    </row>
    <row r="7445" spans="1:7" x14ac:dyDescent="0.3">
      <c r="A7445" t="s">
        <v>395</v>
      </c>
      <c r="B7445" t="s">
        <v>36</v>
      </c>
      <c r="C7445" t="s">
        <v>24</v>
      </c>
      <c r="D7445" t="s">
        <v>10</v>
      </c>
      <c r="E7445" s="68">
        <v>4173</v>
      </c>
      <c r="F7445" s="68">
        <v>4198</v>
      </c>
      <c r="G7445" s="68">
        <v>8371</v>
      </c>
    </row>
    <row r="7446" spans="1:7" x14ac:dyDescent="0.3">
      <c r="A7446" t="s">
        <v>395</v>
      </c>
      <c r="B7446" t="s">
        <v>36</v>
      </c>
      <c r="C7446" t="s">
        <v>24</v>
      </c>
      <c r="D7446" t="s">
        <v>11</v>
      </c>
      <c r="E7446" s="68">
        <v>4098</v>
      </c>
      <c r="F7446" s="68">
        <v>3737</v>
      </c>
      <c r="G7446" s="68">
        <v>7835</v>
      </c>
    </row>
    <row r="7447" spans="1:7" x14ac:dyDescent="0.3">
      <c r="A7447" t="s">
        <v>395</v>
      </c>
      <c r="B7447" t="s">
        <v>36</v>
      </c>
      <c r="C7447" t="s">
        <v>24</v>
      </c>
      <c r="D7447" t="s">
        <v>12</v>
      </c>
      <c r="E7447" s="68">
        <v>4695</v>
      </c>
      <c r="F7447" s="68">
        <v>3965</v>
      </c>
      <c r="G7447" s="68">
        <v>8660</v>
      </c>
    </row>
    <row r="7448" spans="1:7" x14ac:dyDescent="0.3">
      <c r="A7448" t="s">
        <v>395</v>
      </c>
      <c r="B7448" t="s">
        <v>36</v>
      </c>
      <c r="C7448" t="s">
        <v>24</v>
      </c>
      <c r="D7448" t="s">
        <v>13</v>
      </c>
      <c r="E7448" s="68">
        <v>4265</v>
      </c>
      <c r="F7448" s="68">
        <v>3710</v>
      </c>
      <c r="G7448" s="68">
        <v>7975</v>
      </c>
    </row>
    <row r="7449" spans="1:7" x14ac:dyDescent="0.3">
      <c r="A7449" t="s">
        <v>395</v>
      </c>
      <c r="B7449" t="s">
        <v>36</v>
      </c>
      <c r="C7449" t="s">
        <v>24</v>
      </c>
      <c r="D7449" t="s">
        <v>14</v>
      </c>
      <c r="E7449" s="68">
        <v>3857</v>
      </c>
      <c r="F7449" s="68">
        <v>3221</v>
      </c>
      <c r="G7449" s="68">
        <v>7078</v>
      </c>
    </row>
    <row r="7450" spans="1:7" x14ac:dyDescent="0.3">
      <c r="A7450" t="s">
        <v>395</v>
      </c>
      <c r="B7450" t="s">
        <v>36</v>
      </c>
      <c r="C7450" t="s">
        <v>24</v>
      </c>
      <c r="D7450" t="s">
        <v>15</v>
      </c>
      <c r="E7450" s="68">
        <v>3801</v>
      </c>
      <c r="F7450" s="68">
        <v>3040</v>
      </c>
      <c r="G7450" s="68">
        <v>6841</v>
      </c>
    </row>
    <row r="7451" spans="1:7" x14ac:dyDescent="0.3">
      <c r="A7451" t="s">
        <v>395</v>
      </c>
      <c r="B7451" t="s">
        <v>36</v>
      </c>
      <c r="C7451" t="s">
        <v>24</v>
      </c>
      <c r="D7451" t="s">
        <v>16</v>
      </c>
      <c r="E7451" s="68">
        <v>3439</v>
      </c>
      <c r="F7451" s="68">
        <v>2674</v>
      </c>
      <c r="G7451" s="68">
        <v>6113</v>
      </c>
    </row>
    <row r="7452" spans="1:7" x14ac:dyDescent="0.3">
      <c r="A7452" t="s">
        <v>395</v>
      </c>
      <c r="B7452" t="s">
        <v>36</v>
      </c>
      <c r="C7452" t="s">
        <v>24</v>
      </c>
      <c r="D7452" t="s">
        <v>17</v>
      </c>
      <c r="E7452" s="68">
        <v>3075</v>
      </c>
      <c r="F7452" s="68">
        <v>2468</v>
      </c>
      <c r="G7452" s="68">
        <v>5543</v>
      </c>
    </row>
    <row r="7453" spans="1:7" x14ac:dyDescent="0.3">
      <c r="A7453" t="s">
        <v>395</v>
      </c>
      <c r="B7453" t="s">
        <v>36</v>
      </c>
      <c r="C7453" t="s">
        <v>24</v>
      </c>
      <c r="D7453" t="s">
        <v>18</v>
      </c>
      <c r="E7453" s="68">
        <v>2884</v>
      </c>
      <c r="F7453" s="68">
        <v>2454</v>
      </c>
      <c r="G7453" s="68">
        <v>5338</v>
      </c>
    </row>
    <row r="7454" spans="1:7" x14ac:dyDescent="0.3">
      <c r="A7454" t="s">
        <v>395</v>
      </c>
      <c r="B7454" t="s">
        <v>36</v>
      </c>
      <c r="C7454" t="s">
        <v>24</v>
      </c>
      <c r="D7454" t="s">
        <v>19</v>
      </c>
      <c r="E7454" s="68">
        <v>2538</v>
      </c>
      <c r="F7454" s="68">
        <v>2163</v>
      </c>
      <c r="G7454" s="68">
        <v>4701</v>
      </c>
    </row>
    <row r="7455" spans="1:7" x14ac:dyDescent="0.3">
      <c r="A7455" t="s">
        <v>395</v>
      </c>
      <c r="B7455" t="s">
        <v>36</v>
      </c>
      <c r="C7455" t="s">
        <v>24</v>
      </c>
      <c r="D7455" t="s">
        <v>20</v>
      </c>
      <c r="E7455" s="68">
        <v>1897</v>
      </c>
      <c r="F7455" s="68">
        <v>1597</v>
      </c>
      <c r="G7455" s="68">
        <v>3494</v>
      </c>
    </row>
    <row r="7456" spans="1:7" x14ac:dyDescent="0.3">
      <c r="A7456" t="s">
        <v>395</v>
      </c>
      <c r="B7456" t="s">
        <v>36</v>
      </c>
      <c r="C7456" t="s">
        <v>24</v>
      </c>
      <c r="D7456" t="s">
        <v>21</v>
      </c>
      <c r="E7456" s="68">
        <v>1292</v>
      </c>
      <c r="F7456" s="68">
        <v>1080</v>
      </c>
      <c r="G7456" s="68">
        <v>2372</v>
      </c>
    </row>
    <row r="7457" spans="1:7" x14ac:dyDescent="0.3">
      <c r="A7457" t="s">
        <v>395</v>
      </c>
      <c r="B7457" t="s">
        <v>36</v>
      </c>
      <c r="C7457" t="s">
        <v>24</v>
      </c>
      <c r="D7457" t="s">
        <v>22</v>
      </c>
      <c r="E7457" s="68">
        <v>899</v>
      </c>
      <c r="F7457" s="68">
        <v>750</v>
      </c>
      <c r="G7457" s="68">
        <v>1649</v>
      </c>
    </row>
    <row r="7458" spans="1:7" x14ac:dyDescent="0.3">
      <c r="A7458" t="s">
        <v>395</v>
      </c>
      <c r="B7458" t="s">
        <v>36</v>
      </c>
      <c r="C7458" t="s">
        <v>24</v>
      </c>
      <c r="D7458" t="s">
        <v>23</v>
      </c>
      <c r="E7458" s="68">
        <v>1185</v>
      </c>
      <c r="F7458" s="68">
        <v>742</v>
      </c>
      <c r="G7458" s="68">
        <v>1927</v>
      </c>
    </row>
    <row r="7459" spans="1:7" x14ac:dyDescent="0.3">
      <c r="A7459" t="s">
        <v>395</v>
      </c>
      <c r="B7459" t="s">
        <v>538</v>
      </c>
      <c r="C7459" t="s">
        <v>24</v>
      </c>
      <c r="D7459" t="s">
        <v>7</v>
      </c>
      <c r="E7459" s="68"/>
      <c r="F7459" s="68">
        <v>1</v>
      </c>
      <c r="G7459" s="68">
        <v>1</v>
      </c>
    </row>
    <row r="7460" spans="1:7" x14ac:dyDescent="0.3">
      <c r="A7460" t="s">
        <v>1490</v>
      </c>
      <c r="B7460" t="s">
        <v>27</v>
      </c>
      <c r="C7460" t="s">
        <v>28</v>
      </c>
      <c r="D7460" t="s">
        <v>7</v>
      </c>
      <c r="E7460" s="68">
        <v>20112</v>
      </c>
      <c r="F7460" s="68">
        <v>21035</v>
      </c>
      <c r="G7460" s="68">
        <v>41147</v>
      </c>
    </row>
    <row r="7461" spans="1:7" x14ac:dyDescent="0.3">
      <c r="A7461" t="s">
        <v>1490</v>
      </c>
      <c r="B7461" t="s">
        <v>27</v>
      </c>
      <c r="C7461" t="s">
        <v>28</v>
      </c>
      <c r="D7461" t="s">
        <v>8</v>
      </c>
      <c r="E7461" s="68">
        <v>38284</v>
      </c>
      <c r="F7461" s="68">
        <v>40753</v>
      </c>
      <c r="G7461" s="68">
        <v>79037</v>
      </c>
    </row>
    <row r="7462" spans="1:7" x14ac:dyDescent="0.3">
      <c r="A7462" t="s">
        <v>1490</v>
      </c>
      <c r="B7462" t="s">
        <v>27</v>
      </c>
      <c r="C7462" t="s">
        <v>28</v>
      </c>
      <c r="D7462" t="s">
        <v>9</v>
      </c>
      <c r="E7462" s="68">
        <v>51148</v>
      </c>
      <c r="F7462" s="68">
        <v>53794</v>
      </c>
      <c r="G7462" s="68">
        <v>104942</v>
      </c>
    </row>
    <row r="7463" spans="1:7" x14ac:dyDescent="0.3">
      <c r="A7463" t="s">
        <v>1490</v>
      </c>
      <c r="B7463" t="s">
        <v>27</v>
      </c>
      <c r="C7463" t="s">
        <v>28</v>
      </c>
      <c r="D7463" t="s">
        <v>10</v>
      </c>
      <c r="E7463" s="68">
        <v>56853</v>
      </c>
      <c r="F7463" s="68">
        <v>97616</v>
      </c>
      <c r="G7463" s="68">
        <v>154469</v>
      </c>
    </row>
    <row r="7464" spans="1:7" x14ac:dyDescent="0.3">
      <c r="A7464" t="s">
        <v>1490</v>
      </c>
      <c r="B7464" t="s">
        <v>27</v>
      </c>
      <c r="C7464" t="s">
        <v>28</v>
      </c>
      <c r="D7464" t="s">
        <v>11</v>
      </c>
      <c r="E7464" s="68">
        <v>39136</v>
      </c>
      <c r="F7464" s="68">
        <v>96056</v>
      </c>
      <c r="G7464" s="68">
        <v>135192</v>
      </c>
    </row>
    <row r="7465" spans="1:7" x14ac:dyDescent="0.3">
      <c r="A7465" t="s">
        <v>1490</v>
      </c>
      <c r="B7465" t="s">
        <v>27</v>
      </c>
      <c r="C7465" t="s">
        <v>28</v>
      </c>
      <c r="D7465" t="s">
        <v>12</v>
      </c>
      <c r="E7465" s="68">
        <v>16600</v>
      </c>
      <c r="F7465" s="68">
        <v>49333</v>
      </c>
      <c r="G7465" s="68">
        <v>65933</v>
      </c>
    </row>
    <row r="7466" spans="1:7" x14ac:dyDescent="0.3">
      <c r="A7466" t="s">
        <v>1490</v>
      </c>
      <c r="B7466" t="s">
        <v>27</v>
      </c>
      <c r="C7466" t="s">
        <v>28</v>
      </c>
      <c r="D7466" t="s">
        <v>13</v>
      </c>
      <c r="E7466" s="68">
        <v>25089</v>
      </c>
      <c r="F7466" s="68">
        <v>56601</v>
      </c>
      <c r="G7466" s="68">
        <v>81690</v>
      </c>
    </row>
    <row r="7467" spans="1:7" x14ac:dyDescent="0.3">
      <c r="A7467" t="s">
        <v>1490</v>
      </c>
      <c r="B7467" t="s">
        <v>27</v>
      </c>
      <c r="C7467" t="s">
        <v>28</v>
      </c>
      <c r="D7467" t="s">
        <v>14</v>
      </c>
      <c r="E7467" s="68">
        <v>31319</v>
      </c>
      <c r="F7467" s="68">
        <v>69450</v>
      </c>
      <c r="G7467" s="68">
        <v>100769</v>
      </c>
    </row>
    <row r="7468" spans="1:7" x14ac:dyDescent="0.3">
      <c r="A7468" t="s">
        <v>1490</v>
      </c>
      <c r="B7468" t="s">
        <v>27</v>
      </c>
      <c r="C7468" t="s">
        <v>28</v>
      </c>
      <c r="D7468" t="s">
        <v>15</v>
      </c>
      <c r="E7468" s="68">
        <v>30974</v>
      </c>
      <c r="F7468" s="68">
        <v>77166</v>
      </c>
      <c r="G7468" s="68">
        <v>108140</v>
      </c>
    </row>
    <row r="7469" spans="1:7" x14ac:dyDescent="0.3">
      <c r="A7469" t="s">
        <v>1490</v>
      </c>
      <c r="B7469" t="s">
        <v>27</v>
      </c>
      <c r="C7469" t="s">
        <v>28</v>
      </c>
      <c r="D7469" t="s">
        <v>16</v>
      </c>
      <c r="E7469" s="68">
        <v>25902</v>
      </c>
      <c r="F7469" s="68">
        <v>53235</v>
      </c>
      <c r="G7469" s="68">
        <v>79137</v>
      </c>
    </row>
    <row r="7470" spans="1:7" x14ac:dyDescent="0.3">
      <c r="A7470" t="s">
        <v>1490</v>
      </c>
      <c r="B7470" t="s">
        <v>27</v>
      </c>
      <c r="C7470" t="s">
        <v>28</v>
      </c>
      <c r="D7470" t="s">
        <v>17</v>
      </c>
      <c r="E7470" s="68">
        <v>23058</v>
      </c>
      <c r="F7470" s="68">
        <v>32199</v>
      </c>
      <c r="G7470" s="68">
        <v>55257</v>
      </c>
    </row>
    <row r="7471" spans="1:7" x14ac:dyDescent="0.3">
      <c r="A7471" t="s">
        <v>1490</v>
      </c>
      <c r="B7471" t="s">
        <v>27</v>
      </c>
      <c r="C7471" t="s">
        <v>28</v>
      </c>
      <c r="D7471" t="s">
        <v>18</v>
      </c>
      <c r="E7471" s="68">
        <v>25046</v>
      </c>
      <c r="F7471" s="68">
        <v>26493</v>
      </c>
      <c r="G7471" s="68">
        <v>51539</v>
      </c>
    </row>
    <row r="7472" spans="1:7" x14ac:dyDescent="0.3">
      <c r="A7472" t="s">
        <v>1490</v>
      </c>
      <c r="B7472" t="s">
        <v>27</v>
      </c>
      <c r="C7472" t="s">
        <v>28</v>
      </c>
      <c r="D7472" t="s">
        <v>19</v>
      </c>
      <c r="E7472" s="68">
        <v>24521</v>
      </c>
      <c r="F7472" s="68">
        <v>26170</v>
      </c>
      <c r="G7472" s="68">
        <v>50691</v>
      </c>
    </row>
    <row r="7473" spans="1:7" x14ac:dyDescent="0.3">
      <c r="A7473" t="s">
        <v>1490</v>
      </c>
      <c r="B7473" t="s">
        <v>27</v>
      </c>
      <c r="C7473" t="s">
        <v>28</v>
      </c>
      <c r="D7473" t="s">
        <v>20</v>
      </c>
      <c r="E7473" s="68">
        <v>18927</v>
      </c>
      <c r="F7473" s="68">
        <v>18581</v>
      </c>
      <c r="G7473" s="68">
        <v>37508</v>
      </c>
    </row>
    <row r="7474" spans="1:7" x14ac:dyDescent="0.3">
      <c r="A7474" t="s">
        <v>1490</v>
      </c>
      <c r="B7474" t="s">
        <v>27</v>
      </c>
      <c r="C7474" t="s">
        <v>28</v>
      </c>
      <c r="D7474" t="s">
        <v>21</v>
      </c>
      <c r="E7474" s="68">
        <v>14786</v>
      </c>
      <c r="F7474" s="68">
        <v>12455</v>
      </c>
      <c r="G7474" s="68">
        <v>27241</v>
      </c>
    </row>
    <row r="7475" spans="1:7" x14ac:dyDescent="0.3">
      <c r="A7475" t="s">
        <v>1490</v>
      </c>
      <c r="B7475" t="s">
        <v>27</v>
      </c>
      <c r="C7475" t="s">
        <v>28</v>
      </c>
      <c r="D7475" t="s">
        <v>22</v>
      </c>
      <c r="E7475" s="68">
        <v>12159</v>
      </c>
      <c r="F7475" s="68">
        <v>10138</v>
      </c>
      <c r="G7475" s="68">
        <v>22297</v>
      </c>
    </row>
    <row r="7476" spans="1:7" x14ac:dyDescent="0.3">
      <c r="A7476" t="s">
        <v>1490</v>
      </c>
      <c r="B7476" t="s">
        <v>27</v>
      </c>
      <c r="C7476" t="s">
        <v>28</v>
      </c>
      <c r="D7476" t="s">
        <v>23</v>
      </c>
      <c r="E7476" s="68">
        <v>18788</v>
      </c>
      <c r="F7476" s="68">
        <v>16062</v>
      </c>
      <c r="G7476" s="68">
        <v>34850</v>
      </c>
    </row>
    <row r="7477" spans="1:7" x14ac:dyDescent="0.3">
      <c r="A7477" t="s">
        <v>1490</v>
      </c>
      <c r="B7477" t="s">
        <v>27</v>
      </c>
      <c r="C7477" t="s">
        <v>29</v>
      </c>
      <c r="D7477" t="s">
        <v>12</v>
      </c>
      <c r="E7477" s="68">
        <v>1</v>
      </c>
      <c r="F7477" s="68">
        <v>53</v>
      </c>
      <c r="G7477" s="68">
        <v>54</v>
      </c>
    </row>
    <row r="7478" spans="1:7" x14ac:dyDescent="0.3">
      <c r="A7478" t="s">
        <v>1490</v>
      </c>
      <c r="B7478" t="s">
        <v>27</v>
      </c>
      <c r="C7478" t="s">
        <v>29</v>
      </c>
      <c r="D7478" t="s">
        <v>13</v>
      </c>
      <c r="E7478" s="68">
        <v>21</v>
      </c>
      <c r="F7478" s="68">
        <v>896</v>
      </c>
      <c r="G7478" s="68">
        <v>917</v>
      </c>
    </row>
    <row r="7479" spans="1:7" x14ac:dyDescent="0.3">
      <c r="A7479" t="s">
        <v>1490</v>
      </c>
      <c r="B7479" t="s">
        <v>27</v>
      </c>
      <c r="C7479" t="s">
        <v>29</v>
      </c>
      <c r="D7479" t="s">
        <v>14</v>
      </c>
      <c r="E7479" s="68">
        <v>47</v>
      </c>
      <c r="F7479" s="68">
        <v>1314</v>
      </c>
      <c r="G7479" s="68">
        <v>1361</v>
      </c>
    </row>
    <row r="7480" spans="1:7" x14ac:dyDescent="0.3">
      <c r="A7480" t="s">
        <v>1490</v>
      </c>
      <c r="B7480" t="s">
        <v>27</v>
      </c>
      <c r="C7480" t="s">
        <v>29</v>
      </c>
      <c r="D7480" t="s">
        <v>15</v>
      </c>
      <c r="E7480" s="68">
        <v>56</v>
      </c>
      <c r="F7480" s="68">
        <v>1329</v>
      </c>
      <c r="G7480" s="68">
        <v>1385</v>
      </c>
    </row>
    <row r="7481" spans="1:7" x14ac:dyDescent="0.3">
      <c r="A7481" t="s">
        <v>1490</v>
      </c>
      <c r="B7481" t="s">
        <v>27</v>
      </c>
      <c r="C7481" t="s">
        <v>29</v>
      </c>
      <c r="D7481" t="s">
        <v>16</v>
      </c>
      <c r="E7481" s="68">
        <v>25</v>
      </c>
      <c r="F7481" s="68">
        <v>1089</v>
      </c>
      <c r="G7481" s="68">
        <v>1114</v>
      </c>
    </row>
    <row r="7482" spans="1:7" x14ac:dyDescent="0.3">
      <c r="A7482" t="s">
        <v>1490</v>
      </c>
      <c r="B7482" t="s">
        <v>27</v>
      </c>
      <c r="C7482" t="s">
        <v>29</v>
      </c>
      <c r="D7482" t="s">
        <v>17</v>
      </c>
      <c r="E7482" s="68">
        <v>22</v>
      </c>
      <c r="F7482" s="68">
        <v>734</v>
      </c>
      <c r="G7482" s="68">
        <v>756</v>
      </c>
    </row>
    <row r="7483" spans="1:7" x14ac:dyDescent="0.3">
      <c r="A7483" t="s">
        <v>1490</v>
      </c>
      <c r="B7483" t="s">
        <v>27</v>
      </c>
      <c r="C7483" t="s">
        <v>29</v>
      </c>
      <c r="D7483" t="s">
        <v>18</v>
      </c>
      <c r="E7483" s="68">
        <v>12</v>
      </c>
      <c r="F7483" s="68">
        <v>480</v>
      </c>
      <c r="G7483" s="68">
        <v>492</v>
      </c>
    </row>
    <row r="7484" spans="1:7" x14ac:dyDescent="0.3">
      <c r="A7484" t="s">
        <v>1490</v>
      </c>
      <c r="B7484" t="s">
        <v>27</v>
      </c>
      <c r="C7484" t="s">
        <v>29</v>
      </c>
      <c r="D7484" t="s">
        <v>19</v>
      </c>
      <c r="E7484" s="68">
        <v>9</v>
      </c>
      <c r="F7484" s="68">
        <v>243</v>
      </c>
      <c r="G7484" s="68">
        <v>252</v>
      </c>
    </row>
    <row r="7485" spans="1:7" x14ac:dyDescent="0.3">
      <c r="A7485" t="s">
        <v>1490</v>
      </c>
      <c r="B7485" t="s">
        <v>27</v>
      </c>
      <c r="C7485" t="s">
        <v>29</v>
      </c>
      <c r="D7485" t="s">
        <v>20</v>
      </c>
      <c r="E7485" s="68">
        <v>6</v>
      </c>
      <c r="F7485" s="68">
        <v>144</v>
      </c>
      <c r="G7485" s="68">
        <v>150</v>
      </c>
    </row>
    <row r="7486" spans="1:7" x14ac:dyDescent="0.3">
      <c r="A7486" t="s">
        <v>1490</v>
      </c>
      <c r="B7486" t="s">
        <v>27</v>
      </c>
      <c r="C7486" t="s">
        <v>29</v>
      </c>
      <c r="D7486" t="s">
        <v>21</v>
      </c>
      <c r="E7486" s="68"/>
      <c r="F7486" s="68">
        <v>83</v>
      </c>
      <c r="G7486" s="68">
        <v>83</v>
      </c>
    </row>
    <row r="7487" spans="1:7" x14ac:dyDescent="0.3">
      <c r="A7487" t="s">
        <v>1490</v>
      </c>
      <c r="B7487" t="s">
        <v>27</v>
      </c>
      <c r="C7487" t="s">
        <v>29</v>
      </c>
      <c r="D7487" t="s">
        <v>22</v>
      </c>
      <c r="E7487" s="68"/>
      <c r="F7487" s="68">
        <v>32</v>
      </c>
      <c r="G7487" s="68">
        <v>32</v>
      </c>
    </row>
    <row r="7488" spans="1:7" x14ac:dyDescent="0.3">
      <c r="A7488" t="s">
        <v>1490</v>
      </c>
      <c r="B7488" t="s">
        <v>27</v>
      </c>
      <c r="C7488" t="s">
        <v>29</v>
      </c>
      <c r="D7488" t="s">
        <v>23</v>
      </c>
      <c r="E7488" s="68">
        <v>1</v>
      </c>
      <c r="F7488" s="68">
        <v>16</v>
      </c>
      <c r="G7488" s="68">
        <v>17</v>
      </c>
    </row>
    <row r="7489" spans="1:7" x14ac:dyDescent="0.3">
      <c r="A7489" t="s">
        <v>1490</v>
      </c>
      <c r="B7489" t="s">
        <v>27</v>
      </c>
      <c r="C7489" t="s">
        <v>29</v>
      </c>
      <c r="D7489" t="s">
        <v>1572</v>
      </c>
      <c r="E7489" s="68"/>
      <c r="F7489" s="68"/>
      <c r="G7489" s="68">
        <v>7247</v>
      </c>
    </row>
    <row r="7490" spans="1:7" x14ac:dyDescent="0.3">
      <c r="A7490" t="s">
        <v>971</v>
      </c>
      <c r="B7490" t="s">
        <v>38</v>
      </c>
      <c r="C7490" t="s">
        <v>24</v>
      </c>
      <c r="D7490" t="s">
        <v>7</v>
      </c>
      <c r="E7490" s="68"/>
      <c r="F7490" s="68">
        <v>1</v>
      </c>
      <c r="G7490" s="68">
        <v>1</v>
      </c>
    </row>
    <row r="7491" spans="1:7" x14ac:dyDescent="0.3">
      <c r="A7491" t="s">
        <v>971</v>
      </c>
      <c r="B7491" t="s">
        <v>30</v>
      </c>
      <c r="C7491" t="s">
        <v>6</v>
      </c>
      <c r="D7491" t="s">
        <v>7</v>
      </c>
      <c r="E7491" s="68">
        <v>17</v>
      </c>
      <c r="F7491" s="68">
        <v>13</v>
      </c>
      <c r="G7491" s="68">
        <v>30</v>
      </c>
    </row>
    <row r="7492" spans="1:7" x14ac:dyDescent="0.3">
      <c r="A7492" t="s">
        <v>971</v>
      </c>
      <c r="B7492" t="s">
        <v>30</v>
      </c>
      <c r="C7492" t="s">
        <v>6</v>
      </c>
      <c r="D7492" t="s">
        <v>8</v>
      </c>
      <c r="E7492" s="68">
        <v>13</v>
      </c>
      <c r="F7492" s="68">
        <v>13</v>
      </c>
      <c r="G7492" s="68">
        <v>26</v>
      </c>
    </row>
    <row r="7493" spans="1:7" x14ac:dyDescent="0.3">
      <c r="A7493" t="s">
        <v>971</v>
      </c>
      <c r="B7493" t="s">
        <v>30</v>
      </c>
      <c r="C7493" t="s">
        <v>6</v>
      </c>
      <c r="D7493" t="s">
        <v>9</v>
      </c>
      <c r="E7493" s="68">
        <v>20</v>
      </c>
      <c r="F7493" s="68">
        <v>19</v>
      </c>
      <c r="G7493" s="68">
        <v>39</v>
      </c>
    </row>
    <row r="7494" spans="1:7" x14ac:dyDescent="0.3">
      <c r="A7494" t="s">
        <v>971</v>
      </c>
      <c r="B7494" t="s">
        <v>30</v>
      </c>
      <c r="C7494" t="s">
        <v>6</v>
      </c>
      <c r="D7494" t="s">
        <v>10</v>
      </c>
      <c r="E7494" s="68">
        <v>40</v>
      </c>
      <c r="F7494" s="68">
        <v>35</v>
      </c>
      <c r="G7494" s="68">
        <v>75</v>
      </c>
    </row>
    <row r="7495" spans="1:7" x14ac:dyDescent="0.3">
      <c r="A7495" t="s">
        <v>971</v>
      </c>
      <c r="B7495" t="s">
        <v>30</v>
      </c>
      <c r="C7495" t="s">
        <v>6</v>
      </c>
      <c r="D7495" t="s">
        <v>11</v>
      </c>
      <c r="E7495" s="68">
        <v>98</v>
      </c>
      <c r="F7495" s="68">
        <v>135</v>
      </c>
      <c r="G7495" s="68">
        <v>233</v>
      </c>
    </row>
    <row r="7496" spans="1:7" x14ac:dyDescent="0.3">
      <c r="A7496" t="s">
        <v>971</v>
      </c>
      <c r="B7496" t="s">
        <v>30</v>
      </c>
      <c r="C7496" t="s">
        <v>6</v>
      </c>
      <c r="D7496" t="s">
        <v>12</v>
      </c>
      <c r="E7496" s="68">
        <v>117</v>
      </c>
      <c r="F7496" s="68">
        <v>170</v>
      </c>
      <c r="G7496" s="68">
        <v>287</v>
      </c>
    </row>
    <row r="7497" spans="1:7" x14ac:dyDescent="0.3">
      <c r="A7497" t="s">
        <v>971</v>
      </c>
      <c r="B7497" t="s">
        <v>30</v>
      </c>
      <c r="C7497" t="s">
        <v>6</v>
      </c>
      <c r="D7497" t="s">
        <v>13</v>
      </c>
      <c r="E7497" s="68">
        <v>100</v>
      </c>
      <c r="F7497" s="68">
        <v>166</v>
      </c>
      <c r="G7497" s="68">
        <v>266</v>
      </c>
    </row>
    <row r="7498" spans="1:7" x14ac:dyDescent="0.3">
      <c r="A7498" t="s">
        <v>971</v>
      </c>
      <c r="B7498" t="s">
        <v>30</v>
      </c>
      <c r="C7498" t="s">
        <v>6</v>
      </c>
      <c r="D7498" t="s">
        <v>14</v>
      </c>
      <c r="E7498" s="68">
        <v>89</v>
      </c>
      <c r="F7498" s="68">
        <v>137</v>
      </c>
      <c r="G7498" s="68">
        <v>226</v>
      </c>
    </row>
    <row r="7499" spans="1:7" x14ac:dyDescent="0.3">
      <c r="A7499" t="s">
        <v>971</v>
      </c>
      <c r="B7499" t="s">
        <v>30</v>
      </c>
      <c r="C7499" t="s">
        <v>6</v>
      </c>
      <c r="D7499" t="s">
        <v>15</v>
      </c>
      <c r="E7499" s="68">
        <v>67</v>
      </c>
      <c r="F7499" s="68">
        <v>101</v>
      </c>
      <c r="G7499" s="68">
        <v>168</v>
      </c>
    </row>
    <row r="7500" spans="1:7" x14ac:dyDescent="0.3">
      <c r="A7500" t="s">
        <v>971</v>
      </c>
      <c r="B7500" t="s">
        <v>30</v>
      </c>
      <c r="C7500" t="s">
        <v>6</v>
      </c>
      <c r="D7500" t="s">
        <v>16</v>
      </c>
      <c r="E7500" s="68">
        <v>48</v>
      </c>
      <c r="F7500" s="68">
        <v>95</v>
      </c>
      <c r="G7500" s="68">
        <v>143</v>
      </c>
    </row>
    <row r="7501" spans="1:7" x14ac:dyDescent="0.3">
      <c r="A7501" t="s">
        <v>971</v>
      </c>
      <c r="B7501" t="s">
        <v>30</v>
      </c>
      <c r="C7501" t="s">
        <v>6</v>
      </c>
      <c r="D7501" t="s">
        <v>17</v>
      </c>
      <c r="E7501" s="68">
        <v>33</v>
      </c>
      <c r="F7501" s="68">
        <v>69</v>
      </c>
      <c r="G7501" s="68">
        <v>102</v>
      </c>
    </row>
    <row r="7502" spans="1:7" x14ac:dyDescent="0.3">
      <c r="A7502" t="s">
        <v>971</v>
      </c>
      <c r="B7502" t="s">
        <v>30</v>
      </c>
      <c r="C7502" t="s">
        <v>6</v>
      </c>
      <c r="D7502" t="s">
        <v>18</v>
      </c>
      <c r="E7502" s="68">
        <v>32</v>
      </c>
      <c r="F7502" s="68">
        <v>47</v>
      </c>
      <c r="G7502" s="68">
        <v>79</v>
      </c>
    </row>
    <row r="7503" spans="1:7" x14ac:dyDescent="0.3">
      <c r="A7503" t="s">
        <v>971</v>
      </c>
      <c r="B7503" t="s">
        <v>30</v>
      </c>
      <c r="C7503" t="s">
        <v>6</v>
      </c>
      <c r="D7503" t="s">
        <v>19</v>
      </c>
      <c r="E7503" s="68">
        <v>21</v>
      </c>
      <c r="F7503" s="68">
        <v>26</v>
      </c>
      <c r="G7503" s="68">
        <v>47</v>
      </c>
    </row>
    <row r="7504" spans="1:7" x14ac:dyDescent="0.3">
      <c r="A7504" t="s">
        <v>971</v>
      </c>
      <c r="B7504" t="s">
        <v>30</v>
      </c>
      <c r="C7504" t="s">
        <v>6</v>
      </c>
      <c r="D7504" t="s">
        <v>20</v>
      </c>
      <c r="E7504" s="68">
        <v>13</v>
      </c>
      <c r="F7504" s="68">
        <v>22</v>
      </c>
      <c r="G7504" s="68">
        <v>35</v>
      </c>
    </row>
    <row r="7505" spans="1:7" x14ac:dyDescent="0.3">
      <c r="A7505" t="s">
        <v>971</v>
      </c>
      <c r="B7505" t="s">
        <v>30</v>
      </c>
      <c r="C7505" t="s">
        <v>6</v>
      </c>
      <c r="D7505" t="s">
        <v>21</v>
      </c>
      <c r="E7505" s="68">
        <v>11</v>
      </c>
      <c r="F7505" s="68">
        <v>9</v>
      </c>
      <c r="G7505" s="68">
        <v>20</v>
      </c>
    </row>
    <row r="7506" spans="1:7" x14ac:dyDescent="0.3">
      <c r="A7506" t="s">
        <v>971</v>
      </c>
      <c r="B7506" t="s">
        <v>30</v>
      </c>
      <c r="C7506" t="s">
        <v>6</v>
      </c>
      <c r="D7506" t="s">
        <v>22</v>
      </c>
      <c r="E7506" s="68">
        <v>4</v>
      </c>
      <c r="F7506" s="68">
        <v>13</v>
      </c>
      <c r="G7506" s="68">
        <v>17</v>
      </c>
    </row>
    <row r="7507" spans="1:7" x14ac:dyDescent="0.3">
      <c r="A7507" t="s">
        <v>971</v>
      </c>
      <c r="B7507" t="s">
        <v>30</v>
      </c>
      <c r="C7507" t="s">
        <v>6</v>
      </c>
      <c r="D7507" t="s">
        <v>23</v>
      </c>
      <c r="E7507" s="68">
        <v>8</v>
      </c>
      <c r="F7507" s="68">
        <v>8</v>
      </c>
      <c r="G7507" s="68">
        <v>16</v>
      </c>
    </row>
    <row r="7508" spans="1:7" x14ac:dyDescent="0.3">
      <c r="A7508" t="s">
        <v>971</v>
      </c>
      <c r="B7508" t="s">
        <v>30</v>
      </c>
      <c r="C7508" t="s">
        <v>24</v>
      </c>
      <c r="D7508" t="s">
        <v>7</v>
      </c>
      <c r="E7508" s="68">
        <v>1896</v>
      </c>
      <c r="F7508" s="68">
        <v>1975</v>
      </c>
      <c r="G7508" s="68">
        <v>3871</v>
      </c>
    </row>
    <row r="7509" spans="1:7" x14ac:dyDescent="0.3">
      <c r="A7509" t="s">
        <v>971</v>
      </c>
      <c r="B7509" t="s">
        <v>30</v>
      </c>
      <c r="C7509" t="s">
        <v>24</v>
      </c>
      <c r="D7509" t="s">
        <v>8</v>
      </c>
      <c r="E7509" s="68">
        <v>3428</v>
      </c>
      <c r="F7509" s="68">
        <v>3532</v>
      </c>
      <c r="G7509" s="68">
        <v>6960</v>
      </c>
    </row>
    <row r="7510" spans="1:7" x14ac:dyDescent="0.3">
      <c r="A7510" t="s">
        <v>971</v>
      </c>
      <c r="B7510" t="s">
        <v>30</v>
      </c>
      <c r="C7510" t="s">
        <v>24</v>
      </c>
      <c r="D7510" t="s">
        <v>9</v>
      </c>
      <c r="E7510" s="68">
        <v>3021</v>
      </c>
      <c r="F7510" s="68">
        <v>3334</v>
      </c>
      <c r="G7510" s="68">
        <v>6355</v>
      </c>
    </row>
    <row r="7511" spans="1:7" x14ac:dyDescent="0.3">
      <c r="A7511" t="s">
        <v>971</v>
      </c>
      <c r="B7511" t="s">
        <v>30</v>
      </c>
      <c r="C7511" t="s">
        <v>24</v>
      </c>
      <c r="D7511" t="s">
        <v>10</v>
      </c>
      <c r="E7511" s="68">
        <v>3029</v>
      </c>
      <c r="F7511" s="68">
        <v>3054</v>
      </c>
      <c r="G7511" s="68">
        <v>6083</v>
      </c>
    </row>
    <row r="7512" spans="1:7" x14ac:dyDescent="0.3">
      <c r="A7512" t="s">
        <v>971</v>
      </c>
      <c r="B7512" t="s">
        <v>30</v>
      </c>
      <c r="C7512" t="s">
        <v>24</v>
      </c>
      <c r="D7512" t="s">
        <v>11</v>
      </c>
      <c r="E7512" s="68">
        <v>2395</v>
      </c>
      <c r="F7512" s="68">
        <v>2107</v>
      </c>
      <c r="G7512" s="68">
        <v>4502</v>
      </c>
    </row>
    <row r="7513" spans="1:7" x14ac:dyDescent="0.3">
      <c r="A7513" t="s">
        <v>971</v>
      </c>
      <c r="B7513" t="s">
        <v>30</v>
      </c>
      <c r="C7513" t="s">
        <v>24</v>
      </c>
      <c r="D7513" t="s">
        <v>12</v>
      </c>
      <c r="E7513" s="68">
        <v>2082</v>
      </c>
      <c r="F7513" s="68">
        <v>1614</v>
      </c>
      <c r="G7513" s="68">
        <v>3696</v>
      </c>
    </row>
    <row r="7514" spans="1:7" x14ac:dyDescent="0.3">
      <c r="A7514" t="s">
        <v>971</v>
      </c>
      <c r="B7514" t="s">
        <v>30</v>
      </c>
      <c r="C7514" t="s">
        <v>24</v>
      </c>
      <c r="D7514" t="s">
        <v>13</v>
      </c>
      <c r="E7514" s="68">
        <v>2030</v>
      </c>
      <c r="F7514" s="68">
        <v>1680</v>
      </c>
      <c r="G7514" s="68">
        <v>3710</v>
      </c>
    </row>
    <row r="7515" spans="1:7" x14ac:dyDescent="0.3">
      <c r="A7515" t="s">
        <v>971</v>
      </c>
      <c r="B7515" t="s">
        <v>30</v>
      </c>
      <c r="C7515" t="s">
        <v>24</v>
      </c>
      <c r="D7515" t="s">
        <v>14</v>
      </c>
      <c r="E7515" s="68">
        <v>1808</v>
      </c>
      <c r="F7515" s="68">
        <v>1783</v>
      </c>
      <c r="G7515" s="68">
        <v>3591</v>
      </c>
    </row>
    <row r="7516" spans="1:7" x14ac:dyDescent="0.3">
      <c r="A7516" t="s">
        <v>971</v>
      </c>
      <c r="B7516" t="s">
        <v>30</v>
      </c>
      <c r="C7516" t="s">
        <v>24</v>
      </c>
      <c r="D7516" t="s">
        <v>15</v>
      </c>
      <c r="E7516" s="68">
        <v>1711</v>
      </c>
      <c r="F7516" s="68">
        <v>1632</v>
      </c>
      <c r="G7516" s="68">
        <v>3343</v>
      </c>
    </row>
    <row r="7517" spans="1:7" x14ac:dyDescent="0.3">
      <c r="A7517" t="s">
        <v>971</v>
      </c>
      <c r="B7517" t="s">
        <v>30</v>
      </c>
      <c r="C7517" t="s">
        <v>24</v>
      </c>
      <c r="D7517" t="s">
        <v>16</v>
      </c>
      <c r="E7517" s="68">
        <v>1502</v>
      </c>
      <c r="F7517" s="68">
        <v>1527</v>
      </c>
      <c r="G7517" s="68">
        <v>3029</v>
      </c>
    </row>
    <row r="7518" spans="1:7" x14ac:dyDescent="0.3">
      <c r="A7518" t="s">
        <v>971</v>
      </c>
      <c r="B7518" t="s">
        <v>30</v>
      </c>
      <c r="C7518" t="s">
        <v>24</v>
      </c>
      <c r="D7518" t="s">
        <v>17</v>
      </c>
      <c r="E7518" s="68">
        <v>1256</v>
      </c>
      <c r="F7518" s="68">
        <v>1514</v>
      </c>
      <c r="G7518" s="68">
        <v>2770</v>
      </c>
    </row>
    <row r="7519" spans="1:7" x14ac:dyDescent="0.3">
      <c r="A7519" t="s">
        <v>971</v>
      </c>
      <c r="B7519" t="s">
        <v>30</v>
      </c>
      <c r="C7519" t="s">
        <v>24</v>
      </c>
      <c r="D7519" t="s">
        <v>18</v>
      </c>
      <c r="E7519" s="68">
        <v>1132</v>
      </c>
      <c r="F7519" s="68">
        <v>1417</v>
      </c>
      <c r="G7519" s="68">
        <v>2549</v>
      </c>
    </row>
    <row r="7520" spans="1:7" x14ac:dyDescent="0.3">
      <c r="A7520" t="s">
        <v>971</v>
      </c>
      <c r="B7520" t="s">
        <v>30</v>
      </c>
      <c r="C7520" t="s">
        <v>24</v>
      </c>
      <c r="D7520" t="s">
        <v>19</v>
      </c>
      <c r="E7520" s="68">
        <v>874</v>
      </c>
      <c r="F7520" s="68">
        <v>1156</v>
      </c>
      <c r="G7520" s="68">
        <v>2030</v>
      </c>
    </row>
    <row r="7521" spans="1:7" x14ac:dyDescent="0.3">
      <c r="A7521" t="s">
        <v>971</v>
      </c>
      <c r="B7521" t="s">
        <v>30</v>
      </c>
      <c r="C7521" t="s">
        <v>24</v>
      </c>
      <c r="D7521" t="s">
        <v>20</v>
      </c>
      <c r="E7521" s="68">
        <v>731</v>
      </c>
      <c r="F7521" s="68">
        <v>920</v>
      </c>
      <c r="G7521" s="68">
        <v>1651</v>
      </c>
    </row>
    <row r="7522" spans="1:7" x14ac:dyDescent="0.3">
      <c r="A7522" t="s">
        <v>971</v>
      </c>
      <c r="B7522" t="s">
        <v>30</v>
      </c>
      <c r="C7522" t="s">
        <v>24</v>
      </c>
      <c r="D7522" t="s">
        <v>21</v>
      </c>
      <c r="E7522" s="68">
        <v>521</v>
      </c>
      <c r="F7522" s="68">
        <v>616</v>
      </c>
      <c r="G7522" s="68">
        <v>1137</v>
      </c>
    </row>
    <row r="7523" spans="1:7" x14ac:dyDescent="0.3">
      <c r="A7523" t="s">
        <v>971</v>
      </c>
      <c r="B7523" t="s">
        <v>30</v>
      </c>
      <c r="C7523" t="s">
        <v>24</v>
      </c>
      <c r="D7523" t="s">
        <v>22</v>
      </c>
      <c r="E7523" s="68">
        <v>431</v>
      </c>
      <c r="F7523" s="68">
        <v>480</v>
      </c>
      <c r="G7523" s="68">
        <v>911</v>
      </c>
    </row>
    <row r="7524" spans="1:7" x14ac:dyDescent="0.3">
      <c r="A7524" t="s">
        <v>971</v>
      </c>
      <c r="B7524" t="s">
        <v>30</v>
      </c>
      <c r="C7524" t="s">
        <v>24</v>
      </c>
      <c r="D7524" t="s">
        <v>23</v>
      </c>
      <c r="E7524" s="68">
        <v>629</v>
      </c>
      <c r="F7524" s="68">
        <v>634</v>
      </c>
      <c r="G7524" s="68">
        <v>1263</v>
      </c>
    </row>
    <row r="7525" spans="1:7" x14ac:dyDescent="0.3">
      <c r="A7525" t="s">
        <v>971</v>
      </c>
      <c r="B7525" t="s">
        <v>31</v>
      </c>
      <c r="C7525" t="s">
        <v>6</v>
      </c>
      <c r="D7525" t="s">
        <v>7</v>
      </c>
      <c r="E7525" s="68">
        <v>131</v>
      </c>
      <c r="F7525" s="68">
        <v>148</v>
      </c>
      <c r="G7525" s="68">
        <v>279</v>
      </c>
    </row>
    <row r="7526" spans="1:7" x14ac:dyDescent="0.3">
      <c r="A7526" t="s">
        <v>971</v>
      </c>
      <c r="B7526" t="s">
        <v>31</v>
      </c>
      <c r="C7526" t="s">
        <v>6</v>
      </c>
      <c r="D7526" t="s">
        <v>8</v>
      </c>
      <c r="E7526" s="68">
        <v>79</v>
      </c>
      <c r="F7526" s="68">
        <v>101</v>
      </c>
      <c r="G7526" s="68">
        <v>180</v>
      </c>
    </row>
    <row r="7527" spans="1:7" x14ac:dyDescent="0.3">
      <c r="A7527" t="s">
        <v>971</v>
      </c>
      <c r="B7527" t="s">
        <v>31</v>
      </c>
      <c r="C7527" t="s">
        <v>6</v>
      </c>
      <c r="D7527" t="s">
        <v>9</v>
      </c>
      <c r="E7527" s="68">
        <v>63</v>
      </c>
      <c r="F7527" s="68">
        <v>64</v>
      </c>
      <c r="G7527" s="68">
        <v>127</v>
      </c>
    </row>
    <row r="7528" spans="1:7" x14ac:dyDescent="0.3">
      <c r="A7528" t="s">
        <v>971</v>
      </c>
      <c r="B7528" t="s">
        <v>31</v>
      </c>
      <c r="C7528" t="s">
        <v>6</v>
      </c>
      <c r="D7528" t="s">
        <v>10</v>
      </c>
      <c r="E7528" s="68">
        <v>97</v>
      </c>
      <c r="F7528" s="68">
        <v>153</v>
      </c>
      <c r="G7528" s="68">
        <v>250</v>
      </c>
    </row>
    <row r="7529" spans="1:7" x14ac:dyDescent="0.3">
      <c r="A7529" t="s">
        <v>971</v>
      </c>
      <c r="B7529" t="s">
        <v>31</v>
      </c>
      <c r="C7529" t="s">
        <v>6</v>
      </c>
      <c r="D7529" t="s">
        <v>11</v>
      </c>
      <c r="E7529" s="68">
        <v>282</v>
      </c>
      <c r="F7529" s="68">
        <v>535</v>
      </c>
      <c r="G7529" s="68">
        <v>817</v>
      </c>
    </row>
    <row r="7530" spans="1:7" x14ac:dyDescent="0.3">
      <c r="A7530" t="s">
        <v>971</v>
      </c>
      <c r="B7530" t="s">
        <v>31</v>
      </c>
      <c r="C7530" t="s">
        <v>6</v>
      </c>
      <c r="D7530" t="s">
        <v>12</v>
      </c>
      <c r="E7530" s="68">
        <v>368</v>
      </c>
      <c r="F7530" s="68">
        <v>513</v>
      </c>
      <c r="G7530" s="68">
        <v>881</v>
      </c>
    </row>
    <row r="7531" spans="1:7" x14ac:dyDescent="0.3">
      <c r="A7531" t="s">
        <v>971</v>
      </c>
      <c r="B7531" t="s">
        <v>31</v>
      </c>
      <c r="C7531" t="s">
        <v>6</v>
      </c>
      <c r="D7531" t="s">
        <v>13</v>
      </c>
      <c r="E7531" s="68">
        <v>325</v>
      </c>
      <c r="F7531" s="68">
        <v>419</v>
      </c>
      <c r="G7531" s="68">
        <v>744</v>
      </c>
    </row>
    <row r="7532" spans="1:7" x14ac:dyDescent="0.3">
      <c r="A7532" t="s">
        <v>971</v>
      </c>
      <c r="B7532" t="s">
        <v>31</v>
      </c>
      <c r="C7532" t="s">
        <v>6</v>
      </c>
      <c r="D7532" t="s">
        <v>14</v>
      </c>
      <c r="E7532" s="68">
        <v>243</v>
      </c>
      <c r="F7532" s="68">
        <v>374</v>
      </c>
      <c r="G7532" s="68">
        <v>617</v>
      </c>
    </row>
    <row r="7533" spans="1:7" x14ac:dyDescent="0.3">
      <c r="A7533" t="s">
        <v>971</v>
      </c>
      <c r="B7533" t="s">
        <v>31</v>
      </c>
      <c r="C7533" t="s">
        <v>6</v>
      </c>
      <c r="D7533" t="s">
        <v>15</v>
      </c>
      <c r="E7533" s="68">
        <v>204</v>
      </c>
      <c r="F7533" s="68">
        <v>256</v>
      </c>
      <c r="G7533" s="68">
        <v>460</v>
      </c>
    </row>
    <row r="7534" spans="1:7" x14ac:dyDescent="0.3">
      <c r="A7534" t="s">
        <v>971</v>
      </c>
      <c r="B7534" t="s">
        <v>31</v>
      </c>
      <c r="C7534" t="s">
        <v>6</v>
      </c>
      <c r="D7534" t="s">
        <v>16</v>
      </c>
      <c r="E7534" s="68">
        <v>170</v>
      </c>
      <c r="F7534" s="68">
        <v>218</v>
      </c>
      <c r="G7534" s="68">
        <v>388</v>
      </c>
    </row>
    <row r="7535" spans="1:7" x14ac:dyDescent="0.3">
      <c r="A7535" t="s">
        <v>971</v>
      </c>
      <c r="B7535" t="s">
        <v>31</v>
      </c>
      <c r="C7535" t="s">
        <v>6</v>
      </c>
      <c r="D7535" t="s">
        <v>17</v>
      </c>
      <c r="E7535" s="68">
        <v>101</v>
      </c>
      <c r="F7535" s="68">
        <v>121</v>
      </c>
      <c r="G7535" s="68">
        <v>222</v>
      </c>
    </row>
    <row r="7536" spans="1:7" x14ac:dyDescent="0.3">
      <c r="A7536" t="s">
        <v>971</v>
      </c>
      <c r="B7536" t="s">
        <v>31</v>
      </c>
      <c r="C7536" t="s">
        <v>6</v>
      </c>
      <c r="D7536" t="s">
        <v>18</v>
      </c>
      <c r="E7536" s="68">
        <v>76</v>
      </c>
      <c r="F7536" s="68">
        <v>106</v>
      </c>
      <c r="G7536" s="68">
        <v>182</v>
      </c>
    </row>
    <row r="7537" spans="1:7" x14ac:dyDescent="0.3">
      <c r="A7537" t="s">
        <v>971</v>
      </c>
      <c r="B7537" t="s">
        <v>31</v>
      </c>
      <c r="C7537" t="s">
        <v>6</v>
      </c>
      <c r="D7537" t="s">
        <v>19</v>
      </c>
      <c r="E7537" s="68">
        <v>61</v>
      </c>
      <c r="F7537" s="68">
        <v>65</v>
      </c>
      <c r="G7537" s="68">
        <v>126</v>
      </c>
    </row>
    <row r="7538" spans="1:7" x14ac:dyDescent="0.3">
      <c r="A7538" t="s">
        <v>971</v>
      </c>
      <c r="B7538" t="s">
        <v>31</v>
      </c>
      <c r="C7538" t="s">
        <v>6</v>
      </c>
      <c r="D7538" t="s">
        <v>20</v>
      </c>
      <c r="E7538" s="68">
        <v>36</v>
      </c>
      <c r="F7538" s="68">
        <v>56</v>
      </c>
      <c r="G7538" s="68">
        <v>92</v>
      </c>
    </row>
    <row r="7539" spans="1:7" x14ac:dyDescent="0.3">
      <c r="A7539" t="s">
        <v>971</v>
      </c>
      <c r="B7539" t="s">
        <v>31</v>
      </c>
      <c r="C7539" t="s">
        <v>6</v>
      </c>
      <c r="D7539" t="s">
        <v>21</v>
      </c>
      <c r="E7539" s="68">
        <v>23</v>
      </c>
      <c r="F7539" s="68">
        <v>37</v>
      </c>
      <c r="G7539" s="68">
        <v>60</v>
      </c>
    </row>
    <row r="7540" spans="1:7" x14ac:dyDescent="0.3">
      <c r="A7540" t="s">
        <v>971</v>
      </c>
      <c r="B7540" t="s">
        <v>31</v>
      </c>
      <c r="C7540" t="s">
        <v>6</v>
      </c>
      <c r="D7540" t="s">
        <v>22</v>
      </c>
      <c r="E7540" s="68">
        <v>12</v>
      </c>
      <c r="F7540" s="68">
        <v>15</v>
      </c>
      <c r="G7540" s="68">
        <v>27</v>
      </c>
    </row>
    <row r="7541" spans="1:7" x14ac:dyDescent="0.3">
      <c r="A7541" t="s">
        <v>971</v>
      </c>
      <c r="B7541" t="s">
        <v>31</v>
      </c>
      <c r="C7541" t="s">
        <v>6</v>
      </c>
      <c r="D7541" t="s">
        <v>23</v>
      </c>
      <c r="E7541" s="68">
        <v>22</v>
      </c>
      <c r="F7541" s="68">
        <v>20</v>
      </c>
      <c r="G7541" s="68">
        <v>42</v>
      </c>
    </row>
    <row r="7542" spans="1:7" x14ac:dyDescent="0.3">
      <c r="A7542" t="s">
        <v>971</v>
      </c>
      <c r="B7542" t="s">
        <v>31</v>
      </c>
      <c r="C7542" t="s">
        <v>24</v>
      </c>
      <c r="D7542" t="s">
        <v>7</v>
      </c>
      <c r="E7542" s="68">
        <v>3335</v>
      </c>
      <c r="F7542" s="68">
        <v>3391</v>
      </c>
      <c r="G7542" s="68">
        <v>6726</v>
      </c>
    </row>
    <row r="7543" spans="1:7" x14ac:dyDescent="0.3">
      <c r="A7543" t="s">
        <v>971</v>
      </c>
      <c r="B7543" t="s">
        <v>31</v>
      </c>
      <c r="C7543" t="s">
        <v>24</v>
      </c>
      <c r="D7543" t="s">
        <v>8</v>
      </c>
      <c r="E7543" s="68">
        <v>4652</v>
      </c>
      <c r="F7543" s="68">
        <v>4819</v>
      </c>
      <c r="G7543" s="68">
        <v>9471</v>
      </c>
    </row>
    <row r="7544" spans="1:7" x14ac:dyDescent="0.3">
      <c r="A7544" t="s">
        <v>971</v>
      </c>
      <c r="B7544" t="s">
        <v>31</v>
      </c>
      <c r="C7544" t="s">
        <v>24</v>
      </c>
      <c r="D7544" t="s">
        <v>9</v>
      </c>
      <c r="E7544" s="68">
        <v>5416</v>
      </c>
      <c r="F7544" s="68">
        <v>5705</v>
      </c>
      <c r="G7544" s="68">
        <v>11121</v>
      </c>
    </row>
    <row r="7545" spans="1:7" x14ac:dyDescent="0.3">
      <c r="A7545" t="s">
        <v>971</v>
      </c>
      <c r="B7545" t="s">
        <v>31</v>
      </c>
      <c r="C7545" t="s">
        <v>24</v>
      </c>
      <c r="D7545" t="s">
        <v>10</v>
      </c>
      <c r="E7545" s="68">
        <v>6393</v>
      </c>
      <c r="F7545" s="68">
        <v>6650</v>
      </c>
      <c r="G7545" s="68">
        <v>13043</v>
      </c>
    </row>
    <row r="7546" spans="1:7" x14ac:dyDescent="0.3">
      <c r="A7546" t="s">
        <v>971</v>
      </c>
      <c r="B7546" t="s">
        <v>31</v>
      </c>
      <c r="C7546" t="s">
        <v>24</v>
      </c>
      <c r="D7546" t="s">
        <v>11</v>
      </c>
      <c r="E7546" s="68">
        <v>4707</v>
      </c>
      <c r="F7546" s="68">
        <v>4404</v>
      </c>
      <c r="G7546" s="68">
        <v>9111</v>
      </c>
    </row>
    <row r="7547" spans="1:7" x14ac:dyDescent="0.3">
      <c r="A7547" t="s">
        <v>971</v>
      </c>
      <c r="B7547" t="s">
        <v>31</v>
      </c>
      <c r="C7547" t="s">
        <v>24</v>
      </c>
      <c r="D7547" t="s">
        <v>12</v>
      </c>
      <c r="E7547" s="68">
        <v>4173</v>
      </c>
      <c r="F7547" s="68">
        <v>3519</v>
      </c>
      <c r="G7547" s="68">
        <v>7692</v>
      </c>
    </row>
    <row r="7548" spans="1:7" x14ac:dyDescent="0.3">
      <c r="A7548" t="s">
        <v>971</v>
      </c>
      <c r="B7548" t="s">
        <v>31</v>
      </c>
      <c r="C7548" t="s">
        <v>24</v>
      </c>
      <c r="D7548" t="s">
        <v>13</v>
      </c>
      <c r="E7548" s="68">
        <v>3969</v>
      </c>
      <c r="F7548" s="68">
        <v>3364</v>
      </c>
      <c r="G7548" s="68">
        <v>7333</v>
      </c>
    </row>
    <row r="7549" spans="1:7" x14ac:dyDescent="0.3">
      <c r="A7549" t="s">
        <v>971</v>
      </c>
      <c r="B7549" t="s">
        <v>31</v>
      </c>
      <c r="C7549" t="s">
        <v>24</v>
      </c>
      <c r="D7549" t="s">
        <v>14</v>
      </c>
      <c r="E7549" s="68">
        <v>3629</v>
      </c>
      <c r="F7549" s="68">
        <v>3248</v>
      </c>
      <c r="G7549" s="68">
        <v>6877</v>
      </c>
    </row>
    <row r="7550" spans="1:7" x14ac:dyDescent="0.3">
      <c r="A7550" t="s">
        <v>971</v>
      </c>
      <c r="B7550" t="s">
        <v>31</v>
      </c>
      <c r="C7550" t="s">
        <v>24</v>
      </c>
      <c r="D7550" t="s">
        <v>15</v>
      </c>
      <c r="E7550" s="68">
        <v>3544</v>
      </c>
      <c r="F7550" s="68">
        <v>3495</v>
      </c>
      <c r="G7550" s="68">
        <v>7039</v>
      </c>
    </row>
    <row r="7551" spans="1:7" x14ac:dyDescent="0.3">
      <c r="A7551" t="s">
        <v>971</v>
      </c>
      <c r="B7551" t="s">
        <v>31</v>
      </c>
      <c r="C7551" t="s">
        <v>24</v>
      </c>
      <c r="D7551" t="s">
        <v>16</v>
      </c>
      <c r="E7551" s="68">
        <v>3569</v>
      </c>
      <c r="F7551" s="68">
        <v>3768</v>
      </c>
      <c r="G7551" s="68">
        <v>7337</v>
      </c>
    </row>
    <row r="7552" spans="1:7" x14ac:dyDescent="0.3">
      <c r="A7552" t="s">
        <v>971</v>
      </c>
      <c r="B7552" t="s">
        <v>31</v>
      </c>
      <c r="C7552" t="s">
        <v>24</v>
      </c>
      <c r="D7552" t="s">
        <v>17</v>
      </c>
      <c r="E7552" s="68">
        <v>3179</v>
      </c>
      <c r="F7552" s="68">
        <v>3741</v>
      </c>
      <c r="G7552" s="68">
        <v>6920</v>
      </c>
    </row>
    <row r="7553" spans="1:7" x14ac:dyDescent="0.3">
      <c r="A7553" t="s">
        <v>971</v>
      </c>
      <c r="B7553" t="s">
        <v>31</v>
      </c>
      <c r="C7553" t="s">
        <v>24</v>
      </c>
      <c r="D7553" t="s">
        <v>18</v>
      </c>
      <c r="E7553" s="68">
        <v>3349</v>
      </c>
      <c r="F7553" s="68">
        <v>3819</v>
      </c>
      <c r="G7553" s="68">
        <v>7168</v>
      </c>
    </row>
    <row r="7554" spans="1:7" x14ac:dyDescent="0.3">
      <c r="A7554" t="s">
        <v>971</v>
      </c>
      <c r="B7554" t="s">
        <v>31</v>
      </c>
      <c r="C7554" t="s">
        <v>24</v>
      </c>
      <c r="D7554" t="s">
        <v>19</v>
      </c>
      <c r="E7554" s="68">
        <v>3030</v>
      </c>
      <c r="F7554" s="68">
        <v>3601</v>
      </c>
      <c r="G7554" s="68">
        <v>6631</v>
      </c>
    </row>
    <row r="7555" spans="1:7" x14ac:dyDescent="0.3">
      <c r="A7555" t="s">
        <v>971</v>
      </c>
      <c r="B7555" t="s">
        <v>31</v>
      </c>
      <c r="C7555" t="s">
        <v>24</v>
      </c>
      <c r="D7555" t="s">
        <v>20</v>
      </c>
      <c r="E7555" s="68">
        <v>2851</v>
      </c>
      <c r="F7555" s="68">
        <v>3478</v>
      </c>
      <c r="G7555" s="68">
        <v>6329</v>
      </c>
    </row>
    <row r="7556" spans="1:7" x14ac:dyDescent="0.3">
      <c r="A7556" t="s">
        <v>971</v>
      </c>
      <c r="B7556" t="s">
        <v>31</v>
      </c>
      <c r="C7556" t="s">
        <v>24</v>
      </c>
      <c r="D7556" t="s">
        <v>21</v>
      </c>
      <c r="E7556" s="68">
        <v>2144</v>
      </c>
      <c r="F7556" s="68">
        <v>2805</v>
      </c>
      <c r="G7556" s="68">
        <v>4949</v>
      </c>
    </row>
    <row r="7557" spans="1:7" x14ac:dyDescent="0.3">
      <c r="A7557" t="s">
        <v>971</v>
      </c>
      <c r="B7557" t="s">
        <v>31</v>
      </c>
      <c r="C7557" t="s">
        <v>24</v>
      </c>
      <c r="D7557" t="s">
        <v>22</v>
      </c>
      <c r="E7557" s="68">
        <v>1982</v>
      </c>
      <c r="F7557" s="68">
        <v>2366</v>
      </c>
      <c r="G7557" s="68">
        <v>4348</v>
      </c>
    </row>
    <row r="7558" spans="1:7" x14ac:dyDescent="0.3">
      <c r="A7558" t="s">
        <v>971</v>
      </c>
      <c r="B7558" t="s">
        <v>31</v>
      </c>
      <c r="C7558" t="s">
        <v>24</v>
      </c>
      <c r="D7558" t="s">
        <v>23</v>
      </c>
      <c r="E7558" s="68">
        <v>5477</v>
      </c>
      <c r="F7558" s="68">
        <v>6749</v>
      </c>
      <c r="G7558" s="68">
        <v>12226</v>
      </c>
    </row>
    <row r="7559" spans="1:7" x14ac:dyDescent="0.3">
      <c r="A7559" t="s">
        <v>971</v>
      </c>
      <c r="B7559" t="s">
        <v>32</v>
      </c>
      <c r="C7559" t="s">
        <v>6</v>
      </c>
      <c r="D7559" t="s">
        <v>7</v>
      </c>
      <c r="E7559" s="68">
        <v>47</v>
      </c>
      <c r="F7559" s="68">
        <v>48</v>
      </c>
      <c r="G7559" s="68">
        <v>95</v>
      </c>
    </row>
    <row r="7560" spans="1:7" x14ac:dyDescent="0.3">
      <c r="A7560" t="s">
        <v>971</v>
      </c>
      <c r="B7560" t="s">
        <v>32</v>
      </c>
      <c r="C7560" t="s">
        <v>6</v>
      </c>
      <c r="D7560" t="s">
        <v>8</v>
      </c>
      <c r="E7560" s="68">
        <v>7</v>
      </c>
      <c r="F7560" s="68">
        <v>13</v>
      </c>
      <c r="G7560" s="68">
        <v>20</v>
      </c>
    </row>
    <row r="7561" spans="1:7" x14ac:dyDescent="0.3">
      <c r="A7561" t="s">
        <v>971</v>
      </c>
      <c r="B7561" t="s">
        <v>32</v>
      </c>
      <c r="C7561" t="s">
        <v>6</v>
      </c>
      <c r="D7561" t="s">
        <v>9</v>
      </c>
      <c r="E7561" s="68">
        <v>12</v>
      </c>
      <c r="F7561" s="68">
        <v>16</v>
      </c>
      <c r="G7561" s="68">
        <v>28</v>
      </c>
    </row>
    <row r="7562" spans="1:7" x14ac:dyDescent="0.3">
      <c r="A7562" t="s">
        <v>971</v>
      </c>
      <c r="B7562" t="s">
        <v>32</v>
      </c>
      <c r="C7562" t="s">
        <v>6</v>
      </c>
      <c r="D7562" t="s">
        <v>10</v>
      </c>
      <c r="E7562" s="68">
        <v>60</v>
      </c>
      <c r="F7562" s="68">
        <v>79</v>
      </c>
      <c r="G7562" s="68">
        <v>139</v>
      </c>
    </row>
    <row r="7563" spans="1:7" x14ac:dyDescent="0.3">
      <c r="A7563" t="s">
        <v>971</v>
      </c>
      <c r="B7563" t="s">
        <v>32</v>
      </c>
      <c r="C7563" t="s">
        <v>6</v>
      </c>
      <c r="D7563" t="s">
        <v>11</v>
      </c>
      <c r="E7563" s="68">
        <v>273</v>
      </c>
      <c r="F7563" s="68">
        <v>395</v>
      </c>
      <c r="G7563" s="68">
        <v>668</v>
      </c>
    </row>
    <row r="7564" spans="1:7" x14ac:dyDescent="0.3">
      <c r="A7564" t="s">
        <v>971</v>
      </c>
      <c r="B7564" t="s">
        <v>32</v>
      </c>
      <c r="C7564" t="s">
        <v>6</v>
      </c>
      <c r="D7564" t="s">
        <v>12</v>
      </c>
      <c r="E7564" s="68">
        <v>366</v>
      </c>
      <c r="F7564" s="68">
        <v>499</v>
      </c>
      <c r="G7564" s="68">
        <v>865</v>
      </c>
    </row>
    <row r="7565" spans="1:7" x14ac:dyDescent="0.3">
      <c r="A7565" t="s">
        <v>971</v>
      </c>
      <c r="B7565" t="s">
        <v>32</v>
      </c>
      <c r="C7565" t="s">
        <v>6</v>
      </c>
      <c r="D7565" t="s">
        <v>13</v>
      </c>
      <c r="E7565" s="68">
        <v>344</v>
      </c>
      <c r="F7565" s="68">
        <v>486</v>
      </c>
      <c r="G7565" s="68">
        <v>830</v>
      </c>
    </row>
    <row r="7566" spans="1:7" x14ac:dyDescent="0.3">
      <c r="A7566" t="s">
        <v>971</v>
      </c>
      <c r="B7566" t="s">
        <v>32</v>
      </c>
      <c r="C7566" t="s">
        <v>6</v>
      </c>
      <c r="D7566" t="s">
        <v>14</v>
      </c>
      <c r="E7566" s="68">
        <v>264</v>
      </c>
      <c r="F7566" s="68">
        <v>328</v>
      </c>
      <c r="G7566" s="68">
        <v>592</v>
      </c>
    </row>
    <row r="7567" spans="1:7" x14ac:dyDescent="0.3">
      <c r="A7567" t="s">
        <v>971</v>
      </c>
      <c r="B7567" t="s">
        <v>32</v>
      </c>
      <c r="C7567" t="s">
        <v>6</v>
      </c>
      <c r="D7567" t="s">
        <v>15</v>
      </c>
      <c r="E7567" s="68">
        <v>183</v>
      </c>
      <c r="F7567" s="68">
        <v>234</v>
      </c>
      <c r="G7567" s="68">
        <v>417</v>
      </c>
    </row>
    <row r="7568" spans="1:7" x14ac:dyDescent="0.3">
      <c r="A7568" t="s">
        <v>971</v>
      </c>
      <c r="B7568" t="s">
        <v>32</v>
      </c>
      <c r="C7568" t="s">
        <v>6</v>
      </c>
      <c r="D7568" t="s">
        <v>16</v>
      </c>
      <c r="E7568" s="68">
        <v>158</v>
      </c>
      <c r="F7568" s="68">
        <v>182</v>
      </c>
      <c r="G7568" s="68">
        <v>340</v>
      </c>
    </row>
    <row r="7569" spans="1:7" x14ac:dyDescent="0.3">
      <c r="A7569" t="s">
        <v>971</v>
      </c>
      <c r="B7569" t="s">
        <v>32</v>
      </c>
      <c r="C7569" t="s">
        <v>6</v>
      </c>
      <c r="D7569" t="s">
        <v>17</v>
      </c>
      <c r="E7569" s="68">
        <v>91</v>
      </c>
      <c r="F7569" s="68">
        <v>139</v>
      </c>
      <c r="G7569" s="68">
        <v>230</v>
      </c>
    </row>
    <row r="7570" spans="1:7" x14ac:dyDescent="0.3">
      <c r="A7570" t="s">
        <v>971</v>
      </c>
      <c r="B7570" t="s">
        <v>32</v>
      </c>
      <c r="C7570" t="s">
        <v>6</v>
      </c>
      <c r="D7570" t="s">
        <v>18</v>
      </c>
      <c r="E7570" s="68">
        <v>66</v>
      </c>
      <c r="F7570" s="68">
        <v>94</v>
      </c>
      <c r="G7570" s="68">
        <v>160</v>
      </c>
    </row>
    <row r="7571" spans="1:7" x14ac:dyDescent="0.3">
      <c r="A7571" t="s">
        <v>971</v>
      </c>
      <c r="B7571" t="s">
        <v>32</v>
      </c>
      <c r="C7571" t="s">
        <v>6</v>
      </c>
      <c r="D7571" t="s">
        <v>19</v>
      </c>
      <c r="E7571" s="68">
        <v>23</v>
      </c>
      <c r="F7571" s="68">
        <v>56</v>
      </c>
      <c r="G7571" s="68">
        <v>79</v>
      </c>
    </row>
    <row r="7572" spans="1:7" x14ac:dyDescent="0.3">
      <c r="A7572" t="s">
        <v>971</v>
      </c>
      <c r="B7572" t="s">
        <v>32</v>
      </c>
      <c r="C7572" t="s">
        <v>6</v>
      </c>
      <c r="D7572" t="s">
        <v>20</v>
      </c>
      <c r="E7572" s="68">
        <v>22</v>
      </c>
      <c r="F7572" s="68">
        <v>42</v>
      </c>
      <c r="G7572" s="68">
        <v>64</v>
      </c>
    </row>
    <row r="7573" spans="1:7" x14ac:dyDescent="0.3">
      <c r="A7573" t="s">
        <v>971</v>
      </c>
      <c r="B7573" t="s">
        <v>32</v>
      </c>
      <c r="C7573" t="s">
        <v>6</v>
      </c>
      <c r="D7573" t="s">
        <v>21</v>
      </c>
      <c r="E7573" s="68">
        <v>9</v>
      </c>
      <c r="F7573" s="68">
        <v>17</v>
      </c>
      <c r="G7573" s="68">
        <v>26</v>
      </c>
    </row>
    <row r="7574" spans="1:7" x14ac:dyDescent="0.3">
      <c r="A7574" t="s">
        <v>971</v>
      </c>
      <c r="B7574" t="s">
        <v>32</v>
      </c>
      <c r="C7574" t="s">
        <v>6</v>
      </c>
      <c r="D7574" t="s">
        <v>22</v>
      </c>
      <c r="E7574" s="68">
        <v>9</v>
      </c>
      <c r="F7574" s="68">
        <v>7</v>
      </c>
      <c r="G7574" s="68">
        <v>16</v>
      </c>
    </row>
    <row r="7575" spans="1:7" x14ac:dyDescent="0.3">
      <c r="A7575" t="s">
        <v>971</v>
      </c>
      <c r="B7575" t="s">
        <v>32</v>
      </c>
      <c r="C7575" t="s">
        <v>6</v>
      </c>
      <c r="D7575" t="s">
        <v>23</v>
      </c>
      <c r="E7575" s="68">
        <v>10</v>
      </c>
      <c r="F7575" s="68">
        <v>8</v>
      </c>
      <c r="G7575" s="68">
        <v>18</v>
      </c>
    </row>
    <row r="7576" spans="1:7" x14ac:dyDescent="0.3">
      <c r="A7576" t="s">
        <v>971</v>
      </c>
      <c r="B7576" t="s">
        <v>32</v>
      </c>
      <c r="C7576" t="s">
        <v>24</v>
      </c>
      <c r="D7576" t="s">
        <v>7</v>
      </c>
      <c r="E7576" s="68">
        <v>3086</v>
      </c>
      <c r="F7576" s="68">
        <v>3447</v>
      </c>
      <c r="G7576" s="68">
        <v>6533</v>
      </c>
    </row>
    <row r="7577" spans="1:7" x14ac:dyDescent="0.3">
      <c r="A7577" t="s">
        <v>971</v>
      </c>
      <c r="B7577" t="s">
        <v>32</v>
      </c>
      <c r="C7577" t="s">
        <v>24</v>
      </c>
      <c r="D7577" t="s">
        <v>8</v>
      </c>
      <c r="E7577" s="68">
        <v>4443</v>
      </c>
      <c r="F7577" s="68">
        <v>4545</v>
      </c>
      <c r="G7577" s="68">
        <v>8988</v>
      </c>
    </row>
    <row r="7578" spans="1:7" x14ac:dyDescent="0.3">
      <c r="A7578" t="s">
        <v>971</v>
      </c>
      <c r="B7578" t="s">
        <v>32</v>
      </c>
      <c r="C7578" t="s">
        <v>24</v>
      </c>
      <c r="D7578" t="s">
        <v>9</v>
      </c>
      <c r="E7578" s="68">
        <v>4143</v>
      </c>
      <c r="F7578" s="68">
        <v>4358</v>
      </c>
      <c r="G7578" s="68">
        <v>8501</v>
      </c>
    </row>
    <row r="7579" spans="1:7" x14ac:dyDescent="0.3">
      <c r="A7579" t="s">
        <v>971</v>
      </c>
      <c r="B7579" t="s">
        <v>32</v>
      </c>
      <c r="C7579" t="s">
        <v>24</v>
      </c>
      <c r="D7579" t="s">
        <v>10</v>
      </c>
      <c r="E7579" s="68">
        <v>5055</v>
      </c>
      <c r="F7579" s="68">
        <v>5213</v>
      </c>
      <c r="G7579" s="68">
        <v>10268</v>
      </c>
    </row>
    <row r="7580" spans="1:7" x14ac:dyDescent="0.3">
      <c r="A7580" t="s">
        <v>971</v>
      </c>
      <c r="B7580" t="s">
        <v>32</v>
      </c>
      <c r="C7580" t="s">
        <v>24</v>
      </c>
      <c r="D7580" t="s">
        <v>11</v>
      </c>
      <c r="E7580" s="68">
        <v>4528</v>
      </c>
      <c r="F7580" s="68">
        <v>4497</v>
      </c>
      <c r="G7580" s="68">
        <v>9025</v>
      </c>
    </row>
    <row r="7581" spans="1:7" x14ac:dyDescent="0.3">
      <c r="A7581" t="s">
        <v>971</v>
      </c>
      <c r="B7581" t="s">
        <v>32</v>
      </c>
      <c r="C7581" t="s">
        <v>24</v>
      </c>
      <c r="D7581" t="s">
        <v>12</v>
      </c>
      <c r="E7581" s="68">
        <v>3940</v>
      </c>
      <c r="F7581" s="68">
        <v>3995</v>
      </c>
      <c r="G7581" s="68">
        <v>7935</v>
      </c>
    </row>
    <row r="7582" spans="1:7" x14ac:dyDescent="0.3">
      <c r="A7582" t="s">
        <v>971</v>
      </c>
      <c r="B7582" t="s">
        <v>32</v>
      </c>
      <c r="C7582" t="s">
        <v>24</v>
      </c>
      <c r="D7582" t="s">
        <v>13</v>
      </c>
      <c r="E7582" s="68">
        <v>3920</v>
      </c>
      <c r="F7582" s="68">
        <v>3640</v>
      </c>
      <c r="G7582" s="68">
        <v>7560</v>
      </c>
    </row>
    <row r="7583" spans="1:7" x14ac:dyDescent="0.3">
      <c r="A7583" t="s">
        <v>971</v>
      </c>
      <c r="B7583" t="s">
        <v>32</v>
      </c>
      <c r="C7583" t="s">
        <v>24</v>
      </c>
      <c r="D7583" t="s">
        <v>14</v>
      </c>
      <c r="E7583" s="68">
        <v>3590</v>
      </c>
      <c r="F7583" s="68">
        <v>3242</v>
      </c>
      <c r="G7583" s="68">
        <v>6832</v>
      </c>
    </row>
    <row r="7584" spans="1:7" x14ac:dyDescent="0.3">
      <c r="A7584" t="s">
        <v>971</v>
      </c>
      <c r="B7584" t="s">
        <v>32</v>
      </c>
      <c r="C7584" t="s">
        <v>24</v>
      </c>
      <c r="D7584" t="s">
        <v>15</v>
      </c>
      <c r="E7584" s="68">
        <v>3342</v>
      </c>
      <c r="F7584" s="68">
        <v>3061</v>
      </c>
      <c r="G7584" s="68">
        <v>6403</v>
      </c>
    </row>
    <row r="7585" spans="1:7" x14ac:dyDescent="0.3">
      <c r="A7585" t="s">
        <v>971</v>
      </c>
      <c r="B7585" t="s">
        <v>32</v>
      </c>
      <c r="C7585" t="s">
        <v>24</v>
      </c>
      <c r="D7585" t="s">
        <v>16</v>
      </c>
      <c r="E7585" s="68">
        <v>3205</v>
      </c>
      <c r="F7585" s="68">
        <v>3013</v>
      </c>
      <c r="G7585" s="68">
        <v>6218</v>
      </c>
    </row>
    <row r="7586" spans="1:7" x14ac:dyDescent="0.3">
      <c r="A7586" t="s">
        <v>971</v>
      </c>
      <c r="B7586" t="s">
        <v>32</v>
      </c>
      <c r="C7586" t="s">
        <v>24</v>
      </c>
      <c r="D7586" t="s">
        <v>17</v>
      </c>
      <c r="E7586" s="68">
        <v>3214</v>
      </c>
      <c r="F7586" s="68">
        <v>3041</v>
      </c>
      <c r="G7586" s="68">
        <v>6255</v>
      </c>
    </row>
    <row r="7587" spans="1:7" x14ac:dyDescent="0.3">
      <c r="A7587" t="s">
        <v>971</v>
      </c>
      <c r="B7587" t="s">
        <v>32</v>
      </c>
      <c r="C7587" t="s">
        <v>24</v>
      </c>
      <c r="D7587" t="s">
        <v>18</v>
      </c>
      <c r="E7587" s="68">
        <v>3219</v>
      </c>
      <c r="F7587" s="68">
        <v>3294</v>
      </c>
      <c r="G7587" s="68">
        <v>6513</v>
      </c>
    </row>
    <row r="7588" spans="1:7" x14ac:dyDescent="0.3">
      <c r="A7588" t="s">
        <v>971</v>
      </c>
      <c r="B7588" t="s">
        <v>32</v>
      </c>
      <c r="C7588" t="s">
        <v>24</v>
      </c>
      <c r="D7588" t="s">
        <v>19</v>
      </c>
      <c r="E7588" s="68">
        <v>2653</v>
      </c>
      <c r="F7588" s="68">
        <v>2787</v>
      </c>
      <c r="G7588" s="68">
        <v>5440</v>
      </c>
    </row>
    <row r="7589" spans="1:7" x14ac:dyDescent="0.3">
      <c r="A7589" t="s">
        <v>971</v>
      </c>
      <c r="B7589" t="s">
        <v>32</v>
      </c>
      <c r="C7589" t="s">
        <v>24</v>
      </c>
      <c r="D7589" t="s">
        <v>20</v>
      </c>
      <c r="E7589" s="68">
        <v>2312</v>
      </c>
      <c r="F7589" s="68">
        <v>2409</v>
      </c>
      <c r="G7589" s="68">
        <v>4721</v>
      </c>
    </row>
    <row r="7590" spans="1:7" x14ac:dyDescent="0.3">
      <c r="A7590" t="s">
        <v>971</v>
      </c>
      <c r="B7590" t="s">
        <v>32</v>
      </c>
      <c r="C7590" t="s">
        <v>24</v>
      </c>
      <c r="D7590" t="s">
        <v>21</v>
      </c>
      <c r="E7590" s="68">
        <v>1704</v>
      </c>
      <c r="F7590" s="68">
        <v>1720</v>
      </c>
      <c r="G7590" s="68">
        <v>3424</v>
      </c>
    </row>
    <row r="7591" spans="1:7" x14ac:dyDescent="0.3">
      <c r="A7591" t="s">
        <v>971</v>
      </c>
      <c r="B7591" t="s">
        <v>32</v>
      </c>
      <c r="C7591" t="s">
        <v>24</v>
      </c>
      <c r="D7591" t="s">
        <v>22</v>
      </c>
      <c r="E7591" s="68">
        <v>1460</v>
      </c>
      <c r="F7591" s="68">
        <v>1516</v>
      </c>
      <c r="G7591" s="68">
        <v>2976</v>
      </c>
    </row>
    <row r="7592" spans="1:7" x14ac:dyDescent="0.3">
      <c r="A7592" t="s">
        <v>971</v>
      </c>
      <c r="B7592" t="s">
        <v>32</v>
      </c>
      <c r="C7592" t="s">
        <v>24</v>
      </c>
      <c r="D7592" t="s">
        <v>23</v>
      </c>
      <c r="E7592" s="68">
        <v>2792</v>
      </c>
      <c r="F7592" s="68">
        <v>2291</v>
      </c>
      <c r="G7592" s="68">
        <v>5083</v>
      </c>
    </row>
    <row r="7593" spans="1:7" x14ac:dyDescent="0.3">
      <c r="A7593" t="s">
        <v>971</v>
      </c>
      <c r="B7593" t="s">
        <v>5</v>
      </c>
      <c r="C7593" t="s">
        <v>6</v>
      </c>
      <c r="D7593" t="s">
        <v>7</v>
      </c>
      <c r="E7593" s="68">
        <v>333</v>
      </c>
      <c r="F7593" s="68">
        <v>329</v>
      </c>
      <c r="G7593" s="68">
        <v>662</v>
      </c>
    </row>
    <row r="7594" spans="1:7" x14ac:dyDescent="0.3">
      <c r="A7594" t="s">
        <v>971</v>
      </c>
      <c r="B7594" t="s">
        <v>5</v>
      </c>
      <c r="C7594" t="s">
        <v>6</v>
      </c>
      <c r="D7594" t="s">
        <v>8</v>
      </c>
      <c r="E7594" s="68">
        <v>502</v>
      </c>
      <c r="F7594" s="68">
        <v>523</v>
      </c>
      <c r="G7594" s="68">
        <v>1025</v>
      </c>
    </row>
    <row r="7595" spans="1:7" x14ac:dyDescent="0.3">
      <c r="A7595" t="s">
        <v>971</v>
      </c>
      <c r="B7595" t="s">
        <v>5</v>
      </c>
      <c r="C7595" t="s">
        <v>6</v>
      </c>
      <c r="D7595" t="s">
        <v>9</v>
      </c>
      <c r="E7595" s="68">
        <v>566</v>
      </c>
      <c r="F7595" s="68">
        <v>635</v>
      </c>
      <c r="G7595" s="68">
        <v>1201</v>
      </c>
    </row>
    <row r="7596" spans="1:7" x14ac:dyDescent="0.3">
      <c r="A7596" t="s">
        <v>971</v>
      </c>
      <c r="B7596" t="s">
        <v>5</v>
      </c>
      <c r="C7596" t="s">
        <v>6</v>
      </c>
      <c r="D7596" t="s">
        <v>10</v>
      </c>
      <c r="E7596" s="68">
        <v>528</v>
      </c>
      <c r="F7596" s="68">
        <v>553</v>
      </c>
      <c r="G7596" s="68">
        <v>1081</v>
      </c>
    </row>
    <row r="7597" spans="1:7" x14ac:dyDescent="0.3">
      <c r="A7597" t="s">
        <v>971</v>
      </c>
      <c r="B7597" t="s">
        <v>5</v>
      </c>
      <c r="C7597" t="s">
        <v>6</v>
      </c>
      <c r="D7597" t="s">
        <v>11</v>
      </c>
      <c r="E7597" s="68">
        <v>330</v>
      </c>
      <c r="F7597" s="68">
        <v>369</v>
      </c>
      <c r="G7597" s="68">
        <v>699</v>
      </c>
    </row>
    <row r="7598" spans="1:7" x14ac:dyDescent="0.3">
      <c r="A7598" t="s">
        <v>971</v>
      </c>
      <c r="B7598" t="s">
        <v>5</v>
      </c>
      <c r="C7598" t="s">
        <v>6</v>
      </c>
      <c r="D7598" t="s">
        <v>12</v>
      </c>
      <c r="E7598" s="68">
        <v>328</v>
      </c>
      <c r="F7598" s="68">
        <v>285</v>
      </c>
      <c r="G7598" s="68">
        <v>613</v>
      </c>
    </row>
    <row r="7599" spans="1:7" x14ac:dyDescent="0.3">
      <c r="A7599" t="s">
        <v>971</v>
      </c>
      <c r="B7599" t="s">
        <v>5</v>
      </c>
      <c r="C7599" t="s">
        <v>6</v>
      </c>
      <c r="D7599" t="s">
        <v>13</v>
      </c>
      <c r="E7599" s="68">
        <v>502</v>
      </c>
      <c r="F7599" s="68">
        <v>390</v>
      </c>
      <c r="G7599" s="68">
        <v>892</v>
      </c>
    </row>
    <row r="7600" spans="1:7" x14ac:dyDescent="0.3">
      <c r="A7600" t="s">
        <v>971</v>
      </c>
      <c r="B7600" t="s">
        <v>5</v>
      </c>
      <c r="C7600" t="s">
        <v>6</v>
      </c>
      <c r="D7600" t="s">
        <v>14</v>
      </c>
      <c r="E7600" s="68">
        <v>690</v>
      </c>
      <c r="F7600" s="68">
        <v>480</v>
      </c>
      <c r="G7600" s="68">
        <v>1170</v>
      </c>
    </row>
    <row r="7601" spans="1:7" x14ac:dyDescent="0.3">
      <c r="A7601" t="s">
        <v>971</v>
      </c>
      <c r="B7601" t="s">
        <v>5</v>
      </c>
      <c r="C7601" t="s">
        <v>6</v>
      </c>
      <c r="D7601" t="s">
        <v>15</v>
      </c>
      <c r="E7601" s="68">
        <v>795</v>
      </c>
      <c r="F7601" s="68">
        <v>580</v>
      </c>
      <c r="G7601" s="68">
        <v>1375</v>
      </c>
    </row>
    <row r="7602" spans="1:7" x14ac:dyDescent="0.3">
      <c r="A7602" t="s">
        <v>971</v>
      </c>
      <c r="B7602" t="s">
        <v>5</v>
      </c>
      <c r="C7602" t="s">
        <v>6</v>
      </c>
      <c r="D7602" t="s">
        <v>16</v>
      </c>
      <c r="E7602" s="68">
        <v>632</v>
      </c>
      <c r="F7602" s="68">
        <v>552</v>
      </c>
      <c r="G7602" s="68">
        <v>1184</v>
      </c>
    </row>
    <row r="7603" spans="1:7" x14ac:dyDescent="0.3">
      <c r="A7603" t="s">
        <v>971</v>
      </c>
      <c r="B7603" t="s">
        <v>5</v>
      </c>
      <c r="C7603" t="s">
        <v>6</v>
      </c>
      <c r="D7603" t="s">
        <v>17</v>
      </c>
      <c r="E7603" s="68">
        <v>506</v>
      </c>
      <c r="F7603" s="68">
        <v>425</v>
      </c>
      <c r="G7603" s="68">
        <v>931</v>
      </c>
    </row>
    <row r="7604" spans="1:7" x14ac:dyDescent="0.3">
      <c r="A7604" t="s">
        <v>971</v>
      </c>
      <c r="B7604" t="s">
        <v>5</v>
      </c>
      <c r="C7604" t="s">
        <v>6</v>
      </c>
      <c r="D7604" t="s">
        <v>18</v>
      </c>
      <c r="E7604" s="68">
        <v>473</v>
      </c>
      <c r="F7604" s="68">
        <v>374</v>
      </c>
      <c r="G7604" s="68">
        <v>847</v>
      </c>
    </row>
    <row r="7605" spans="1:7" x14ac:dyDescent="0.3">
      <c r="A7605" t="s">
        <v>971</v>
      </c>
      <c r="B7605" t="s">
        <v>5</v>
      </c>
      <c r="C7605" t="s">
        <v>6</v>
      </c>
      <c r="D7605" t="s">
        <v>19</v>
      </c>
      <c r="E7605" s="68">
        <v>511</v>
      </c>
      <c r="F7605" s="68">
        <v>430</v>
      </c>
      <c r="G7605" s="68">
        <v>941</v>
      </c>
    </row>
    <row r="7606" spans="1:7" x14ac:dyDescent="0.3">
      <c r="A7606" t="s">
        <v>971</v>
      </c>
      <c r="B7606" t="s">
        <v>5</v>
      </c>
      <c r="C7606" t="s">
        <v>6</v>
      </c>
      <c r="D7606" t="s">
        <v>20</v>
      </c>
      <c r="E7606" s="68">
        <v>462</v>
      </c>
      <c r="F7606" s="68">
        <v>353</v>
      </c>
      <c r="G7606" s="68">
        <v>815</v>
      </c>
    </row>
    <row r="7607" spans="1:7" x14ac:dyDescent="0.3">
      <c r="A7607" t="s">
        <v>971</v>
      </c>
      <c r="B7607" t="s">
        <v>5</v>
      </c>
      <c r="C7607" t="s">
        <v>6</v>
      </c>
      <c r="D7607" t="s">
        <v>21</v>
      </c>
      <c r="E7607" s="68">
        <v>376</v>
      </c>
      <c r="F7607" s="68">
        <v>320</v>
      </c>
      <c r="G7607" s="68">
        <v>696</v>
      </c>
    </row>
    <row r="7608" spans="1:7" x14ac:dyDescent="0.3">
      <c r="A7608" t="s">
        <v>971</v>
      </c>
      <c r="B7608" t="s">
        <v>5</v>
      </c>
      <c r="C7608" t="s">
        <v>6</v>
      </c>
      <c r="D7608" t="s">
        <v>22</v>
      </c>
      <c r="E7608" s="68">
        <v>282</v>
      </c>
      <c r="F7608" s="68">
        <v>229</v>
      </c>
      <c r="G7608" s="68">
        <v>511</v>
      </c>
    </row>
    <row r="7609" spans="1:7" x14ac:dyDescent="0.3">
      <c r="A7609" t="s">
        <v>971</v>
      </c>
      <c r="B7609" t="s">
        <v>5</v>
      </c>
      <c r="C7609" t="s">
        <v>6</v>
      </c>
      <c r="D7609" t="s">
        <v>23</v>
      </c>
      <c r="E7609" s="68">
        <v>331</v>
      </c>
      <c r="F7609" s="68">
        <v>232</v>
      </c>
      <c r="G7609" s="68">
        <v>563</v>
      </c>
    </row>
    <row r="7610" spans="1:7" x14ac:dyDescent="0.3">
      <c r="A7610" t="s">
        <v>971</v>
      </c>
      <c r="B7610" t="s">
        <v>5</v>
      </c>
      <c r="C7610" t="s">
        <v>24</v>
      </c>
      <c r="D7610" t="s">
        <v>7</v>
      </c>
      <c r="E7610" s="68">
        <v>166</v>
      </c>
      <c r="F7610" s="68">
        <v>161</v>
      </c>
      <c r="G7610" s="68">
        <v>327</v>
      </c>
    </row>
    <row r="7611" spans="1:7" x14ac:dyDescent="0.3">
      <c r="A7611" t="s">
        <v>971</v>
      </c>
      <c r="B7611" t="s">
        <v>5</v>
      </c>
      <c r="C7611" t="s">
        <v>24</v>
      </c>
      <c r="D7611" t="s">
        <v>8</v>
      </c>
      <c r="E7611" s="68">
        <v>231</v>
      </c>
      <c r="F7611" s="68">
        <v>205</v>
      </c>
      <c r="G7611" s="68">
        <v>436</v>
      </c>
    </row>
    <row r="7612" spans="1:7" x14ac:dyDescent="0.3">
      <c r="A7612" t="s">
        <v>971</v>
      </c>
      <c r="B7612" t="s">
        <v>5</v>
      </c>
      <c r="C7612" t="s">
        <v>24</v>
      </c>
      <c r="D7612" t="s">
        <v>9</v>
      </c>
      <c r="E7612" s="68">
        <v>236</v>
      </c>
      <c r="F7612" s="68">
        <v>231</v>
      </c>
      <c r="G7612" s="68">
        <v>467</v>
      </c>
    </row>
    <row r="7613" spans="1:7" x14ac:dyDescent="0.3">
      <c r="A7613" t="s">
        <v>971</v>
      </c>
      <c r="B7613" t="s">
        <v>5</v>
      </c>
      <c r="C7613" t="s">
        <v>24</v>
      </c>
      <c r="D7613" t="s">
        <v>10</v>
      </c>
      <c r="E7613" s="68">
        <v>351</v>
      </c>
      <c r="F7613" s="68">
        <v>383</v>
      </c>
      <c r="G7613" s="68">
        <v>734</v>
      </c>
    </row>
    <row r="7614" spans="1:7" x14ac:dyDescent="0.3">
      <c r="A7614" t="s">
        <v>971</v>
      </c>
      <c r="B7614" t="s">
        <v>5</v>
      </c>
      <c r="C7614" t="s">
        <v>24</v>
      </c>
      <c r="D7614" t="s">
        <v>11</v>
      </c>
      <c r="E7614" s="68">
        <v>230</v>
      </c>
      <c r="F7614" s="68">
        <v>207</v>
      </c>
      <c r="G7614" s="68">
        <v>437</v>
      </c>
    </row>
    <row r="7615" spans="1:7" x14ac:dyDescent="0.3">
      <c r="A7615" t="s">
        <v>971</v>
      </c>
      <c r="B7615" t="s">
        <v>5</v>
      </c>
      <c r="C7615" t="s">
        <v>24</v>
      </c>
      <c r="D7615" t="s">
        <v>12</v>
      </c>
      <c r="E7615" s="68">
        <v>298</v>
      </c>
      <c r="F7615" s="68">
        <v>219</v>
      </c>
      <c r="G7615" s="68">
        <v>517</v>
      </c>
    </row>
    <row r="7616" spans="1:7" x14ac:dyDescent="0.3">
      <c r="A7616" t="s">
        <v>971</v>
      </c>
      <c r="B7616" t="s">
        <v>5</v>
      </c>
      <c r="C7616" t="s">
        <v>24</v>
      </c>
      <c r="D7616" t="s">
        <v>13</v>
      </c>
      <c r="E7616" s="68">
        <v>251</v>
      </c>
      <c r="F7616" s="68">
        <v>172</v>
      </c>
      <c r="G7616" s="68">
        <v>423</v>
      </c>
    </row>
    <row r="7617" spans="1:7" x14ac:dyDescent="0.3">
      <c r="A7617" t="s">
        <v>971</v>
      </c>
      <c r="B7617" t="s">
        <v>5</v>
      </c>
      <c r="C7617" t="s">
        <v>24</v>
      </c>
      <c r="D7617" t="s">
        <v>14</v>
      </c>
      <c r="E7617" s="68">
        <v>205</v>
      </c>
      <c r="F7617" s="68">
        <v>179</v>
      </c>
      <c r="G7617" s="68">
        <v>384</v>
      </c>
    </row>
    <row r="7618" spans="1:7" x14ac:dyDescent="0.3">
      <c r="A7618" t="s">
        <v>971</v>
      </c>
      <c r="B7618" t="s">
        <v>5</v>
      </c>
      <c r="C7618" t="s">
        <v>24</v>
      </c>
      <c r="D7618" t="s">
        <v>15</v>
      </c>
      <c r="E7618" s="68">
        <v>237</v>
      </c>
      <c r="F7618" s="68">
        <v>186</v>
      </c>
      <c r="G7618" s="68">
        <v>423</v>
      </c>
    </row>
    <row r="7619" spans="1:7" x14ac:dyDescent="0.3">
      <c r="A7619" t="s">
        <v>971</v>
      </c>
      <c r="B7619" t="s">
        <v>5</v>
      </c>
      <c r="C7619" t="s">
        <v>24</v>
      </c>
      <c r="D7619" t="s">
        <v>16</v>
      </c>
      <c r="E7619" s="68">
        <v>252</v>
      </c>
      <c r="F7619" s="68">
        <v>192</v>
      </c>
      <c r="G7619" s="68">
        <v>444</v>
      </c>
    </row>
    <row r="7620" spans="1:7" x14ac:dyDescent="0.3">
      <c r="A7620" t="s">
        <v>971</v>
      </c>
      <c r="B7620" t="s">
        <v>5</v>
      </c>
      <c r="C7620" t="s">
        <v>24</v>
      </c>
      <c r="D7620" t="s">
        <v>17</v>
      </c>
      <c r="E7620" s="68">
        <v>179</v>
      </c>
      <c r="F7620" s="68">
        <v>171</v>
      </c>
      <c r="G7620" s="68">
        <v>350</v>
      </c>
    </row>
    <row r="7621" spans="1:7" x14ac:dyDescent="0.3">
      <c r="A7621" t="s">
        <v>971</v>
      </c>
      <c r="B7621" t="s">
        <v>5</v>
      </c>
      <c r="C7621" t="s">
        <v>24</v>
      </c>
      <c r="D7621" t="s">
        <v>18</v>
      </c>
      <c r="E7621" s="68">
        <v>175</v>
      </c>
      <c r="F7621" s="68">
        <v>159</v>
      </c>
      <c r="G7621" s="68">
        <v>334</v>
      </c>
    </row>
    <row r="7622" spans="1:7" x14ac:dyDescent="0.3">
      <c r="A7622" t="s">
        <v>971</v>
      </c>
      <c r="B7622" t="s">
        <v>5</v>
      </c>
      <c r="C7622" t="s">
        <v>24</v>
      </c>
      <c r="D7622" t="s">
        <v>19</v>
      </c>
      <c r="E7622" s="68">
        <v>123</v>
      </c>
      <c r="F7622" s="68">
        <v>151</v>
      </c>
      <c r="G7622" s="68">
        <v>274</v>
      </c>
    </row>
    <row r="7623" spans="1:7" x14ac:dyDescent="0.3">
      <c r="A7623" t="s">
        <v>971</v>
      </c>
      <c r="B7623" t="s">
        <v>5</v>
      </c>
      <c r="C7623" t="s">
        <v>24</v>
      </c>
      <c r="D7623" t="s">
        <v>20</v>
      </c>
      <c r="E7623" s="68">
        <v>130</v>
      </c>
      <c r="F7623" s="68">
        <v>114</v>
      </c>
      <c r="G7623" s="68">
        <v>244</v>
      </c>
    </row>
    <row r="7624" spans="1:7" x14ac:dyDescent="0.3">
      <c r="A7624" t="s">
        <v>971</v>
      </c>
      <c r="B7624" t="s">
        <v>5</v>
      </c>
      <c r="C7624" t="s">
        <v>24</v>
      </c>
      <c r="D7624" t="s">
        <v>21</v>
      </c>
      <c r="E7624" s="68">
        <v>67</v>
      </c>
      <c r="F7624" s="68">
        <v>74</v>
      </c>
      <c r="G7624" s="68">
        <v>141</v>
      </c>
    </row>
    <row r="7625" spans="1:7" x14ac:dyDescent="0.3">
      <c r="A7625" t="s">
        <v>971</v>
      </c>
      <c r="B7625" t="s">
        <v>5</v>
      </c>
      <c r="C7625" t="s">
        <v>24</v>
      </c>
      <c r="D7625" t="s">
        <v>22</v>
      </c>
      <c r="E7625" s="68">
        <v>60</v>
      </c>
      <c r="F7625" s="68">
        <v>62</v>
      </c>
      <c r="G7625" s="68">
        <v>122</v>
      </c>
    </row>
    <row r="7626" spans="1:7" x14ac:dyDescent="0.3">
      <c r="A7626" t="s">
        <v>971</v>
      </c>
      <c r="B7626" t="s">
        <v>5</v>
      </c>
      <c r="C7626" t="s">
        <v>24</v>
      </c>
      <c r="D7626" t="s">
        <v>23</v>
      </c>
      <c r="E7626" s="68">
        <v>81</v>
      </c>
      <c r="F7626" s="68">
        <v>99</v>
      </c>
      <c r="G7626" s="68">
        <v>180</v>
      </c>
    </row>
    <row r="7627" spans="1:7" x14ac:dyDescent="0.3">
      <c r="A7627" t="s">
        <v>971</v>
      </c>
      <c r="B7627" t="s">
        <v>33</v>
      </c>
      <c r="C7627" t="s">
        <v>6</v>
      </c>
      <c r="D7627" t="s">
        <v>9</v>
      </c>
      <c r="E7627" s="68">
        <v>1</v>
      </c>
      <c r="F7627" s="68"/>
      <c r="G7627" s="68">
        <v>1</v>
      </c>
    </row>
    <row r="7628" spans="1:7" x14ac:dyDescent="0.3">
      <c r="A7628" t="s">
        <v>971</v>
      </c>
      <c r="B7628" t="s">
        <v>34</v>
      </c>
      <c r="C7628" t="s">
        <v>6</v>
      </c>
      <c r="D7628" t="s">
        <v>10</v>
      </c>
      <c r="E7628" s="68">
        <v>1</v>
      </c>
      <c r="F7628" s="68"/>
      <c r="G7628" s="68">
        <v>1</v>
      </c>
    </row>
    <row r="7629" spans="1:7" x14ac:dyDescent="0.3">
      <c r="A7629" t="s">
        <v>971</v>
      </c>
      <c r="B7629" t="s">
        <v>588</v>
      </c>
      <c r="C7629" t="s">
        <v>6</v>
      </c>
      <c r="D7629" t="s">
        <v>7</v>
      </c>
      <c r="E7629" s="68">
        <v>1008</v>
      </c>
      <c r="F7629" s="68">
        <v>1064</v>
      </c>
      <c r="G7629" s="68">
        <v>2072</v>
      </c>
    </row>
    <row r="7630" spans="1:7" x14ac:dyDescent="0.3">
      <c r="A7630" t="s">
        <v>971</v>
      </c>
      <c r="B7630" t="s">
        <v>588</v>
      </c>
      <c r="C7630" t="s">
        <v>6</v>
      </c>
      <c r="D7630" t="s">
        <v>8</v>
      </c>
      <c r="E7630" s="68">
        <v>1187</v>
      </c>
      <c r="F7630" s="68">
        <v>1273</v>
      </c>
      <c r="G7630" s="68">
        <v>2460</v>
      </c>
    </row>
    <row r="7631" spans="1:7" x14ac:dyDescent="0.3">
      <c r="A7631" t="s">
        <v>971</v>
      </c>
      <c r="B7631" t="s">
        <v>588</v>
      </c>
      <c r="C7631" t="s">
        <v>6</v>
      </c>
      <c r="D7631" t="s">
        <v>9</v>
      </c>
      <c r="E7631" s="68">
        <v>1045</v>
      </c>
      <c r="F7631" s="68">
        <v>1128</v>
      </c>
      <c r="G7631" s="68">
        <v>2173</v>
      </c>
    </row>
    <row r="7632" spans="1:7" x14ac:dyDescent="0.3">
      <c r="A7632" t="s">
        <v>971</v>
      </c>
      <c r="B7632" t="s">
        <v>588</v>
      </c>
      <c r="C7632" t="s">
        <v>6</v>
      </c>
      <c r="D7632" t="s">
        <v>10</v>
      </c>
      <c r="E7632" s="68">
        <v>900</v>
      </c>
      <c r="F7632" s="68">
        <v>950</v>
      </c>
      <c r="G7632" s="68">
        <v>1850</v>
      </c>
    </row>
    <row r="7633" spans="1:7" x14ac:dyDescent="0.3">
      <c r="A7633" t="s">
        <v>971</v>
      </c>
      <c r="B7633" t="s">
        <v>588</v>
      </c>
      <c r="C7633" t="s">
        <v>6</v>
      </c>
      <c r="D7633" t="s">
        <v>11</v>
      </c>
      <c r="E7633" s="68">
        <v>1547</v>
      </c>
      <c r="F7633" s="68">
        <v>1586</v>
      </c>
      <c r="G7633" s="68">
        <v>3133</v>
      </c>
    </row>
    <row r="7634" spans="1:7" x14ac:dyDescent="0.3">
      <c r="A7634" t="s">
        <v>971</v>
      </c>
      <c r="B7634" t="s">
        <v>588</v>
      </c>
      <c r="C7634" t="s">
        <v>6</v>
      </c>
      <c r="D7634" t="s">
        <v>12</v>
      </c>
      <c r="E7634" s="68">
        <v>2295</v>
      </c>
      <c r="F7634" s="68">
        <v>2213</v>
      </c>
      <c r="G7634" s="68">
        <v>4508</v>
      </c>
    </row>
    <row r="7635" spans="1:7" x14ac:dyDescent="0.3">
      <c r="A7635" t="s">
        <v>971</v>
      </c>
      <c r="B7635" t="s">
        <v>588</v>
      </c>
      <c r="C7635" t="s">
        <v>6</v>
      </c>
      <c r="D7635" t="s">
        <v>13</v>
      </c>
      <c r="E7635" s="68">
        <v>2180</v>
      </c>
      <c r="F7635" s="68">
        <v>2354</v>
      </c>
      <c r="G7635" s="68">
        <v>4534</v>
      </c>
    </row>
    <row r="7636" spans="1:7" x14ac:dyDescent="0.3">
      <c r="A7636" t="s">
        <v>971</v>
      </c>
      <c r="B7636" t="s">
        <v>588</v>
      </c>
      <c r="C7636" t="s">
        <v>6</v>
      </c>
      <c r="D7636" t="s">
        <v>14</v>
      </c>
      <c r="E7636" s="68">
        <v>1726</v>
      </c>
      <c r="F7636" s="68">
        <v>1898</v>
      </c>
      <c r="G7636" s="68">
        <v>3624</v>
      </c>
    </row>
    <row r="7637" spans="1:7" x14ac:dyDescent="0.3">
      <c r="A7637" t="s">
        <v>971</v>
      </c>
      <c r="B7637" t="s">
        <v>588</v>
      </c>
      <c r="C7637" t="s">
        <v>6</v>
      </c>
      <c r="D7637" t="s">
        <v>15</v>
      </c>
      <c r="E7637" s="68">
        <v>1451</v>
      </c>
      <c r="F7637" s="68">
        <v>1516</v>
      </c>
      <c r="G7637" s="68">
        <v>2967</v>
      </c>
    </row>
    <row r="7638" spans="1:7" x14ac:dyDescent="0.3">
      <c r="A7638" t="s">
        <v>971</v>
      </c>
      <c r="B7638" t="s">
        <v>588</v>
      </c>
      <c r="C7638" t="s">
        <v>6</v>
      </c>
      <c r="D7638" t="s">
        <v>16</v>
      </c>
      <c r="E7638" s="68">
        <v>1128</v>
      </c>
      <c r="F7638" s="68">
        <v>1207</v>
      </c>
      <c r="G7638" s="68">
        <v>2335</v>
      </c>
    </row>
    <row r="7639" spans="1:7" x14ac:dyDescent="0.3">
      <c r="A7639" t="s">
        <v>971</v>
      </c>
      <c r="B7639" t="s">
        <v>588</v>
      </c>
      <c r="C7639" t="s">
        <v>6</v>
      </c>
      <c r="D7639" t="s">
        <v>17</v>
      </c>
      <c r="E7639" s="68">
        <v>710</v>
      </c>
      <c r="F7639" s="68">
        <v>752</v>
      </c>
      <c r="G7639" s="68">
        <v>1462</v>
      </c>
    </row>
    <row r="7640" spans="1:7" x14ac:dyDescent="0.3">
      <c r="A7640" t="s">
        <v>971</v>
      </c>
      <c r="B7640" t="s">
        <v>588</v>
      </c>
      <c r="C7640" t="s">
        <v>6</v>
      </c>
      <c r="D7640" t="s">
        <v>18</v>
      </c>
      <c r="E7640" s="68">
        <v>558</v>
      </c>
      <c r="F7640" s="68">
        <v>582</v>
      </c>
      <c r="G7640" s="68">
        <v>1140</v>
      </c>
    </row>
    <row r="7641" spans="1:7" x14ac:dyDescent="0.3">
      <c r="A7641" t="s">
        <v>971</v>
      </c>
      <c r="B7641" t="s">
        <v>588</v>
      </c>
      <c r="C7641" t="s">
        <v>6</v>
      </c>
      <c r="D7641" t="s">
        <v>19</v>
      </c>
      <c r="E7641" s="68">
        <v>354</v>
      </c>
      <c r="F7641" s="68">
        <v>407</v>
      </c>
      <c r="G7641" s="68">
        <v>761</v>
      </c>
    </row>
    <row r="7642" spans="1:7" x14ac:dyDescent="0.3">
      <c r="A7642" t="s">
        <v>971</v>
      </c>
      <c r="B7642" t="s">
        <v>588</v>
      </c>
      <c r="C7642" t="s">
        <v>6</v>
      </c>
      <c r="D7642" t="s">
        <v>20</v>
      </c>
      <c r="E7642" s="68">
        <v>255</v>
      </c>
      <c r="F7642" s="68">
        <v>271</v>
      </c>
      <c r="G7642" s="68">
        <v>526</v>
      </c>
    </row>
    <row r="7643" spans="1:7" x14ac:dyDescent="0.3">
      <c r="A7643" t="s">
        <v>971</v>
      </c>
      <c r="B7643" t="s">
        <v>588</v>
      </c>
      <c r="C7643" t="s">
        <v>6</v>
      </c>
      <c r="D7643" t="s">
        <v>21</v>
      </c>
      <c r="E7643" s="68">
        <v>172</v>
      </c>
      <c r="F7643" s="68">
        <v>170</v>
      </c>
      <c r="G7643" s="68">
        <v>342</v>
      </c>
    </row>
    <row r="7644" spans="1:7" x14ac:dyDescent="0.3">
      <c r="A7644" t="s">
        <v>971</v>
      </c>
      <c r="B7644" t="s">
        <v>588</v>
      </c>
      <c r="C7644" t="s">
        <v>6</v>
      </c>
      <c r="D7644" t="s">
        <v>22</v>
      </c>
      <c r="E7644" s="68">
        <v>108</v>
      </c>
      <c r="F7644" s="68">
        <v>104</v>
      </c>
      <c r="G7644" s="68">
        <v>212</v>
      </c>
    </row>
    <row r="7645" spans="1:7" x14ac:dyDescent="0.3">
      <c r="A7645" t="s">
        <v>971</v>
      </c>
      <c r="B7645" t="s">
        <v>588</v>
      </c>
      <c r="C7645" t="s">
        <v>6</v>
      </c>
      <c r="D7645" t="s">
        <v>23</v>
      </c>
      <c r="E7645" s="68">
        <v>147</v>
      </c>
      <c r="F7645" s="68">
        <v>96</v>
      </c>
      <c r="G7645" s="68">
        <v>243</v>
      </c>
    </row>
    <row r="7646" spans="1:7" x14ac:dyDescent="0.3">
      <c r="A7646" t="s">
        <v>971</v>
      </c>
      <c r="B7646" t="s">
        <v>588</v>
      </c>
      <c r="C7646" t="s">
        <v>24</v>
      </c>
      <c r="D7646" t="s">
        <v>7</v>
      </c>
      <c r="E7646" s="68">
        <v>7940</v>
      </c>
      <c r="F7646" s="68">
        <v>8357</v>
      </c>
      <c r="G7646" s="68">
        <v>16297</v>
      </c>
    </row>
    <row r="7647" spans="1:7" x14ac:dyDescent="0.3">
      <c r="A7647" t="s">
        <v>971</v>
      </c>
      <c r="B7647" t="s">
        <v>588</v>
      </c>
      <c r="C7647" t="s">
        <v>24</v>
      </c>
      <c r="D7647" t="s">
        <v>8</v>
      </c>
      <c r="E7647" s="68">
        <v>9619</v>
      </c>
      <c r="F7647" s="68">
        <v>10278</v>
      </c>
      <c r="G7647" s="68">
        <v>19897</v>
      </c>
    </row>
    <row r="7648" spans="1:7" x14ac:dyDescent="0.3">
      <c r="A7648" t="s">
        <v>971</v>
      </c>
      <c r="B7648" t="s">
        <v>588</v>
      </c>
      <c r="C7648" t="s">
        <v>24</v>
      </c>
      <c r="D7648" t="s">
        <v>9</v>
      </c>
      <c r="E7648" s="68">
        <v>11917</v>
      </c>
      <c r="F7648" s="68">
        <v>12566</v>
      </c>
      <c r="G7648" s="68">
        <v>24483</v>
      </c>
    </row>
    <row r="7649" spans="1:7" x14ac:dyDescent="0.3">
      <c r="A7649" t="s">
        <v>971</v>
      </c>
      <c r="B7649" t="s">
        <v>588</v>
      </c>
      <c r="C7649" t="s">
        <v>24</v>
      </c>
      <c r="D7649" t="s">
        <v>10</v>
      </c>
      <c r="E7649" s="68">
        <v>10967</v>
      </c>
      <c r="F7649" s="68">
        <v>10765</v>
      </c>
      <c r="G7649" s="68">
        <v>21732</v>
      </c>
    </row>
    <row r="7650" spans="1:7" x14ac:dyDescent="0.3">
      <c r="A7650" t="s">
        <v>971</v>
      </c>
      <c r="B7650" t="s">
        <v>588</v>
      </c>
      <c r="C7650" t="s">
        <v>24</v>
      </c>
      <c r="D7650" t="s">
        <v>11</v>
      </c>
      <c r="E7650" s="68">
        <v>10815</v>
      </c>
      <c r="F7650" s="68">
        <v>8463</v>
      </c>
      <c r="G7650" s="68">
        <v>19278</v>
      </c>
    </row>
    <row r="7651" spans="1:7" x14ac:dyDescent="0.3">
      <c r="A7651" t="s">
        <v>971</v>
      </c>
      <c r="B7651" t="s">
        <v>588</v>
      </c>
      <c r="C7651" t="s">
        <v>24</v>
      </c>
      <c r="D7651" t="s">
        <v>12</v>
      </c>
      <c r="E7651" s="68">
        <v>10313</v>
      </c>
      <c r="F7651" s="68">
        <v>7652</v>
      </c>
      <c r="G7651" s="68">
        <v>17965</v>
      </c>
    </row>
    <row r="7652" spans="1:7" x14ac:dyDescent="0.3">
      <c r="A7652" t="s">
        <v>971</v>
      </c>
      <c r="B7652" t="s">
        <v>588</v>
      </c>
      <c r="C7652" t="s">
        <v>24</v>
      </c>
      <c r="D7652" t="s">
        <v>13</v>
      </c>
      <c r="E7652" s="68">
        <v>10151</v>
      </c>
      <c r="F7652" s="68">
        <v>7583</v>
      </c>
      <c r="G7652" s="68">
        <v>17734</v>
      </c>
    </row>
    <row r="7653" spans="1:7" x14ac:dyDescent="0.3">
      <c r="A7653" t="s">
        <v>971</v>
      </c>
      <c r="B7653" t="s">
        <v>588</v>
      </c>
      <c r="C7653" t="s">
        <v>24</v>
      </c>
      <c r="D7653" t="s">
        <v>14</v>
      </c>
      <c r="E7653" s="68">
        <v>9250</v>
      </c>
      <c r="F7653" s="68">
        <v>7538</v>
      </c>
      <c r="G7653" s="68">
        <v>16788</v>
      </c>
    </row>
    <row r="7654" spans="1:7" x14ac:dyDescent="0.3">
      <c r="A7654" t="s">
        <v>971</v>
      </c>
      <c r="B7654" t="s">
        <v>588</v>
      </c>
      <c r="C7654" t="s">
        <v>24</v>
      </c>
      <c r="D7654" t="s">
        <v>15</v>
      </c>
      <c r="E7654" s="68">
        <v>9433</v>
      </c>
      <c r="F7654" s="68">
        <v>7742</v>
      </c>
      <c r="G7654" s="68">
        <v>17175</v>
      </c>
    </row>
    <row r="7655" spans="1:7" x14ac:dyDescent="0.3">
      <c r="A7655" t="s">
        <v>971</v>
      </c>
      <c r="B7655" t="s">
        <v>588</v>
      </c>
      <c r="C7655" t="s">
        <v>24</v>
      </c>
      <c r="D7655" t="s">
        <v>16</v>
      </c>
      <c r="E7655" s="68">
        <v>8774</v>
      </c>
      <c r="F7655" s="68">
        <v>7824</v>
      </c>
      <c r="G7655" s="68">
        <v>16598</v>
      </c>
    </row>
    <row r="7656" spans="1:7" x14ac:dyDescent="0.3">
      <c r="A7656" t="s">
        <v>971</v>
      </c>
      <c r="B7656" t="s">
        <v>588</v>
      </c>
      <c r="C7656" t="s">
        <v>24</v>
      </c>
      <c r="D7656" t="s">
        <v>17</v>
      </c>
      <c r="E7656" s="68">
        <v>8256</v>
      </c>
      <c r="F7656" s="68">
        <v>7635</v>
      </c>
      <c r="G7656" s="68">
        <v>15891</v>
      </c>
    </row>
    <row r="7657" spans="1:7" x14ac:dyDescent="0.3">
      <c r="A7657" t="s">
        <v>971</v>
      </c>
      <c r="B7657" t="s">
        <v>588</v>
      </c>
      <c r="C7657" t="s">
        <v>24</v>
      </c>
      <c r="D7657" t="s">
        <v>18</v>
      </c>
      <c r="E7657" s="68">
        <v>8709</v>
      </c>
      <c r="F7657" s="68">
        <v>8274</v>
      </c>
      <c r="G7657" s="68">
        <v>16983</v>
      </c>
    </row>
    <row r="7658" spans="1:7" x14ac:dyDescent="0.3">
      <c r="A7658" t="s">
        <v>971</v>
      </c>
      <c r="B7658" t="s">
        <v>588</v>
      </c>
      <c r="C7658" t="s">
        <v>24</v>
      </c>
      <c r="D7658" t="s">
        <v>19</v>
      </c>
      <c r="E7658" s="68">
        <v>8038</v>
      </c>
      <c r="F7658" s="68">
        <v>7917</v>
      </c>
      <c r="G7658" s="68">
        <v>15955</v>
      </c>
    </row>
    <row r="7659" spans="1:7" x14ac:dyDescent="0.3">
      <c r="A7659" t="s">
        <v>971</v>
      </c>
      <c r="B7659" t="s">
        <v>588</v>
      </c>
      <c r="C7659" t="s">
        <v>24</v>
      </c>
      <c r="D7659" t="s">
        <v>20</v>
      </c>
      <c r="E7659" s="68">
        <v>6715</v>
      </c>
      <c r="F7659" s="68">
        <v>6334</v>
      </c>
      <c r="G7659" s="68">
        <v>13049</v>
      </c>
    </row>
    <row r="7660" spans="1:7" x14ac:dyDescent="0.3">
      <c r="A7660" t="s">
        <v>971</v>
      </c>
      <c r="B7660" t="s">
        <v>588</v>
      </c>
      <c r="C7660" t="s">
        <v>24</v>
      </c>
      <c r="D7660" t="s">
        <v>21</v>
      </c>
      <c r="E7660" s="68">
        <v>4958</v>
      </c>
      <c r="F7660" s="68">
        <v>4485</v>
      </c>
      <c r="G7660" s="68">
        <v>9443</v>
      </c>
    </row>
    <row r="7661" spans="1:7" x14ac:dyDescent="0.3">
      <c r="A7661" t="s">
        <v>971</v>
      </c>
      <c r="B7661" t="s">
        <v>588</v>
      </c>
      <c r="C7661" t="s">
        <v>24</v>
      </c>
      <c r="D7661" t="s">
        <v>22</v>
      </c>
      <c r="E7661" s="68">
        <v>3805</v>
      </c>
      <c r="F7661" s="68">
        <v>3632</v>
      </c>
      <c r="G7661" s="68">
        <v>7437</v>
      </c>
    </row>
    <row r="7662" spans="1:7" x14ac:dyDescent="0.3">
      <c r="A7662" t="s">
        <v>971</v>
      </c>
      <c r="B7662" t="s">
        <v>588</v>
      </c>
      <c r="C7662" t="s">
        <v>24</v>
      </c>
      <c r="D7662" t="s">
        <v>23</v>
      </c>
      <c r="E7662" s="68">
        <v>5378</v>
      </c>
      <c r="F7662" s="68">
        <v>4735</v>
      </c>
      <c r="G7662" s="68">
        <v>10113</v>
      </c>
    </row>
    <row r="7663" spans="1:7" x14ac:dyDescent="0.3">
      <c r="A7663" t="s">
        <v>971</v>
      </c>
      <c r="B7663" t="s">
        <v>26</v>
      </c>
      <c r="C7663" t="s">
        <v>6</v>
      </c>
      <c r="D7663" t="s">
        <v>7</v>
      </c>
      <c r="E7663" s="68">
        <v>652</v>
      </c>
      <c r="F7663" s="68">
        <v>702</v>
      </c>
      <c r="G7663" s="68">
        <v>1354</v>
      </c>
    </row>
    <row r="7664" spans="1:7" x14ac:dyDescent="0.3">
      <c r="A7664" t="s">
        <v>971</v>
      </c>
      <c r="B7664" t="s">
        <v>26</v>
      </c>
      <c r="C7664" t="s">
        <v>6</v>
      </c>
      <c r="D7664" t="s">
        <v>8</v>
      </c>
      <c r="E7664" s="68">
        <v>856</v>
      </c>
      <c r="F7664" s="68">
        <v>900</v>
      </c>
      <c r="G7664" s="68">
        <v>1756</v>
      </c>
    </row>
    <row r="7665" spans="1:7" x14ac:dyDescent="0.3">
      <c r="A7665" t="s">
        <v>971</v>
      </c>
      <c r="B7665" t="s">
        <v>26</v>
      </c>
      <c r="C7665" t="s">
        <v>6</v>
      </c>
      <c r="D7665" t="s">
        <v>9</v>
      </c>
      <c r="E7665" s="68">
        <v>720</v>
      </c>
      <c r="F7665" s="68">
        <v>748</v>
      </c>
      <c r="G7665" s="68">
        <v>1468</v>
      </c>
    </row>
    <row r="7666" spans="1:7" x14ac:dyDescent="0.3">
      <c r="A7666" t="s">
        <v>971</v>
      </c>
      <c r="B7666" t="s">
        <v>26</v>
      </c>
      <c r="C7666" t="s">
        <v>6</v>
      </c>
      <c r="D7666" t="s">
        <v>10</v>
      </c>
      <c r="E7666" s="68">
        <v>815</v>
      </c>
      <c r="F7666" s="68">
        <v>926</v>
      </c>
      <c r="G7666" s="68">
        <v>1741</v>
      </c>
    </row>
    <row r="7667" spans="1:7" x14ac:dyDescent="0.3">
      <c r="A7667" t="s">
        <v>971</v>
      </c>
      <c r="B7667" t="s">
        <v>26</v>
      </c>
      <c r="C7667" t="s">
        <v>6</v>
      </c>
      <c r="D7667" t="s">
        <v>11</v>
      </c>
      <c r="E7667" s="68">
        <v>1144</v>
      </c>
      <c r="F7667" s="68">
        <v>1474</v>
      </c>
      <c r="G7667" s="68">
        <v>2618</v>
      </c>
    </row>
    <row r="7668" spans="1:7" x14ac:dyDescent="0.3">
      <c r="A7668" t="s">
        <v>971</v>
      </c>
      <c r="B7668" t="s">
        <v>26</v>
      </c>
      <c r="C7668" t="s">
        <v>6</v>
      </c>
      <c r="D7668" t="s">
        <v>12</v>
      </c>
      <c r="E7668" s="68">
        <v>1055</v>
      </c>
      <c r="F7668" s="68">
        <v>1485</v>
      </c>
      <c r="G7668" s="68">
        <v>2540</v>
      </c>
    </row>
    <row r="7669" spans="1:7" x14ac:dyDescent="0.3">
      <c r="A7669" t="s">
        <v>971</v>
      </c>
      <c r="B7669" t="s">
        <v>26</v>
      </c>
      <c r="C7669" t="s">
        <v>6</v>
      </c>
      <c r="D7669" t="s">
        <v>13</v>
      </c>
      <c r="E7669" s="68">
        <v>988</v>
      </c>
      <c r="F7669" s="68">
        <v>1413</v>
      </c>
      <c r="G7669" s="68">
        <v>2401</v>
      </c>
    </row>
    <row r="7670" spans="1:7" x14ac:dyDescent="0.3">
      <c r="A7670" t="s">
        <v>971</v>
      </c>
      <c r="B7670" t="s">
        <v>26</v>
      </c>
      <c r="C7670" t="s">
        <v>6</v>
      </c>
      <c r="D7670" t="s">
        <v>14</v>
      </c>
      <c r="E7670" s="68">
        <v>930</v>
      </c>
      <c r="F7670" s="68">
        <v>1203</v>
      </c>
      <c r="G7670" s="68">
        <v>2133</v>
      </c>
    </row>
    <row r="7671" spans="1:7" x14ac:dyDescent="0.3">
      <c r="A7671" t="s">
        <v>971</v>
      </c>
      <c r="B7671" t="s">
        <v>26</v>
      </c>
      <c r="C7671" t="s">
        <v>6</v>
      </c>
      <c r="D7671" t="s">
        <v>15</v>
      </c>
      <c r="E7671" s="68">
        <v>864</v>
      </c>
      <c r="F7671" s="68">
        <v>1081</v>
      </c>
      <c r="G7671" s="68">
        <v>1945</v>
      </c>
    </row>
    <row r="7672" spans="1:7" x14ac:dyDescent="0.3">
      <c r="A7672" t="s">
        <v>971</v>
      </c>
      <c r="B7672" t="s">
        <v>26</v>
      </c>
      <c r="C7672" t="s">
        <v>6</v>
      </c>
      <c r="D7672" t="s">
        <v>16</v>
      </c>
      <c r="E7672" s="68">
        <v>831</v>
      </c>
      <c r="F7672" s="68">
        <v>864</v>
      </c>
      <c r="G7672" s="68">
        <v>1695</v>
      </c>
    </row>
    <row r="7673" spans="1:7" x14ac:dyDescent="0.3">
      <c r="A7673" t="s">
        <v>971</v>
      </c>
      <c r="B7673" t="s">
        <v>26</v>
      </c>
      <c r="C7673" t="s">
        <v>6</v>
      </c>
      <c r="D7673" t="s">
        <v>17</v>
      </c>
      <c r="E7673" s="68">
        <v>830</v>
      </c>
      <c r="F7673" s="68">
        <v>782</v>
      </c>
      <c r="G7673" s="68">
        <v>1612</v>
      </c>
    </row>
    <row r="7674" spans="1:7" x14ac:dyDescent="0.3">
      <c r="A7674" t="s">
        <v>971</v>
      </c>
      <c r="B7674" t="s">
        <v>26</v>
      </c>
      <c r="C7674" t="s">
        <v>6</v>
      </c>
      <c r="D7674" t="s">
        <v>18</v>
      </c>
      <c r="E7674" s="68">
        <v>959</v>
      </c>
      <c r="F7674" s="68">
        <v>821</v>
      </c>
      <c r="G7674" s="68">
        <v>1780</v>
      </c>
    </row>
    <row r="7675" spans="1:7" x14ac:dyDescent="0.3">
      <c r="A7675" t="s">
        <v>971</v>
      </c>
      <c r="B7675" t="s">
        <v>26</v>
      </c>
      <c r="C7675" t="s">
        <v>6</v>
      </c>
      <c r="D7675" t="s">
        <v>19</v>
      </c>
      <c r="E7675" s="68">
        <v>1040</v>
      </c>
      <c r="F7675" s="68">
        <v>850</v>
      </c>
      <c r="G7675" s="68">
        <v>1890</v>
      </c>
    </row>
    <row r="7676" spans="1:7" x14ac:dyDescent="0.3">
      <c r="A7676" t="s">
        <v>971</v>
      </c>
      <c r="B7676" t="s">
        <v>26</v>
      </c>
      <c r="C7676" t="s">
        <v>6</v>
      </c>
      <c r="D7676" t="s">
        <v>20</v>
      </c>
      <c r="E7676" s="68">
        <v>969</v>
      </c>
      <c r="F7676" s="68">
        <v>814</v>
      </c>
      <c r="G7676" s="68">
        <v>1783</v>
      </c>
    </row>
    <row r="7677" spans="1:7" x14ac:dyDescent="0.3">
      <c r="A7677" t="s">
        <v>971</v>
      </c>
      <c r="B7677" t="s">
        <v>26</v>
      </c>
      <c r="C7677" t="s">
        <v>6</v>
      </c>
      <c r="D7677" t="s">
        <v>21</v>
      </c>
      <c r="E7677" s="68">
        <v>833</v>
      </c>
      <c r="F7677" s="68">
        <v>706</v>
      </c>
      <c r="G7677" s="68">
        <v>1539</v>
      </c>
    </row>
    <row r="7678" spans="1:7" x14ac:dyDescent="0.3">
      <c r="A7678" t="s">
        <v>971</v>
      </c>
      <c r="B7678" t="s">
        <v>26</v>
      </c>
      <c r="C7678" t="s">
        <v>6</v>
      </c>
      <c r="D7678" t="s">
        <v>22</v>
      </c>
      <c r="E7678" s="68">
        <v>631</v>
      </c>
      <c r="F7678" s="68">
        <v>525</v>
      </c>
      <c r="G7678" s="68">
        <v>1156</v>
      </c>
    </row>
    <row r="7679" spans="1:7" x14ac:dyDescent="0.3">
      <c r="A7679" t="s">
        <v>971</v>
      </c>
      <c r="B7679" t="s">
        <v>26</v>
      </c>
      <c r="C7679" t="s">
        <v>6</v>
      </c>
      <c r="D7679" t="s">
        <v>23</v>
      </c>
      <c r="E7679" s="68">
        <v>927</v>
      </c>
      <c r="F7679" s="68">
        <v>688</v>
      </c>
      <c r="G7679" s="68">
        <v>1615</v>
      </c>
    </row>
    <row r="7680" spans="1:7" x14ac:dyDescent="0.3">
      <c r="A7680" t="s">
        <v>971</v>
      </c>
      <c r="B7680" t="s">
        <v>26</v>
      </c>
      <c r="C7680" t="s">
        <v>24</v>
      </c>
      <c r="D7680" t="s">
        <v>7</v>
      </c>
      <c r="E7680" s="68">
        <v>5160</v>
      </c>
      <c r="F7680" s="68">
        <v>5486</v>
      </c>
      <c r="G7680" s="68">
        <v>10646</v>
      </c>
    </row>
    <row r="7681" spans="1:7" x14ac:dyDescent="0.3">
      <c r="A7681" t="s">
        <v>971</v>
      </c>
      <c r="B7681" t="s">
        <v>26</v>
      </c>
      <c r="C7681" t="s">
        <v>24</v>
      </c>
      <c r="D7681" t="s">
        <v>8</v>
      </c>
      <c r="E7681" s="68">
        <v>6126</v>
      </c>
      <c r="F7681" s="68">
        <v>6586</v>
      </c>
      <c r="G7681" s="68">
        <v>12712</v>
      </c>
    </row>
    <row r="7682" spans="1:7" x14ac:dyDescent="0.3">
      <c r="A7682" t="s">
        <v>971</v>
      </c>
      <c r="B7682" t="s">
        <v>26</v>
      </c>
      <c r="C7682" t="s">
        <v>24</v>
      </c>
      <c r="D7682" t="s">
        <v>9</v>
      </c>
      <c r="E7682" s="68">
        <v>5855</v>
      </c>
      <c r="F7682" s="68">
        <v>6254</v>
      </c>
      <c r="G7682" s="68">
        <v>12109</v>
      </c>
    </row>
    <row r="7683" spans="1:7" x14ac:dyDescent="0.3">
      <c r="A7683" t="s">
        <v>971</v>
      </c>
      <c r="B7683" t="s">
        <v>26</v>
      </c>
      <c r="C7683" t="s">
        <v>24</v>
      </c>
      <c r="D7683" t="s">
        <v>10</v>
      </c>
      <c r="E7683" s="68">
        <v>7025</v>
      </c>
      <c r="F7683" s="68">
        <v>7221</v>
      </c>
      <c r="G7683" s="68">
        <v>14246</v>
      </c>
    </row>
    <row r="7684" spans="1:7" x14ac:dyDescent="0.3">
      <c r="A7684" t="s">
        <v>971</v>
      </c>
      <c r="B7684" t="s">
        <v>26</v>
      </c>
      <c r="C7684" t="s">
        <v>24</v>
      </c>
      <c r="D7684" t="s">
        <v>11</v>
      </c>
      <c r="E7684" s="68">
        <v>6423</v>
      </c>
      <c r="F7684" s="68">
        <v>4959</v>
      </c>
      <c r="G7684" s="68">
        <v>11382</v>
      </c>
    </row>
    <row r="7685" spans="1:7" x14ac:dyDescent="0.3">
      <c r="A7685" t="s">
        <v>971</v>
      </c>
      <c r="B7685" t="s">
        <v>26</v>
      </c>
      <c r="C7685" t="s">
        <v>24</v>
      </c>
      <c r="D7685" t="s">
        <v>12</v>
      </c>
      <c r="E7685" s="68">
        <v>5540</v>
      </c>
      <c r="F7685" s="68">
        <v>5277</v>
      </c>
      <c r="G7685" s="68">
        <v>10817</v>
      </c>
    </row>
    <row r="7686" spans="1:7" x14ac:dyDescent="0.3">
      <c r="A7686" t="s">
        <v>971</v>
      </c>
      <c r="B7686" t="s">
        <v>26</v>
      </c>
      <c r="C7686" t="s">
        <v>24</v>
      </c>
      <c r="D7686" t="s">
        <v>13</v>
      </c>
      <c r="E7686" s="68">
        <v>5073</v>
      </c>
      <c r="F7686" s="68">
        <v>5219</v>
      </c>
      <c r="G7686" s="68">
        <v>10292</v>
      </c>
    </row>
    <row r="7687" spans="1:7" x14ac:dyDescent="0.3">
      <c r="A7687" t="s">
        <v>971</v>
      </c>
      <c r="B7687" t="s">
        <v>26</v>
      </c>
      <c r="C7687" t="s">
        <v>24</v>
      </c>
      <c r="D7687" t="s">
        <v>14</v>
      </c>
      <c r="E7687" s="68">
        <v>4930</v>
      </c>
      <c r="F7687" s="68">
        <v>5032</v>
      </c>
      <c r="G7687" s="68">
        <v>9962</v>
      </c>
    </row>
    <row r="7688" spans="1:7" x14ac:dyDescent="0.3">
      <c r="A7688" t="s">
        <v>971</v>
      </c>
      <c r="B7688" t="s">
        <v>26</v>
      </c>
      <c r="C7688" t="s">
        <v>24</v>
      </c>
      <c r="D7688" t="s">
        <v>15</v>
      </c>
      <c r="E7688" s="68">
        <v>3986</v>
      </c>
      <c r="F7688" s="68">
        <v>4524</v>
      </c>
      <c r="G7688" s="68">
        <v>8510</v>
      </c>
    </row>
    <row r="7689" spans="1:7" x14ac:dyDescent="0.3">
      <c r="A7689" t="s">
        <v>971</v>
      </c>
      <c r="B7689" t="s">
        <v>26</v>
      </c>
      <c r="C7689" t="s">
        <v>24</v>
      </c>
      <c r="D7689" t="s">
        <v>16</v>
      </c>
      <c r="E7689" s="68">
        <v>3871</v>
      </c>
      <c r="F7689" s="68">
        <v>4288</v>
      </c>
      <c r="G7689" s="68">
        <v>8159</v>
      </c>
    </row>
    <row r="7690" spans="1:7" x14ac:dyDescent="0.3">
      <c r="A7690" t="s">
        <v>971</v>
      </c>
      <c r="B7690" t="s">
        <v>26</v>
      </c>
      <c r="C7690" t="s">
        <v>24</v>
      </c>
      <c r="D7690" t="s">
        <v>17</v>
      </c>
      <c r="E7690" s="68">
        <v>3804</v>
      </c>
      <c r="F7690" s="68">
        <v>4518</v>
      </c>
      <c r="G7690" s="68">
        <v>8322</v>
      </c>
    </row>
    <row r="7691" spans="1:7" x14ac:dyDescent="0.3">
      <c r="A7691" t="s">
        <v>971</v>
      </c>
      <c r="B7691" t="s">
        <v>26</v>
      </c>
      <c r="C7691" t="s">
        <v>24</v>
      </c>
      <c r="D7691" t="s">
        <v>18</v>
      </c>
      <c r="E7691" s="68">
        <v>3548</v>
      </c>
      <c r="F7691" s="68">
        <v>4390</v>
      </c>
      <c r="G7691" s="68">
        <v>7938</v>
      </c>
    </row>
    <row r="7692" spans="1:7" x14ac:dyDescent="0.3">
      <c r="A7692" t="s">
        <v>971</v>
      </c>
      <c r="B7692" t="s">
        <v>26</v>
      </c>
      <c r="C7692" t="s">
        <v>24</v>
      </c>
      <c r="D7692" t="s">
        <v>19</v>
      </c>
      <c r="E7692" s="68">
        <v>2490</v>
      </c>
      <c r="F7692" s="68">
        <v>3208</v>
      </c>
      <c r="G7692" s="68">
        <v>5698</v>
      </c>
    </row>
    <row r="7693" spans="1:7" x14ac:dyDescent="0.3">
      <c r="A7693" t="s">
        <v>971</v>
      </c>
      <c r="B7693" t="s">
        <v>26</v>
      </c>
      <c r="C7693" t="s">
        <v>24</v>
      </c>
      <c r="D7693" t="s">
        <v>20</v>
      </c>
      <c r="E7693" s="68">
        <v>2197</v>
      </c>
      <c r="F7693" s="68">
        <v>2701</v>
      </c>
      <c r="G7693" s="68">
        <v>4898</v>
      </c>
    </row>
    <row r="7694" spans="1:7" x14ac:dyDescent="0.3">
      <c r="A7694" t="s">
        <v>971</v>
      </c>
      <c r="B7694" t="s">
        <v>26</v>
      </c>
      <c r="C7694" t="s">
        <v>24</v>
      </c>
      <c r="D7694" t="s">
        <v>21</v>
      </c>
      <c r="E7694" s="68">
        <v>1615</v>
      </c>
      <c r="F7694" s="68">
        <v>1979</v>
      </c>
      <c r="G7694" s="68">
        <v>3594</v>
      </c>
    </row>
    <row r="7695" spans="1:7" x14ac:dyDescent="0.3">
      <c r="A7695" t="s">
        <v>971</v>
      </c>
      <c r="B7695" t="s">
        <v>26</v>
      </c>
      <c r="C7695" t="s">
        <v>24</v>
      </c>
      <c r="D7695" t="s">
        <v>22</v>
      </c>
      <c r="E7695" s="68">
        <v>1373</v>
      </c>
      <c r="F7695" s="68">
        <v>1639</v>
      </c>
      <c r="G7695" s="68">
        <v>3012</v>
      </c>
    </row>
    <row r="7696" spans="1:7" x14ac:dyDescent="0.3">
      <c r="A7696" t="s">
        <v>971</v>
      </c>
      <c r="B7696" t="s">
        <v>26</v>
      </c>
      <c r="C7696" t="s">
        <v>24</v>
      </c>
      <c r="D7696" t="s">
        <v>23</v>
      </c>
      <c r="E7696" s="68">
        <v>2016</v>
      </c>
      <c r="F7696" s="68">
        <v>2215</v>
      </c>
      <c r="G7696" s="68">
        <v>4231</v>
      </c>
    </row>
    <row r="7697" spans="1:7" x14ac:dyDescent="0.3">
      <c r="A7697" t="s">
        <v>971</v>
      </c>
      <c r="B7697" t="s">
        <v>27</v>
      </c>
      <c r="C7697" t="s">
        <v>28</v>
      </c>
      <c r="D7697" t="s">
        <v>7</v>
      </c>
      <c r="E7697" s="68">
        <v>272</v>
      </c>
      <c r="F7697" s="68">
        <v>270</v>
      </c>
      <c r="G7697" s="68">
        <v>542</v>
      </c>
    </row>
    <row r="7698" spans="1:7" x14ac:dyDescent="0.3">
      <c r="A7698" t="s">
        <v>971</v>
      </c>
      <c r="B7698" t="s">
        <v>27</v>
      </c>
      <c r="C7698" t="s">
        <v>28</v>
      </c>
      <c r="D7698" t="s">
        <v>8</v>
      </c>
      <c r="E7698" s="68">
        <v>349</v>
      </c>
      <c r="F7698" s="68">
        <v>408</v>
      </c>
      <c r="G7698" s="68">
        <v>757</v>
      </c>
    </row>
    <row r="7699" spans="1:7" x14ac:dyDescent="0.3">
      <c r="A7699" t="s">
        <v>971</v>
      </c>
      <c r="B7699" t="s">
        <v>27</v>
      </c>
      <c r="C7699" t="s">
        <v>28</v>
      </c>
      <c r="D7699" t="s">
        <v>9</v>
      </c>
      <c r="E7699" s="68">
        <v>655</v>
      </c>
      <c r="F7699" s="68">
        <v>755</v>
      </c>
      <c r="G7699" s="68">
        <v>1410</v>
      </c>
    </row>
    <row r="7700" spans="1:7" x14ac:dyDescent="0.3">
      <c r="A7700" t="s">
        <v>971</v>
      </c>
      <c r="B7700" t="s">
        <v>27</v>
      </c>
      <c r="C7700" t="s">
        <v>28</v>
      </c>
      <c r="D7700" t="s">
        <v>10</v>
      </c>
      <c r="E7700" s="68">
        <v>953</v>
      </c>
      <c r="F7700" s="68">
        <v>997</v>
      </c>
      <c r="G7700" s="68">
        <v>1950</v>
      </c>
    </row>
    <row r="7701" spans="1:7" x14ac:dyDescent="0.3">
      <c r="A7701" t="s">
        <v>971</v>
      </c>
      <c r="B7701" t="s">
        <v>27</v>
      </c>
      <c r="C7701" t="s">
        <v>28</v>
      </c>
      <c r="D7701" t="s">
        <v>11</v>
      </c>
      <c r="E7701" s="68">
        <v>870</v>
      </c>
      <c r="F7701" s="68">
        <v>985</v>
      </c>
      <c r="G7701" s="68">
        <v>1855</v>
      </c>
    </row>
    <row r="7702" spans="1:7" x14ac:dyDescent="0.3">
      <c r="A7702" t="s">
        <v>971</v>
      </c>
      <c r="B7702" t="s">
        <v>27</v>
      </c>
      <c r="C7702" t="s">
        <v>28</v>
      </c>
      <c r="D7702" t="s">
        <v>12</v>
      </c>
      <c r="E7702" s="68">
        <v>258</v>
      </c>
      <c r="F7702" s="68">
        <v>214</v>
      </c>
      <c r="G7702" s="68">
        <v>472</v>
      </c>
    </row>
    <row r="7703" spans="1:7" x14ac:dyDescent="0.3">
      <c r="A7703" t="s">
        <v>971</v>
      </c>
      <c r="B7703" t="s">
        <v>27</v>
      </c>
      <c r="C7703" t="s">
        <v>28</v>
      </c>
      <c r="D7703" t="s">
        <v>13</v>
      </c>
      <c r="E7703" s="68">
        <v>336</v>
      </c>
      <c r="F7703" s="68">
        <v>178</v>
      </c>
      <c r="G7703" s="68">
        <v>514</v>
      </c>
    </row>
    <row r="7704" spans="1:7" x14ac:dyDescent="0.3">
      <c r="A7704" t="s">
        <v>971</v>
      </c>
      <c r="B7704" t="s">
        <v>27</v>
      </c>
      <c r="C7704" t="s">
        <v>28</v>
      </c>
      <c r="D7704" t="s">
        <v>14</v>
      </c>
      <c r="E7704" s="68">
        <v>479</v>
      </c>
      <c r="F7704" s="68">
        <v>268</v>
      </c>
      <c r="G7704" s="68">
        <v>747</v>
      </c>
    </row>
    <row r="7705" spans="1:7" x14ac:dyDescent="0.3">
      <c r="A7705" t="s">
        <v>971</v>
      </c>
      <c r="B7705" t="s">
        <v>27</v>
      </c>
      <c r="C7705" t="s">
        <v>28</v>
      </c>
      <c r="D7705" t="s">
        <v>15</v>
      </c>
      <c r="E7705" s="68">
        <v>644</v>
      </c>
      <c r="F7705" s="68">
        <v>359</v>
      </c>
      <c r="G7705" s="68">
        <v>1003</v>
      </c>
    </row>
    <row r="7706" spans="1:7" x14ac:dyDescent="0.3">
      <c r="A7706" t="s">
        <v>971</v>
      </c>
      <c r="B7706" t="s">
        <v>27</v>
      </c>
      <c r="C7706" t="s">
        <v>28</v>
      </c>
      <c r="D7706" t="s">
        <v>16</v>
      </c>
      <c r="E7706" s="68">
        <v>992</v>
      </c>
      <c r="F7706" s="68">
        <v>563</v>
      </c>
      <c r="G7706" s="68">
        <v>1555</v>
      </c>
    </row>
    <row r="7707" spans="1:7" x14ac:dyDescent="0.3">
      <c r="A7707" t="s">
        <v>971</v>
      </c>
      <c r="B7707" t="s">
        <v>27</v>
      </c>
      <c r="C7707" t="s">
        <v>28</v>
      </c>
      <c r="D7707" t="s">
        <v>17</v>
      </c>
      <c r="E7707" s="68">
        <v>1126</v>
      </c>
      <c r="F7707" s="68">
        <v>754</v>
      </c>
      <c r="G7707" s="68">
        <v>1880</v>
      </c>
    </row>
    <row r="7708" spans="1:7" x14ac:dyDescent="0.3">
      <c r="A7708" t="s">
        <v>971</v>
      </c>
      <c r="B7708" t="s">
        <v>27</v>
      </c>
      <c r="C7708" t="s">
        <v>28</v>
      </c>
      <c r="D7708" t="s">
        <v>18</v>
      </c>
      <c r="E7708" s="68">
        <v>1307</v>
      </c>
      <c r="F7708" s="68">
        <v>1012</v>
      </c>
      <c r="G7708" s="68">
        <v>2319</v>
      </c>
    </row>
    <row r="7709" spans="1:7" x14ac:dyDescent="0.3">
      <c r="A7709" t="s">
        <v>971</v>
      </c>
      <c r="B7709" t="s">
        <v>27</v>
      </c>
      <c r="C7709" t="s">
        <v>28</v>
      </c>
      <c r="D7709" t="s">
        <v>19</v>
      </c>
      <c r="E7709" s="68">
        <v>1049</v>
      </c>
      <c r="F7709" s="68">
        <v>873</v>
      </c>
      <c r="G7709" s="68">
        <v>1922</v>
      </c>
    </row>
    <row r="7710" spans="1:7" x14ac:dyDescent="0.3">
      <c r="A7710" t="s">
        <v>971</v>
      </c>
      <c r="B7710" t="s">
        <v>27</v>
      </c>
      <c r="C7710" t="s">
        <v>28</v>
      </c>
      <c r="D7710" t="s">
        <v>20</v>
      </c>
      <c r="E7710" s="68">
        <v>966</v>
      </c>
      <c r="F7710" s="68">
        <v>739</v>
      </c>
      <c r="G7710" s="68">
        <v>1705</v>
      </c>
    </row>
    <row r="7711" spans="1:7" x14ac:dyDescent="0.3">
      <c r="A7711" t="s">
        <v>971</v>
      </c>
      <c r="B7711" t="s">
        <v>27</v>
      </c>
      <c r="C7711" t="s">
        <v>28</v>
      </c>
      <c r="D7711" t="s">
        <v>21</v>
      </c>
      <c r="E7711" s="68">
        <v>843</v>
      </c>
      <c r="F7711" s="68">
        <v>662</v>
      </c>
      <c r="G7711" s="68">
        <v>1505</v>
      </c>
    </row>
    <row r="7712" spans="1:7" x14ac:dyDescent="0.3">
      <c r="A7712" t="s">
        <v>971</v>
      </c>
      <c r="B7712" t="s">
        <v>27</v>
      </c>
      <c r="C7712" t="s">
        <v>28</v>
      </c>
      <c r="D7712" t="s">
        <v>22</v>
      </c>
      <c r="E7712" s="68">
        <v>496</v>
      </c>
      <c r="F7712" s="68">
        <v>447</v>
      </c>
      <c r="G7712" s="68">
        <v>943</v>
      </c>
    </row>
    <row r="7713" spans="1:7" x14ac:dyDescent="0.3">
      <c r="A7713" t="s">
        <v>971</v>
      </c>
      <c r="B7713" t="s">
        <v>27</v>
      </c>
      <c r="C7713" t="s">
        <v>28</v>
      </c>
      <c r="D7713" t="s">
        <v>23</v>
      </c>
      <c r="E7713" s="68">
        <v>461</v>
      </c>
      <c r="F7713" s="68">
        <v>346</v>
      </c>
      <c r="G7713" s="68">
        <v>807</v>
      </c>
    </row>
    <row r="7714" spans="1:7" x14ac:dyDescent="0.3">
      <c r="A7714" t="s">
        <v>971</v>
      </c>
      <c r="B7714" t="s">
        <v>27</v>
      </c>
      <c r="C7714" t="s">
        <v>29</v>
      </c>
      <c r="D7714" t="s">
        <v>10</v>
      </c>
      <c r="E7714" s="68"/>
      <c r="F7714" s="68">
        <v>2</v>
      </c>
      <c r="G7714" s="68">
        <v>2</v>
      </c>
    </row>
    <row r="7715" spans="1:7" x14ac:dyDescent="0.3">
      <c r="A7715" t="s">
        <v>971</v>
      </c>
      <c r="B7715" t="s">
        <v>27</v>
      </c>
      <c r="C7715" t="s">
        <v>29</v>
      </c>
      <c r="D7715" t="s">
        <v>11</v>
      </c>
      <c r="E7715" s="68">
        <v>1</v>
      </c>
      <c r="F7715" s="68">
        <v>64</v>
      </c>
      <c r="G7715" s="68">
        <v>65</v>
      </c>
    </row>
    <row r="7716" spans="1:7" x14ac:dyDescent="0.3">
      <c r="A7716" t="s">
        <v>971</v>
      </c>
      <c r="B7716" t="s">
        <v>27</v>
      </c>
      <c r="C7716" t="s">
        <v>29</v>
      </c>
      <c r="D7716" t="s">
        <v>12</v>
      </c>
      <c r="E7716" s="68">
        <v>3</v>
      </c>
      <c r="F7716" s="68">
        <v>105</v>
      </c>
      <c r="G7716" s="68">
        <v>108</v>
      </c>
    </row>
    <row r="7717" spans="1:7" x14ac:dyDescent="0.3">
      <c r="A7717" t="s">
        <v>971</v>
      </c>
      <c r="B7717" t="s">
        <v>27</v>
      </c>
      <c r="C7717" t="s">
        <v>29</v>
      </c>
      <c r="D7717" t="s">
        <v>13</v>
      </c>
      <c r="E7717" s="68">
        <v>4</v>
      </c>
      <c r="F7717" s="68">
        <v>140</v>
      </c>
      <c r="G7717" s="68">
        <v>144</v>
      </c>
    </row>
    <row r="7718" spans="1:7" x14ac:dyDescent="0.3">
      <c r="A7718" t="s">
        <v>971</v>
      </c>
      <c r="B7718" t="s">
        <v>27</v>
      </c>
      <c r="C7718" t="s">
        <v>29</v>
      </c>
      <c r="D7718" t="s">
        <v>14</v>
      </c>
      <c r="E7718" s="68">
        <v>1</v>
      </c>
      <c r="F7718" s="68">
        <v>110</v>
      </c>
      <c r="G7718" s="68">
        <v>111</v>
      </c>
    </row>
    <row r="7719" spans="1:7" x14ac:dyDescent="0.3">
      <c r="A7719" t="s">
        <v>971</v>
      </c>
      <c r="B7719" t="s">
        <v>27</v>
      </c>
      <c r="C7719" t="s">
        <v>29</v>
      </c>
      <c r="D7719" t="s">
        <v>15</v>
      </c>
      <c r="E7719" s="68">
        <v>2</v>
      </c>
      <c r="F7719" s="68">
        <v>70</v>
      </c>
      <c r="G7719" s="68">
        <v>72</v>
      </c>
    </row>
    <row r="7720" spans="1:7" x14ac:dyDescent="0.3">
      <c r="A7720" t="s">
        <v>971</v>
      </c>
      <c r="B7720" t="s">
        <v>27</v>
      </c>
      <c r="C7720" t="s">
        <v>29</v>
      </c>
      <c r="D7720" t="s">
        <v>16</v>
      </c>
      <c r="E7720" s="68">
        <v>1</v>
      </c>
      <c r="F7720" s="68">
        <v>40</v>
      </c>
      <c r="G7720" s="68">
        <v>41</v>
      </c>
    </row>
    <row r="7721" spans="1:7" x14ac:dyDescent="0.3">
      <c r="A7721" t="s">
        <v>971</v>
      </c>
      <c r="B7721" t="s">
        <v>27</v>
      </c>
      <c r="C7721" t="s">
        <v>29</v>
      </c>
      <c r="D7721" t="s">
        <v>17</v>
      </c>
      <c r="E7721" s="68"/>
      <c r="F7721" s="68">
        <v>19</v>
      </c>
      <c r="G7721" s="68">
        <v>19</v>
      </c>
    </row>
    <row r="7722" spans="1:7" x14ac:dyDescent="0.3">
      <c r="A7722" t="s">
        <v>971</v>
      </c>
      <c r="B7722" t="s">
        <v>27</v>
      </c>
      <c r="C7722" t="s">
        <v>29</v>
      </c>
      <c r="D7722" t="s">
        <v>18</v>
      </c>
      <c r="E7722" s="68">
        <v>2</v>
      </c>
      <c r="F7722" s="68">
        <v>14</v>
      </c>
      <c r="G7722" s="68">
        <v>16</v>
      </c>
    </row>
    <row r="7723" spans="1:7" x14ac:dyDescent="0.3">
      <c r="A7723" t="s">
        <v>971</v>
      </c>
      <c r="B7723" t="s">
        <v>27</v>
      </c>
      <c r="C7723" t="s">
        <v>29</v>
      </c>
      <c r="D7723" t="s">
        <v>19</v>
      </c>
      <c r="E7723" s="68"/>
      <c r="F7723" s="68">
        <v>5</v>
      </c>
      <c r="G7723" s="68">
        <v>5</v>
      </c>
    </row>
    <row r="7724" spans="1:7" x14ac:dyDescent="0.3">
      <c r="A7724" t="s">
        <v>971</v>
      </c>
      <c r="B7724" t="s">
        <v>27</v>
      </c>
      <c r="C7724" t="s">
        <v>29</v>
      </c>
      <c r="D7724" t="s">
        <v>20</v>
      </c>
      <c r="E7724" s="68"/>
      <c r="F7724" s="68">
        <v>7</v>
      </c>
      <c r="G7724" s="68">
        <v>7</v>
      </c>
    </row>
    <row r="7725" spans="1:7" x14ac:dyDescent="0.3">
      <c r="A7725" t="s">
        <v>971</v>
      </c>
      <c r="B7725" t="s">
        <v>27</v>
      </c>
      <c r="C7725" t="s">
        <v>29</v>
      </c>
      <c r="D7725" t="s">
        <v>21</v>
      </c>
      <c r="E7725" s="68"/>
      <c r="F7725" s="68">
        <v>4</v>
      </c>
      <c r="G7725" s="68">
        <v>4</v>
      </c>
    </row>
    <row r="7726" spans="1:7" x14ac:dyDescent="0.3">
      <c r="A7726" t="s">
        <v>971</v>
      </c>
      <c r="B7726" t="s">
        <v>36</v>
      </c>
      <c r="C7726" t="s">
        <v>6</v>
      </c>
      <c r="D7726" t="s">
        <v>7</v>
      </c>
      <c r="E7726" s="68">
        <v>2072</v>
      </c>
      <c r="F7726" s="68">
        <v>2124</v>
      </c>
      <c r="G7726" s="68">
        <v>4196</v>
      </c>
    </row>
    <row r="7727" spans="1:7" x14ac:dyDescent="0.3">
      <c r="A7727" t="s">
        <v>971</v>
      </c>
      <c r="B7727" t="s">
        <v>36</v>
      </c>
      <c r="C7727" t="s">
        <v>6</v>
      </c>
      <c r="D7727" t="s">
        <v>8</v>
      </c>
      <c r="E7727" s="68">
        <v>2841</v>
      </c>
      <c r="F7727" s="68">
        <v>3030</v>
      </c>
      <c r="G7727" s="68">
        <v>5871</v>
      </c>
    </row>
    <row r="7728" spans="1:7" x14ac:dyDescent="0.3">
      <c r="A7728" t="s">
        <v>971</v>
      </c>
      <c r="B7728" t="s">
        <v>36</v>
      </c>
      <c r="C7728" t="s">
        <v>6</v>
      </c>
      <c r="D7728" t="s">
        <v>9</v>
      </c>
      <c r="E7728" s="68">
        <v>3148</v>
      </c>
      <c r="F7728" s="68">
        <v>3253</v>
      </c>
      <c r="G7728" s="68">
        <v>6401</v>
      </c>
    </row>
    <row r="7729" spans="1:7" x14ac:dyDescent="0.3">
      <c r="A7729" t="s">
        <v>971</v>
      </c>
      <c r="B7729" t="s">
        <v>36</v>
      </c>
      <c r="C7729" t="s">
        <v>6</v>
      </c>
      <c r="D7729" t="s">
        <v>10</v>
      </c>
      <c r="E7729" s="68">
        <v>2814</v>
      </c>
      <c r="F7729" s="68">
        <v>3025</v>
      </c>
      <c r="G7729" s="68">
        <v>5839</v>
      </c>
    </row>
    <row r="7730" spans="1:7" x14ac:dyDescent="0.3">
      <c r="A7730" t="s">
        <v>971</v>
      </c>
      <c r="B7730" t="s">
        <v>36</v>
      </c>
      <c r="C7730" t="s">
        <v>6</v>
      </c>
      <c r="D7730" t="s">
        <v>11</v>
      </c>
      <c r="E7730" s="68">
        <v>2291</v>
      </c>
      <c r="F7730" s="68">
        <v>2427</v>
      </c>
      <c r="G7730" s="68">
        <v>4718</v>
      </c>
    </row>
    <row r="7731" spans="1:7" x14ac:dyDescent="0.3">
      <c r="A7731" t="s">
        <v>971</v>
      </c>
      <c r="B7731" t="s">
        <v>36</v>
      </c>
      <c r="C7731" t="s">
        <v>6</v>
      </c>
      <c r="D7731" t="s">
        <v>12</v>
      </c>
      <c r="E7731" s="68">
        <v>2530</v>
      </c>
      <c r="F7731" s="68">
        <v>2458</v>
      </c>
      <c r="G7731" s="68">
        <v>4988</v>
      </c>
    </row>
    <row r="7732" spans="1:7" x14ac:dyDescent="0.3">
      <c r="A7732" t="s">
        <v>971</v>
      </c>
      <c r="B7732" t="s">
        <v>36</v>
      </c>
      <c r="C7732" t="s">
        <v>6</v>
      </c>
      <c r="D7732" t="s">
        <v>13</v>
      </c>
      <c r="E7732" s="68">
        <v>3655</v>
      </c>
      <c r="F7732" s="68">
        <v>3293</v>
      </c>
      <c r="G7732" s="68">
        <v>6948</v>
      </c>
    </row>
    <row r="7733" spans="1:7" x14ac:dyDescent="0.3">
      <c r="A7733" t="s">
        <v>971</v>
      </c>
      <c r="B7733" t="s">
        <v>36</v>
      </c>
      <c r="C7733" t="s">
        <v>6</v>
      </c>
      <c r="D7733" t="s">
        <v>14</v>
      </c>
      <c r="E7733" s="68">
        <v>3881</v>
      </c>
      <c r="F7733" s="68">
        <v>3651</v>
      </c>
      <c r="G7733" s="68">
        <v>7532</v>
      </c>
    </row>
    <row r="7734" spans="1:7" x14ac:dyDescent="0.3">
      <c r="A7734" t="s">
        <v>971</v>
      </c>
      <c r="B7734" t="s">
        <v>36</v>
      </c>
      <c r="C7734" t="s">
        <v>6</v>
      </c>
      <c r="D7734" t="s">
        <v>15</v>
      </c>
      <c r="E7734" s="68">
        <v>3704</v>
      </c>
      <c r="F7734" s="68">
        <v>3483</v>
      </c>
      <c r="G7734" s="68">
        <v>7187</v>
      </c>
    </row>
    <row r="7735" spans="1:7" x14ac:dyDescent="0.3">
      <c r="A7735" t="s">
        <v>971</v>
      </c>
      <c r="B7735" t="s">
        <v>36</v>
      </c>
      <c r="C7735" t="s">
        <v>6</v>
      </c>
      <c r="D7735" t="s">
        <v>16</v>
      </c>
      <c r="E7735" s="68">
        <v>3125</v>
      </c>
      <c r="F7735" s="68">
        <v>2948</v>
      </c>
      <c r="G7735" s="68">
        <v>6073</v>
      </c>
    </row>
    <row r="7736" spans="1:7" x14ac:dyDescent="0.3">
      <c r="A7736" t="s">
        <v>971</v>
      </c>
      <c r="B7736" t="s">
        <v>36</v>
      </c>
      <c r="C7736" t="s">
        <v>6</v>
      </c>
      <c r="D7736" t="s">
        <v>17</v>
      </c>
      <c r="E7736" s="68">
        <v>2269</v>
      </c>
      <c r="F7736" s="68">
        <v>2206</v>
      </c>
      <c r="G7736" s="68">
        <v>4475</v>
      </c>
    </row>
    <row r="7737" spans="1:7" x14ac:dyDescent="0.3">
      <c r="A7737" t="s">
        <v>971</v>
      </c>
      <c r="B7737" t="s">
        <v>36</v>
      </c>
      <c r="C7737" t="s">
        <v>6</v>
      </c>
      <c r="D7737" t="s">
        <v>18</v>
      </c>
      <c r="E7737" s="68">
        <v>2031</v>
      </c>
      <c r="F7737" s="68">
        <v>1899</v>
      </c>
      <c r="G7737" s="68">
        <v>3930</v>
      </c>
    </row>
    <row r="7738" spans="1:7" x14ac:dyDescent="0.3">
      <c r="A7738" t="s">
        <v>971</v>
      </c>
      <c r="B7738" t="s">
        <v>36</v>
      </c>
      <c r="C7738" t="s">
        <v>6</v>
      </c>
      <c r="D7738" t="s">
        <v>19</v>
      </c>
      <c r="E7738" s="68">
        <v>1633</v>
      </c>
      <c r="F7738" s="68">
        <v>1613</v>
      </c>
      <c r="G7738" s="68">
        <v>3246</v>
      </c>
    </row>
    <row r="7739" spans="1:7" x14ac:dyDescent="0.3">
      <c r="A7739" t="s">
        <v>971</v>
      </c>
      <c r="B7739" t="s">
        <v>36</v>
      </c>
      <c r="C7739" t="s">
        <v>6</v>
      </c>
      <c r="D7739" t="s">
        <v>20</v>
      </c>
      <c r="E7739" s="68">
        <v>1306</v>
      </c>
      <c r="F7739" s="68">
        <v>1158</v>
      </c>
      <c r="G7739" s="68">
        <v>2464</v>
      </c>
    </row>
    <row r="7740" spans="1:7" x14ac:dyDescent="0.3">
      <c r="A7740" t="s">
        <v>971</v>
      </c>
      <c r="B7740" t="s">
        <v>36</v>
      </c>
      <c r="C7740" t="s">
        <v>6</v>
      </c>
      <c r="D7740" t="s">
        <v>21</v>
      </c>
      <c r="E7740" s="68">
        <v>936</v>
      </c>
      <c r="F7740" s="68">
        <v>789</v>
      </c>
      <c r="G7740" s="68">
        <v>1725</v>
      </c>
    </row>
    <row r="7741" spans="1:7" x14ac:dyDescent="0.3">
      <c r="A7741" t="s">
        <v>971</v>
      </c>
      <c r="B7741" t="s">
        <v>36</v>
      </c>
      <c r="C7741" t="s">
        <v>6</v>
      </c>
      <c r="D7741" t="s">
        <v>22</v>
      </c>
      <c r="E7741" s="68">
        <v>638</v>
      </c>
      <c r="F7741" s="68">
        <v>604</v>
      </c>
      <c r="G7741" s="68">
        <v>1242</v>
      </c>
    </row>
    <row r="7742" spans="1:7" x14ac:dyDescent="0.3">
      <c r="A7742" t="s">
        <v>971</v>
      </c>
      <c r="B7742" t="s">
        <v>36</v>
      </c>
      <c r="C7742" t="s">
        <v>6</v>
      </c>
      <c r="D7742" t="s">
        <v>23</v>
      </c>
      <c r="E7742" s="68">
        <v>703</v>
      </c>
      <c r="F7742" s="68">
        <v>570</v>
      </c>
      <c r="G7742" s="68">
        <v>1273</v>
      </c>
    </row>
    <row r="7743" spans="1:7" x14ac:dyDescent="0.3">
      <c r="A7743" t="s">
        <v>971</v>
      </c>
      <c r="B7743" t="s">
        <v>36</v>
      </c>
      <c r="C7743" t="s">
        <v>24</v>
      </c>
      <c r="D7743" t="s">
        <v>7</v>
      </c>
      <c r="E7743" s="68">
        <v>1239</v>
      </c>
      <c r="F7743" s="68">
        <v>1301</v>
      </c>
      <c r="G7743" s="68">
        <v>2540</v>
      </c>
    </row>
    <row r="7744" spans="1:7" x14ac:dyDescent="0.3">
      <c r="A7744" t="s">
        <v>971</v>
      </c>
      <c r="B7744" t="s">
        <v>36</v>
      </c>
      <c r="C7744" t="s">
        <v>24</v>
      </c>
      <c r="D7744" t="s">
        <v>8</v>
      </c>
      <c r="E7744" s="68">
        <v>1572</v>
      </c>
      <c r="F7744" s="68">
        <v>1472</v>
      </c>
      <c r="G7744" s="68">
        <v>3044</v>
      </c>
    </row>
    <row r="7745" spans="1:7" x14ac:dyDescent="0.3">
      <c r="A7745" t="s">
        <v>971</v>
      </c>
      <c r="B7745" t="s">
        <v>36</v>
      </c>
      <c r="C7745" t="s">
        <v>24</v>
      </c>
      <c r="D7745" t="s">
        <v>9</v>
      </c>
      <c r="E7745" s="68">
        <v>2238</v>
      </c>
      <c r="F7745" s="68">
        <v>2233</v>
      </c>
      <c r="G7745" s="68">
        <v>4471</v>
      </c>
    </row>
    <row r="7746" spans="1:7" x14ac:dyDescent="0.3">
      <c r="A7746" t="s">
        <v>971</v>
      </c>
      <c r="B7746" t="s">
        <v>36</v>
      </c>
      <c r="C7746" t="s">
        <v>24</v>
      </c>
      <c r="D7746" t="s">
        <v>10</v>
      </c>
      <c r="E7746" s="68">
        <v>1847</v>
      </c>
      <c r="F7746" s="68">
        <v>1830</v>
      </c>
      <c r="G7746" s="68">
        <v>3677</v>
      </c>
    </row>
    <row r="7747" spans="1:7" x14ac:dyDescent="0.3">
      <c r="A7747" t="s">
        <v>971</v>
      </c>
      <c r="B7747" t="s">
        <v>36</v>
      </c>
      <c r="C7747" t="s">
        <v>24</v>
      </c>
      <c r="D7747" t="s">
        <v>11</v>
      </c>
      <c r="E7747" s="68">
        <v>1621</v>
      </c>
      <c r="F7747" s="68">
        <v>1507</v>
      </c>
      <c r="G7747" s="68">
        <v>3128</v>
      </c>
    </row>
    <row r="7748" spans="1:7" x14ac:dyDescent="0.3">
      <c r="A7748" t="s">
        <v>971</v>
      </c>
      <c r="B7748" t="s">
        <v>36</v>
      </c>
      <c r="C7748" t="s">
        <v>24</v>
      </c>
      <c r="D7748" t="s">
        <v>12</v>
      </c>
      <c r="E7748" s="68">
        <v>2086</v>
      </c>
      <c r="F7748" s="68">
        <v>1971</v>
      </c>
      <c r="G7748" s="68">
        <v>4057</v>
      </c>
    </row>
    <row r="7749" spans="1:7" x14ac:dyDescent="0.3">
      <c r="A7749" t="s">
        <v>971</v>
      </c>
      <c r="B7749" t="s">
        <v>36</v>
      </c>
      <c r="C7749" t="s">
        <v>24</v>
      </c>
      <c r="D7749" t="s">
        <v>13</v>
      </c>
      <c r="E7749" s="68">
        <v>1770</v>
      </c>
      <c r="F7749" s="68">
        <v>1681</v>
      </c>
      <c r="G7749" s="68">
        <v>3451</v>
      </c>
    </row>
    <row r="7750" spans="1:7" x14ac:dyDescent="0.3">
      <c r="A7750" t="s">
        <v>971</v>
      </c>
      <c r="B7750" t="s">
        <v>36</v>
      </c>
      <c r="C7750" t="s">
        <v>24</v>
      </c>
      <c r="D7750" t="s">
        <v>14</v>
      </c>
      <c r="E7750" s="68">
        <v>1556</v>
      </c>
      <c r="F7750" s="68">
        <v>1452</v>
      </c>
      <c r="G7750" s="68">
        <v>3008</v>
      </c>
    </row>
    <row r="7751" spans="1:7" x14ac:dyDescent="0.3">
      <c r="A7751" t="s">
        <v>971</v>
      </c>
      <c r="B7751" t="s">
        <v>36</v>
      </c>
      <c r="C7751" t="s">
        <v>24</v>
      </c>
      <c r="D7751" t="s">
        <v>15</v>
      </c>
      <c r="E7751" s="68">
        <v>1357</v>
      </c>
      <c r="F7751" s="68">
        <v>1359</v>
      </c>
      <c r="G7751" s="68">
        <v>2716</v>
      </c>
    </row>
    <row r="7752" spans="1:7" x14ac:dyDescent="0.3">
      <c r="A7752" t="s">
        <v>971</v>
      </c>
      <c r="B7752" t="s">
        <v>36</v>
      </c>
      <c r="C7752" t="s">
        <v>24</v>
      </c>
      <c r="D7752" t="s">
        <v>16</v>
      </c>
      <c r="E7752" s="68">
        <v>1184</v>
      </c>
      <c r="F7752" s="68">
        <v>1189</v>
      </c>
      <c r="G7752" s="68">
        <v>2373</v>
      </c>
    </row>
    <row r="7753" spans="1:7" x14ac:dyDescent="0.3">
      <c r="A7753" t="s">
        <v>971</v>
      </c>
      <c r="B7753" t="s">
        <v>36</v>
      </c>
      <c r="C7753" t="s">
        <v>24</v>
      </c>
      <c r="D7753" t="s">
        <v>17</v>
      </c>
      <c r="E7753" s="68">
        <v>1029</v>
      </c>
      <c r="F7753" s="68">
        <v>993</v>
      </c>
      <c r="G7753" s="68">
        <v>2022</v>
      </c>
    </row>
    <row r="7754" spans="1:7" x14ac:dyDescent="0.3">
      <c r="A7754" t="s">
        <v>971</v>
      </c>
      <c r="B7754" t="s">
        <v>36</v>
      </c>
      <c r="C7754" t="s">
        <v>24</v>
      </c>
      <c r="D7754" t="s">
        <v>18</v>
      </c>
      <c r="E7754" s="68">
        <v>988</v>
      </c>
      <c r="F7754" s="68">
        <v>967</v>
      </c>
      <c r="G7754" s="68">
        <v>1955</v>
      </c>
    </row>
    <row r="7755" spans="1:7" x14ac:dyDescent="0.3">
      <c r="A7755" t="s">
        <v>971</v>
      </c>
      <c r="B7755" t="s">
        <v>36</v>
      </c>
      <c r="C7755" t="s">
        <v>24</v>
      </c>
      <c r="D7755" t="s">
        <v>19</v>
      </c>
      <c r="E7755" s="68">
        <v>875</v>
      </c>
      <c r="F7755" s="68">
        <v>837</v>
      </c>
      <c r="G7755" s="68">
        <v>1712</v>
      </c>
    </row>
    <row r="7756" spans="1:7" x14ac:dyDescent="0.3">
      <c r="A7756" t="s">
        <v>971</v>
      </c>
      <c r="B7756" t="s">
        <v>36</v>
      </c>
      <c r="C7756" t="s">
        <v>24</v>
      </c>
      <c r="D7756" t="s">
        <v>20</v>
      </c>
      <c r="E7756" s="68">
        <v>713</v>
      </c>
      <c r="F7756" s="68">
        <v>660</v>
      </c>
      <c r="G7756" s="68">
        <v>1373</v>
      </c>
    </row>
    <row r="7757" spans="1:7" x14ac:dyDescent="0.3">
      <c r="A7757" t="s">
        <v>971</v>
      </c>
      <c r="B7757" t="s">
        <v>36</v>
      </c>
      <c r="C7757" t="s">
        <v>24</v>
      </c>
      <c r="D7757" t="s">
        <v>21</v>
      </c>
      <c r="E7757" s="68">
        <v>460</v>
      </c>
      <c r="F7757" s="68">
        <v>447</v>
      </c>
      <c r="G7757" s="68">
        <v>907</v>
      </c>
    </row>
    <row r="7758" spans="1:7" x14ac:dyDescent="0.3">
      <c r="A7758" t="s">
        <v>971</v>
      </c>
      <c r="B7758" t="s">
        <v>36</v>
      </c>
      <c r="C7758" t="s">
        <v>24</v>
      </c>
      <c r="D7758" t="s">
        <v>22</v>
      </c>
      <c r="E7758" s="68">
        <v>361</v>
      </c>
      <c r="F7758" s="68">
        <v>329</v>
      </c>
      <c r="G7758" s="68">
        <v>690</v>
      </c>
    </row>
    <row r="7759" spans="1:7" x14ac:dyDescent="0.3">
      <c r="A7759" t="s">
        <v>971</v>
      </c>
      <c r="B7759" t="s">
        <v>36</v>
      </c>
      <c r="C7759" t="s">
        <v>24</v>
      </c>
      <c r="D7759" t="s">
        <v>23</v>
      </c>
      <c r="E7759" s="68">
        <v>460</v>
      </c>
      <c r="F7759" s="68">
        <v>383</v>
      </c>
      <c r="G7759" s="68">
        <v>843</v>
      </c>
    </row>
    <row r="7760" spans="1:7" x14ac:dyDescent="0.3">
      <c r="A7760" t="s">
        <v>1513</v>
      </c>
      <c r="B7760" t="s">
        <v>38</v>
      </c>
      <c r="C7760" t="s">
        <v>6</v>
      </c>
      <c r="D7760" t="s">
        <v>7</v>
      </c>
      <c r="E7760" s="68">
        <v>20</v>
      </c>
      <c r="F7760" s="68">
        <v>20</v>
      </c>
      <c r="G7760" s="68">
        <v>40</v>
      </c>
    </row>
    <row r="7761" spans="1:7" x14ac:dyDescent="0.3">
      <c r="A7761" t="s">
        <v>1513</v>
      </c>
      <c r="B7761" t="s">
        <v>38</v>
      </c>
      <c r="C7761" t="s">
        <v>6</v>
      </c>
      <c r="D7761" t="s">
        <v>8</v>
      </c>
      <c r="E7761" s="68">
        <v>31</v>
      </c>
      <c r="F7761" s="68">
        <v>20</v>
      </c>
      <c r="G7761" s="68">
        <v>51</v>
      </c>
    </row>
    <row r="7762" spans="1:7" x14ac:dyDescent="0.3">
      <c r="A7762" t="s">
        <v>1513</v>
      </c>
      <c r="B7762" t="s">
        <v>38</v>
      </c>
      <c r="C7762" t="s">
        <v>6</v>
      </c>
      <c r="D7762" t="s">
        <v>9</v>
      </c>
      <c r="E7762" s="68">
        <v>24</v>
      </c>
      <c r="F7762" s="68">
        <v>41</v>
      </c>
      <c r="G7762" s="68">
        <v>65</v>
      </c>
    </row>
    <row r="7763" spans="1:7" x14ac:dyDescent="0.3">
      <c r="A7763" t="s">
        <v>1513</v>
      </c>
      <c r="B7763" t="s">
        <v>38</v>
      </c>
      <c r="C7763" t="s">
        <v>6</v>
      </c>
      <c r="D7763" t="s">
        <v>10</v>
      </c>
      <c r="E7763" s="68">
        <v>92</v>
      </c>
      <c r="F7763" s="68">
        <v>147</v>
      </c>
      <c r="G7763" s="68">
        <v>239</v>
      </c>
    </row>
    <row r="7764" spans="1:7" x14ac:dyDescent="0.3">
      <c r="A7764" t="s">
        <v>1513</v>
      </c>
      <c r="B7764" t="s">
        <v>38</v>
      </c>
      <c r="C7764" t="s">
        <v>6</v>
      </c>
      <c r="D7764" t="s">
        <v>11</v>
      </c>
      <c r="E7764" s="68">
        <v>246</v>
      </c>
      <c r="F7764" s="68">
        <v>333</v>
      </c>
      <c r="G7764" s="68">
        <v>579</v>
      </c>
    </row>
    <row r="7765" spans="1:7" x14ac:dyDescent="0.3">
      <c r="A7765" t="s">
        <v>1513</v>
      </c>
      <c r="B7765" t="s">
        <v>38</v>
      </c>
      <c r="C7765" t="s">
        <v>6</v>
      </c>
      <c r="D7765" t="s">
        <v>12</v>
      </c>
      <c r="E7765" s="68">
        <v>230</v>
      </c>
      <c r="F7765" s="68">
        <v>289</v>
      </c>
      <c r="G7765" s="68">
        <v>519</v>
      </c>
    </row>
    <row r="7766" spans="1:7" x14ac:dyDescent="0.3">
      <c r="A7766" t="s">
        <v>1513</v>
      </c>
      <c r="B7766" t="s">
        <v>38</v>
      </c>
      <c r="C7766" t="s">
        <v>6</v>
      </c>
      <c r="D7766" t="s">
        <v>13</v>
      </c>
      <c r="E7766" s="68">
        <v>182</v>
      </c>
      <c r="F7766" s="68">
        <v>214</v>
      </c>
      <c r="G7766" s="68">
        <v>396</v>
      </c>
    </row>
    <row r="7767" spans="1:7" x14ac:dyDescent="0.3">
      <c r="A7767" t="s">
        <v>1513</v>
      </c>
      <c r="B7767" t="s">
        <v>38</v>
      </c>
      <c r="C7767" t="s">
        <v>6</v>
      </c>
      <c r="D7767" t="s">
        <v>14</v>
      </c>
      <c r="E7767" s="68">
        <v>108</v>
      </c>
      <c r="F7767" s="68">
        <v>105</v>
      </c>
      <c r="G7767" s="68">
        <v>213</v>
      </c>
    </row>
    <row r="7768" spans="1:7" x14ac:dyDescent="0.3">
      <c r="A7768" t="s">
        <v>1513</v>
      </c>
      <c r="B7768" t="s">
        <v>38</v>
      </c>
      <c r="C7768" t="s">
        <v>6</v>
      </c>
      <c r="D7768" t="s">
        <v>15</v>
      </c>
      <c r="E7768" s="68">
        <v>98</v>
      </c>
      <c r="F7768" s="68">
        <v>111</v>
      </c>
      <c r="G7768" s="68">
        <v>209</v>
      </c>
    </row>
    <row r="7769" spans="1:7" x14ac:dyDescent="0.3">
      <c r="A7769" t="s">
        <v>1513</v>
      </c>
      <c r="B7769" t="s">
        <v>38</v>
      </c>
      <c r="C7769" t="s">
        <v>6</v>
      </c>
      <c r="D7769" t="s">
        <v>16</v>
      </c>
      <c r="E7769" s="68">
        <v>86</v>
      </c>
      <c r="F7769" s="68">
        <v>106</v>
      </c>
      <c r="G7769" s="68">
        <v>192</v>
      </c>
    </row>
    <row r="7770" spans="1:7" x14ac:dyDescent="0.3">
      <c r="A7770" t="s">
        <v>1513</v>
      </c>
      <c r="B7770" t="s">
        <v>38</v>
      </c>
      <c r="C7770" t="s">
        <v>6</v>
      </c>
      <c r="D7770" t="s">
        <v>17</v>
      </c>
      <c r="E7770" s="68">
        <v>50</v>
      </c>
      <c r="F7770" s="68">
        <v>82</v>
      </c>
      <c r="G7770" s="68">
        <v>132</v>
      </c>
    </row>
    <row r="7771" spans="1:7" x14ac:dyDescent="0.3">
      <c r="A7771" t="s">
        <v>1513</v>
      </c>
      <c r="B7771" t="s">
        <v>38</v>
      </c>
      <c r="C7771" t="s">
        <v>6</v>
      </c>
      <c r="D7771" t="s">
        <v>18</v>
      </c>
      <c r="E7771" s="68">
        <v>33</v>
      </c>
      <c r="F7771" s="68">
        <v>76</v>
      </c>
      <c r="G7771" s="68">
        <v>109</v>
      </c>
    </row>
    <row r="7772" spans="1:7" x14ac:dyDescent="0.3">
      <c r="A7772" t="s">
        <v>1513</v>
      </c>
      <c r="B7772" t="s">
        <v>38</v>
      </c>
      <c r="C7772" t="s">
        <v>6</v>
      </c>
      <c r="D7772" t="s">
        <v>19</v>
      </c>
      <c r="E7772" s="68">
        <v>35</v>
      </c>
      <c r="F7772" s="68">
        <v>49</v>
      </c>
      <c r="G7772" s="68">
        <v>84</v>
      </c>
    </row>
    <row r="7773" spans="1:7" x14ac:dyDescent="0.3">
      <c r="A7773" t="s">
        <v>1513</v>
      </c>
      <c r="B7773" t="s">
        <v>38</v>
      </c>
      <c r="C7773" t="s">
        <v>6</v>
      </c>
      <c r="D7773" t="s">
        <v>20</v>
      </c>
      <c r="E7773" s="68">
        <v>24</v>
      </c>
      <c r="F7773" s="68">
        <v>65</v>
      </c>
      <c r="G7773" s="68">
        <v>89</v>
      </c>
    </row>
    <row r="7774" spans="1:7" x14ac:dyDescent="0.3">
      <c r="A7774" t="s">
        <v>1513</v>
      </c>
      <c r="B7774" t="s">
        <v>38</v>
      </c>
      <c r="C7774" t="s">
        <v>6</v>
      </c>
      <c r="D7774" t="s">
        <v>21</v>
      </c>
      <c r="E7774" s="68">
        <v>11</v>
      </c>
      <c r="F7774" s="68">
        <v>26</v>
      </c>
      <c r="G7774" s="68">
        <v>37</v>
      </c>
    </row>
    <row r="7775" spans="1:7" x14ac:dyDescent="0.3">
      <c r="A7775" t="s">
        <v>1513</v>
      </c>
      <c r="B7775" t="s">
        <v>38</v>
      </c>
      <c r="C7775" t="s">
        <v>6</v>
      </c>
      <c r="D7775" t="s">
        <v>22</v>
      </c>
      <c r="E7775" s="68">
        <v>7</v>
      </c>
      <c r="F7775" s="68">
        <v>10</v>
      </c>
      <c r="G7775" s="68">
        <v>17</v>
      </c>
    </row>
    <row r="7776" spans="1:7" x14ac:dyDescent="0.3">
      <c r="A7776" t="s">
        <v>1513</v>
      </c>
      <c r="B7776" t="s">
        <v>38</v>
      </c>
      <c r="C7776" t="s">
        <v>6</v>
      </c>
      <c r="D7776" t="s">
        <v>23</v>
      </c>
      <c r="E7776" s="68">
        <v>7</v>
      </c>
      <c r="F7776" s="68">
        <v>4</v>
      </c>
      <c r="G7776" s="68">
        <v>11</v>
      </c>
    </row>
    <row r="7777" spans="1:7" x14ac:dyDescent="0.3">
      <c r="A7777" t="s">
        <v>1513</v>
      </c>
      <c r="B7777" t="s">
        <v>38</v>
      </c>
      <c r="C7777" t="s">
        <v>24</v>
      </c>
      <c r="D7777" t="s">
        <v>7</v>
      </c>
      <c r="E7777" s="68">
        <v>1972</v>
      </c>
      <c r="F7777" s="68">
        <v>1974</v>
      </c>
      <c r="G7777" s="68">
        <v>3946</v>
      </c>
    </row>
    <row r="7778" spans="1:7" x14ac:dyDescent="0.3">
      <c r="A7778" t="s">
        <v>1513</v>
      </c>
      <c r="B7778" t="s">
        <v>38</v>
      </c>
      <c r="C7778" t="s">
        <v>24</v>
      </c>
      <c r="D7778" t="s">
        <v>8</v>
      </c>
      <c r="E7778" s="68">
        <v>2687</v>
      </c>
      <c r="F7778" s="68">
        <v>2842</v>
      </c>
      <c r="G7778" s="68">
        <v>5529</v>
      </c>
    </row>
    <row r="7779" spans="1:7" x14ac:dyDescent="0.3">
      <c r="A7779" t="s">
        <v>1513</v>
      </c>
      <c r="B7779" t="s">
        <v>38</v>
      </c>
      <c r="C7779" t="s">
        <v>24</v>
      </c>
      <c r="D7779" t="s">
        <v>9</v>
      </c>
      <c r="E7779" s="68">
        <v>3749</v>
      </c>
      <c r="F7779" s="68">
        <v>4050</v>
      </c>
      <c r="G7779" s="68">
        <v>7799</v>
      </c>
    </row>
    <row r="7780" spans="1:7" x14ac:dyDescent="0.3">
      <c r="A7780" t="s">
        <v>1513</v>
      </c>
      <c r="B7780" t="s">
        <v>38</v>
      </c>
      <c r="C7780" t="s">
        <v>24</v>
      </c>
      <c r="D7780" t="s">
        <v>10</v>
      </c>
      <c r="E7780" s="68">
        <v>4227</v>
      </c>
      <c r="F7780" s="68">
        <v>4511</v>
      </c>
      <c r="G7780" s="68">
        <v>8738</v>
      </c>
    </row>
    <row r="7781" spans="1:7" x14ac:dyDescent="0.3">
      <c r="A7781" t="s">
        <v>1513</v>
      </c>
      <c r="B7781" t="s">
        <v>38</v>
      </c>
      <c r="C7781" t="s">
        <v>24</v>
      </c>
      <c r="D7781" t="s">
        <v>11</v>
      </c>
      <c r="E7781" s="68">
        <v>2686</v>
      </c>
      <c r="F7781" s="68">
        <v>2741</v>
      </c>
      <c r="G7781" s="68">
        <v>5427</v>
      </c>
    </row>
    <row r="7782" spans="1:7" x14ac:dyDescent="0.3">
      <c r="A7782" t="s">
        <v>1513</v>
      </c>
      <c r="B7782" t="s">
        <v>38</v>
      </c>
      <c r="C7782" t="s">
        <v>24</v>
      </c>
      <c r="D7782" t="s">
        <v>12</v>
      </c>
      <c r="E7782" s="68">
        <v>2502</v>
      </c>
      <c r="F7782" s="68">
        <v>2735</v>
      </c>
      <c r="G7782" s="68">
        <v>5237</v>
      </c>
    </row>
    <row r="7783" spans="1:7" x14ac:dyDescent="0.3">
      <c r="A7783" t="s">
        <v>1513</v>
      </c>
      <c r="B7783" t="s">
        <v>38</v>
      </c>
      <c r="C7783" t="s">
        <v>24</v>
      </c>
      <c r="D7783" t="s">
        <v>13</v>
      </c>
      <c r="E7783" s="68">
        <v>2525</v>
      </c>
      <c r="F7783" s="68">
        <v>2321</v>
      </c>
      <c r="G7783" s="68">
        <v>4846</v>
      </c>
    </row>
    <row r="7784" spans="1:7" x14ac:dyDescent="0.3">
      <c r="A7784" t="s">
        <v>1513</v>
      </c>
      <c r="B7784" t="s">
        <v>38</v>
      </c>
      <c r="C7784" t="s">
        <v>24</v>
      </c>
      <c r="D7784" t="s">
        <v>14</v>
      </c>
      <c r="E7784" s="68">
        <v>1934</v>
      </c>
      <c r="F7784" s="68">
        <v>1817</v>
      </c>
      <c r="G7784" s="68">
        <v>3751</v>
      </c>
    </row>
    <row r="7785" spans="1:7" x14ac:dyDescent="0.3">
      <c r="A7785" t="s">
        <v>1513</v>
      </c>
      <c r="B7785" t="s">
        <v>38</v>
      </c>
      <c r="C7785" t="s">
        <v>24</v>
      </c>
      <c r="D7785" t="s">
        <v>15</v>
      </c>
      <c r="E7785" s="68">
        <v>2567</v>
      </c>
      <c r="F7785" s="68">
        <v>2444</v>
      </c>
      <c r="G7785" s="68">
        <v>5011</v>
      </c>
    </row>
    <row r="7786" spans="1:7" x14ac:dyDescent="0.3">
      <c r="A7786" t="s">
        <v>1513</v>
      </c>
      <c r="B7786" t="s">
        <v>38</v>
      </c>
      <c r="C7786" t="s">
        <v>24</v>
      </c>
      <c r="D7786" t="s">
        <v>16</v>
      </c>
      <c r="E7786" s="68">
        <v>2580</v>
      </c>
      <c r="F7786" s="68">
        <v>2609</v>
      </c>
      <c r="G7786" s="68">
        <v>5189</v>
      </c>
    </row>
    <row r="7787" spans="1:7" x14ac:dyDescent="0.3">
      <c r="A7787" t="s">
        <v>1513</v>
      </c>
      <c r="B7787" t="s">
        <v>38</v>
      </c>
      <c r="C7787" t="s">
        <v>24</v>
      </c>
      <c r="D7787" t="s">
        <v>17</v>
      </c>
      <c r="E7787" s="68">
        <v>2199</v>
      </c>
      <c r="F7787" s="68">
        <v>2429</v>
      </c>
      <c r="G7787" s="68">
        <v>4628</v>
      </c>
    </row>
    <row r="7788" spans="1:7" x14ac:dyDescent="0.3">
      <c r="A7788" t="s">
        <v>1513</v>
      </c>
      <c r="B7788" t="s">
        <v>38</v>
      </c>
      <c r="C7788" t="s">
        <v>24</v>
      </c>
      <c r="D7788" t="s">
        <v>18</v>
      </c>
      <c r="E7788" s="68">
        <v>2062</v>
      </c>
      <c r="F7788" s="68">
        <v>2555</v>
      </c>
      <c r="G7788" s="68">
        <v>4617</v>
      </c>
    </row>
    <row r="7789" spans="1:7" x14ac:dyDescent="0.3">
      <c r="A7789" t="s">
        <v>1513</v>
      </c>
      <c r="B7789" t="s">
        <v>38</v>
      </c>
      <c r="C7789" t="s">
        <v>24</v>
      </c>
      <c r="D7789" t="s">
        <v>19</v>
      </c>
      <c r="E7789" s="68">
        <v>2415</v>
      </c>
      <c r="F7789" s="68">
        <v>3127</v>
      </c>
      <c r="G7789" s="68">
        <v>5542</v>
      </c>
    </row>
    <row r="7790" spans="1:7" x14ac:dyDescent="0.3">
      <c r="A7790" t="s">
        <v>1513</v>
      </c>
      <c r="B7790" t="s">
        <v>38</v>
      </c>
      <c r="C7790" t="s">
        <v>24</v>
      </c>
      <c r="D7790" t="s">
        <v>20</v>
      </c>
      <c r="E7790" s="68">
        <v>1943</v>
      </c>
      <c r="F7790" s="68">
        <v>2559</v>
      </c>
      <c r="G7790" s="68">
        <v>4502</v>
      </c>
    </row>
    <row r="7791" spans="1:7" x14ac:dyDescent="0.3">
      <c r="A7791" t="s">
        <v>1513</v>
      </c>
      <c r="B7791" t="s">
        <v>38</v>
      </c>
      <c r="C7791" t="s">
        <v>24</v>
      </c>
      <c r="D7791" t="s">
        <v>21</v>
      </c>
      <c r="E7791" s="68">
        <v>1330</v>
      </c>
      <c r="F7791" s="68">
        <v>1935</v>
      </c>
      <c r="G7791" s="68">
        <v>3265</v>
      </c>
    </row>
    <row r="7792" spans="1:7" x14ac:dyDescent="0.3">
      <c r="A7792" t="s">
        <v>1513</v>
      </c>
      <c r="B7792" t="s">
        <v>38</v>
      </c>
      <c r="C7792" t="s">
        <v>24</v>
      </c>
      <c r="D7792" t="s">
        <v>22</v>
      </c>
      <c r="E7792" s="68">
        <v>1033</v>
      </c>
      <c r="F7792" s="68">
        <v>1273</v>
      </c>
      <c r="G7792" s="68">
        <v>2306</v>
      </c>
    </row>
    <row r="7793" spans="1:7" x14ac:dyDescent="0.3">
      <c r="A7793" t="s">
        <v>1513</v>
      </c>
      <c r="B7793" t="s">
        <v>38</v>
      </c>
      <c r="C7793" t="s">
        <v>24</v>
      </c>
      <c r="D7793" t="s">
        <v>23</v>
      </c>
      <c r="E7793" s="68">
        <v>1259</v>
      </c>
      <c r="F7793" s="68">
        <v>1476</v>
      </c>
      <c r="G7793" s="68">
        <v>2735</v>
      </c>
    </row>
    <row r="7794" spans="1:7" x14ac:dyDescent="0.3">
      <c r="A7794" t="s">
        <v>1513</v>
      </c>
      <c r="B7794" t="s">
        <v>31</v>
      </c>
      <c r="C7794" t="s">
        <v>6</v>
      </c>
      <c r="D7794" t="s">
        <v>7</v>
      </c>
      <c r="E7794" s="68"/>
      <c r="F7794" s="68">
        <v>3</v>
      </c>
      <c r="G7794" s="68">
        <v>3</v>
      </c>
    </row>
    <row r="7795" spans="1:7" x14ac:dyDescent="0.3">
      <c r="A7795" t="s">
        <v>1513</v>
      </c>
      <c r="B7795" t="s">
        <v>31</v>
      </c>
      <c r="C7795" t="s">
        <v>6</v>
      </c>
      <c r="D7795" t="s">
        <v>8</v>
      </c>
      <c r="E7795" s="68"/>
      <c r="F7795" s="68">
        <v>3</v>
      </c>
      <c r="G7795" s="68">
        <v>3</v>
      </c>
    </row>
    <row r="7796" spans="1:7" x14ac:dyDescent="0.3">
      <c r="A7796" t="s">
        <v>1513</v>
      </c>
      <c r="B7796" t="s">
        <v>31</v>
      </c>
      <c r="C7796" t="s">
        <v>6</v>
      </c>
      <c r="D7796" t="s">
        <v>9</v>
      </c>
      <c r="E7796" s="68">
        <v>1</v>
      </c>
      <c r="F7796" s="68">
        <v>1</v>
      </c>
      <c r="G7796" s="68">
        <v>2</v>
      </c>
    </row>
    <row r="7797" spans="1:7" x14ac:dyDescent="0.3">
      <c r="A7797" t="s">
        <v>1513</v>
      </c>
      <c r="B7797" t="s">
        <v>31</v>
      </c>
      <c r="C7797" t="s">
        <v>6</v>
      </c>
      <c r="D7797" t="s">
        <v>10</v>
      </c>
      <c r="E7797" s="68">
        <v>4</v>
      </c>
      <c r="F7797" s="68">
        <v>6</v>
      </c>
      <c r="G7797" s="68">
        <v>10</v>
      </c>
    </row>
    <row r="7798" spans="1:7" x14ac:dyDescent="0.3">
      <c r="A7798" t="s">
        <v>1513</v>
      </c>
      <c r="B7798" t="s">
        <v>31</v>
      </c>
      <c r="C7798" t="s">
        <v>6</v>
      </c>
      <c r="D7798" t="s">
        <v>11</v>
      </c>
      <c r="E7798" s="68">
        <v>3</v>
      </c>
      <c r="F7798" s="68">
        <v>3</v>
      </c>
      <c r="G7798" s="68">
        <v>6</v>
      </c>
    </row>
    <row r="7799" spans="1:7" x14ac:dyDescent="0.3">
      <c r="A7799" t="s">
        <v>1513</v>
      </c>
      <c r="B7799" t="s">
        <v>31</v>
      </c>
      <c r="C7799" t="s">
        <v>6</v>
      </c>
      <c r="D7799" t="s">
        <v>12</v>
      </c>
      <c r="E7799" s="68">
        <v>6</v>
      </c>
      <c r="F7799" s="68">
        <v>4</v>
      </c>
      <c r="G7799" s="68">
        <v>10</v>
      </c>
    </row>
    <row r="7800" spans="1:7" x14ac:dyDescent="0.3">
      <c r="A7800" t="s">
        <v>1513</v>
      </c>
      <c r="B7800" t="s">
        <v>31</v>
      </c>
      <c r="C7800" t="s">
        <v>6</v>
      </c>
      <c r="D7800" t="s">
        <v>13</v>
      </c>
      <c r="E7800" s="68">
        <v>5</v>
      </c>
      <c r="F7800" s="68">
        <v>8</v>
      </c>
      <c r="G7800" s="68">
        <v>13</v>
      </c>
    </row>
    <row r="7801" spans="1:7" x14ac:dyDescent="0.3">
      <c r="A7801" t="s">
        <v>1513</v>
      </c>
      <c r="B7801" t="s">
        <v>31</v>
      </c>
      <c r="C7801" t="s">
        <v>6</v>
      </c>
      <c r="D7801" t="s">
        <v>14</v>
      </c>
      <c r="E7801" s="68">
        <v>3</v>
      </c>
      <c r="F7801" s="68">
        <v>1</v>
      </c>
      <c r="G7801" s="68">
        <v>4</v>
      </c>
    </row>
    <row r="7802" spans="1:7" x14ac:dyDescent="0.3">
      <c r="A7802" t="s">
        <v>1513</v>
      </c>
      <c r="B7802" t="s">
        <v>31</v>
      </c>
      <c r="C7802" t="s">
        <v>6</v>
      </c>
      <c r="D7802" t="s">
        <v>15</v>
      </c>
      <c r="E7802" s="68">
        <v>3</v>
      </c>
      <c r="F7802" s="68">
        <v>9</v>
      </c>
      <c r="G7802" s="68">
        <v>12</v>
      </c>
    </row>
    <row r="7803" spans="1:7" x14ac:dyDescent="0.3">
      <c r="A7803" t="s">
        <v>1513</v>
      </c>
      <c r="B7803" t="s">
        <v>31</v>
      </c>
      <c r="C7803" t="s">
        <v>6</v>
      </c>
      <c r="D7803" t="s">
        <v>16</v>
      </c>
      <c r="E7803" s="68">
        <v>2</v>
      </c>
      <c r="F7803" s="68">
        <v>1</v>
      </c>
      <c r="G7803" s="68">
        <v>3</v>
      </c>
    </row>
    <row r="7804" spans="1:7" x14ac:dyDescent="0.3">
      <c r="A7804" t="s">
        <v>1513</v>
      </c>
      <c r="B7804" t="s">
        <v>31</v>
      </c>
      <c r="C7804" t="s">
        <v>6</v>
      </c>
      <c r="D7804" t="s">
        <v>17</v>
      </c>
      <c r="E7804" s="68">
        <v>1</v>
      </c>
      <c r="F7804" s="68">
        <v>1</v>
      </c>
      <c r="G7804" s="68">
        <v>2</v>
      </c>
    </row>
    <row r="7805" spans="1:7" x14ac:dyDescent="0.3">
      <c r="A7805" t="s">
        <v>1513</v>
      </c>
      <c r="B7805" t="s">
        <v>31</v>
      </c>
      <c r="C7805" t="s">
        <v>6</v>
      </c>
      <c r="D7805" t="s">
        <v>18</v>
      </c>
      <c r="E7805" s="68">
        <v>1</v>
      </c>
      <c r="F7805" s="68"/>
      <c r="G7805" s="68">
        <v>1</v>
      </c>
    </row>
    <row r="7806" spans="1:7" x14ac:dyDescent="0.3">
      <c r="A7806" t="s">
        <v>1513</v>
      </c>
      <c r="B7806" t="s">
        <v>31</v>
      </c>
      <c r="C7806" t="s">
        <v>6</v>
      </c>
      <c r="D7806" t="s">
        <v>19</v>
      </c>
      <c r="E7806" s="68"/>
      <c r="F7806" s="68">
        <v>1</v>
      </c>
      <c r="G7806" s="68">
        <v>1</v>
      </c>
    </row>
    <row r="7807" spans="1:7" x14ac:dyDescent="0.3">
      <c r="A7807" t="s">
        <v>1513</v>
      </c>
      <c r="B7807" t="s">
        <v>31</v>
      </c>
      <c r="C7807" t="s">
        <v>6</v>
      </c>
      <c r="D7807" t="s">
        <v>20</v>
      </c>
      <c r="E7807" s="68"/>
      <c r="F7807" s="68">
        <v>1</v>
      </c>
      <c r="G7807" s="68">
        <v>1</v>
      </c>
    </row>
    <row r="7808" spans="1:7" x14ac:dyDescent="0.3">
      <c r="A7808" t="s">
        <v>1513</v>
      </c>
      <c r="B7808" t="s">
        <v>31</v>
      </c>
      <c r="C7808" t="s">
        <v>6</v>
      </c>
      <c r="D7808" t="s">
        <v>21</v>
      </c>
      <c r="E7808" s="68">
        <v>1</v>
      </c>
      <c r="F7808" s="68"/>
      <c r="G7808" s="68">
        <v>1</v>
      </c>
    </row>
    <row r="7809" spans="1:7" x14ac:dyDescent="0.3">
      <c r="A7809" t="s">
        <v>1513</v>
      </c>
      <c r="B7809" t="s">
        <v>31</v>
      </c>
      <c r="C7809" t="s">
        <v>24</v>
      </c>
      <c r="D7809" t="s">
        <v>7</v>
      </c>
      <c r="E7809" s="68">
        <v>56</v>
      </c>
      <c r="F7809" s="68">
        <v>51</v>
      </c>
      <c r="G7809" s="68">
        <v>107</v>
      </c>
    </row>
    <row r="7810" spans="1:7" x14ac:dyDescent="0.3">
      <c r="A7810" t="s">
        <v>1513</v>
      </c>
      <c r="B7810" t="s">
        <v>31</v>
      </c>
      <c r="C7810" t="s">
        <v>24</v>
      </c>
      <c r="D7810" t="s">
        <v>8</v>
      </c>
      <c r="E7810" s="68">
        <v>132</v>
      </c>
      <c r="F7810" s="68">
        <v>123</v>
      </c>
      <c r="G7810" s="68">
        <v>255</v>
      </c>
    </row>
    <row r="7811" spans="1:7" x14ac:dyDescent="0.3">
      <c r="A7811" t="s">
        <v>1513</v>
      </c>
      <c r="B7811" t="s">
        <v>31</v>
      </c>
      <c r="C7811" t="s">
        <v>24</v>
      </c>
      <c r="D7811" t="s">
        <v>9</v>
      </c>
      <c r="E7811" s="68">
        <v>165</v>
      </c>
      <c r="F7811" s="68">
        <v>168</v>
      </c>
      <c r="G7811" s="68">
        <v>333</v>
      </c>
    </row>
    <row r="7812" spans="1:7" x14ac:dyDescent="0.3">
      <c r="A7812" t="s">
        <v>1513</v>
      </c>
      <c r="B7812" t="s">
        <v>31</v>
      </c>
      <c r="C7812" t="s">
        <v>24</v>
      </c>
      <c r="D7812" t="s">
        <v>10</v>
      </c>
      <c r="E7812" s="68">
        <v>146</v>
      </c>
      <c r="F7812" s="68">
        <v>166</v>
      </c>
      <c r="G7812" s="68">
        <v>312</v>
      </c>
    </row>
    <row r="7813" spans="1:7" x14ac:dyDescent="0.3">
      <c r="A7813" t="s">
        <v>1513</v>
      </c>
      <c r="B7813" t="s">
        <v>31</v>
      </c>
      <c r="C7813" t="s">
        <v>24</v>
      </c>
      <c r="D7813" t="s">
        <v>11</v>
      </c>
      <c r="E7813" s="68">
        <v>70</v>
      </c>
      <c r="F7813" s="68">
        <v>62</v>
      </c>
      <c r="G7813" s="68">
        <v>132</v>
      </c>
    </row>
    <row r="7814" spans="1:7" x14ac:dyDescent="0.3">
      <c r="A7814" t="s">
        <v>1513</v>
      </c>
      <c r="B7814" t="s">
        <v>31</v>
      </c>
      <c r="C7814" t="s">
        <v>24</v>
      </c>
      <c r="D7814" t="s">
        <v>12</v>
      </c>
      <c r="E7814" s="68">
        <v>69</v>
      </c>
      <c r="F7814" s="68">
        <v>83</v>
      </c>
      <c r="G7814" s="68">
        <v>152</v>
      </c>
    </row>
    <row r="7815" spans="1:7" x14ac:dyDescent="0.3">
      <c r="A7815" t="s">
        <v>1513</v>
      </c>
      <c r="B7815" t="s">
        <v>31</v>
      </c>
      <c r="C7815" t="s">
        <v>24</v>
      </c>
      <c r="D7815" t="s">
        <v>13</v>
      </c>
      <c r="E7815" s="68">
        <v>73</v>
      </c>
      <c r="F7815" s="68">
        <v>53</v>
      </c>
      <c r="G7815" s="68">
        <v>126</v>
      </c>
    </row>
    <row r="7816" spans="1:7" x14ac:dyDescent="0.3">
      <c r="A7816" t="s">
        <v>1513</v>
      </c>
      <c r="B7816" t="s">
        <v>31</v>
      </c>
      <c r="C7816" t="s">
        <v>24</v>
      </c>
      <c r="D7816" t="s">
        <v>14</v>
      </c>
      <c r="E7816" s="68">
        <v>60</v>
      </c>
      <c r="F7816" s="68">
        <v>36</v>
      </c>
      <c r="G7816" s="68">
        <v>96</v>
      </c>
    </row>
    <row r="7817" spans="1:7" x14ac:dyDescent="0.3">
      <c r="A7817" t="s">
        <v>1513</v>
      </c>
      <c r="B7817" t="s">
        <v>31</v>
      </c>
      <c r="C7817" t="s">
        <v>24</v>
      </c>
      <c r="D7817" t="s">
        <v>15</v>
      </c>
      <c r="E7817" s="68">
        <v>92</v>
      </c>
      <c r="F7817" s="68">
        <v>80</v>
      </c>
      <c r="G7817" s="68">
        <v>172</v>
      </c>
    </row>
    <row r="7818" spans="1:7" x14ac:dyDescent="0.3">
      <c r="A7818" t="s">
        <v>1513</v>
      </c>
      <c r="B7818" t="s">
        <v>31</v>
      </c>
      <c r="C7818" t="s">
        <v>24</v>
      </c>
      <c r="D7818" t="s">
        <v>16</v>
      </c>
      <c r="E7818" s="68">
        <v>81</v>
      </c>
      <c r="F7818" s="68">
        <v>63</v>
      </c>
      <c r="G7818" s="68">
        <v>144</v>
      </c>
    </row>
    <row r="7819" spans="1:7" x14ac:dyDescent="0.3">
      <c r="A7819" t="s">
        <v>1513</v>
      </c>
      <c r="B7819" t="s">
        <v>31</v>
      </c>
      <c r="C7819" t="s">
        <v>24</v>
      </c>
      <c r="D7819" t="s">
        <v>17</v>
      </c>
      <c r="E7819" s="68">
        <v>40</v>
      </c>
      <c r="F7819" s="68">
        <v>29</v>
      </c>
      <c r="G7819" s="68">
        <v>69</v>
      </c>
    </row>
    <row r="7820" spans="1:7" x14ac:dyDescent="0.3">
      <c r="A7820" t="s">
        <v>1513</v>
      </c>
      <c r="B7820" t="s">
        <v>31</v>
      </c>
      <c r="C7820" t="s">
        <v>24</v>
      </c>
      <c r="D7820" t="s">
        <v>18</v>
      </c>
      <c r="E7820" s="68">
        <v>27</v>
      </c>
      <c r="F7820" s="68">
        <v>44</v>
      </c>
      <c r="G7820" s="68">
        <v>71</v>
      </c>
    </row>
    <row r="7821" spans="1:7" x14ac:dyDescent="0.3">
      <c r="A7821" t="s">
        <v>1513</v>
      </c>
      <c r="B7821" t="s">
        <v>31</v>
      </c>
      <c r="C7821" t="s">
        <v>24</v>
      </c>
      <c r="D7821" t="s">
        <v>19</v>
      </c>
      <c r="E7821" s="68">
        <v>28</v>
      </c>
      <c r="F7821" s="68">
        <v>51</v>
      </c>
      <c r="G7821" s="68">
        <v>79</v>
      </c>
    </row>
    <row r="7822" spans="1:7" x14ac:dyDescent="0.3">
      <c r="A7822" t="s">
        <v>1513</v>
      </c>
      <c r="B7822" t="s">
        <v>31</v>
      </c>
      <c r="C7822" t="s">
        <v>24</v>
      </c>
      <c r="D7822" t="s">
        <v>20</v>
      </c>
      <c r="E7822" s="68">
        <v>18</v>
      </c>
      <c r="F7822" s="68">
        <v>40</v>
      </c>
      <c r="G7822" s="68">
        <v>58</v>
      </c>
    </row>
    <row r="7823" spans="1:7" x14ac:dyDescent="0.3">
      <c r="A7823" t="s">
        <v>1513</v>
      </c>
      <c r="B7823" t="s">
        <v>31</v>
      </c>
      <c r="C7823" t="s">
        <v>24</v>
      </c>
      <c r="D7823" t="s">
        <v>21</v>
      </c>
      <c r="E7823" s="68">
        <v>11</v>
      </c>
      <c r="F7823" s="68">
        <v>26</v>
      </c>
      <c r="G7823" s="68">
        <v>37</v>
      </c>
    </row>
    <row r="7824" spans="1:7" x14ac:dyDescent="0.3">
      <c r="A7824" t="s">
        <v>1513</v>
      </c>
      <c r="B7824" t="s">
        <v>31</v>
      </c>
      <c r="C7824" t="s">
        <v>24</v>
      </c>
      <c r="D7824" t="s">
        <v>22</v>
      </c>
      <c r="E7824" s="68">
        <v>5</v>
      </c>
      <c r="F7824" s="68">
        <v>7</v>
      </c>
      <c r="G7824" s="68">
        <v>12</v>
      </c>
    </row>
    <row r="7825" spans="1:7" x14ac:dyDescent="0.3">
      <c r="A7825" t="s">
        <v>1513</v>
      </c>
      <c r="B7825" t="s">
        <v>31</v>
      </c>
      <c r="C7825" t="s">
        <v>24</v>
      </c>
      <c r="D7825" t="s">
        <v>23</v>
      </c>
      <c r="E7825" s="68">
        <v>5</v>
      </c>
      <c r="F7825" s="68">
        <v>7</v>
      </c>
      <c r="G7825" s="68">
        <v>12</v>
      </c>
    </row>
    <row r="7826" spans="1:7" x14ac:dyDescent="0.3">
      <c r="A7826" t="s">
        <v>1513</v>
      </c>
      <c r="B7826" t="s">
        <v>5</v>
      </c>
      <c r="C7826" t="s">
        <v>6</v>
      </c>
      <c r="D7826" t="s">
        <v>7</v>
      </c>
      <c r="E7826" s="68">
        <v>2390</v>
      </c>
      <c r="F7826" s="68">
        <v>2455</v>
      </c>
      <c r="G7826" s="68">
        <v>4845</v>
      </c>
    </row>
    <row r="7827" spans="1:7" x14ac:dyDescent="0.3">
      <c r="A7827" t="s">
        <v>1513</v>
      </c>
      <c r="B7827" t="s">
        <v>5</v>
      </c>
      <c r="C7827" t="s">
        <v>6</v>
      </c>
      <c r="D7827" t="s">
        <v>8</v>
      </c>
      <c r="E7827" s="68">
        <v>3190</v>
      </c>
      <c r="F7827" s="68">
        <v>3325</v>
      </c>
      <c r="G7827" s="68">
        <v>6515</v>
      </c>
    </row>
    <row r="7828" spans="1:7" x14ac:dyDescent="0.3">
      <c r="A7828" t="s">
        <v>1513</v>
      </c>
      <c r="B7828" t="s">
        <v>5</v>
      </c>
      <c r="C7828" t="s">
        <v>6</v>
      </c>
      <c r="D7828" t="s">
        <v>9</v>
      </c>
      <c r="E7828" s="68">
        <v>3968</v>
      </c>
      <c r="F7828" s="68">
        <v>3964</v>
      </c>
      <c r="G7828" s="68">
        <v>7932</v>
      </c>
    </row>
    <row r="7829" spans="1:7" x14ac:dyDescent="0.3">
      <c r="A7829" t="s">
        <v>1513</v>
      </c>
      <c r="B7829" t="s">
        <v>5</v>
      </c>
      <c r="C7829" t="s">
        <v>6</v>
      </c>
      <c r="D7829" t="s">
        <v>10</v>
      </c>
      <c r="E7829" s="68">
        <v>3833</v>
      </c>
      <c r="F7829" s="68">
        <v>3916</v>
      </c>
      <c r="G7829" s="68">
        <v>7749</v>
      </c>
    </row>
    <row r="7830" spans="1:7" x14ac:dyDescent="0.3">
      <c r="A7830" t="s">
        <v>1513</v>
      </c>
      <c r="B7830" t="s">
        <v>5</v>
      </c>
      <c r="C7830" t="s">
        <v>6</v>
      </c>
      <c r="D7830" t="s">
        <v>11</v>
      </c>
      <c r="E7830" s="68">
        <v>3736</v>
      </c>
      <c r="F7830" s="68">
        <v>3449</v>
      </c>
      <c r="G7830" s="68">
        <v>7185</v>
      </c>
    </row>
    <row r="7831" spans="1:7" x14ac:dyDescent="0.3">
      <c r="A7831" t="s">
        <v>1513</v>
      </c>
      <c r="B7831" t="s">
        <v>5</v>
      </c>
      <c r="C7831" t="s">
        <v>6</v>
      </c>
      <c r="D7831" t="s">
        <v>12</v>
      </c>
      <c r="E7831" s="68">
        <v>4552</v>
      </c>
      <c r="F7831" s="68">
        <v>3778</v>
      </c>
      <c r="G7831" s="68">
        <v>8330</v>
      </c>
    </row>
    <row r="7832" spans="1:7" x14ac:dyDescent="0.3">
      <c r="A7832" t="s">
        <v>1513</v>
      </c>
      <c r="B7832" t="s">
        <v>5</v>
      </c>
      <c r="C7832" t="s">
        <v>6</v>
      </c>
      <c r="D7832" t="s">
        <v>13</v>
      </c>
      <c r="E7832" s="68">
        <v>5789</v>
      </c>
      <c r="F7832" s="68">
        <v>4655</v>
      </c>
      <c r="G7832" s="68">
        <v>10444</v>
      </c>
    </row>
    <row r="7833" spans="1:7" x14ac:dyDescent="0.3">
      <c r="A7833" t="s">
        <v>1513</v>
      </c>
      <c r="B7833" t="s">
        <v>5</v>
      </c>
      <c r="C7833" t="s">
        <v>6</v>
      </c>
      <c r="D7833" t="s">
        <v>14</v>
      </c>
      <c r="E7833" s="68">
        <v>5663</v>
      </c>
      <c r="F7833" s="68">
        <v>4729</v>
      </c>
      <c r="G7833" s="68">
        <v>10392</v>
      </c>
    </row>
    <row r="7834" spans="1:7" x14ac:dyDescent="0.3">
      <c r="A7834" t="s">
        <v>1513</v>
      </c>
      <c r="B7834" t="s">
        <v>5</v>
      </c>
      <c r="C7834" t="s">
        <v>6</v>
      </c>
      <c r="D7834" t="s">
        <v>15</v>
      </c>
      <c r="E7834" s="68">
        <v>5442</v>
      </c>
      <c r="F7834" s="68">
        <v>4484</v>
      </c>
      <c r="G7834" s="68">
        <v>9926</v>
      </c>
    </row>
    <row r="7835" spans="1:7" x14ac:dyDescent="0.3">
      <c r="A7835" t="s">
        <v>1513</v>
      </c>
      <c r="B7835" t="s">
        <v>5</v>
      </c>
      <c r="C7835" t="s">
        <v>6</v>
      </c>
      <c r="D7835" t="s">
        <v>16</v>
      </c>
      <c r="E7835" s="68">
        <v>4913</v>
      </c>
      <c r="F7835" s="68">
        <v>4286</v>
      </c>
      <c r="G7835" s="68">
        <v>9199</v>
      </c>
    </row>
    <row r="7836" spans="1:7" x14ac:dyDescent="0.3">
      <c r="A7836" t="s">
        <v>1513</v>
      </c>
      <c r="B7836" t="s">
        <v>5</v>
      </c>
      <c r="C7836" t="s">
        <v>6</v>
      </c>
      <c r="D7836" t="s">
        <v>17</v>
      </c>
      <c r="E7836" s="68">
        <v>4043</v>
      </c>
      <c r="F7836" s="68">
        <v>3598</v>
      </c>
      <c r="G7836" s="68">
        <v>7641</v>
      </c>
    </row>
    <row r="7837" spans="1:7" x14ac:dyDescent="0.3">
      <c r="A7837" t="s">
        <v>1513</v>
      </c>
      <c r="B7837" t="s">
        <v>5</v>
      </c>
      <c r="C7837" t="s">
        <v>6</v>
      </c>
      <c r="D7837" t="s">
        <v>18</v>
      </c>
      <c r="E7837" s="68">
        <v>3932</v>
      </c>
      <c r="F7837" s="68">
        <v>3198</v>
      </c>
      <c r="G7837" s="68">
        <v>7130</v>
      </c>
    </row>
    <row r="7838" spans="1:7" x14ac:dyDescent="0.3">
      <c r="A7838" t="s">
        <v>1513</v>
      </c>
      <c r="B7838" t="s">
        <v>5</v>
      </c>
      <c r="C7838" t="s">
        <v>6</v>
      </c>
      <c r="D7838" t="s">
        <v>19</v>
      </c>
      <c r="E7838" s="68">
        <v>4135</v>
      </c>
      <c r="F7838" s="68">
        <v>3273</v>
      </c>
      <c r="G7838" s="68">
        <v>7408</v>
      </c>
    </row>
    <row r="7839" spans="1:7" x14ac:dyDescent="0.3">
      <c r="A7839" t="s">
        <v>1513</v>
      </c>
      <c r="B7839" t="s">
        <v>5</v>
      </c>
      <c r="C7839" t="s">
        <v>6</v>
      </c>
      <c r="D7839" t="s">
        <v>20</v>
      </c>
      <c r="E7839" s="68">
        <v>3388</v>
      </c>
      <c r="F7839" s="68">
        <v>2734</v>
      </c>
      <c r="G7839" s="68">
        <v>6122</v>
      </c>
    </row>
    <row r="7840" spans="1:7" x14ac:dyDescent="0.3">
      <c r="A7840" t="s">
        <v>1513</v>
      </c>
      <c r="B7840" t="s">
        <v>5</v>
      </c>
      <c r="C7840" t="s">
        <v>6</v>
      </c>
      <c r="D7840" t="s">
        <v>21</v>
      </c>
      <c r="E7840" s="68">
        <v>2488</v>
      </c>
      <c r="F7840" s="68">
        <v>1944</v>
      </c>
      <c r="G7840" s="68">
        <v>4432</v>
      </c>
    </row>
    <row r="7841" spans="1:7" x14ac:dyDescent="0.3">
      <c r="A7841" t="s">
        <v>1513</v>
      </c>
      <c r="B7841" t="s">
        <v>5</v>
      </c>
      <c r="C7841" t="s">
        <v>6</v>
      </c>
      <c r="D7841" t="s">
        <v>22</v>
      </c>
      <c r="E7841" s="68">
        <v>1695</v>
      </c>
      <c r="F7841" s="68">
        <v>1321</v>
      </c>
      <c r="G7841" s="68">
        <v>3016</v>
      </c>
    </row>
    <row r="7842" spans="1:7" x14ac:dyDescent="0.3">
      <c r="A7842" t="s">
        <v>1513</v>
      </c>
      <c r="B7842" t="s">
        <v>5</v>
      </c>
      <c r="C7842" t="s">
        <v>6</v>
      </c>
      <c r="D7842" t="s">
        <v>23</v>
      </c>
      <c r="E7842" s="68">
        <v>2154</v>
      </c>
      <c r="F7842" s="68">
        <v>1322</v>
      </c>
      <c r="G7842" s="68">
        <v>3476</v>
      </c>
    </row>
    <row r="7843" spans="1:7" x14ac:dyDescent="0.3">
      <c r="A7843" t="s">
        <v>1513</v>
      </c>
      <c r="B7843" t="s">
        <v>5</v>
      </c>
      <c r="C7843" t="s">
        <v>24</v>
      </c>
      <c r="D7843" t="s">
        <v>7</v>
      </c>
      <c r="E7843" s="68">
        <v>900</v>
      </c>
      <c r="F7843" s="68">
        <v>978</v>
      </c>
      <c r="G7843" s="68">
        <v>1878</v>
      </c>
    </row>
    <row r="7844" spans="1:7" x14ac:dyDescent="0.3">
      <c r="A7844" t="s">
        <v>1513</v>
      </c>
      <c r="B7844" t="s">
        <v>5</v>
      </c>
      <c r="C7844" t="s">
        <v>24</v>
      </c>
      <c r="D7844" t="s">
        <v>8</v>
      </c>
      <c r="E7844" s="68">
        <v>1441</v>
      </c>
      <c r="F7844" s="68">
        <v>1380</v>
      </c>
      <c r="G7844" s="68">
        <v>2821</v>
      </c>
    </row>
    <row r="7845" spans="1:7" x14ac:dyDescent="0.3">
      <c r="A7845" t="s">
        <v>1513</v>
      </c>
      <c r="B7845" t="s">
        <v>5</v>
      </c>
      <c r="C7845" t="s">
        <v>24</v>
      </c>
      <c r="D7845" t="s">
        <v>9</v>
      </c>
      <c r="E7845" s="68">
        <v>1613</v>
      </c>
      <c r="F7845" s="68">
        <v>1692</v>
      </c>
      <c r="G7845" s="68">
        <v>3305</v>
      </c>
    </row>
    <row r="7846" spans="1:7" x14ac:dyDescent="0.3">
      <c r="A7846" t="s">
        <v>1513</v>
      </c>
      <c r="B7846" t="s">
        <v>5</v>
      </c>
      <c r="C7846" t="s">
        <v>24</v>
      </c>
      <c r="D7846" t="s">
        <v>10</v>
      </c>
      <c r="E7846" s="68">
        <v>1945</v>
      </c>
      <c r="F7846" s="68">
        <v>2125</v>
      </c>
      <c r="G7846" s="68">
        <v>4070</v>
      </c>
    </row>
    <row r="7847" spans="1:7" x14ac:dyDescent="0.3">
      <c r="A7847" t="s">
        <v>1513</v>
      </c>
      <c r="B7847" t="s">
        <v>5</v>
      </c>
      <c r="C7847" t="s">
        <v>24</v>
      </c>
      <c r="D7847" t="s">
        <v>11</v>
      </c>
      <c r="E7847" s="68">
        <v>1708</v>
      </c>
      <c r="F7847" s="68">
        <v>1612</v>
      </c>
      <c r="G7847" s="68">
        <v>3320</v>
      </c>
    </row>
    <row r="7848" spans="1:7" x14ac:dyDescent="0.3">
      <c r="A7848" t="s">
        <v>1513</v>
      </c>
      <c r="B7848" t="s">
        <v>5</v>
      </c>
      <c r="C7848" t="s">
        <v>24</v>
      </c>
      <c r="D7848" t="s">
        <v>12</v>
      </c>
      <c r="E7848" s="68">
        <v>2188</v>
      </c>
      <c r="F7848" s="68">
        <v>1957</v>
      </c>
      <c r="G7848" s="68">
        <v>4145</v>
      </c>
    </row>
    <row r="7849" spans="1:7" x14ac:dyDescent="0.3">
      <c r="A7849" t="s">
        <v>1513</v>
      </c>
      <c r="B7849" t="s">
        <v>5</v>
      </c>
      <c r="C7849" t="s">
        <v>24</v>
      </c>
      <c r="D7849" t="s">
        <v>13</v>
      </c>
      <c r="E7849" s="68">
        <v>1908</v>
      </c>
      <c r="F7849" s="68">
        <v>1577</v>
      </c>
      <c r="G7849" s="68">
        <v>3485</v>
      </c>
    </row>
    <row r="7850" spans="1:7" x14ac:dyDescent="0.3">
      <c r="A7850" t="s">
        <v>1513</v>
      </c>
      <c r="B7850" t="s">
        <v>5</v>
      </c>
      <c r="C7850" t="s">
        <v>24</v>
      </c>
      <c r="D7850" t="s">
        <v>14</v>
      </c>
      <c r="E7850" s="68">
        <v>1581</v>
      </c>
      <c r="F7850" s="68">
        <v>1180</v>
      </c>
      <c r="G7850" s="68">
        <v>2761</v>
      </c>
    </row>
    <row r="7851" spans="1:7" x14ac:dyDescent="0.3">
      <c r="A7851" t="s">
        <v>1513</v>
      </c>
      <c r="B7851" t="s">
        <v>5</v>
      </c>
      <c r="C7851" t="s">
        <v>24</v>
      </c>
      <c r="D7851" t="s">
        <v>15</v>
      </c>
      <c r="E7851" s="68">
        <v>1750</v>
      </c>
      <c r="F7851" s="68">
        <v>1417</v>
      </c>
      <c r="G7851" s="68">
        <v>3167</v>
      </c>
    </row>
    <row r="7852" spans="1:7" x14ac:dyDescent="0.3">
      <c r="A7852" t="s">
        <v>1513</v>
      </c>
      <c r="B7852" t="s">
        <v>5</v>
      </c>
      <c r="C7852" t="s">
        <v>24</v>
      </c>
      <c r="D7852" t="s">
        <v>16</v>
      </c>
      <c r="E7852" s="68">
        <v>1671</v>
      </c>
      <c r="F7852" s="68">
        <v>1306</v>
      </c>
      <c r="G7852" s="68">
        <v>2977</v>
      </c>
    </row>
    <row r="7853" spans="1:7" x14ac:dyDescent="0.3">
      <c r="A7853" t="s">
        <v>1513</v>
      </c>
      <c r="B7853" t="s">
        <v>5</v>
      </c>
      <c r="C7853" t="s">
        <v>24</v>
      </c>
      <c r="D7853" t="s">
        <v>17</v>
      </c>
      <c r="E7853" s="68">
        <v>1325</v>
      </c>
      <c r="F7853" s="68">
        <v>1131</v>
      </c>
      <c r="G7853" s="68">
        <v>2456</v>
      </c>
    </row>
    <row r="7854" spans="1:7" x14ac:dyDescent="0.3">
      <c r="A7854" t="s">
        <v>1513</v>
      </c>
      <c r="B7854" t="s">
        <v>5</v>
      </c>
      <c r="C7854" t="s">
        <v>24</v>
      </c>
      <c r="D7854" t="s">
        <v>18</v>
      </c>
      <c r="E7854" s="68">
        <v>1365</v>
      </c>
      <c r="F7854" s="68">
        <v>1209</v>
      </c>
      <c r="G7854" s="68">
        <v>2574</v>
      </c>
    </row>
    <row r="7855" spans="1:7" x14ac:dyDescent="0.3">
      <c r="A7855" t="s">
        <v>1513</v>
      </c>
      <c r="B7855" t="s">
        <v>5</v>
      </c>
      <c r="C7855" t="s">
        <v>24</v>
      </c>
      <c r="D7855" t="s">
        <v>19</v>
      </c>
      <c r="E7855" s="68">
        <v>1578</v>
      </c>
      <c r="F7855" s="68">
        <v>1319</v>
      </c>
      <c r="G7855" s="68">
        <v>2897</v>
      </c>
    </row>
    <row r="7856" spans="1:7" x14ac:dyDescent="0.3">
      <c r="A7856" t="s">
        <v>1513</v>
      </c>
      <c r="B7856" t="s">
        <v>5</v>
      </c>
      <c r="C7856" t="s">
        <v>24</v>
      </c>
      <c r="D7856" t="s">
        <v>20</v>
      </c>
      <c r="E7856" s="68">
        <v>1155</v>
      </c>
      <c r="F7856" s="68">
        <v>999</v>
      </c>
      <c r="G7856" s="68">
        <v>2154</v>
      </c>
    </row>
    <row r="7857" spans="1:7" x14ac:dyDescent="0.3">
      <c r="A7857" t="s">
        <v>1513</v>
      </c>
      <c r="B7857" t="s">
        <v>5</v>
      </c>
      <c r="C7857" t="s">
        <v>24</v>
      </c>
      <c r="D7857" t="s">
        <v>21</v>
      </c>
      <c r="E7857" s="68">
        <v>808</v>
      </c>
      <c r="F7857" s="68">
        <v>769</v>
      </c>
      <c r="G7857" s="68">
        <v>1577</v>
      </c>
    </row>
    <row r="7858" spans="1:7" x14ac:dyDescent="0.3">
      <c r="A7858" t="s">
        <v>1513</v>
      </c>
      <c r="B7858" t="s">
        <v>5</v>
      </c>
      <c r="C7858" t="s">
        <v>24</v>
      </c>
      <c r="D7858" t="s">
        <v>22</v>
      </c>
      <c r="E7858" s="68">
        <v>512</v>
      </c>
      <c r="F7858" s="68">
        <v>448</v>
      </c>
      <c r="G7858" s="68">
        <v>960</v>
      </c>
    </row>
    <row r="7859" spans="1:7" x14ac:dyDescent="0.3">
      <c r="A7859" t="s">
        <v>1513</v>
      </c>
      <c r="B7859" t="s">
        <v>5</v>
      </c>
      <c r="C7859" t="s">
        <v>24</v>
      </c>
      <c r="D7859" t="s">
        <v>23</v>
      </c>
      <c r="E7859" s="68">
        <v>811</v>
      </c>
      <c r="F7859" s="68">
        <v>554</v>
      </c>
      <c r="G7859" s="68">
        <v>1365</v>
      </c>
    </row>
    <row r="7860" spans="1:7" x14ac:dyDescent="0.3">
      <c r="A7860" t="s">
        <v>1513</v>
      </c>
      <c r="B7860" t="s">
        <v>34</v>
      </c>
      <c r="C7860" t="s">
        <v>6</v>
      </c>
      <c r="D7860" t="s">
        <v>18</v>
      </c>
      <c r="E7860" s="68"/>
      <c r="F7860" s="68">
        <v>1</v>
      </c>
      <c r="G7860" s="68">
        <v>1</v>
      </c>
    </row>
    <row r="7861" spans="1:7" x14ac:dyDescent="0.3">
      <c r="A7861" t="s">
        <v>1513</v>
      </c>
      <c r="B7861" t="s">
        <v>34</v>
      </c>
      <c r="C7861" t="s">
        <v>6</v>
      </c>
      <c r="D7861" t="s">
        <v>19</v>
      </c>
      <c r="E7861" s="68"/>
      <c r="F7861" s="68">
        <v>1</v>
      </c>
      <c r="G7861" s="68">
        <v>1</v>
      </c>
    </row>
    <row r="7862" spans="1:7" x14ac:dyDescent="0.3">
      <c r="A7862" t="s">
        <v>1513</v>
      </c>
      <c r="B7862" t="s">
        <v>37</v>
      </c>
      <c r="C7862" t="s">
        <v>6</v>
      </c>
      <c r="D7862" t="s">
        <v>7</v>
      </c>
      <c r="E7862" s="68">
        <v>571</v>
      </c>
      <c r="F7862" s="68">
        <v>637</v>
      </c>
      <c r="G7862" s="68">
        <v>1208</v>
      </c>
    </row>
    <row r="7863" spans="1:7" x14ac:dyDescent="0.3">
      <c r="A7863" t="s">
        <v>1513</v>
      </c>
      <c r="B7863" t="s">
        <v>37</v>
      </c>
      <c r="C7863" t="s">
        <v>6</v>
      </c>
      <c r="D7863" t="s">
        <v>8</v>
      </c>
      <c r="E7863" s="68">
        <v>922</v>
      </c>
      <c r="F7863" s="68">
        <v>950</v>
      </c>
      <c r="G7863" s="68">
        <v>1872</v>
      </c>
    </row>
    <row r="7864" spans="1:7" x14ac:dyDescent="0.3">
      <c r="A7864" t="s">
        <v>1513</v>
      </c>
      <c r="B7864" t="s">
        <v>37</v>
      </c>
      <c r="C7864" t="s">
        <v>6</v>
      </c>
      <c r="D7864" t="s">
        <v>9</v>
      </c>
      <c r="E7864" s="68">
        <v>1162</v>
      </c>
      <c r="F7864" s="68">
        <v>1260</v>
      </c>
      <c r="G7864" s="68">
        <v>2422</v>
      </c>
    </row>
    <row r="7865" spans="1:7" x14ac:dyDescent="0.3">
      <c r="A7865" t="s">
        <v>1513</v>
      </c>
      <c r="B7865" t="s">
        <v>37</v>
      </c>
      <c r="C7865" t="s">
        <v>6</v>
      </c>
      <c r="D7865" t="s">
        <v>10</v>
      </c>
      <c r="E7865" s="68">
        <v>1274</v>
      </c>
      <c r="F7865" s="68">
        <v>1343</v>
      </c>
      <c r="G7865" s="68">
        <v>2617</v>
      </c>
    </row>
    <row r="7866" spans="1:7" x14ac:dyDescent="0.3">
      <c r="A7866" t="s">
        <v>1513</v>
      </c>
      <c r="B7866" t="s">
        <v>37</v>
      </c>
      <c r="C7866" t="s">
        <v>6</v>
      </c>
      <c r="D7866" t="s">
        <v>11</v>
      </c>
      <c r="E7866" s="68">
        <v>1186</v>
      </c>
      <c r="F7866" s="68">
        <v>1196</v>
      </c>
      <c r="G7866" s="68">
        <v>2382</v>
      </c>
    </row>
    <row r="7867" spans="1:7" x14ac:dyDescent="0.3">
      <c r="A7867" t="s">
        <v>1513</v>
      </c>
      <c r="B7867" t="s">
        <v>37</v>
      </c>
      <c r="C7867" t="s">
        <v>6</v>
      </c>
      <c r="D7867" t="s">
        <v>12</v>
      </c>
      <c r="E7867" s="68">
        <v>1121</v>
      </c>
      <c r="F7867" s="68">
        <v>1056</v>
      </c>
      <c r="G7867" s="68">
        <v>2177</v>
      </c>
    </row>
    <row r="7868" spans="1:7" x14ac:dyDescent="0.3">
      <c r="A7868" t="s">
        <v>1513</v>
      </c>
      <c r="B7868" t="s">
        <v>37</v>
      </c>
      <c r="C7868" t="s">
        <v>6</v>
      </c>
      <c r="D7868" t="s">
        <v>13</v>
      </c>
      <c r="E7868" s="68">
        <v>1328</v>
      </c>
      <c r="F7868" s="68">
        <v>1246</v>
      </c>
      <c r="G7868" s="68">
        <v>2574</v>
      </c>
    </row>
    <row r="7869" spans="1:7" x14ac:dyDescent="0.3">
      <c r="A7869" t="s">
        <v>1513</v>
      </c>
      <c r="B7869" t="s">
        <v>37</v>
      </c>
      <c r="C7869" t="s">
        <v>6</v>
      </c>
      <c r="D7869" t="s">
        <v>14</v>
      </c>
      <c r="E7869" s="68">
        <v>1390</v>
      </c>
      <c r="F7869" s="68">
        <v>1366</v>
      </c>
      <c r="G7869" s="68">
        <v>2756</v>
      </c>
    </row>
    <row r="7870" spans="1:7" x14ac:dyDescent="0.3">
      <c r="A7870" t="s">
        <v>1513</v>
      </c>
      <c r="B7870" t="s">
        <v>37</v>
      </c>
      <c r="C7870" t="s">
        <v>6</v>
      </c>
      <c r="D7870" t="s">
        <v>15</v>
      </c>
      <c r="E7870" s="68">
        <v>1416</v>
      </c>
      <c r="F7870" s="68">
        <v>1381</v>
      </c>
      <c r="G7870" s="68">
        <v>2797</v>
      </c>
    </row>
    <row r="7871" spans="1:7" x14ac:dyDescent="0.3">
      <c r="A7871" t="s">
        <v>1513</v>
      </c>
      <c r="B7871" t="s">
        <v>37</v>
      </c>
      <c r="C7871" t="s">
        <v>6</v>
      </c>
      <c r="D7871" t="s">
        <v>16</v>
      </c>
      <c r="E7871" s="68">
        <v>1288</v>
      </c>
      <c r="F7871" s="68">
        <v>1269</v>
      </c>
      <c r="G7871" s="68">
        <v>2557</v>
      </c>
    </row>
    <row r="7872" spans="1:7" x14ac:dyDescent="0.3">
      <c r="A7872" t="s">
        <v>1513</v>
      </c>
      <c r="B7872" t="s">
        <v>37</v>
      </c>
      <c r="C7872" t="s">
        <v>6</v>
      </c>
      <c r="D7872" t="s">
        <v>17</v>
      </c>
      <c r="E7872" s="68">
        <v>1121</v>
      </c>
      <c r="F7872" s="68">
        <v>1179</v>
      </c>
      <c r="G7872" s="68">
        <v>2300</v>
      </c>
    </row>
    <row r="7873" spans="1:7" x14ac:dyDescent="0.3">
      <c r="A7873" t="s">
        <v>1513</v>
      </c>
      <c r="B7873" t="s">
        <v>37</v>
      </c>
      <c r="C7873" t="s">
        <v>6</v>
      </c>
      <c r="D7873" t="s">
        <v>18</v>
      </c>
      <c r="E7873" s="68">
        <v>1059</v>
      </c>
      <c r="F7873" s="68">
        <v>1071</v>
      </c>
      <c r="G7873" s="68">
        <v>2130</v>
      </c>
    </row>
    <row r="7874" spans="1:7" x14ac:dyDescent="0.3">
      <c r="A7874" t="s">
        <v>1513</v>
      </c>
      <c r="B7874" t="s">
        <v>37</v>
      </c>
      <c r="C7874" t="s">
        <v>6</v>
      </c>
      <c r="D7874" t="s">
        <v>19</v>
      </c>
      <c r="E7874" s="68">
        <v>1097</v>
      </c>
      <c r="F7874" s="68">
        <v>987</v>
      </c>
      <c r="G7874" s="68">
        <v>2084</v>
      </c>
    </row>
    <row r="7875" spans="1:7" x14ac:dyDescent="0.3">
      <c r="A7875" t="s">
        <v>1513</v>
      </c>
      <c r="B7875" t="s">
        <v>37</v>
      </c>
      <c r="C7875" t="s">
        <v>6</v>
      </c>
      <c r="D7875" t="s">
        <v>20</v>
      </c>
      <c r="E7875" s="68">
        <v>900</v>
      </c>
      <c r="F7875" s="68">
        <v>892</v>
      </c>
      <c r="G7875" s="68">
        <v>1792</v>
      </c>
    </row>
    <row r="7876" spans="1:7" x14ac:dyDescent="0.3">
      <c r="A7876" t="s">
        <v>1513</v>
      </c>
      <c r="B7876" t="s">
        <v>37</v>
      </c>
      <c r="C7876" t="s">
        <v>6</v>
      </c>
      <c r="D7876" t="s">
        <v>21</v>
      </c>
      <c r="E7876" s="68">
        <v>663</v>
      </c>
      <c r="F7876" s="68">
        <v>680</v>
      </c>
      <c r="G7876" s="68">
        <v>1343</v>
      </c>
    </row>
    <row r="7877" spans="1:7" x14ac:dyDescent="0.3">
      <c r="A7877" t="s">
        <v>1513</v>
      </c>
      <c r="B7877" t="s">
        <v>37</v>
      </c>
      <c r="C7877" t="s">
        <v>6</v>
      </c>
      <c r="D7877" t="s">
        <v>22</v>
      </c>
      <c r="E7877" s="68">
        <v>422</v>
      </c>
      <c r="F7877" s="68">
        <v>420</v>
      </c>
      <c r="G7877" s="68">
        <v>842</v>
      </c>
    </row>
    <row r="7878" spans="1:7" x14ac:dyDescent="0.3">
      <c r="A7878" t="s">
        <v>1513</v>
      </c>
      <c r="B7878" t="s">
        <v>37</v>
      </c>
      <c r="C7878" t="s">
        <v>6</v>
      </c>
      <c r="D7878" t="s">
        <v>23</v>
      </c>
      <c r="E7878" s="68">
        <v>516</v>
      </c>
      <c r="F7878" s="68">
        <v>407</v>
      </c>
      <c r="G7878" s="68">
        <v>923</v>
      </c>
    </row>
    <row r="7879" spans="1:7" x14ac:dyDescent="0.3">
      <c r="A7879" t="s">
        <v>1513</v>
      </c>
      <c r="B7879" t="s">
        <v>37</v>
      </c>
      <c r="C7879" t="s">
        <v>24</v>
      </c>
      <c r="D7879" t="s">
        <v>7</v>
      </c>
      <c r="E7879" s="68">
        <v>976</v>
      </c>
      <c r="F7879" s="68">
        <v>982</v>
      </c>
      <c r="G7879" s="68">
        <v>1958</v>
      </c>
    </row>
    <row r="7880" spans="1:7" x14ac:dyDescent="0.3">
      <c r="A7880" t="s">
        <v>1513</v>
      </c>
      <c r="B7880" t="s">
        <v>37</v>
      </c>
      <c r="C7880" t="s">
        <v>24</v>
      </c>
      <c r="D7880" t="s">
        <v>8</v>
      </c>
      <c r="E7880" s="68">
        <v>1417</v>
      </c>
      <c r="F7880" s="68">
        <v>1565</v>
      </c>
      <c r="G7880" s="68">
        <v>2982</v>
      </c>
    </row>
    <row r="7881" spans="1:7" x14ac:dyDescent="0.3">
      <c r="A7881" t="s">
        <v>1513</v>
      </c>
      <c r="B7881" t="s">
        <v>37</v>
      </c>
      <c r="C7881" t="s">
        <v>24</v>
      </c>
      <c r="D7881" t="s">
        <v>9</v>
      </c>
      <c r="E7881" s="68">
        <v>1686</v>
      </c>
      <c r="F7881" s="68">
        <v>1739</v>
      </c>
      <c r="G7881" s="68">
        <v>3425</v>
      </c>
    </row>
    <row r="7882" spans="1:7" x14ac:dyDescent="0.3">
      <c r="A7882" t="s">
        <v>1513</v>
      </c>
      <c r="B7882" t="s">
        <v>37</v>
      </c>
      <c r="C7882" t="s">
        <v>24</v>
      </c>
      <c r="D7882" t="s">
        <v>10</v>
      </c>
      <c r="E7882" s="68">
        <v>1800</v>
      </c>
      <c r="F7882" s="68">
        <v>1840</v>
      </c>
      <c r="G7882" s="68">
        <v>3640</v>
      </c>
    </row>
    <row r="7883" spans="1:7" x14ac:dyDescent="0.3">
      <c r="A7883" t="s">
        <v>1513</v>
      </c>
      <c r="B7883" t="s">
        <v>37</v>
      </c>
      <c r="C7883" t="s">
        <v>24</v>
      </c>
      <c r="D7883" t="s">
        <v>11</v>
      </c>
      <c r="E7883" s="68">
        <v>1530</v>
      </c>
      <c r="F7883" s="68">
        <v>1331</v>
      </c>
      <c r="G7883" s="68">
        <v>2861</v>
      </c>
    </row>
    <row r="7884" spans="1:7" x14ac:dyDescent="0.3">
      <c r="A7884" t="s">
        <v>1513</v>
      </c>
      <c r="B7884" t="s">
        <v>37</v>
      </c>
      <c r="C7884" t="s">
        <v>24</v>
      </c>
      <c r="D7884" t="s">
        <v>12</v>
      </c>
      <c r="E7884" s="68">
        <v>1740</v>
      </c>
      <c r="F7884" s="68">
        <v>1439</v>
      </c>
      <c r="G7884" s="68">
        <v>3179</v>
      </c>
    </row>
    <row r="7885" spans="1:7" x14ac:dyDescent="0.3">
      <c r="A7885" t="s">
        <v>1513</v>
      </c>
      <c r="B7885" t="s">
        <v>37</v>
      </c>
      <c r="C7885" t="s">
        <v>24</v>
      </c>
      <c r="D7885" t="s">
        <v>13</v>
      </c>
      <c r="E7885" s="68">
        <v>1772</v>
      </c>
      <c r="F7885" s="68">
        <v>1247</v>
      </c>
      <c r="G7885" s="68">
        <v>3019</v>
      </c>
    </row>
    <row r="7886" spans="1:7" x14ac:dyDescent="0.3">
      <c r="A7886" t="s">
        <v>1513</v>
      </c>
      <c r="B7886" t="s">
        <v>37</v>
      </c>
      <c r="C7886" t="s">
        <v>24</v>
      </c>
      <c r="D7886" t="s">
        <v>14</v>
      </c>
      <c r="E7886" s="68">
        <v>1453</v>
      </c>
      <c r="F7886" s="68">
        <v>1131</v>
      </c>
      <c r="G7886" s="68">
        <v>2584</v>
      </c>
    </row>
    <row r="7887" spans="1:7" x14ac:dyDescent="0.3">
      <c r="A7887" t="s">
        <v>1513</v>
      </c>
      <c r="B7887" t="s">
        <v>37</v>
      </c>
      <c r="C7887" t="s">
        <v>24</v>
      </c>
      <c r="D7887" t="s">
        <v>15</v>
      </c>
      <c r="E7887" s="68">
        <v>1692</v>
      </c>
      <c r="F7887" s="68">
        <v>1199</v>
      </c>
      <c r="G7887" s="68">
        <v>2891</v>
      </c>
    </row>
    <row r="7888" spans="1:7" x14ac:dyDescent="0.3">
      <c r="A7888" t="s">
        <v>1513</v>
      </c>
      <c r="B7888" t="s">
        <v>37</v>
      </c>
      <c r="C7888" t="s">
        <v>24</v>
      </c>
      <c r="D7888" t="s">
        <v>16</v>
      </c>
      <c r="E7888" s="68">
        <v>1568</v>
      </c>
      <c r="F7888" s="68">
        <v>1067</v>
      </c>
      <c r="G7888" s="68">
        <v>2635</v>
      </c>
    </row>
    <row r="7889" spans="1:7" x14ac:dyDescent="0.3">
      <c r="A7889" t="s">
        <v>1513</v>
      </c>
      <c r="B7889" t="s">
        <v>37</v>
      </c>
      <c r="C7889" t="s">
        <v>24</v>
      </c>
      <c r="D7889" t="s">
        <v>17</v>
      </c>
      <c r="E7889" s="68">
        <v>1401</v>
      </c>
      <c r="F7889" s="68">
        <v>1118</v>
      </c>
      <c r="G7889" s="68">
        <v>2519</v>
      </c>
    </row>
    <row r="7890" spans="1:7" x14ac:dyDescent="0.3">
      <c r="A7890" t="s">
        <v>1513</v>
      </c>
      <c r="B7890" t="s">
        <v>37</v>
      </c>
      <c r="C7890" t="s">
        <v>24</v>
      </c>
      <c r="D7890" t="s">
        <v>18</v>
      </c>
      <c r="E7890" s="68">
        <v>1365</v>
      </c>
      <c r="F7890" s="68">
        <v>1147</v>
      </c>
      <c r="G7890" s="68">
        <v>2512</v>
      </c>
    </row>
    <row r="7891" spans="1:7" x14ac:dyDescent="0.3">
      <c r="A7891" t="s">
        <v>1513</v>
      </c>
      <c r="B7891" t="s">
        <v>37</v>
      </c>
      <c r="C7891" t="s">
        <v>24</v>
      </c>
      <c r="D7891" t="s">
        <v>19</v>
      </c>
      <c r="E7891" s="68">
        <v>1408</v>
      </c>
      <c r="F7891" s="68">
        <v>1269</v>
      </c>
      <c r="G7891" s="68">
        <v>2677</v>
      </c>
    </row>
    <row r="7892" spans="1:7" x14ac:dyDescent="0.3">
      <c r="A7892" t="s">
        <v>1513</v>
      </c>
      <c r="B7892" t="s">
        <v>37</v>
      </c>
      <c r="C7892" t="s">
        <v>24</v>
      </c>
      <c r="D7892" t="s">
        <v>20</v>
      </c>
      <c r="E7892" s="68">
        <v>1005</v>
      </c>
      <c r="F7892" s="68">
        <v>964</v>
      </c>
      <c r="G7892" s="68">
        <v>1969</v>
      </c>
    </row>
    <row r="7893" spans="1:7" x14ac:dyDescent="0.3">
      <c r="A7893" t="s">
        <v>1513</v>
      </c>
      <c r="B7893" t="s">
        <v>37</v>
      </c>
      <c r="C7893" t="s">
        <v>24</v>
      </c>
      <c r="D7893" t="s">
        <v>21</v>
      </c>
      <c r="E7893" s="68">
        <v>725</v>
      </c>
      <c r="F7893" s="68">
        <v>669</v>
      </c>
      <c r="G7893" s="68">
        <v>1394</v>
      </c>
    </row>
    <row r="7894" spans="1:7" x14ac:dyDescent="0.3">
      <c r="A7894" t="s">
        <v>1513</v>
      </c>
      <c r="B7894" t="s">
        <v>37</v>
      </c>
      <c r="C7894" t="s">
        <v>24</v>
      </c>
      <c r="D7894" t="s">
        <v>22</v>
      </c>
      <c r="E7894" s="68">
        <v>469</v>
      </c>
      <c r="F7894" s="68">
        <v>426</v>
      </c>
      <c r="G7894" s="68">
        <v>895</v>
      </c>
    </row>
    <row r="7895" spans="1:7" x14ac:dyDescent="0.3">
      <c r="A7895" t="s">
        <v>1513</v>
      </c>
      <c r="B7895" t="s">
        <v>37</v>
      </c>
      <c r="C7895" t="s">
        <v>24</v>
      </c>
      <c r="D7895" t="s">
        <v>23</v>
      </c>
      <c r="E7895" s="68">
        <v>573</v>
      </c>
      <c r="F7895" s="68">
        <v>439</v>
      </c>
      <c r="G7895" s="68">
        <v>1012</v>
      </c>
    </row>
    <row r="7896" spans="1:7" x14ac:dyDescent="0.3">
      <c r="A7896" t="s">
        <v>1513</v>
      </c>
      <c r="B7896" t="s">
        <v>35</v>
      </c>
      <c r="C7896" t="s">
        <v>6</v>
      </c>
      <c r="D7896" t="s">
        <v>7</v>
      </c>
      <c r="E7896" s="68"/>
      <c r="F7896" s="68">
        <v>2</v>
      </c>
      <c r="G7896" s="68">
        <v>2</v>
      </c>
    </row>
    <row r="7897" spans="1:7" x14ac:dyDescent="0.3">
      <c r="A7897" t="s">
        <v>1513</v>
      </c>
      <c r="B7897" t="s">
        <v>35</v>
      </c>
      <c r="C7897" t="s">
        <v>6</v>
      </c>
      <c r="D7897" t="s">
        <v>9</v>
      </c>
      <c r="E7897" s="68">
        <v>2</v>
      </c>
      <c r="F7897" s="68">
        <v>2</v>
      </c>
      <c r="G7897" s="68">
        <v>4</v>
      </c>
    </row>
    <row r="7898" spans="1:7" x14ac:dyDescent="0.3">
      <c r="A7898" t="s">
        <v>1513</v>
      </c>
      <c r="B7898" t="s">
        <v>35</v>
      </c>
      <c r="C7898" t="s">
        <v>6</v>
      </c>
      <c r="D7898" t="s">
        <v>10</v>
      </c>
      <c r="E7898" s="68">
        <v>3</v>
      </c>
      <c r="F7898" s="68">
        <v>1</v>
      </c>
      <c r="G7898" s="68">
        <v>4</v>
      </c>
    </row>
    <row r="7899" spans="1:7" x14ac:dyDescent="0.3">
      <c r="A7899" t="s">
        <v>1513</v>
      </c>
      <c r="B7899" t="s">
        <v>35</v>
      </c>
      <c r="C7899" t="s">
        <v>6</v>
      </c>
      <c r="D7899" t="s">
        <v>11</v>
      </c>
      <c r="E7899" s="68">
        <v>5</v>
      </c>
      <c r="F7899" s="68">
        <v>5</v>
      </c>
      <c r="G7899" s="68">
        <v>10</v>
      </c>
    </row>
    <row r="7900" spans="1:7" x14ac:dyDescent="0.3">
      <c r="A7900" t="s">
        <v>1513</v>
      </c>
      <c r="B7900" t="s">
        <v>35</v>
      </c>
      <c r="C7900" t="s">
        <v>6</v>
      </c>
      <c r="D7900" t="s">
        <v>14</v>
      </c>
      <c r="E7900" s="68"/>
      <c r="F7900" s="68">
        <v>1</v>
      </c>
      <c r="G7900" s="68">
        <v>1</v>
      </c>
    </row>
    <row r="7901" spans="1:7" x14ac:dyDescent="0.3">
      <c r="A7901" t="s">
        <v>1513</v>
      </c>
      <c r="B7901" t="s">
        <v>35</v>
      </c>
      <c r="C7901" t="s">
        <v>6</v>
      </c>
      <c r="D7901" t="s">
        <v>15</v>
      </c>
      <c r="E7901" s="68">
        <v>2</v>
      </c>
      <c r="F7901" s="68">
        <v>1</v>
      </c>
      <c r="G7901" s="68">
        <v>3</v>
      </c>
    </row>
    <row r="7902" spans="1:7" x14ac:dyDescent="0.3">
      <c r="A7902" t="s">
        <v>1513</v>
      </c>
      <c r="B7902" t="s">
        <v>35</v>
      </c>
      <c r="C7902" t="s">
        <v>6</v>
      </c>
      <c r="D7902" t="s">
        <v>16</v>
      </c>
      <c r="E7902" s="68">
        <v>6</v>
      </c>
      <c r="F7902" s="68">
        <v>1</v>
      </c>
      <c r="G7902" s="68">
        <v>7</v>
      </c>
    </row>
    <row r="7903" spans="1:7" x14ac:dyDescent="0.3">
      <c r="A7903" t="s">
        <v>1513</v>
      </c>
      <c r="B7903" t="s">
        <v>35</v>
      </c>
      <c r="C7903" t="s">
        <v>6</v>
      </c>
      <c r="D7903" t="s">
        <v>17</v>
      </c>
      <c r="E7903" s="68">
        <v>7</v>
      </c>
      <c r="F7903" s="68">
        <v>1</v>
      </c>
      <c r="G7903" s="68">
        <v>8</v>
      </c>
    </row>
    <row r="7904" spans="1:7" x14ac:dyDescent="0.3">
      <c r="A7904" t="s">
        <v>1513</v>
      </c>
      <c r="B7904" t="s">
        <v>35</v>
      </c>
      <c r="C7904" t="s">
        <v>6</v>
      </c>
      <c r="D7904" t="s">
        <v>18</v>
      </c>
      <c r="E7904" s="68">
        <v>12</v>
      </c>
      <c r="F7904" s="68">
        <v>1</v>
      </c>
      <c r="G7904" s="68">
        <v>13</v>
      </c>
    </row>
    <row r="7905" spans="1:7" x14ac:dyDescent="0.3">
      <c r="A7905" t="s">
        <v>1513</v>
      </c>
      <c r="B7905" t="s">
        <v>35</v>
      </c>
      <c r="C7905" t="s">
        <v>6</v>
      </c>
      <c r="D7905" t="s">
        <v>19</v>
      </c>
      <c r="E7905" s="68">
        <v>30</v>
      </c>
      <c r="F7905" s="68">
        <v>3</v>
      </c>
      <c r="G7905" s="68">
        <v>33</v>
      </c>
    </row>
    <row r="7906" spans="1:7" x14ac:dyDescent="0.3">
      <c r="A7906" t="s">
        <v>1513</v>
      </c>
      <c r="B7906" t="s">
        <v>35</v>
      </c>
      <c r="C7906" t="s">
        <v>6</v>
      </c>
      <c r="D7906" t="s">
        <v>20</v>
      </c>
      <c r="E7906" s="68">
        <v>48</v>
      </c>
      <c r="F7906" s="68">
        <v>14</v>
      </c>
      <c r="G7906" s="68">
        <v>62</v>
      </c>
    </row>
    <row r="7907" spans="1:7" x14ac:dyDescent="0.3">
      <c r="A7907" t="s">
        <v>1513</v>
      </c>
      <c r="B7907" t="s">
        <v>35</v>
      </c>
      <c r="C7907" t="s">
        <v>6</v>
      </c>
      <c r="D7907" t="s">
        <v>21</v>
      </c>
      <c r="E7907" s="68">
        <v>48</v>
      </c>
      <c r="F7907" s="68">
        <v>39</v>
      </c>
      <c r="G7907" s="68">
        <v>87</v>
      </c>
    </row>
    <row r="7908" spans="1:7" x14ac:dyDescent="0.3">
      <c r="A7908" t="s">
        <v>1513</v>
      </c>
      <c r="B7908" t="s">
        <v>35</v>
      </c>
      <c r="C7908" t="s">
        <v>6</v>
      </c>
      <c r="D7908" t="s">
        <v>22</v>
      </c>
      <c r="E7908" s="68">
        <v>60</v>
      </c>
      <c r="F7908" s="68">
        <v>46</v>
      </c>
      <c r="G7908" s="68">
        <v>106</v>
      </c>
    </row>
    <row r="7909" spans="1:7" x14ac:dyDescent="0.3">
      <c r="A7909" t="s">
        <v>1513</v>
      </c>
      <c r="B7909" t="s">
        <v>35</v>
      </c>
      <c r="C7909" t="s">
        <v>6</v>
      </c>
      <c r="D7909" t="s">
        <v>23</v>
      </c>
      <c r="E7909" s="68">
        <v>96</v>
      </c>
      <c r="F7909" s="68">
        <v>62</v>
      </c>
      <c r="G7909" s="68">
        <v>158</v>
      </c>
    </row>
    <row r="7910" spans="1:7" x14ac:dyDescent="0.3">
      <c r="A7910" t="s">
        <v>1513</v>
      </c>
      <c r="B7910" t="s">
        <v>25</v>
      </c>
      <c r="C7910" t="s">
        <v>6</v>
      </c>
      <c r="D7910" t="s">
        <v>9</v>
      </c>
      <c r="E7910" s="68"/>
      <c r="F7910" s="68">
        <v>1</v>
      </c>
      <c r="G7910" s="68">
        <v>1</v>
      </c>
    </row>
    <row r="7911" spans="1:7" x14ac:dyDescent="0.3">
      <c r="A7911" t="s">
        <v>1513</v>
      </c>
      <c r="B7911" t="s">
        <v>25</v>
      </c>
      <c r="C7911" t="s">
        <v>6</v>
      </c>
      <c r="D7911" t="s">
        <v>10</v>
      </c>
      <c r="E7911" s="68"/>
      <c r="F7911" s="68">
        <v>1</v>
      </c>
      <c r="G7911" s="68">
        <v>1</v>
      </c>
    </row>
    <row r="7912" spans="1:7" x14ac:dyDescent="0.3">
      <c r="A7912" t="s">
        <v>1513</v>
      </c>
      <c r="B7912" t="s">
        <v>25</v>
      </c>
      <c r="C7912" t="s">
        <v>6</v>
      </c>
      <c r="D7912" t="s">
        <v>12</v>
      </c>
      <c r="E7912" s="68"/>
      <c r="F7912" s="68">
        <v>1</v>
      </c>
      <c r="G7912" s="68">
        <v>1</v>
      </c>
    </row>
    <row r="7913" spans="1:7" x14ac:dyDescent="0.3">
      <c r="A7913" t="s">
        <v>1513</v>
      </c>
      <c r="B7913" t="s">
        <v>25</v>
      </c>
      <c r="C7913" t="s">
        <v>6</v>
      </c>
      <c r="D7913" t="s">
        <v>13</v>
      </c>
      <c r="E7913" s="68">
        <v>1</v>
      </c>
      <c r="F7913" s="68">
        <v>2</v>
      </c>
      <c r="G7913" s="68">
        <v>3</v>
      </c>
    </row>
    <row r="7914" spans="1:7" x14ac:dyDescent="0.3">
      <c r="A7914" t="s">
        <v>1513</v>
      </c>
      <c r="B7914" t="s">
        <v>25</v>
      </c>
      <c r="C7914" t="s">
        <v>6</v>
      </c>
      <c r="D7914" t="s">
        <v>16</v>
      </c>
      <c r="E7914" s="68">
        <v>1</v>
      </c>
      <c r="F7914" s="68">
        <v>1</v>
      </c>
      <c r="G7914" s="68">
        <v>2</v>
      </c>
    </row>
    <row r="7915" spans="1:7" x14ac:dyDescent="0.3">
      <c r="A7915" t="s">
        <v>1513</v>
      </c>
      <c r="B7915" t="s">
        <v>25</v>
      </c>
      <c r="C7915" t="s">
        <v>6</v>
      </c>
      <c r="D7915" t="s">
        <v>17</v>
      </c>
      <c r="E7915" s="68">
        <v>1</v>
      </c>
      <c r="F7915" s="68"/>
      <c r="G7915" s="68">
        <v>1</v>
      </c>
    </row>
    <row r="7916" spans="1:7" x14ac:dyDescent="0.3">
      <c r="A7916" t="s">
        <v>1513</v>
      </c>
      <c r="B7916" t="s">
        <v>25</v>
      </c>
      <c r="C7916" t="s">
        <v>6</v>
      </c>
      <c r="D7916" t="s">
        <v>18</v>
      </c>
      <c r="E7916" s="68">
        <v>1</v>
      </c>
      <c r="F7916" s="68"/>
      <c r="G7916" s="68">
        <v>1</v>
      </c>
    </row>
    <row r="7917" spans="1:7" x14ac:dyDescent="0.3">
      <c r="A7917" t="s">
        <v>1513</v>
      </c>
      <c r="B7917" t="s">
        <v>25</v>
      </c>
      <c r="C7917" t="s">
        <v>24</v>
      </c>
      <c r="D7917" t="s">
        <v>7</v>
      </c>
      <c r="E7917" s="68">
        <v>1</v>
      </c>
      <c r="F7917" s="68">
        <v>3</v>
      </c>
      <c r="G7917" s="68">
        <v>4</v>
      </c>
    </row>
    <row r="7918" spans="1:7" x14ac:dyDescent="0.3">
      <c r="A7918" t="s">
        <v>1513</v>
      </c>
      <c r="B7918" t="s">
        <v>25</v>
      </c>
      <c r="C7918" t="s">
        <v>24</v>
      </c>
      <c r="D7918" t="s">
        <v>8</v>
      </c>
      <c r="E7918" s="68"/>
      <c r="F7918" s="68">
        <v>2</v>
      </c>
      <c r="G7918" s="68">
        <v>2</v>
      </c>
    </row>
    <row r="7919" spans="1:7" x14ac:dyDescent="0.3">
      <c r="A7919" t="s">
        <v>1513</v>
      </c>
      <c r="B7919" t="s">
        <v>25</v>
      </c>
      <c r="C7919" t="s">
        <v>24</v>
      </c>
      <c r="D7919" t="s">
        <v>9</v>
      </c>
      <c r="E7919" s="68">
        <v>2</v>
      </c>
      <c r="F7919" s="68"/>
      <c r="G7919" s="68">
        <v>2</v>
      </c>
    </row>
    <row r="7920" spans="1:7" x14ac:dyDescent="0.3">
      <c r="A7920" t="s">
        <v>1513</v>
      </c>
      <c r="B7920" t="s">
        <v>25</v>
      </c>
      <c r="C7920" t="s">
        <v>24</v>
      </c>
      <c r="D7920" t="s">
        <v>10</v>
      </c>
      <c r="E7920" s="68">
        <v>1</v>
      </c>
      <c r="F7920" s="68">
        <v>2</v>
      </c>
      <c r="G7920" s="68">
        <v>3</v>
      </c>
    </row>
    <row r="7921" spans="1:7" x14ac:dyDescent="0.3">
      <c r="A7921" t="s">
        <v>1513</v>
      </c>
      <c r="B7921" t="s">
        <v>25</v>
      </c>
      <c r="C7921" t="s">
        <v>24</v>
      </c>
      <c r="D7921" t="s">
        <v>11</v>
      </c>
      <c r="E7921" s="68">
        <v>2</v>
      </c>
      <c r="F7921" s="68">
        <v>1</v>
      </c>
      <c r="G7921" s="68">
        <v>3</v>
      </c>
    </row>
    <row r="7922" spans="1:7" x14ac:dyDescent="0.3">
      <c r="A7922" t="s">
        <v>1513</v>
      </c>
      <c r="B7922" t="s">
        <v>25</v>
      </c>
      <c r="C7922" t="s">
        <v>24</v>
      </c>
      <c r="D7922" t="s">
        <v>12</v>
      </c>
      <c r="E7922" s="68">
        <v>1</v>
      </c>
      <c r="F7922" s="68">
        <v>1</v>
      </c>
      <c r="G7922" s="68">
        <v>2</v>
      </c>
    </row>
    <row r="7923" spans="1:7" x14ac:dyDescent="0.3">
      <c r="A7923" t="s">
        <v>1513</v>
      </c>
      <c r="B7923" t="s">
        <v>25</v>
      </c>
      <c r="C7923" t="s">
        <v>24</v>
      </c>
      <c r="D7923" t="s">
        <v>13</v>
      </c>
      <c r="E7923" s="68"/>
      <c r="F7923" s="68">
        <v>3</v>
      </c>
      <c r="G7923" s="68">
        <v>3</v>
      </c>
    </row>
    <row r="7924" spans="1:7" x14ac:dyDescent="0.3">
      <c r="A7924" t="s">
        <v>1513</v>
      </c>
      <c r="B7924" t="s">
        <v>25</v>
      </c>
      <c r="C7924" t="s">
        <v>24</v>
      </c>
      <c r="D7924" t="s">
        <v>14</v>
      </c>
      <c r="E7924" s="68"/>
      <c r="F7924" s="68">
        <v>3</v>
      </c>
      <c r="G7924" s="68">
        <v>3</v>
      </c>
    </row>
    <row r="7925" spans="1:7" x14ac:dyDescent="0.3">
      <c r="A7925" t="s">
        <v>1513</v>
      </c>
      <c r="B7925" t="s">
        <v>25</v>
      </c>
      <c r="C7925" t="s">
        <v>24</v>
      </c>
      <c r="D7925" t="s">
        <v>15</v>
      </c>
      <c r="E7925" s="68">
        <v>1</v>
      </c>
      <c r="F7925" s="68">
        <v>1</v>
      </c>
      <c r="G7925" s="68">
        <v>2</v>
      </c>
    </row>
    <row r="7926" spans="1:7" x14ac:dyDescent="0.3">
      <c r="A7926" t="s">
        <v>1513</v>
      </c>
      <c r="B7926" t="s">
        <v>25</v>
      </c>
      <c r="C7926" t="s">
        <v>24</v>
      </c>
      <c r="D7926" t="s">
        <v>16</v>
      </c>
      <c r="E7926" s="68">
        <v>3</v>
      </c>
      <c r="F7926" s="68">
        <v>2</v>
      </c>
      <c r="G7926" s="68">
        <v>5</v>
      </c>
    </row>
    <row r="7927" spans="1:7" x14ac:dyDescent="0.3">
      <c r="A7927" t="s">
        <v>1513</v>
      </c>
      <c r="B7927" t="s">
        <v>25</v>
      </c>
      <c r="C7927" t="s">
        <v>24</v>
      </c>
      <c r="D7927" t="s">
        <v>17</v>
      </c>
      <c r="E7927" s="68">
        <v>3</v>
      </c>
      <c r="F7927" s="68">
        <v>5</v>
      </c>
      <c r="G7927" s="68">
        <v>8</v>
      </c>
    </row>
    <row r="7928" spans="1:7" x14ac:dyDescent="0.3">
      <c r="A7928" t="s">
        <v>1513</v>
      </c>
      <c r="B7928" t="s">
        <v>25</v>
      </c>
      <c r="C7928" t="s">
        <v>24</v>
      </c>
      <c r="D7928" t="s">
        <v>18</v>
      </c>
      <c r="E7928" s="68">
        <v>2</v>
      </c>
      <c r="F7928" s="68">
        <v>6</v>
      </c>
      <c r="G7928" s="68">
        <v>8</v>
      </c>
    </row>
    <row r="7929" spans="1:7" x14ac:dyDescent="0.3">
      <c r="A7929" t="s">
        <v>1513</v>
      </c>
      <c r="B7929" t="s">
        <v>25</v>
      </c>
      <c r="C7929" t="s">
        <v>24</v>
      </c>
      <c r="D7929" t="s">
        <v>19</v>
      </c>
      <c r="E7929" s="68">
        <v>4</v>
      </c>
      <c r="F7929" s="68">
        <v>4</v>
      </c>
      <c r="G7929" s="68">
        <v>8</v>
      </c>
    </row>
    <row r="7930" spans="1:7" x14ac:dyDescent="0.3">
      <c r="A7930" t="s">
        <v>1513</v>
      </c>
      <c r="B7930" t="s">
        <v>25</v>
      </c>
      <c r="C7930" t="s">
        <v>24</v>
      </c>
      <c r="D7930" t="s">
        <v>20</v>
      </c>
      <c r="E7930" s="68">
        <v>1</v>
      </c>
      <c r="F7930" s="68">
        <v>5</v>
      </c>
      <c r="G7930" s="68">
        <v>6</v>
      </c>
    </row>
    <row r="7931" spans="1:7" x14ac:dyDescent="0.3">
      <c r="A7931" t="s">
        <v>1513</v>
      </c>
      <c r="B7931" t="s">
        <v>25</v>
      </c>
      <c r="C7931" t="s">
        <v>24</v>
      </c>
      <c r="D7931" t="s">
        <v>21</v>
      </c>
      <c r="E7931" s="68">
        <v>2</v>
      </c>
      <c r="F7931" s="68">
        <v>3</v>
      </c>
      <c r="G7931" s="68">
        <v>5</v>
      </c>
    </row>
    <row r="7932" spans="1:7" x14ac:dyDescent="0.3">
      <c r="A7932" t="s">
        <v>1513</v>
      </c>
      <c r="B7932" t="s">
        <v>25</v>
      </c>
      <c r="C7932" t="s">
        <v>24</v>
      </c>
      <c r="D7932" t="s">
        <v>23</v>
      </c>
      <c r="E7932" s="68">
        <v>2</v>
      </c>
      <c r="F7932" s="68">
        <v>1</v>
      </c>
      <c r="G7932" s="68">
        <v>3</v>
      </c>
    </row>
    <row r="7933" spans="1:7" x14ac:dyDescent="0.3">
      <c r="A7933" t="s">
        <v>1513</v>
      </c>
      <c r="B7933" t="s">
        <v>26</v>
      </c>
      <c r="C7933" t="s">
        <v>6</v>
      </c>
      <c r="D7933" t="s">
        <v>7</v>
      </c>
      <c r="E7933" s="68">
        <v>2381</v>
      </c>
      <c r="F7933" s="68">
        <v>2514</v>
      </c>
      <c r="G7933" s="68">
        <v>4895</v>
      </c>
    </row>
    <row r="7934" spans="1:7" x14ac:dyDescent="0.3">
      <c r="A7934" t="s">
        <v>1513</v>
      </c>
      <c r="B7934" t="s">
        <v>26</v>
      </c>
      <c r="C7934" t="s">
        <v>6</v>
      </c>
      <c r="D7934" t="s">
        <v>8</v>
      </c>
      <c r="E7934" s="68">
        <v>3544</v>
      </c>
      <c r="F7934" s="68">
        <v>3792</v>
      </c>
      <c r="G7934" s="68">
        <v>7336</v>
      </c>
    </row>
    <row r="7935" spans="1:7" x14ac:dyDescent="0.3">
      <c r="A7935" t="s">
        <v>1513</v>
      </c>
      <c r="B7935" t="s">
        <v>26</v>
      </c>
      <c r="C7935" t="s">
        <v>6</v>
      </c>
      <c r="D7935" t="s">
        <v>9</v>
      </c>
      <c r="E7935" s="68">
        <v>3934</v>
      </c>
      <c r="F7935" s="68">
        <v>4039</v>
      </c>
      <c r="G7935" s="68">
        <v>7973</v>
      </c>
    </row>
    <row r="7936" spans="1:7" x14ac:dyDescent="0.3">
      <c r="A7936" t="s">
        <v>1513</v>
      </c>
      <c r="B7936" t="s">
        <v>26</v>
      </c>
      <c r="C7936" t="s">
        <v>6</v>
      </c>
      <c r="D7936" t="s">
        <v>10</v>
      </c>
      <c r="E7936" s="68">
        <v>4354</v>
      </c>
      <c r="F7936" s="68">
        <v>4544</v>
      </c>
      <c r="G7936" s="68">
        <v>8898</v>
      </c>
    </row>
    <row r="7937" spans="1:7" x14ac:dyDescent="0.3">
      <c r="A7937" t="s">
        <v>1513</v>
      </c>
      <c r="B7937" t="s">
        <v>26</v>
      </c>
      <c r="C7937" t="s">
        <v>6</v>
      </c>
      <c r="D7937" t="s">
        <v>11</v>
      </c>
      <c r="E7937" s="68">
        <v>5282</v>
      </c>
      <c r="F7937" s="68">
        <v>6187</v>
      </c>
      <c r="G7937" s="68">
        <v>11469</v>
      </c>
    </row>
    <row r="7938" spans="1:7" x14ac:dyDescent="0.3">
      <c r="A7938" t="s">
        <v>1513</v>
      </c>
      <c r="B7938" t="s">
        <v>26</v>
      </c>
      <c r="C7938" t="s">
        <v>6</v>
      </c>
      <c r="D7938" t="s">
        <v>12</v>
      </c>
      <c r="E7938" s="68">
        <v>5680</v>
      </c>
      <c r="F7938" s="68">
        <v>6441</v>
      </c>
      <c r="G7938" s="68">
        <v>12121</v>
      </c>
    </row>
    <row r="7939" spans="1:7" x14ac:dyDescent="0.3">
      <c r="A7939" t="s">
        <v>1513</v>
      </c>
      <c r="B7939" t="s">
        <v>26</v>
      </c>
      <c r="C7939" t="s">
        <v>6</v>
      </c>
      <c r="D7939" t="s">
        <v>13</v>
      </c>
      <c r="E7939" s="68">
        <v>5456</v>
      </c>
      <c r="F7939" s="68">
        <v>6223</v>
      </c>
      <c r="G7939" s="68">
        <v>11679</v>
      </c>
    </row>
    <row r="7940" spans="1:7" x14ac:dyDescent="0.3">
      <c r="A7940" t="s">
        <v>1513</v>
      </c>
      <c r="B7940" t="s">
        <v>26</v>
      </c>
      <c r="C7940" t="s">
        <v>6</v>
      </c>
      <c r="D7940" t="s">
        <v>14</v>
      </c>
      <c r="E7940" s="68">
        <v>4763</v>
      </c>
      <c r="F7940" s="68">
        <v>5427</v>
      </c>
      <c r="G7940" s="68">
        <v>10190</v>
      </c>
    </row>
    <row r="7941" spans="1:7" x14ac:dyDescent="0.3">
      <c r="A7941" t="s">
        <v>1513</v>
      </c>
      <c r="B7941" t="s">
        <v>26</v>
      </c>
      <c r="C7941" t="s">
        <v>6</v>
      </c>
      <c r="D7941" t="s">
        <v>15</v>
      </c>
      <c r="E7941" s="68">
        <v>4261</v>
      </c>
      <c r="F7941" s="68">
        <v>4564</v>
      </c>
      <c r="G7941" s="68">
        <v>8825</v>
      </c>
    </row>
    <row r="7942" spans="1:7" x14ac:dyDescent="0.3">
      <c r="A7942" t="s">
        <v>1513</v>
      </c>
      <c r="B7942" t="s">
        <v>26</v>
      </c>
      <c r="C7942" t="s">
        <v>6</v>
      </c>
      <c r="D7942" t="s">
        <v>16</v>
      </c>
      <c r="E7942" s="68">
        <v>4034</v>
      </c>
      <c r="F7942" s="68">
        <v>4368</v>
      </c>
      <c r="G7942" s="68">
        <v>8402</v>
      </c>
    </row>
    <row r="7943" spans="1:7" x14ac:dyDescent="0.3">
      <c r="A7943" t="s">
        <v>1513</v>
      </c>
      <c r="B7943" t="s">
        <v>26</v>
      </c>
      <c r="C7943" t="s">
        <v>6</v>
      </c>
      <c r="D7943" t="s">
        <v>17</v>
      </c>
      <c r="E7943" s="68">
        <v>4109</v>
      </c>
      <c r="F7943" s="68">
        <v>4110</v>
      </c>
      <c r="G7943" s="68">
        <v>8219</v>
      </c>
    </row>
    <row r="7944" spans="1:7" x14ac:dyDescent="0.3">
      <c r="A7944" t="s">
        <v>1513</v>
      </c>
      <c r="B7944" t="s">
        <v>26</v>
      </c>
      <c r="C7944" t="s">
        <v>6</v>
      </c>
      <c r="D7944" t="s">
        <v>18</v>
      </c>
      <c r="E7944" s="68">
        <v>4737</v>
      </c>
      <c r="F7944" s="68">
        <v>4508</v>
      </c>
      <c r="G7944" s="68">
        <v>9245</v>
      </c>
    </row>
    <row r="7945" spans="1:7" x14ac:dyDescent="0.3">
      <c r="A7945" t="s">
        <v>1513</v>
      </c>
      <c r="B7945" t="s">
        <v>26</v>
      </c>
      <c r="C7945" t="s">
        <v>6</v>
      </c>
      <c r="D7945" t="s">
        <v>19</v>
      </c>
      <c r="E7945" s="68">
        <v>5160</v>
      </c>
      <c r="F7945" s="68">
        <v>4608</v>
      </c>
      <c r="G7945" s="68">
        <v>9768</v>
      </c>
    </row>
    <row r="7946" spans="1:7" x14ac:dyDescent="0.3">
      <c r="A7946" t="s">
        <v>1513</v>
      </c>
      <c r="B7946" t="s">
        <v>26</v>
      </c>
      <c r="C7946" t="s">
        <v>6</v>
      </c>
      <c r="D7946" t="s">
        <v>20</v>
      </c>
      <c r="E7946" s="68">
        <v>4780</v>
      </c>
      <c r="F7946" s="68">
        <v>4057</v>
      </c>
      <c r="G7946" s="68">
        <v>8837</v>
      </c>
    </row>
    <row r="7947" spans="1:7" x14ac:dyDescent="0.3">
      <c r="A7947" t="s">
        <v>1513</v>
      </c>
      <c r="B7947" t="s">
        <v>26</v>
      </c>
      <c r="C7947" t="s">
        <v>6</v>
      </c>
      <c r="D7947" t="s">
        <v>21</v>
      </c>
      <c r="E7947" s="68">
        <v>4256</v>
      </c>
      <c r="F7947" s="68">
        <v>3392</v>
      </c>
      <c r="G7947" s="68">
        <v>7648</v>
      </c>
    </row>
    <row r="7948" spans="1:7" x14ac:dyDescent="0.3">
      <c r="A7948" t="s">
        <v>1513</v>
      </c>
      <c r="B7948" t="s">
        <v>26</v>
      </c>
      <c r="C7948" t="s">
        <v>6</v>
      </c>
      <c r="D7948" t="s">
        <v>22</v>
      </c>
      <c r="E7948" s="68">
        <v>3415</v>
      </c>
      <c r="F7948" s="68">
        <v>2658</v>
      </c>
      <c r="G7948" s="68">
        <v>6073</v>
      </c>
    </row>
    <row r="7949" spans="1:7" x14ac:dyDescent="0.3">
      <c r="A7949" t="s">
        <v>1513</v>
      </c>
      <c r="B7949" t="s">
        <v>26</v>
      </c>
      <c r="C7949" t="s">
        <v>6</v>
      </c>
      <c r="D7949" t="s">
        <v>23</v>
      </c>
      <c r="E7949" s="68">
        <v>4748</v>
      </c>
      <c r="F7949" s="68">
        <v>3295</v>
      </c>
      <c r="G7949" s="68">
        <v>8043</v>
      </c>
    </row>
    <row r="7950" spans="1:7" x14ac:dyDescent="0.3">
      <c r="A7950" t="s">
        <v>1513</v>
      </c>
      <c r="B7950" t="s">
        <v>26</v>
      </c>
      <c r="C7950" t="s">
        <v>24</v>
      </c>
      <c r="D7950" t="s">
        <v>7</v>
      </c>
      <c r="E7950" s="68">
        <v>11453</v>
      </c>
      <c r="F7950" s="68">
        <v>11918</v>
      </c>
      <c r="G7950" s="68">
        <v>23371</v>
      </c>
    </row>
    <row r="7951" spans="1:7" x14ac:dyDescent="0.3">
      <c r="A7951" t="s">
        <v>1513</v>
      </c>
      <c r="B7951" t="s">
        <v>26</v>
      </c>
      <c r="C7951" t="s">
        <v>24</v>
      </c>
      <c r="D7951" t="s">
        <v>8</v>
      </c>
      <c r="E7951" s="68">
        <v>13426</v>
      </c>
      <c r="F7951" s="68">
        <v>14299</v>
      </c>
      <c r="G7951" s="68">
        <v>27725</v>
      </c>
    </row>
    <row r="7952" spans="1:7" x14ac:dyDescent="0.3">
      <c r="A7952" t="s">
        <v>1513</v>
      </c>
      <c r="B7952" t="s">
        <v>26</v>
      </c>
      <c r="C7952" t="s">
        <v>24</v>
      </c>
      <c r="D7952" t="s">
        <v>9</v>
      </c>
      <c r="E7952" s="68">
        <v>12386</v>
      </c>
      <c r="F7952" s="68">
        <v>12861</v>
      </c>
      <c r="G7952" s="68">
        <v>25247</v>
      </c>
    </row>
    <row r="7953" spans="1:7" x14ac:dyDescent="0.3">
      <c r="A7953" t="s">
        <v>1513</v>
      </c>
      <c r="B7953" t="s">
        <v>26</v>
      </c>
      <c r="C7953" t="s">
        <v>24</v>
      </c>
      <c r="D7953" t="s">
        <v>10</v>
      </c>
      <c r="E7953" s="68">
        <v>13743</v>
      </c>
      <c r="F7953" s="68">
        <v>13551</v>
      </c>
      <c r="G7953" s="68">
        <v>27294</v>
      </c>
    </row>
    <row r="7954" spans="1:7" x14ac:dyDescent="0.3">
      <c r="A7954" t="s">
        <v>1513</v>
      </c>
      <c r="B7954" t="s">
        <v>26</v>
      </c>
      <c r="C7954" t="s">
        <v>24</v>
      </c>
      <c r="D7954" t="s">
        <v>11</v>
      </c>
      <c r="E7954" s="68">
        <v>15924</v>
      </c>
      <c r="F7954" s="68">
        <v>13454</v>
      </c>
      <c r="G7954" s="68">
        <v>29378</v>
      </c>
    </row>
    <row r="7955" spans="1:7" x14ac:dyDescent="0.3">
      <c r="A7955" t="s">
        <v>1513</v>
      </c>
      <c r="B7955" t="s">
        <v>26</v>
      </c>
      <c r="C7955" t="s">
        <v>24</v>
      </c>
      <c r="D7955" t="s">
        <v>12</v>
      </c>
      <c r="E7955" s="68">
        <v>15892</v>
      </c>
      <c r="F7955" s="68">
        <v>14292</v>
      </c>
      <c r="G7955" s="68">
        <v>30184</v>
      </c>
    </row>
    <row r="7956" spans="1:7" x14ac:dyDescent="0.3">
      <c r="A7956" t="s">
        <v>1513</v>
      </c>
      <c r="B7956" t="s">
        <v>26</v>
      </c>
      <c r="C7956" t="s">
        <v>24</v>
      </c>
      <c r="D7956" t="s">
        <v>13</v>
      </c>
      <c r="E7956" s="68">
        <v>14017</v>
      </c>
      <c r="F7956" s="68">
        <v>13622</v>
      </c>
      <c r="G7956" s="68">
        <v>27639</v>
      </c>
    </row>
    <row r="7957" spans="1:7" x14ac:dyDescent="0.3">
      <c r="A7957" t="s">
        <v>1513</v>
      </c>
      <c r="B7957" t="s">
        <v>26</v>
      </c>
      <c r="C7957" t="s">
        <v>24</v>
      </c>
      <c r="D7957" t="s">
        <v>14</v>
      </c>
      <c r="E7957" s="68">
        <v>12985</v>
      </c>
      <c r="F7957" s="68">
        <v>12598</v>
      </c>
      <c r="G7957" s="68">
        <v>25583</v>
      </c>
    </row>
    <row r="7958" spans="1:7" x14ac:dyDescent="0.3">
      <c r="A7958" t="s">
        <v>1513</v>
      </c>
      <c r="B7958" t="s">
        <v>26</v>
      </c>
      <c r="C7958" t="s">
        <v>24</v>
      </c>
      <c r="D7958" t="s">
        <v>15</v>
      </c>
      <c r="E7958" s="68">
        <v>11416</v>
      </c>
      <c r="F7958" s="68">
        <v>10815</v>
      </c>
      <c r="G7958" s="68">
        <v>22231</v>
      </c>
    </row>
    <row r="7959" spans="1:7" x14ac:dyDescent="0.3">
      <c r="A7959" t="s">
        <v>1513</v>
      </c>
      <c r="B7959" t="s">
        <v>26</v>
      </c>
      <c r="C7959" t="s">
        <v>24</v>
      </c>
      <c r="D7959" t="s">
        <v>16</v>
      </c>
      <c r="E7959" s="68">
        <v>11685</v>
      </c>
      <c r="F7959" s="68">
        <v>11424</v>
      </c>
      <c r="G7959" s="68">
        <v>23109</v>
      </c>
    </row>
    <row r="7960" spans="1:7" x14ac:dyDescent="0.3">
      <c r="A7960" t="s">
        <v>1513</v>
      </c>
      <c r="B7960" t="s">
        <v>26</v>
      </c>
      <c r="C7960" t="s">
        <v>24</v>
      </c>
      <c r="D7960" t="s">
        <v>17</v>
      </c>
      <c r="E7960" s="68">
        <v>12899</v>
      </c>
      <c r="F7960" s="68">
        <v>12883</v>
      </c>
      <c r="G7960" s="68">
        <v>25782</v>
      </c>
    </row>
    <row r="7961" spans="1:7" x14ac:dyDescent="0.3">
      <c r="A7961" t="s">
        <v>1513</v>
      </c>
      <c r="B7961" t="s">
        <v>26</v>
      </c>
      <c r="C7961" t="s">
        <v>24</v>
      </c>
      <c r="D7961" t="s">
        <v>18</v>
      </c>
      <c r="E7961" s="68">
        <v>13287</v>
      </c>
      <c r="F7961" s="68">
        <v>13562</v>
      </c>
      <c r="G7961" s="68">
        <v>26849</v>
      </c>
    </row>
    <row r="7962" spans="1:7" x14ac:dyDescent="0.3">
      <c r="A7962" t="s">
        <v>1513</v>
      </c>
      <c r="B7962" t="s">
        <v>26</v>
      </c>
      <c r="C7962" t="s">
        <v>24</v>
      </c>
      <c r="D7962" t="s">
        <v>19</v>
      </c>
      <c r="E7962" s="68">
        <v>11277</v>
      </c>
      <c r="F7962" s="68">
        <v>11999</v>
      </c>
      <c r="G7962" s="68">
        <v>23276</v>
      </c>
    </row>
    <row r="7963" spans="1:7" x14ac:dyDescent="0.3">
      <c r="A7963" t="s">
        <v>1513</v>
      </c>
      <c r="B7963" t="s">
        <v>26</v>
      </c>
      <c r="C7963" t="s">
        <v>24</v>
      </c>
      <c r="D7963" t="s">
        <v>20</v>
      </c>
      <c r="E7963" s="68">
        <v>9383</v>
      </c>
      <c r="F7963" s="68">
        <v>10287</v>
      </c>
      <c r="G7963" s="68">
        <v>19670</v>
      </c>
    </row>
    <row r="7964" spans="1:7" x14ac:dyDescent="0.3">
      <c r="A7964" t="s">
        <v>1513</v>
      </c>
      <c r="B7964" t="s">
        <v>26</v>
      </c>
      <c r="C7964" t="s">
        <v>24</v>
      </c>
      <c r="D7964" t="s">
        <v>21</v>
      </c>
      <c r="E7964" s="68">
        <v>7238</v>
      </c>
      <c r="F7964" s="68">
        <v>8400</v>
      </c>
      <c r="G7964" s="68">
        <v>15638</v>
      </c>
    </row>
    <row r="7965" spans="1:7" x14ac:dyDescent="0.3">
      <c r="A7965" t="s">
        <v>1513</v>
      </c>
      <c r="B7965" t="s">
        <v>26</v>
      </c>
      <c r="C7965" t="s">
        <v>24</v>
      </c>
      <c r="D7965" t="s">
        <v>22</v>
      </c>
      <c r="E7965" s="68">
        <v>5638</v>
      </c>
      <c r="F7965" s="68">
        <v>6185</v>
      </c>
      <c r="G7965" s="68">
        <v>11823</v>
      </c>
    </row>
    <row r="7966" spans="1:7" x14ac:dyDescent="0.3">
      <c r="A7966" t="s">
        <v>1513</v>
      </c>
      <c r="B7966" t="s">
        <v>26</v>
      </c>
      <c r="C7966" t="s">
        <v>24</v>
      </c>
      <c r="D7966" t="s">
        <v>23</v>
      </c>
      <c r="E7966" s="68">
        <v>8583</v>
      </c>
      <c r="F7966" s="68">
        <v>7681</v>
      </c>
      <c r="G7966" s="68">
        <v>16264</v>
      </c>
    </row>
    <row r="7967" spans="1:7" x14ac:dyDescent="0.3">
      <c r="A7967" t="s">
        <v>1513</v>
      </c>
      <c r="B7967" t="s">
        <v>1077</v>
      </c>
      <c r="C7967" t="s">
        <v>6</v>
      </c>
      <c r="D7967" t="s">
        <v>7</v>
      </c>
      <c r="E7967" s="68">
        <v>107</v>
      </c>
      <c r="F7967" s="68">
        <v>92</v>
      </c>
      <c r="G7967" s="68">
        <v>199</v>
      </c>
    </row>
    <row r="7968" spans="1:7" x14ac:dyDescent="0.3">
      <c r="A7968" t="s">
        <v>1513</v>
      </c>
      <c r="B7968" t="s">
        <v>1077</v>
      </c>
      <c r="C7968" t="s">
        <v>6</v>
      </c>
      <c r="D7968" t="s">
        <v>8</v>
      </c>
      <c r="E7968" s="68">
        <v>148</v>
      </c>
      <c r="F7968" s="68">
        <v>137</v>
      </c>
      <c r="G7968" s="68">
        <v>285</v>
      </c>
    </row>
    <row r="7969" spans="1:7" x14ac:dyDescent="0.3">
      <c r="A7969" t="s">
        <v>1513</v>
      </c>
      <c r="B7969" t="s">
        <v>1077</v>
      </c>
      <c r="C7969" t="s">
        <v>6</v>
      </c>
      <c r="D7969" t="s">
        <v>9</v>
      </c>
      <c r="E7969" s="68">
        <v>134</v>
      </c>
      <c r="F7969" s="68">
        <v>130</v>
      </c>
      <c r="G7969" s="68">
        <v>264</v>
      </c>
    </row>
    <row r="7970" spans="1:7" x14ac:dyDescent="0.3">
      <c r="A7970" t="s">
        <v>1513</v>
      </c>
      <c r="B7970" t="s">
        <v>1077</v>
      </c>
      <c r="C7970" t="s">
        <v>6</v>
      </c>
      <c r="D7970" t="s">
        <v>10</v>
      </c>
      <c r="E7970" s="68">
        <v>156</v>
      </c>
      <c r="F7970" s="68">
        <v>159</v>
      </c>
      <c r="G7970" s="68">
        <v>315</v>
      </c>
    </row>
    <row r="7971" spans="1:7" x14ac:dyDescent="0.3">
      <c r="A7971" t="s">
        <v>1513</v>
      </c>
      <c r="B7971" t="s">
        <v>1077</v>
      </c>
      <c r="C7971" t="s">
        <v>6</v>
      </c>
      <c r="D7971" t="s">
        <v>11</v>
      </c>
      <c r="E7971" s="68">
        <v>227</v>
      </c>
      <c r="F7971" s="68">
        <v>208</v>
      </c>
      <c r="G7971" s="68">
        <v>435</v>
      </c>
    </row>
    <row r="7972" spans="1:7" x14ac:dyDescent="0.3">
      <c r="A7972" t="s">
        <v>1513</v>
      </c>
      <c r="B7972" t="s">
        <v>1077</v>
      </c>
      <c r="C7972" t="s">
        <v>6</v>
      </c>
      <c r="D7972" t="s">
        <v>12</v>
      </c>
      <c r="E7972" s="68">
        <v>291</v>
      </c>
      <c r="F7972" s="68">
        <v>229</v>
      </c>
      <c r="G7972" s="68">
        <v>520</v>
      </c>
    </row>
    <row r="7973" spans="1:7" x14ac:dyDescent="0.3">
      <c r="A7973" t="s">
        <v>1513</v>
      </c>
      <c r="B7973" t="s">
        <v>1077</v>
      </c>
      <c r="C7973" t="s">
        <v>6</v>
      </c>
      <c r="D7973" t="s">
        <v>13</v>
      </c>
      <c r="E7973" s="68">
        <v>228</v>
      </c>
      <c r="F7973" s="68">
        <v>186</v>
      </c>
      <c r="G7973" s="68">
        <v>414</v>
      </c>
    </row>
    <row r="7974" spans="1:7" x14ac:dyDescent="0.3">
      <c r="A7974" t="s">
        <v>1513</v>
      </c>
      <c r="B7974" t="s">
        <v>1077</v>
      </c>
      <c r="C7974" t="s">
        <v>6</v>
      </c>
      <c r="D7974" t="s">
        <v>14</v>
      </c>
      <c r="E7974" s="68">
        <v>193</v>
      </c>
      <c r="F7974" s="68">
        <v>120</v>
      </c>
      <c r="G7974" s="68">
        <v>313</v>
      </c>
    </row>
    <row r="7975" spans="1:7" x14ac:dyDescent="0.3">
      <c r="A7975" t="s">
        <v>1513</v>
      </c>
      <c r="B7975" t="s">
        <v>1077</v>
      </c>
      <c r="C7975" t="s">
        <v>6</v>
      </c>
      <c r="D7975" t="s">
        <v>15</v>
      </c>
      <c r="E7975" s="68">
        <v>128</v>
      </c>
      <c r="F7975" s="68">
        <v>123</v>
      </c>
      <c r="G7975" s="68">
        <v>251</v>
      </c>
    </row>
    <row r="7976" spans="1:7" x14ac:dyDescent="0.3">
      <c r="A7976" t="s">
        <v>1513</v>
      </c>
      <c r="B7976" t="s">
        <v>1077</v>
      </c>
      <c r="C7976" t="s">
        <v>6</v>
      </c>
      <c r="D7976" t="s">
        <v>16</v>
      </c>
      <c r="E7976" s="68">
        <v>96</v>
      </c>
      <c r="F7976" s="68">
        <v>106</v>
      </c>
      <c r="G7976" s="68">
        <v>202</v>
      </c>
    </row>
    <row r="7977" spans="1:7" x14ac:dyDescent="0.3">
      <c r="A7977" t="s">
        <v>1513</v>
      </c>
      <c r="B7977" t="s">
        <v>1077</v>
      </c>
      <c r="C7977" t="s">
        <v>6</v>
      </c>
      <c r="D7977" t="s">
        <v>17</v>
      </c>
      <c r="E7977" s="68">
        <v>59</v>
      </c>
      <c r="F7977" s="68">
        <v>76</v>
      </c>
      <c r="G7977" s="68">
        <v>135</v>
      </c>
    </row>
    <row r="7978" spans="1:7" x14ac:dyDescent="0.3">
      <c r="A7978" t="s">
        <v>1513</v>
      </c>
      <c r="B7978" t="s">
        <v>1077</v>
      </c>
      <c r="C7978" t="s">
        <v>6</v>
      </c>
      <c r="D7978" t="s">
        <v>18</v>
      </c>
      <c r="E7978" s="68">
        <v>55</v>
      </c>
      <c r="F7978" s="68">
        <v>61</v>
      </c>
      <c r="G7978" s="68">
        <v>116</v>
      </c>
    </row>
    <row r="7979" spans="1:7" x14ac:dyDescent="0.3">
      <c r="A7979" t="s">
        <v>1513</v>
      </c>
      <c r="B7979" t="s">
        <v>1077</v>
      </c>
      <c r="C7979" t="s">
        <v>6</v>
      </c>
      <c r="D7979" t="s">
        <v>19</v>
      </c>
      <c r="E7979" s="68">
        <v>39</v>
      </c>
      <c r="F7979" s="68">
        <v>54</v>
      </c>
      <c r="G7979" s="68">
        <v>93</v>
      </c>
    </row>
    <row r="7980" spans="1:7" x14ac:dyDescent="0.3">
      <c r="A7980" t="s">
        <v>1513</v>
      </c>
      <c r="B7980" t="s">
        <v>1077</v>
      </c>
      <c r="C7980" t="s">
        <v>6</v>
      </c>
      <c r="D7980" t="s">
        <v>20</v>
      </c>
      <c r="E7980" s="68">
        <v>33</v>
      </c>
      <c r="F7980" s="68">
        <v>46</v>
      </c>
      <c r="G7980" s="68">
        <v>79</v>
      </c>
    </row>
    <row r="7981" spans="1:7" x14ac:dyDescent="0.3">
      <c r="A7981" t="s">
        <v>1513</v>
      </c>
      <c r="B7981" t="s">
        <v>1077</v>
      </c>
      <c r="C7981" t="s">
        <v>6</v>
      </c>
      <c r="D7981" t="s">
        <v>21</v>
      </c>
      <c r="E7981" s="68">
        <v>17</v>
      </c>
      <c r="F7981" s="68">
        <v>17</v>
      </c>
      <c r="G7981" s="68">
        <v>34</v>
      </c>
    </row>
    <row r="7982" spans="1:7" x14ac:dyDescent="0.3">
      <c r="A7982" t="s">
        <v>1513</v>
      </c>
      <c r="B7982" t="s">
        <v>1077</v>
      </c>
      <c r="C7982" t="s">
        <v>6</v>
      </c>
      <c r="D7982" t="s">
        <v>22</v>
      </c>
      <c r="E7982" s="68">
        <v>7</v>
      </c>
      <c r="F7982" s="68">
        <v>13</v>
      </c>
      <c r="G7982" s="68">
        <v>20</v>
      </c>
    </row>
    <row r="7983" spans="1:7" x14ac:dyDescent="0.3">
      <c r="A7983" t="s">
        <v>1513</v>
      </c>
      <c r="B7983" t="s">
        <v>1077</v>
      </c>
      <c r="C7983" t="s">
        <v>6</v>
      </c>
      <c r="D7983" t="s">
        <v>23</v>
      </c>
      <c r="E7983" s="68">
        <v>4</v>
      </c>
      <c r="F7983" s="68">
        <v>4</v>
      </c>
      <c r="G7983" s="68">
        <v>8</v>
      </c>
    </row>
    <row r="7984" spans="1:7" x14ac:dyDescent="0.3">
      <c r="A7984" t="s">
        <v>1513</v>
      </c>
      <c r="B7984" t="s">
        <v>1077</v>
      </c>
      <c r="C7984" t="s">
        <v>24</v>
      </c>
      <c r="D7984" t="s">
        <v>7</v>
      </c>
      <c r="E7984" s="68">
        <v>1807</v>
      </c>
      <c r="F7984" s="68">
        <v>1861</v>
      </c>
      <c r="G7984" s="68">
        <v>3668</v>
      </c>
    </row>
    <row r="7985" spans="1:7" x14ac:dyDescent="0.3">
      <c r="A7985" t="s">
        <v>1513</v>
      </c>
      <c r="B7985" t="s">
        <v>1077</v>
      </c>
      <c r="C7985" t="s">
        <v>24</v>
      </c>
      <c r="D7985" t="s">
        <v>8</v>
      </c>
      <c r="E7985" s="68">
        <v>2310</v>
      </c>
      <c r="F7985" s="68">
        <v>2400</v>
      </c>
      <c r="G7985" s="68">
        <v>4710</v>
      </c>
    </row>
    <row r="7986" spans="1:7" x14ac:dyDescent="0.3">
      <c r="A7986" t="s">
        <v>1513</v>
      </c>
      <c r="B7986" t="s">
        <v>1077</v>
      </c>
      <c r="C7986" t="s">
        <v>24</v>
      </c>
      <c r="D7986" t="s">
        <v>9</v>
      </c>
      <c r="E7986" s="68">
        <v>2593</v>
      </c>
      <c r="F7986" s="68">
        <v>2839</v>
      </c>
      <c r="G7986" s="68">
        <v>5432</v>
      </c>
    </row>
    <row r="7987" spans="1:7" x14ac:dyDescent="0.3">
      <c r="A7987" t="s">
        <v>1513</v>
      </c>
      <c r="B7987" t="s">
        <v>1077</v>
      </c>
      <c r="C7987" t="s">
        <v>24</v>
      </c>
      <c r="D7987" t="s">
        <v>10</v>
      </c>
      <c r="E7987" s="68">
        <v>2673</v>
      </c>
      <c r="F7987" s="68">
        <v>2735</v>
      </c>
      <c r="G7987" s="68">
        <v>5408</v>
      </c>
    </row>
    <row r="7988" spans="1:7" x14ac:dyDescent="0.3">
      <c r="A7988" t="s">
        <v>1513</v>
      </c>
      <c r="B7988" t="s">
        <v>1077</v>
      </c>
      <c r="C7988" t="s">
        <v>24</v>
      </c>
      <c r="D7988" t="s">
        <v>11</v>
      </c>
      <c r="E7988" s="68">
        <v>2204</v>
      </c>
      <c r="F7988" s="68">
        <v>1695</v>
      </c>
      <c r="G7988" s="68">
        <v>3899</v>
      </c>
    </row>
    <row r="7989" spans="1:7" x14ac:dyDescent="0.3">
      <c r="A7989" t="s">
        <v>1513</v>
      </c>
      <c r="B7989" t="s">
        <v>1077</v>
      </c>
      <c r="C7989" t="s">
        <v>24</v>
      </c>
      <c r="D7989" t="s">
        <v>12</v>
      </c>
      <c r="E7989" s="68">
        <v>2139</v>
      </c>
      <c r="F7989" s="68">
        <v>1790</v>
      </c>
      <c r="G7989" s="68">
        <v>3929</v>
      </c>
    </row>
    <row r="7990" spans="1:7" x14ac:dyDescent="0.3">
      <c r="A7990" t="s">
        <v>1513</v>
      </c>
      <c r="B7990" t="s">
        <v>1077</v>
      </c>
      <c r="C7990" t="s">
        <v>24</v>
      </c>
      <c r="D7990" t="s">
        <v>13</v>
      </c>
      <c r="E7990" s="68">
        <v>2046</v>
      </c>
      <c r="F7990" s="68">
        <v>1626</v>
      </c>
      <c r="G7990" s="68">
        <v>3672</v>
      </c>
    </row>
    <row r="7991" spans="1:7" x14ac:dyDescent="0.3">
      <c r="A7991" t="s">
        <v>1513</v>
      </c>
      <c r="B7991" t="s">
        <v>1077</v>
      </c>
      <c r="C7991" t="s">
        <v>24</v>
      </c>
      <c r="D7991" t="s">
        <v>14</v>
      </c>
      <c r="E7991" s="68">
        <v>1851</v>
      </c>
      <c r="F7991" s="68">
        <v>1513</v>
      </c>
      <c r="G7991" s="68">
        <v>3364</v>
      </c>
    </row>
    <row r="7992" spans="1:7" x14ac:dyDescent="0.3">
      <c r="A7992" t="s">
        <v>1513</v>
      </c>
      <c r="B7992" t="s">
        <v>1077</v>
      </c>
      <c r="C7992" t="s">
        <v>24</v>
      </c>
      <c r="D7992" t="s">
        <v>15</v>
      </c>
      <c r="E7992" s="68">
        <v>1787</v>
      </c>
      <c r="F7992" s="68">
        <v>1616</v>
      </c>
      <c r="G7992" s="68">
        <v>3403</v>
      </c>
    </row>
    <row r="7993" spans="1:7" x14ac:dyDescent="0.3">
      <c r="A7993" t="s">
        <v>1513</v>
      </c>
      <c r="B7993" t="s">
        <v>1077</v>
      </c>
      <c r="C7993" t="s">
        <v>24</v>
      </c>
      <c r="D7993" t="s">
        <v>16</v>
      </c>
      <c r="E7993" s="68">
        <v>1759</v>
      </c>
      <c r="F7993" s="68">
        <v>1694</v>
      </c>
      <c r="G7993" s="68">
        <v>3453</v>
      </c>
    </row>
    <row r="7994" spans="1:7" x14ac:dyDescent="0.3">
      <c r="A7994" t="s">
        <v>1513</v>
      </c>
      <c r="B7994" t="s">
        <v>1077</v>
      </c>
      <c r="C7994" t="s">
        <v>24</v>
      </c>
      <c r="D7994" t="s">
        <v>17</v>
      </c>
      <c r="E7994" s="68">
        <v>1822</v>
      </c>
      <c r="F7994" s="68">
        <v>1659</v>
      </c>
      <c r="G7994" s="68">
        <v>3481</v>
      </c>
    </row>
    <row r="7995" spans="1:7" x14ac:dyDescent="0.3">
      <c r="A7995" t="s">
        <v>1513</v>
      </c>
      <c r="B7995" t="s">
        <v>1077</v>
      </c>
      <c r="C7995" t="s">
        <v>24</v>
      </c>
      <c r="D7995" t="s">
        <v>18</v>
      </c>
      <c r="E7995" s="68">
        <v>1892</v>
      </c>
      <c r="F7995" s="68">
        <v>1852</v>
      </c>
      <c r="G7995" s="68">
        <v>3744</v>
      </c>
    </row>
    <row r="7996" spans="1:7" x14ac:dyDescent="0.3">
      <c r="A7996" t="s">
        <v>1513</v>
      </c>
      <c r="B7996" t="s">
        <v>1077</v>
      </c>
      <c r="C7996" t="s">
        <v>24</v>
      </c>
      <c r="D7996" t="s">
        <v>19</v>
      </c>
      <c r="E7996" s="68">
        <v>1823</v>
      </c>
      <c r="F7996" s="68">
        <v>1861</v>
      </c>
      <c r="G7996" s="68">
        <v>3684</v>
      </c>
    </row>
    <row r="7997" spans="1:7" x14ac:dyDescent="0.3">
      <c r="A7997" t="s">
        <v>1513</v>
      </c>
      <c r="B7997" t="s">
        <v>1077</v>
      </c>
      <c r="C7997" t="s">
        <v>24</v>
      </c>
      <c r="D7997" t="s">
        <v>20</v>
      </c>
      <c r="E7997" s="68">
        <v>1465</v>
      </c>
      <c r="F7997" s="68">
        <v>1510</v>
      </c>
      <c r="G7997" s="68">
        <v>2975</v>
      </c>
    </row>
    <row r="7998" spans="1:7" x14ac:dyDescent="0.3">
      <c r="A7998" t="s">
        <v>1513</v>
      </c>
      <c r="B7998" t="s">
        <v>1077</v>
      </c>
      <c r="C7998" t="s">
        <v>24</v>
      </c>
      <c r="D7998" t="s">
        <v>21</v>
      </c>
      <c r="E7998" s="68">
        <v>1107</v>
      </c>
      <c r="F7998" s="68">
        <v>1267</v>
      </c>
      <c r="G7998" s="68">
        <v>2374</v>
      </c>
    </row>
    <row r="7999" spans="1:7" x14ac:dyDescent="0.3">
      <c r="A7999" t="s">
        <v>1513</v>
      </c>
      <c r="B7999" t="s">
        <v>1077</v>
      </c>
      <c r="C7999" t="s">
        <v>24</v>
      </c>
      <c r="D7999" t="s">
        <v>22</v>
      </c>
      <c r="E7999" s="68">
        <v>840</v>
      </c>
      <c r="F7999" s="68">
        <v>954</v>
      </c>
      <c r="G7999" s="68">
        <v>1794</v>
      </c>
    </row>
    <row r="8000" spans="1:7" x14ac:dyDescent="0.3">
      <c r="A8000" t="s">
        <v>1513</v>
      </c>
      <c r="B8000" t="s">
        <v>1077</v>
      </c>
      <c r="C8000" t="s">
        <v>24</v>
      </c>
      <c r="D8000" t="s">
        <v>23</v>
      </c>
      <c r="E8000" s="68">
        <v>1246</v>
      </c>
      <c r="F8000" s="68">
        <v>1142</v>
      </c>
      <c r="G8000" s="68">
        <v>2388</v>
      </c>
    </row>
    <row r="8001" spans="1:7" x14ac:dyDescent="0.3">
      <c r="A8001" t="s">
        <v>1513</v>
      </c>
      <c r="B8001" t="s">
        <v>27</v>
      </c>
      <c r="C8001" t="s">
        <v>28</v>
      </c>
      <c r="D8001" t="s">
        <v>7</v>
      </c>
      <c r="E8001" s="68">
        <v>279</v>
      </c>
      <c r="F8001" s="68">
        <v>262</v>
      </c>
      <c r="G8001" s="68">
        <v>541</v>
      </c>
    </row>
    <row r="8002" spans="1:7" x14ac:dyDescent="0.3">
      <c r="A8002" t="s">
        <v>1513</v>
      </c>
      <c r="B8002" t="s">
        <v>27</v>
      </c>
      <c r="C8002" t="s">
        <v>28</v>
      </c>
      <c r="D8002" t="s">
        <v>8</v>
      </c>
      <c r="E8002" s="68">
        <v>400</v>
      </c>
      <c r="F8002" s="68">
        <v>429</v>
      </c>
      <c r="G8002" s="68">
        <v>829</v>
      </c>
    </row>
    <row r="8003" spans="1:7" x14ac:dyDescent="0.3">
      <c r="A8003" t="s">
        <v>1513</v>
      </c>
      <c r="B8003" t="s">
        <v>27</v>
      </c>
      <c r="C8003" t="s">
        <v>28</v>
      </c>
      <c r="D8003" t="s">
        <v>9</v>
      </c>
      <c r="E8003" s="68">
        <v>617</v>
      </c>
      <c r="F8003" s="68">
        <v>660</v>
      </c>
      <c r="G8003" s="68">
        <v>1277</v>
      </c>
    </row>
    <row r="8004" spans="1:7" x14ac:dyDescent="0.3">
      <c r="A8004" t="s">
        <v>1513</v>
      </c>
      <c r="B8004" t="s">
        <v>27</v>
      </c>
      <c r="C8004" t="s">
        <v>28</v>
      </c>
      <c r="D8004" t="s">
        <v>10</v>
      </c>
      <c r="E8004" s="68">
        <v>711</v>
      </c>
      <c r="F8004" s="68">
        <v>741</v>
      </c>
      <c r="G8004" s="68">
        <v>1452</v>
      </c>
    </row>
    <row r="8005" spans="1:7" x14ac:dyDescent="0.3">
      <c r="A8005" t="s">
        <v>1513</v>
      </c>
      <c r="B8005" t="s">
        <v>27</v>
      </c>
      <c r="C8005" t="s">
        <v>28</v>
      </c>
      <c r="D8005" t="s">
        <v>11</v>
      </c>
      <c r="E8005" s="68">
        <v>691</v>
      </c>
      <c r="F8005" s="68">
        <v>693</v>
      </c>
      <c r="G8005" s="68">
        <v>1384</v>
      </c>
    </row>
    <row r="8006" spans="1:7" x14ac:dyDescent="0.3">
      <c r="A8006" t="s">
        <v>1513</v>
      </c>
      <c r="B8006" t="s">
        <v>27</v>
      </c>
      <c r="C8006" t="s">
        <v>28</v>
      </c>
      <c r="D8006" t="s">
        <v>12</v>
      </c>
      <c r="E8006" s="68">
        <v>440</v>
      </c>
      <c r="F8006" s="68">
        <v>292</v>
      </c>
      <c r="G8006" s="68">
        <v>732</v>
      </c>
    </row>
    <row r="8007" spans="1:7" x14ac:dyDescent="0.3">
      <c r="A8007" t="s">
        <v>1513</v>
      </c>
      <c r="B8007" t="s">
        <v>27</v>
      </c>
      <c r="C8007" t="s">
        <v>28</v>
      </c>
      <c r="D8007" t="s">
        <v>13</v>
      </c>
      <c r="E8007" s="68">
        <v>714</v>
      </c>
      <c r="F8007" s="68">
        <v>507</v>
      </c>
      <c r="G8007" s="68">
        <v>1221</v>
      </c>
    </row>
    <row r="8008" spans="1:7" x14ac:dyDescent="0.3">
      <c r="A8008" t="s">
        <v>1513</v>
      </c>
      <c r="B8008" t="s">
        <v>27</v>
      </c>
      <c r="C8008" t="s">
        <v>28</v>
      </c>
      <c r="D8008" t="s">
        <v>14</v>
      </c>
      <c r="E8008" s="68">
        <v>841</v>
      </c>
      <c r="F8008" s="68">
        <v>600</v>
      </c>
      <c r="G8008" s="68">
        <v>1441</v>
      </c>
    </row>
    <row r="8009" spans="1:7" x14ac:dyDescent="0.3">
      <c r="A8009" t="s">
        <v>1513</v>
      </c>
      <c r="B8009" t="s">
        <v>27</v>
      </c>
      <c r="C8009" t="s">
        <v>28</v>
      </c>
      <c r="D8009" t="s">
        <v>15</v>
      </c>
      <c r="E8009" s="68">
        <v>960</v>
      </c>
      <c r="F8009" s="68">
        <v>640</v>
      </c>
      <c r="G8009" s="68">
        <v>1600</v>
      </c>
    </row>
    <row r="8010" spans="1:7" x14ac:dyDescent="0.3">
      <c r="A8010" t="s">
        <v>1513</v>
      </c>
      <c r="B8010" t="s">
        <v>27</v>
      </c>
      <c r="C8010" t="s">
        <v>28</v>
      </c>
      <c r="D8010" t="s">
        <v>16</v>
      </c>
      <c r="E8010" s="68">
        <v>1053</v>
      </c>
      <c r="F8010" s="68">
        <v>689</v>
      </c>
      <c r="G8010" s="68">
        <v>1742</v>
      </c>
    </row>
    <row r="8011" spans="1:7" x14ac:dyDescent="0.3">
      <c r="A8011" t="s">
        <v>1513</v>
      </c>
      <c r="B8011" t="s">
        <v>27</v>
      </c>
      <c r="C8011" t="s">
        <v>28</v>
      </c>
      <c r="D8011" t="s">
        <v>17</v>
      </c>
      <c r="E8011" s="68">
        <v>1104</v>
      </c>
      <c r="F8011" s="68">
        <v>616</v>
      </c>
      <c r="G8011" s="68">
        <v>1720</v>
      </c>
    </row>
    <row r="8012" spans="1:7" x14ac:dyDescent="0.3">
      <c r="A8012" t="s">
        <v>1513</v>
      </c>
      <c r="B8012" t="s">
        <v>27</v>
      </c>
      <c r="C8012" t="s">
        <v>28</v>
      </c>
      <c r="D8012" t="s">
        <v>18</v>
      </c>
      <c r="E8012" s="68">
        <v>1530</v>
      </c>
      <c r="F8012" s="68">
        <v>808</v>
      </c>
      <c r="G8012" s="68">
        <v>2338</v>
      </c>
    </row>
    <row r="8013" spans="1:7" x14ac:dyDescent="0.3">
      <c r="A8013" t="s">
        <v>1513</v>
      </c>
      <c r="B8013" t="s">
        <v>27</v>
      </c>
      <c r="C8013" t="s">
        <v>28</v>
      </c>
      <c r="D8013" t="s">
        <v>19</v>
      </c>
      <c r="E8013" s="68">
        <v>1661</v>
      </c>
      <c r="F8013" s="68">
        <v>993</v>
      </c>
      <c r="G8013" s="68">
        <v>2654</v>
      </c>
    </row>
    <row r="8014" spans="1:7" x14ac:dyDescent="0.3">
      <c r="A8014" t="s">
        <v>1513</v>
      </c>
      <c r="B8014" t="s">
        <v>27</v>
      </c>
      <c r="C8014" t="s">
        <v>28</v>
      </c>
      <c r="D8014" t="s">
        <v>20</v>
      </c>
      <c r="E8014" s="68">
        <v>1656</v>
      </c>
      <c r="F8014" s="68">
        <v>1036</v>
      </c>
      <c r="G8014" s="68">
        <v>2692</v>
      </c>
    </row>
    <row r="8015" spans="1:7" x14ac:dyDescent="0.3">
      <c r="A8015" t="s">
        <v>1513</v>
      </c>
      <c r="B8015" t="s">
        <v>27</v>
      </c>
      <c r="C8015" t="s">
        <v>28</v>
      </c>
      <c r="D8015" t="s">
        <v>21</v>
      </c>
      <c r="E8015" s="68">
        <v>1601</v>
      </c>
      <c r="F8015" s="68">
        <v>983</v>
      </c>
      <c r="G8015" s="68">
        <v>2584</v>
      </c>
    </row>
    <row r="8016" spans="1:7" x14ac:dyDescent="0.3">
      <c r="A8016" t="s">
        <v>1513</v>
      </c>
      <c r="B8016" t="s">
        <v>27</v>
      </c>
      <c r="C8016" t="s">
        <v>28</v>
      </c>
      <c r="D8016" t="s">
        <v>22</v>
      </c>
      <c r="E8016" s="68">
        <v>958</v>
      </c>
      <c r="F8016" s="68">
        <v>693</v>
      </c>
      <c r="G8016" s="68">
        <v>1651</v>
      </c>
    </row>
    <row r="8017" spans="1:7" x14ac:dyDescent="0.3">
      <c r="A8017" t="s">
        <v>1513</v>
      </c>
      <c r="B8017" t="s">
        <v>27</v>
      </c>
      <c r="C8017" t="s">
        <v>28</v>
      </c>
      <c r="D8017" t="s">
        <v>23</v>
      </c>
      <c r="E8017" s="68">
        <v>542</v>
      </c>
      <c r="F8017" s="68">
        <v>340</v>
      </c>
      <c r="G8017" s="68">
        <v>882</v>
      </c>
    </row>
    <row r="8018" spans="1:7" x14ac:dyDescent="0.3">
      <c r="A8018" t="s">
        <v>1513</v>
      </c>
      <c r="B8018" t="s">
        <v>27</v>
      </c>
      <c r="C8018" t="s">
        <v>29</v>
      </c>
      <c r="D8018" t="s">
        <v>7</v>
      </c>
      <c r="E8018" s="68">
        <v>1</v>
      </c>
      <c r="F8018" s="68">
        <v>2</v>
      </c>
      <c r="G8018" s="68">
        <v>3</v>
      </c>
    </row>
    <row r="8019" spans="1:7" x14ac:dyDescent="0.3">
      <c r="A8019" t="s">
        <v>1513</v>
      </c>
      <c r="B8019" t="s">
        <v>27</v>
      </c>
      <c r="C8019" t="s">
        <v>29</v>
      </c>
      <c r="D8019" t="s">
        <v>10</v>
      </c>
      <c r="E8019" s="68"/>
      <c r="F8019" s="68">
        <v>14</v>
      </c>
      <c r="G8019" s="68">
        <v>14</v>
      </c>
    </row>
    <row r="8020" spans="1:7" x14ac:dyDescent="0.3">
      <c r="A8020" t="s">
        <v>1513</v>
      </c>
      <c r="B8020" t="s">
        <v>27</v>
      </c>
      <c r="C8020" t="s">
        <v>29</v>
      </c>
      <c r="D8020" t="s">
        <v>11</v>
      </c>
      <c r="E8020" s="68">
        <v>26</v>
      </c>
      <c r="F8020" s="68">
        <v>316</v>
      </c>
      <c r="G8020" s="68">
        <v>342</v>
      </c>
    </row>
    <row r="8021" spans="1:7" x14ac:dyDescent="0.3">
      <c r="A8021" t="s">
        <v>1513</v>
      </c>
      <c r="B8021" t="s">
        <v>27</v>
      </c>
      <c r="C8021" t="s">
        <v>29</v>
      </c>
      <c r="D8021" t="s">
        <v>12</v>
      </c>
      <c r="E8021" s="68">
        <v>42</v>
      </c>
      <c r="F8021" s="68">
        <v>551</v>
      </c>
      <c r="G8021" s="68">
        <v>593</v>
      </c>
    </row>
    <row r="8022" spans="1:7" x14ac:dyDescent="0.3">
      <c r="A8022" t="s">
        <v>1513</v>
      </c>
      <c r="B8022" t="s">
        <v>27</v>
      </c>
      <c r="C8022" t="s">
        <v>29</v>
      </c>
      <c r="D8022" t="s">
        <v>13</v>
      </c>
      <c r="E8022" s="68">
        <v>50</v>
      </c>
      <c r="F8022" s="68">
        <v>569</v>
      </c>
      <c r="G8022" s="68">
        <v>619</v>
      </c>
    </row>
    <row r="8023" spans="1:7" x14ac:dyDescent="0.3">
      <c r="A8023" t="s">
        <v>1513</v>
      </c>
      <c r="B8023" t="s">
        <v>27</v>
      </c>
      <c r="C8023" t="s">
        <v>29</v>
      </c>
      <c r="D8023" t="s">
        <v>14</v>
      </c>
      <c r="E8023" s="68">
        <v>34</v>
      </c>
      <c r="F8023" s="68">
        <v>391</v>
      </c>
      <c r="G8023" s="68">
        <v>425</v>
      </c>
    </row>
    <row r="8024" spans="1:7" x14ac:dyDescent="0.3">
      <c r="A8024" t="s">
        <v>1513</v>
      </c>
      <c r="B8024" t="s">
        <v>27</v>
      </c>
      <c r="C8024" t="s">
        <v>29</v>
      </c>
      <c r="D8024" t="s">
        <v>15</v>
      </c>
      <c r="E8024" s="68">
        <v>33</v>
      </c>
      <c r="F8024" s="68">
        <v>252</v>
      </c>
      <c r="G8024" s="68">
        <v>285</v>
      </c>
    </row>
    <row r="8025" spans="1:7" x14ac:dyDescent="0.3">
      <c r="A8025" t="s">
        <v>1513</v>
      </c>
      <c r="B8025" t="s">
        <v>27</v>
      </c>
      <c r="C8025" t="s">
        <v>29</v>
      </c>
      <c r="D8025" t="s">
        <v>16</v>
      </c>
      <c r="E8025" s="68">
        <v>18</v>
      </c>
      <c r="F8025" s="68">
        <v>185</v>
      </c>
      <c r="G8025" s="68">
        <v>203</v>
      </c>
    </row>
    <row r="8026" spans="1:7" x14ac:dyDescent="0.3">
      <c r="A8026" t="s">
        <v>1513</v>
      </c>
      <c r="B8026" t="s">
        <v>27</v>
      </c>
      <c r="C8026" t="s">
        <v>29</v>
      </c>
      <c r="D8026" t="s">
        <v>17</v>
      </c>
      <c r="E8026" s="68">
        <v>8</v>
      </c>
      <c r="F8026" s="68">
        <v>146</v>
      </c>
      <c r="G8026" s="68">
        <v>154</v>
      </c>
    </row>
    <row r="8027" spans="1:7" x14ac:dyDescent="0.3">
      <c r="A8027" t="s">
        <v>1513</v>
      </c>
      <c r="B8027" t="s">
        <v>27</v>
      </c>
      <c r="C8027" t="s">
        <v>29</v>
      </c>
      <c r="D8027" t="s">
        <v>18</v>
      </c>
      <c r="E8027" s="68">
        <v>13</v>
      </c>
      <c r="F8027" s="68">
        <v>105</v>
      </c>
      <c r="G8027" s="68">
        <v>118</v>
      </c>
    </row>
    <row r="8028" spans="1:7" x14ac:dyDescent="0.3">
      <c r="A8028" t="s">
        <v>1513</v>
      </c>
      <c r="B8028" t="s">
        <v>27</v>
      </c>
      <c r="C8028" t="s">
        <v>29</v>
      </c>
      <c r="D8028" t="s">
        <v>19</v>
      </c>
      <c r="E8028" s="68">
        <v>7</v>
      </c>
      <c r="F8028" s="68">
        <v>75</v>
      </c>
      <c r="G8028" s="68">
        <v>82</v>
      </c>
    </row>
    <row r="8029" spans="1:7" x14ac:dyDescent="0.3">
      <c r="A8029" t="s">
        <v>1513</v>
      </c>
      <c r="B8029" t="s">
        <v>27</v>
      </c>
      <c r="C8029" t="s">
        <v>29</v>
      </c>
      <c r="D8029" t="s">
        <v>20</v>
      </c>
      <c r="E8029" s="68">
        <v>1</v>
      </c>
      <c r="F8029" s="68">
        <v>50</v>
      </c>
      <c r="G8029" s="68">
        <v>51</v>
      </c>
    </row>
    <row r="8030" spans="1:7" x14ac:dyDescent="0.3">
      <c r="A8030" t="s">
        <v>1513</v>
      </c>
      <c r="B8030" t="s">
        <v>27</v>
      </c>
      <c r="C8030" t="s">
        <v>29</v>
      </c>
      <c r="D8030" t="s">
        <v>21</v>
      </c>
      <c r="E8030" s="68"/>
      <c r="F8030" s="68">
        <v>25</v>
      </c>
      <c r="G8030" s="68">
        <v>25</v>
      </c>
    </row>
    <row r="8031" spans="1:7" x14ac:dyDescent="0.3">
      <c r="A8031" t="s">
        <v>1513</v>
      </c>
      <c r="B8031" t="s">
        <v>27</v>
      </c>
      <c r="C8031" t="s">
        <v>29</v>
      </c>
      <c r="D8031" t="s">
        <v>22</v>
      </c>
      <c r="E8031" s="68"/>
      <c r="F8031" s="68">
        <v>14</v>
      </c>
      <c r="G8031" s="68">
        <v>14</v>
      </c>
    </row>
    <row r="8032" spans="1:7" x14ac:dyDescent="0.3">
      <c r="A8032" t="s">
        <v>1513</v>
      </c>
      <c r="B8032" t="s">
        <v>27</v>
      </c>
      <c r="C8032" t="s">
        <v>29</v>
      </c>
      <c r="D8032" t="s">
        <v>23</v>
      </c>
      <c r="E8032" s="68"/>
      <c r="F8032" s="68">
        <v>5</v>
      </c>
      <c r="G8032" s="68">
        <v>5</v>
      </c>
    </row>
    <row r="8033" spans="1:7" x14ac:dyDescent="0.3">
      <c r="A8033" t="s">
        <v>1513</v>
      </c>
      <c r="B8033" t="s">
        <v>36</v>
      </c>
      <c r="C8033" t="s">
        <v>6</v>
      </c>
      <c r="D8033" t="s">
        <v>7</v>
      </c>
      <c r="E8033" s="68">
        <v>3672</v>
      </c>
      <c r="F8033" s="68">
        <v>3708</v>
      </c>
      <c r="G8033" s="68">
        <v>7380</v>
      </c>
    </row>
    <row r="8034" spans="1:7" x14ac:dyDescent="0.3">
      <c r="A8034" t="s">
        <v>1513</v>
      </c>
      <c r="B8034" t="s">
        <v>36</v>
      </c>
      <c r="C8034" t="s">
        <v>6</v>
      </c>
      <c r="D8034" t="s">
        <v>8</v>
      </c>
      <c r="E8034" s="68">
        <v>5306</v>
      </c>
      <c r="F8034" s="68">
        <v>5617</v>
      </c>
      <c r="G8034" s="68">
        <v>10923</v>
      </c>
    </row>
    <row r="8035" spans="1:7" x14ac:dyDescent="0.3">
      <c r="A8035" t="s">
        <v>1513</v>
      </c>
      <c r="B8035" t="s">
        <v>36</v>
      </c>
      <c r="C8035" t="s">
        <v>6</v>
      </c>
      <c r="D8035" t="s">
        <v>9</v>
      </c>
      <c r="E8035" s="68">
        <v>6640</v>
      </c>
      <c r="F8035" s="68">
        <v>6779</v>
      </c>
      <c r="G8035" s="68">
        <v>13419</v>
      </c>
    </row>
    <row r="8036" spans="1:7" x14ac:dyDescent="0.3">
      <c r="A8036" t="s">
        <v>1513</v>
      </c>
      <c r="B8036" t="s">
        <v>36</v>
      </c>
      <c r="C8036" t="s">
        <v>6</v>
      </c>
      <c r="D8036" t="s">
        <v>10</v>
      </c>
      <c r="E8036" s="68">
        <v>6881</v>
      </c>
      <c r="F8036" s="68">
        <v>6939</v>
      </c>
      <c r="G8036" s="68">
        <v>13820</v>
      </c>
    </row>
    <row r="8037" spans="1:7" x14ac:dyDescent="0.3">
      <c r="A8037" t="s">
        <v>1513</v>
      </c>
      <c r="B8037" t="s">
        <v>36</v>
      </c>
      <c r="C8037" t="s">
        <v>6</v>
      </c>
      <c r="D8037" t="s">
        <v>11</v>
      </c>
      <c r="E8037" s="68">
        <v>7159</v>
      </c>
      <c r="F8037" s="68">
        <v>7319</v>
      </c>
      <c r="G8037" s="68">
        <v>14478</v>
      </c>
    </row>
    <row r="8038" spans="1:7" x14ac:dyDescent="0.3">
      <c r="A8038" t="s">
        <v>1513</v>
      </c>
      <c r="B8038" t="s">
        <v>36</v>
      </c>
      <c r="C8038" t="s">
        <v>6</v>
      </c>
      <c r="D8038" t="s">
        <v>12</v>
      </c>
      <c r="E8038" s="68">
        <v>7771</v>
      </c>
      <c r="F8038" s="68">
        <v>7714</v>
      </c>
      <c r="G8038" s="68">
        <v>15485</v>
      </c>
    </row>
    <row r="8039" spans="1:7" x14ac:dyDescent="0.3">
      <c r="A8039" t="s">
        <v>1513</v>
      </c>
      <c r="B8039" t="s">
        <v>36</v>
      </c>
      <c r="C8039" t="s">
        <v>6</v>
      </c>
      <c r="D8039" t="s">
        <v>13</v>
      </c>
      <c r="E8039" s="68">
        <v>8461</v>
      </c>
      <c r="F8039" s="68">
        <v>8182</v>
      </c>
      <c r="G8039" s="68">
        <v>16643</v>
      </c>
    </row>
    <row r="8040" spans="1:7" x14ac:dyDescent="0.3">
      <c r="A8040" t="s">
        <v>1513</v>
      </c>
      <c r="B8040" t="s">
        <v>36</v>
      </c>
      <c r="C8040" t="s">
        <v>6</v>
      </c>
      <c r="D8040" t="s">
        <v>14</v>
      </c>
      <c r="E8040" s="68">
        <v>7921</v>
      </c>
      <c r="F8040" s="68">
        <v>7508</v>
      </c>
      <c r="G8040" s="68">
        <v>15429</v>
      </c>
    </row>
    <row r="8041" spans="1:7" x14ac:dyDescent="0.3">
      <c r="A8041" t="s">
        <v>1513</v>
      </c>
      <c r="B8041" t="s">
        <v>36</v>
      </c>
      <c r="C8041" t="s">
        <v>6</v>
      </c>
      <c r="D8041" t="s">
        <v>15</v>
      </c>
      <c r="E8041" s="68">
        <v>7582</v>
      </c>
      <c r="F8041" s="68">
        <v>7198</v>
      </c>
      <c r="G8041" s="68">
        <v>14780</v>
      </c>
    </row>
    <row r="8042" spans="1:7" x14ac:dyDescent="0.3">
      <c r="A8042" t="s">
        <v>1513</v>
      </c>
      <c r="B8042" t="s">
        <v>36</v>
      </c>
      <c r="C8042" t="s">
        <v>6</v>
      </c>
      <c r="D8042" t="s">
        <v>16</v>
      </c>
      <c r="E8042" s="68">
        <v>6756</v>
      </c>
      <c r="F8042" s="68">
        <v>6601</v>
      </c>
      <c r="G8042" s="68">
        <v>13357</v>
      </c>
    </row>
    <row r="8043" spans="1:7" x14ac:dyDescent="0.3">
      <c r="A8043" t="s">
        <v>1513</v>
      </c>
      <c r="B8043" t="s">
        <v>36</v>
      </c>
      <c r="C8043" t="s">
        <v>6</v>
      </c>
      <c r="D8043" t="s">
        <v>17</v>
      </c>
      <c r="E8043" s="68">
        <v>5644</v>
      </c>
      <c r="F8043" s="68">
        <v>5640</v>
      </c>
      <c r="G8043" s="68">
        <v>11284</v>
      </c>
    </row>
    <row r="8044" spans="1:7" x14ac:dyDescent="0.3">
      <c r="A8044" t="s">
        <v>1513</v>
      </c>
      <c r="B8044" t="s">
        <v>36</v>
      </c>
      <c r="C8044" t="s">
        <v>6</v>
      </c>
      <c r="D8044" t="s">
        <v>18</v>
      </c>
      <c r="E8044" s="68">
        <v>5257</v>
      </c>
      <c r="F8044" s="68">
        <v>4988</v>
      </c>
      <c r="G8044" s="68">
        <v>10245</v>
      </c>
    </row>
    <row r="8045" spans="1:7" x14ac:dyDescent="0.3">
      <c r="A8045" t="s">
        <v>1513</v>
      </c>
      <c r="B8045" t="s">
        <v>36</v>
      </c>
      <c r="C8045" t="s">
        <v>6</v>
      </c>
      <c r="D8045" t="s">
        <v>19</v>
      </c>
      <c r="E8045" s="68">
        <v>5158</v>
      </c>
      <c r="F8045" s="68">
        <v>4642</v>
      </c>
      <c r="G8045" s="68">
        <v>9800</v>
      </c>
    </row>
    <row r="8046" spans="1:7" x14ac:dyDescent="0.3">
      <c r="A8046" t="s">
        <v>1513</v>
      </c>
      <c r="B8046" t="s">
        <v>36</v>
      </c>
      <c r="C8046" t="s">
        <v>6</v>
      </c>
      <c r="D8046" t="s">
        <v>20</v>
      </c>
      <c r="E8046" s="68">
        <v>4057</v>
      </c>
      <c r="F8046" s="68">
        <v>3473</v>
      </c>
      <c r="G8046" s="68">
        <v>7530</v>
      </c>
    </row>
    <row r="8047" spans="1:7" x14ac:dyDescent="0.3">
      <c r="A8047" t="s">
        <v>1513</v>
      </c>
      <c r="B8047" t="s">
        <v>36</v>
      </c>
      <c r="C8047" t="s">
        <v>6</v>
      </c>
      <c r="D8047" t="s">
        <v>21</v>
      </c>
      <c r="E8047" s="68">
        <v>2956</v>
      </c>
      <c r="F8047" s="68">
        <v>2655</v>
      </c>
      <c r="G8047" s="68">
        <v>5611</v>
      </c>
    </row>
    <row r="8048" spans="1:7" x14ac:dyDescent="0.3">
      <c r="A8048" t="s">
        <v>1513</v>
      </c>
      <c r="B8048" t="s">
        <v>36</v>
      </c>
      <c r="C8048" t="s">
        <v>6</v>
      </c>
      <c r="D8048" t="s">
        <v>22</v>
      </c>
      <c r="E8048" s="68">
        <v>2094</v>
      </c>
      <c r="F8048" s="68">
        <v>1751</v>
      </c>
      <c r="G8048" s="68">
        <v>3845</v>
      </c>
    </row>
    <row r="8049" spans="1:7" x14ac:dyDescent="0.3">
      <c r="A8049" t="s">
        <v>1513</v>
      </c>
      <c r="B8049" t="s">
        <v>36</v>
      </c>
      <c r="C8049" t="s">
        <v>6</v>
      </c>
      <c r="D8049" t="s">
        <v>23</v>
      </c>
      <c r="E8049" s="68">
        <v>2643</v>
      </c>
      <c r="F8049" s="68">
        <v>1650</v>
      </c>
      <c r="G8049" s="68">
        <v>4293</v>
      </c>
    </row>
    <row r="8050" spans="1:7" x14ac:dyDescent="0.3">
      <c r="A8050" t="s">
        <v>1513</v>
      </c>
      <c r="B8050" t="s">
        <v>36</v>
      </c>
      <c r="C8050" t="s">
        <v>24</v>
      </c>
      <c r="D8050" t="s">
        <v>7</v>
      </c>
      <c r="E8050" s="68">
        <v>3603</v>
      </c>
      <c r="F8050" s="68">
        <v>3874</v>
      </c>
      <c r="G8050" s="68">
        <v>7477</v>
      </c>
    </row>
    <row r="8051" spans="1:7" x14ac:dyDescent="0.3">
      <c r="A8051" t="s">
        <v>1513</v>
      </c>
      <c r="B8051" t="s">
        <v>36</v>
      </c>
      <c r="C8051" t="s">
        <v>24</v>
      </c>
      <c r="D8051" t="s">
        <v>8</v>
      </c>
      <c r="E8051" s="68">
        <v>5528</v>
      </c>
      <c r="F8051" s="68">
        <v>5899</v>
      </c>
      <c r="G8051" s="68">
        <v>11427</v>
      </c>
    </row>
    <row r="8052" spans="1:7" x14ac:dyDescent="0.3">
      <c r="A8052" t="s">
        <v>1513</v>
      </c>
      <c r="B8052" t="s">
        <v>36</v>
      </c>
      <c r="C8052" t="s">
        <v>24</v>
      </c>
      <c r="D8052" t="s">
        <v>9</v>
      </c>
      <c r="E8052" s="68">
        <v>6990</v>
      </c>
      <c r="F8052" s="68">
        <v>7454</v>
      </c>
      <c r="G8052" s="68">
        <v>14444</v>
      </c>
    </row>
    <row r="8053" spans="1:7" x14ac:dyDescent="0.3">
      <c r="A8053" t="s">
        <v>1513</v>
      </c>
      <c r="B8053" t="s">
        <v>36</v>
      </c>
      <c r="C8053" t="s">
        <v>24</v>
      </c>
      <c r="D8053" t="s">
        <v>10</v>
      </c>
      <c r="E8053" s="68">
        <v>7013</v>
      </c>
      <c r="F8053" s="68">
        <v>7565</v>
      </c>
      <c r="G8053" s="68">
        <v>14578</v>
      </c>
    </row>
    <row r="8054" spans="1:7" x14ac:dyDescent="0.3">
      <c r="A8054" t="s">
        <v>1513</v>
      </c>
      <c r="B8054" t="s">
        <v>36</v>
      </c>
      <c r="C8054" t="s">
        <v>24</v>
      </c>
      <c r="D8054" t="s">
        <v>11</v>
      </c>
      <c r="E8054" s="68">
        <v>6015</v>
      </c>
      <c r="F8054" s="68">
        <v>5527</v>
      </c>
      <c r="G8054" s="68">
        <v>11542</v>
      </c>
    </row>
    <row r="8055" spans="1:7" x14ac:dyDescent="0.3">
      <c r="A8055" t="s">
        <v>1513</v>
      </c>
      <c r="B8055" t="s">
        <v>36</v>
      </c>
      <c r="C8055" t="s">
        <v>24</v>
      </c>
      <c r="D8055" t="s">
        <v>12</v>
      </c>
      <c r="E8055" s="68">
        <v>6830</v>
      </c>
      <c r="F8055" s="68">
        <v>6256</v>
      </c>
      <c r="G8055" s="68">
        <v>13086</v>
      </c>
    </row>
    <row r="8056" spans="1:7" x14ac:dyDescent="0.3">
      <c r="A8056" t="s">
        <v>1513</v>
      </c>
      <c r="B8056" t="s">
        <v>36</v>
      </c>
      <c r="C8056" t="s">
        <v>24</v>
      </c>
      <c r="D8056" t="s">
        <v>13</v>
      </c>
      <c r="E8056" s="68">
        <v>6028</v>
      </c>
      <c r="F8056" s="68">
        <v>5390</v>
      </c>
      <c r="G8056" s="68">
        <v>11418</v>
      </c>
    </row>
    <row r="8057" spans="1:7" x14ac:dyDescent="0.3">
      <c r="A8057" t="s">
        <v>1513</v>
      </c>
      <c r="B8057" t="s">
        <v>36</v>
      </c>
      <c r="C8057" t="s">
        <v>24</v>
      </c>
      <c r="D8057" t="s">
        <v>14</v>
      </c>
      <c r="E8057" s="68">
        <v>5200</v>
      </c>
      <c r="F8057" s="68">
        <v>4462</v>
      </c>
      <c r="G8057" s="68">
        <v>9662</v>
      </c>
    </row>
    <row r="8058" spans="1:7" x14ac:dyDescent="0.3">
      <c r="A8058" t="s">
        <v>1513</v>
      </c>
      <c r="B8058" t="s">
        <v>36</v>
      </c>
      <c r="C8058" t="s">
        <v>24</v>
      </c>
      <c r="D8058" t="s">
        <v>15</v>
      </c>
      <c r="E8058" s="68">
        <v>5190</v>
      </c>
      <c r="F8058" s="68">
        <v>4490</v>
      </c>
      <c r="G8058" s="68">
        <v>9680</v>
      </c>
    </row>
    <row r="8059" spans="1:7" x14ac:dyDescent="0.3">
      <c r="A8059" t="s">
        <v>1513</v>
      </c>
      <c r="B8059" t="s">
        <v>36</v>
      </c>
      <c r="C8059" t="s">
        <v>24</v>
      </c>
      <c r="D8059" t="s">
        <v>16</v>
      </c>
      <c r="E8059" s="68">
        <v>4943</v>
      </c>
      <c r="F8059" s="68">
        <v>4431</v>
      </c>
      <c r="G8059" s="68">
        <v>9374</v>
      </c>
    </row>
    <row r="8060" spans="1:7" x14ac:dyDescent="0.3">
      <c r="A8060" t="s">
        <v>1513</v>
      </c>
      <c r="B8060" t="s">
        <v>36</v>
      </c>
      <c r="C8060" t="s">
        <v>24</v>
      </c>
      <c r="D8060" t="s">
        <v>17</v>
      </c>
      <c r="E8060" s="68">
        <v>4646</v>
      </c>
      <c r="F8060" s="68">
        <v>4134</v>
      </c>
      <c r="G8060" s="68">
        <v>8780</v>
      </c>
    </row>
    <row r="8061" spans="1:7" x14ac:dyDescent="0.3">
      <c r="A8061" t="s">
        <v>1513</v>
      </c>
      <c r="B8061" t="s">
        <v>36</v>
      </c>
      <c r="C8061" t="s">
        <v>24</v>
      </c>
      <c r="D8061" t="s">
        <v>18</v>
      </c>
      <c r="E8061" s="68">
        <v>4694</v>
      </c>
      <c r="F8061" s="68">
        <v>4404</v>
      </c>
      <c r="G8061" s="68">
        <v>9098</v>
      </c>
    </row>
    <row r="8062" spans="1:7" x14ac:dyDescent="0.3">
      <c r="A8062" t="s">
        <v>1513</v>
      </c>
      <c r="B8062" t="s">
        <v>36</v>
      </c>
      <c r="C8062" t="s">
        <v>24</v>
      </c>
      <c r="D8062" t="s">
        <v>19</v>
      </c>
      <c r="E8062" s="68">
        <v>4910</v>
      </c>
      <c r="F8062" s="68">
        <v>4825</v>
      </c>
      <c r="G8062" s="68">
        <v>9735</v>
      </c>
    </row>
    <row r="8063" spans="1:7" x14ac:dyDescent="0.3">
      <c r="A8063" t="s">
        <v>1513</v>
      </c>
      <c r="B8063" t="s">
        <v>36</v>
      </c>
      <c r="C8063" t="s">
        <v>24</v>
      </c>
      <c r="D8063" t="s">
        <v>20</v>
      </c>
      <c r="E8063" s="68">
        <v>3875</v>
      </c>
      <c r="F8063" s="68">
        <v>3816</v>
      </c>
      <c r="G8063" s="68">
        <v>7691</v>
      </c>
    </row>
    <row r="8064" spans="1:7" x14ac:dyDescent="0.3">
      <c r="A8064" t="s">
        <v>1513</v>
      </c>
      <c r="B8064" t="s">
        <v>36</v>
      </c>
      <c r="C8064" t="s">
        <v>24</v>
      </c>
      <c r="D8064" t="s">
        <v>21</v>
      </c>
      <c r="E8064" s="68">
        <v>2872</v>
      </c>
      <c r="F8064" s="68">
        <v>2982</v>
      </c>
      <c r="G8064" s="68">
        <v>5854</v>
      </c>
    </row>
    <row r="8065" spans="1:7" x14ac:dyDescent="0.3">
      <c r="A8065" t="s">
        <v>1513</v>
      </c>
      <c r="B8065" t="s">
        <v>36</v>
      </c>
      <c r="C8065" t="s">
        <v>24</v>
      </c>
      <c r="D8065" t="s">
        <v>22</v>
      </c>
      <c r="E8065" s="68">
        <v>1959</v>
      </c>
      <c r="F8065" s="68">
        <v>1961</v>
      </c>
      <c r="G8065" s="68">
        <v>3920</v>
      </c>
    </row>
    <row r="8066" spans="1:7" x14ac:dyDescent="0.3">
      <c r="A8066" t="s">
        <v>1513</v>
      </c>
      <c r="B8066" t="s">
        <v>36</v>
      </c>
      <c r="C8066" t="s">
        <v>24</v>
      </c>
      <c r="D8066" t="s">
        <v>23</v>
      </c>
      <c r="E8066" s="68">
        <v>2555</v>
      </c>
      <c r="F8066" s="68">
        <v>2270</v>
      </c>
      <c r="G8066" s="68">
        <v>4825</v>
      </c>
    </row>
    <row r="8067" spans="1:7" x14ac:dyDescent="0.3">
      <c r="A8067" t="s">
        <v>42</v>
      </c>
      <c r="B8067" t="s">
        <v>38</v>
      </c>
      <c r="C8067" t="s">
        <v>6</v>
      </c>
      <c r="D8067" t="s">
        <v>7</v>
      </c>
      <c r="E8067" s="68">
        <v>83</v>
      </c>
      <c r="F8067" s="68">
        <v>101</v>
      </c>
      <c r="G8067" s="68">
        <v>184</v>
      </c>
    </row>
    <row r="8068" spans="1:7" x14ac:dyDescent="0.3">
      <c r="A8068" t="s">
        <v>42</v>
      </c>
      <c r="B8068" t="s">
        <v>38</v>
      </c>
      <c r="C8068" t="s">
        <v>6</v>
      </c>
      <c r="D8068" t="s">
        <v>8</v>
      </c>
      <c r="E8068" s="68">
        <v>87</v>
      </c>
      <c r="F8068" s="68">
        <v>96</v>
      </c>
      <c r="G8068" s="68">
        <v>183</v>
      </c>
    </row>
    <row r="8069" spans="1:7" x14ac:dyDescent="0.3">
      <c r="A8069" t="s">
        <v>42</v>
      </c>
      <c r="B8069" t="s">
        <v>38</v>
      </c>
      <c r="C8069" t="s">
        <v>6</v>
      </c>
      <c r="D8069" t="s">
        <v>9</v>
      </c>
      <c r="E8069" s="68">
        <v>85</v>
      </c>
      <c r="F8069" s="68">
        <v>93</v>
      </c>
      <c r="G8069" s="68">
        <v>178</v>
      </c>
    </row>
    <row r="8070" spans="1:7" x14ac:dyDescent="0.3">
      <c r="A8070" t="s">
        <v>42</v>
      </c>
      <c r="B8070" t="s">
        <v>38</v>
      </c>
      <c r="C8070" t="s">
        <v>6</v>
      </c>
      <c r="D8070" t="s">
        <v>10</v>
      </c>
      <c r="E8070" s="68">
        <v>266</v>
      </c>
      <c r="F8070" s="68">
        <v>327</v>
      </c>
      <c r="G8070" s="68">
        <v>593</v>
      </c>
    </row>
    <row r="8071" spans="1:7" x14ac:dyDescent="0.3">
      <c r="A8071" t="s">
        <v>42</v>
      </c>
      <c r="B8071" t="s">
        <v>38</v>
      </c>
      <c r="C8071" t="s">
        <v>6</v>
      </c>
      <c r="D8071" t="s">
        <v>11</v>
      </c>
      <c r="E8071" s="68">
        <v>921</v>
      </c>
      <c r="F8071" s="68">
        <v>1303</v>
      </c>
      <c r="G8071" s="68">
        <v>2224</v>
      </c>
    </row>
    <row r="8072" spans="1:7" x14ac:dyDescent="0.3">
      <c r="A8072" t="s">
        <v>42</v>
      </c>
      <c r="B8072" t="s">
        <v>38</v>
      </c>
      <c r="C8072" t="s">
        <v>6</v>
      </c>
      <c r="D8072" t="s">
        <v>12</v>
      </c>
      <c r="E8072" s="68">
        <v>891</v>
      </c>
      <c r="F8072" s="68">
        <v>973</v>
      </c>
      <c r="G8072" s="68">
        <v>1864</v>
      </c>
    </row>
    <row r="8073" spans="1:7" x14ac:dyDescent="0.3">
      <c r="A8073" t="s">
        <v>42</v>
      </c>
      <c r="B8073" t="s">
        <v>38</v>
      </c>
      <c r="C8073" t="s">
        <v>6</v>
      </c>
      <c r="D8073" t="s">
        <v>13</v>
      </c>
      <c r="E8073" s="68">
        <v>734</v>
      </c>
      <c r="F8073" s="68">
        <v>619</v>
      </c>
      <c r="G8073" s="68">
        <v>1353</v>
      </c>
    </row>
    <row r="8074" spans="1:7" x14ac:dyDescent="0.3">
      <c r="A8074" t="s">
        <v>42</v>
      </c>
      <c r="B8074" t="s">
        <v>38</v>
      </c>
      <c r="C8074" t="s">
        <v>6</v>
      </c>
      <c r="D8074" t="s">
        <v>14</v>
      </c>
      <c r="E8074" s="68">
        <v>474</v>
      </c>
      <c r="F8074" s="68">
        <v>422</v>
      </c>
      <c r="G8074" s="68">
        <v>896</v>
      </c>
    </row>
    <row r="8075" spans="1:7" x14ac:dyDescent="0.3">
      <c r="A8075" t="s">
        <v>42</v>
      </c>
      <c r="B8075" t="s">
        <v>38</v>
      </c>
      <c r="C8075" t="s">
        <v>6</v>
      </c>
      <c r="D8075" t="s">
        <v>15</v>
      </c>
      <c r="E8075" s="68">
        <v>356</v>
      </c>
      <c r="F8075" s="68">
        <v>327</v>
      </c>
      <c r="G8075" s="68">
        <v>683</v>
      </c>
    </row>
    <row r="8076" spans="1:7" x14ac:dyDescent="0.3">
      <c r="A8076" t="s">
        <v>42</v>
      </c>
      <c r="B8076" t="s">
        <v>38</v>
      </c>
      <c r="C8076" t="s">
        <v>6</v>
      </c>
      <c r="D8076" t="s">
        <v>16</v>
      </c>
      <c r="E8076" s="68">
        <v>271</v>
      </c>
      <c r="F8076" s="68">
        <v>255</v>
      </c>
      <c r="G8076" s="68">
        <v>526</v>
      </c>
    </row>
    <row r="8077" spans="1:7" x14ac:dyDescent="0.3">
      <c r="A8077" t="s">
        <v>42</v>
      </c>
      <c r="B8077" t="s">
        <v>38</v>
      </c>
      <c r="C8077" t="s">
        <v>6</v>
      </c>
      <c r="D8077" t="s">
        <v>17</v>
      </c>
      <c r="E8077" s="68">
        <v>182</v>
      </c>
      <c r="F8077" s="68">
        <v>263</v>
      </c>
      <c r="G8077" s="68">
        <v>445</v>
      </c>
    </row>
    <row r="8078" spans="1:7" x14ac:dyDescent="0.3">
      <c r="A8078" t="s">
        <v>42</v>
      </c>
      <c r="B8078" t="s">
        <v>38</v>
      </c>
      <c r="C8078" t="s">
        <v>6</v>
      </c>
      <c r="D8078" t="s">
        <v>18</v>
      </c>
      <c r="E8078" s="68">
        <v>122</v>
      </c>
      <c r="F8078" s="68">
        <v>202</v>
      </c>
      <c r="G8078" s="68">
        <v>324</v>
      </c>
    </row>
    <row r="8079" spans="1:7" x14ac:dyDescent="0.3">
      <c r="A8079" t="s">
        <v>42</v>
      </c>
      <c r="B8079" t="s">
        <v>38</v>
      </c>
      <c r="C8079" t="s">
        <v>6</v>
      </c>
      <c r="D8079" t="s">
        <v>19</v>
      </c>
      <c r="E8079" s="68">
        <v>91</v>
      </c>
      <c r="F8079" s="68">
        <v>177</v>
      </c>
      <c r="G8079" s="68">
        <v>268</v>
      </c>
    </row>
    <row r="8080" spans="1:7" x14ac:dyDescent="0.3">
      <c r="A8080" t="s">
        <v>42</v>
      </c>
      <c r="B8080" t="s">
        <v>38</v>
      </c>
      <c r="C8080" t="s">
        <v>6</v>
      </c>
      <c r="D8080" t="s">
        <v>20</v>
      </c>
      <c r="E8080" s="68">
        <v>70</v>
      </c>
      <c r="F8080" s="68">
        <v>179</v>
      </c>
      <c r="G8080" s="68">
        <v>249</v>
      </c>
    </row>
    <row r="8081" spans="1:7" x14ac:dyDescent="0.3">
      <c r="A8081" t="s">
        <v>42</v>
      </c>
      <c r="B8081" t="s">
        <v>38</v>
      </c>
      <c r="C8081" t="s">
        <v>6</v>
      </c>
      <c r="D8081" t="s">
        <v>21</v>
      </c>
      <c r="E8081" s="68">
        <v>51</v>
      </c>
      <c r="F8081" s="68">
        <v>84</v>
      </c>
      <c r="G8081" s="68">
        <v>135</v>
      </c>
    </row>
    <row r="8082" spans="1:7" x14ac:dyDescent="0.3">
      <c r="A8082" t="s">
        <v>42</v>
      </c>
      <c r="B8082" t="s">
        <v>38</v>
      </c>
      <c r="C8082" t="s">
        <v>6</v>
      </c>
      <c r="D8082" t="s">
        <v>22</v>
      </c>
      <c r="E8082" s="68">
        <v>32</v>
      </c>
      <c r="F8082" s="68">
        <v>36</v>
      </c>
      <c r="G8082" s="68">
        <v>68</v>
      </c>
    </row>
    <row r="8083" spans="1:7" x14ac:dyDescent="0.3">
      <c r="A8083" t="s">
        <v>42</v>
      </c>
      <c r="B8083" t="s">
        <v>38</v>
      </c>
      <c r="C8083" t="s">
        <v>6</v>
      </c>
      <c r="D8083" t="s">
        <v>23</v>
      </c>
      <c r="E8083" s="68">
        <v>32</v>
      </c>
      <c r="F8083" s="68">
        <v>13</v>
      </c>
      <c r="G8083" s="68">
        <v>45</v>
      </c>
    </row>
    <row r="8084" spans="1:7" x14ac:dyDescent="0.3">
      <c r="A8084" t="s">
        <v>42</v>
      </c>
      <c r="B8084" t="s">
        <v>38</v>
      </c>
      <c r="C8084" t="s">
        <v>24</v>
      </c>
      <c r="D8084" t="s">
        <v>7</v>
      </c>
      <c r="E8084" s="68">
        <v>3957</v>
      </c>
      <c r="F8084" s="68">
        <v>3999</v>
      </c>
      <c r="G8084" s="68">
        <v>7956</v>
      </c>
    </row>
    <row r="8085" spans="1:7" x14ac:dyDescent="0.3">
      <c r="A8085" t="s">
        <v>42</v>
      </c>
      <c r="B8085" t="s">
        <v>38</v>
      </c>
      <c r="C8085" t="s">
        <v>24</v>
      </c>
      <c r="D8085" t="s">
        <v>8</v>
      </c>
      <c r="E8085" s="68">
        <v>5508</v>
      </c>
      <c r="F8085" s="68">
        <v>5831</v>
      </c>
      <c r="G8085" s="68">
        <v>11339</v>
      </c>
    </row>
    <row r="8086" spans="1:7" x14ac:dyDescent="0.3">
      <c r="A8086" t="s">
        <v>42</v>
      </c>
      <c r="B8086" t="s">
        <v>38</v>
      </c>
      <c r="C8086" t="s">
        <v>24</v>
      </c>
      <c r="D8086" t="s">
        <v>9</v>
      </c>
      <c r="E8086" s="68">
        <v>6675</v>
      </c>
      <c r="F8086" s="68">
        <v>6828</v>
      </c>
      <c r="G8086" s="68">
        <v>13503</v>
      </c>
    </row>
    <row r="8087" spans="1:7" x14ac:dyDescent="0.3">
      <c r="A8087" t="s">
        <v>42</v>
      </c>
      <c r="B8087" t="s">
        <v>38</v>
      </c>
      <c r="C8087" t="s">
        <v>24</v>
      </c>
      <c r="D8087" t="s">
        <v>10</v>
      </c>
      <c r="E8087" s="68">
        <v>7403</v>
      </c>
      <c r="F8087" s="68">
        <v>7112</v>
      </c>
      <c r="G8087" s="68">
        <v>14515</v>
      </c>
    </row>
    <row r="8088" spans="1:7" x14ac:dyDescent="0.3">
      <c r="A8088" t="s">
        <v>42</v>
      </c>
      <c r="B8088" t="s">
        <v>38</v>
      </c>
      <c r="C8088" t="s">
        <v>24</v>
      </c>
      <c r="D8088" t="s">
        <v>11</v>
      </c>
      <c r="E8088" s="68">
        <v>6623</v>
      </c>
      <c r="F8088" s="68">
        <v>5831</v>
      </c>
      <c r="G8088" s="68">
        <v>12454</v>
      </c>
    </row>
    <row r="8089" spans="1:7" x14ac:dyDescent="0.3">
      <c r="A8089" t="s">
        <v>42</v>
      </c>
      <c r="B8089" t="s">
        <v>38</v>
      </c>
      <c r="C8089" t="s">
        <v>24</v>
      </c>
      <c r="D8089" t="s">
        <v>12</v>
      </c>
      <c r="E8089" s="68">
        <v>6290</v>
      </c>
      <c r="F8089" s="68">
        <v>5205</v>
      </c>
      <c r="G8089" s="68">
        <v>11495</v>
      </c>
    </row>
    <row r="8090" spans="1:7" x14ac:dyDescent="0.3">
      <c r="A8090" t="s">
        <v>42</v>
      </c>
      <c r="B8090" t="s">
        <v>38</v>
      </c>
      <c r="C8090" t="s">
        <v>24</v>
      </c>
      <c r="D8090" t="s">
        <v>13</v>
      </c>
      <c r="E8090" s="68">
        <v>6118</v>
      </c>
      <c r="F8090" s="68">
        <v>4829</v>
      </c>
      <c r="G8090" s="68">
        <v>10947</v>
      </c>
    </row>
    <row r="8091" spans="1:7" x14ac:dyDescent="0.3">
      <c r="A8091" t="s">
        <v>42</v>
      </c>
      <c r="B8091" t="s">
        <v>38</v>
      </c>
      <c r="C8091" t="s">
        <v>24</v>
      </c>
      <c r="D8091" t="s">
        <v>14</v>
      </c>
      <c r="E8091" s="68">
        <v>5075</v>
      </c>
      <c r="F8091" s="68">
        <v>4368</v>
      </c>
      <c r="G8091" s="68">
        <v>9443</v>
      </c>
    </row>
    <row r="8092" spans="1:7" x14ac:dyDescent="0.3">
      <c r="A8092" t="s">
        <v>42</v>
      </c>
      <c r="B8092" t="s">
        <v>38</v>
      </c>
      <c r="C8092" t="s">
        <v>24</v>
      </c>
      <c r="D8092" t="s">
        <v>15</v>
      </c>
      <c r="E8092" s="68">
        <v>4442</v>
      </c>
      <c r="F8092" s="68">
        <v>3684</v>
      </c>
      <c r="G8092" s="68">
        <v>8126</v>
      </c>
    </row>
    <row r="8093" spans="1:7" x14ac:dyDescent="0.3">
      <c r="A8093" t="s">
        <v>42</v>
      </c>
      <c r="B8093" t="s">
        <v>38</v>
      </c>
      <c r="C8093" t="s">
        <v>24</v>
      </c>
      <c r="D8093" t="s">
        <v>16</v>
      </c>
      <c r="E8093" s="68">
        <v>4411</v>
      </c>
      <c r="F8093" s="68">
        <v>3480</v>
      </c>
      <c r="G8093" s="68">
        <v>7891</v>
      </c>
    </row>
    <row r="8094" spans="1:7" x14ac:dyDescent="0.3">
      <c r="A8094" t="s">
        <v>42</v>
      </c>
      <c r="B8094" t="s">
        <v>38</v>
      </c>
      <c r="C8094" t="s">
        <v>24</v>
      </c>
      <c r="D8094" t="s">
        <v>17</v>
      </c>
      <c r="E8094" s="68">
        <v>4051</v>
      </c>
      <c r="F8094" s="68">
        <v>3346</v>
      </c>
      <c r="G8094" s="68">
        <v>7397</v>
      </c>
    </row>
    <row r="8095" spans="1:7" x14ac:dyDescent="0.3">
      <c r="A8095" t="s">
        <v>42</v>
      </c>
      <c r="B8095" t="s">
        <v>38</v>
      </c>
      <c r="C8095" t="s">
        <v>24</v>
      </c>
      <c r="D8095" t="s">
        <v>18</v>
      </c>
      <c r="E8095" s="68">
        <v>3432</v>
      </c>
      <c r="F8095" s="68">
        <v>2906</v>
      </c>
      <c r="G8095" s="68">
        <v>6338</v>
      </c>
    </row>
    <row r="8096" spans="1:7" x14ac:dyDescent="0.3">
      <c r="A8096" t="s">
        <v>42</v>
      </c>
      <c r="B8096" t="s">
        <v>38</v>
      </c>
      <c r="C8096" t="s">
        <v>24</v>
      </c>
      <c r="D8096" t="s">
        <v>19</v>
      </c>
      <c r="E8096" s="68">
        <v>3113</v>
      </c>
      <c r="F8096" s="68">
        <v>2808</v>
      </c>
      <c r="G8096" s="68">
        <v>5921</v>
      </c>
    </row>
    <row r="8097" spans="1:7" x14ac:dyDescent="0.3">
      <c r="A8097" t="s">
        <v>42</v>
      </c>
      <c r="B8097" t="s">
        <v>38</v>
      </c>
      <c r="C8097" t="s">
        <v>24</v>
      </c>
      <c r="D8097" t="s">
        <v>20</v>
      </c>
      <c r="E8097" s="68">
        <v>2556</v>
      </c>
      <c r="F8097" s="68">
        <v>2222</v>
      </c>
      <c r="G8097" s="68">
        <v>4778</v>
      </c>
    </row>
    <row r="8098" spans="1:7" x14ac:dyDescent="0.3">
      <c r="A8098" t="s">
        <v>42</v>
      </c>
      <c r="B8098" t="s">
        <v>38</v>
      </c>
      <c r="C8098" t="s">
        <v>24</v>
      </c>
      <c r="D8098" t="s">
        <v>21</v>
      </c>
      <c r="E8098" s="68">
        <v>1919</v>
      </c>
      <c r="F8098" s="68">
        <v>1743</v>
      </c>
      <c r="G8098" s="68">
        <v>3662</v>
      </c>
    </row>
    <row r="8099" spans="1:7" x14ac:dyDescent="0.3">
      <c r="A8099" t="s">
        <v>42</v>
      </c>
      <c r="B8099" t="s">
        <v>38</v>
      </c>
      <c r="C8099" t="s">
        <v>24</v>
      </c>
      <c r="D8099" t="s">
        <v>22</v>
      </c>
      <c r="E8099" s="68">
        <v>1381</v>
      </c>
      <c r="F8099" s="68">
        <v>1167</v>
      </c>
      <c r="G8099" s="68">
        <v>2548</v>
      </c>
    </row>
    <row r="8100" spans="1:7" x14ac:dyDescent="0.3">
      <c r="A8100" t="s">
        <v>42</v>
      </c>
      <c r="B8100" t="s">
        <v>38</v>
      </c>
      <c r="C8100" t="s">
        <v>24</v>
      </c>
      <c r="D8100" t="s">
        <v>23</v>
      </c>
      <c r="E8100" s="68">
        <v>2018</v>
      </c>
      <c r="F8100" s="68">
        <v>1490</v>
      </c>
      <c r="G8100" s="68">
        <v>3508</v>
      </c>
    </row>
    <row r="8101" spans="1:7" x14ac:dyDescent="0.3">
      <c r="A8101" t="s">
        <v>42</v>
      </c>
      <c r="B8101" t="s">
        <v>30</v>
      </c>
      <c r="C8101" t="s">
        <v>24</v>
      </c>
      <c r="D8101" t="s">
        <v>10</v>
      </c>
      <c r="E8101" s="68"/>
      <c r="F8101" s="68">
        <v>1</v>
      </c>
      <c r="G8101" s="68">
        <v>1</v>
      </c>
    </row>
    <row r="8102" spans="1:7" x14ac:dyDescent="0.3">
      <c r="A8102" t="s">
        <v>42</v>
      </c>
      <c r="B8102" t="s">
        <v>41</v>
      </c>
      <c r="C8102" t="s">
        <v>6</v>
      </c>
      <c r="D8102" t="s">
        <v>7</v>
      </c>
      <c r="E8102" s="68">
        <v>3157</v>
      </c>
      <c r="F8102" s="68">
        <v>3258</v>
      </c>
      <c r="G8102" s="68">
        <v>6415</v>
      </c>
    </row>
    <row r="8103" spans="1:7" x14ac:dyDescent="0.3">
      <c r="A8103" t="s">
        <v>42</v>
      </c>
      <c r="B8103" t="s">
        <v>41</v>
      </c>
      <c r="C8103" t="s">
        <v>6</v>
      </c>
      <c r="D8103" t="s">
        <v>8</v>
      </c>
      <c r="E8103" s="68">
        <v>4886</v>
      </c>
      <c r="F8103" s="68">
        <v>5007</v>
      </c>
      <c r="G8103" s="68">
        <v>9893</v>
      </c>
    </row>
    <row r="8104" spans="1:7" x14ac:dyDescent="0.3">
      <c r="A8104" t="s">
        <v>42</v>
      </c>
      <c r="B8104" t="s">
        <v>41</v>
      </c>
      <c r="C8104" t="s">
        <v>6</v>
      </c>
      <c r="D8104" t="s">
        <v>9</v>
      </c>
      <c r="E8104" s="68">
        <v>6050</v>
      </c>
      <c r="F8104" s="68">
        <v>6433</v>
      </c>
      <c r="G8104" s="68">
        <v>12483</v>
      </c>
    </row>
    <row r="8105" spans="1:7" x14ac:dyDescent="0.3">
      <c r="A8105" t="s">
        <v>42</v>
      </c>
      <c r="B8105" t="s">
        <v>41</v>
      </c>
      <c r="C8105" t="s">
        <v>6</v>
      </c>
      <c r="D8105" t="s">
        <v>10</v>
      </c>
      <c r="E8105" s="68">
        <v>6989</v>
      </c>
      <c r="F8105" s="68">
        <v>7328</v>
      </c>
      <c r="G8105" s="68">
        <v>14317</v>
      </c>
    </row>
    <row r="8106" spans="1:7" x14ac:dyDescent="0.3">
      <c r="A8106" t="s">
        <v>42</v>
      </c>
      <c r="B8106" t="s">
        <v>41</v>
      </c>
      <c r="C8106" t="s">
        <v>6</v>
      </c>
      <c r="D8106" t="s">
        <v>11</v>
      </c>
      <c r="E8106" s="68">
        <v>7489</v>
      </c>
      <c r="F8106" s="68">
        <v>7563</v>
      </c>
      <c r="G8106" s="68">
        <v>15052</v>
      </c>
    </row>
    <row r="8107" spans="1:7" x14ac:dyDescent="0.3">
      <c r="A8107" t="s">
        <v>42</v>
      </c>
      <c r="B8107" t="s">
        <v>41</v>
      </c>
      <c r="C8107" t="s">
        <v>6</v>
      </c>
      <c r="D8107" t="s">
        <v>12</v>
      </c>
      <c r="E8107" s="68">
        <v>7055</v>
      </c>
      <c r="F8107" s="68">
        <v>6817</v>
      </c>
      <c r="G8107" s="68">
        <v>13872</v>
      </c>
    </row>
    <row r="8108" spans="1:7" x14ac:dyDescent="0.3">
      <c r="A8108" t="s">
        <v>42</v>
      </c>
      <c r="B8108" t="s">
        <v>41</v>
      </c>
      <c r="C8108" t="s">
        <v>6</v>
      </c>
      <c r="D8108" t="s">
        <v>13</v>
      </c>
      <c r="E8108" s="68">
        <v>7805</v>
      </c>
      <c r="F8108" s="68">
        <v>7019</v>
      </c>
      <c r="G8108" s="68">
        <v>14824</v>
      </c>
    </row>
    <row r="8109" spans="1:7" x14ac:dyDescent="0.3">
      <c r="A8109" t="s">
        <v>42</v>
      </c>
      <c r="B8109" t="s">
        <v>41</v>
      </c>
      <c r="C8109" t="s">
        <v>6</v>
      </c>
      <c r="D8109" t="s">
        <v>14</v>
      </c>
      <c r="E8109" s="68">
        <v>8232</v>
      </c>
      <c r="F8109" s="68">
        <v>7255</v>
      </c>
      <c r="G8109" s="68">
        <v>15487</v>
      </c>
    </row>
    <row r="8110" spans="1:7" x14ac:dyDescent="0.3">
      <c r="A8110" t="s">
        <v>42</v>
      </c>
      <c r="B8110" t="s">
        <v>41</v>
      </c>
      <c r="C8110" t="s">
        <v>6</v>
      </c>
      <c r="D8110" t="s">
        <v>15</v>
      </c>
      <c r="E8110" s="68">
        <v>9266</v>
      </c>
      <c r="F8110" s="68">
        <v>8107</v>
      </c>
      <c r="G8110" s="68">
        <v>17373</v>
      </c>
    </row>
    <row r="8111" spans="1:7" x14ac:dyDescent="0.3">
      <c r="A8111" t="s">
        <v>42</v>
      </c>
      <c r="B8111" t="s">
        <v>41</v>
      </c>
      <c r="C8111" t="s">
        <v>6</v>
      </c>
      <c r="D8111" t="s">
        <v>16</v>
      </c>
      <c r="E8111" s="68">
        <v>9418</v>
      </c>
      <c r="F8111" s="68">
        <v>8381</v>
      </c>
      <c r="G8111" s="68">
        <v>17799</v>
      </c>
    </row>
    <row r="8112" spans="1:7" x14ac:dyDescent="0.3">
      <c r="A8112" t="s">
        <v>42</v>
      </c>
      <c r="B8112" t="s">
        <v>41</v>
      </c>
      <c r="C8112" t="s">
        <v>6</v>
      </c>
      <c r="D8112" t="s">
        <v>17</v>
      </c>
      <c r="E8112" s="68">
        <v>8585</v>
      </c>
      <c r="F8112" s="68">
        <v>7789</v>
      </c>
      <c r="G8112" s="68">
        <v>16374</v>
      </c>
    </row>
    <row r="8113" spans="1:7" x14ac:dyDescent="0.3">
      <c r="A8113" t="s">
        <v>42</v>
      </c>
      <c r="B8113" t="s">
        <v>41</v>
      </c>
      <c r="C8113" t="s">
        <v>6</v>
      </c>
      <c r="D8113" t="s">
        <v>18</v>
      </c>
      <c r="E8113" s="68">
        <v>8429</v>
      </c>
      <c r="F8113" s="68">
        <v>7657</v>
      </c>
      <c r="G8113" s="68">
        <v>16086</v>
      </c>
    </row>
    <row r="8114" spans="1:7" x14ac:dyDescent="0.3">
      <c r="A8114" t="s">
        <v>42</v>
      </c>
      <c r="B8114" t="s">
        <v>41</v>
      </c>
      <c r="C8114" t="s">
        <v>6</v>
      </c>
      <c r="D8114" t="s">
        <v>19</v>
      </c>
      <c r="E8114" s="68">
        <v>8217</v>
      </c>
      <c r="F8114" s="68">
        <v>6951</v>
      </c>
      <c r="G8114" s="68">
        <v>15168</v>
      </c>
    </row>
    <row r="8115" spans="1:7" x14ac:dyDescent="0.3">
      <c r="A8115" t="s">
        <v>42</v>
      </c>
      <c r="B8115" t="s">
        <v>41</v>
      </c>
      <c r="C8115" t="s">
        <v>6</v>
      </c>
      <c r="D8115" t="s">
        <v>20</v>
      </c>
      <c r="E8115" s="68">
        <v>6924</v>
      </c>
      <c r="F8115" s="68">
        <v>5495</v>
      </c>
      <c r="G8115" s="68">
        <v>12419</v>
      </c>
    </row>
    <row r="8116" spans="1:7" x14ac:dyDescent="0.3">
      <c r="A8116" t="s">
        <v>42</v>
      </c>
      <c r="B8116" t="s">
        <v>41</v>
      </c>
      <c r="C8116" t="s">
        <v>6</v>
      </c>
      <c r="D8116" t="s">
        <v>21</v>
      </c>
      <c r="E8116" s="68">
        <v>5327</v>
      </c>
      <c r="F8116" s="68">
        <v>4195</v>
      </c>
      <c r="G8116" s="68">
        <v>9522</v>
      </c>
    </row>
    <row r="8117" spans="1:7" x14ac:dyDescent="0.3">
      <c r="A8117" t="s">
        <v>42</v>
      </c>
      <c r="B8117" t="s">
        <v>41</v>
      </c>
      <c r="C8117" t="s">
        <v>6</v>
      </c>
      <c r="D8117" t="s">
        <v>22</v>
      </c>
      <c r="E8117" s="68">
        <v>3473</v>
      </c>
      <c r="F8117" s="68">
        <v>2983</v>
      </c>
      <c r="G8117" s="68">
        <v>6456</v>
      </c>
    </row>
    <row r="8118" spans="1:7" x14ac:dyDescent="0.3">
      <c r="A8118" t="s">
        <v>42</v>
      </c>
      <c r="B8118" t="s">
        <v>41</v>
      </c>
      <c r="C8118" t="s">
        <v>6</v>
      </c>
      <c r="D8118" t="s">
        <v>23</v>
      </c>
      <c r="E8118" s="68">
        <v>3965</v>
      </c>
      <c r="F8118" s="68">
        <v>2645</v>
      </c>
      <c r="G8118" s="68">
        <v>6610</v>
      </c>
    </row>
    <row r="8119" spans="1:7" x14ac:dyDescent="0.3">
      <c r="A8119" t="s">
        <v>42</v>
      </c>
      <c r="B8119" t="s">
        <v>41</v>
      </c>
      <c r="C8119" t="s">
        <v>24</v>
      </c>
      <c r="D8119" t="s">
        <v>7</v>
      </c>
      <c r="E8119" s="68">
        <v>1243</v>
      </c>
      <c r="F8119" s="68">
        <v>1262</v>
      </c>
      <c r="G8119" s="68">
        <v>2505</v>
      </c>
    </row>
    <row r="8120" spans="1:7" x14ac:dyDescent="0.3">
      <c r="A8120" t="s">
        <v>42</v>
      </c>
      <c r="B8120" t="s">
        <v>41</v>
      </c>
      <c r="C8120" t="s">
        <v>24</v>
      </c>
      <c r="D8120" t="s">
        <v>8</v>
      </c>
      <c r="E8120" s="68">
        <v>2028</v>
      </c>
      <c r="F8120" s="68">
        <v>2160</v>
      </c>
      <c r="G8120" s="68">
        <v>4188</v>
      </c>
    </row>
    <row r="8121" spans="1:7" x14ac:dyDescent="0.3">
      <c r="A8121" t="s">
        <v>42</v>
      </c>
      <c r="B8121" t="s">
        <v>41</v>
      </c>
      <c r="C8121" t="s">
        <v>24</v>
      </c>
      <c r="D8121" t="s">
        <v>9</v>
      </c>
      <c r="E8121" s="68">
        <v>2254</v>
      </c>
      <c r="F8121" s="68">
        <v>2325</v>
      </c>
      <c r="G8121" s="68">
        <v>4579</v>
      </c>
    </row>
    <row r="8122" spans="1:7" x14ac:dyDescent="0.3">
      <c r="A8122" t="s">
        <v>42</v>
      </c>
      <c r="B8122" t="s">
        <v>41</v>
      </c>
      <c r="C8122" t="s">
        <v>24</v>
      </c>
      <c r="D8122" t="s">
        <v>10</v>
      </c>
      <c r="E8122" s="68">
        <v>2491</v>
      </c>
      <c r="F8122" s="68">
        <v>2464</v>
      </c>
      <c r="G8122" s="68">
        <v>4955</v>
      </c>
    </row>
    <row r="8123" spans="1:7" x14ac:dyDescent="0.3">
      <c r="A8123" t="s">
        <v>42</v>
      </c>
      <c r="B8123" t="s">
        <v>41</v>
      </c>
      <c r="C8123" t="s">
        <v>24</v>
      </c>
      <c r="D8123" t="s">
        <v>11</v>
      </c>
      <c r="E8123" s="68">
        <v>2807</v>
      </c>
      <c r="F8123" s="68">
        <v>2745</v>
      </c>
      <c r="G8123" s="68">
        <v>5552</v>
      </c>
    </row>
    <row r="8124" spans="1:7" x14ac:dyDescent="0.3">
      <c r="A8124" t="s">
        <v>42</v>
      </c>
      <c r="B8124" t="s">
        <v>41</v>
      </c>
      <c r="C8124" t="s">
        <v>24</v>
      </c>
      <c r="D8124" t="s">
        <v>12</v>
      </c>
      <c r="E8124" s="68">
        <v>3254</v>
      </c>
      <c r="F8124" s="68">
        <v>3173</v>
      </c>
      <c r="G8124" s="68">
        <v>6427</v>
      </c>
    </row>
    <row r="8125" spans="1:7" x14ac:dyDescent="0.3">
      <c r="A8125" t="s">
        <v>42</v>
      </c>
      <c r="B8125" t="s">
        <v>41</v>
      </c>
      <c r="C8125" t="s">
        <v>24</v>
      </c>
      <c r="D8125" t="s">
        <v>13</v>
      </c>
      <c r="E8125" s="68">
        <v>2999</v>
      </c>
      <c r="F8125" s="68">
        <v>2959</v>
      </c>
      <c r="G8125" s="68">
        <v>5958</v>
      </c>
    </row>
    <row r="8126" spans="1:7" x14ac:dyDescent="0.3">
      <c r="A8126" t="s">
        <v>42</v>
      </c>
      <c r="B8126" t="s">
        <v>41</v>
      </c>
      <c r="C8126" t="s">
        <v>24</v>
      </c>
      <c r="D8126" t="s">
        <v>14</v>
      </c>
      <c r="E8126" s="68">
        <v>2843</v>
      </c>
      <c r="F8126" s="68">
        <v>2505</v>
      </c>
      <c r="G8126" s="68">
        <v>5348</v>
      </c>
    </row>
    <row r="8127" spans="1:7" x14ac:dyDescent="0.3">
      <c r="A8127" t="s">
        <v>42</v>
      </c>
      <c r="B8127" t="s">
        <v>41</v>
      </c>
      <c r="C8127" t="s">
        <v>24</v>
      </c>
      <c r="D8127" t="s">
        <v>15</v>
      </c>
      <c r="E8127" s="68">
        <v>2928</v>
      </c>
      <c r="F8127" s="68">
        <v>2436</v>
      </c>
      <c r="G8127" s="68">
        <v>5364</v>
      </c>
    </row>
    <row r="8128" spans="1:7" x14ac:dyDescent="0.3">
      <c r="A8128" t="s">
        <v>42</v>
      </c>
      <c r="B8128" t="s">
        <v>41</v>
      </c>
      <c r="C8128" t="s">
        <v>24</v>
      </c>
      <c r="D8128" t="s">
        <v>16</v>
      </c>
      <c r="E8128" s="68">
        <v>2608</v>
      </c>
      <c r="F8128" s="68">
        <v>2108</v>
      </c>
      <c r="G8128" s="68">
        <v>4716</v>
      </c>
    </row>
    <row r="8129" spans="1:7" x14ac:dyDescent="0.3">
      <c r="A8129" t="s">
        <v>42</v>
      </c>
      <c r="B8129" t="s">
        <v>41</v>
      </c>
      <c r="C8129" t="s">
        <v>24</v>
      </c>
      <c r="D8129" t="s">
        <v>17</v>
      </c>
      <c r="E8129" s="68">
        <v>2202</v>
      </c>
      <c r="F8129" s="68">
        <v>1851</v>
      </c>
      <c r="G8129" s="68">
        <v>4053</v>
      </c>
    </row>
    <row r="8130" spans="1:7" x14ac:dyDescent="0.3">
      <c r="A8130" t="s">
        <v>42</v>
      </c>
      <c r="B8130" t="s">
        <v>41</v>
      </c>
      <c r="C8130" t="s">
        <v>24</v>
      </c>
      <c r="D8130" t="s">
        <v>18</v>
      </c>
      <c r="E8130" s="68">
        <v>1790</v>
      </c>
      <c r="F8130" s="68">
        <v>1636</v>
      </c>
      <c r="G8130" s="68">
        <v>3426</v>
      </c>
    </row>
    <row r="8131" spans="1:7" x14ac:dyDescent="0.3">
      <c r="A8131" t="s">
        <v>42</v>
      </c>
      <c r="B8131" t="s">
        <v>41</v>
      </c>
      <c r="C8131" t="s">
        <v>24</v>
      </c>
      <c r="D8131" t="s">
        <v>19</v>
      </c>
      <c r="E8131" s="68">
        <v>1457</v>
      </c>
      <c r="F8131" s="68">
        <v>1175</v>
      </c>
      <c r="G8131" s="68">
        <v>2632</v>
      </c>
    </row>
    <row r="8132" spans="1:7" x14ac:dyDescent="0.3">
      <c r="A8132" t="s">
        <v>42</v>
      </c>
      <c r="B8132" t="s">
        <v>41</v>
      </c>
      <c r="C8132" t="s">
        <v>24</v>
      </c>
      <c r="D8132" t="s">
        <v>20</v>
      </c>
      <c r="E8132" s="68">
        <v>1068</v>
      </c>
      <c r="F8132" s="68">
        <v>846</v>
      </c>
      <c r="G8132" s="68">
        <v>1914</v>
      </c>
    </row>
    <row r="8133" spans="1:7" x14ac:dyDescent="0.3">
      <c r="A8133" t="s">
        <v>42</v>
      </c>
      <c r="B8133" t="s">
        <v>41</v>
      </c>
      <c r="C8133" t="s">
        <v>24</v>
      </c>
      <c r="D8133" t="s">
        <v>21</v>
      </c>
      <c r="E8133" s="68">
        <v>655</v>
      </c>
      <c r="F8133" s="68">
        <v>519</v>
      </c>
      <c r="G8133" s="68">
        <v>1174</v>
      </c>
    </row>
    <row r="8134" spans="1:7" x14ac:dyDescent="0.3">
      <c r="A8134" t="s">
        <v>42</v>
      </c>
      <c r="B8134" t="s">
        <v>41</v>
      </c>
      <c r="C8134" t="s">
        <v>24</v>
      </c>
      <c r="D8134" t="s">
        <v>22</v>
      </c>
      <c r="E8134" s="68">
        <v>373</v>
      </c>
      <c r="F8134" s="68">
        <v>269</v>
      </c>
      <c r="G8134" s="68">
        <v>642</v>
      </c>
    </row>
    <row r="8135" spans="1:7" x14ac:dyDescent="0.3">
      <c r="A8135" t="s">
        <v>42</v>
      </c>
      <c r="B8135" t="s">
        <v>41</v>
      </c>
      <c r="C8135" t="s">
        <v>24</v>
      </c>
      <c r="D8135" t="s">
        <v>23</v>
      </c>
      <c r="E8135" s="68">
        <v>480</v>
      </c>
      <c r="F8135" s="68">
        <v>268</v>
      </c>
      <c r="G8135" s="68">
        <v>748</v>
      </c>
    </row>
    <row r="8136" spans="1:7" x14ac:dyDescent="0.3">
      <c r="A8136" t="s">
        <v>42</v>
      </c>
      <c r="B8136" t="s">
        <v>31</v>
      </c>
      <c r="C8136" t="s">
        <v>6</v>
      </c>
      <c r="D8136" t="s">
        <v>7</v>
      </c>
      <c r="E8136" s="68">
        <v>852</v>
      </c>
      <c r="F8136" s="68">
        <v>910</v>
      </c>
      <c r="G8136" s="68">
        <v>1762</v>
      </c>
    </row>
    <row r="8137" spans="1:7" x14ac:dyDescent="0.3">
      <c r="A8137" t="s">
        <v>42</v>
      </c>
      <c r="B8137" t="s">
        <v>31</v>
      </c>
      <c r="C8137" t="s">
        <v>6</v>
      </c>
      <c r="D8137" t="s">
        <v>8</v>
      </c>
      <c r="E8137" s="68">
        <v>953</v>
      </c>
      <c r="F8137" s="68">
        <v>952</v>
      </c>
      <c r="G8137" s="68">
        <v>1905</v>
      </c>
    </row>
    <row r="8138" spans="1:7" x14ac:dyDescent="0.3">
      <c r="A8138" t="s">
        <v>42</v>
      </c>
      <c r="B8138" t="s">
        <v>31</v>
      </c>
      <c r="C8138" t="s">
        <v>6</v>
      </c>
      <c r="D8138" t="s">
        <v>9</v>
      </c>
      <c r="E8138" s="68">
        <v>848</v>
      </c>
      <c r="F8138" s="68">
        <v>873</v>
      </c>
      <c r="G8138" s="68">
        <v>1721</v>
      </c>
    </row>
    <row r="8139" spans="1:7" x14ac:dyDescent="0.3">
      <c r="A8139" t="s">
        <v>42</v>
      </c>
      <c r="B8139" t="s">
        <v>31</v>
      </c>
      <c r="C8139" t="s">
        <v>6</v>
      </c>
      <c r="D8139" t="s">
        <v>10</v>
      </c>
      <c r="E8139" s="68">
        <v>1335</v>
      </c>
      <c r="F8139" s="68">
        <v>1454</v>
      </c>
      <c r="G8139" s="68">
        <v>2789</v>
      </c>
    </row>
    <row r="8140" spans="1:7" x14ac:dyDescent="0.3">
      <c r="A8140" t="s">
        <v>42</v>
      </c>
      <c r="B8140" t="s">
        <v>31</v>
      </c>
      <c r="C8140" t="s">
        <v>6</v>
      </c>
      <c r="D8140" t="s">
        <v>11</v>
      </c>
      <c r="E8140" s="68">
        <v>2955</v>
      </c>
      <c r="F8140" s="68">
        <v>3585</v>
      </c>
      <c r="G8140" s="68">
        <v>6540</v>
      </c>
    </row>
    <row r="8141" spans="1:7" x14ac:dyDescent="0.3">
      <c r="A8141" t="s">
        <v>42</v>
      </c>
      <c r="B8141" t="s">
        <v>31</v>
      </c>
      <c r="C8141" t="s">
        <v>6</v>
      </c>
      <c r="D8141" t="s">
        <v>12</v>
      </c>
      <c r="E8141" s="68">
        <v>2984</v>
      </c>
      <c r="F8141" s="68">
        <v>3352</v>
      </c>
      <c r="G8141" s="68">
        <v>6336</v>
      </c>
    </row>
    <row r="8142" spans="1:7" x14ac:dyDescent="0.3">
      <c r="A8142" t="s">
        <v>42</v>
      </c>
      <c r="B8142" t="s">
        <v>31</v>
      </c>
      <c r="C8142" t="s">
        <v>6</v>
      </c>
      <c r="D8142" t="s">
        <v>13</v>
      </c>
      <c r="E8142" s="68">
        <v>2578</v>
      </c>
      <c r="F8142" s="68">
        <v>2816</v>
      </c>
      <c r="G8142" s="68">
        <v>5394</v>
      </c>
    </row>
    <row r="8143" spans="1:7" x14ac:dyDescent="0.3">
      <c r="A8143" t="s">
        <v>42</v>
      </c>
      <c r="B8143" t="s">
        <v>31</v>
      </c>
      <c r="C8143" t="s">
        <v>6</v>
      </c>
      <c r="D8143" t="s">
        <v>14</v>
      </c>
      <c r="E8143" s="68">
        <v>2339</v>
      </c>
      <c r="F8143" s="68">
        <v>2278</v>
      </c>
      <c r="G8143" s="68">
        <v>4617</v>
      </c>
    </row>
    <row r="8144" spans="1:7" x14ac:dyDescent="0.3">
      <c r="A8144" t="s">
        <v>42</v>
      </c>
      <c r="B8144" t="s">
        <v>31</v>
      </c>
      <c r="C8144" t="s">
        <v>6</v>
      </c>
      <c r="D8144" t="s">
        <v>15</v>
      </c>
      <c r="E8144" s="68">
        <v>1852</v>
      </c>
      <c r="F8144" s="68">
        <v>2020</v>
      </c>
      <c r="G8144" s="68">
        <v>3872</v>
      </c>
    </row>
    <row r="8145" spans="1:7" x14ac:dyDescent="0.3">
      <c r="A8145" t="s">
        <v>42</v>
      </c>
      <c r="B8145" t="s">
        <v>31</v>
      </c>
      <c r="C8145" t="s">
        <v>6</v>
      </c>
      <c r="D8145" t="s">
        <v>16</v>
      </c>
      <c r="E8145" s="68">
        <v>1743</v>
      </c>
      <c r="F8145" s="68">
        <v>1753</v>
      </c>
      <c r="G8145" s="68">
        <v>3496</v>
      </c>
    </row>
    <row r="8146" spans="1:7" x14ac:dyDescent="0.3">
      <c r="A8146" t="s">
        <v>42</v>
      </c>
      <c r="B8146" t="s">
        <v>31</v>
      </c>
      <c r="C8146" t="s">
        <v>6</v>
      </c>
      <c r="D8146" t="s">
        <v>17</v>
      </c>
      <c r="E8146" s="68">
        <v>1534</v>
      </c>
      <c r="F8146" s="68">
        <v>1721</v>
      </c>
      <c r="G8146" s="68">
        <v>3255</v>
      </c>
    </row>
    <row r="8147" spans="1:7" x14ac:dyDescent="0.3">
      <c r="A8147" t="s">
        <v>42</v>
      </c>
      <c r="B8147" t="s">
        <v>31</v>
      </c>
      <c r="C8147" t="s">
        <v>6</v>
      </c>
      <c r="D8147" t="s">
        <v>18</v>
      </c>
      <c r="E8147" s="68">
        <v>1565</v>
      </c>
      <c r="F8147" s="68">
        <v>1626</v>
      </c>
      <c r="G8147" s="68">
        <v>3191</v>
      </c>
    </row>
    <row r="8148" spans="1:7" x14ac:dyDescent="0.3">
      <c r="A8148" t="s">
        <v>42</v>
      </c>
      <c r="B8148" t="s">
        <v>31</v>
      </c>
      <c r="C8148" t="s">
        <v>6</v>
      </c>
      <c r="D8148" t="s">
        <v>19</v>
      </c>
      <c r="E8148" s="68">
        <v>1500</v>
      </c>
      <c r="F8148" s="68">
        <v>1534</v>
      </c>
      <c r="G8148" s="68">
        <v>3034</v>
      </c>
    </row>
    <row r="8149" spans="1:7" x14ac:dyDescent="0.3">
      <c r="A8149" t="s">
        <v>42</v>
      </c>
      <c r="B8149" t="s">
        <v>31</v>
      </c>
      <c r="C8149" t="s">
        <v>6</v>
      </c>
      <c r="D8149" t="s">
        <v>20</v>
      </c>
      <c r="E8149" s="68">
        <v>1257</v>
      </c>
      <c r="F8149" s="68">
        <v>1341</v>
      </c>
      <c r="G8149" s="68">
        <v>2598</v>
      </c>
    </row>
    <row r="8150" spans="1:7" x14ac:dyDescent="0.3">
      <c r="A8150" t="s">
        <v>42</v>
      </c>
      <c r="B8150" t="s">
        <v>31</v>
      </c>
      <c r="C8150" t="s">
        <v>6</v>
      </c>
      <c r="D8150" t="s">
        <v>21</v>
      </c>
      <c r="E8150" s="68">
        <v>1000</v>
      </c>
      <c r="F8150" s="68">
        <v>812</v>
      </c>
      <c r="G8150" s="68">
        <v>1812</v>
      </c>
    </row>
    <row r="8151" spans="1:7" x14ac:dyDescent="0.3">
      <c r="A8151" t="s">
        <v>42</v>
      </c>
      <c r="B8151" t="s">
        <v>31</v>
      </c>
      <c r="C8151" t="s">
        <v>6</v>
      </c>
      <c r="D8151" t="s">
        <v>22</v>
      </c>
      <c r="E8151" s="68">
        <v>610</v>
      </c>
      <c r="F8151" s="68">
        <v>557</v>
      </c>
      <c r="G8151" s="68">
        <v>1167</v>
      </c>
    </row>
    <row r="8152" spans="1:7" x14ac:dyDescent="0.3">
      <c r="A8152" t="s">
        <v>42</v>
      </c>
      <c r="B8152" t="s">
        <v>31</v>
      </c>
      <c r="C8152" t="s">
        <v>6</v>
      </c>
      <c r="D8152" t="s">
        <v>23</v>
      </c>
      <c r="E8152" s="68">
        <v>909</v>
      </c>
      <c r="F8152" s="68">
        <v>517</v>
      </c>
      <c r="G8152" s="68">
        <v>1426</v>
      </c>
    </row>
    <row r="8153" spans="1:7" x14ac:dyDescent="0.3">
      <c r="A8153" t="s">
        <v>42</v>
      </c>
      <c r="B8153" t="s">
        <v>31</v>
      </c>
      <c r="C8153" t="s">
        <v>24</v>
      </c>
      <c r="D8153" t="s">
        <v>7</v>
      </c>
      <c r="E8153" s="68">
        <v>9566</v>
      </c>
      <c r="F8153" s="68">
        <v>10116</v>
      </c>
      <c r="G8153" s="68">
        <v>19682</v>
      </c>
    </row>
    <row r="8154" spans="1:7" x14ac:dyDescent="0.3">
      <c r="A8154" t="s">
        <v>42</v>
      </c>
      <c r="B8154" t="s">
        <v>31</v>
      </c>
      <c r="C8154" t="s">
        <v>24</v>
      </c>
      <c r="D8154" t="s">
        <v>8</v>
      </c>
      <c r="E8154" s="68">
        <v>15255</v>
      </c>
      <c r="F8154" s="68">
        <v>15970</v>
      </c>
      <c r="G8154" s="68">
        <v>31225</v>
      </c>
    </row>
    <row r="8155" spans="1:7" x14ac:dyDescent="0.3">
      <c r="A8155" t="s">
        <v>42</v>
      </c>
      <c r="B8155" t="s">
        <v>31</v>
      </c>
      <c r="C8155" t="s">
        <v>24</v>
      </c>
      <c r="D8155" t="s">
        <v>9</v>
      </c>
      <c r="E8155" s="68">
        <v>15299</v>
      </c>
      <c r="F8155" s="68">
        <v>15899</v>
      </c>
      <c r="G8155" s="68">
        <v>31198</v>
      </c>
    </row>
    <row r="8156" spans="1:7" x14ac:dyDescent="0.3">
      <c r="A8156" t="s">
        <v>42</v>
      </c>
      <c r="B8156" t="s">
        <v>31</v>
      </c>
      <c r="C8156" t="s">
        <v>24</v>
      </c>
      <c r="D8156" t="s">
        <v>10</v>
      </c>
      <c r="E8156" s="68">
        <v>16417</v>
      </c>
      <c r="F8156" s="68">
        <v>16554</v>
      </c>
      <c r="G8156" s="68">
        <v>32971</v>
      </c>
    </row>
    <row r="8157" spans="1:7" x14ac:dyDescent="0.3">
      <c r="A8157" t="s">
        <v>42</v>
      </c>
      <c r="B8157" t="s">
        <v>31</v>
      </c>
      <c r="C8157" t="s">
        <v>24</v>
      </c>
      <c r="D8157" t="s">
        <v>11</v>
      </c>
      <c r="E8157" s="68">
        <v>16573</v>
      </c>
      <c r="F8157" s="68">
        <v>14098</v>
      </c>
      <c r="G8157" s="68">
        <v>30671</v>
      </c>
    </row>
    <row r="8158" spans="1:7" x14ac:dyDescent="0.3">
      <c r="A8158" t="s">
        <v>42</v>
      </c>
      <c r="B8158" t="s">
        <v>31</v>
      </c>
      <c r="C8158" t="s">
        <v>24</v>
      </c>
      <c r="D8158" t="s">
        <v>12</v>
      </c>
      <c r="E8158" s="68">
        <v>18049</v>
      </c>
      <c r="F8158" s="68">
        <v>14593</v>
      </c>
      <c r="G8158" s="68">
        <v>32642</v>
      </c>
    </row>
    <row r="8159" spans="1:7" x14ac:dyDescent="0.3">
      <c r="A8159" t="s">
        <v>42</v>
      </c>
      <c r="B8159" t="s">
        <v>31</v>
      </c>
      <c r="C8159" t="s">
        <v>24</v>
      </c>
      <c r="D8159" t="s">
        <v>13</v>
      </c>
      <c r="E8159" s="68">
        <v>17208</v>
      </c>
      <c r="F8159" s="68">
        <v>14646</v>
      </c>
      <c r="G8159" s="68">
        <v>31854</v>
      </c>
    </row>
    <row r="8160" spans="1:7" x14ac:dyDescent="0.3">
      <c r="A8160" t="s">
        <v>42</v>
      </c>
      <c r="B8160" t="s">
        <v>31</v>
      </c>
      <c r="C8160" t="s">
        <v>24</v>
      </c>
      <c r="D8160" t="s">
        <v>14</v>
      </c>
      <c r="E8160" s="68">
        <v>17575</v>
      </c>
      <c r="F8160" s="68">
        <v>14369</v>
      </c>
      <c r="G8160" s="68">
        <v>31944</v>
      </c>
    </row>
    <row r="8161" spans="1:7" x14ac:dyDescent="0.3">
      <c r="A8161" t="s">
        <v>42</v>
      </c>
      <c r="B8161" t="s">
        <v>31</v>
      </c>
      <c r="C8161" t="s">
        <v>24</v>
      </c>
      <c r="D8161" t="s">
        <v>15</v>
      </c>
      <c r="E8161" s="68">
        <v>15201</v>
      </c>
      <c r="F8161" s="68">
        <v>12425</v>
      </c>
      <c r="G8161" s="68">
        <v>27626</v>
      </c>
    </row>
    <row r="8162" spans="1:7" x14ac:dyDescent="0.3">
      <c r="A8162" t="s">
        <v>42</v>
      </c>
      <c r="B8162" t="s">
        <v>31</v>
      </c>
      <c r="C8162" t="s">
        <v>24</v>
      </c>
      <c r="D8162" t="s">
        <v>16</v>
      </c>
      <c r="E8162" s="68">
        <v>15096</v>
      </c>
      <c r="F8162" s="68">
        <v>11817</v>
      </c>
      <c r="G8162" s="68">
        <v>26913</v>
      </c>
    </row>
    <row r="8163" spans="1:7" x14ac:dyDescent="0.3">
      <c r="A8163" t="s">
        <v>42</v>
      </c>
      <c r="B8163" t="s">
        <v>31</v>
      </c>
      <c r="C8163" t="s">
        <v>24</v>
      </c>
      <c r="D8163" t="s">
        <v>17</v>
      </c>
      <c r="E8163" s="68">
        <v>15439</v>
      </c>
      <c r="F8163" s="68">
        <v>11937</v>
      </c>
      <c r="G8163" s="68">
        <v>27376</v>
      </c>
    </row>
    <row r="8164" spans="1:7" x14ac:dyDescent="0.3">
      <c r="A8164" t="s">
        <v>42</v>
      </c>
      <c r="B8164" t="s">
        <v>31</v>
      </c>
      <c r="C8164" t="s">
        <v>24</v>
      </c>
      <c r="D8164" t="s">
        <v>18</v>
      </c>
      <c r="E8164" s="68">
        <v>15821</v>
      </c>
      <c r="F8164" s="68">
        <v>12833</v>
      </c>
      <c r="G8164" s="68">
        <v>28654</v>
      </c>
    </row>
    <row r="8165" spans="1:7" x14ac:dyDescent="0.3">
      <c r="A8165" t="s">
        <v>42</v>
      </c>
      <c r="B8165" t="s">
        <v>31</v>
      </c>
      <c r="C8165" t="s">
        <v>24</v>
      </c>
      <c r="D8165" t="s">
        <v>19</v>
      </c>
      <c r="E8165" s="68">
        <v>12867</v>
      </c>
      <c r="F8165" s="68">
        <v>11136</v>
      </c>
      <c r="G8165" s="68">
        <v>24003</v>
      </c>
    </row>
    <row r="8166" spans="1:7" x14ac:dyDescent="0.3">
      <c r="A8166" t="s">
        <v>42</v>
      </c>
      <c r="B8166" t="s">
        <v>31</v>
      </c>
      <c r="C8166" t="s">
        <v>24</v>
      </c>
      <c r="D8166" t="s">
        <v>20</v>
      </c>
      <c r="E8166" s="68">
        <v>10613</v>
      </c>
      <c r="F8166" s="68">
        <v>9246</v>
      </c>
      <c r="G8166" s="68">
        <v>19859</v>
      </c>
    </row>
    <row r="8167" spans="1:7" x14ac:dyDescent="0.3">
      <c r="A8167" t="s">
        <v>42</v>
      </c>
      <c r="B8167" t="s">
        <v>31</v>
      </c>
      <c r="C8167" t="s">
        <v>24</v>
      </c>
      <c r="D8167" t="s">
        <v>21</v>
      </c>
      <c r="E8167" s="68">
        <v>7861</v>
      </c>
      <c r="F8167" s="68">
        <v>6730</v>
      </c>
      <c r="G8167" s="68">
        <v>14591</v>
      </c>
    </row>
    <row r="8168" spans="1:7" x14ac:dyDescent="0.3">
      <c r="A8168" t="s">
        <v>42</v>
      </c>
      <c r="B8168" t="s">
        <v>31</v>
      </c>
      <c r="C8168" t="s">
        <v>24</v>
      </c>
      <c r="D8168" t="s">
        <v>22</v>
      </c>
      <c r="E8168" s="68">
        <v>5523</v>
      </c>
      <c r="F8168" s="68">
        <v>4374</v>
      </c>
      <c r="G8168" s="68">
        <v>9897</v>
      </c>
    </row>
    <row r="8169" spans="1:7" x14ac:dyDescent="0.3">
      <c r="A8169" t="s">
        <v>42</v>
      </c>
      <c r="B8169" t="s">
        <v>31</v>
      </c>
      <c r="C8169" t="s">
        <v>24</v>
      </c>
      <c r="D8169" t="s">
        <v>23</v>
      </c>
      <c r="E8169" s="68">
        <v>9251</v>
      </c>
      <c r="F8169" s="68">
        <v>6451</v>
      </c>
      <c r="G8169" s="68">
        <v>15702</v>
      </c>
    </row>
    <row r="8170" spans="1:7" x14ac:dyDescent="0.3">
      <c r="A8170" t="s">
        <v>42</v>
      </c>
      <c r="B8170" t="s">
        <v>40</v>
      </c>
      <c r="C8170" t="s">
        <v>6</v>
      </c>
      <c r="D8170" t="s">
        <v>7</v>
      </c>
      <c r="E8170" s="68">
        <v>644</v>
      </c>
      <c r="F8170" s="68">
        <v>643</v>
      </c>
      <c r="G8170" s="68">
        <v>1287</v>
      </c>
    </row>
    <row r="8171" spans="1:7" x14ac:dyDescent="0.3">
      <c r="A8171" t="s">
        <v>42</v>
      </c>
      <c r="B8171" t="s">
        <v>40</v>
      </c>
      <c r="C8171" t="s">
        <v>6</v>
      </c>
      <c r="D8171" t="s">
        <v>8</v>
      </c>
      <c r="E8171" s="68">
        <v>671</v>
      </c>
      <c r="F8171" s="68">
        <v>720</v>
      </c>
      <c r="G8171" s="68">
        <v>1391</v>
      </c>
    </row>
    <row r="8172" spans="1:7" x14ac:dyDescent="0.3">
      <c r="A8172" t="s">
        <v>42</v>
      </c>
      <c r="B8172" t="s">
        <v>40</v>
      </c>
      <c r="C8172" t="s">
        <v>6</v>
      </c>
      <c r="D8172" t="s">
        <v>9</v>
      </c>
      <c r="E8172" s="68">
        <v>644</v>
      </c>
      <c r="F8172" s="68">
        <v>670</v>
      </c>
      <c r="G8172" s="68">
        <v>1314</v>
      </c>
    </row>
    <row r="8173" spans="1:7" x14ac:dyDescent="0.3">
      <c r="A8173" t="s">
        <v>42</v>
      </c>
      <c r="B8173" t="s">
        <v>40</v>
      </c>
      <c r="C8173" t="s">
        <v>6</v>
      </c>
      <c r="D8173" t="s">
        <v>10</v>
      </c>
      <c r="E8173" s="68">
        <v>1513</v>
      </c>
      <c r="F8173" s="68">
        <v>1827</v>
      </c>
      <c r="G8173" s="68">
        <v>3340</v>
      </c>
    </row>
    <row r="8174" spans="1:7" x14ac:dyDescent="0.3">
      <c r="A8174" t="s">
        <v>42</v>
      </c>
      <c r="B8174" t="s">
        <v>40</v>
      </c>
      <c r="C8174" t="s">
        <v>6</v>
      </c>
      <c r="D8174" t="s">
        <v>11</v>
      </c>
      <c r="E8174" s="68">
        <v>4273</v>
      </c>
      <c r="F8174" s="68">
        <v>5610</v>
      </c>
      <c r="G8174" s="68">
        <v>9883</v>
      </c>
    </row>
    <row r="8175" spans="1:7" x14ac:dyDescent="0.3">
      <c r="A8175" t="s">
        <v>42</v>
      </c>
      <c r="B8175" t="s">
        <v>40</v>
      </c>
      <c r="C8175" t="s">
        <v>6</v>
      </c>
      <c r="D8175" t="s">
        <v>12</v>
      </c>
      <c r="E8175" s="68">
        <v>4388</v>
      </c>
      <c r="F8175" s="68">
        <v>5075</v>
      </c>
      <c r="G8175" s="68">
        <v>9463</v>
      </c>
    </row>
    <row r="8176" spans="1:7" x14ac:dyDescent="0.3">
      <c r="A8176" t="s">
        <v>42</v>
      </c>
      <c r="B8176" t="s">
        <v>40</v>
      </c>
      <c r="C8176" t="s">
        <v>6</v>
      </c>
      <c r="D8176" t="s">
        <v>13</v>
      </c>
      <c r="E8176" s="68">
        <v>4032</v>
      </c>
      <c r="F8176" s="68">
        <v>4228</v>
      </c>
      <c r="G8176" s="68">
        <v>8260</v>
      </c>
    </row>
    <row r="8177" spans="1:7" x14ac:dyDescent="0.3">
      <c r="A8177" t="s">
        <v>42</v>
      </c>
      <c r="B8177" t="s">
        <v>40</v>
      </c>
      <c r="C8177" t="s">
        <v>6</v>
      </c>
      <c r="D8177" t="s">
        <v>14</v>
      </c>
      <c r="E8177" s="68">
        <v>2913</v>
      </c>
      <c r="F8177" s="68">
        <v>2822</v>
      </c>
      <c r="G8177" s="68">
        <v>5735</v>
      </c>
    </row>
    <row r="8178" spans="1:7" x14ac:dyDescent="0.3">
      <c r="A8178" t="s">
        <v>42</v>
      </c>
      <c r="B8178" t="s">
        <v>40</v>
      </c>
      <c r="C8178" t="s">
        <v>6</v>
      </c>
      <c r="D8178" t="s">
        <v>15</v>
      </c>
      <c r="E8178" s="68">
        <v>2422</v>
      </c>
      <c r="F8178" s="68">
        <v>2297</v>
      </c>
      <c r="G8178" s="68">
        <v>4719</v>
      </c>
    </row>
    <row r="8179" spans="1:7" x14ac:dyDescent="0.3">
      <c r="A8179" t="s">
        <v>42</v>
      </c>
      <c r="B8179" t="s">
        <v>40</v>
      </c>
      <c r="C8179" t="s">
        <v>6</v>
      </c>
      <c r="D8179" t="s">
        <v>16</v>
      </c>
      <c r="E8179" s="68">
        <v>1792</v>
      </c>
      <c r="F8179" s="68">
        <v>1958</v>
      </c>
      <c r="G8179" s="68">
        <v>3750</v>
      </c>
    </row>
    <row r="8180" spans="1:7" x14ac:dyDescent="0.3">
      <c r="A8180" t="s">
        <v>42</v>
      </c>
      <c r="B8180" t="s">
        <v>40</v>
      </c>
      <c r="C8180" t="s">
        <v>6</v>
      </c>
      <c r="D8180" t="s">
        <v>17</v>
      </c>
      <c r="E8180" s="68">
        <v>1350</v>
      </c>
      <c r="F8180" s="68">
        <v>1661</v>
      </c>
      <c r="G8180" s="68">
        <v>3011</v>
      </c>
    </row>
    <row r="8181" spans="1:7" x14ac:dyDescent="0.3">
      <c r="A8181" t="s">
        <v>42</v>
      </c>
      <c r="B8181" t="s">
        <v>40</v>
      </c>
      <c r="C8181" t="s">
        <v>6</v>
      </c>
      <c r="D8181" t="s">
        <v>18</v>
      </c>
      <c r="E8181" s="68">
        <v>1157</v>
      </c>
      <c r="F8181" s="68">
        <v>1477</v>
      </c>
      <c r="G8181" s="68">
        <v>2634</v>
      </c>
    </row>
    <row r="8182" spans="1:7" x14ac:dyDescent="0.3">
      <c r="A8182" t="s">
        <v>42</v>
      </c>
      <c r="B8182" t="s">
        <v>40</v>
      </c>
      <c r="C8182" t="s">
        <v>6</v>
      </c>
      <c r="D8182" t="s">
        <v>19</v>
      </c>
      <c r="E8182" s="68">
        <v>1091</v>
      </c>
      <c r="F8182" s="68">
        <v>1477</v>
      </c>
      <c r="G8182" s="68">
        <v>2568</v>
      </c>
    </row>
    <row r="8183" spans="1:7" x14ac:dyDescent="0.3">
      <c r="A8183" t="s">
        <v>42</v>
      </c>
      <c r="B8183" t="s">
        <v>40</v>
      </c>
      <c r="C8183" t="s">
        <v>6</v>
      </c>
      <c r="D8183" t="s">
        <v>20</v>
      </c>
      <c r="E8183" s="68">
        <v>816</v>
      </c>
      <c r="F8183" s="68">
        <v>1316</v>
      </c>
      <c r="G8183" s="68">
        <v>2132</v>
      </c>
    </row>
    <row r="8184" spans="1:7" x14ac:dyDescent="0.3">
      <c r="A8184" t="s">
        <v>42</v>
      </c>
      <c r="B8184" t="s">
        <v>40</v>
      </c>
      <c r="C8184" t="s">
        <v>6</v>
      </c>
      <c r="D8184" t="s">
        <v>21</v>
      </c>
      <c r="E8184" s="68">
        <v>472</v>
      </c>
      <c r="F8184" s="68">
        <v>630</v>
      </c>
      <c r="G8184" s="68">
        <v>1102</v>
      </c>
    </row>
    <row r="8185" spans="1:7" x14ac:dyDescent="0.3">
      <c r="A8185" t="s">
        <v>42</v>
      </c>
      <c r="B8185" t="s">
        <v>40</v>
      </c>
      <c r="C8185" t="s">
        <v>6</v>
      </c>
      <c r="D8185" t="s">
        <v>22</v>
      </c>
      <c r="E8185" s="68">
        <v>218</v>
      </c>
      <c r="F8185" s="68">
        <v>180</v>
      </c>
      <c r="G8185" s="68">
        <v>398</v>
      </c>
    </row>
    <row r="8186" spans="1:7" x14ac:dyDescent="0.3">
      <c r="A8186" t="s">
        <v>42</v>
      </c>
      <c r="B8186" t="s">
        <v>40</v>
      </c>
      <c r="C8186" t="s">
        <v>6</v>
      </c>
      <c r="D8186" t="s">
        <v>23</v>
      </c>
      <c r="E8186" s="68">
        <v>260</v>
      </c>
      <c r="F8186" s="68">
        <v>100</v>
      </c>
      <c r="G8186" s="68">
        <v>360</v>
      </c>
    </row>
    <row r="8187" spans="1:7" x14ac:dyDescent="0.3">
      <c r="A8187" t="s">
        <v>42</v>
      </c>
      <c r="B8187" t="s">
        <v>40</v>
      </c>
      <c r="C8187" t="s">
        <v>24</v>
      </c>
      <c r="D8187" t="s">
        <v>7</v>
      </c>
      <c r="E8187" s="68">
        <v>13750</v>
      </c>
      <c r="F8187" s="68">
        <v>14570</v>
      </c>
      <c r="G8187" s="68">
        <v>28320</v>
      </c>
    </row>
    <row r="8188" spans="1:7" x14ac:dyDescent="0.3">
      <c r="A8188" t="s">
        <v>42</v>
      </c>
      <c r="B8188" t="s">
        <v>40</v>
      </c>
      <c r="C8188" t="s">
        <v>24</v>
      </c>
      <c r="D8188" t="s">
        <v>8</v>
      </c>
      <c r="E8188" s="68">
        <v>22171</v>
      </c>
      <c r="F8188" s="68">
        <v>23374</v>
      </c>
      <c r="G8188" s="68">
        <v>45545</v>
      </c>
    </row>
    <row r="8189" spans="1:7" x14ac:dyDescent="0.3">
      <c r="A8189" t="s">
        <v>42</v>
      </c>
      <c r="B8189" t="s">
        <v>40</v>
      </c>
      <c r="C8189" t="s">
        <v>24</v>
      </c>
      <c r="D8189" t="s">
        <v>9</v>
      </c>
      <c r="E8189" s="68">
        <v>27155</v>
      </c>
      <c r="F8189" s="68">
        <v>28640</v>
      </c>
      <c r="G8189" s="68">
        <v>55795</v>
      </c>
    </row>
    <row r="8190" spans="1:7" x14ac:dyDescent="0.3">
      <c r="A8190" t="s">
        <v>42</v>
      </c>
      <c r="B8190" t="s">
        <v>40</v>
      </c>
      <c r="C8190" t="s">
        <v>24</v>
      </c>
      <c r="D8190" t="s">
        <v>10</v>
      </c>
      <c r="E8190" s="68">
        <v>30217</v>
      </c>
      <c r="F8190" s="68">
        <v>30197</v>
      </c>
      <c r="G8190" s="68">
        <v>60414</v>
      </c>
    </row>
    <row r="8191" spans="1:7" x14ac:dyDescent="0.3">
      <c r="A8191" t="s">
        <v>42</v>
      </c>
      <c r="B8191" t="s">
        <v>40</v>
      </c>
      <c r="C8191" t="s">
        <v>24</v>
      </c>
      <c r="D8191" t="s">
        <v>11</v>
      </c>
      <c r="E8191" s="68">
        <v>25726</v>
      </c>
      <c r="F8191" s="68">
        <v>22242</v>
      </c>
      <c r="G8191" s="68">
        <v>47968</v>
      </c>
    </row>
    <row r="8192" spans="1:7" x14ac:dyDescent="0.3">
      <c r="A8192" t="s">
        <v>42</v>
      </c>
      <c r="B8192" t="s">
        <v>40</v>
      </c>
      <c r="C8192" t="s">
        <v>24</v>
      </c>
      <c r="D8192" t="s">
        <v>12</v>
      </c>
      <c r="E8192" s="68">
        <v>28132</v>
      </c>
      <c r="F8192" s="68">
        <v>22792</v>
      </c>
      <c r="G8192" s="68">
        <v>50924</v>
      </c>
    </row>
    <row r="8193" spans="1:7" x14ac:dyDescent="0.3">
      <c r="A8193" t="s">
        <v>42</v>
      </c>
      <c r="B8193" t="s">
        <v>40</v>
      </c>
      <c r="C8193" t="s">
        <v>24</v>
      </c>
      <c r="D8193" t="s">
        <v>13</v>
      </c>
      <c r="E8193" s="68">
        <v>30664</v>
      </c>
      <c r="F8193" s="68">
        <v>24940</v>
      </c>
      <c r="G8193" s="68">
        <v>55604</v>
      </c>
    </row>
    <row r="8194" spans="1:7" x14ac:dyDescent="0.3">
      <c r="A8194" t="s">
        <v>42</v>
      </c>
      <c r="B8194" t="s">
        <v>40</v>
      </c>
      <c r="C8194" t="s">
        <v>24</v>
      </c>
      <c r="D8194" t="s">
        <v>14</v>
      </c>
      <c r="E8194" s="68">
        <v>26938</v>
      </c>
      <c r="F8194" s="68">
        <v>21457</v>
      </c>
      <c r="G8194" s="68">
        <v>48395</v>
      </c>
    </row>
    <row r="8195" spans="1:7" x14ac:dyDescent="0.3">
      <c r="A8195" t="s">
        <v>42</v>
      </c>
      <c r="B8195" t="s">
        <v>40</v>
      </c>
      <c r="C8195" t="s">
        <v>24</v>
      </c>
      <c r="D8195" t="s">
        <v>15</v>
      </c>
      <c r="E8195" s="68">
        <v>29232</v>
      </c>
      <c r="F8195" s="68">
        <v>22788</v>
      </c>
      <c r="G8195" s="68">
        <v>52020</v>
      </c>
    </row>
    <row r="8196" spans="1:7" x14ac:dyDescent="0.3">
      <c r="A8196" t="s">
        <v>42</v>
      </c>
      <c r="B8196" t="s">
        <v>40</v>
      </c>
      <c r="C8196" t="s">
        <v>24</v>
      </c>
      <c r="D8196" t="s">
        <v>16</v>
      </c>
      <c r="E8196" s="68">
        <v>28434</v>
      </c>
      <c r="F8196" s="68">
        <v>21180</v>
      </c>
      <c r="G8196" s="68">
        <v>49614</v>
      </c>
    </row>
    <row r="8197" spans="1:7" x14ac:dyDescent="0.3">
      <c r="A8197" t="s">
        <v>42</v>
      </c>
      <c r="B8197" t="s">
        <v>40</v>
      </c>
      <c r="C8197" t="s">
        <v>24</v>
      </c>
      <c r="D8197" t="s">
        <v>17</v>
      </c>
      <c r="E8197" s="68">
        <v>26855</v>
      </c>
      <c r="F8197" s="68">
        <v>20428</v>
      </c>
      <c r="G8197" s="68">
        <v>47283</v>
      </c>
    </row>
    <row r="8198" spans="1:7" x14ac:dyDescent="0.3">
      <c r="A8198" t="s">
        <v>42</v>
      </c>
      <c r="B8198" t="s">
        <v>40</v>
      </c>
      <c r="C8198" t="s">
        <v>24</v>
      </c>
      <c r="D8198" t="s">
        <v>18</v>
      </c>
      <c r="E8198" s="68">
        <v>26434</v>
      </c>
      <c r="F8198" s="68">
        <v>20954</v>
      </c>
      <c r="G8198" s="68">
        <v>47388</v>
      </c>
    </row>
    <row r="8199" spans="1:7" x14ac:dyDescent="0.3">
      <c r="A8199" t="s">
        <v>42</v>
      </c>
      <c r="B8199" t="s">
        <v>40</v>
      </c>
      <c r="C8199" t="s">
        <v>24</v>
      </c>
      <c r="D8199" t="s">
        <v>19</v>
      </c>
      <c r="E8199" s="68">
        <v>26557</v>
      </c>
      <c r="F8199" s="68">
        <v>21437</v>
      </c>
      <c r="G8199" s="68">
        <v>47994</v>
      </c>
    </row>
    <row r="8200" spans="1:7" x14ac:dyDescent="0.3">
      <c r="A8200" t="s">
        <v>42</v>
      </c>
      <c r="B8200" t="s">
        <v>40</v>
      </c>
      <c r="C8200" t="s">
        <v>24</v>
      </c>
      <c r="D8200" t="s">
        <v>20</v>
      </c>
      <c r="E8200" s="68">
        <v>21265</v>
      </c>
      <c r="F8200" s="68">
        <v>17313</v>
      </c>
      <c r="G8200" s="68">
        <v>38578</v>
      </c>
    </row>
    <row r="8201" spans="1:7" x14ac:dyDescent="0.3">
      <c r="A8201" t="s">
        <v>42</v>
      </c>
      <c r="B8201" t="s">
        <v>40</v>
      </c>
      <c r="C8201" t="s">
        <v>24</v>
      </c>
      <c r="D8201" t="s">
        <v>21</v>
      </c>
      <c r="E8201" s="68">
        <v>16240</v>
      </c>
      <c r="F8201" s="68">
        <v>12998</v>
      </c>
      <c r="G8201" s="68">
        <v>29238</v>
      </c>
    </row>
    <row r="8202" spans="1:7" x14ac:dyDescent="0.3">
      <c r="A8202" t="s">
        <v>42</v>
      </c>
      <c r="B8202" t="s">
        <v>40</v>
      </c>
      <c r="C8202" t="s">
        <v>24</v>
      </c>
      <c r="D8202" t="s">
        <v>22</v>
      </c>
      <c r="E8202" s="68">
        <v>11000</v>
      </c>
      <c r="F8202" s="68">
        <v>8093</v>
      </c>
      <c r="G8202" s="68">
        <v>19093</v>
      </c>
    </row>
    <row r="8203" spans="1:7" x14ac:dyDescent="0.3">
      <c r="A8203" t="s">
        <v>42</v>
      </c>
      <c r="B8203" t="s">
        <v>40</v>
      </c>
      <c r="C8203" t="s">
        <v>24</v>
      </c>
      <c r="D8203" t="s">
        <v>23</v>
      </c>
      <c r="E8203" s="68">
        <v>15993</v>
      </c>
      <c r="F8203" s="68">
        <v>9727</v>
      </c>
      <c r="G8203" s="68">
        <v>25720</v>
      </c>
    </row>
    <row r="8204" spans="1:7" x14ac:dyDescent="0.3">
      <c r="A8204" t="s">
        <v>42</v>
      </c>
      <c r="B8204" t="s">
        <v>32</v>
      </c>
      <c r="C8204" t="s">
        <v>6</v>
      </c>
      <c r="D8204" t="s">
        <v>11</v>
      </c>
      <c r="E8204" s="68">
        <v>1</v>
      </c>
      <c r="F8204" s="68">
        <v>2</v>
      </c>
      <c r="G8204" s="68">
        <v>3</v>
      </c>
    </row>
    <row r="8205" spans="1:7" x14ac:dyDescent="0.3">
      <c r="A8205" t="s">
        <v>42</v>
      </c>
      <c r="B8205" t="s">
        <v>32</v>
      </c>
      <c r="C8205" t="s">
        <v>6</v>
      </c>
      <c r="D8205" t="s">
        <v>16</v>
      </c>
      <c r="E8205" s="68"/>
      <c r="F8205" s="68">
        <v>1</v>
      </c>
      <c r="G8205" s="68">
        <v>1</v>
      </c>
    </row>
    <row r="8206" spans="1:7" x14ac:dyDescent="0.3">
      <c r="A8206" t="s">
        <v>42</v>
      </c>
      <c r="B8206" t="s">
        <v>32</v>
      </c>
      <c r="C8206" t="s">
        <v>6</v>
      </c>
      <c r="D8206" t="s">
        <v>17</v>
      </c>
      <c r="E8206" s="68"/>
      <c r="F8206" s="68">
        <v>1</v>
      </c>
      <c r="G8206" s="68">
        <v>1</v>
      </c>
    </row>
    <row r="8207" spans="1:7" x14ac:dyDescent="0.3">
      <c r="A8207" t="s">
        <v>42</v>
      </c>
      <c r="B8207" t="s">
        <v>32</v>
      </c>
      <c r="C8207" t="s">
        <v>24</v>
      </c>
      <c r="D8207" t="s">
        <v>11</v>
      </c>
      <c r="E8207" s="68">
        <v>1</v>
      </c>
      <c r="F8207" s="68"/>
      <c r="G8207" s="68">
        <v>1</v>
      </c>
    </row>
    <row r="8208" spans="1:7" x14ac:dyDescent="0.3">
      <c r="A8208" t="s">
        <v>42</v>
      </c>
      <c r="B8208" t="s">
        <v>5</v>
      </c>
      <c r="C8208" t="s">
        <v>6</v>
      </c>
      <c r="D8208" t="s">
        <v>7</v>
      </c>
      <c r="E8208" s="68">
        <v>7606</v>
      </c>
      <c r="F8208" s="68">
        <v>7868</v>
      </c>
      <c r="G8208" s="68">
        <v>15474</v>
      </c>
    </row>
    <row r="8209" spans="1:7" x14ac:dyDescent="0.3">
      <c r="A8209" t="s">
        <v>42</v>
      </c>
      <c r="B8209" t="s">
        <v>5</v>
      </c>
      <c r="C8209" t="s">
        <v>6</v>
      </c>
      <c r="D8209" t="s">
        <v>8</v>
      </c>
      <c r="E8209" s="68">
        <v>9849</v>
      </c>
      <c r="F8209" s="68">
        <v>10270</v>
      </c>
      <c r="G8209" s="68">
        <v>20119</v>
      </c>
    </row>
    <row r="8210" spans="1:7" x14ac:dyDescent="0.3">
      <c r="A8210" t="s">
        <v>42</v>
      </c>
      <c r="B8210" t="s">
        <v>5</v>
      </c>
      <c r="C8210" t="s">
        <v>6</v>
      </c>
      <c r="D8210" t="s">
        <v>9</v>
      </c>
      <c r="E8210" s="68">
        <v>11338</v>
      </c>
      <c r="F8210" s="68">
        <v>12054</v>
      </c>
      <c r="G8210" s="68">
        <v>23392</v>
      </c>
    </row>
    <row r="8211" spans="1:7" x14ac:dyDescent="0.3">
      <c r="A8211" t="s">
        <v>42</v>
      </c>
      <c r="B8211" t="s">
        <v>5</v>
      </c>
      <c r="C8211" t="s">
        <v>6</v>
      </c>
      <c r="D8211" t="s">
        <v>10</v>
      </c>
      <c r="E8211" s="68">
        <v>11650</v>
      </c>
      <c r="F8211" s="68">
        <v>12107</v>
      </c>
      <c r="G8211" s="68">
        <v>23757</v>
      </c>
    </row>
    <row r="8212" spans="1:7" x14ac:dyDescent="0.3">
      <c r="A8212" t="s">
        <v>42</v>
      </c>
      <c r="B8212" t="s">
        <v>5</v>
      </c>
      <c r="C8212" t="s">
        <v>6</v>
      </c>
      <c r="D8212" t="s">
        <v>11</v>
      </c>
      <c r="E8212" s="68">
        <v>13643</v>
      </c>
      <c r="F8212" s="68">
        <v>12276</v>
      </c>
      <c r="G8212" s="68">
        <v>25919</v>
      </c>
    </row>
    <row r="8213" spans="1:7" x14ac:dyDescent="0.3">
      <c r="A8213" t="s">
        <v>42</v>
      </c>
      <c r="B8213" t="s">
        <v>5</v>
      </c>
      <c r="C8213" t="s">
        <v>6</v>
      </c>
      <c r="D8213" t="s">
        <v>12</v>
      </c>
      <c r="E8213" s="68">
        <v>17975</v>
      </c>
      <c r="F8213" s="68">
        <v>14166</v>
      </c>
      <c r="G8213" s="68">
        <v>32141</v>
      </c>
    </row>
    <row r="8214" spans="1:7" x14ac:dyDescent="0.3">
      <c r="A8214" t="s">
        <v>42</v>
      </c>
      <c r="B8214" t="s">
        <v>5</v>
      </c>
      <c r="C8214" t="s">
        <v>6</v>
      </c>
      <c r="D8214" t="s">
        <v>13</v>
      </c>
      <c r="E8214" s="68">
        <v>21907</v>
      </c>
      <c r="F8214" s="68">
        <v>17027</v>
      </c>
      <c r="G8214" s="68">
        <v>38934</v>
      </c>
    </row>
    <row r="8215" spans="1:7" x14ac:dyDescent="0.3">
      <c r="A8215" t="s">
        <v>42</v>
      </c>
      <c r="B8215" t="s">
        <v>5</v>
      </c>
      <c r="C8215" t="s">
        <v>6</v>
      </c>
      <c r="D8215" t="s">
        <v>14</v>
      </c>
      <c r="E8215" s="68">
        <v>20106</v>
      </c>
      <c r="F8215" s="68">
        <v>16368</v>
      </c>
      <c r="G8215" s="68">
        <v>36474</v>
      </c>
    </row>
    <row r="8216" spans="1:7" x14ac:dyDescent="0.3">
      <c r="A8216" t="s">
        <v>42</v>
      </c>
      <c r="B8216" t="s">
        <v>5</v>
      </c>
      <c r="C8216" t="s">
        <v>6</v>
      </c>
      <c r="D8216" t="s">
        <v>15</v>
      </c>
      <c r="E8216" s="68">
        <v>18874</v>
      </c>
      <c r="F8216" s="68">
        <v>15577</v>
      </c>
      <c r="G8216" s="68">
        <v>34451</v>
      </c>
    </row>
    <row r="8217" spans="1:7" x14ac:dyDescent="0.3">
      <c r="A8217" t="s">
        <v>42</v>
      </c>
      <c r="B8217" t="s">
        <v>5</v>
      </c>
      <c r="C8217" t="s">
        <v>6</v>
      </c>
      <c r="D8217" t="s">
        <v>16</v>
      </c>
      <c r="E8217" s="68">
        <v>16950</v>
      </c>
      <c r="F8217" s="68">
        <v>13997</v>
      </c>
      <c r="G8217" s="68">
        <v>30947</v>
      </c>
    </row>
    <row r="8218" spans="1:7" x14ac:dyDescent="0.3">
      <c r="A8218" t="s">
        <v>42</v>
      </c>
      <c r="B8218" t="s">
        <v>5</v>
      </c>
      <c r="C8218" t="s">
        <v>6</v>
      </c>
      <c r="D8218" t="s">
        <v>17</v>
      </c>
      <c r="E8218" s="68">
        <v>14247</v>
      </c>
      <c r="F8218" s="68">
        <v>11872</v>
      </c>
      <c r="G8218" s="68">
        <v>26119</v>
      </c>
    </row>
    <row r="8219" spans="1:7" x14ac:dyDescent="0.3">
      <c r="A8219" t="s">
        <v>42</v>
      </c>
      <c r="B8219" t="s">
        <v>5</v>
      </c>
      <c r="C8219" t="s">
        <v>6</v>
      </c>
      <c r="D8219" t="s">
        <v>18</v>
      </c>
      <c r="E8219" s="68">
        <v>14294</v>
      </c>
      <c r="F8219" s="68">
        <v>11356</v>
      </c>
      <c r="G8219" s="68">
        <v>25650</v>
      </c>
    </row>
    <row r="8220" spans="1:7" x14ac:dyDescent="0.3">
      <c r="A8220" t="s">
        <v>42</v>
      </c>
      <c r="B8220" t="s">
        <v>5</v>
      </c>
      <c r="C8220" t="s">
        <v>6</v>
      </c>
      <c r="D8220" t="s">
        <v>19</v>
      </c>
      <c r="E8220" s="68">
        <v>13836</v>
      </c>
      <c r="F8220" s="68">
        <v>10579</v>
      </c>
      <c r="G8220" s="68">
        <v>24415</v>
      </c>
    </row>
    <row r="8221" spans="1:7" x14ac:dyDescent="0.3">
      <c r="A8221" t="s">
        <v>42</v>
      </c>
      <c r="B8221" t="s">
        <v>5</v>
      </c>
      <c r="C8221" t="s">
        <v>6</v>
      </c>
      <c r="D8221" t="s">
        <v>20</v>
      </c>
      <c r="E8221" s="68">
        <v>11216</v>
      </c>
      <c r="F8221" s="68">
        <v>8400</v>
      </c>
      <c r="G8221" s="68">
        <v>19616</v>
      </c>
    </row>
    <row r="8222" spans="1:7" x14ac:dyDescent="0.3">
      <c r="A8222" t="s">
        <v>42</v>
      </c>
      <c r="B8222" t="s">
        <v>5</v>
      </c>
      <c r="C8222" t="s">
        <v>6</v>
      </c>
      <c r="D8222" t="s">
        <v>21</v>
      </c>
      <c r="E8222" s="68">
        <v>8431</v>
      </c>
      <c r="F8222" s="68">
        <v>5819</v>
      </c>
      <c r="G8222" s="68">
        <v>14250</v>
      </c>
    </row>
    <row r="8223" spans="1:7" x14ac:dyDescent="0.3">
      <c r="A8223" t="s">
        <v>42</v>
      </c>
      <c r="B8223" t="s">
        <v>5</v>
      </c>
      <c r="C8223" t="s">
        <v>6</v>
      </c>
      <c r="D8223" t="s">
        <v>22</v>
      </c>
      <c r="E8223" s="68">
        <v>5925</v>
      </c>
      <c r="F8223" s="68">
        <v>3884</v>
      </c>
      <c r="G8223" s="68">
        <v>9809</v>
      </c>
    </row>
    <row r="8224" spans="1:7" x14ac:dyDescent="0.3">
      <c r="A8224" t="s">
        <v>42</v>
      </c>
      <c r="B8224" t="s">
        <v>5</v>
      </c>
      <c r="C8224" t="s">
        <v>6</v>
      </c>
      <c r="D8224" t="s">
        <v>23</v>
      </c>
      <c r="E8224" s="68">
        <v>8242</v>
      </c>
      <c r="F8224" s="68">
        <v>4492</v>
      </c>
      <c r="G8224" s="68">
        <v>12734</v>
      </c>
    </row>
    <row r="8225" spans="1:7" x14ac:dyDescent="0.3">
      <c r="A8225" t="s">
        <v>42</v>
      </c>
      <c r="B8225" t="s">
        <v>5</v>
      </c>
      <c r="C8225" t="s">
        <v>24</v>
      </c>
      <c r="D8225" t="s">
        <v>7</v>
      </c>
      <c r="E8225" s="68">
        <v>1252</v>
      </c>
      <c r="F8225" s="68">
        <v>1270</v>
      </c>
      <c r="G8225" s="68">
        <v>2522</v>
      </c>
    </row>
    <row r="8226" spans="1:7" x14ac:dyDescent="0.3">
      <c r="A8226" t="s">
        <v>42</v>
      </c>
      <c r="B8226" t="s">
        <v>5</v>
      </c>
      <c r="C8226" t="s">
        <v>24</v>
      </c>
      <c r="D8226" t="s">
        <v>8</v>
      </c>
      <c r="E8226" s="68">
        <v>2243</v>
      </c>
      <c r="F8226" s="68">
        <v>2254</v>
      </c>
      <c r="G8226" s="68">
        <v>4497</v>
      </c>
    </row>
    <row r="8227" spans="1:7" x14ac:dyDescent="0.3">
      <c r="A8227" t="s">
        <v>42</v>
      </c>
      <c r="B8227" t="s">
        <v>5</v>
      </c>
      <c r="C8227" t="s">
        <v>24</v>
      </c>
      <c r="D8227" t="s">
        <v>9</v>
      </c>
      <c r="E8227" s="68">
        <v>2862</v>
      </c>
      <c r="F8227" s="68">
        <v>3092</v>
      </c>
      <c r="G8227" s="68">
        <v>5954</v>
      </c>
    </row>
    <row r="8228" spans="1:7" x14ac:dyDescent="0.3">
      <c r="A8228" t="s">
        <v>42</v>
      </c>
      <c r="B8228" t="s">
        <v>5</v>
      </c>
      <c r="C8228" t="s">
        <v>24</v>
      </c>
      <c r="D8228" t="s">
        <v>10</v>
      </c>
      <c r="E8228" s="68">
        <v>2737</v>
      </c>
      <c r="F8228" s="68">
        <v>2663</v>
      </c>
      <c r="G8228" s="68">
        <v>5400</v>
      </c>
    </row>
    <row r="8229" spans="1:7" x14ac:dyDescent="0.3">
      <c r="A8229" t="s">
        <v>42</v>
      </c>
      <c r="B8229" t="s">
        <v>5</v>
      </c>
      <c r="C8229" t="s">
        <v>24</v>
      </c>
      <c r="D8229" t="s">
        <v>11</v>
      </c>
      <c r="E8229" s="68">
        <v>3052</v>
      </c>
      <c r="F8229" s="68">
        <v>2762</v>
      </c>
      <c r="G8229" s="68">
        <v>5814</v>
      </c>
    </row>
    <row r="8230" spans="1:7" x14ac:dyDescent="0.3">
      <c r="A8230" t="s">
        <v>42</v>
      </c>
      <c r="B8230" t="s">
        <v>5</v>
      </c>
      <c r="C8230" t="s">
        <v>24</v>
      </c>
      <c r="D8230" t="s">
        <v>12</v>
      </c>
      <c r="E8230" s="68">
        <v>4047</v>
      </c>
      <c r="F8230" s="68">
        <v>3586</v>
      </c>
      <c r="G8230" s="68">
        <v>7633</v>
      </c>
    </row>
    <row r="8231" spans="1:7" x14ac:dyDescent="0.3">
      <c r="A8231" t="s">
        <v>42</v>
      </c>
      <c r="B8231" t="s">
        <v>5</v>
      </c>
      <c r="C8231" t="s">
        <v>24</v>
      </c>
      <c r="D8231" t="s">
        <v>13</v>
      </c>
      <c r="E8231" s="68">
        <v>3765</v>
      </c>
      <c r="F8231" s="68">
        <v>3215</v>
      </c>
      <c r="G8231" s="68">
        <v>6980</v>
      </c>
    </row>
    <row r="8232" spans="1:7" x14ac:dyDescent="0.3">
      <c r="A8232" t="s">
        <v>42</v>
      </c>
      <c r="B8232" t="s">
        <v>5</v>
      </c>
      <c r="C8232" t="s">
        <v>24</v>
      </c>
      <c r="D8232" t="s">
        <v>14</v>
      </c>
      <c r="E8232" s="68">
        <v>3146</v>
      </c>
      <c r="F8232" s="68">
        <v>2478</v>
      </c>
      <c r="G8232" s="68">
        <v>5624</v>
      </c>
    </row>
    <row r="8233" spans="1:7" x14ac:dyDescent="0.3">
      <c r="A8233" t="s">
        <v>42</v>
      </c>
      <c r="B8233" t="s">
        <v>5</v>
      </c>
      <c r="C8233" t="s">
        <v>24</v>
      </c>
      <c r="D8233" t="s">
        <v>15</v>
      </c>
      <c r="E8233" s="68">
        <v>2703</v>
      </c>
      <c r="F8233" s="68">
        <v>1947</v>
      </c>
      <c r="G8233" s="68">
        <v>4650</v>
      </c>
    </row>
    <row r="8234" spans="1:7" x14ac:dyDescent="0.3">
      <c r="A8234" t="s">
        <v>42</v>
      </c>
      <c r="B8234" t="s">
        <v>5</v>
      </c>
      <c r="C8234" t="s">
        <v>24</v>
      </c>
      <c r="D8234" t="s">
        <v>16</v>
      </c>
      <c r="E8234" s="68">
        <v>2225</v>
      </c>
      <c r="F8234" s="68">
        <v>1631</v>
      </c>
      <c r="G8234" s="68">
        <v>3856</v>
      </c>
    </row>
    <row r="8235" spans="1:7" x14ac:dyDescent="0.3">
      <c r="A8235" t="s">
        <v>42</v>
      </c>
      <c r="B8235" t="s">
        <v>5</v>
      </c>
      <c r="C8235" t="s">
        <v>24</v>
      </c>
      <c r="D8235" t="s">
        <v>17</v>
      </c>
      <c r="E8235" s="68">
        <v>1854</v>
      </c>
      <c r="F8235" s="68">
        <v>1438</v>
      </c>
      <c r="G8235" s="68">
        <v>3292</v>
      </c>
    </row>
    <row r="8236" spans="1:7" x14ac:dyDescent="0.3">
      <c r="A8236" t="s">
        <v>42</v>
      </c>
      <c r="B8236" t="s">
        <v>5</v>
      </c>
      <c r="C8236" t="s">
        <v>24</v>
      </c>
      <c r="D8236" t="s">
        <v>18</v>
      </c>
      <c r="E8236" s="68">
        <v>1625</v>
      </c>
      <c r="F8236" s="68">
        <v>1285</v>
      </c>
      <c r="G8236" s="68">
        <v>2910</v>
      </c>
    </row>
    <row r="8237" spans="1:7" x14ac:dyDescent="0.3">
      <c r="A8237" t="s">
        <v>42</v>
      </c>
      <c r="B8237" t="s">
        <v>5</v>
      </c>
      <c r="C8237" t="s">
        <v>24</v>
      </c>
      <c r="D8237" t="s">
        <v>19</v>
      </c>
      <c r="E8237" s="68">
        <v>1284</v>
      </c>
      <c r="F8237" s="68">
        <v>1073</v>
      </c>
      <c r="G8237" s="68">
        <v>2357</v>
      </c>
    </row>
    <row r="8238" spans="1:7" x14ac:dyDescent="0.3">
      <c r="A8238" t="s">
        <v>42</v>
      </c>
      <c r="B8238" t="s">
        <v>5</v>
      </c>
      <c r="C8238" t="s">
        <v>24</v>
      </c>
      <c r="D8238" t="s">
        <v>20</v>
      </c>
      <c r="E8238" s="68">
        <v>894</v>
      </c>
      <c r="F8238" s="68">
        <v>770</v>
      </c>
      <c r="G8238" s="68">
        <v>1664</v>
      </c>
    </row>
    <row r="8239" spans="1:7" x14ac:dyDescent="0.3">
      <c r="A8239" t="s">
        <v>42</v>
      </c>
      <c r="B8239" t="s">
        <v>5</v>
      </c>
      <c r="C8239" t="s">
        <v>24</v>
      </c>
      <c r="D8239" t="s">
        <v>21</v>
      </c>
      <c r="E8239" s="68">
        <v>658</v>
      </c>
      <c r="F8239" s="68">
        <v>527</v>
      </c>
      <c r="G8239" s="68">
        <v>1185</v>
      </c>
    </row>
    <row r="8240" spans="1:7" x14ac:dyDescent="0.3">
      <c r="A8240" t="s">
        <v>42</v>
      </c>
      <c r="B8240" t="s">
        <v>5</v>
      </c>
      <c r="C8240" t="s">
        <v>24</v>
      </c>
      <c r="D8240" t="s">
        <v>22</v>
      </c>
      <c r="E8240" s="68">
        <v>453</v>
      </c>
      <c r="F8240" s="68">
        <v>302</v>
      </c>
      <c r="G8240" s="68">
        <v>755</v>
      </c>
    </row>
    <row r="8241" spans="1:7" x14ac:dyDescent="0.3">
      <c r="A8241" t="s">
        <v>42</v>
      </c>
      <c r="B8241" t="s">
        <v>5</v>
      </c>
      <c r="C8241" t="s">
        <v>24</v>
      </c>
      <c r="D8241" t="s">
        <v>23</v>
      </c>
      <c r="E8241" s="68">
        <v>611</v>
      </c>
      <c r="F8241" s="68">
        <v>330</v>
      </c>
      <c r="G8241" s="68">
        <v>941</v>
      </c>
    </row>
    <row r="8242" spans="1:7" x14ac:dyDescent="0.3">
      <c r="A8242" t="s">
        <v>42</v>
      </c>
      <c r="B8242" t="s">
        <v>33</v>
      </c>
      <c r="C8242" t="s">
        <v>6</v>
      </c>
      <c r="D8242" t="s">
        <v>7</v>
      </c>
      <c r="E8242" s="68">
        <v>6728</v>
      </c>
      <c r="F8242" s="68">
        <v>7106</v>
      </c>
      <c r="G8242" s="68">
        <v>13834</v>
      </c>
    </row>
    <row r="8243" spans="1:7" x14ac:dyDescent="0.3">
      <c r="A8243" t="s">
        <v>42</v>
      </c>
      <c r="B8243" t="s">
        <v>33</v>
      </c>
      <c r="C8243" t="s">
        <v>6</v>
      </c>
      <c r="D8243" t="s">
        <v>8</v>
      </c>
      <c r="E8243" s="68">
        <v>10609</v>
      </c>
      <c r="F8243" s="68">
        <v>11108</v>
      </c>
      <c r="G8243" s="68">
        <v>21717</v>
      </c>
    </row>
    <row r="8244" spans="1:7" x14ac:dyDescent="0.3">
      <c r="A8244" t="s">
        <v>42</v>
      </c>
      <c r="B8244" t="s">
        <v>33</v>
      </c>
      <c r="C8244" t="s">
        <v>6</v>
      </c>
      <c r="D8244" t="s">
        <v>9</v>
      </c>
      <c r="E8244" s="68">
        <v>13212</v>
      </c>
      <c r="F8244" s="68">
        <v>13628</v>
      </c>
      <c r="G8244" s="68">
        <v>26840</v>
      </c>
    </row>
    <row r="8245" spans="1:7" x14ac:dyDescent="0.3">
      <c r="A8245" t="s">
        <v>42</v>
      </c>
      <c r="B8245" t="s">
        <v>33</v>
      </c>
      <c r="C8245" t="s">
        <v>6</v>
      </c>
      <c r="D8245" t="s">
        <v>10</v>
      </c>
      <c r="E8245" s="68">
        <v>15290</v>
      </c>
      <c r="F8245" s="68">
        <v>15785</v>
      </c>
      <c r="G8245" s="68">
        <v>31075</v>
      </c>
    </row>
    <row r="8246" spans="1:7" x14ac:dyDescent="0.3">
      <c r="A8246" t="s">
        <v>42</v>
      </c>
      <c r="B8246" t="s">
        <v>33</v>
      </c>
      <c r="C8246" t="s">
        <v>6</v>
      </c>
      <c r="D8246" t="s">
        <v>11</v>
      </c>
      <c r="E8246" s="68">
        <v>16774</v>
      </c>
      <c r="F8246" s="68">
        <v>17005</v>
      </c>
      <c r="G8246" s="68">
        <v>33779</v>
      </c>
    </row>
    <row r="8247" spans="1:7" x14ac:dyDescent="0.3">
      <c r="A8247" t="s">
        <v>42</v>
      </c>
      <c r="B8247" t="s">
        <v>33</v>
      </c>
      <c r="C8247" t="s">
        <v>6</v>
      </c>
      <c r="D8247" t="s">
        <v>12</v>
      </c>
      <c r="E8247" s="68">
        <v>13139</v>
      </c>
      <c r="F8247" s="68">
        <v>13146</v>
      </c>
      <c r="G8247" s="68">
        <v>26285</v>
      </c>
    </row>
    <row r="8248" spans="1:7" x14ac:dyDescent="0.3">
      <c r="A8248" t="s">
        <v>42</v>
      </c>
      <c r="B8248" t="s">
        <v>33</v>
      </c>
      <c r="C8248" t="s">
        <v>6</v>
      </c>
      <c r="D8248" t="s">
        <v>13</v>
      </c>
      <c r="E8248" s="68">
        <v>16445</v>
      </c>
      <c r="F8248" s="68">
        <v>15459</v>
      </c>
      <c r="G8248" s="68">
        <v>31904</v>
      </c>
    </row>
    <row r="8249" spans="1:7" x14ac:dyDescent="0.3">
      <c r="A8249" t="s">
        <v>42</v>
      </c>
      <c r="B8249" t="s">
        <v>33</v>
      </c>
      <c r="C8249" t="s">
        <v>6</v>
      </c>
      <c r="D8249" t="s">
        <v>14</v>
      </c>
      <c r="E8249" s="68">
        <v>17874</v>
      </c>
      <c r="F8249" s="68">
        <v>17241</v>
      </c>
      <c r="G8249" s="68">
        <v>35115</v>
      </c>
    </row>
    <row r="8250" spans="1:7" x14ac:dyDescent="0.3">
      <c r="A8250" t="s">
        <v>42</v>
      </c>
      <c r="B8250" t="s">
        <v>33</v>
      </c>
      <c r="C8250" t="s">
        <v>6</v>
      </c>
      <c r="D8250" t="s">
        <v>15</v>
      </c>
      <c r="E8250" s="68">
        <v>18894</v>
      </c>
      <c r="F8250" s="68">
        <v>18541</v>
      </c>
      <c r="G8250" s="68">
        <v>37435</v>
      </c>
    </row>
    <row r="8251" spans="1:7" x14ac:dyDescent="0.3">
      <c r="A8251" t="s">
        <v>42</v>
      </c>
      <c r="B8251" t="s">
        <v>33</v>
      </c>
      <c r="C8251" t="s">
        <v>6</v>
      </c>
      <c r="D8251" t="s">
        <v>16</v>
      </c>
      <c r="E8251" s="68">
        <v>17412</v>
      </c>
      <c r="F8251" s="68">
        <v>17416</v>
      </c>
      <c r="G8251" s="68">
        <v>34828</v>
      </c>
    </row>
    <row r="8252" spans="1:7" x14ac:dyDescent="0.3">
      <c r="A8252" t="s">
        <v>42</v>
      </c>
      <c r="B8252" t="s">
        <v>33</v>
      </c>
      <c r="C8252" t="s">
        <v>6</v>
      </c>
      <c r="D8252" t="s">
        <v>17</v>
      </c>
      <c r="E8252" s="68">
        <v>15591</v>
      </c>
      <c r="F8252" s="68">
        <v>15060</v>
      </c>
      <c r="G8252" s="68">
        <v>30651</v>
      </c>
    </row>
    <row r="8253" spans="1:7" x14ac:dyDescent="0.3">
      <c r="A8253" t="s">
        <v>42</v>
      </c>
      <c r="B8253" t="s">
        <v>33</v>
      </c>
      <c r="C8253" t="s">
        <v>6</v>
      </c>
      <c r="D8253" t="s">
        <v>18</v>
      </c>
      <c r="E8253" s="68">
        <v>15169</v>
      </c>
      <c r="F8253" s="68">
        <v>14678</v>
      </c>
      <c r="G8253" s="68">
        <v>29847</v>
      </c>
    </row>
    <row r="8254" spans="1:7" x14ac:dyDescent="0.3">
      <c r="A8254" t="s">
        <v>42</v>
      </c>
      <c r="B8254" t="s">
        <v>33</v>
      </c>
      <c r="C8254" t="s">
        <v>6</v>
      </c>
      <c r="D8254" t="s">
        <v>19</v>
      </c>
      <c r="E8254" s="68">
        <v>14419</v>
      </c>
      <c r="F8254" s="68">
        <v>13116</v>
      </c>
      <c r="G8254" s="68">
        <v>27535</v>
      </c>
    </row>
    <row r="8255" spans="1:7" x14ac:dyDescent="0.3">
      <c r="A8255" t="s">
        <v>42</v>
      </c>
      <c r="B8255" t="s">
        <v>33</v>
      </c>
      <c r="C8255" t="s">
        <v>6</v>
      </c>
      <c r="D8255" t="s">
        <v>20</v>
      </c>
      <c r="E8255" s="68">
        <v>11442</v>
      </c>
      <c r="F8255" s="68">
        <v>10211</v>
      </c>
      <c r="G8255" s="68">
        <v>21653</v>
      </c>
    </row>
    <row r="8256" spans="1:7" x14ac:dyDescent="0.3">
      <c r="A8256" t="s">
        <v>42</v>
      </c>
      <c r="B8256" t="s">
        <v>33</v>
      </c>
      <c r="C8256" t="s">
        <v>6</v>
      </c>
      <c r="D8256" t="s">
        <v>21</v>
      </c>
      <c r="E8256" s="68">
        <v>8244</v>
      </c>
      <c r="F8256" s="68">
        <v>7367</v>
      </c>
      <c r="G8256" s="68">
        <v>15611</v>
      </c>
    </row>
    <row r="8257" spans="1:7" x14ac:dyDescent="0.3">
      <c r="A8257" t="s">
        <v>42</v>
      </c>
      <c r="B8257" t="s">
        <v>33</v>
      </c>
      <c r="C8257" t="s">
        <v>6</v>
      </c>
      <c r="D8257" t="s">
        <v>22</v>
      </c>
      <c r="E8257" s="68">
        <v>4920</v>
      </c>
      <c r="F8257" s="68">
        <v>4877</v>
      </c>
      <c r="G8257" s="68">
        <v>9797</v>
      </c>
    </row>
    <row r="8258" spans="1:7" x14ac:dyDescent="0.3">
      <c r="A8258" t="s">
        <v>42</v>
      </c>
      <c r="B8258" t="s">
        <v>33</v>
      </c>
      <c r="C8258" t="s">
        <v>6</v>
      </c>
      <c r="D8258" t="s">
        <v>23</v>
      </c>
      <c r="E8258" s="68">
        <v>5713</v>
      </c>
      <c r="F8258" s="68">
        <v>3902</v>
      </c>
      <c r="G8258" s="68">
        <v>9615</v>
      </c>
    </row>
    <row r="8259" spans="1:7" x14ac:dyDescent="0.3">
      <c r="A8259" t="s">
        <v>42</v>
      </c>
      <c r="B8259" t="s">
        <v>33</v>
      </c>
      <c r="C8259" t="s">
        <v>24</v>
      </c>
      <c r="D8259" t="s">
        <v>7</v>
      </c>
      <c r="E8259" s="68">
        <v>2751</v>
      </c>
      <c r="F8259" s="68">
        <v>2991</v>
      </c>
      <c r="G8259" s="68">
        <v>5742</v>
      </c>
    </row>
    <row r="8260" spans="1:7" x14ac:dyDescent="0.3">
      <c r="A8260" t="s">
        <v>42</v>
      </c>
      <c r="B8260" t="s">
        <v>33</v>
      </c>
      <c r="C8260" t="s">
        <v>24</v>
      </c>
      <c r="D8260" t="s">
        <v>8</v>
      </c>
      <c r="E8260" s="68">
        <v>4652</v>
      </c>
      <c r="F8260" s="68">
        <v>4946</v>
      </c>
      <c r="G8260" s="68">
        <v>9598</v>
      </c>
    </row>
    <row r="8261" spans="1:7" x14ac:dyDescent="0.3">
      <c r="A8261" t="s">
        <v>42</v>
      </c>
      <c r="B8261" t="s">
        <v>33</v>
      </c>
      <c r="C8261" t="s">
        <v>24</v>
      </c>
      <c r="D8261" t="s">
        <v>9</v>
      </c>
      <c r="E8261" s="68">
        <v>5752</v>
      </c>
      <c r="F8261" s="68">
        <v>5997</v>
      </c>
      <c r="G8261" s="68">
        <v>11749</v>
      </c>
    </row>
    <row r="8262" spans="1:7" x14ac:dyDescent="0.3">
      <c r="A8262" t="s">
        <v>42</v>
      </c>
      <c r="B8262" t="s">
        <v>33</v>
      </c>
      <c r="C8262" t="s">
        <v>24</v>
      </c>
      <c r="D8262" t="s">
        <v>10</v>
      </c>
      <c r="E8262" s="68">
        <v>6427</v>
      </c>
      <c r="F8262" s="68">
        <v>6531</v>
      </c>
      <c r="G8262" s="68">
        <v>12958</v>
      </c>
    </row>
    <row r="8263" spans="1:7" x14ac:dyDescent="0.3">
      <c r="A8263" t="s">
        <v>42</v>
      </c>
      <c r="B8263" t="s">
        <v>33</v>
      </c>
      <c r="C8263" t="s">
        <v>24</v>
      </c>
      <c r="D8263" t="s">
        <v>11</v>
      </c>
      <c r="E8263" s="68">
        <v>5425</v>
      </c>
      <c r="F8263" s="68">
        <v>5332</v>
      </c>
      <c r="G8263" s="68">
        <v>10757</v>
      </c>
    </row>
    <row r="8264" spans="1:7" x14ac:dyDescent="0.3">
      <c r="A8264" t="s">
        <v>42</v>
      </c>
      <c r="B8264" t="s">
        <v>33</v>
      </c>
      <c r="C8264" t="s">
        <v>24</v>
      </c>
      <c r="D8264" t="s">
        <v>12</v>
      </c>
      <c r="E8264" s="68">
        <v>7823</v>
      </c>
      <c r="F8264" s="68">
        <v>7411</v>
      </c>
      <c r="G8264" s="68">
        <v>15234</v>
      </c>
    </row>
    <row r="8265" spans="1:7" x14ac:dyDescent="0.3">
      <c r="A8265" t="s">
        <v>42</v>
      </c>
      <c r="B8265" t="s">
        <v>33</v>
      </c>
      <c r="C8265" t="s">
        <v>24</v>
      </c>
      <c r="D8265" t="s">
        <v>13</v>
      </c>
      <c r="E8265" s="68">
        <v>7721</v>
      </c>
      <c r="F8265" s="68">
        <v>7851</v>
      </c>
      <c r="G8265" s="68">
        <v>15572</v>
      </c>
    </row>
    <row r="8266" spans="1:7" x14ac:dyDescent="0.3">
      <c r="A8266" t="s">
        <v>42</v>
      </c>
      <c r="B8266" t="s">
        <v>33</v>
      </c>
      <c r="C8266" t="s">
        <v>24</v>
      </c>
      <c r="D8266" t="s">
        <v>14</v>
      </c>
      <c r="E8266" s="68">
        <v>7415</v>
      </c>
      <c r="F8266" s="68">
        <v>7174</v>
      </c>
      <c r="G8266" s="68">
        <v>14589</v>
      </c>
    </row>
    <row r="8267" spans="1:7" x14ac:dyDescent="0.3">
      <c r="A8267" t="s">
        <v>42</v>
      </c>
      <c r="B8267" t="s">
        <v>33</v>
      </c>
      <c r="C8267" t="s">
        <v>24</v>
      </c>
      <c r="D8267" t="s">
        <v>15</v>
      </c>
      <c r="E8267" s="68">
        <v>6974</v>
      </c>
      <c r="F8267" s="68">
        <v>6537</v>
      </c>
      <c r="G8267" s="68">
        <v>13511</v>
      </c>
    </row>
    <row r="8268" spans="1:7" x14ac:dyDescent="0.3">
      <c r="A8268" t="s">
        <v>42</v>
      </c>
      <c r="B8268" t="s">
        <v>33</v>
      </c>
      <c r="C8268" t="s">
        <v>24</v>
      </c>
      <c r="D8268" t="s">
        <v>16</v>
      </c>
      <c r="E8268" s="68">
        <v>5896</v>
      </c>
      <c r="F8268" s="68">
        <v>5478</v>
      </c>
      <c r="G8268" s="68">
        <v>11374</v>
      </c>
    </row>
    <row r="8269" spans="1:7" x14ac:dyDescent="0.3">
      <c r="A8269" t="s">
        <v>42</v>
      </c>
      <c r="B8269" t="s">
        <v>33</v>
      </c>
      <c r="C8269" t="s">
        <v>24</v>
      </c>
      <c r="D8269" t="s">
        <v>17</v>
      </c>
      <c r="E8269" s="68">
        <v>4937</v>
      </c>
      <c r="F8269" s="68">
        <v>4453</v>
      </c>
      <c r="G8269" s="68">
        <v>9390</v>
      </c>
    </row>
    <row r="8270" spans="1:7" x14ac:dyDescent="0.3">
      <c r="A8270" t="s">
        <v>42</v>
      </c>
      <c r="B8270" t="s">
        <v>33</v>
      </c>
      <c r="C8270" t="s">
        <v>24</v>
      </c>
      <c r="D8270" t="s">
        <v>18</v>
      </c>
      <c r="E8270" s="68">
        <v>4008</v>
      </c>
      <c r="F8270" s="68">
        <v>3890</v>
      </c>
      <c r="G8270" s="68">
        <v>7898</v>
      </c>
    </row>
    <row r="8271" spans="1:7" x14ac:dyDescent="0.3">
      <c r="A8271" t="s">
        <v>42</v>
      </c>
      <c r="B8271" t="s">
        <v>33</v>
      </c>
      <c r="C8271" t="s">
        <v>24</v>
      </c>
      <c r="D8271" t="s">
        <v>19</v>
      </c>
      <c r="E8271" s="68">
        <v>3032</v>
      </c>
      <c r="F8271" s="68">
        <v>2901</v>
      </c>
      <c r="G8271" s="68">
        <v>5933</v>
      </c>
    </row>
    <row r="8272" spans="1:7" x14ac:dyDescent="0.3">
      <c r="A8272" t="s">
        <v>42</v>
      </c>
      <c r="B8272" t="s">
        <v>33</v>
      </c>
      <c r="C8272" t="s">
        <v>24</v>
      </c>
      <c r="D8272" t="s">
        <v>20</v>
      </c>
      <c r="E8272" s="68">
        <v>1844</v>
      </c>
      <c r="F8272" s="68">
        <v>1836</v>
      </c>
      <c r="G8272" s="68">
        <v>3680</v>
      </c>
    </row>
    <row r="8273" spans="1:7" x14ac:dyDescent="0.3">
      <c r="A8273" t="s">
        <v>42</v>
      </c>
      <c r="B8273" t="s">
        <v>33</v>
      </c>
      <c r="C8273" t="s">
        <v>24</v>
      </c>
      <c r="D8273" t="s">
        <v>21</v>
      </c>
      <c r="E8273" s="68">
        <v>1093</v>
      </c>
      <c r="F8273" s="68">
        <v>1049</v>
      </c>
      <c r="G8273" s="68">
        <v>2142</v>
      </c>
    </row>
    <row r="8274" spans="1:7" x14ac:dyDescent="0.3">
      <c r="A8274" t="s">
        <v>42</v>
      </c>
      <c r="B8274" t="s">
        <v>33</v>
      </c>
      <c r="C8274" t="s">
        <v>24</v>
      </c>
      <c r="D8274" t="s">
        <v>22</v>
      </c>
      <c r="E8274" s="68">
        <v>602</v>
      </c>
      <c r="F8274" s="68">
        <v>518</v>
      </c>
      <c r="G8274" s="68">
        <v>1120</v>
      </c>
    </row>
    <row r="8275" spans="1:7" x14ac:dyDescent="0.3">
      <c r="A8275" t="s">
        <v>42</v>
      </c>
      <c r="B8275" t="s">
        <v>33</v>
      </c>
      <c r="C8275" t="s">
        <v>24</v>
      </c>
      <c r="D8275" t="s">
        <v>23</v>
      </c>
      <c r="E8275" s="68">
        <v>541</v>
      </c>
      <c r="F8275" s="68">
        <v>397</v>
      </c>
      <c r="G8275" s="68">
        <v>938</v>
      </c>
    </row>
    <row r="8276" spans="1:7" x14ac:dyDescent="0.3">
      <c r="A8276" t="s">
        <v>42</v>
      </c>
      <c r="B8276" t="s">
        <v>34</v>
      </c>
      <c r="C8276" t="s">
        <v>6</v>
      </c>
      <c r="D8276" t="s">
        <v>7</v>
      </c>
      <c r="E8276" s="68">
        <v>9385</v>
      </c>
      <c r="F8276" s="68">
        <v>9810</v>
      </c>
      <c r="G8276" s="68">
        <v>19195</v>
      </c>
    </row>
    <row r="8277" spans="1:7" x14ac:dyDescent="0.3">
      <c r="A8277" t="s">
        <v>42</v>
      </c>
      <c r="B8277" t="s">
        <v>34</v>
      </c>
      <c r="C8277" t="s">
        <v>6</v>
      </c>
      <c r="D8277" t="s">
        <v>8</v>
      </c>
      <c r="E8277" s="68">
        <v>11782</v>
      </c>
      <c r="F8277" s="68">
        <v>12532</v>
      </c>
      <c r="G8277" s="68">
        <v>24314</v>
      </c>
    </row>
    <row r="8278" spans="1:7" x14ac:dyDescent="0.3">
      <c r="A8278" t="s">
        <v>42</v>
      </c>
      <c r="B8278" t="s">
        <v>34</v>
      </c>
      <c r="C8278" t="s">
        <v>6</v>
      </c>
      <c r="D8278" t="s">
        <v>9</v>
      </c>
      <c r="E8278" s="68">
        <v>13097</v>
      </c>
      <c r="F8278" s="68">
        <v>13479</v>
      </c>
      <c r="G8278" s="68">
        <v>26576</v>
      </c>
    </row>
    <row r="8279" spans="1:7" x14ac:dyDescent="0.3">
      <c r="A8279" t="s">
        <v>42</v>
      </c>
      <c r="B8279" t="s">
        <v>34</v>
      </c>
      <c r="C8279" t="s">
        <v>6</v>
      </c>
      <c r="D8279" t="s">
        <v>10</v>
      </c>
      <c r="E8279" s="68">
        <v>13256</v>
      </c>
      <c r="F8279" s="68">
        <v>13641</v>
      </c>
      <c r="G8279" s="68">
        <v>26897</v>
      </c>
    </row>
    <row r="8280" spans="1:7" x14ac:dyDescent="0.3">
      <c r="A8280" t="s">
        <v>42</v>
      </c>
      <c r="B8280" t="s">
        <v>34</v>
      </c>
      <c r="C8280" t="s">
        <v>6</v>
      </c>
      <c r="D8280" t="s">
        <v>11</v>
      </c>
      <c r="E8280" s="68">
        <v>16353</v>
      </c>
      <c r="F8280" s="68">
        <v>14908</v>
      </c>
      <c r="G8280" s="68">
        <v>31261</v>
      </c>
    </row>
    <row r="8281" spans="1:7" x14ac:dyDescent="0.3">
      <c r="A8281" t="s">
        <v>42</v>
      </c>
      <c r="B8281" t="s">
        <v>34</v>
      </c>
      <c r="C8281" t="s">
        <v>6</v>
      </c>
      <c r="D8281" t="s">
        <v>12</v>
      </c>
      <c r="E8281" s="68">
        <v>21148</v>
      </c>
      <c r="F8281" s="68">
        <v>17249</v>
      </c>
      <c r="G8281" s="68">
        <v>38397</v>
      </c>
    </row>
    <row r="8282" spans="1:7" x14ac:dyDescent="0.3">
      <c r="A8282" t="s">
        <v>42</v>
      </c>
      <c r="B8282" t="s">
        <v>34</v>
      </c>
      <c r="C8282" t="s">
        <v>6</v>
      </c>
      <c r="D8282" t="s">
        <v>13</v>
      </c>
      <c r="E8282" s="68">
        <v>25718</v>
      </c>
      <c r="F8282" s="68">
        <v>21364</v>
      </c>
      <c r="G8282" s="68">
        <v>47082</v>
      </c>
    </row>
    <row r="8283" spans="1:7" x14ac:dyDescent="0.3">
      <c r="A8283" t="s">
        <v>42</v>
      </c>
      <c r="B8283" t="s">
        <v>34</v>
      </c>
      <c r="C8283" t="s">
        <v>6</v>
      </c>
      <c r="D8283" t="s">
        <v>14</v>
      </c>
      <c r="E8283" s="68">
        <v>23949</v>
      </c>
      <c r="F8283" s="68">
        <v>20447</v>
      </c>
      <c r="G8283" s="68">
        <v>44396</v>
      </c>
    </row>
    <row r="8284" spans="1:7" x14ac:dyDescent="0.3">
      <c r="A8284" t="s">
        <v>42</v>
      </c>
      <c r="B8284" t="s">
        <v>34</v>
      </c>
      <c r="C8284" t="s">
        <v>6</v>
      </c>
      <c r="D8284" t="s">
        <v>15</v>
      </c>
      <c r="E8284" s="68">
        <v>22316</v>
      </c>
      <c r="F8284" s="68">
        <v>19223</v>
      </c>
      <c r="G8284" s="68">
        <v>41539</v>
      </c>
    </row>
    <row r="8285" spans="1:7" x14ac:dyDescent="0.3">
      <c r="A8285" t="s">
        <v>42</v>
      </c>
      <c r="B8285" t="s">
        <v>34</v>
      </c>
      <c r="C8285" t="s">
        <v>6</v>
      </c>
      <c r="D8285" t="s">
        <v>16</v>
      </c>
      <c r="E8285" s="68">
        <v>19531</v>
      </c>
      <c r="F8285" s="68">
        <v>17105</v>
      </c>
      <c r="G8285" s="68">
        <v>36636</v>
      </c>
    </row>
    <row r="8286" spans="1:7" x14ac:dyDescent="0.3">
      <c r="A8286" t="s">
        <v>42</v>
      </c>
      <c r="B8286" t="s">
        <v>34</v>
      </c>
      <c r="C8286" t="s">
        <v>6</v>
      </c>
      <c r="D8286" t="s">
        <v>17</v>
      </c>
      <c r="E8286" s="68">
        <v>16953</v>
      </c>
      <c r="F8286" s="68">
        <v>14296</v>
      </c>
      <c r="G8286" s="68">
        <v>31249</v>
      </c>
    </row>
    <row r="8287" spans="1:7" x14ac:dyDescent="0.3">
      <c r="A8287" t="s">
        <v>42</v>
      </c>
      <c r="B8287" t="s">
        <v>34</v>
      </c>
      <c r="C8287" t="s">
        <v>6</v>
      </c>
      <c r="D8287" t="s">
        <v>18</v>
      </c>
      <c r="E8287" s="68">
        <v>16699</v>
      </c>
      <c r="F8287" s="68">
        <v>13537</v>
      </c>
      <c r="G8287" s="68">
        <v>30236</v>
      </c>
    </row>
    <row r="8288" spans="1:7" x14ac:dyDescent="0.3">
      <c r="A8288" t="s">
        <v>42</v>
      </c>
      <c r="B8288" t="s">
        <v>34</v>
      </c>
      <c r="C8288" t="s">
        <v>6</v>
      </c>
      <c r="D8288" t="s">
        <v>19</v>
      </c>
      <c r="E8288" s="68">
        <v>16771</v>
      </c>
      <c r="F8288" s="68">
        <v>13129</v>
      </c>
      <c r="G8288" s="68">
        <v>29900</v>
      </c>
    </row>
    <row r="8289" spans="1:7" x14ac:dyDescent="0.3">
      <c r="A8289" t="s">
        <v>42</v>
      </c>
      <c r="B8289" t="s">
        <v>34</v>
      </c>
      <c r="C8289" t="s">
        <v>6</v>
      </c>
      <c r="D8289" t="s">
        <v>20</v>
      </c>
      <c r="E8289" s="68">
        <v>13209</v>
      </c>
      <c r="F8289" s="68">
        <v>9877</v>
      </c>
      <c r="G8289" s="68">
        <v>23086</v>
      </c>
    </row>
    <row r="8290" spans="1:7" x14ac:dyDescent="0.3">
      <c r="A8290" t="s">
        <v>42</v>
      </c>
      <c r="B8290" t="s">
        <v>34</v>
      </c>
      <c r="C8290" t="s">
        <v>6</v>
      </c>
      <c r="D8290" t="s">
        <v>21</v>
      </c>
      <c r="E8290" s="68">
        <v>9491</v>
      </c>
      <c r="F8290" s="68">
        <v>6861</v>
      </c>
      <c r="G8290" s="68">
        <v>16352</v>
      </c>
    </row>
    <row r="8291" spans="1:7" x14ac:dyDescent="0.3">
      <c r="A8291" t="s">
        <v>42</v>
      </c>
      <c r="B8291" t="s">
        <v>34</v>
      </c>
      <c r="C8291" t="s">
        <v>6</v>
      </c>
      <c r="D8291" t="s">
        <v>22</v>
      </c>
      <c r="E8291" s="68">
        <v>6240</v>
      </c>
      <c r="F8291" s="68">
        <v>4387</v>
      </c>
      <c r="G8291" s="68">
        <v>10627</v>
      </c>
    </row>
    <row r="8292" spans="1:7" x14ac:dyDescent="0.3">
      <c r="A8292" t="s">
        <v>42</v>
      </c>
      <c r="B8292" t="s">
        <v>34</v>
      </c>
      <c r="C8292" t="s">
        <v>6</v>
      </c>
      <c r="D8292" t="s">
        <v>23</v>
      </c>
      <c r="E8292" s="68">
        <v>7423</v>
      </c>
      <c r="F8292" s="68">
        <v>4191</v>
      </c>
      <c r="G8292" s="68">
        <v>11614</v>
      </c>
    </row>
    <row r="8293" spans="1:7" x14ac:dyDescent="0.3">
      <c r="A8293" t="s">
        <v>42</v>
      </c>
      <c r="B8293" t="s">
        <v>34</v>
      </c>
      <c r="C8293" t="s">
        <v>24</v>
      </c>
      <c r="D8293" t="s">
        <v>7</v>
      </c>
      <c r="E8293" s="68">
        <v>2250</v>
      </c>
      <c r="F8293" s="68">
        <v>2254</v>
      </c>
      <c r="G8293" s="68">
        <v>4504</v>
      </c>
    </row>
    <row r="8294" spans="1:7" x14ac:dyDescent="0.3">
      <c r="A8294" t="s">
        <v>42</v>
      </c>
      <c r="B8294" t="s">
        <v>34</v>
      </c>
      <c r="C8294" t="s">
        <v>24</v>
      </c>
      <c r="D8294" t="s">
        <v>8</v>
      </c>
      <c r="E8294" s="68">
        <v>3552</v>
      </c>
      <c r="F8294" s="68">
        <v>3670</v>
      </c>
      <c r="G8294" s="68">
        <v>7222</v>
      </c>
    </row>
    <row r="8295" spans="1:7" x14ac:dyDescent="0.3">
      <c r="A8295" t="s">
        <v>42</v>
      </c>
      <c r="B8295" t="s">
        <v>34</v>
      </c>
      <c r="C8295" t="s">
        <v>24</v>
      </c>
      <c r="D8295" t="s">
        <v>9</v>
      </c>
      <c r="E8295" s="68">
        <v>3861</v>
      </c>
      <c r="F8295" s="68">
        <v>4024</v>
      </c>
      <c r="G8295" s="68">
        <v>7885</v>
      </c>
    </row>
    <row r="8296" spans="1:7" x14ac:dyDescent="0.3">
      <c r="A8296" t="s">
        <v>42</v>
      </c>
      <c r="B8296" t="s">
        <v>34</v>
      </c>
      <c r="C8296" t="s">
        <v>24</v>
      </c>
      <c r="D8296" t="s">
        <v>10</v>
      </c>
      <c r="E8296" s="68">
        <v>3603</v>
      </c>
      <c r="F8296" s="68">
        <v>3755</v>
      </c>
      <c r="G8296" s="68">
        <v>7358</v>
      </c>
    </row>
    <row r="8297" spans="1:7" x14ac:dyDescent="0.3">
      <c r="A8297" t="s">
        <v>42</v>
      </c>
      <c r="B8297" t="s">
        <v>34</v>
      </c>
      <c r="C8297" t="s">
        <v>24</v>
      </c>
      <c r="D8297" t="s">
        <v>11</v>
      </c>
      <c r="E8297" s="68">
        <v>3064</v>
      </c>
      <c r="F8297" s="68">
        <v>2692</v>
      </c>
      <c r="G8297" s="68">
        <v>5756</v>
      </c>
    </row>
    <row r="8298" spans="1:7" x14ac:dyDescent="0.3">
      <c r="A8298" t="s">
        <v>42</v>
      </c>
      <c r="B8298" t="s">
        <v>34</v>
      </c>
      <c r="C8298" t="s">
        <v>24</v>
      </c>
      <c r="D8298" t="s">
        <v>12</v>
      </c>
      <c r="E8298" s="68">
        <v>5164</v>
      </c>
      <c r="F8298" s="68">
        <v>4365</v>
      </c>
      <c r="G8298" s="68">
        <v>9529</v>
      </c>
    </row>
    <row r="8299" spans="1:7" x14ac:dyDescent="0.3">
      <c r="A8299" t="s">
        <v>42</v>
      </c>
      <c r="B8299" t="s">
        <v>34</v>
      </c>
      <c r="C8299" t="s">
        <v>24</v>
      </c>
      <c r="D8299" t="s">
        <v>13</v>
      </c>
      <c r="E8299" s="68">
        <v>5298</v>
      </c>
      <c r="F8299" s="68">
        <v>4499</v>
      </c>
      <c r="G8299" s="68">
        <v>9797</v>
      </c>
    </row>
    <row r="8300" spans="1:7" x14ac:dyDescent="0.3">
      <c r="A8300" t="s">
        <v>42</v>
      </c>
      <c r="B8300" t="s">
        <v>34</v>
      </c>
      <c r="C8300" t="s">
        <v>24</v>
      </c>
      <c r="D8300" t="s">
        <v>14</v>
      </c>
      <c r="E8300" s="68">
        <v>4264</v>
      </c>
      <c r="F8300" s="68">
        <v>3674</v>
      </c>
      <c r="G8300" s="68">
        <v>7938</v>
      </c>
    </row>
    <row r="8301" spans="1:7" x14ac:dyDescent="0.3">
      <c r="A8301" t="s">
        <v>42</v>
      </c>
      <c r="B8301" t="s">
        <v>34</v>
      </c>
      <c r="C8301" t="s">
        <v>24</v>
      </c>
      <c r="D8301" t="s">
        <v>15</v>
      </c>
      <c r="E8301" s="68">
        <v>3468</v>
      </c>
      <c r="F8301" s="68">
        <v>2938</v>
      </c>
      <c r="G8301" s="68">
        <v>6406</v>
      </c>
    </row>
    <row r="8302" spans="1:7" x14ac:dyDescent="0.3">
      <c r="A8302" t="s">
        <v>42</v>
      </c>
      <c r="B8302" t="s">
        <v>34</v>
      </c>
      <c r="C8302" t="s">
        <v>24</v>
      </c>
      <c r="D8302" t="s">
        <v>16</v>
      </c>
      <c r="E8302" s="68">
        <v>3019</v>
      </c>
      <c r="F8302" s="68">
        <v>2327</v>
      </c>
      <c r="G8302" s="68">
        <v>5346</v>
      </c>
    </row>
    <row r="8303" spans="1:7" x14ac:dyDescent="0.3">
      <c r="A8303" t="s">
        <v>42</v>
      </c>
      <c r="B8303" t="s">
        <v>34</v>
      </c>
      <c r="C8303" t="s">
        <v>24</v>
      </c>
      <c r="D8303" t="s">
        <v>17</v>
      </c>
      <c r="E8303" s="68">
        <v>2609</v>
      </c>
      <c r="F8303" s="68">
        <v>1913</v>
      </c>
      <c r="G8303" s="68">
        <v>4522</v>
      </c>
    </row>
    <row r="8304" spans="1:7" x14ac:dyDescent="0.3">
      <c r="A8304" t="s">
        <v>42</v>
      </c>
      <c r="B8304" t="s">
        <v>34</v>
      </c>
      <c r="C8304" t="s">
        <v>24</v>
      </c>
      <c r="D8304" t="s">
        <v>18</v>
      </c>
      <c r="E8304" s="68">
        <v>2428</v>
      </c>
      <c r="F8304" s="68">
        <v>1758</v>
      </c>
      <c r="G8304" s="68">
        <v>4186</v>
      </c>
    </row>
    <row r="8305" spans="1:7" x14ac:dyDescent="0.3">
      <c r="A8305" t="s">
        <v>42</v>
      </c>
      <c r="B8305" t="s">
        <v>34</v>
      </c>
      <c r="C8305" t="s">
        <v>24</v>
      </c>
      <c r="D8305" t="s">
        <v>19</v>
      </c>
      <c r="E8305" s="68">
        <v>1852</v>
      </c>
      <c r="F8305" s="68">
        <v>1406</v>
      </c>
      <c r="G8305" s="68">
        <v>3258</v>
      </c>
    </row>
    <row r="8306" spans="1:7" x14ac:dyDescent="0.3">
      <c r="A8306" t="s">
        <v>42</v>
      </c>
      <c r="B8306" t="s">
        <v>34</v>
      </c>
      <c r="C8306" t="s">
        <v>24</v>
      </c>
      <c r="D8306" t="s">
        <v>20</v>
      </c>
      <c r="E8306" s="68">
        <v>1323</v>
      </c>
      <c r="F8306" s="68">
        <v>964</v>
      </c>
      <c r="G8306" s="68">
        <v>2287</v>
      </c>
    </row>
    <row r="8307" spans="1:7" x14ac:dyDescent="0.3">
      <c r="A8307" t="s">
        <v>42</v>
      </c>
      <c r="B8307" t="s">
        <v>34</v>
      </c>
      <c r="C8307" t="s">
        <v>24</v>
      </c>
      <c r="D8307" t="s">
        <v>21</v>
      </c>
      <c r="E8307" s="68">
        <v>719</v>
      </c>
      <c r="F8307" s="68">
        <v>556</v>
      </c>
      <c r="G8307" s="68">
        <v>1275</v>
      </c>
    </row>
    <row r="8308" spans="1:7" x14ac:dyDescent="0.3">
      <c r="A8308" t="s">
        <v>42</v>
      </c>
      <c r="B8308" t="s">
        <v>34</v>
      </c>
      <c r="C8308" t="s">
        <v>24</v>
      </c>
      <c r="D8308" t="s">
        <v>22</v>
      </c>
      <c r="E8308" s="68">
        <v>417</v>
      </c>
      <c r="F8308" s="68">
        <v>302</v>
      </c>
      <c r="G8308" s="68">
        <v>719</v>
      </c>
    </row>
    <row r="8309" spans="1:7" x14ac:dyDescent="0.3">
      <c r="A8309" t="s">
        <v>42</v>
      </c>
      <c r="B8309" t="s">
        <v>34</v>
      </c>
      <c r="C8309" t="s">
        <v>24</v>
      </c>
      <c r="D8309" t="s">
        <v>23</v>
      </c>
      <c r="E8309" s="68">
        <v>520</v>
      </c>
      <c r="F8309" s="68">
        <v>313</v>
      </c>
      <c r="G8309" s="68">
        <v>833</v>
      </c>
    </row>
    <row r="8310" spans="1:7" x14ac:dyDescent="0.3">
      <c r="A8310" t="s">
        <v>42</v>
      </c>
      <c r="B8310" t="s">
        <v>37</v>
      </c>
      <c r="C8310" t="s">
        <v>6</v>
      </c>
      <c r="D8310" t="s">
        <v>7</v>
      </c>
      <c r="E8310" s="68">
        <v>92</v>
      </c>
      <c r="F8310" s="68">
        <v>93</v>
      </c>
      <c r="G8310" s="68">
        <v>185</v>
      </c>
    </row>
    <row r="8311" spans="1:7" x14ac:dyDescent="0.3">
      <c r="A8311" t="s">
        <v>42</v>
      </c>
      <c r="B8311" t="s">
        <v>37</v>
      </c>
      <c r="C8311" t="s">
        <v>6</v>
      </c>
      <c r="D8311" t="s">
        <v>8</v>
      </c>
      <c r="E8311" s="68">
        <v>150</v>
      </c>
      <c r="F8311" s="68">
        <v>176</v>
      </c>
      <c r="G8311" s="68">
        <v>326</v>
      </c>
    </row>
    <row r="8312" spans="1:7" x14ac:dyDescent="0.3">
      <c r="A8312" t="s">
        <v>42</v>
      </c>
      <c r="B8312" t="s">
        <v>37</v>
      </c>
      <c r="C8312" t="s">
        <v>6</v>
      </c>
      <c r="D8312" t="s">
        <v>9</v>
      </c>
      <c r="E8312" s="68">
        <v>164</v>
      </c>
      <c r="F8312" s="68">
        <v>203</v>
      </c>
      <c r="G8312" s="68">
        <v>367</v>
      </c>
    </row>
    <row r="8313" spans="1:7" x14ac:dyDescent="0.3">
      <c r="A8313" t="s">
        <v>42</v>
      </c>
      <c r="B8313" t="s">
        <v>37</v>
      </c>
      <c r="C8313" t="s">
        <v>6</v>
      </c>
      <c r="D8313" t="s">
        <v>10</v>
      </c>
      <c r="E8313" s="68">
        <v>253</v>
      </c>
      <c r="F8313" s="68">
        <v>258</v>
      </c>
      <c r="G8313" s="68">
        <v>511</v>
      </c>
    </row>
    <row r="8314" spans="1:7" x14ac:dyDescent="0.3">
      <c r="A8314" t="s">
        <v>42</v>
      </c>
      <c r="B8314" t="s">
        <v>37</v>
      </c>
      <c r="C8314" t="s">
        <v>6</v>
      </c>
      <c r="D8314" t="s">
        <v>11</v>
      </c>
      <c r="E8314" s="68">
        <v>287</v>
      </c>
      <c r="F8314" s="68">
        <v>277</v>
      </c>
      <c r="G8314" s="68">
        <v>564</v>
      </c>
    </row>
    <row r="8315" spans="1:7" x14ac:dyDescent="0.3">
      <c r="A8315" t="s">
        <v>42</v>
      </c>
      <c r="B8315" t="s">
        <v>37</v>
      </c>
      <c r="C8315" t="s">
        <v>6</v>
      </c>
      <c r="D8315" t="s">
        <v>12</v>
      </c>
      <c r="E8315" s="68">
        <v>211</v>
      </c>
      <c r="F8315" s="68">
        <v>208</v>
      </c>
      <c r="G8315" s="68">
        <v>419</v>
      </c>
    </row>
    <row r="8316" spans="1:7" x14ac:dyDescent="0.3">
      <c r="A8316" t="s">
        <v>42</v>
      </c>
      <c r="B8316" t="s">
        <v>37</v>
      </c>
      <c r="C8316" t="s">
        <v>6</v>
      </c>
      <c r="D8316" t="s">
        <v>13</v>
      </c>
      <c r="E8316" s="68">
        <v>237</v>
      </c>
      <c r="F8316" s="68">
        <v>222</v>
      </c>
      <c r="G8316" s="68">
        <v>459</v>
      </c>
    </row>
    <row r="8317" spans="1:7" x14ac:dyDescent="0.3">
      <c r="A8317" t="s">
        <v>42</v>
      </c>
      <c r="B8317" t="s">
        <v>37</v>
      </c>
      <c r="C8317" t="s">
        <v>6</v>
      </c>
      <c r="D8317" t="s">
        <v>14</v>
      </c>
      <c r="E8317" s="68">
        <v>256</v>
      </c>
      <c r="F8317" s="68">
        <v>263</v>
      </c>
      <c r="G8317" s="68">
        <v>519</v>
      </c>
    </row>
    <row r="8318" spans="1:7" x14ac:dyDescent="0.3">
      <c r="A8318" t="s">
        <v>42</v>
      </c>
      <c r="B8318" t="s">
        <v>37</v>
      </c>
      <c r="C8318" t="s">
        <v>6</v>
      </c>
      <c r="D8318" t="s">
        <v>15</v>
      </c>
      <c r="E8318" s="68">
        <v>261</v>
      </c>
      <c r="F8318" s="68">
        <v>258</v>
      </c>
      <c r="G8318" s="68">
        <v>519</v>
      </c>
    </row>
    <row r="8319" spans="1:7" x14ac:dyDescent="0.3">
      <c r="A8319" t="s">
        <v>42</v>
      </c>
      <c r="B8319" t="s">
        <v>37</v>
      </c>
      <c r="C8319" t="s">
        <v>6</v>
      </c>
      <c r="D8319" t="s">
        <v>16</v>
      </c>
      <c r="E8319" s="68">
        <v>272</v>
      </c>
      <c r="F8319" s="68">
        <v>247</v>
      </c>
      <c r="G8319" s="68">
        <v>519</v>
      </c>
    </row>
    <row r="8320" spans="1:7" x14ac:dyDescent="0.3">
      <c r="A8320" t="s">
        <v>42</v>
      </c>
      <c r="B8320" t="s">
        <v>37</v>
      </c>
      <c r="C8320" t="s">
        <v>6</v>
      </c>
      <c r="D8320" t="s">
        <v>17</v>
      </c>
      <c r="E8320" s="68">
        <v>247</v>
      </c>
      <c r="F8320" s="68">
        <v>224</v>
      </c>
      <c r="G8320" s="68">
        <v>471</v>
      </c>
    </row>
    <row r="8321" spans="1:7" x14ac:dyDescent="0.3">
      <c r="A8321" t="s">
        <v>42</v>
      </c>
      <c r="B8321" t="s">
        <v>37</v>
      </c>
      <c r="C8321" t="s">
        <v>6</v>
      </c>
      <c r="D8321" t="s">
        <v>18</v>
      </c>
      <c r="E8321" s="68">
        <v>196</v>
      </c>
      <c r="F8321" s="68">
        <v>208</v>
      </c>
      <c r="G8321" s="68">
        <v>404</v>
      </c>
    </row>
    <row r="8322" spans="1:7" x14ac:dyDescent="0.3">
      <c r="A8322" t="s">
        <v>42</v>
      </c>
      <c r="B8322" t="s">
        <v>37</v>
      </c>
      <c r="C8322" t="s">
        <v>6</v>
      </c>
      <c r="D8322" t="s">
        <v>19</v>
      </c>
      <c r="E8322" s="68">
        <v>184</v>
      </c>
      <c r="F8322" s="68">
        <v>184</v>
      </c>
      <c r="G8322" s="68">
        <v>368</v>
      </c>
    </row>
    <row r="8323" spans="1:7" x14ac:dyDescent="0.3">
      <c r="A8323" t="s">
        <v>42</v>
      </c>
      <c r="B8323" t="s">
        <v>37</v>
      </c>
      <c r="C8323" t="s">
        <v>6</v>
      </c>
      <c r="D8323" t="s">
        <v>20</v>
      </c>
      <c r="E8323" s="68">
        <v>139</v>
      </c>
      <c r="F8323" s="68">
        <v>156</v>
      </c>
      <c r="G8323" s="68">
        <v>295</v>
      </c>
    </row>
    <row r="8324" spans="1:7" x14ac:dyDescent="0.3">
      <c r="A8324" t="s">
        <v>42</v>
      </c>
      <c r="B8324" t="s">
        <v>37</v>
      </c>
      <c r="C8324" t="s">
        <v>6</v>
      </c>
      <c r="D8324" t="s">
        <v>21</v>
      </c>
      <c r="E8324" s="68">
        <v>110</v>
      </c>
      <c r="F8324" s="68">
        <v>95</v>
      </c>
      <c r="G8324" s="68">
        <v>205</v>
      </c>
    </row>
    <row r="8325" spans="1:7" x14ac:dyDescent="0.3">
      <c r="A8325" t="s">
        <v>42</v>
      </c>
      <c r="B8325" t="s">
        <v>37</v>
      </c>
      <c r="C8325" t="s">
        <v>6</v>
      </c>
      <c r="D8325" t="s">
        <v>22</v>
      </c>
      <c r="E8325" s="68">
        <v>66</v>
      </c>
      <c r="F8325" s="68">
        <v>84</v>
      </c>
      <c r="G8325" s="68">
        <v>150</v>
      </c>
    </row>
    <row r="8326" spans="1:7" x14ac:dyDescent="0.3">
      <c r="A8326" t="s">
        <v>42</v>
      </c>
      <c r="B8326" t="s">
        <v>37</v>
      </c>
      <c r="C8326" t="s">
        <v>6</v>
      </c>
      <c r="D8326" t="s">
        <v>23</v>
      </c>
      <c r="E8326" s="68">
        <v>88</v>
      </c>
      <c r="F8326" s="68">
        <v>76</v>
      </c>
      <c r="G8326" s="68">
        <v>164</v>
      </c>
    </row>
    <row r="8327" spans="1:7" x14ac:dyDescent="0.3">
      <c r="A8327" t="s">
        <v>42</v>
      </c>
      <c r="B8327" t="s">
        <v>37</v>
      </c>
      <c r="C8327" t="s">
        <v>24</v>
      </c>
      <c r="D8327" t="s">
        <v>7</v>
      </c>
      <c r="E8327" s="68">
        <v>172</v>
      </c>
      <c r="F8327" s="68">
        <v>185</v>
      </c>
      <c r="G8327" s="68">
        <v>357</v>
      </c>
    </row>
    <row r="8328" spans="1:7" x14ac:dyDescent="0.3">
      <c r="A8328" t="s">
        <v>42</v>
      </c>
      <c r="B8328" t="s">
        <v>37</v>
      </c>
      <c r="C8328" t="s">
        <v>24</v>
      </c>
      <c r="D8328" t="s">
        <v>8</v>
      </c>
      <c r="E8328" s="68">
        <v>274</v>
      </c>
      <c r="F8328" s="68">
        <v>297</v>
      </c>
      <c r="G8328" s="68">
        <v>571</v>
      </c>
    </row>
    <row r="8329" spans="1:7" x14ac:dyDescent="0.3">
      <c r="A8329" t="s">
        <v>42</v>
      </c>
      <c r="B8329" t="s">
        <v>37</v>
      </c>
      <c r="C8329" t="s">
        <v>24</v>
      </c>
      <c r="D8329" t="s">
        <v>9</v>
      </c>
      <c r="E8329" s="68">
        <v>330</v>
      </c>
      <c r="F8329" s="68">
        <v>354</v>
      </c>
      <c r="G8329" s="68">
        <v>684</v>
      </c>
    </row>
    <row r="8330" spans="1:7" x14ac:dyDescent="0.3">
      <c r="A8330" t="s">
        <v>42</v>
      </c>
      <c r="B8330" t="s">
        <v>37</v>
      </c>
      <c r="C8330" t="s">
        <v>24</v>
      </c>
      <c r="D8330" t="s">
        <v>10</v>
      </c>
      <c r="E8330" s="68">
        <v>412</v>
      </c>
      <c r="F8330" s="68">
        <v>413</v>
      </c>
      <c r="G8330" s="68">
        <v>825</v>
      </c>
    </row>
    <row r="8331" spans="1:7" x14ac:dyDescent="0.3">
      <c r="A8331" t="s">
        <v>42</v>
      </c>
      <c r="B8331" t="s">
        <v>37</v>
      </c>
      <c r="C8331" t="s">
        <v>24</v>
      </c>
      <c r="D8331" t="s">
        <v>11</v>
      </c>
      <c r="E8331" s="68">
        <v>372</v>
      </c>
      <c r="F8331" s="68">
        <v>340</v>
      </c>
      <c r="G8331" s="68">
        <v>712</v>
      </c>
    </row>
    <row r="8332" spans="1:7" x14ac:dyDescent="0.3">
      <c r="A8332" t="s">
        <v>42</v>
      </c>
      <c r="B8332" t="s">
        <v>37</v>
      </c>
      <c r="C8332" t="s">
        <v>24</v>
      </c>
      <c r="D8332" t="s">
        <v>12</v>
      </c>
      <c r="E8332" s="68">
        <v>361</v>
      </c>
      <c r="F8332" s="68">
        <v>280</v>
      </c>
      <c r="G8332" s="68">
        <v>641</v>
      </c>
    </row>
    <row r="8333" spans="1:7" x14ac:dyDescent="0.3">
      <c r="A8333" t="s">
        <v>42</v>
      </c>
      <c r="B8333" t="s">
        <v>37</v>
      </c>
      <c r="C8333" t="s">
        <v>24</v>
      </c>
      <c r="D8333" t="s">
        <v>13</v>
      </c>
      <c r="E8333" s="68">
        <v>440</v>
      </c>
      <c r="F8333" s="68">
        <v>337</v>
      </c>
      <c r="G8333" s="68">
        <v>777</v>
      </c>
    </row>
    <row r="8334" spans="1:7" x14ac:dyDescent="0.3">
      <c r="A8334" t="s">
        <v>42</v>
      </c>
      <c r="B8334" t="s">
        <v>37</v>
      </c>
      <c r="C8334" t="s">
        <v>24</v>
      </c>
      <c r="D8334" t="s">
        <v>14</v>
      </c>
      <c r="E8334" s="68">
        <v>381</v>
      </c>
      <c r="F8334" s="68">
        <v>247</v>
      </c>
      <c r="G8334" s="68">
        <v>628</v>
      </c>
    </row>
    <row r="8335" spans="1:7" x14ac:dyDescent="0.3">
      <c r="A8335" t="s">
        <v>42</v>
      </c>
      <c r="B8335" t="s">
        <v>37</v>
      </c>
      <c r="C8335" t="s">
        <v>24</v>
      </c>
      <c r="D8335" t="s">
        <v>15</v>
      </c>
      <c r="E8335" s="68">
        <v>421</v>
      </c>
      <c r="F8335" s="68">
        <v>254</v>
      </c>
      <c r="G8335" s="68">
        <v>675</v>
      </c>
    </row>
    <row r="8336" spans="1:7" x14ac:dyDescent="0.3">
      <c r="A8336" t="s">
        <v>42</v>
      </c>
      <c r="B8336" t="s">
        <v>37</v>
      </c>
      <c r="C8336" t="s">
        <v>24</v>
      </c>
      <c r="D8336" t="s">
        <v>16</v>
      </c>
      <c r="E8336" s="68">
        <v>332</v>
      </c>
      <c r="F8336" s="68">
        <v>245</v>
      </c>
      <c r="G8336" s="68">
        <v>577</v>
      </c>
    </row>
    <row r="8337" spans="1:7" x14ac:dyDescent="0.3">
      <c r="A8337" t="s">
        <v>42</v>
      </c>
      <c r="B8337" t="s">
        <v>37</v>
      </c>
      <c r="C8337" t="s">
        <v>24</v>
      </c>
      <c r="D8337" t="s">
        <v>17</v>
      </c>
      <c r="E8337" s="68">
        <v>236</v>
      </c>
      <c r="F8337" s="68">
        <v>201</v>
      </c>
      <c r="G8337" s="68">
        <v>437</v>
      </c>
    </row>
    <row r="8338" spans="1:7" x14ac:dyDescent="0.3">
      <c r="A8338" t="s">
        <v>42</v>
      </c>
      <c r="B8338" t="s">
        <v>37</v>
      </c>
      <c r="C8338" t="s">
        <v>24</v>
      </c>
      <c r="D8338" t="s">
        <v>18</v>
      </c>
      <c r="E8338" s="68">
        <v>202</v>
      </c>
      <c r="F8338" s="68">
        <v>187</v>
      </c>
      <c r="G8338" s="68">
        <v>389</v>
      </c>
    </row>
    <row r="8339" spans="1:7" x14ac:dyDescent="0.3">
      <c r="A8339" t="s">
        <v>42</v>
      </c>
      <c r="B8339" t="s">
        <v>37</v>
      </c>
      <c r="C8339" t="s">
        <v>24</v>
      </c>
      <c r="D8339" t="s">
        <v>19</v>
      </c>
      <c r="E8339" s="68">
        <v>169</v>
      </c>
      <c r="F8339" s="68">
        <v>152</v>
      </c>
      <c r="G8339" s="68">
        <v>321</v>
      </c>
    </row>
    <row r="8340" spans="1:7" x14ac:dyDescent="0.3">
      <c r="A8340" t="s">
        <v>42</v>
      </c>
      <c r="B8340" t="s">
        <v>37</v>
      </c>
      <c r="C8340" t="s">
        <v>24</v>
      </c>
      <c r="D8340" t="s">
        <v>20</v>
      </c>
      <c r="E8340" s="68">
        <v>93</v>
      </c>
      <c r="F8340" s="68">
        <v>111</v>
      </c>
      <c r="G8340" s="68">
        <v>204</v>
      </c>
    </row>
    <row r="8341" spans="1:7" x14ac:dyDescent="0.3">
      <c r="A8341" t="s">
        <v>42</v>
      </c>
      <c r="B8341" t="s">
        <v>37</v>
      </c>
      <c r="C8341" t="s">
        <v>24</v>
      </c>
      <c r="D8341" t="s">
        <v>21</v>
      </c>
      <c r="E8341" s="68">
        <v>86</v>
      </c>
      <c r="F8341" s="68">
        <v>83</v>
      </c>
      <c r="G8341" s="68">
        <v>169</v>
      </c>
    </row>
    <row r="8342" spans="1:7" x14ac:dyDescent="0.3">
      <c r="A8342" t="s">
        <v>42</v>
      </c>
      <c r="B8342" t="s">
        <v>37</v>
      </c>
      <c r="C8342" t="s">
        <v>24</v>
      </c>
      <c r="D8342" t="s">
        <v>22</v>
      </c>
      <c r="E8342" s="68">
        <v>48</v>
      </c>
      <c r="F8342" s="68">
        <v>44</v>
      </c>
      <c r="G8342" s="68">
        <v>92</v>
      </c>
    </row>
    <row r="8343" spans="1:7" x14ac:dyDescent="0.3">
      <c r="A8343" t="s">
        <v>42</v>
      </c>
      <c r="B8343" t="s">
        <v>37</v>
      </c>
      <c r="C8343" t="s">
        <v>24</v>
      </c>
      <c r="D8343" t="s">
        <v>23</v>
      </c>
      <c r="E8343" s="68">
        <v>54</v>
      </c>
      <c r="F8343" s="68">
        <v>47</v>
      </c>
      <c r="G8343" s="68">
        <v>101</v>
      </c>
    </row>
    <row r="8344" spans="1:7" x14ac:dyDescent="0.3">
      <c r="A8344" t="s">
        <v>42</v>
      </c>
      <c r="B8344" t="s">
        <v>35</v>
      </c>
      <c r="C8344" t="s">
        <v>6</v>
      </c>
      <c r="D8344" t="s">
        <v>7</v>
      </c>
      <c r="E8344" s="68">
        <v>2</v>
      </c>
      <c r="F8344" s="68">
        <v>5</v>
      </c>
      <c r="G8344" s="68">
        <v>7</v>
      </c>
    </row>
    <row r="8345" spans="1:7" x14ac:dyDescent="0.3">
      <c r="A8345" t="s">
        <v>42</v>
      </c>
      <c r="B8345" t="s">
        <v>35</v>
      </c>
      <c r="C8345" t="s">
        <v>6</v>
      </c>
      <c r="D8345" t="s">
        <v>8</v>
      </c>
      <c r="E8345" s="68">
        <v>5</v>
      </c>
      <c r="F8345" s="68">
        <v>11</v>
      </c>
      <c r="G8345" s="68">
        <v>16</v>
      </c>
    </row>
    <row r="8346" spans="1:7" x14ac:dyDescent="0.3">
      <c r="A8346" t="s">
        <v>42</v>
      </c>
      <c r="B8346" t="s">
        <v>35</v>
      </c>
      <c r="C8346" t="s">
        <v>6</v>
      </c>
      <c r="D8346" t="s">
        <v>9</v>
      </c>
      <c r="E8346" s="68">
        <v>28</v>
      </c>
      <c r="F8346" s="68">
        <v>23</v>
      </c>
      <c r="G8346" s="68">
        <v>51</v>
      </c>
    </row>
    <row r="8347" spans="1:7" x14ac:dyDescent="0.3">
      <c r="A8347" t="s">
        <v>42</v>
      </c>
      <c r="B8347" t="s">
        <v>35</v>
      </c>
      <c r="C8347" t="s">
        <v>6</v>
      </c>
      <c r="D8347" t="s">
        <v>10</v>
      </c>
      <c r="E8347" s="68">
        <v>52</v>
      </c>
      <c r="F8347" s="68">
        <v>59</v>
      </c>
      <c r="G8347" s="68">
        <v>111</v>
      </c>
    </row>
    <row r="8348" spans="1:7" x14ac:dyDescent="0.3">
      <c r="A8348" t="s">
        <v>42</v>
      </c>
      <c r="B8348" t="s">
        <v>35</v>
      </c>
      <c r="C8348" t="s">
        <v>6</v>
      </c>
      <c r="D8348" t="s">
        <v>11</v>
      </c>
      <c r="E8348" s="68">
        <v>64</v>
      </c>
      <c r="F8348" s="68">
        <v>59</v>
      </c>
      <c r="G8348" s="68">
        <v>123</v>
      </c>
    </row>
    <row r="8349" spans="1:7" x14ac:dyDescent="0.3">
      <c r="A8349" t="s">
        <v>42</v>
      </c>
      <c r="B8349" t="s">
        <v>35</v>
      </c>
      <c r="C8349" t="s">
        <v>6</v>
      </c>
      <c r="D8349" t="s">
        <v>12</v>
      </c>
      <c r="E8349" s="68">
        <v>4</v>
      </c>
      <c r="F8349" s="68">
        <v>9</v>
      </c>
      <c r="G8349" s="68">
        <v>13</v>
      </c>
    </row>
    <row r="8350" spans="1:7" x14ac:dyDescent="0.3">
      <c r="A8350" t="s">
        <v>42</v>
      </c>
      <c r="B8350" t="s">
        <v>35</v>
      </c>
      <c r="C8350" t="s">
        <v>6</v>
      </c>
      <c r="D8350" t="s">
        <v>13</v>
      </c>
      <c r="E8350" s="68">
        <v>15</v>
      </c>
      <c r="F8350" s="68">
        <v>10</v>
      </c>
      <c r="G8350" s="68">
        <v>25</v>
      </c>
    </row>
    <row r="8351" spans="1:7" x14ac:dyDescent="0.3">
      <c r="A8351" t="s">
        <v>42</v>
      </c>
      <c r="B8351" t="s">
        <v>35</v>
      </c>
      <c r="C8351" t="s">
        <v>6</v>
      </c>
      <c r="D8351" t="s">
        <v>14</v>
      </c>
      <c r="E8351" s="68">
        <v>12</v>
      </c>
      <c r="F8351" s="68">
        <v>18</v>
      </c>
      <c r="G8351" s="68">
        <v>30</v>
      </c>
    </row>
    <row r="8352" spans="1:7" x14ac:dyDescent="0.3">
      <c r="A8352" t="s">
        <v>42</v>
      </c>
      <c r="B8352" t="s">
        <v>35</v>
      </c>
      <c r="C8352" t="s">
        <v>6</v>
      </c>
      <c r="D8352" t="s">
        <v>15</v>
      </c>
      <c r="E8352" s="68">
        <v>36</v>
      </c>
      <c r="F8352" s="68">
        <v>26</v>
      </c>
      <c r="G8352" s="68">
        <v>62</v>
      </c>
    </row>
    <row r="8353" spans="1:7" x14ac:dyDescent="0.3">
      <c r="A8353" t="s">
        <v>42</v>
      </c>
      <c r="B8353" t="s">
        <v>35</v>
      </c>
      <c r="C8353" t="s">
        <v>6</v>
      </c>
      <c r="D8353" t="s">
        <v>16</v>
      </c>
      <c r="E8353" s="68">
        <v>64</v>
      </c>
      <c r="F8353" s="68">
        <v>37</v>
      </c>
      <c r="G8353" s="68">
        <v>101</v>
      </c>
    </row>
    <row r="8354" spans="1:7" x14ac:dyDescent="0.3">
      <c r="A8354" t="s">
        <v>42</v>
      </c>
      <c r="B8354" t="s">
        <v>35</v>
      </c>
      <c r="C8354" t="s">
        <v>6</v>
      </c>
      <c r="D8354" t="s">
        <v>17</v>
      </c>
      <c r="E8354" s="68">
        <v>150</v>
      </c>
      <c r="F8354" s="68">
        <v>35</v>
      </c>
      <c r="G8354" s="68">
        <v>185</v>
      </c>
    </row>
    <row r="8355" spans="1:7" x14ac:dyDescent="0.3">
      <c r="A8355" t="s">
        <v>42</v>
      </c>
      <c r="B8355" t="s">
        <v>35</v>
      </c>
      <c r="C8355" t="s">
        <v>6</v>
      </c>
      <c r="D8355" t="s">
        <v>18</v>
      </c>
      <c r="E8355" s="68">
        <v>192</v>
      </c>
      <c r="F8355" s="68">
        <v>43</v>
      </c>
      <c r="G8355" s="68">
        <v>235</v>
      </c>
    </row>
    <row r="8356" spans="1:7" x14ac:dyDescent="0.3">
      <c r="A8356" t="s">
        <v>42</v>
      </c>
      <c r="B8356" t="s">
        <v>35</v>
      </c>
      <c r="C8356" t="s">
        <v>6</v>
      </c>
      <c r="D8356" t="s">
        <v>19</v>
      </c>
      <c r="E8356" s="68">
        <v>335</v>
      </c>
      <c r="F8356" s="68">
        <v>43</v>
      </c>
      <c r="G8356" s="68">
        <v>378</v>
      </c>
    </row>
    <row r="8357" spans="1:7" x14ac:dyDescent="0.3">
      <c r="A8357" t="s">
        <v>42</v>
      </c>
      <c r="B8357" t="s">
        <v>35</v>
      </c>
      <c r="C8357" t="s">
        <v>6</v>
      </c>
      <c r="D8357" t="s">
        <v>20</v>
      </c>
      <c r="E8357" s="68">
        <v>666</v>
      </c>
      <c r="F8357" s="68">
        <v>162</v>
      </c>
      <c r="G8357" s="68">
        <v>828</v>
      </c>
    </row>
    <row r="8358" spans="1:7" x14ac:dyDescent="0.3">
      <c r="A8358" t="s">
        <v>42</v>
      </c>
      <c r="B8358" t="s">
        <v>35</v>
      </c>
      <c r="C8358" t="s">
        <v>6</v>
      </c>
      <c r="D8358" t="s">
        <v>21</v>
      </c>
      <c r="E8358" s="68">
        <v>918</v>
      </c>
      <c r="F8358" s="68">
        <v>456</v>
      </c>
      <c r="G8358" s="68">
        <v>1374</v>
      </c>
    </row>
    <row r="8359" spans="1:7" x14ac:dyDescent="0.3">
      <c r="A8359" t="s">
        <v>42</v>
      </c>
      <c r="B8359" t="s">
        <v>35</v>
      </c>
      <c r="C8359" t="s">
        <v>6</v>
      </c>
      <c r="D8359" t="s">
        <v>22</v>
      </c>
      <c r="E8359" s="68">
        <v>737</v>
      </c>
      <c r="F8359" s="68">
        <v>562</v>
      </c>
      <c r="G8359" s="68">
        <v>1299</v>
      </c>
    </row>
    <row r="8360" spans="1:7" x14ac:dyDescent="0.3">
      <c r="A8360" t="s">
        <v>42</v>
      </c>
      <c r="B8360" t="s">
        <v>35</v>
      </c>
      <c r="C8360" t="s">
        <v>6</v>
      </c>
      <c r="D8360" t="s">
        <v>23</v>
      </c>
      <c r="E8360" s="68">
        <v>1341</v>
      </c>
      <c r="F8360" s="68">
        <v>810</v>
      </c>
      <c r="G8360" s="68">
        <v>2151</v>
      </c>
    </row>
    <row r="8361" spans="1:7" x14ac:dyDescent="0.3">
      <c r="A8361" t="s">
        <v>42</v>
      </c>
      <c r="B8361" t="s">
        <v>25</v>
      </c>
      <c r="C8361" t="s">
        <v>6</v>
      </c>
      <c r="D8361" t="s">
        <v>7</v>
      </c>
      <c r="E8361" s="68">
        <v>35</v>
      </c>
      <c r="F8361" s="68">
        <v>32</v>
      </c>
      <c r="G8361" s="68">
        <v>67</v>
      </c>
    </row>
    <row r="8362" spans="1:7" x14ac:dyDescent="0.3">
      <c r="A8362" t="s">
        <v>42</v>
      </c>
      <c r="B8362" t="s">
        <v>25</v>
      </c>
      <c r="C8362" t="s">
        <v>6</v>
      </c>
      <c r="D8362" t="s">
        <v>8</v>
      </c>
      <c r="E8362" s="68">
        <v>45</v>
      </c>
      <c r="F8362" s="68">
        <v>48</v>
      </c>
      <c r="G8362" s="68">
        <v>93</v>
      </c>
    </row>
    <row r="8363" spans="1:7" x14ac:dyDescent="0.3">
      <c r="A8363" t="s">
        <v>42</v>
      </c>
      <c r="B8363" t="s">
        <v>25</v>
      </c>
      <c r="C8363" t="s">
        <v>6</v>
      </c>
      <c r="D8363" t="s">
        <v>9</v>
      </c>
      <c r="E8363" s="68">
        <v>50</v>
      </c>
      <c r="F8363" s="68">
        <v>39</v>
      </c>
      <c r="G8363" s="68">
        <v>89</v>
      </c>
    </row>
    <row r="8364" spans="1:7" x14ac:dyDescent="0.3">
      <c r="A8364" t="s">
        <v>42</v>
      </c>
      <c r="B8364" t="s">
        <v>25</v>
      </c>
      <c r="C8364" t="s">
        <v>6</v>
      </c>
      <c r="D8364" t="s">
        <v>10</v>
      </c>
      <c r="E8364" s="68">
        <v>20</v>
      </c>
      <c r="F8364" s="68">
        <v>28</v>
      </c>
      <c r="G8364" s="68">
        <v>48</v>
      </c>
    </row>
    <row r="8365" spans="1:7" x14ac:dyDescent="0.3">
      <c r="A8365" t="s">
        <v>42</v>
      </c>
      <c r="B8365" t="s">
        <v>25</v>
      </c>
      <c r="C8365" t="s">
        <v>6</v>
      </c>
      <c r="D8365" t="s">
        <v>11</v>
      </c>
      <c r="E8365" s="68">
        <v>50</v>
      </c>
      <c r="F8365" s="68">
        <v>39</v>
      </c>
      <c r="G8365" s="68">
        <v>89</v>
      </c>
    </row>
    <row r="8366" spans="1:7" x14ac:dyDescent="0.3">
      <c r="A8366" t="s">
        <v>42</v>
      </c>
      <c r="B8366" t="s">
        <v>25</v>
      </c>
      <c r="C8366" t="s">
        <v>6</v>
      </c>
      <c r="D8366" t="s">
        <v>12</v>
      </c>
      <c r="E8366" s="68">
        <v>85</v>
      </c>
      <c r="F8366" s="68">
        <v>46</v>
      </c>
      <c r="G8366" s="68">
        <v>131</v>
      </c>
    </row>
    <row r="8367" spans="1:7" x14ac:dyDescent="0.3">
      <c r="A8367" t="s">
        <v>42</v>
      </c>
      <c r="B8367" t="s">
        <v>25</v>
      </c>
      <c r="C8367" t="s">
        <v>6</v>
      </c>
      <c r="D8367" t="s">
        <v>13</v>
      </c>
      <c r="E8367" s="68">
        <v>66</v>
      </c>
      <c r="F8367" s="68">
        <v>49</v>
      </c>
      <c r="G8367" s="68">
        <v>115</v>
      </c>
    </row>
    <row r="8368" spans="1:7" x14ac:dyDescent="0.3">
      <c r="A8368" t="s">
        <v>42</v>
      </c>
      <c r="B8368" t="s">
        <v>25</v>
      </c>
      <c r="C8368" t="s">
        <v>6</v>
      </c>
      <c r="D8368" t="s">
        <v>14</v>
      </c>
      <c r="E8368" s="68">
        <v>29</v>
      </c>
      <c r="F8368" s="68">
        <v>32</v>
      </c>
      <c r="G8368" s="68">
        <v>61</v>
      </c>
    </row>
    <row r="8369" spans="1:7" x14ac:dyDescent="0.3">
      <c r="A8369" t="s">
        <v>42</v>
      </c>
      <c r="B8369" t="s">
        <v>25</v>
      </c>
      <c r="C8369" t="s">
        <v>6</v>
      </c>
      <c r="D8369" t="s">
        <v>15</v>
      </c>
      <c r="E8369" s="68">
        <v>27</v>
      </c>
      <c r="F8369" s="68">
        <v>26</v>
      </c>
      <c r="G8369" s="68">
        <v>53</v>
      </c>
    </row>
    <row r="8370" spans="1:7" x14ac:dyDescent="0.3">
      <c r="A8370" t="s">
        <v>42</v>
      </c>
      <c r="B8370" t="s">
        <v>25</v>
      </c>
      <c r="C8370" t="s">
        <v>6</v>
      </c>
      <c r="D8370" t="s">
        <v>16</v>
      </c>
      <c r="E8370" s="68">
        <v>16</v>
      </c>
      <c r="F8370" s="68">
        <v>12</v>
      </c>
      <c r="G8370" s="68">
        <v>28</v>
      </c>
    </row>
    <row r="8371" spans="1:7" x14ac:dyDescent="0.3">
      <c r="A8371" t="s">
        <v>42</v>
      </c>
      <c r="B8371" t="s">
        <v>25</v>
      </c>
      <c r="C8371" t="s">
        <v>6</v>
      </c>
      <c r="D8371" t="s">
        <v>17</v>
      </c>
      <c r="E8371" s="68">
        <v>11</v>
      </c>
      <c r="F8371" s="68">
        <v>13</v>
      </c>
      <c r="G8371" s="68">
        <v>24</v>
      </c>
    </row>
    <row r="8372" spans="1:7" x14ac:dyDescent="0.3">
      <c r="A8372" t="s">
        <v>42</v>
      </c>
      <c r="B8372" t="s">
        <v>25</v>
      </c>
      <c r="C8372" t="s">
        <v>6</v>
      </c>
      <c r="D8372" t="s">
        <v>18</v>
      </c>
      <c r="E8372" s="68">
        <v>4</v>
      </c>
      <c r="F8372" s="68">
        <v>9</v>
      </c>
      <c r="G8372" s="68">
        <v>13</v>
      </c>
    </row>
    <row r="8373" spans="1:7" x14ac:dyDescent="0.3">
      <c r="A8373" t="s">
        <v>42</v>
      </c>
      <c r="B8373" t="s">
        <v>25</v>
      </c>
      <c r="C8373" t="s">
        <v>6</v>
      </c>
      <c r="D8373" t="s">
        <v>19</v>
      </c>
      <c r="E8373" s="68">
        <v>2</v>
      </c>
      <c r="F8373" s="68">
        <v>4</v>
      </c>
      <c r="G8373" s="68">
        <v>6</v>
      </c>
    </row>
    <row r="8374" spans="1:7" x14ac:dyDescent="0.3">
      <c r="A8374" t="s">
        <v>42</v>
      </c>
      <c r="B8374" t="s">
        <v>25</v>
      </c>
      <c r="C8374" t="s">
        <v>6</v>
      </c>
      <c r="D8374" t="s">
        <v>20</v>
      </c>
      <c r="E8374" s="68">
        <v>4</v>
      </c>
      <c r="F8374" s="68">
        <v>12</v>
      </c>
      <c r="G8374" s="68">
        <v>16</v>
      </c>
    </row>
    <row r="8375" spans="1:7" x14ac:dyDescent="0.3">
      <c r="A8375" t="s">
        <v>42</v>
      </c>
      <c r="B8375" t="s">
        <v>25</v>
      </c>
      <c r="C8375" t="s">
        <v>6</v>
      </c>
      <c r="D8375" t="s">
        <v>21</v>
      </c>
      <c r="E8375" s="68">
        <v>1</v>
      </c>
      <c r="F8375" s="68">
        <v>1</v>
      </c>
      <c r="G8375" s="68">
        <v>2</v>
      </c>
    </row>
    <row r="8376" spans="1:7" x14ac:dyDescent="0.3">
      <c r="A8376" t="s">
        <v>42</v>
      </c>
      <c r="B8376" t="s">
        <v>25</v>
      </c>
      <c r="C8376" t="s">
        <v>6</v>
      </c>
      <c r="D8376" t="s">
        <v>23</v>
      </c>
      <c r="E8376" s="68">
        <v>1</v>
      </c>
      <c r="F8376" s="68">
        <v>1</v>
      </c>
      <c r="G8376" s="68">
        <v>2</v>
      </c>
    </row>
    <row r="8377" spans="1:7" x14ac:dyDescent="0.3">
      <c r="A8377" t="s">
        <v>42</v>
      </c>
      <c r="B8377" t="s">
        <v>25</v>
      </c>
      <c r="C8377" t="s">
        <v>24</v>
      </c>
      <c r="D8377" t="s">
        <v>7</v>
      </c>
      <c r="E8377" s="68">
        <v>233</v>
      </c>
      <c r="F8377" s="68">
        <v>242</v>
      </c>
      <c r="G8377" s="68">
        <v>475</v>
      </c>
    </row>
    <row r="8378" spans="1:7" x14ac:dyDescent="0.3">
      <c r="A8378" t="s">
        <v>42</v>
      </c>
      <c r="B8378" t="s">
        <v>25</v>
      </c>
      <c r="C8378" t="s">
        <v>24</v>
      </c>
      <c r="D8378" t="s">
        <v>8</v>
      </c>
      <c r="E8378" s="68">
        <v>320</v>
      </c>
      <c r="F8378" s="68">
        <v>306</v>
      </c>
      <c r="G8378" s="68">
        <v>626</v>
      </c>
    </row>
    <row r="8379" spans="1:7" x14ac:dyDescent="0.3">
      <c r="A8379" t="s">
        <v>42</v>
      </c>
      <c r="B8379" t="s">
        <v>25</v>
      </c>
      <c r="C8379" t="s">
        <v>24</v>
      </c>
      <c r="D8379" t="s">
        <v>9</v>
      </c>
      <c r="E8379" s="68">
        <v>321</v>
      </c>
      <c r="F8379" s="68">
        <v>375</v>
      </c>
      <c r="G8379" s="68">
        <v>696</v>
      </c>
    </row>
    <row r="8380" spans="1:7" x14ac:dyDescent="0.3">
      <c r="A8380" t="s">
        <v>42</v>
      </c>
      <c r="B8380" t="s">
        <v>25</v>
      </c>
      <c r="C8380" t="s">
        <v>24</v>
      </c>
      <c r="D8380" t="s">
        <v>10</v>
      </c>
      <c r="E8380" s="68">
        <v>271</v>
      </c>
      <c r="F8380" s="68">
        <v>260</v>
      </c>
      <c r="G8380" s="68">
        <v>531</v>
      </c>
    </row>
    <row r="8381" spans="1:7" x14ac:dyDescent="0.3">
      <c r="A8381" t="s">
        <v>42</v>
      </c>
      <c r="B8381" t="s">
        <v>25</v>
      </c>
      <c r="C8381" t="s">
        <v>24</v>
      </c>
      <c r="D8381" t="s">
        <v>11</v>
      </c>
      <c r="E8381" s="68">
        <v>277</v>
      </c>
      <c r="F8381" s="68">
        <v>191</v>
      </c>
      <c r="G8381" s="68">
        <v>468</v>
      </c>
    </row>
    <row r="8382" spans="1:7" x14ac:dyDescent="0.3">
      <c r="A8382" t="s">
        <v>42</v>
      </c>
      <c r="B8382" t="s">
        <v>25</v>
      </c>
      <c r="C8382" t="s">
        <v>24</v>
      </c>
      <c r="D8382" t="s">
        <v>12</v>
      </c>
      <c r="E8382" s="68">
        <v>225</v>
      </c>
      <c r="F8382" s="68">
        <v>149</v>
      </c>
      <c r="G8382" s="68">
        <v>374</v>
      </c>
    </row>
    <row r="8383" spans="1:7" x14ac:dyDescent="0.3">
      <c r="A8383" t="s">
        <v>42</v>
      </c>
      <c r="B8383" t="s">
        <v>25</v>
      </c>
      <c r="C8383" t="s">
        <v>24</v>
      </c>
      <c r="D8383" t="s">
        <v>13</v>
      </c>
      <c r="E8383" s="68">
        <v>241</v>
      </c>
      <c r="F8383" s="68">
        <v>123</v>
      </c>
      <c r="G8383" s="68">
        <v>364</v>
      </c>
    </row>
    <row r="8384" spans="1:7" x14ac:dyDescent="0.3">
      <c r="A8384" t="s">
        <v>42</v>
      </c>
      <c r="B8384" t="s">
        <v>25</v>
      </c>
      <c r="C8384" t="s">
        <v>24</v>
      </c>
      <c r="D8384" t="s">
        <v>14</v>
      </c>
      <c r="E8384" s="68">
        <v>212</v>
      </c>
      <c r="F8384" s="68">
        <v>108</v>
      </c>
      <c r="G8384" s="68">
        <v>320</v>
      </c>
    </row>
    <row r="8385" spans="1:7" x14ac:dyDescent="0.3">
      <c r="A8385" t="s">
        <v>42</v>
      </c>
      <c r="B8385" t="s">
        <v>25</v>
      </c>
      <c r="C8385" t="s">
        <v>24</v>
      </c>
      <c r="D8385" t="s">
        <v>15</v>
      </c>
      <c r="E8385" s="68">
        <v>177</v>
      </c>
      <c r="F8385" s="68">
        <v>98</v>
      </c>
      <c r="G8385" s="68">
        <v>275</v>
      </c>
    </row>
    <row r="8386" spans="1:7" x14ac:dyDescent="0.3">
      <c r="A8386" t="s">
        <v>42</v>
      </c>
      <c r="B8386" t="s">
        <v>25</v>
      </c>
      <c r="C8386" t="s">
        <v>24</v>
      </c>
      <c r="D8386" t="s">
        <v>16</v>
      </c>
      <c r="E8386" s="68">
        <v>179</v>
      </c>
      <c r="F8386" s="68">
        <v>101</v>
      </c>
      <c r="G8386" s="68">
        <v>280</v>
      </c>
    </row>
    <row r="8387" spans="1:7" x14ac:dyDescent="0.3">
      <c r="A8387" t="s">
        <v>42</v>
      </c>
      <c r="B8387" t="s">
        <v>25</v>
      </c>
      <c r="C8387" t="s">
        <v>24</v>
      </c>
      <c r="D8387" t="s">
        <v>17</v>
      </c>
      <c r="E8387" s="68">
        <v>159</v>
      </c>
      <c r="F8387" s="68">
        <v>114</v>
      </c>
      <c r="G8387" s="68">
        <v>273</v>
      </c>
    </row>
    <row r="8388" spans="1:7" x14ac:dyDescent="0.3">
      <c r="A8388" t="s">
        <v>42</v>
      </c>
      <c r="B8388" t="s">
        <v>25</v>
      </c>
      <c r="C8388" t="s">
        <v>24</v>
      </c>
      <c r="D8388" t="s">
        <v>18</v>
      </c>
      <c r="E8388" s="68">
        <v>106</v>
      </c>
      <c r="F8388" s="68">
        <v>85</v>
      </c>
      <c r="G8388" s="68">
        <v>191</v>
      </c>
    </row>
    <row r="8389" spans="1:7" x14ac:dyDescent="0.3">
      <c r="A8389" t="s">
        <v>42</v>
      </c>
      <c r="B8389" t="s">
        <v>25</v>
      </c>
      <c r="C8389" t="s">
        <v>24</v>
      </c>
      <c r="D8389" t="s">
        <v>19</v>
      </c>
      <c r="E8389" s="68">
        <v>76</v>
      </c>
      <c r="F8389" s="68">
        <v>61</v>
      </c>
      <c r="G8389" s="68">
        <v>137</v>
      </c>
    </row>
    <row r="8390" spans="1:7" x14ac:dyDescent="0.3">
      <c r="A8390" t="s">
        <v>42</v>
      </c>
      <c r="B8390" t="s">
        <v>25</v>
      </c>
      <c r="C8390" t="s">
        <v>24</v>
      </c>
      <c r="D8390" t="s">
        <v>20</v>
      </c>
      <c r="E8390" s="68">
        <v>61</v>
      </c>
      <c r="F8390" s="68">
        <v>51</v>
      </c>
      <c r="G8390" s="68">
        <v>112</v>
      </c>
    </row>
    <row r="8391" spans="1:7" x14ac:dyDescent="0.3">
      <c r="A8391" t="s">
        <v>42</v>
      </c>
      <c r="B8391" t="s">
        <v>25</v>
      </c>
      <c r="C8391" t="s">
        <v>24</v>
      </c>
      <c r="D8391" t="s">
        <v>21</v>
      </c>
      <c r="E8391" s="68">
        <v>48</v>
      </c>
      <c r="F8391" s="68">
        <v>41</v>
      </c>
      <c r="G8391" s="68">
        <v>89</v>
      </c>
    </row>
    <row r="8392" spans="1:7" x14ac:dyDescent="0.3">
      <c r="A8392" t="s">
        <v>42</v>
      </c>
      <c r="B8392" t="s">
        <v>25</v>
      </c>
      <c r="C8392" t="s">
        <v>24</v>
      </c>
      <c r="D8392" t="s">
        <v>22</v>
      </c>
      <c r="E8392" s="68">
        <v>32</v>
      </c>
      <c r="F8392" s="68">
        <v>23</v>
      </c>
      <c r="G8392" s="68">
        <v>55</v>
      </c>
    </row>
    <row r="8393" spans="1:7" x14ac:dyDescent="0.3">
      <c r="A8393" t="s">
        <v>42</v>
      </c>
      <c r="B8393" t="s">
        <v>25</v>
      </c>
      <c r="C8393" t="s">
        <v>24</v>
      </c>
      <c r="D8393" t="s">
        <v>23</v>
      </c>
      <c r="E8393" s="68">
        <v>61</v>
      </c>
      <c r="F8393" s="68">
        <v>40</v>
      </c>
      <c r="G8393" s="68">
        <v>101</v>
      </c>
    </row>
    <row r="8394" spans="1:7" x14ac:dyDescent="0.3">
      <c r="A8394" t="s">
        <v>42</v>
      </c>
      <c r="B8394" t="s">
        <v>26</v>
      </c>
      <c r="C8394" t="s">
        <v>6</v>
      </c>
      <c r="D8394" t="s">
        <v>7</v>
      </c>
      <c r="E8394" s="68">
        <v>8425</v>
      </c>
      <c r="F8394" s="68">
        <v>8914</v>
      </c>
      <c r="G8394" s="68">
        <v>17339</v>
      </c>
    </row>
    <row r="8395" spans="1:7" x14ac:dyDescent="0.3">
      <c r="A8395" t="s">
        <v>42</v>
      </c>
      <c r="B8395" t="s">
        <v>26</v>
      </c>
      <c r="C8395" t="s">
        <v>6</v>
      </c>
      <c r="D8395" t="s">
        <v>8</v>
      </c>
      <c r="E8395" s="68">
        <v>11077</v>
      </c>
      <c r="F8395" s="68">
        <v>11540</v>
      </c>
      <c r="G8395" s="68">
        <v>22617</v>
      </c>
    </row>
    <row r="8396" spans="1:7" x14ac:dyDescent="0.3">
      <c r="A8396" t="s">
        <v>42</v>
      </c>
      <c r="B8396" t="s">
        <v>26</v>
      </c>
      <c r="C8396" t="s">
        <v>6</v>
      </c>
      <c r="D8396" t="s">
        <v>9</v>
      </c>
      <c r="E8396" s="68">
        <v>12248</v>
      </c>
      <c r="F8396" s="68">
        <v>12657</v>
      </c>
      <c r="G8396" s="68">
        <v>24905</v>
      </c>
    </row>
    <row r="8397" spans="1:7" x14ac:dyDescent="0.3">
      <c r="A8397" t="s">
        <v>42</v>
      </c>
      <c r="B8397" t="s">
        <v>26</v>
      </c>
      <c r="C8397" t="s">
        <v>6</v>
      </c>
      <c r="D8397" t="s">
        <v>10</v>
      </c>
      <c r="E8397" s="68">
        <v>13698</v>
      </c>
      <c r="F8397" s="68">
        <v>14086</v>
      </c>
      <c r="G8397" s="68">
        <v>27784</v>
      </c>
    </row>
    <row r="8398" spans="1:7" x14ac:dyDescent="0.3">
      <c r="A8398" t="s">
        <v>42</v>
      </c>
      <c r="B8398" t="s">
        <v>26</v>
      </c>
      <c r="C8398" t="s">
        <v>6</v>
      </c>
      <c r="D8398" t="s">
        <v>11</v>
      </c>
      <c r="E8398" s="68">
        <v>18784</v>
      </c>
      <c r="F8398" s="68">
        <v>21404</v>
      </c>
      <c r="G8398" s="68">
        <v>40188</v>
      </c>
    </row>
    <row r="8399" spans="1:7" x14ac:dyDescent="0.3">
      <c r="A8399" t="s">
        <v>42</v>
      </c>
      <c r="B8399" t="s">
        <v>26</v>
      </c>
      <c r="C8399" t="s">
        <v>6</v>
      </c>
      <c r="D8399" t="s">
        <v>12</v>
      </c>
      <c r="E8399" s="68">
        <v>19868</v>
      </c>
      <c r="F8399" s="68">
        <v>22997</v>
      </c>
      <c r="G8399" s="68">
        <v>42865</v>
      </c>
    </row>
    <row r="8400" spans="1:7" x14ac:dyDescent="0.3">
      <c r="A8400" t="s">
        <v>42</v>
      </c>
      <c r="B8400" t="s">
        <v>26</v>
      </c>
      <c r="C8400" t="s">
        <v>6</v>
      </c>
      <c r="D8400" t="s">
        <v>13</v>
      </c>
      <c r="E8400" s="68">
        <v>20612</v>
      </c>
      <c r="F8400" s="68">
        <v>23226</v>
      </c>
      <c r="G8400" s="68">
        <v>43838</v>
      </c>
    </row>
    <row r="8401" spans="1:7" x14ac:dyDescent="0.3">
      <c r="A8401" t="s">
        <v>42</v>
      </c>
      <c r="B8401" t="s">
        <v>26</v>
      </c>
      <c r="C8401" t="s">
        <v>6</v>
      </c>
      <c r="D8401" t="s">
        <v>14</v>
      </c>
      <c r="E8401" s="68">
        <v>17242</v>
      </c>
      <c r="F8401" s="68">
        <v>18374</v>
      </c>
      <c r="G8401" s="68">
        <v>35616</v>
      </c>
    </row>
    <row r="8402" spans="1:7" x14ac:dyDescent="0.3">
      <c r="A8402" t="s">
        <v>42</v>
      </c>
      <c r="B8402" t="s">
        <v>26</v>
      </c>
      <c r="C8402" t="s">
        <v>6</v>
      </c>
      <c r="D8402" t="s">
        <v>15</v>
      </c>
      <c r="E8402" s="68">
        <v>15675</v>
      </c>
      <c r="F8402" s="68">
        <v>16058</v>
      </c>
      <c r="G8402" s="68">
        <v>31733</v>
      </c>
    </row>
    <row r="8403" spans="1:7" x14ac:dyDescent="0.3">
      <c r="A8403" t="s">
        <v>42</v>
      </c>
      <c r="B8403" t="s">
        <v>26</v>
      </c>
      <c r="C8403" t="s">
        <v>6</v>
      </c>
      <c r="D8403" t="s">
        <v>16</v>
      </c>
      <c r="E8403" s="68">
        <v>15934</v>
      </c>
      <c r="F8403" s="68">
        <v>14932</v>
      </c>
      <c r="G8403" s="68">
        <v>30866</v>
      </c>
    </row>
    <row r="8404" spans="1:7" x14ac:dyDescent="0.3">
      <c r="A8404" t="s">
        <v>42</v>
      </c>
      <c r="B8404" t="s">
        <v>26</v>
      </c>
      <c r="C8404" t="s">
        <v>6</v>
      </c>
      <c r="D8404" t="s">
        <v>17</v>
      </c>
      <c r="E8404" s="68">
        <v>17368</v>
      </c>
      <c r="F8404" s="68">
        <v>15334</v>
      </c>
      <c r="G8404" s="68">
        <v>32702</v>
      </c>
    </row>
    <row r="8405" spans="1:7" x14ac:dyDescent="0.3">
      <c r="A8405" t="s">
        <v>42</v>
      </c>
      <c r="B8405" t="s">
        <v>26</v>
      </c>
      <c r="C8405" t="s">
        <v>6</v>
      </c>
      <c r="D8405" t="s">
        <v>18</v>
      </c>
      <c r="E8405" s="68">
        <v>20461</v>
      </c>
      <c r="F8405" s="68">
        <v>17271</v>
      </c>
      <c r="G8405" s="68">
        <v>37732</v>
      </c>
    </row>
    <row r="8406" spans="1:7" x14ac:dyDescent="0.3">
      <c r="A8406" t="s">
        <v>42</v>
      </c>
      <c r="B8406" t="s">
        <v>26</v>
      </c>
      <c r="C8406" t="s">
        <v>6</v>
      </c>
      <c r="D8406" t="s">
        <v>19</v>
      </c>
      <c r="E8406" s="68">
        <v>23148</v>
      </c>
      <c r="F8406" s="68">
        <v>17790</v>
      </c>
      <c r="G8406" s="68">
        <v>40938</v>
      </c>
    </row>
    <row r="8407" spans="1:7" x14ac:dyDescent="0.3">
      <c r="A8407" t="s">
        <v>42</v>
      </c>
      <c r="B8407" t="s">
        <v>26</v>
      </c>
      <c r="C8407" t="s">
        <v>6</v>
      </c>
      <c r="D8407" t="s">
        <v>20</v>
      </c>
      <c r="E8407" s="68">
        <v>22414</v>
      </c>
      <c r="F8407" s="68">
        <v>15858</v>
      </c>
      <c r="G8407" s="68">
        <v>38272</v>
      </c>
    </row>
    <row r="8408" spans="1:7" x14ac:dyDescent="0.3">
      <c r="A8408" t="s">
        <v>42</v>
      </c>
      <c r="B8408" t="s">
        <v>26</v>
      </c>
      <c r="C8408" t="s">
        <v>6</v>
      </c>
      <c r="D8408" t="s">
        <v>21</v>
      </c>
      <c r="E8408" s="68">
        <v>20890</v>
      </c>
      <c r="F8408" s="68">
        <v>14003</v>
      </c>
      <c r="G8408" s="68">
        <v>34893</v>
      </c>
    </row>
    <row r="8409" spans="1:7" x14ac:dyDescent="0.3">
      <c r="A8409" t="s">
        <v>42</v>
      </c>
      <c r="B8409" t="s">
        <v>26</v>
      </c>
      <c r="C8409" t="s">
        <v>6</v>
      </c>
      <c r="D8409" t="s">
        <v>22</v>
      </c>
      <c r="E8409" s="68">
        <v>17223</v>
      </c>
      <c r="F8409" s="68">
        <v>11342</v>
      </c>
      <c r="G8409" s="68">
        <v>28565</v>
      </c>
    </row>
    <row r="8410" spans="1:7" x14ac:dyDescent="0.3">
      <c r="A8410" t="s">
        <v>42</v>
      </c>
      <c r="B8410" t="s">
        <v>26</v>
      </c>
      <c r="C8410" t="s">
        <v>6</v>
      </c>
      <c r="D8410" t="s">
        <v>23</v>
      </c>
      <c r="E8410" s="68">
        <v>27442</v>
      </c>
      <c r="F8410" s="68">
        <v>16697</v>
      </c>
      <c r="G8410" s="68">
        <v>44139</v>
      </c>
    </row>
    <row r="8411" spans="1:7" x14ac:dyDescent="0.3">
      <c r="A8411" t="s">
        <v>42</v>
      </c>
      <c r="B8411" t="s">
        <v>26</v>
      </c>
      <c r="C8411" t="s">
        <v>24</v>
      </c>
      <c r="D8411" t="s">
        <v>7</v>
      </c>
      <c r="E8411" s="68">
        <v>9678</v>
      </c>
      <c r="F8411" s="68">
        <v>9911</v>
      </c>
      <c r="G8411" s="68">
        <v>19589</v>
      </c>
    </row>
    <row r="8412" spans="1:7" x14ac:dyDescent="0.3">
      <c r="A8412" t="s">
        <v>42</v>
      </c>
      <c r="B8412" t="s">
        <v>26</v>
      </c>
      <c r="C8412" t="s">
        <v>24</v>
      </c>
      <c r="D8412" t="s">
        <v>8</v>
      </c>
      <c r="E8412" s="68">
        <v>11875</v>
      </c>
      <c r="F8412" s="68">
        <v>12275</v>
      </c>
      <c r="G8412" s="68">
        <v>24150</v>
      </c>
    </row>
    <row r="8413" spans="1:7" x14ac:dyDescent="0.3">
      <c r="A8413" t="s">
        <v>42</v>
      </c>
      <c r="B8413" t="s">
        <v>26</v>
      </c>
      <c r="C8413" t="s">
        <v>24</v>
      </c>
      <c r="D8413" t="s">
        <v>9</v>
      </c>
      <c r="E8413" s="68">
        <v>12232</v>
      </c>
      <c r="F8413" s="68">
        <v>12827</v>
      </c>
      <c r="G8413" s="68">
        <v>25059</v>
      </c>
    </row>
    <row r="8414" spans="1:7" x14ac:dyDescent="0.3">
      <c r="A8414" t="s">
        <v>42</v>
      </c>
      <c r="B8414" t="s">
        <v>26</v>
      </c>
      <c r="C8414" t="s">
        <v>24</v>
      </c>
      <c r="D8414" t="s">
        <v>10</v>
      </c>
      <c r="E8414" s="68">
        <v>13837</v>
      </c>
      <c r="F8414" s="68">
        <v>13174</v>
      </c>
      <c r="G8414" s="68">
        <v>27011</v>
      </c>
    </row>
    <row r="8415" spans="1:7" x14ac:dyDescent="0.3">
      <c r="A8415" t="s">
        <v>42</v>
      </c>
      <c r="B8415" t="s">
        <v>26</v>
      </c>
      <c r="C8415" t="s">
        <v>24</v>
      </c>
      <c r="D8415" t="s">
        <v>11</v>
      </c>
      <c r="E8415" s="68">
        <v>16585</v>
      </c>
      <c r="F8415" s="68">
        <v>14474</v>
      </c>
      <c r="G8415" s="68">
        <v>31059</v>
      </c>
    </row>
    <row r="8416" spans="1:7" x14ac:dyDescent="0.3">
      <c r="A8416" t="s">
        <v>42</v>
      </c>
      <c r="B8416" t="s">
        <v>26</v>
      </c>
      <c r="C8416" t="s">
        <v>24</v>
      </c>
      <c r="D8416" t="s">
        <v>12</v>
      </c>
      <c r="E8416" s="68">
        <v>19334</v>
      </c>
      <c r="F8416" s="68">
        <v>17483</v>
      </c>
      <c r="G8416" s="68">
        <v>36817</v>
      </c>
    </row>
    <row r="8417" spans="1:7" x14ac:dyDescent="0.3">
      <c r="A8417" t="s">
        <v>42</v>
      </c>
      <c r="B8417" t="s">
        <v>26</v>
      </c>
      <c r="C8417" t="s">
        <v>24</v>
      </c>
      <c r="D8417" t="s">
        <v>13</v>
      </c>
      <c r="E8417" s="68">
        <v>17230</v>
      </c>
      <c r="F8417" s="68">
        <v>16515</v>
      </c>
      <c r="G8417" s="68">
        <v>33745</v>
      </c>
    </row>
    <row r="8418" spans="1:7" x14ac:dyDescent="0.3">
      <c r="A8418" t="s">
        <v>42</v>
      </c>
      <c r="B8418" t="s">
        <v>26</v>
      </c>
      <c r="C8418" t="s">
        <v>24</v>
      </c>
      <c r="D8418" t="s">
        <v>14</v>
      </c>
      <c r="E8418" s="68">
        <v>14084</v>
      </c>
      <c r="F8418" s="68">
        <v>12930</v>
      </c>
      <c r="G8418" s="68">
        <v>27014</v>
      </c>
    </row>
    <row r="8419" spans="1:7" x14ac:dyDescent="0.3">
      <c r="A8419" t="s">
        <v>42</v>
      </c>
      <c r="B8419" t="s">
        <v>26</v>
      </c>
      <c r="C8419" t="s">
        <v>24</v>
      </c>
      <c r="D8419" t="s">
        <v>15</v>
      </c>
      <c r="E8419" s="68">
        <v>13104</v>
      </c>
      <c r="F8419" s="68">
        <v>11231</v>
      </c>
      <c r="G8419" s="68">
        <v>24335</v>
      </c>
    </row>
    <row r="8420" spans="1:7" x14ac:dyDescent="0.3">
      <c r="A8420" t="s">
        <v>42</v>
      </c>
      <c r="B8420" t="s">
        <v>26</v>
      </c>
      <c r="C8420" t="s">
        <v>24</v>
      </c>
      <c r="D8420" t="s">
        <v>16</v>
      </c>
      <c r="E8420" s="68">
        <v>12285</v>
      </c>
      <c r="F8420" s="68">
        <v>10557</v>
      </c>
      <c r="G8420" s="68">
        <v>22842</v>
      </c>
    </row>
    <row r="8421" spans="1:7" x14ac:dyDescent="0.3">
      <c r="A8421" t="s">
        <v>42</v>
      </c>
      <c r="B8421" t="s">
        <v>26</v>
      </c>
      <c r="C8421" t="s">
        <v>24</v>
      </c>
      <c r="D8421" t="s">
        <v>17</v>
      </c>
      <c r="E8421" s="68">
        <v>11875</v>
      </c>
      <c r="F8421" s="68">
        <v>10133</v>
      </c>
      <c r="G8421" s="68">
        <v>22008</v>
      </c>
    </row>
    <row r="8422" spans="1:7" x14ac:dyDescent="0.3">
      <c r="A8422" t="s">
        <v>42</v>
      </c>
      <c r="B8422" t="s">
        <v>26</v>
      </c>
      <c r="C8422" t="s">
        <v>24</v>
      </c>
      <c r="D8422" t="s">
        <v>18</v>
      </c>
      <c r="E8422" s="68">
        <v>11606</v>
      </c>
      <c r="F8422" s="68">
        <v>10356</v>
      </c>
      <c r="G8422" s="68">
        <v>21962</v>
      </c>
    </row>
    <row r="8423" spans="1:7" x14ac:dyDescent="0.3">
      <c r="A8423" t="s">
        <v>42</v>
      </c>
      <c r="B8423" t="s">
        <v>26</v>
      </c>
      <c r="C8423" t="s">
        <v>24</v>
      </c>
      <c r="D8423" t="s">
        <v>19</v>
      </c>
      <c r="E8423" s="68">
        <v>10440</v>
      </c>
      <c r="F8423" s="68">
        <v>9791</v>
      </c>
      <c r="G8423" s="68">
        <v>20231</v>
      </c>
    </row>
    <row r="8424" spans="1:7" x14ac:dyDescent="0.3">
      <c r="A8424" t="s">
        <v>42</v>
      </c>
      <c r="B8424" t="s">
        <v>26</v>
      </c>
      <c r="C8424" t="s">
        <v>24</v>
      </c>
      <c r="D8424" t="s">
        <v>20</v>
      </c>
      <c r="E8424" s="68">
        <v>8069</v>
      </c>
      <c r="F8424" s="68">
        <v>7763</v>
      </c>
      <c r="G8424" s="68">
        <v>15832</v>
      </c>
    </row>
    <row r="8425" spans="1:7" x14ac:dyDescent="0.3">
      <c r="A8425" t="s">
        <v>42</v>
      </c>
      <c r="B8425" t="s">
        <v>26</v>
      </c>
      <c r="C8425" t="s">
        <v>24</v>
      </c>
      <c r="D8425" t="s">
        <v>21</v>
      </c>
      <c r="E8425" s="68">
        <v>6023</v>
      </c>
      <c r="F8425" s="68">
        <v>5966</v>
      </c>
      <c r="G8425" s="68">
        <v>11989</v>
      </c>
    </row>
    <row r="8426" spans="1:7" x14ac:dyDescent="0.3">
      <c r="A8426" t="s">
        <v>42</v>
      </c>
      <c r="B8426" t="s">
        <v>26</v>
      </c>
      <c r="C8426" t="s">
        <v>24</v>
      </c>
      <c r="D8426" t="s">
        <v>22</v>
      </c>
      <c r="E8426" s="68">
        <v>3979</v>
      </c>
      <c r="F8426" s="68">
        <v>3666</v>
      </c>
      <c r="G8426" s="68">
        <v>7645</v>
      </c>
    </row>
    <row r="8427" spans="1:7" x14ac:dyDescent="0.3">
      <c r="A8427" t="s">
        <v>42</v>
      </c>
      <c r="B8427" t="s">
        <v>26</v>
      </c>
      <c r="C8427" t="s">
        <v>24</v>
      </c>
      <c r="D8427" t="s">
        <v>23</v>
      </c>
      <c r="E8427" s="68">
        <v>5337</v>
      </c>
      <c r="F8427" s="68">
        <v>4332</v>
      </c>
      <c r="G8427" s="68">
        <v>9669</v>
      </c>
    </row>
    <row r="8428" spans="1:7" x14ac:dyDescent="0.3">
      <c r="A8428" t="s">
        <v>42</v>
      </c>
      <c r="B8428" t="s">
        <v>27</v>
      </c>
      <c r="C8428" t="s">
        <v>28</v>
      </c>
      <c r="D8428" t="s">
        <v>7</v>
      </c>
      <c r="E8428" s="68">
        <v>478</v>
      </c>
      <c r="F8428" s="68">
        <v>476</v>
      </c>
      <c r="G8428" s="68">
        <v>954</v>
      </c>
    </row>
    <row r="8429" spans="1:7" x14ac:dyDescent="0.3">
      <c r="A8429" t="s">
        <v>42</v>
      </c>
      <c r="B8429" t="s">
        <v>27</v>
      </c>
      <c r="C8429" t="s">
        <v>28</v>
      </c>
      <c r="D8429" t="s">
        <v>8</v>
      </c>
      <c r="E8429" s="68">
        <v>918</v>
      </c>
      <c r="F8429" s="68">
        <v>942</v>
      </c>
      <c r="G8429" s="68">
        <v>1860</v>
      </c>
    </row>
    <row r="8430" spans="1:7" x14ac:dyDescent="0.3">
      <c r="A8430" t="s">
        <v>42</v>
      </c>
      <c r="B8430" t="s">
        <v>27</v>
      </c>
      <c r="C8430" t="s">
        <v>28</v>
      </c>
      <c r="D8430" t="s">
        <v>9</v>
      </c>
      <c r="E8430" s="68">
        <v>1251</v>
      </c>
      <c r="F8430" s="68">
        <v>1362</v>
      </c>
      <c r="G8430" s="68">
        <v>2613</v>
      </c>
    </row>
    <row r="8431" spans="1:7" x14ac:dyDescent="0.3">
      <c r="A8431" t="s">
        <v>42</v>
      </c>
      <c r="B8431" t="s">
        <v>27</v>
      </c>
      <c r="C8431" t="s">
        <v>28</v>
      </c>
      <c r="D8431" t="s">
        <v>10</v>
      </c>
      <c r="E8431" s="68">
        <v>1613</v>
      </c>
      <c r="F8431" s="68">
        <v>1702</v>
      </c>
      <c r="G8431" s="68">
        <v>3315</v>
      </c>
    </row>
    <row r="8432" spans="1:7" x14ac:dyDescent="0.3">
      <c r="A8432" t="s">
        <v>42</v>
      </c>
      <c r="B8432" t="s">
        <v>27</v>
      </c>
      <c r="C8432" t="s">
        <v>28</v>
      </c>
      <c r="D8432" t="s">
        <v>11</v>
      </c>
      <c r="E8432" s="68">
        <v>1613</v>
      </c>
      <c r="F8432" s="68">
        <v>1442</v>
      </c>
      <c r="G8432" s="68">
        <v>3055</v>
      </c>
    </row>
    <row r="8433" spans="1:7" x14ac:dyDescent="0.3">
      <c r="A8433" t="s">
        <v>42</v>
      </c>
      <c r="B8433" t="s">
        <v>27</v>
      </c>
      <c r="C8433" t="s">
        <v>28</v>
      </c>
      <c r="D8433" t="s">
        <v>12</v>
      </c>
      <c r="E8433" s="68">
        <v>615</v>
      </c>
      <c r="F8433" s="68">
        <v>433</v>
      </c>
      <c r="G8433" s="68">
        <v>1048</v>
      </c>
    </row>
    <row r="8434" spans="1:7" x14ac:dyDescent="0.3">
      <c r="A8434" t="s">
        <v>42</v>
      </c>
      <c r="B8434" t="s">
        <v>27</v>
      </c>
      <c r="C8434" t="s">
        <v>28</v>
      </c>
      <c r="D8434" t="s">
        <v>13</v>
      </c>
      <c r="E8434" s="68">
        <v>1128</v>
      </c>
      <c r="F8434" s="68">
        <v>641</v>
      </c>
      <c r="G8434" s="68">
        <v>1769</v>
      </c>
    </row>
    <row r="8435" spans="1:7" x14ac:dyDescent="0.3">
      <c r="A8435" t="s">
        <v>42</v>
      </c>
      <c r="B8435" t="s">
        <v>27</v>
      </c>
      <c r="C8435" t="s">
        <v>28</v>
      </c>
      <c r="D8435" t="s">
        <v>14</v>
      </c>
      <c r="E8435" s="68">
        <v>1565</v>
      </c>
      <c r="F8435" s="68">
        <v>1011</v>
      </c>
      <c r="G8435" s="68">
        <v>2576</v>
      </c>
    </row>
    <row r="8436" spans="1:7" x14ac:dyDescent="0.3">
      <c r="A8436" t="s">
        <v>42</v>
      </c>
      <c r="B8436" t="s">
        <v>27</v>
      </c>
      <c r="C8436" t="s">
        <v>28</v>
      </c>
      <c r="D8436" t="s">
        <v>15</v>
      </c>
      <c r="E8436" s="68">
        <v>2124</v>
      </c>
      <c r="F8436" s="68">
        <v>1234</v>
      </c>
      <c r="G8436" s="68">
        <v>3358</v>
      </c>
    </row>
    <row r="8437" spans="1:7" x14ac:dyDescent="0.3">
      <c r="A8437" t="s">
        <v>42</v>
      </c>
      <c r="B8437" t="s">
        <v>27</v>
      </c>
      <c r="C8437" t="s">
        <v>28</v>
      </c>
      <c r="D8437" t="s">
        <v>16</v>
      </c>
      <c r="E8437" s="68">
        <v>2610</v>
      </c>
      <c r="F8437" s="68">
        <v>1568</v>
      </c>
      <c r="G8437" s="68">
        <v>4178</v>
      </c>
    </row>
    <row r="8438" spans="1:7" x14ac:dyDescent="0.3">
      <c r="A8438" t="s">
        <v>42</v>
      </c>
      <c r="B8438" t="s">
        <v>27</v>
      </c>
      <c r="C8438" t="s">
        <v>28</v>
      </c>
      <c r="D8438" t="s">
        <v>17</v>
      </c>
      <c r="E8438" s="68">
        <v>2992</v>
      </c>
      <c r="F8438" s="68">
        <v>1650</v>
      </c>
      <c r="G8438" s="68">
        <v>4642</v>
      </c>
    </row>
    <row r="8439" spans="1:7" x14ac:dyDescent="0.3">
      <c r="A8439" t="s">
        <v>42</v>
      </c>
      <c r="B8439" t="s">
        <v>27</v>
      </c>
      <c r="C8439" t="s">
        <v>28</v>
      </c>
      <c r="D8439" t="s">
        <v>18</v>
      </c>
      <c r="E8439" s="68">
        <v>3730</v>
      </c>
      <c r="F8439" s="68">
        <v>1907</v>
      </c>
      <c r="G8439" s="68">
        <v>5637</v>
      </c>
    </row>
    <row r="8440" spans="1:7" x14ac:dyDescent="0.3">
      <c r="A8440" t="s">
        <v>42</v>
      </c>
      <c r="B8440" t="s">
        <v>27</v>
      </c>
      <c r="C8440" t="s">
        <v>28</v>
      </c>
      <c r="D8440" t="s">
        <v>19</v>
      </c>
      <c r="E8440" s="68">
        <v>3979</v>
      </c>
      <c r="F8440" s="68">
        <v>2222</v>
      </c>
      <c r="G8440" s="68">
        <v>6201</v>
      </c>
    </row>
    <row r="8441" spans="1:7" x14ac:dyDescent="0.3">
      <c r="A8441" t="s">
        <v>42</v>
      </c>
      <c r="B8441" t="s">
        <v>27</v>
      </c>
      <c r="C8441" t="s">
        <v>28</v>
      </c>
      <c r="D8441" t="s">
        <v>20</v>
      </c>
      <c r="E8441" s="68">
        <v>3651</v>
      </c>
      <c r="F8441" s="68">
        <v>2092</v>
      </c>
      <c r="G8441" s="68">
        <v>5743</v>
      </c>
    </row>
    <row r="8442" spans="1:7" x14ac:dyDescent="0.3">
      <c r="A8442" t="s">
        <v>42</v>
      </c>
      <c r="B8442" t="s">
        <v>27</v>
      </c>
      <c r="C8442" t="s">
        <v>28</v>
      </c>
      <c r="D8442" t="s">
        <v>21</v>
      </c>
      <c r="E8442" s="68">
        <v>3419</v>
      </c>
      <c r="F8442" s="68">
        <v>1871</v>
      </c>
      <c r="G8442" s="68">
        <v>5290</v>
      </c>
    </row>
    <row r="8443" spans="1:7" x14ac:dyDescent="0.3">
      <c r="A8443" t="s">
        <v>42</v>
      </c>
      <c r="B8443" t="s">
        <v>27</v>
      </c>
      <c r="C8443" t="s">
        <v>28</v>
      </c>
      <c r="D8443" t="s">
        <v>22</v>
      </c>
      <c r="E8443" s="68">
        <v>2720</v>
      </c>
      <c r="F8443" s="68">
        <v>1538</v>
      </c>
      <c r="G8443" s="68">
        <v>4258</v>
      </c>
    </row>
    <row r="8444" spans="1:7" x14ac:dyDescent="0.3">
      <c r="A8444" t="s">
        <v>42</v>
      </c>
      <c r="B8444" t="s">
        <v>27</v>
      </c>
      <c r="C8444" t="s">
        <v>28</v>
      </c>
      <c r="D8444" t="s">
        <v>23</v>
      </c>
      <c r="E8444" s="68">
        <v>2321</v>
      </c>
      <c r="F8444" s="68">
        <v>1414</v>
      </c>
      <c r="G8444" s="68">
        <v>3735</v>
      </c>
    </row>
    <row r="8445" spans="1:7" x14ac:dyDescent="0.3">
      <c r="A8445" t="s">
        <v>42</v>
      </c>
      <c r="B8445" t="s">
        <v>27</v>
      </c>
      <c r="C8445" t="s">
        <v>29</v>
      </c>
      <c r="D8445" t="s">
        <v>7</v>
      </c>
      <c r="E8445" s="68">
        <v>2</v>
      </c>
      <c r="F8445" s="68">
        <v>1</v>
      </c>
      <c r="G8445" s="68">
        <v>3</v>
      </c>
    </row>
    <row r="8446" spans="1:7" x14ac:dyDescent="0.3">
      <c r="A8446" t="s">
        <v>42</v>
      </c>
      <c r="B8446" t="s">
        <v>27</v>
      </c>
      <c r="C8446" t="s">
        <v>29</v>
      </c>
      <c r="D8446" t="s">
        <v>10</v>
      </c>
      <c r="E8446" s="68">
        <v>5</v>
      </c>
      <c r="F8446" s="68">
        <v>55</v>
      </c>
      <c r="G8446" s="68">
        <v>60</v>
      </c>
    </row>
    <row r="8447" spans="1:7" x14ac:dyDescent="0.3">
      <c r="A8447" t="s">
        <v>42</v>
      </c>
      <c r="B8447" t="s">
        <v>27</v>
      </c>
      <c r="C8447" t="s">
        <v>29</v>
      </c>
      <c r="D8447" t="s">
        <v>11</v>
      </c>
      <c r="E8447" s="68">
        <v>77</v>
      </c>
      <c r="F8447" s="68">
        <v>1233</v>
      </c>
      <c r="G8447" s="68">
        <v>1310</v>
      </c>
    </row>
    <row r="8448" spans="1:7" x14ac:dyDescent="0.3">
      <c r="A8448" t="s">
        <v>42</v>
      </c>
      <c r="B8448" t="s">
        <v>27</v>
      </c>
      <c r="C8448" t="s">
        <v>29</v>
      </c>
      <c r="D8448" t="s">
        <v>12</v>
      </c>
      <c r="E8448" s="68">
        <v>133</v>
      </c>
      <c r="F8448" s="68">
        <v>2392</v>
      </c>
      <c r="G8448" s="68">
        <v>2525</v>
      </c>
    </row>
    <row r="8449" spans="1:7" x14ac:dyDescent="0.3">
      <c r="A8449" t="s">
        <v>42</v>
      </c>
      <c r="B8449" t="s">
        <v>27</v>
      </c>
      <c r="C8449" t="s">
        <v>29</v>
      </c>
      <c r="D8449" t="s">
        <v>13</v>
      </c>
      <c r="E8449" s="68">
        <v>114</v>
      </c>
      <c r="F8449" s="68">
        <v>2110</v>
      </c>
      <c r="G8449" s="68">
        <v>2224</v>
      </c>
    </row>
    <row r="8450" spans="1:7" x14ac:dyDescent="0.3">
      <c r="A8450" t="s">
        <v>42</v>
      </c>
      <c r="B8450" t="s">
        <v>27</v>
      </c>
      <c r="C8450" t="s">
        <v>29</v>
      </c>
      <c r="D8450" t="s">
        <v>14</v>
      </c>
      <c r="E8450" s="68">
        <v>90</v>
      </c>
      <c r="F8450" s="68">
        <v>1401</v>
      </c>
      <c r="G8450" s="68">
        <v>1491</v>
      </c>
    </row>
    <row r="8451" spans="1:7" x14ac:dyDescent="0.3">
      <c r="A8451" t="s">
        <v>42</v>
      </c>
      <c r="B8451" t="s">
        <v>27</v>
      </c>
      <c r="C8451" t="s">
        <v>29</v>
      </c>
      <c r="D8451" t="s">
        <v>15</v>
      </c>
      <c r="E8451" s="68">
        <v>71</v>
      </c>
      <c r="F8451" s="68">
        <v>952</v>
      </c>
      <c r="G8451" s="68">
        <v>1023</v>
      </c>
    </row>
    <row r="8452" spans="1:7" x14ac:dyDescent="0.3">
      <c r="A8452" t="s">
        <v>42</v>
      </c>
      <c r="B8452" t="s">
        <v>27</v>
      </c>
      <c r="C8452" t="s">
        <v>29</v>
      </c>
      <c r="D8452" t="s">
        <v>16</v>
      </c>
      <c r="E8452" s="68">
        <v>42</v>
      </c>
      <c r="F8452" s="68">
        <v>669</v>
      </c>
      <c r="G8452" s="68">
        <v>711</v>
      </c>
    </row>
    <row r="8453" spans="1:7" x14ac:dyDescent="0.3">
      <c r="A8453" t="s">
        <v>42</v>
      </c>
      <c r="B8453" t="s">
        <v>27</v>
      </c>
      <c r="C8453" t="s">
        <v>29</v>
      </c>
      <c r="D8453" t="s">
        <v>17</v>
      </c>
      <c r="E8453" s="68">
        <v>42</v>
      </c>
      <c r="F8453" s="68">
        <v>445</v>
      </c>
      <c r="G8453" s="68">
        <v>487</v>
      </c>
    </row>
    <row r="8454" spans="1:7" x14ac:dyDescent="0.3">
      <c r="A8454" t="s">
        <v>42</v>
      </c>
      <c r="B8454" t="s">
        <v>27</v>
      </c>
      <c r="C8454" t="s">
        <v>29</v>
      </c>
      <c r="D8454" t="s">
        <v>18</v>
      </c>
      <c r="E8454" s="68">
        <v>8</v>
      </c>
      <c r="F8454" s="68">
        <v>310</v>
      </c>
      <c r="G8454" s="68">
        <v>318</v>
      </c>
    </row>
    <row r="8455" spans="1:7" x14ac:dyDescent="0.3">
      <c r="A8455" t="s">
        <v>42</v>
      </c>
      <c r="B8455" t="s">
        <v>27</v>
      </c>
      <c r="C8455" t="s">
        <v>29</v>
      </c>
      <c r="D8455" t="s">
        <v>19</v>
      </c>
      <c r="E8455" s="68">
        <v>11</v>
      </c>
      <c r="F8455" s="68">
        <v>228</v>
      </c>
      <c r="G8455" s="68">
        <v>239</v>
      </c>
    </row>
    <row r="8456" spans="1:7" x14ac:dyDescent="0.3">
      <c r="A8456" t="s">
        <v>42</v>
      </c>
      <c r="B8456" t="s">
        <v>27</v>
      </c>
      <c r="C8456" t="s">
        <v>29</v>
      </c>
      <c r="D8456" t="s">
        <v>20</v>
      </c>
      <c r="E8456" s="68">
        <v>5</v>
      </c>
      <c r="F8456" s="68">
        <v>112</v>
      </c>
      <c r="G8456" s="68">
        <v>117</v>
      </c>
    </row>
    <row r="8457" spans="1:7" x14ac:dyDescent="0.3">
      <c r="A8457" t="s">
        <v>42</v>
      </c>
      <c r="B8457" t="s">
        <v>27</v>
      </c>
      <c r="C8457" t="s">
        <v>29</v>
      </c>
      <c r="D8457" t="s">
        <v>21</v>
      </c>
      <c r="E8457" s="68">
        <v>1</v>
      </c>
      <c r="F8457" s="68">
        <v>58</v>
      </c>
      <c r="G8457" s="68">
        <v>59</v>
      </c>
    </row>
    <row r="8458" spans="1:7" x14ac:dyDescent="0.3">
      <c r="A8458" t="s">
        <v>42</v>
      </c>
      <c r="B8458" t="s">
        <v>27</v>
      </c>
      <c r="C8458" t="s">
        <v>29</v>
      </c>
      <c r="D8458" t="s">
        <v>22</v>
      </c>
      <c r="E8458" s="68">
        <v>3</v>
      </c>
      <c r="F8458" s="68">
        <v>27</v>
      </c>
      <c r="G8458" s="68">
        <v>30</v>
      </c>
    </row>
    <row r="8459" spans="1:7" x14ac:dyDescent="0.3">
      <c r="A8459" t="s">
        <v>42</v>
      </c>
      <c r="B8459" t="s">
        <v>27</v>
      </c>
      <c r="C8459" t="s">
        <v>29</v>
      </c>
      <c r="D8459" t="s">
        <v>23</v>
      </c>
      <c r="E8459" s="68"/>
      <c r="F8459" s="68">
        <v>13</v>
      </c>
      <c r="G8459" s="68">
        <v>13</v>
      </c>
    </row>
    <row r="8460" spans="1:7" x14ac:dyDescent="0.3">
      <c r="A8460" t="s">
        <v>42</v>
      </c>
      <c r="B8460" t="s">
        <v>36</v>
      </c>
      <c r="C8460" t="s">
        <v>6</v>
      </c>
      <c r="D8460" t="s">
        <v>7</v>
      </c>
      <c r="E8460" s="68">
        <v>3577</v>
      </c>
      <c r="F8460" s="68">
        <v>3742</v>
      </c>
      <c r="G8460" s="68">
        <v>7319</v>
      </c>
    </row>
    <row r="8461" spans="1:7" x14ac:dyDescent="0.3">
      <c r="A8461" t="s">
        <v>42</v>
      </c>
      <c r="B8461" t="s">
        <v>36</v>
      </c>
      <c r="C8461" t="s">
        <v>6</v>
      </c>
      <c r="D8461" t="s">
        <v>8</v>
      </c>
      <c r="E8461" s="68">
        <v>5440</v>
      </c>
      <c r="F8461" s="68">
        <v>5619</v>
      </c>
      <c r="G8461" s="68">
        <v>11059</v>
      </c>
    </row>
    <row r="8462" spans="1:7" x14ac:dyDescent="0.3">
      <c r="A8462" t="s">
        <v>42</v>
      </c>
      <c r="B8462" t="s">
        <v>36</v>
      </c>
      <c r="C8462" t="s">
        <v>6</v>
      </c>
      <c r="D8462" t="s">
        <v>9</v>
      </c>
      <c r="E8462" s="68">
        <v>6142</v>
      </c>
      <c r="F8462" s="68">
        <v>6510</v>
      </c>
      <c r="G8462" s="68">
        <v>12652</v>
      </c>
    </row>
    <row r="8463" spans="1:7" x14ac:dyDescent="0.3">
      <c r="A8463" t="s">
        <v>42</v>
      </c>
      <c r="B8463" t="s">
        <v>36</v>
      </c>
      <c r="C8463" t="s">
        <v>6</v>
      </c>
      <c r="D8463" t="s">
        <v>10</v>
      </c>
      <c r="E8463" s="68">
        <v>6643</v>
      </c>
      <c r="F8463" s="68">
        <v>6782</v>
      </c>
      <c r="G8463" s="68">
        <v>13425</v>
      </c>
    </row>
    <row r="8464" spans="1:7" x14ac:dyDescent="0.3">
      <c r="A8464" t="s">
        <v>42</v>
      </c>
      <c r="B8464" t="s">
        <v>36</v>
      </c>
      <c r="C8464" t="s">
        <v>6</v>
      </c>
      <c r="D8464" t="s">
        <v>11</v>
      </c>
      <c r="E8464" s="68">
        <v>8002</v>
      </c>
      <c r="F8464" s="68">
        <v>8659</v>
      </c>
      <c r="G8464" s="68">
        <v>16661</v>
      </c>
    </row>
    <row r="8465" spans="1:7" x14ac:dyDescent="0.3">
      <c r="A8465" t="s">
        <v>42</v>
      </c>
      <c r="B8465" t="s">
        <v>36</v>
      </c>
      <c r="C8465" t="s">
        <v>6</v>
      </c>
      <c r="D8465" t="s">
        <v>12</v>
      </c>
      <c r="E8465" s="68">
        <v>8423</v>
      </c>
      <c r="F8465" s="68">
        <v>9200</v>
      </c>
      <c r="G8465" s="68">
        <v>17623</v>
      </c>
    </row>
    <row r="8466" spans="1:7" x14ac:dyDescent="0.3">
      <c r="A8466" t="s">
        <v>42</v>
      </c>
      <c r="B8466" t="s">
        <v>36</v>
      </c>
      <c r="C8466" t="s">
        <v>6</v>
      </c>
      <c r="D8466" t="s">
        <v>13</v>
      </c>
      <c r="E8466" s="68">
        <v>8923</v>
      </c>
      <c r="F8466" s="68">
        <v>9563</v>
      </c>
      <c r="G8466" s="68">
        <v>18486</v>
      </c>
    </row>
    <row r="8467" spans="1:7" x14ac:dyDescent="0.3">
      <c r="A8467" t="s">
        <v>42</v>
      </c>
      <c r="B8467" t="s">
        <v>36</v>
      </c>
      <c r="C8467" t="s">
        <v>6</v>
      </c>
      <c r="D8467" t="s">
        <v>14</v>
      </c>
      <c r="E8467" s="68">
        <v>7972</v>
      </c>
      <c r="F8467" s="68">
        <v>8193</v>
      </c>
      <c r="G8467" s="68">
        <v>16165</v>
      </c>
    </row>
    <row r="8468" spans="1:7" x14ac:dyDescent="0.3">
      <c r="A8468" t="s">
        <v>42</v>
      </c>
      <c r="B8468" t="s">
        <v>36</v>
      </c>
      <c r="C8468" t="s">
        <v>6</v>
      </c>
      <c r="D8468" t="s">
        <v>15</v>
      </c>
      <c r="E8468" s="68">
        <v>7789</v>
      </c>
      <c r="F8468" s="68">
        <v>7618</v>
      </c>
      <c r="G8468" s="68">
        <v>15407</v>
      </c>
    </row>
    <row r="8469" spans="1:7" x14ac:dyDescent="0.3">
      <c r="A8469" t="s">
        <v>42</v>
      </c>
      <c r="B8469" t="s">
        <v>36</v>
      </c>
      <c r="C8469" t="s">
        <v>6</v>
      </c>
      <c r="D8469" t="s">
        <v>16</v>
      </c>
      <c r="E8469" s="68">
        <v>6801</v>
      </c>
      <c r="F8469" s="68">
        <v>6642</v>
      </c>
      <c r="G8469" s="68">
        <v>13443</v>
      </c>
    </row>
    <row r="8470" spans="1:7" x14ac:dyDescent="0.3">
      <c r="A8470" t="s">
        <v>42</v>
      </c>
      <c r="B8470" t="s">
        <v>36</v>
      </c>
      <c r="C8470" t="s">
        <v>6</v>
      </c>
      <c r="D8470" t="s">
        <v>17</v>
      </c>
      <c r="E8470" s="68">
        <v>5655</v>
      </c>
      <c r="F8470" s="68">
        <v>5705</v>
      </c>
      <c r="G8470" s="68">
        <v>11360</v>
      </c>
    </row>
    <row r="8471" spans="1:7" x14ac:dyDescent="0.3">
      <c r="A8471" t="s">
        <v>42</v>
      </c>
      <c r="B8471" t="s">
        <v>36</v>
      </c>
      <c r="C8471" t="s">
        <v>6</v>
      </c>
      <c r="D8471" t="s">
        <v>18</v>
      </c>
      <c r="E8471" s="68">
        <v>5642</v>
      </c>
      <c r="F8471" s="68">
        <v>5408</v>
      </c>
      <c r="G8471" s="68">
        <v>11050</v>
      </c>
    </row>
    <row r="8472" spans="1:7" x14ac:dyDescent="0.3">
      <c r="A8472" t="s">
        <v>42</v>
      </c>
      <c r="B8472" t="s">
        <v>36</v>
      </c>
      <c r="C8472" t="s">
        <v>6</v>
      </c>
      <c r="D8472" t="s">
        <v>19</v>
      </c>
      <c r="E8472" s="68">
        <v>5241</v>
      </c>
      <c r="F8472" s="68">
        <v>4890</v>
      </c>
      <c r="G8472" s="68">
        <v>10131</v>
      </c>
    </row>
    <row r="8473" spans="1:7" x14ac:dyDescent="0.3">
      <c r="A8473" t="s">
        <v>42</v>
      </c>
      <c r="B8473" t="s">
        <v>36</v>
      </c>
      <c r="C8473" t="s">
        <v>6</v>
      </c>
      <c r="D8473" t="s">
        <v>20</v>
      </c>
      <c r="E8473" s="68">
        <v>4155</v>
      </c>
      <c r="F8473" s="68">
        <v>3805</v>
      </c>
      <c r="G8473" s="68">
        <v>7960</v>
      </c>
    </row>
    <row r="8474" spans="1:7" x14ac:dyDescent="0.3">
      <c r="A8474" t="s">
        <v>42</v>
      </c>
      <c r="B8474" t="s">
        <v>36</v>
      </c>
      <c r="C8474" t="s">
        <v>6</v>
      </c>
      <c r="D8474" t="s">
        <v>21</v>
      </c>
      <c r="E8474" s="68">
        <v>3068</v>
      </c>
      <c r="F8474" s="68">
        <v>2775</v>
      </c>
      <c r="G8474" s="68">
        <v>5843</v>
      </c>
    </row>
    <row r="8475" spans="1:7" x14ac:dyDescent="0.3">
      <c r="A8475" t="s">
        <v>42</v>
      </c>
      <c r="B8475" t="s">
        <v>36</v>
      </c>
      <c r="C8475" t="s">
        <v>6</v>
      </c>
      <c r="D8475" t="s">
        <v>22</v>
      </c>
      <c r="E8475" s="68">
        <v>2120</v>
      </c>
      <c r="F8475" s="68">
        <v>1837</v>
      </c>
      <c r="G8475" s="68">
        <v>3957</v>
      </c>
    </row>
    <row r="8476" spans="1:7" x14ac:dyDescent="0.3">
      <c r="A8476" t="s">
        <v>42</v>
      </c>
      <c r="B8476" t="s">
        <v>36</v>
      </c>
      <c r="C8476" t="s">
        <v>6</v>
      </c>
      <c r="D8476" t="s">
        <v>23</v>
      </c>
      <c r="E8476" s="68">
        <v>2554</v>
      </c>
      <c r="F8476" s="68">
        <v>1829</v>
      </c>
      <c r="G8476" s="68">
        <v>4383</v>
      </c>
    </row>
    <row r="8477" spans="1:7" x14ac:dyDescent="0.3">
      <c r="A8477" t="s">
        <v>42</v>
      </c>
      <c r="B8477" t="s">
        <v>36</v>
      </c>
      <c r="C8477" t="s">
        <v>24</v>
      </c>
      <c r="D8477" t="s">
        <v>7</v>
      </c>
      <c r="E8477" s="68">
        <v>1365</v>
      </c>
      <c r="F8477" s="68">
        <v>1444</v>
      </c>
      <c r="G8477" s="68">
        <v>2809</v>
      </c>
    </row>
    <row r="8478" spans="1:7" x14ac:dyDescent="0.3">
      <c r="A8478" t="s">
        <v>42</v>
      </c>
      <c r="B8478" t="s">
        <v>36</v>
      </c>
      <c r="C8478" t="s">
        <v>24</v>
      </c>
      <c r="D8478" t="s">
        <v>8</v>
      </c>
      <c r="E8478" s="68">
        <v>2439</v>
      </c>
      <c r="F8478" s="68">
        <v>2599</v>
      </c>
      <c r="G8478" s="68">
        <v>5038</v>
      </c>
    </row>
    <row r="8479" spans="1:7" x14ac:dyDescent="0.3">
      <c r="A8479" t="s">
        <v>42</v>
      </c>
      <c r="B8479" t="s">
        <v>36</v>
      </c>
      <c r="C8479" t="s">
        <v>24</v>
      </c>
      <c r="D8479" t="s">
        <v>9</v>
      </c>
      <c r="E8479" s="68">
        <v>2190</v>
      </c>
      <c r="F8479" s="68">
        <v>2355</v>
      </c>
      <c r="G8479" s="68">
        <v>4545</v>
      </c>
    </row>
    <row r="8480" spans="1:7" x14ac:dyDescent="0.3">
      <c r="A8480" t="s">
        <v>42</v>
      </c>
      <c r="B8480" t="s">
        <v>36</v>
      </c>
      <c r="C8480" t="s">
        <v>24</v>
      </c>
      <c r="D8480" t="s">
        <v>10</v>
      </c>
      <c r="E8480" s="68">
        <v>2105</v>
      </c>
      <c r="F8480" s="68">
        <v>2069</v>
      </c>
      <c r="G8480" s="68">
        <v>4174</v>
      </c>
    </row>
    <row r="8481" spans="1:7" x14ac:dyDescent="0.3">
      <c r="A8481" t="s">
        <v>42</v>
      </c>
      <c r="B8481" t="s">
        <v>36</v>
      </c>
      <c r="C8481" t="s">
        <v>24</v>
      </c>
      <c r="D8481" t="s">
        <v>11</v>
      </c>
      <c r="E8481" s="68">
        <v>2757</v>
      </c>
      <c r="F8481" s="68">
        <v>2952</v>
      </c>
      <c r="G8481" s="68">
        <v>5709</v>
      </c>
    </row>
    <row r="8482" spans="1:7" x14ac:dyDescent="0.3">
      <c r="A8482" t="s">
        <v>42</v>
      </c>
      <c r="B8482" t="s">
        <v>36</v>
      </c>
      <c r="C8482" t="s">
        <v>24</v>
      </c>
      <c r="D8482" t="s">
        <v>12</v>
      </c>
      <c r="E8482" s="68">
        <v>3329</v>
      </c>
      <c r="F8482" s="68">
        <v>4134</v>
      </c>
      <c r="G8482" s="68">
        <v>7463</v>
      </c>
    </row>
    <row r="8483" spans="1:7" x14ac:dyDescent="0.3">
      <c r="A8483" t="s">
        <v>42</v>
      </c>
      <c r="B8483" t="s">
        <v>36</v>
      </c>
      <c r="C8483" t="s">
        <v>24</v>
      </c>
      <c r="D8483" t="s">
        <v>13</v>
      </c>
      <c r="E8483" s="68">
        <v>3034</v>
      </c>
      <c r="F8483" s="68">
        <v>3757</v>
      </c>
      <c r="G8483" s="68">
        <v>6791</v>
      </c>
    </row>
    <row r="8484" spans="1:7" x14ac:dyDescent="0.3">
      <c r="A8484" t="s">
        <v>42</v>
      </c>
      <c r="B8484" t="s">
        <v>36</v>
      </c>
      <c r="C8484" t="s">
        <v>24</v>
      </c>
      <c r="D8484" t="s">
        <v>14</v>
      </c>
      <c r="E8484" s="68">
        <v>2608</v>
      </c>
      <c r="F8484" s="68">
        <v>3015</v>
      </c>
      <c r="G8484" s="68">
        <v>5623</v>
      </c>
    </row>
    <row r="8485" spans="1:7" x14ac:dyDescent="0.3">
      <c r="A8485" t="s">
        <v>42</v>
      </c>
      <c r="B8485" t="s">
        <v>36</v>
      </c>
      <c r="C8485" t="s">
        <v>24</v>
      </c>
      <c r="D8485" t="s">
        <v>15</v>
      </c>
      <c r="E8485" s="68">
        <v>2117</v>
      </c>
      <c r="F8485" s="68">
        <v>2408</v>
      </c>
      <c r="G8485" s="68">
        <v>4525</v>
      </c>
    </row>
    <row r="8486" spans="1:7" x14ac:dyDescent="0.3">
      <c r="A8486" t="s">
        <v>42</v>
      </c>
      <c r="B8486" t="s">
        <v>36</v>
      </c>
      <c r="C8486" t="s">
        <v>24</v>
      </c>
      <c r="D8486" t="s">
        <v>16</v>
      </c>
      <c r="E8486" s="68">
        <v>1795</v>
      </c>
      <c r="F8486" s="68">
        <v>1905</v>
      </c>
      <c r="G8486" s="68">
        <v>3700</v>
      </c>
    </row>
    <row r="8487" spans="1:7" x14ac:dyDescent="0.3">
      <c r="A8487" t="s">
        <v>42</v>
      </c>
      <c r="B8487" t="s">
        <v>36</v>
      </c>
      <c r="C8487" t="s">
        <v>24</v>
      </c>
      <c r="D8487" t="s">
        <v>17</v>
      </c>
      <c r="E8487" s="68">
        <v>1453</v>
      </c>
      <c r="F8487" s="68">
        <v>1545</v>
      </c>
      <c r="G8487" s="68">
        <v>2998</v>
      </c>
    </row>
    <row r="8488" spans="1:7" x14ac:dyDescent="0.3">
      <c r="A8488" t="s">
        <v>42</v>
      </c>
      <c r="B8488" t="s">
        <v>36</v>
      </c>
      <c r="C8488" t="s">
        <v>24</v>
      </c>
      <c r="D8488" t="s">
        <v>18</v>
      </c>
      <c r="E8488" s="68">
        <v>1272</v>
      </c>
      <c r="F8488" s="68">
        <v>1404</v>
      </c>
      <c r="G8488" s="68">
        <v>2676</v>
      </c>
    </row>
    <row r="8489" spans="1:7" x14ac:dyDescent="0.3">
      <c r="A8489" t="s">
        <v>42</v>
      </c>
      <c r="B8489" t="s">
        <v>36</v>
      </c>
      <c r="C8489" t="s">
        <v>24</v>
      </c>
      <c r="D8489" t="s">
        <v>19</v>
      </c>
      <c r="E8489" s="68">
        <v>1006</v>
      </c>
      <c r="F8489" s="68">
        <v>1149</v>
      </c>
      <c r="G8489" s="68">
        <v>2155</v>
      </c>
    </row>
    <row r="8490" spans="1:7" x14ac:dyDescent="0.3">
      <c r="A8490" t="s">
        <v>42</v>
      </c>
      <c r="B8490" t="s">
        <v>36</v>
      </c>
      <c r="C8490" t="s">
        <v>24</v>
      </c>
      <c r="D8490" t="s">
        <v>20</v>
      </c>
      <c r="E8490" s="68">
        <v>612</v>
      </c>
      <c r="F8490" s="68">
        <v>723</v>
      </c>
      <c r="G8490" s="68">
        <v>1335</v>
      </c>
    </row>
    <row r="8491" spans="1:7" x14ac:dyDescent="0.3">
      <c r="A8491" t="s">
        <v>42</v>
      </c>
      <c r="B8491" t="s">
        <v>36</v>
      </c>
      <c r="C8491" t="s">
        <v>24</v>
      </c>
      <c r="D8491" t="s">
        <v>21</v>
      </c>
      <c r="E8491" s="68">
        <v>412</v>
      </c>
      <c r="F8491" s="68">
        <v>457</v>
      </c>
      <c r="G8491" s="68">
        <v>869</v>
      </c>
    </row>
    <row r="8492" spans="1:7" x14ac:dyDescent="0.3">
      <c r="A8492" t="s">
        <v>42</v>
      </c>
      <c r="B8492" t="s">
        <v>36</v>
      </c>
      <c r="C8492" t="s">
        <v>24</v>
      </c>
      <c r="D8492" t="s">
        <v>22</v>
      </c>
      <c r="E8492" s="68">
        <v>244</v>
      </c>
      <c r="F8492" s="68">
        <v>196</v>
      </c>
      <c r="G8492" s="68">
        <v>440</v>
      </c>
    </row>
    <row r="8493" spans="1:7" x14ac:dyDescent="0.3">
      <c r="A8493" t="s">
        <v>42</v>
      </c>
      <c r="B8493" t="s">
        <v>36</v>
      </c>
      <c r="C8493" t="s">
        <v>24</v>
      </c>
      <c r="D8493" t="s">
        <v>23</v>
      </c>
      <c r="E8493" s="68">
        <v>292</v>
      </c>
      <c r="F8493" s="68">
        <v>208</v>
      </c>
      <c r="G8493" s="68">
        <v>500</v>
      </c>
    </row>
    <row r="8494" spans="1:7" x14ac:dyDescent="0.3">
      <c r="A8494" t="s">
        <v>1559</v>
      </c>
      <c r="B8494" t="s">
        <v>25</v>
      </c>
      <c r="C8494" t="s">
        <v>6</v>
      </c>
      <c r="D8494" t="s">
        <v>7</v>
      </c>
      <c r="E8494" s="68">
        <v>10</v>
      </c>
      <c r="F8494" s="68">
        <v>13</v>
      </c>
      <c r="G8494" s="68">
        <v>23</v>
      </c>
    </row>
    <row r="8495" spans="1:7" x14ac:dyDescent="0.3">
      <c r="A8495" t="s">
        <v>1559</v>
      </c>
      <c r="B8495" t="s">
        <v>25</v>
      </c>
      <c r="C8495" t="s">
        <v>6</v>
      </c>
      <c r="D8495" t="s">
        <v>8</v>
      </c>
      <c r="E8495" s="68">
        <v>12</v>
      </c>
      <c r="F8495" s="68">
        <v>20</v>
      </c>
      <c r="G8495" s="68">
        <v>32</v>
      </c>
    </row>
    <row r="8496" spans="1:7" x14ac:dyDescent="0.3">
      <c r="A8496" t="s">
        <v>1559</v>
      </c>
      <c r="B8496" t="s">
        <v>25</v>
      </c>
      <c r="C8496" t="s">
        <v>6</v>
      </c>
      <c r="D8496" t="s">
        <v>9</v>
      </c>
      <c r="E8496" s="68">
        <v>10</v>
      </c>
      <c r="F8496" s="68">
        <v>15</v>
      </c>
      <c r="G8496" s="68">
        <v>25</v>
      </c>
    </row>
    <row r="8497" spans="1:7" x14ac:dyDescent="0.3">
      <c r="A8497" t="s">
        <v>1559</v>
      </c>
      <c r="B8497" t="s">
        <v>25</v>
      </c>
      <c r="C8497" t="s">
        <v>6</v>
      </c>
      <c r="D8497" t="s">
        <v>10</v>
      </c>
      <c r="E8497" s="68">
        <v>7</v>
      </c>
      <c r="F8497" s="68">
        <v>7</v>
      </c>
      <c r="G8497" s="68">
        <v>14</v>
      </c>
    </row>
    <row r="8498" spans="1:7" x14ac:dyDescent="0.3">
      <c r="A8498" t="s">
        <v>1559</v>
      </c>
      <c r="B8498" t="s">
        <v>25</v>
      </c>
      <c r="C8498" t="s">
        <v>6</v>
      </c>
      <c r="D8498" t="s">
        <v>11</v>
      </c>
      <c r="E8498" s="68">
        <v>12</v>
      </c>
      <c r="F8498" s="68">
        <v>12</v>
      </c>
      <c r="G8498" s="68">
        <v>24</v>
      </c>
    </row>
    <row r="8499" spans="1:7" x14ac:dyDescent="0.3">
      <c r="A8499" t="s">
        <v>1559</v>
      </c>
      <c r="B8499" t="s">
        <v>25</v>
      </c>
      <c r="C8499" t="s">
        <v>6</v>
      </c>
      <c r="D8499" t="s">
        <v>12</v>
      </c>
      <c r="E8499" s="68">
        <v>18</v>
      </c>
      <c r="F8499" s="68">
        <v>14</v>
      </c>
      <c r="G8499" s="68">
        <v>32</v>
      </c>
    </row>
    <row r="8500" spans="1:7" x14ac:dyDescent="0.3">
      <c r="A8500" t="s">
        <v>1559</v>
      </c>
      <c r="B8500" t="s">
        <v>25</v>
      </c>
      <c r="C8500" t="s">
        <v>6</v>
      </c>
      <c r="D8500" t="s">
        <v>13</v>
      </c>
      <c r="E8500" s="68">
        <v>29</v>
      </c>
      <c r="F8500" s="68">
        <v>25</v>
      </c>
      <c r="G8500" s="68">
        <v>54</v>
      </c>
    </row>
    <row r="8501" spans="1:7" x14ac:dyDescent="0.3">
      <c r="A8501" t="s">
        <v>1559</v>
      </c>
      <c r="B8501" t="s">
        <v>25</v>
      </c>
      <c r="C8501" t="s">
        <v>6</v>
      </c>
      <c r="D8501" t="s">
        <v>14</v>
      </c>
      <c r="E8501" s="68">
        <v>15</v>
      </c>
      <c r="F8501" s="68">
        <v>16</v>
      </c>
      <c r="G8501" s="68">
        <v>31</v>
      </c>
    </row>
    <row r="8502" spans="1:7" x14ac:dyDescent="0.3">
      <c r="A8502" t="s">
        <v>1559</v>
      </c>
      <c r="B8502" t="s">
        <v>25</v>
      </c>
      <c r="C8502" t="s">
        <v>6</v>
      </c>
      <c r="D8502" t="s">
        <v>15</v>
      </c>
      <c r="E8502" s="68">
        <v>8</v>
      </c>
      <c r="F8502" s="68">
        <v>9</v>
      </c>
      <c r="G8502" s="68">
        <v>17</v>
      </c>
    </row>
    <row r="8503" spans="1:7" x14ac:dyDescent="0.3">
      <c r="A8503" t="s">
        <v>1559</v>
      </c>
      <c r="B8503" t="s">
        <v>25</v>
      </c>
      <c r="C8503" t="s">
        <v>6</v>
      </c>
      <c r="D8503" t="s">
        <v>16</v>
      </c>
      <c r="E8503" s="68">
        <v>6</v>
      </c>
      <c r="F8503" s="68">
        <v>7</v>
      </c>
      <c r="G8503" s="68">
        <v>13</v>
      </c>
    </row>
    <row r="8504" spans="1:7" x14ac:dyDescent="0.3">
      <c r="A8504" t="s">
        <v>1559</v>
      </c>
      <c r="B8504" t="s">
        <v>25</v>
      </c>
      <c r="C8504" t="s">
        <v>6</v>
      </c>
      <c r="D8504" t="s">
        <v>17</v>
      </c>
      <c r="E8504" s="68">
        <v>3</v>
      </c>
      <c r="F8504" s="68">
        <v>6</v>
      </c>
      <c r="G8504" s="68">
        <v>9</v>
      </c>
    </row>
    <row r="8505" spans="1:7" x14ac:dyDescent="0.3">
      <c r="A8505" t="s">
        <v>1559</v>
      </c>
      <c r="B8505" t="s">
        <v>25</v>
      </c>
      <c r="C8505" t="s">
        <v>6</v>
      </c>
      <c r="D8505" t="s">
        <v>18</v>
      </c>
      <c r="E8505" s="68">
        <v>1</v>
      </c>
      <c r="F8505" s="68">
        <v>2</v>
      </c>
      <c r="G8505" s="68">
        <v>3</v>
      </c>
    </row>
    <row r="8506" spans="1:7" x14ac:dyDescent="0.3">
      <c r="A8506" t="s">
        <v>1559</v>
      </c>
      <c r="B8506" t="s">
        <v>25</v>
      </c>
      <c r="C8506" t="s">
        <v>6</v>
      </c>
      <c r="D8506" t="s">
        <v>19</v>
      </c>
      <c r="E8506" s="68">
        <v>2</v>
      </c>
      <c r="F8506" s="68">
        <v>4</v>
      </c>
      <c r="G8506" s="68">
        <v>6</v>
      </c>
    </row>
    <row r="8507" spans="1:7" x14ac:dyDescent="0.3">
      <c r="A8507" t="s">
        <v>1559</v>
      </c>
      <c r="B8507" t="s">
        <v>25</v>
      </c>
      <c r="C8507" t="s">
        <v>6</v>
      </c>
      <c r="D8507" t="s">
        <v>20</v>
      </c>
      <c r="E8507" s="68"/>
      <c r="F8507" s="68">
        <v>3</v>
      </c>
      <c r="G8507" s="68">
        <v>3</v>
      </c>
    </row>
    <row r="8508" spans="1:7" x14ac:dyDescent="0.3">
      <c r="A8508" t="s">
        <v>1559</v>
      </c>
      <c r="B8508" t="s">
        <v>25</v>
      </c>
      <c r="C8508" t="s">
        <v>6</v>
      </c>
      <c r="D8508" t="s">
        <v>21</v>
      </c>
      <c r="E8508" s="68"/>
      <c r="F8508" s="68">
        <v>1</v>
      </c>
      <c r="G8508" s="68">
        <v>1</v>
      </c>
    </row>
    <row r="8509" spans="1:7" x14ac:dyDescent="0.3">
      <c r="A8509" t="s">
        <v>1559</v>
      </c>
      <c r="B8509" t="s">
        <v>25</v>
      </c>
      <c r="C8509" t="s">
        <v>24</v>
      </c>
      <c r="D8509" t="s">
        <v>7</v>
      </c>
      <c r="E8509" s="68">
        <v>137</v>
      </c>
      <c r="F8509" s="68">
        <v>130</v>
      </c>
      <c r="G8509" s="68">
        <v>267</v>
      </c>
    </row>
    <row r="8510" spans="1:7" x14ac:dyDescent="0.3">
      <c r="A8510" t="s">
        <v>1559</v>
      </c>
      <c r="B8510" t="s">
        <v>25</v>
      </c>
      <c r="C8510" t="s">
        <v>24</v>
      </c>
      <c r="D8510" t="s">
        <v>8</v>
      </c>
      <c r="E8510" s="68">
        <v>201</v>
      </c>
      <c r="F8510" s="68">
        <v>206</v>
      </c>
      <c r="G8510" s="68">
        <v>407</v>
      </c>
    </row>
    <row r="8511" spans="1:7" x14ac:dyDescent="0.3">
      <c r="A8511" t="s">
        <v>1559</v>
      </c>
      <c r="B8511" t="s">
        <v>25</v>
      </c>
      <c r="C8511" t="s">
        <v>24</v>
      </c>
      <c r="D8511" t="s">
        <v>9</v>
      </c>
      <c r="E8511" s="68">
        <v>260</v>
      </c>
      <c r="F8511" s="68">
        <v>251</v>
      </c>
      <c r="G8511" s="68">
        <v>511</v>
      </c>
    </row>
    <row r="8512" spans="1:7" x14ac:dyDescent="0.3">
      <c r="A8512" t="s">
        <v>1559</v>
      </c>
      <c r="B8512" t="s">
        <v>25</v>
      </c>
      <c r="C8512" t="s">
        <v>24</v>
      </c>
      <c r="D8512" t="s">
        <v>10</v>
      </c>
      <c r="E8512" s="68">
        <v>276</v>
      </c>
      <c r="F8512" s="68">
        <v>295</v>
      </c>
      <c r="G8512" s="68">
        <v>571</v>
      </c>
    </row>
    <row r="8513" spans="1:7" x14ac:dyDescent="0.3">
      <c r="A8513" t="s">
        <v>1559</v>
      </c>
      <c r="B8513" t="s">
        <v>25</v>
      </c>
      <c r="C8513" t="s">
        <v>24</v>
      </c>
      <c r="D8513" t="s">
        <v>11</v>
      </c>
      <c r="E8513" s="68">
        <v>186</v>
      </c>
      <c r="F8513" s="68">
        <v>157</v>
      </c>
      <c r="G8513" s="68">
        <v>343</v>
      </c>
    </row>
    <row r="8514" spans="1:7" x14ac:dyDescent="0.3">
      <c r="A8514" t="s">
        <v>1559</v>
      </c>
      <c r="B8514" t="s">
        <v>25</v>
      </c>
      <c r="C8514" t="s">
        <v>24</v>
      </c>
      <c r="D8514" t="s">
        <v>12</v>
      </c>
      <c r="E8514" s="68">
        <v>157</v>
      </c>
      <c r="F8514" s="68">
        <v>106</v>
      </c>
      <c r="G8514" s="68">
        <v>263</v>
      </c>
    </row>
    <row r="8515" spans="1:7" x14ac:dyDescent="0.3">
      <c r="A8515" t="s">
        <v>1559</v>
      </c>
      <c r="B8515" t="s">
        <v>25</v>
      </c>
      <c r="C8515" t="s">
        <v>24</v>
      </c>
      <c r="D8515" t="s">
        <v>13</v>
      </c>
      <c r="E8515" s="68">
        <v>144</v>
      </c>
      <c r="F8515" s="68">
        <v>105</v>
      </c>
      <c r="G8515" s="68">
        <v>249</v>
      </c>
    </row>
    <row r="8516" spans="1:7" x14ac:dyDescent="0.3">
      <c r="A8516" t="s">
        <v>1559</v>
      </c>
      <c r="B8516" t="s">
        <v>25</v>
      </c>
      <c r="C8516" t="s">
        <v>24</v>
      </c>
      <c r="D8516" t="s">
        <v>14</v>
      </c>
      <c r="E8516" s="68">
        <v>176</v>
      </c>
      <c r="F8516" s="68">
        <v>164</v>
      </c>
      <c r="G8516" s="68">
        <v>340</v>
      </c>
    </row>
    <row r="8517" spans="1:7" x14ac:dyDescent="0.3">
      <c r="A8517" t="s">
        <v>1559</v>
      </c>
      <c r="B8517" t="s">
        <v>25</v>
      </c>
      <c r="C8517" t="s">
        <v>24</v>
      </c>
      <c r="D8517" t="s">
        <v>15</v>
      </c>
      <c r="E8517" s="68">
        <v>195</v>
      </c>
      <c r="F8517" s="68">
        <v>177</v>
      </c>
      <c r="G8517" s="68">
        <v>372</v>
      </c>
    </row>
    <row r="8518" spans="1:7" x14ac:dyDescent="0.3">
      <c r="A8518" t="s">
        <v>1559</v>
      </c>
      <c r="B8518" t="s">
        <v>25</v>
      </c>
      <c r="C8518" t="s">
        <v>24</v>
      </c>
      <c r="D8518" t="s">
        <v>16</v>
      </c>
      <c r="E8518" s="68">
        <v>136</v>
      </c>
      <c r="F8518" s="68">
        <v>126</v>
      </c>
      <c r="G8518" s="68">
        <v>262</v>
      </c>
    </row>
    <row r="8519" spans="1:7" x14ac:dyDescent="0.3">
      <c r="A8519" t="s">
        <v>1559</v>
      </c>
      <c r="B8519" t="s">
        <v>25</v>
      </c>
      <c r="C8519" t="s">
        <v>24</v>
      </c>
      <c r="D8519" t="s">
        <v>17</v>
      </c>
      <c r="E8519" s="68">
        <v>117</v>
      </c>
      <c r="F8519" s="68">
        <v>138</v>
      </c>
      <c r="G8519" s="68">
        <v>255</v>
      </c>
    </row>
    <row r="8520" spans="1:7" x14ac:dyDescent="0.3">
      <c r="A8520" t="s">
        <v>1559</v>
      </c>
      <c r="B8520" t="s">
        <v>25</v>
      </c>
      <c r="C8520" t="s">
        <v>24</v>
      </c>
      <c r="D8520" t="s">
        <v>18</v>
      </c>
      <c r="E8520" s="68">
        <v>112</v>
      </c>
      <c r="F8520" s="68">
        <v>123</v>
      </c>
      <c r="G8520" s="68">
        <v>235</v>
      </c>
    </row>
    <row r="8521" spans="1:7" x14ac:dyDescent="0.3">
      <c r="A8521" t="s">
        <v>1559</v>
      </c>
      <c r="B8521" t="s">
        <v>25</v>
      </c>
      <c r="C8521" t="s">
        <v>24</v>
      </c>
      <c r="D8521" t="s">
        <v>19</v>
      </c>
      <c r="E8521" s="68">
        <v>97</v>
      </c>
      <c r="F8521" s="68">
        <v>111</v>
      </c>
      <c r="G8521" s="68">
        <v>208</v>
      </c>
    </row>
    <row r="8522" spans="1:7" x14ac:dyDescent="0.3">
      <c r="A8522" t="s">
        <v>1559</v>
      </c>
      <c r="B8522" t="s">
        <v>25</v>
      </c>
      <c r="C8522" t="s">
        <v>24</v>
      </c>
      <c r="D8522" t="s">
        <v>20</v>
      </c>
      <c r="E8522" s="68">
        <v>91</v>
      </c>
      <c r="F8522" s="68">
        <v>85</v>
      </c>
      <c r="G8522" s="68">
        <v>176</v>
      </c>
    </row>
    <row r="8523" spans="1:7" x14ac:dyDescent="0.3">
      <c r="A8523" t="s">
        <v>1559</v>
      </c>
      <c r="B8523" t="s">
        <v>25</v>
      </c>
      <c r="C8523" t="s">
        <v>24</v>
      </c>
      <c r="D8523" t="s">
        <v>21</v>
      </c>
      <c r="E8523" s="68">
        <v>63</v>
      </c>
      <c r="F8523" s="68">
        <v>59</v>
      </c>
      <c r="G8523" s="68">
        <v>122</v>
      </c>
    </row>
    <row r="8524" spans="1:7" x14ac:dyDescent="0.3">
      <c r="A8524" t="s">
        <v>1559</v>
      </c>
      <c r="B8524" t="s">
        <v>25</v>
      </c>
      <c r="C8524" t="s">
        <v>24</v>
      </c>
      <c r="D8524" t="s">
        <v>22</v>
      </c>
      <c r="E8524" s="68">
        <v>44</v>
      </c>
      <c r="F8524" s="68">
        <v>57</v>
      </c>
      <c r="G8524" s="68">
        <v>101</v>
      </c>
    </row>
    <row r="8525" spans="1:7" x14ac:dyDescent="0.3">
      <c r="A8525" t="s">
        <v>1559</v>
      </c>
      <c r="B8525" t="s">
        <v>25</v>
      </c>
      <c r="C8525" t="s">
        <v>24</v>
      </c>
      <c r="D8525" t="s">
        <v>23</v>
      </c>
      <c r="E8525" s="68">
        <v>120</v>
      </c>
      <c r="F8525" s="68">
        <v>100</v>
      </c>
      <c r="G8525" s="68">
        <v>220</v>
      </c>
    </row>
    <row r="8526" spans="1:7" x14ac:dyDescent="0.3">
      <c r="A8526" t="s">
        <v>1559</v>
      </c>
      <c r="B8526" t="s">
        <v>26</v>
      </c>
      <c r="C8526" t="s">
        <v>6</v>
      </c>
      <c r="D8526" t="s">
        <v>7</v>
      </c>
      <c r="E8526" s="68">
        <v>163</v>
      </c>
      <c r="F8526" s="68">
        <v>194</v>
      </c>
      <c r="G8526" s="68">
        <v>357</v>
      </c>
    </row>
    <row r="8527" spans="1:7" x14ac:dyDescent="0.3">
      <c r="A8527" t="s">
        <v>1559</v>
      </c>
      <c r="B8527" t="s">
        <v>26</v>
      </c>
      <c r="C8527" t="s">
        <v>6</v>
      </c>
      <c r="D8527" t="s">
        <v>8</v>
      </c>
      <c r="E8527" s="68">
        <v>244</v>
      </c>
      <c r="F8527" s="68">
        <v>224</v>
      </c>
      <c r="G8527" s="68">
        <v>468</v>
      </c>
    </row>
    <row r="8528" spans="1:7" x14ac:dyDescent="0.3">
      <c r="A8528" t="s">
        <v>1559</v>
      </c>
      <c r="B8528" t="s">
        <v>26</v>
      </c>
      <c r="C8528" t="s">
        <v>6</v>
      </c>
      <c r="D8528" t="s">
        <v>9</v>
      </c>
      <c r="E8528" s="68">
        <v>121</v>
      </c>
      <c r="F8528" s="68">
        <v>143</v>
      </c>
      <c r="G8528" s="68">
        <v>264</v>
      </c>
    </row>
    <row r="8529" spans="1:7" x14ac:dyDescent="0.3">
      <c r="A8529" t="s">
        <v>1559</v>
      </c>
      <c r="B8529" t="s">
        <v>26</v>
      </c>
      <c r="C8529" t="s">
        <v>6</v>
      </c>
      <c r="D8529" t="s">
        <v>10</v>
      </c>
      <c r="E8529" s="68">
        <v>118</v>
      </c>
      <c r="F8529" s="68">
        <v>132</v>
      </c>
      <c r="G8529" s="68">
        <v>250</v>
      </c>
    </row>
    <row r="8530" spans="1:7" x14ac:dyDescent="0.3">
      <c r="A8530" t="s">
        <v>1559</v>
      </c>
      <c r="B8530" t="s">
        <v>26</v>
      </c>
      <c r="C8530" t="s">
        <v>6</v>
      </c>
      <c r="D8530" t="s">
        <v>11</v>
      </c>
      <c r="E8530" s="68">
        <v>200</v>
      </c>
      <c r="F8530" s="68">
        <v>172</v>
      </c>
      <c r="G8530" s="68">
        <v>372</v>
      </c>
    </row>
    <row r="8531" spans="1:7" x14ac:dyDescent="0.3">
      <c r="A8531" t="s">
        <v>1559</v>
      </c>
      <c r="B8531" t="s">
        <v>26</v>
      </c>
      <c r="C8531" t="s">
        <v>6</v>
      </c>
      <c r="D8531" t="s">
        <v>12</v>
      </c>
      <c r="E8531" s="68">
        <v>325</v>
      </c>
      <c r="F8531" s="68">
        <v>304</v>
      </c>
      <c r="G8531" s="68">
        <v>629</v>
      </c>
    </row>
    <row r="8532" spans="1:7" x14ac:dyDescent="0.3">
      <c r="A8532" t="s">
        <v>1559</v>
      </c>
      <c r="B8532" t="s">
        <v>26</v>
      </c>
      <c r="C8532" t="s">
        <v>6</v>
      </c>
      <c r="D8532" t="s">
        <v>13</v>
      </c>
      <c r="E8532" s="68">
        <v>363</v>
      </c>
      <c r="F8532" s="68">
        <v>402</v>
      </c>
      <c r="G8532" s="68">
        <v>765</v>
      </c>
    </row>
    <row r="8533" spans="1:7" x14ac:dyDescent="0.3">
      <c r="A8533" t="s">
        <v>1559</v>
      </c>
      <c r="B8533" t="s">
        <v>26</v>
      </c>
      <c r="C8533" t="s">
        <v>6</v>
      </c>
      <c r="D8533" t="s">
        <v>14</v>
      </c>
      <c r="E8533" s="68">
        <v>320</v>
      </c>
      <c r="F8533" s="68">
        <v>353</v>
      </c>
      <c r="G8533" s="68">
        <v>673</v>
      </c>
    </row>
    <row r="8534" spans="1:7" x14ac:dyDescent="0.3">
      <c r="A8534" t="s">
        <v>1559</v>
      </c>
      <c r="B8534" t="s">
        <v>26</v>
      </c>
      <c r="C8534" t="s">
        <v>6</v>
      </c>
      <c r="D8534" t="s">
        <v>15</v>
      </c>
      <c r="E8534" s="68">
        <v>238</v>
      </c>
      <c r="F8534" s="68">
        <v>276</v>
      </c>
      <c r="G8534" s="68">
        <v>514</v>
      </c>
    </row>
    <row r="8535" spans="1:7" x14ac:dyDescent="0.3">
      <c r="A8535" t="s">
        <v>1559</v>
      </c>
      <c r="B8535" t="s">
        <v>26</v>
      </c>
      <c r="C8535" t="s">
        <v>6</v>
      </c>
      <c r="D8535" t="s">
        <v>16</v>
      </c>
      <c r="E8535" s="68">
        <v>145</v>
      </c>
      <c r="F8535" s="68">
        <v>175</v>
      </c>
      <c r="G8535" s="68">
        <v>320</v>
      </c>
    </row>
    <row r="8536" spans="1:7" x14ac:dyDescent="0.3">
      <c r="A8536" t="s">
        <v>1559</v>
      </c>
      <c r="B8536" t="s">
        <v>26</v>
      </c>
      <c r="C8536" t="s">
        <v>6</v>
      </c>
      <c r="D8536" t="s">
        <v>17</v>
      </c>
      <c r="E8536" s="68">
        <v>82</v>
      </c>
      <c r="F8536" s="68">
        <v>142</v>
      </c>
      <c r="G8536" s="68">
        <v>224</v>
      </c>
    </row>
    <row r="8537" spans="1:7" x14ac:dyDescent="0.3">
      <c r="A8537" t="s">
        <v>1559</v>
      </c>
      <c r="B8537" t="s">
        <v>26</v>
      </c>
      <c r="C8537" t="s">
        <v>6</v>
      </c>
      <c r="D8537" t="s">
        <v>18</v>
      </c>
      <c r="E8537" s="68">
        <v>105</v>
      </c>
      <c r="F8537" s="68">
        <v>104</v>
      </c>
      <c r="G8537" s="68">
        <v>209</v>
      </c>
    </row>
    <row r="8538" spans="1:7" x14ac:dyDescent="0.3">
      <c r="A8538" t="s">
        <v>1559</v>
      </c>
      <c r="B8538" t="s">
        <v>26</v>
      </c>
      <c r="C8538" t="s">
        <v>6</v>
      </c>
      <c r="D8538" t="s">
        <v>19</v>
      </c>
      <c r="E8538" s="68">
        <v>73</v>
      </c>
      <c r="F8538" s="68">
        <v>73</v>
      </c>
      <c r="G8538" s="68">
        <v>146</v>
      </c>
    </row>
    <row r="8539" spans="1:7" x14ac:dyDescent="0.3">
      <c r="A8539" t="s">
        <v>1559</v>
      </c>
      <c r="B8539" t="s">
        <v>26</v>
      </c>
      <c r="C8539" t="s">
        <v>6</v>
      </c>
      <c r="D8539" t="s">
        <v>20</v>
      </c>
      <c r="E8539" s="68">
        <v>45</v>
      </c>
      <c r="F8539" s="68">
        <v>74</v>
      </c>
      <c r="G8539" s="68">
        <v>119</v>
      </c>
    </row>
    <row r="8540" spans="1:7" x14ac:dyDescent="0.3">
      <c r="A8540" t="s">
        <v>1559</v>
      </c>
      <c r="B8540" t="s">
        <v>26</v>
      </c>
      <c r="C8540" t="s">
        <v>6</v>
      </c>
      <c r="D8540" t="s">
        <v>21</v>
      </c>
      <c r="E8540" s="68">
        <v>28</v>
      </c>
      <c r="F8540" s="68">
        <v>33</v>
      </c>
      <c r="G8540" s="68">
        <v>61</v>
      </c>
    </row>
    <row r="8541" spans="1:7" x14ac:dyDescent="0.3">
      <c r="A8541" t="s">
        <v>1559</v>
      </c>
      <c r="B8541" t="s">
        <v>26</v>
      </c>
      <c r="C8541" t="s">
        <v>6</v>
      </c>
      <c r="D8541" t="s">
        <v>22</v>
      </c>
      <c r="E8541" s="68">
        <v>14</v>
      </c>
      <c r="F8541" s="68">
        <v>17</v>
      </c>
      <c r="G8541" s="68">
        <v>31</v>
      </c>
    </row>
    <row r="8542" spans="1:7" x14ac:dyDescent="0.3">
      <c r="A8542" t="s">
        <v>1559</v>
      </c>
      <c r="B8542" t="s">
        <v>26</v>
      </c>
      <c r="C8542" t="s">
        <v>6</v>
      </c>
      <c r="D8542" t="s">
        <v>23</v>
      </c>
      <c r="E8542" s="68">
        <v>20</v>
      </c>
      <c r="F8542" s="68">
        <v>14</v>
      </c>
      <c r="G8542" s="68">
        <v>34</v>
      </c>
    </row>
    <row r="8543" spans="1:7" x14ac:dyDescent="0.3">
      <c r="A8543" t="s">
        <v>1559</v>
      </c>
      <c r="B8543" t="s">
        <v>26</v>
      </c>
      <c r="C8543" t="s">
        <v>24</v>
      </c>
      <c r="D8543" t="s">
        <v>7</v>
      </c>
      <c r="E8543" s="68">
        <v>1286</v>
      </c>
      <c r="F8543" s="68">
        <v>1308</v>
      </c>
      <c r="G8543" s="68">
        <v>2594</v>
      </c>
    </row>
    <row r="8544" spans="1:7" x14ac:dyDescent="0.3">
      <c r="A8544" t="s">
        <v>1559</v>
      </c>
      <c r="B8544" t="s">
        <v>26</v>
      </c>
      <c r="C8544" t="s">
        <v>24</v>
      </c>
      <c r="D8544" t="s">
        <v>8</v>
      </c>
      <c r="E8544" s="68">
        <v>1265</v>
      </c>
      <c r="F8544" s="68">
        <v>1383</v>
      </c>
      <c r="G8544" s="68">
        <v>2648</v>
      </c>
    </row>
    <row r="8545" spans="1:7" x14ac:dyDescent="0.3">
      <c r="A8545" t="s">
        <v>1559</v>
      </c>
      <c r="B8545" t="s">
        <v>26</v>
      </c>
      <c r="C8545" t="s">
        <v>24</v>
      </c>
      <c r="D8545" t="s">
        <v>9</v>
      </c>
      <c r="E8545" s="68">
        <v>1405</v>
      </c>
      <c r="F8545" s="68">
        <v>1392</v>
      </c>
      <c r="G8545" s="68">
        <v>2797</v>
      </c>
    </row>
    <row r="8546" spans="1:7" x14ac:dyDescent="0.3">
      <c r="A8546" t="s">
        <v>1559</v>
      </c>
      <c r="B8546" t="s">
        <v>26</v>
      </c>
      <c r="C8546" t="s">
        <v>24</v>
      </c>
      <c r="D8546" t="s">
        <v>10</v>
      </c>
      <c r="E8546" s="68">
        <v>1342</v>
      </c>
      <c r="F8546" s="68">
        <v>1281</v>
      </c>
      <c r="G8546" s="68">
        <v>2623</v>
      </c>
    </row>
    <row r="8547" spans="1:7" x14ac:dyDescent="0.3">
      <c r="A8547" t="s">
        <v>1559</v>
      </c>
      <c r="B8547" t="s">
        <v>26</v>
      </c>
      <c r="C8547" t="s">
        <v>24</v>
      </c>
      <c r="D8547" t="s">
        <v>11</v>
      </c>
      <c r="E8547" s="68">
        <v>980</v>
      </c>
      <c r="F8547" s="68">
        <v>777</v>
      </c>
      <c r="G8547" s="68">
        <v>1757</v>
      </c>
    </row>
    <row r="8548" spans="1:7" x14ac:dyDescent="0.3">
      <c r="A8548" t="s">
        <v>1559</v>
      </c>
      <c r="B8548" t="s">
        <v>26</v>
      </c>
      <c r="C8548" t="s">
        <v>24</v>
      </c>
      <c r="D8548" t="s">
        <v>12</v>
      </c>
      <c r="E8548" s="68">
        <v>873</v>
      </c>
      <c r="F8548" s="68">
        <v>920</v>
      </c>
      <c r="G8548" s="68">
        <v>1793</v>
      </c>
    </row>
    <row r="8549" spans="1:7" x14ac:dyDescent="0.3">
      <c r="A8549" t="s">
        <v>1559</v>
      </c>
      <c r="B8549" t="s">
        <v>26</v>
      </c>
      <c r="C8549" t="s">
        <v>24</v>
      </c>
      <c r="D8549" t="s">
        <v>13</v>
      </c>
      <c r="E8549" s="68">
        <v>695</v>
      </c>
      <c r="F8549" s="68">
        <v>809</v>
      </c>
      <c r="G8549" s="68">
        <v>1504</v>
      </c>
    </row>
    <row r="8550" spans="1:7" x14ac:dyDescent="0.3">
      <c r="A8550" t="s">
        <v>1559</v>
      </c>
      <c r="B8550" t="s">
        <v>26</v>
      </c>
      <c r="C8550" t="s">
        <v>24</v>
      </c>
      <c r="D8550" t="s">
        <v>14</v>
      </c>
      <c r="E8550" s="68">
        <v>595</v>
      </c>
      <c r="F8550" s="68">
        <v>721</v>
      </c>
      <c r="G8550" s="68">
        <v>1316</v>
      </c>
    </row>
    <row r="8551" spans="1:7" x14ac:dyDescent="0.3">
      <c r="A8551" t="s">
        <v>1559</v>
      </c>
      <c r="B8551" t="s">
        <v>26</v>
      </c>
      <c r="C8551" t="s">
        <v>24</v>
      </c>
      <c r="D8551" t="s">
        <v>15</v>
      </c>
      <c r="E8551" s="68">
        <v>494</v>
      </c>
      <c r="F8551" s="68">
        <v>633</v>
      </c>
      <c r="G8551" s="68">
        <v>1127</v>
      </c>
    </row>
    <row r="8552" spans="1:7" x14ac:dyDescent="0.3">
      <c r="A8552" t="s">
        <v>1559</v>
      </c>
      <c r="B8552" t="s">
        <v>26</v>
      </c>
      <c r="C8552" t="s">
        <v>24</v>
      </c>
      <c r="D8552" t="s">
        <v>16</v>
      </c>
      <c r="E8552" s="68">
        <v>406</v>
      </c>
      <c r="F8552" s="68">
        <v>544</v>
      </c>
      <c r="G8552" s="68">
        <v>950</v>
      </c>
    </row>
    <row r="8553" spans="1:7" x14ac:dyDescent="0.3">
      <c r="A8553" t="s">
        <v>1559</v>
      </c>
      <c r="B8553" t="s">
        <v>26</v>
      </c>
      <c r="C8553" t="s">
        <v>24</v>
      </c>
      <c r="D8553" t="s">
        <v>17</v>
      </c>
      <c r="E8553" s="68">
        <v>399</v>
      </c>
      <c r="F8553" s="68">
        <v>543</v>
      </c>
      <c r="G8553" s="68">
        <v>942</v>
      </c>
    </row>
    <row r="8554" spans="1:7" x14ac:dyDescent="0.3">
      <c r="A8554" t="s">
        <v>1559</v>
      </c>
      <c r="B8554" t="s">
        <v>26</v>
      </c>
      <c r="C8554" t="s">
        <v>24</v>
      </c>
      <c r="D8554" t="s">
        <v>18</v>
      </c>
      <c r="E8554" s="68">
        <v>386</v>
      </c>
      <c r="F8554" s="68">
        <v>468</v>
      </c>
      <c r="G8554" s="68">
        <v>854</v>
      </c>
    </row>
    <row r="8555" spans="1:7" x14ac:dyDescent="0.3">
      <c r="A8555" t="s">
        <v>1559</v>
      </c>
      <c r="B8555" t="s">
        <v>26</v>
      </c>
      <c r="C8555" t="s">
        <v>24</v>
      </c>
      <c r="D8555" t="s">
        <v>19</v>
      </c>
      <c r="E8555" s="68">
        <v>328</v>
      </c>
      <c r="F8555" s="68">
        <v>436</v>
      </c>
      <c r="G8555" s="68">
        <v>764</v>
      </c>
    </row>
    <row r="8556" spans="1:7" x14ac:dyDescent="0.3">
      <c r="A8556" t="s">
        <v>1559</v>
      </c>
      <c r="B8556" t="s">
        <v>26</v>
      </c>
      <c r="C8556" t="s">
        <v>24</v>
      </c>
      <c r="D8556" t="s">
        <v>20</v>
      </c>
      <c r="E8556" s="68">
        <v>264</v>
      </c>
      <c r="F8556" s="68">
        <v>324</v>
      </c>
      <c r="G8556" s="68">
        <v>588</v>
      </c>
    </row>
    <row r="8557" spans="1:7" x14ac:dyDescent="0.3">
      <c r="A8557" t="s">
        <v>1559</v>
      </c>
      <c r="B8557" t="s">
        <v>26</v>
      </c>
      <c r="C8557" t="s">
        <v>24</v>
      </c>
      <c r="D8557" t="s">
        <v>21</v>
      </c>
      <c r="E8557" s="68">
        <v>171</v>
      </c>
      <c r="F8557" s="68">
        <v>220</v>
      </c>
      <c r="G8557" s="68">
        <v>391</v>
      </c>
    </row>
    <row r="8558" spans="1:7" x14ac:dyDescent="0.3">
      <c r="A8558" t="s">
        <v>1559</v>
      </c>
      <c r="B8558" t="s">
        <v>26</v>
      </c>
      <c r="C8558" t="s">
        <v>24</v>
      </c>
      <c r="D8558" t="s">
        <v>22</v>
      </c>
      <c r="E8558" s="68">
        <v>139</v>
      </c>
      <c r="F8558" s="68">
        <v>168</v>
      </c>
      <c r="G8558" s="68">
        <v>307</v>
      </c>
    </row>
    <row r="8559" spans="1:7" x14ac:dyDescent="0.3">
      <c r="A8559" t="s">
        <v>1559</v>
      </c>
      <c r="B8559" t="s">
        <v>26</v>
      </c>
      <c r="C8559" t="s">
        <v>24</v>
      </c>
      <c r="D8559" t="s">
        <v>23</v>
      </c>
      <c r="E8559" s="68">
        <v>235</v>
      </c>
      <c r="F8559" s="68">
        <v>242</v>
      </c>
      <c r="G8559" s="68">
        <v>477</v>
      </c>
    </row>
    <row r="8560" spans="1:7" x14ac:dyDescent="0.3">
      <c r="A8560" t="s">
        <v>1559</v>
      </c>
      <c r="B8560" t="s">
        <v>27</v>
      </c>
      <c r="C8560" t="s">
        <v>28</v>
      </c>
      <c r="D8560" t="s">
        <v>7</v>
      </c>
      <c r="E8560" s="68">
        <v>31</v>
      </c>
      <c r="F8560" s="68">
        <v>17</v>
      </c>
      <c r="G8560" s="68">
        <v>48</v>
      </c>
    </row>
    <row r="8561" spans="1:7" x14ac:dyDescent="0.3">
      <c r="A8561" t="s">
        <v>1559</v>
      </c>
      <c r="B8561" t="s">
        <v>27</v>
      </c>
      <c r="C8561" t="s">
        <v>28</v>
      </c>
      <c r="D8561" t="s">
        <v>8</v>
      </c>
      <c r="E8561" s="68">
        <v>24</v>
      </c>
      <c r="F8561" s="68">
        <v>31</v>
      </c>
      <c r="G8561" s="68">
        <v>55</v>
      </c>
    </row>
    <row r="8562" spans="1:7" x14ac:dyDescent="0.3">
      <c r="A8562" t="s">
        <v>1559</v>
      </c>
      <c r="B8562" t="s">
        <v>27</v>
      </c>
      <c r="C8562" t="s">
        <v>28</v>
      </c>
      <c r="D8562" t="s">
        <v>9</v>
      </c>
      <c r="E8562" s="68">
        <v>67</v>
      </c>
      <c r="F8562" s="68">
        <v>60</v>
      </c>
      <c r="G8562" s="68">
        <v>127</v>
      </c>
    </row>
    <row r="8563" spans="1:7" x14ac:dyDescent="0.3">
      <c r="A8563" t="s">
        <v>1559</v>
      </c>
      <c r="B8563" t="s">
        <v>27</v>
      </c>
      <c r="C8563" t="s">
        <v>28</v>
      </c>
      <c r="D8563" t="s">
        <v>10</v>
      </c>
      <c r="E8563" s="68">
        <v>79</v>
      </c>
      <c r="F8563" s="68">
        <v>79</v>
      </c>
      <c r="G8563" s="68">
        <v>158</v>
      </c>
    </row>
    <row r="8564" spans="1:7" x14ac:dyDescent="0.3">
      <c r="A8564" t="s">
        <v>1559</v>
      </c>
      <c r="B8564" t="s">
        <v>27</v>
      </c>
      <c r="C8564" t="s">
        <v>28</v>
      </c>
      <c r="D8564" t="s">
        <v>11</v>
      </c>
      <c r="E8564" s="68">
        <v>48</v>
      </c>
      <c r="F8564" s="68">
        <v>42</v>
      </c>
      <c r="G8564" s="68">
        <v>90</v>
      </c>
    </row>
    <row r="8565" spans="1:7" x14ac:dyDescent="0.3">
      <c r="A8565" t="s">
        <v>1559</v>
      </c>
      <c r="B8565" t="s">
        <v>27</v>
      </c>
      <c r="C8565" t="s">
        <v>28</v>
      </c>
      <c r="D8565" t="s">
        <v>12</v>
      </c>
      <c r="E8565" s="68">
        <v>20</v>
      </c>
      <c r="F8565" s="68">
        <v>21</v>
      </c>
      <c r="G8565" s="68">
        <v>41</v>
      </c>
    </row>
    <row r="8566" spans="1:7" x14ac:dyDescent="0.3">
      <c r="A8566" t="s">
        <v>1559</v>
      </c>
      <c r="B8566" t="s">
        <v>27</v>
      </c>
      <c r="C8566" t="s">
        <v>28</v>
      </c>
      <c r="D8566" t="s">
        <v>13</v>
      </c>
      <c r="E8566" s="68">
        <v>26</v>
      </c>
      <c r="F8566" s="68">
        <v>28</v>
      </c>
      <c r="G8566" s="68">
        <v>54</v>
      </c>
    </row>
    <row r="8567" spans="1:7" x14ac:dyDescent="0.3">
      <c r="A8567" t="s">
        <v>1559</v>
      </c>
      <c r="B8567" t="s">
        <v>27</v>
      </c>
      <c r="C8567" t="s">
        <v>28</v>
      </c>
      <c r="D8567" t="s">
        <v>14</v>
      </c>
      <c r="E8567" s="68">
        <v>30</v>
      </c>
      <c r="F8567" s="68">
        <v>39</v>
      </c>
      <c r="G8567" s="68">
        <v>69</v>
      </c>
    </row>
    <row r="8568" spans="1:7" x14ac:dyDescent="0.3">
      <c r="A8568" t="s">
        <v>1559</v>
      </c>
      <c r="B8568" t="s">
        <v>27</v>
      </c>
      <c r="C8568" t="s">
        <v>28</v>
      </c>
      <c r="D8568" t="s">
        <v>15</v>
      </c>
      <c r="E8568" s="68">
        <v>38</v>
      </c>
      <c r="F8568" s="68">
        <v>45</v>
      </c>
      <c r="G8568" s="68">
        <v>83</v>
      </c>
    </row>
    <row r="8569" spans="1:7" x14ac:dyDescent="0.3">
      <c r="A8569" t="s">
        <v>1559</v>
      </c>
      <c r="B8569" t="s">
        <v>27</v>
      </c>
      <c r="C8569" t="s">
        <v>28</v>
      </c>
      <c r="D8569" t="s">
        <v>16</v>
      </c>
      <c r="E8569" s="68">
        <v>30</v>
      </c>
      <c r="F8569" s="68">
        <v>46</v>
      </c>
      <c r="G8569" s="68">
        <v>76</v>
      </c>
    </row>
    <row r="8570" spans="1:7" x14ac:dyDescent="0.3">
      <c r="A8570" t="s">
        <v>1559</v>
      </c>
      <c r="B8570" t="s">
        <v>27</v>
      </c>
      <c r="C8570" t="s">
        <v>28</v>
      </c>
      <c r="D8570" t="s">
        <v>17</v>
      </c>
      <c r="E8570" s="68">
        <v>40</v>
      </c>
      <c r="F8570" s="68">
        <v>53</v>
      </c>
      <c r="G8570" s="68">
        <v>93</v>
      </c>
    </row>
    <row r="8571" spans="1:7" x14ac:dyDescent="0.3">
      <c r="A8571" t="s">
        <v>1559</v>
      </c>
      <c r="B8571" t="s">
        <v>27</v>
      </c>
      <c r="C8571" t="s">
        <v>28</v>
      </c>
      <c r="D8571" t="s">
        <v>18</v>
      </c>
      <c r="E8571" s="68">
        <v>39</v>
      </c>
      <c r="F8571" s="68">
        <v>49</v>
      </c>
      <c r="G8571" s="68">
        <v>88</v>
      </c>
    </row>
    <row r="8572" spans="1:7" x14ac:dyDescent="0.3">
      <c r="A8572" t="s">
        <v>1559</v>
      </c>
      <c r="B8572" t="s">
        <v>27</v>
      </c>
      <c r="C8572" t="s">
        <v>28</v>
      </c>
      <c r="D8572" t="s">
        <v>19</v>
      </c>
      <c r="E8572" s="68">
        <v>36</v>
      </c>
      <c r="F8572" s="68">
        <v>33</v>
      </c>
      <c r="G8572" s="68">
        <v>69</v>
      </c>
    </row>
    <row r="8573" spans="1:7" x14ac:dyDescent="0.3">
      <c r="A8573" t="s">
        <v>1559</v>
      </c>
      <c r="B8573" t="s">
        <v>27</v>
      </c>
      <c r="C8573" t="s">
        <v>28</v>
      </c>
      <c r="D8573" t="s">
        <v>20</v>
      </c>
      <c r="E8573" s="68">
        <v>20</v>
      </c>
      <c r="F8573" s="68">
        <v>34</v>
      </c>
      <c r="G8573" s="68">
        <v>54</v>
      </c>
    </row>
    <row r="8574" spans="1:7" x14ac:dyDescent="0.3">
      <c r="A8574" t="s">
        <v>1559</v>
      </c>
      <c r="B8574" t="s">
        <v>27</v>
      </c>
      <c r="C8574" t="s">
        <v>28</v>
      </c>
      <c r="D8574" t="s">
        <v>21</v>
      </c>
      <c r="E8574" s="68">
        <v>11</v>
      </c>
      <c r="F8574" s="68">
        <v>21</v>
      </c>
      <c r="G8574" s="68">
        <v>32</v>
      </c>
    </row>
    <row r="8575" spans="1:7" x14ac:dyDescent="0.3">
      <c r="A8575" t="s">
        <v>1559</v>
      </c>
      <c r="B8575" t="s">
        <v>27</v>
      </c>
      <c r="C8575" t="s">
        <v>28</v>
      </c>
      <c r="D8575" t="s">
        <v>22</v>
      </c>
      <c r="E8575" s="68">
        <v>3</v>
      </c>
      <c r="F8575" s="68">
        <v>3</v>
      </c>
      <c r="G8575" s="68">
        <v>6</v>
      </c>
    </row>
    <row r="8576" spans="1:7" x14ac:dyDescent="0.3">
      <c r="A8576" t="s">
        <v>1559</v>
      </c>
      <c r="B8576" t="s">
        <v>27</v>
      </c>
      <c r="C8576" t="s">
        <v>28</v>
      </c>
      <c r="D8576" t="s">
        <v>23</v>
      </c>
      <c r="E8576" s="68">
        <v>4</v>
      </c>
      <c r="F8576" s="68">
        <v>2</v>
      </c>
      <c r="G8576" s="68">
        <v>6</v>
      </c>
    </row>
    <row r="8577" spans="1:7" x14ac:dyDescent="0.3">
      <c r="A8577" t="s">
        <v>1559</v>
      </c>
      <c r="B8577" t="s">
        <v>27</v>
      </c>
      <c r="C8577" t="s">
        <v>29</v>
      </c>
      <c r="D8577" t="s">
        <v>11</v>
      </c>
      <c r="E8577" s="68"/>
      <c r="F8577" s="68">
        <v>3</v>
      </c>
      <c r="G8577" s="68">
        <v>3</v>
      </c>
    </row>
    <row r="8578" spans="1:7" x14ac:dyDescent="0.3">
      <c r="A8578" t="s">
        <v>1559</v>
      </c>
      <c r="B8578" t="s">
        <v>27</v>
      </c>
      <c r="C8578" t="s">
        <v>29</v>
      </c>
      <c r="D8578" t="s">
        <v>12</v>
      </c>
      <c r="E8578" s="68"/>
      <c r="F8578" s="68">
        <v>1</v>
      </c>
      <c r="G8578" s="68">
        <v>1</v>
      </c>
    </row>
    <row r="8579" spans="1:7" x14ac:dyDescent="0.3">
      <c r="A8579" t="s">
        <v>1559</v>
      </c>
      <c r="B8579" t="s">
        <v>27</v>
      </c>
      <c r="C8579" t="s">
        <v>29</v>
      </c>
      <c r="D8579" t="s">
        <v>13</v>
      </c>
      <c r="E8579" s="68"/>
      <c r="F8579" s="68">
        <v>6</v>
      </c>
      <c r="G8579" s="68">
        <v>6</v>
      </c>
    </row>
    <row r="8580" spans="1:7" x14ac:dyDescent="0.3">
      <c r="A8580" t="s">
        <v>1559</v>
      </c>
      <c r="B8580" t="s">
        <v>27</v>
      </c>
      <c r="C8580" t="s">
        <v>29</v>
      </c>
      <c r="D8580" t="s">
        <v>14</v>
      </c>
      <c r="E8580" s="68"/>
      <c r="F8580" s="68">
        <v>5</v>
      </c>
      <c r="G8580" s="68">
        <v>5</v>
      </c>
    </row>
    <row r="8581" spans="1:7" x14ac:dyDescent="0.3">
      <c r="A8581" t="s">
        <v>1559</v>
      </c>
      <c r="B8581" t="s">
        <v>27</v>
      </c>
      <c r="C8581" t="s">
        <v>29</v>
      </c>
      <c r="D8581" t="s">
        <v>15</v>
      </c>
      <c r="E8581" s="68"/>
      <c r="F8581" s="68">
        <v>2</v>
      </c>
      <c r="G8581" s="68">
        <v>2</v>
      </c>
    </row>
    <row r="8582" spans="1:7" x14ac:dyDescent="0.3">
      <c r="A8582" t="s">
        <v>1559</v>
      </c>
      <c r="B8582" t="s">
        <v>27</v>
      </c>
      <c r="C8582" t="s">
        <v>29</v>
      </c>
      <c r="D8582" t="s">
        <v>16</v>
      </c>
      <c r="E8582" s="68"/>
      <c r="F8582" s="68">
        <v>3</v>
      </c>
      <c r="G8582" s="68">
        <v>3</v>
      </c>
    </row>
    <row r="8583" spans="1:7" x14ac:dyDescent="0.3">
      <c r="A8583" t="s">
        <v>1559</v>
      </c>
      <c r="B8583" t="s">
        <v>27</v>
      </c>
      <c r="C8583" t="s">
        <v>29</v>
      </c>
      <c r="D8583" t="s">
        <v>17</v>
      </c>
      <c r="E8583" s="68"/>
      <c r="F8583" s="68">
        <v>1</v>
      </c>
      <c r="G8583" s="68">
        <v>1</v>
      </c>
    </row>
    <row r="8584" spans="1:7" x14ac:dyDescent="0.3">
      <c r="A8584" t="s">
        <v>1559</v>
      </c>
      <c r="B8584" t="s">
        <v>27</v>
      </c>
      <c r="C8584" t="s">
        <v>29</v>
      </c>
      <c r="D8584" t="s">
        <v>18</v>
      </c>
      <c r="E8584" s="68"/>
      <c r="F8584" s="68">
        <v>2</v>
      </c>
      <c r="G8584" s="68">
        <v>2</v>
      </c>
    </row>
    <row r="8585" spans="1:7" x14ac:dyDescent="0.3">
      <c r="A8585" t="s">
        <v>1559</v>
      </c>
      <c r="B8585" t="s">
        <v>27</v>
      </c>
      <c r="C8585" t="s">
        <v>29</v>
      </c>
      <c r="D8585" t="s">
        <v>19</v>
      </c>
      <c r="E8585" s="68"/>
      <c r="F8585" s="68">
        <v>1</v>
      </c>
      <c r="G8585" s="68">
        <v>1</v>
      </c>
    </row>
    <row r="8586" spans="1:7" x14ac:dyDescent="0.3">
      <c r="A8586" t="s">
        <v>1559</v>
      </c>
      <c r="B8586" t="s">
        <v>27</v>
      </c>
      <c r="C8586" t="s">
        <v>29</v>
      </c>
      <c r="D8586" t="s">
        <v>21</v>
      </c>
      <c r="E8586" s="68"/>
      <c r="F8586" s="68">
        <v>1</v>
      </c>
      <c r="G8586" s="68">
        <v>1</v>
      </c>
    </row>
    <row r="8587" spans="1:7" x14ac:dyDescent="0.3">
      <c r="A8587" t="s">
        <v>1567</v>
      </c>
      <c r="B8587" t="s">
        <v>25</v>
      </c>
      <c r="C8587" t="s">
        <v>6</v>
      </c>
      <c r="D8587" t="s">
        <v>7</v>
      </c>
      <c r="E8587" s="68">
        <v>105</v>
      </c>
      <c r="F8587" s="68">
        <v>97</v>
      </c>
      <c r="G8587" s="68">
        <v>202</v>
      </c>
    </row>
    <row r="8588" spans="1:7" x14ac:dyDescent="0.3">
      <c r="A8588" t="s">
        <v>1567</v>
      </c>
      <c r="B8588" t="s">
        <v>25</v>
      </c>
      <c r="C8588" t="s">
        <v>6</v>
      </c>
      <c r="D8588" t="s">
        <v>8</v>
      </c>
      <c r="E8588" s="68">
        <v>129</v>
      </c>
      <c r="F8588" s="68">
        <v>152</v>
      </c>
      <c r="G8588" s="68">
        <v>281</v>
      </c>
    </row>
    <row r="8589" spans="1:7" x14ac:dyDescent="0.3">
      <c r="A8589" t="s">
        <v>1567</v>
      </c>
      <c r="B8589" t="s">
        <v>25</v>
      </c>
      <c r="C8589" t="s">
        <v>6</v>
      </c>
      <c r="D8589" t="s">
        <v>9</v>
      </c>
      <c r="E8589" s="68">
        <v>144</v>
      </c>
      <c r="F8589" s="68">
        <v>132</v>
      </c>
      <c r="G8589" s="68">
        <v>276</v>
      </c>
    </row>
    <row r="8590" spans="1:7" x14ac:dyDescent="0.3">
      <c r="A8590" t="s">
        <v>1567</v>
      </c>
      <c r="B8590" t="s">
        <v>25</v>
      </c>
      <c r="C8590" t="s">
        <v>6</v>
      </c>
      <c r="D8590" t="s">
        <v>10</v>
      </c>
      <c r="E8590" s="68">
        <v>81</v>
      </c>
      <c r="F8590" s="68">
        <v>102</v>
      </c>
      <c r="G8590" s="68">
        <v>183</v>
      </c>
    </row>
    <row r="8591" spans="1:7" x14ac:dyDescent="0.3">
      <c r="A8591" t="s">
        <v>1567</v>
      </c>
      <c r="B8591" t="s">
        <v>25</v>
      </c>
      <c r="C8591" t="s">
        <v>6</v>
      </c>
      <c r="D8591" t="s">
        <v>11</v>
      </c>
      <c r="E8591" s="68">
        <v>82</v>
      </c>
      <c r="F8591" s="68">
        <v>146</v>
      </c>
      <c r="G8591" s="68">
        <v>228</v>
      </c>
    </row>
    <row r="8592" spans="1:7" x14ac:dyDescent="0.3">
      <c r="A8592" t="s">
        <v>1567</v>
      </c>
      <c r="B8592" t="s">
        <v>25</v>
      </c>
      <c r="C8592" t="s">
        <v>6</v>
      </c>
      <c r="D8592" t="s">
        <v>12</v>
      </c>
      <c r="E8592" s="68">
        <v>123</v>
      </c>
      <c r="F8592" s="68">
        <v>160</v>
      </c>
      <c r="G8592" s="68">
        <v>283</v>
      </c>
    </row>
    <row r="8593" spans="1:7" x14ac:dyDescent="0.3">
      <c r="A8593" t="s">
        <v>1567</v>
      </c>
      <c r="B8593" t="s">
        <v>25</v>
      </c>
      <c r="C8593" t="s">
        <v>6</v>
      </c>
      <c r="D8593" t="s">
        <v>13</v>
      </c>
      <c r="E8593" s="68">
        <v>115</v>
      </c>
      <c r="F8593" s="68">
        <v>139</v>
      </c>
      <c r="G8593" s="68">
        <v>254</v>
      </c>
    </row>
    <row r="8594" spans="1:7" x14ac:dyDescent="0.3">
      <c r="A8594" t="s">
        <v>1567</v>
      </c>
      <c r="B8594" t="s">
        <v>25</v>
      </c>
      <c r="C8594" t="s">
        <v>6</v>
      </c>
      <c r="D8594" t="s">
        <v>14</v>
      </c>
      <c r="E8594" s="68">
        <v>89</v>
      </c>
      <c r="F8594" s="68">
        <v>105</v>
      </c>
      <c r="G8594" s="68">
        <v>194</v>
      </c>
    </row>
    <row r="8595" spans="1:7" x14ac:dyDescent="0.3">
      <c r="A8595" t="s">
        <v>1567</v>
      </c>
      <c r="B8595" t="s">
        <v>25</v>
      </c>
      <c r="C8595" t="s">
        <v>6</v>
      </c>
      <c r="D8595" t="s">
        <v>15</v>
      </c>
      <c r="E8595" s="68">
        <v>63</v>
      </c>
      <c r="F8595" s="68">
        <v>79</v>
      </c>
      <c r="G8595" s="68">
        <v>142</v>
      </c>
    </row>
    <row r="8596" spans="1:7" x14ac:dyDescent="0.3">
      <c r="A8596" t="s">
        <v>1567</v>
      </c>
      <c r="B8596" t="s">
        <v>25</v>
      </c>
      <c r="C8596" t="s">
        <v>6</v>
      </c>
      <c r="D8596" t="s">
        <v>16</v>
      </c>
      <c r="E8596" s="68">
        <v>51</v>
      </c>
      <c r="F8596" s="68">
        <v>46</v>
      </c>
      <c r="G8596" s="68">
        <v>97</v>
      </c>
    </row>
    <row r="8597" spans="1:7" x14ac:dyDescent="0.3">
      <c r="A8597" t="s">
        <v>1567</v>
      </c>
      <c r="B8597" t="s">
        <v>25</v>
      </c>
      <c r="C8597" t="s">
        <v>6</v>
      </c>
      <c r="D8597" t="s">
        <v>17</v>
      </c>
      <c r="E8597" s="68">
        <v>29</v>
      </c>
      <c r="F8597" s="68">
        <v>40</v>
      </c>
      <c r="G8597" s="68">
        <v>69</v>
      </c>
    </row>
    <row r="8598" spans="1:7" x14ac:dyDescent="0.3">
      <c r="A8598" t="s">
        <v>1567</v>
      </c>
      <c r="B8598" t="s">
        <v>25</v>
      </c>
      <c r="C8598" t="s">
        <v>6</v>
      </c>
      <c r="D8598" t="s">
        <v>18</v>
      </c>
      <c r="E8598" s="68">
        <v>15</v>
      </c>
      <c r="F8598" s="68">
        <v>24</v>
      </c>
      <c r="G8598" s="68">
        <v>39</v>
      </c>
    </row>
    <row r="8599" spans="1:7" x14ac:dyDescent="0.3">
      <c r="A8599" t="s">
        <v>1567</v>
      </c>
      <c r="B8599" t="s">
        <v>25</v>
      </c>
      <c r="C8599" t="s">
        <v>6</v>
      </c>
      <c r="D8599" t="s">
        <v>19</v>
      </c>
      <c r="E8599" s="68">
        <v>6</v>
      </c>
      <c r="F8599" s="68">
        <v>14</v>
      </c>
      <c r="G8599" s="68">
        <v>20</v>
      </c>
    </row>
    <row r="8600" spans="1:7" x14ac:dyDescent="0.3">
      <c r="A8600" t="s">
        <v>1567</v>
      </c>
      <c r="B8600" t="s">
        <v>25</v>
      </c>
      <c r="C8600" t="s">
        <v>6</v>
      </c>
      <c r="D8600" t="s">
        <v>20</v>
      </c>
      <c r="E8600" s="68">
        <v>2</v>
      </c>
      <c r="F8600" s="68">
        <v>13</v>
      </c>
      <c r="G8600" s="68">
        <v>15</v>
      </c>
    </row>
    <row r="8601" spans="1:7" x14ac:dyDescent="0.3">
      <c r="A8601" t="s">
        <v>1567</v>
      </c>
      <c r="B8601" t="s">
        <v>25</v>
      </c>
      <c r="C8601" t="s">
        <v>6</v>
      </c>
      <c r="D8601" t="s">
        <v>21</v>
      </c>
      <c r="E8601" s="68">
        <v>1</v>
      </c>
      <c r="F8601" s="68">
        <v>5</v>
      </c>
      <c r="G8601" s="68">
        <v>6</v>
      </c>
    </row>
    <row r="8602" spans="1:7" x14ac:dyDescent="0.3">
      <c r="A8602" t="s">
        <v>1567</v>
      </c>
      <c r="B8602" t="s">
        <v>25</v>
      </c>
      <c r="C8602" t="s">
        <v>6</v>
      </c>
      <c r="D8602" t="s">
        <v>22</v>
      </c>
      <c r="E8602" s="68">
        <v>2</v>
      </c>
      <c r="F8602" s="68">
        <v>1</v>
      </c>
      <c r="G8602" s="68">
        <v>3</v>
      </c>
    </row>
    <row r="8603" spans="1:7" x14ac:dyDescent="0.3">
      <c r="A8603" t="s">
        <v>1567</v>
      </c>
      <c r="B8603" t="s">
        <v>25</v>
      </c>
      <c r="C8603" t="s">
        <v>24</v>
      </c>
      <c r="D8603" t="s">
        <v>7</v>
      </c>
      <c r="E8603" s="68">
        <v>1889</v>
      </c>
      <c r="F8603" s="68">
        <v>2010</v>
      </c>
      <c r="G8603" s="68">
        <v>3899</v>
      </c>
    </row>
    <row r="8604" spans="1:7" x14ac:dyDescent="0.3">
      <c r="A8604" t="s">
        <v>1567</v>
      </c>
      <c r="B8604" t="s">
        <v>25</v>
      </c>
      <c r="C8604" t="s">
        <v>24</v>
      </c>
      <c r="D8604" t="s">
        <v>8</v>
      </c>
      <c r="E8604" s="68">
        <v>2364</v>
      </c>
      <c r="F8604" s="68">
        <v>2438</v>
      </c>
      <c r="G8604" s="68">
        <v>4802</v>
      </c>
    </row>
    <row r="8605" spans="1:7" x14ac:dyDescent="0.3">
      <c r="A8605" t="s">
        <v>1567</v>
      </c>
      <c r="B8605" t="s">
        <v>25</v>
      </c>
      <c r="C8605" t="s">
        <v>24</v>
      </c>
      <c r="D8605" t="s">
        <v>9</v>
      </c>
      <c r="E8605" s="68">
        <v>2236</v>
      </c>
      <c r="F8605" s="68">
        <v>2244</v>
      </c>
      <c r="G8605" s="68">
        <v>4480</v>
      </c>
    </row>
    <row r="8606" spans="1:7" x14ac:dyDescent="0.3">
      <c r="A8606" t="s">
        <v>1567</v>
      </c>
      <c r="B8606" t="s">
        <v>25</v>
      </c>
      <c r="C8606" t="s">
        <v>24</v>
      </c>
      <c r="D8606" t="s">
        <v>10</v>
      </c>
      <c r="E8606" s="68">
        <v>1934</v>
      </c>
      <c r="F8606" s="68">
        <v>1892</v>
      </c>
      <c r="G8606" s="68">
        <v>3826</v>
      </c>
    </row>
    <row r="8607" spans="1:7" x14ac:dyDescent="0.3">
      <c r="A8607" t="s">
        <v>1567</v>
      </c>
      <c r="B8607" t="s">
        <v>25</v>
      </c>
      <c r="C8607" t="s">
        <v>24</v>
      </c>
      <c r="D8607" t="s">
        <v>11</v>
      </c>
      <c r="E8607" s="68">
        <v>1644</v>
      </c>
      <c r="F8607" s="68">
        <v>1251</v>
      </c>
      <c r="G8607" s="68">
        <v>2895</v>
      </c>
    </row>
    <row r="8608" spans="1:7" x14ac:dyDescent="0.3">
      <c r="A8608" t="s">
        <v>1567</v>
      </c>
      <c r="B8608" t="s">
        <v>25</v>
      </c>
      <c r="C8608" t="s">
        <v>24</v>
      </c>
      <c r="D8608" t="s">
        <v>12</v>
      </c>
      <c r="E8608" s="68">
        <v>1679</v>
      </c>
      <c r="F8608" s="68">
        <v>1391</v>
      </c>
      <c r="G8608" s="68">
        <v>3070</v>
      </c>
    </row>
    <row r="8609" spans="1:7" x14ac:dyDescent="0.3">
      <c r="A8609" t="s">
        <v>1567</v>
      </c>
      <c r="B8609" t="s">
        <v>25</v>
      </c>
      <c r="C8609" t="s">
        <v>24</v>
      </c>
      <c r="D8609" t="s">
        <v>13</v>
      </c>
      <c r="E8609" s="68">
        <v>1849</v>
      </c>
      <c r="F8609" s="68">
        <v>1746</v>
      </c>
      <c r="G8609" s="68">
        <v>3595</v>
      </c>
    </row>
    <row r="8610" spans="1:7" x14ac:dyDescent="0.3">
      <c r="A8610" t="s">
        <v>1567</v>
      </c>
      <c r="B8610" t="s">
        <v>25</v>
      </c>
      <c r="C8610" t="s">
        <v>24</v>
      </c>
      <c r="D8610" t="s">
        <v>14</v>
      </c>
      <c r="E8610" s="68">
        <v>1911</v>
      </c>
      <c r="F8610" s="68">
        <v>1988</v>
      </c>
      <c r="G8610" s="68">
        <v>3899</v>
      </c>
    </row>
    <row r="8611" spans="1:7" x14ac:dyDescent="0.3">
      <c r="A8611" t="s">
        <v>1567</v>
      </c>
      <c r="B8611" t="s">
        <v>25</v>
      </c>
      <c r="C8611" t="s">
        <v>24</v>
      </c>
      <c r="D8611" t="s">
        <v>15</v>
      </c>
      <c r="E8611" s="68">
        <v>1342</v>
      </c>
      <c r="F8611" s="68">
        <v>1249</v>
      </c>
      <c r="G8611" s="68">
        <v>2591</v>
      </c>
    </row>
    <row r="8612" spans="1:7" x14ac:dyDescent="0.3">
      <c r="A8612" t="s">
        <v>1567</v>
      </c>
      <c r="B8612" t="s">
        <v>25</v>
      </c>
      <c r="C8612" t="s">
        <v>24</v>
      </c>
      <c r="D8612" t="s">
        <v>16</v>
      </c>
      <c r="E8612" s="68">
        <v>1089</v>
      </c>
      <c r="F8612" s="68">
        <v>1229</v>
      </c>
      <c r="G8612" s="68">
        <v>2318</v>
      </c>
    </row>
    <row r="8613" spans="1:7" x14ac:dyDescent="0.3">
      <c r="A8613" t="s">
        <v>1567</v>
      </c>
      <c r="B8613" t="s">
        <v>25</v>
      </c>
      <c r="C8613" t="s">
        <v>24</v>
      </c>
      <c r="D8613" t="s">
        <v>17</v>
      </c>
      <c r="E8613" s="68">
        <v>834</v>
      </c>
      <c r="F8613" s="68">
        <v>960</v>
      </c>
      <c r="G8613" s="68">
        <v>1794</v>
      </c>
    </row>
    <row r="8614" spans="1:7" x14ac:dyDescent="0.3">
      <c r="A8614" t="s">
        <v>1567</v>
      </c>
      <c r="B8614" t="s">
        <v>25</v>
      </c>
      <c r="C8614" t="s">
        <v>24</v>
      </c>
      <c r="D8614" t="s">
        <v>18</v>
      </c>
      <c r="E8614" s="68">
        <v>660</v>
      </c>
      <c r="F8614" s="68">
        <v>794</v>
      </c>
      <c r="G8614" s="68">
        <v>1454</v>
      </c>
    </row>
    <row r="8615" spans="1:7" x14ac:dyDescent="0.3">
      <c r="A8615" t="s">
        <v>1567</v>
      </c>
      <c r="B8615" t="s">
        <v>25</v>
      </c>
      <c r="C8615" t="s">
        <v>24</v>
      </c>
      <c r="D8615" t="s">
        <v>19</v>
      </c>
      <c r="E8615" s="68">
        <v>563</v>
      </c>
      <c r="F8615" s="68">
        <v>714</v>
      </c>
      <c r="G8615" s="68">
        <v>1277</v>
      </c>
    </row>
    <row r="8616" spans="1:7" x14ac:dyDescent="0.3">
      <c r="A8616" t="s">
        <v>1567</v>
      </c>
      <c r="B8616" t="s">
        <v>25</v>
      </c>
      <c r="C8616" t="s">
        <v>24</v>
      </c>
      <c r="D8616" t="s">
        <v>20</v>
      </c>
      <c r="E8616" s="68">
        <v>420</v>
      </c>
      <c r="F8616" s="68">
        <v>528</v>
      </c>
      <c r="G8616" s="68">
        <v>948</v>
      </c>
    </row>
    <row r="8617" spans="1:7" x14ac:dyDescent="0.3">
      <c r="A8617" t="s">
        <v>1567</v>
      </c>
      <c r="B8617" t="s">
        <v>25</v>
      </c>
      <c r="C8617" t="s">
        <v>24</v>
      </c>
      <c r="D8617" t="s">
        <v>21</v>
      </c>
      <c r="E8617" s="68">
        <v>261</v>
      </c>
      <c r="F8617" s="68">
        <v>297</v>
      </c>
      <c r="G8617" s="68">
        <v>558</v>
      </c>
    </row>
    <row r="8618" spans="1:7" x14ac:dyDescent="0.3">
      <c r="A8618" t="s">
        <v>1567</v>
      </c>
      <c r="B8618" t="s">
        <v>25</v>
      </c>
      <c r="C8618" t="s">
        <v>24</v>
      </c>
      <c r="D8618" t="s">
        <v>22</v>
      </c>
      <c r="E8618" s="68">
        <v>308</v>
      </c>
      <c r="F8618" s="68">
        <v>354</v>
      </c>
      <c r="G8618" s="68">
        <v>662</v>
      </c>
    </row>
    <row r="8619" spans="1:7" x14ac:dyDescent="0.3">
      <c r="A8619" t="s">
        <v>1567</v>
      </c>
      <c r="B8619" t="s">
        <v>25</v>
      </c>
      <c r="C8619" t="s">
        <v>24</v>
      </c>
      <c r="D8619" t="s">
        <v>23</v>
      </c>
      <c r="E8619" s="68">
        <v>348</v>
      </c>
      <c r="F8619" s="68">
        <v>486</v>
      </c>
      <c r="G8619" s="68">
        <v>834</v>
      </c>
    </row>
    <row r="8620" spans="1:7" x14ac:dyDescent="0.3">
      <c r="A8620" t="s">
        <v>1567</v>
      </c>
      <c r="B8620" t="s">
        <v>26</v>
      </c>
      <c r="C8620" t="s">
        <v>6</v>
      </c>
      <c r="D8620" t="s">
        <v>7</v>
      </c>
      <c r="E8620" s="68">
        <v>238</v>
      </c>
      <c r="F8620" s="68">
        <v>270</v>
      </c>
      <c r="G8620" s="68">
        <v>508</v>
      </c>
    </row>
    <row r="8621" spans="1:7" x14ac:dyDescent="0.3">
      <c r="A8621" t="s">
        <v>1567</v>
      </c>
      <c r="B8621" t="s">
        <v>26</v>
      </c>
      <c r="C8621" t="s">
        <v>6</v>
      </c>
      <c r="D8621" t="s">
        <v>8</v>
      </c>
      <c r="E8621" s="68">
        <v>438</v>
      </c>
      <c r="F8621" s="68">
        <v>488</v>
      </c>
      <c r="G8621" s="68">
        <v>926</v>
      </c>
    </row>
    <row r="8622" spans="1:7" x14ac:dyDescent="0.3">
      <c r="A8622" t="s">
        <v>1567</v>
      </c>
      <c r="B8622" t="s">
        <v>26</v>
      </c>
      <c r="C8622" t="s">
        <v>6</v>
      </c>
      <c r="D8622" t="s">
        <v>9</v>
      </c>
      <c r="E8622" s="68">
        <v>306</v>
      </c>
      <c r="F8622" s="68">
        <v>352</v>
      </c>
      <c r="G8622" s="68">
        <v>658</v>
      </c>
    </row>
    <row r="8623" spans="1:7" x14ac:dyDescent="0.3">
      <c r="A8623" t="s">
        <v>1567</v>
      </c>
      <c r="B8623" t="s">
        <v>26</v>
      </c>
      <c r="C8623" t="s">
        <v>6</v>
      </c>
      <c r="D8623" t="s">
        <v>10</v>
      </c>
      <c r="E8623" s="68">
        <v>221</v>
      </c>
      <c r="F8623" s="68">
        <v>292</v>
      </c>
      <c r="G8623" s="68">
        <v>513</v>
      </c>
    </row>
    <row r="8624" spans="1:7" x14ac:dyDescent="0.3">
      <c r="A8624" t="s">
        <v>1567</v>
      </c>
      <c r="B8624" t="s">
        <v>26</v>
      </c>
      <c r="C8624" t="s">
        <v>6</v>
      </c>
      <c r="D8624" t="s">
        <v>11</v>
      </c>
      <c r="E8624" s="68">
        <v>345</v>
      </c>
      <c r="F8624" s="68">
        <v>643</v>
      </c>
      <c r="G8624" s="68">
        <v>988</v>
      </c>
    </row>
    <row r="8625" spans="1:7" x14ac:dyDescent="0.3">
      <c r="A8625" t="s">
        <v>1567</v>
      </c>
      <c r="B8625" t="s">
        <v>26</v>
      </c>
      <c r="C8625" t="s">
        <v>6</v>
      </c>
      <c r="D8625" t="s">
        <v>12</v>
      </c>
      <c r="E8625" s="68">
        <v>573</v>
      </c>
      <c r="F8625" s="68">
        <v>776</v>
      </c>
      <c r="G8625" s="68">
        <v>1349</v>
      </c>
    </row>
    <row r="8626" spans="1:7" x14ac:dyDescent="0.3">
      <c r="A8626" t="s">
        <v>1567</v>
      </c>
      <c r="B8626" t="s">
        <v>26</v>
      </c>
      <c r="C8626" t="s">
        <v>6</v>
      </c>
      <c r="D8626" t="s">
        <v>13</v>
      </c>
      <c r="E8626" s="68">
        <v>544</v>
      </c>
      <c r="F8626" s="68">
        <v>775</v>
      </c>
      <c r="G8626" s="68">
        <v>1319</v>
      </c>
    </row>
    <row r="8627" spans="1:7" x14ac:dyDescent="0.3">
      <c r="A8627" t="s">
        <v>1567</v>
      </c>
      <c r="B8627" t="s">
        <v>26</v>
      </c>
      <c r="C8627" t="s">
        <v>6</v>
      </c>
      <c r="D8627" t="s">
        <v>14</v>
      </c>
      <c r="E8627" s="68">
        <v>511</v>
      </c>
      <c r="F8627" s="68">
        <v>666</v>
      </c>
      <c r="G8627" s="68">
        <v>1177</v>
      </c>
    </row>
    <row r="8628" spans="1:7" x14ac:dyDescent="0.3">
      <c r="A8628" t="s">
        <v>1567</v>
      </c>
      <c r="B8628" t="s">
        <v>26</v>
      </c>
      <c r="C8628" t="s">
        <v>6</v>
      </c>
      <c r="D8628" t="s">
        <v>15</v>
      </c>
      <c r="E8628" s="68">
        <v>420</v>
      </c>
      <c r="F8628" s="68">
        <v>546</v>
      </c>
      <c r="G8628" s="68">
        <v>966</v>
      </c>
    </row>
    <row r="8629" spans="1:7" x14ac:dyDescent="0.3">
      <c r="A8629" t="s">
        <v>1567</v>
      </c>
      <c r="B8629" t="s">
        <v>26</v>
      </c>
      <c r="C8629" t="s">
        <v>6</v>
      </c>
      <c r="D8629" t="s">
        <v>16</v>
      </c>
      <c r="E8629" s="68">
        <v>299</v>
      </c>
      <c r="F8629" s="68">
        <v>464</v>
      </c>
      <c r="G8629" s="68">
        <v>763</v>
      </c>
    </row>
    <row r="8630" spans="1:7" x14ac:dyDescent="0.3">
      <c r="A8630" t="s">
        <v>1567</v>
      </c>
      <c r="B8630" t="s">
        <v>26</v>
      </c>
      <c r="C8630" t="s">
        <v>6</v>
      </c>
      <c r="D8630" t="s">
        <v>17</v>
      </c>
      <c r="E8630" s="68">
        <v>253</v>
      </c>
      <c r="F8630" s="68">
        <v>345</v>
      </c>
      <c r="G8630" s="68">
        <v>598</v>
      </c>
    </row>
    <row r="8631" spans="1:7" x14ac:dyDescent="0.3">
      <c r="A8631" t="s">
        <v>1567</v>
      </c>
      <c r="B8631" t="s">
        <v>26</v>
      </c>
      <c r="C8631" t="s">
        <v>6</v>
      </c>
      <c r="D8631" t="s">
        <v>18</v>
      </c>
      <c r="E8631" s="68">
        <v>127</v>
      </c>
      <c r="F8631" s="68">
        <v>238</v>
      </c>
      <c r="G8631" s="68">
        <v>365</v>
      </c>
    </row>
    <row r="8632" spans="1:7" x14ac:dyDescent="0.3">
      <c r="A8632" t="s">
        <v>1567</v>
      </c>
      <c r="B8632" t="s">
        <v>26</v>
      </c>
      <c r="C8632" t="s">
        <v>6</v>
      </c>
      <c r="D8632" t="s">
        <v>19</v>
      </c>
      <c r="E8632" s="68">
        <v>104</v>
      </c>
      <c r="F8632" s="68">
        <v>164</v>
      </c>
      <c r="G8632" s="68">
        <v>268</v>
      </c>
    </row>
    <row r="8633" spans="1:7" x14ac:dyDescent="0.3">
      <c r="A8633" t="s">
        <v>1567</v>
      </c>
      <c r="B8633" t="s">
        <v>26</v>
      </c>
      <c r="C8633" t="s">
        <v>6</v>
      </c>
      <c r="D8633" t="s">
        <v>20</v>
      </c>
      <c r="E8633" s="68">
        <v>94</v>
      </c>
      <c r="F8633" s="68">
        <v>122</v>
      </c>
      <c r="G8633" s="68">
        <v>216</v>
      </c>
    </row>
    <row r="8634" spans="1:7" x14ac:dyDescent="0.3">
      <c r="A8634" t="s">
        <v>1567</v>
      </c>
      <c r="B8634" t="s">
        <v>26</v>
      </c>
      <c r="C8634" t="s">
        <v>6</v>
      </c>
      <c r="D8634" t="s">
        <v>21</v>
      </c>
      <c r="E8634" s="68">
        <v>44</v>
      </c>
      <c r="F8634" s="68">
        <v>63</v>
      </c>
      <c r="G8634" s="68">
        <v>107</v>
      </c>
    </row>
    <row r="8635" spans="1:7" x14ac:dyDescent="0.3">
      <c r="A8635" t="s">
        <v>1567</v>
      </c>
      <c r="B8635" t="s">
        <v>26</v>
      </c>
      <c r="C8635" t="s">
        <v>6</v>
      </c>
      <c r="D8635" t="s">
        <v>22</v>
      </c>
      <c r="E8635" s="68">
        <v>26</v>
      </c>
      <c r="F8635" s="68">
        <v>32</v>
      </c>
      <c r="G8635" s="68">
        <v>58</v>
      </c>
    </row>
    <row r="8636" spans="1:7" x14ac:dyDescent="0.3">
      <c r="A8636" t="s">
        <v>1567</v>
      </c>
      <c r="B8636" t="s">
        <v>26</v>
      </c>
      <c r="C8636" t="s">
        <v>6</v>
      </c>
      <c r="D8636" t="s">
        <v>23</v>
      </c>
      <c r="E8636" s="68">
        <v>17</v>
      </c>
      <c r="F8636" s="68">
        <v>27</v>
      </c>
      <c r="G8636" s="68">
        <v>44</v>
      </c>
    </row>
    <row r="8637" spans="1:7" x14ac:dyDescent="0.3">
      <c r="A8637" t="s">
        <v>1567</v>
      </c>
      <c r="B8637" t="s">
        <v>26</v>
      </c>
      <c r="C8637" t="s">
        <v>24</v>
      </c>
      <c r="D8637" t="s">
        <v>7</v>
      </c>
      <c r="E8637" s="68">
        <v>1699</v>
      </c>
      <c r="F8637" s="68">
        <v>1806</v>
      </c>
      <c r="G8637" s="68">
        <v>3505</v>
      </c>
    </row>
    <row r="8638" spans="1:7" x14ac:dyDescent="0.3">
      <c r="A8638" t="s">
        <v>1567</v>
      </c>
      <c r="B8638" t="s">
        <v>26</v>
      </c>
      <c r="C8638" t="s">
        <v>24</v>
      </c>
      <c r="D8638" t="s">
        <v>8</v>
      </c>
      <c r="E8638" s="68">
        <v>1824</v>
      </c>
      <c r="F8638" s="68">
        <v>1967</v>
      </c>
      <c r="G8638" s="68">
        <v>3791</v>
      </c>
    </row>
    <row r="8639" spans="1:7" x14ac:dyDescent="0.3">
      <c r="A8639" t="s">
        <v>1567</v>
      </c>
      <c r="B8639" t="s">
        <v>26</v>
      </c>
      <c r="C8639" t="s">
        <v>24</v>
      </c>
      <c r="D8639" t="s">
        <v>9</v>
      </c>
      <c r="E8639" s="68">
        <v>1929</v>
      </c>
      <c r="F8639" s="68">
        <v>1929</v>
      </c>
      <c r="G8639" s="68">
        <v>3858</v>
      </c>
    </row>
    <row r="8640" spans="1:7" x14ac:dyDescent="0.3">
      <c r="A8640" t="s">
        <v>1567</v>
      </c>
      <c r="B8640" t="s">
        <v>26</v>
      </c>
      <c r="C8640" t="s">
        <v>24</v>
      </c>
      <c r="D8640" t="s">
        <v>10</v>
      </c>
      <c r="E8640" s="68">
        <v>1780</v>
      </c>
      <c r="F8640" s="68">
        <v>1596</v>
      </c>
      <c r="G8640" s="68">
        <v>3376</v>
      </c>
    </row>
    <row r="8641" spans="1:7" x14ac:dyDescent="0.3">
      <c r="A8641" t="s">
        <v>1567</v>
      </c>
      <c r="B8641" t="s">
        <v>26</v>
      </c>
      <c r="C8641" t="s">
        <v>24</v>
      </c>
      <c r="D8641" t="s">
        <v>11</v>
      </c>
      <c r="E8641" s="68">
        <v>1263</v>
      </c>
      <c r="F8641" s="68">
        <v>951</v>
      </c>
      <c r="G8641" s="68">
        <v>2214</v>
      </c>
    </row>
    <row r="8642" spans="1:7" x14ac:dyDescent="0.3">
      <c r="A8642" t="s">
        <v>1567</v>
      </c>
      <c r="B8642" t="s">
        <v>26</v>
      </c>
      <c r="C8642" t="s">
        <v>24</v>
      </c>
      <c r="D8642" t="s">
        <v>12</v>
      </c>
      <c r="E8642" s="68">
        <v>1378</v>
      </c>
      <c r="F8642" s="68">
        <v>976</v>
      </c>
      <c r="G8642" s="68">
        <v>2354</v>
      </c>
    </row>
    <row r="8643" spans="1:7" x14ac:dyDescent="0.3">
      <c r="A8643" t="s">
        <v>1567</v>
      </c>
      <c r="B8643" t="s">
        <v>26</v>
      </c>
      <c r="C8643" t="s">
        <v>24</v>
      </c>
      <c r="D8643" t="s">
        <v>13</v>
      </c>
      <c r="E8643" s="68">
        <v>1215</v>
      </c>
      <c r="F8643" s="68">
        <v>975</v>
      </c>
      <c r="G8643" s="68">
        <v>2190</v>
      </c>
    </row>
    <row r="8644" spans="1:7" x14ac:dyDescent="0.3">
      <c r="A8644" t="s">
        <v>1567</v>
      </c>
      <c r="B8644" t="s">
        <v>26</v>
      </c>
      <c r="C8644" t="s">
        <v>24</v>
      </c>
      <c r="D8644" t="s">
        <v>14</v>
      </c>
      <c r="E8644" s="68">
        <v>1061</v>
      </c>
      <c r="F8644" s="68">
        <v>856</v>
      </c>
      <c r="G8644" s="68">
        <v>1917</v>
      </c>
    </row>
    <row r="8645" spans="1:7" x14ac:dyDescent="0.3">
      <c r="A8645" t="s">
        <v>1567</v>
      </c>
      <c r="B8645" t="s">
        <v>26</v>
      </c>
      <c r="C8645" t="s">
        <v>24</v>
      </c>
      <c r="D8645" t="s">
        <v>15</v>
      </c>
      <c r="E8645" s="68">
        <v>1027</v>
      </c>
      <c r="F8645" s="68">
        <v>886</v>
      </c>
      <c r="G8645" s="68">
        <v>1913</v>
      </c>
    </row>
    <row r="8646" spans="1:7" x14ac:dyDescent="0.3">
      <c r="A8646" t="s">
        <v>1567</v>
      </c>
      <c r="B8646" t="s">
        <v>26</v>
      </c>
      <c r="C8646" t="s">
        <v>24</v>
      </c>
      <c r="D8646" t="s">
        <v>16</v>
      </c>
      <c r="E8646" s="68">
        <v>853</v>
      </c>
      <c r="F8646" s="68">
        <v>831</v>
      </c>
      <c r="G8646" s="68">
        <v>1684</v>
      </c>
    </row>
    <row r="8647" spans="1:7" x14ac:dyDescent="0.3">
      <c r="A8647" t="s">
        <v>1567</v>
      </c>
      <c r="B8647" t="s">
        <v>26</v>
      </c>
      <c r="C8647" t="s">
        <v>24</v>
      </c>
      <c r="D8647" t="s">
        <v>17</v>
      </c>
      <c r="E8647" s="68">
        <v>776</v>
      </c>
      <c r="F8647" s="68">
        <v>769</v>
      </c>
      <c r="G8647" s="68">
        <v>1545</v>
      </c>
    </row>
    <row r="8648" spans="1:7" x14ac:dyDescent="0.3">
      <c r="A8648" t="s">
        <v>1567</v>
      </c>
      <c r="B8648" t="s">
        <v>26</v>
      </c>
      <c r="C8648" t="s">
        <v>24</v>
      </c>
      <c r="D8648" t="s">
        <v>18</v>
      </c>
      <c r="E8648" s="68">
        <v>630</v>
      </c>
      <c r="F8648" s="68">
        <v>749</v>
      </c>
      <c r="G8648" s="68">
        <v>1379</v>
      </c>
    </row>
    <row r="8649" spans="1:7" x14ac:dyDescent="0.3">
      <c r="A8649" t="s">
        <v>1567</v>
      </c>
      <c r="B8649" t="s">
        <v>26</v>
      </c>
      <c r="C8649" t="s">
        <v>24</v>
      </c>
      <c r="D8649" t="s">
        <v>19</v>
      </c>
      <c r="E8649" s="68">
        <v>556</v>
      </c>
      <c r="F8649" s="68">
        <v>648</v>
      </c>
      <c r="G8649" s="68">
        <v>1204</v>
      </c>
    </row>
    <row r="8650" spans="1:7" x14ac:dyDescent="0.3">
      <c r="A8650" t="s">
        <v>1567</v>
      </c>
      <c r="B8650" t="s">
        <v>26</v>
      </c>
      <c r="C8650" t="s">
        <v>24</v>
      </c>
      <c r="D8650" t="s">
        <v>20</v>
      </c>
      <c r="E8650" s="68">
        <v>424</v>
      </c>
      <c r="F8650" s="68">
        <v>516</v>
      </c>
      <c r="G8650" s="68">
        <v>940</v>
      </c>
    </row>
    <row r="8651" spans="1:7" x14ac:dyDescent="0.3">
      <c r="A8651" t="s">
        <v>1567</v>
      </c>
      <c r="B8651" t="s">
        <v>26</v>
      </c>
      <c r="C8651" t="s">
        <v>24</v>
      </c>
      <c r="D8651" t="s">
        <v>21</v>
      </c>
      <c r="E8651" s="68">
        <v>307</v>
      </c>
      <c r="F8651" s="68">
        <v>351</v>
      </c>
      <c r="G8651" s="68">
        <v>658</v>
      </c>
    </row>
    <row r="8652" spans="1:7" x14ac:dyDescent="0.3">
      <c r="A8652" t="s">
        <v>1567</v>
      </c>
      <c r="B8652" t="s">
        <v>26</v>
      </c>
      <c r="C8652" t="s">
        <v>24</v>
      </c>
      <c r="D8652" t="s">
        <v>22</v>
      </c>
      <c r="E8652" s="68">
        <v>233</v>
      </c>
      <c r="F8652" s="68">
        <v>292</v>
      </c>
      <c r="G8652" s="68">
        <v>525</v>
      </c>
    </row>
    <row r="8653" spans="1:7" x14ac:dyDescent="0.3">
      <c r="A8653" t="s">
        <v>1567</v>
      </c>
      <c r="B8653" t="s">
        <v>26</v>
      </c>
      <c r="C8653" t="s">
        <v>24</v>
      </c>
      <c r="D8653" t="s">
        <v>23</v>
      </c>
      <c r="E8653" s="68">
        <v>267</v>
      </c>
      <c r="F8653" s="68">
        <v>351</v>
      </c>
      <c r="G8653" s="68">
        <v>618</v>
      </c>
    </row>
    <row r="8654" spans="1:7" x14ac:dyDescent="0.3">
      <c r="A8654" t="s">
        <v>1567</v>
      </c>
      <c r="B8654" t="s">
        <v>27</v>
      </c>
      <c r="C8654" t="s">
        <v>28</v>
      </c>
      <c r="D8654" t="s">
        <v>7</v>
      </c>
      <c r="E8654" s="68">
        <v>19</v>
      </c>
      <c r="F8654" s="68">
        <v>23</v>
      </c>
      <c r="G8654" s="68">
        <v>42</v>
      </c>
    </row>
    <row r="8655" spans="1:7" x14ac:dyDescent="0.3">
      <c r="A8655" t="s">
        <v>1567</v>
      </c>
      <c r="B8655" t="s">
        <v>27</v>
      </c>
      <c r="C8655" t="s">
        <v>28</v>
      </c>
      <c r="D8655" t="s">
        <v>8</v>
      </c>
      <c r="E8655" s="68">
        <v>26</v>
      </c>
      <c r="F8655" s="68">
        <v>31</v>
      </c>
      <c r="G8655" s="68">
        <v>57</v>
      </c>
    </row>
    <row r="8656" spans="1:7" x14ac:dyDescent="0.3">
      <c r="A8656" t="s">
        <v>1567</v>
      </c>
      <c r="B8656" t="s">
        <v>27</v>
      </c>
      <c r="C8656" t="s">
        <v>28</v>
      </c>
      <c r="D8656" t="s">
        <v>9</v>
      </c>
      <c r="E8656" s="68">
        <v>53</v>
      </c>
      <c r="F8656" s="68">
        <v>58</v>
      </c>
      <c r="G8656" s="68">
        <v>111</v>
      </c>
    </row>
    <row r="8657" spans="1:7" x14ac:dyDescent="0.3">
      <c r="A8657" t="s">
        <v>1567</v>
      </c>
      <c r="B8657" t="s">
        <v>27</v>
      </c>
      <c r="C8657" t="s">
        <v>28</v>
      </c>
      <c r="D8657" t="s">
        <v>10</v>
      </c>
      <c r="E8657" s="68">
        <v>69</v>
      </c>
      <c r="F8657" s="68">
        <v>64</v>
      </c>
      <c r="G8657" s="68">
        <v>133</v>
      </c>
    </row>
    <row r="8658" spans="1:7" x14ac:dyDescent="0.3">
      <c r="A8658" t="s">
        <v>1567</v>
      </c>
      <c r="B8658" t="s">
        <v>27</v>
      </c>
      <c r="C8658" t="s">
        <v>28</v>
      </c>
      <c r="D8658" t="s">
        <v>11</v>
      </c>
      <c r="E8658" s="68">
        <v>27</v>
      </c>
      <c r="F8658" s="68">
        <v>30</v>
      </c>
      <c r="G8658" s="68">
        <v>57</v>
      </c>
    </row>
    <row r="8659" spans="1:7" x14ac:dyDescent="0.3">
      <c r="A8659" t="s">
        <v>1567</v>
      </c>
      <c r="B8659" t="s">
        <v>27</v>
      </c>
      <c r="C8659" t="s">
        <v>28</v>
      </c>
      <c r="D8659" t="s">
        <v>12</v>
      </c>
      <c r="E8659" s="68">
        <v>31</v>
      </c>
      <c r="F8659" s="68">
        <v>42</v>
      </c>
      <c r="G8659" s="68">
        <v>73</v>
      </c>
    </row>
    <row r="8660" spans="1:7" x14ac:dyDescent="0.3">
      <c r="A8660" t="s">
        <v>1567</v>
      </c>
      <c r="B8660" t="s">
        <v>27</v>
      </c>
      <c r="C8660" t="s">
        <v>28</v>
      </c>
      <c r="D8660" t="s">
        <v>13</v>
      </c>
      <c r="E8660" s="68">
        <v>46</v>
      </c>
      <c r="F8660" s="68">
        <v>50</v>
      </c>
      <c r="G8660" s="68">
        <v>96</v>
      </c>
    </row>
    <row r="8661" spans="1:7" x14ac:dyDescent="0.3">
      <c r="A8661" t="s">
        <v>1567</v>
      </c>
      <c r="B8661" t="s">
        <v>27</v>
      </c>
      <c r="C8661" t="s">
        <v>28</v>
      </c>
      <c r="D8661" t="s">
        <v>14</v>
      </c>
      <c r="E8661" s="68">
        <v>69</v>
      </c>
      <c r="F8661" s="68">
        <v>63</v>
      </c>
      <c r="G8661" s="68">
        <v>132</v>
      </c>
    </row>
    <row r="8662" spans="1:7" x14ac:dyDescent="0.3">
      <c r="A8662" t="s">
        <v>1567</v>
      </c>
      <c r="B8662" t="s">
        <v>27</v>
      </c>
      <c r="C8662" t="s">
        <v>28</v>
      </c>
      <c r="D8662" t="s">
        <v>15</v>
      </c>
      <c r="E8662" s="68">
        <v>51</v>
      </c>
      <c r="F8662" s="68">
        <v>56</v>
      </c>
      <c r="G8662" s="68">
        <v>107</v>
      </c>
    </row>
    <row r="8663" spans="1:7" x14ac:dyDescent="0.3">
      <c r="A8663" t="s">
        <v>1567</v>
      </c>
      <c r="B8663" t="s">
        <v>27</v>
      </c>
      <c r="C8663" t="s">
        <v>28</v>
      </c>
      <c r="D8663" t="s">
        <v>16</v>
      </c>
      <c r="E8663" s="68">
        <v>59</v>
      </c>
      <c r="F8663" s="68">
        <v>51</v>
      </c>
      <c r="G8663" s="68">
        <v>110</v>
      </c>
    </row>
    <row r="8664" spans="1:7" x14ac:dyDescent="0.3">
      <c r="A8664" t="s">
        <v>1567</v>
      </c>
      <c r="B8664" t="s">
        <v>27</v>
      </c>
      <c r="C8664" t="s">
        <v>28</v>
      </c>
      <c r="D8664" t="s">
        <v>17</v>
      </c>
      <c r="E8664" s="68">
        <v>85</v>
      </c>
      <c r="F8664" s="68">
        <v>64</v>
      </c>
      <c r="G8664" s="68">
        <v>149</v>
      </c>
    </row>
    <row r="8665" spans="1:7" x14ac:dyDescent="0.3">
      <c r="A8665" t="s">
        <v>1567</v>
      </c>
      <c r="B8665" t="s">
        <v>27</v>
      </c>
      <c r="C8665" t="s">
        <v>28</v>
      </c>
      <c r="D8665" t="s">
        <v>18</v>
      </c>
      <c r="E8665" s="68">
        <v>60</v>
      </c>
      <c r="F8665" s="68">
        <v>84</v>
      </c>
      <c r="G8665" s="68">
        <v>144</v>
      </c>
    </row>
    <row r="8666" spans="1:7" x14ac:dyDescent="0.3">
      <c r="A8666" t="s">
        <v>1567</v>
      </c>
      <c r="B8666" t="s">
        <v>27</v>
      </c>
      <c r="C8666" t="s">
        <v>28</v>
      </c>
      <c r="D8666" t="s">
        <v>19</v>
      </c>
      <c r="E8666" s="68">
        <v>46</v>
      </c>
      <c r="F8666" s="68">
        <v>41</v>
      </c>
      <c r="G8666" s="68">
        <v>87</v>
      </c>
    </row>
    <row r="8667" spans="1:7" x14ac:dyDescent="0.3">
      <c r="A8667" t="s">
        <v>1567</v>
      </c>
      <c r="B8667" t="s">
        <v>27</v>
      </c>
      <c r="C8667" t="s">
        <v>28</v>
      </c>
      <c r="D8667" t="s">
        <v>20</v>
      </c>
      <c r="E8667" s="68">
        <v>42</v>
      </c>
      <c r="F8667" s="68">
        <v>48</v>
      </c>
      <c r="G8667" s="68">
        <v>90</v>
      </c>
    </row>
    <row r="8668" spans="1:7" x14ac:dyDescent="0.3">
      <c r="A8668" t="s">
        <v>1567</v>
      </c>
      <c r="B8668" t="s">
        <v>27</v>
      </c>
      <c r="C8668" t="s">
        <v>28</v>
      </c>
      <c r="D8668" t="s">
        <v>21</v>
      </c>
      <c r="E8668" s="68">
        <v>18</v>
      </c>
      <c r="F8668" s="68">
        <v>22</v>
      </c>
      <c r="G8668" s="68">
        <v>40</v>
      </c>
    </row>
    <row r="8669" spans="1:7" x14ac:dyDescent="0.3">
      <c r="A8669" t="s">
        <v>1567</v>
      </c>
      <c r="B8669" t="s">
        <v>27</v>
      </c>
      <c r="C8669" t="s">
        <v>28</v>
      </c>
      <c r="D8669" t="s">
        <v>22</v>
      </c>
      <c r="E8669" s="68">
        <v>7</v>
      </c>
      <c r="F8669" s="68">
        <v>5</v>
      </c>
      <c r="G8669" s="68">
        <v>12</v>
      </c>
    </row>
    <row r="8670" spans="1:7" x14ac:dyDescent="0.3">
      <c r="A8670" t="s">
        <v>1567</v>
      </c>
      <c r="B8670" t="s">
        <v>27</v>
      </c>
      <c r="C8670" t="s">
        <v>28</v>
      </c>
      <c r="D8670" t="s">
        <v>23</v>
      </c>
      <c r="E8670" s="68">
        <v>8</v>
      </c>
      <c r="F8670" s="68">
        <v>2</v>
      </c>
      <c r="G8670" s="68">
        <v>10</v>
      </c>
    </row>
    <row r="8671" spans="1:7" x14ac:dyDescent="0.3">
      <c r="A8671" t="s">
        <v>1567</v>
      </c>
      <c r="B8671" t="s">
        <v>27</v>
      </c>
      <c r="C8671" t="s">
        <v>29</v>
      </c>
      <c r="D8671" t="s">
        <v>11</v>
      </c>
      <c r="E8671" s="68"/>
      <c r="F8671" s="68">
        <v>4</v>
      </c>
      <c r="G8671" s="68">
        <v>4</v>
      </c>
    </row>
    <row r="8672" spans="1:7" x14ac:dyDescent="0.3">
      <c r="A8672" t="s">
        <v>1567</v>
      </c>
      <c r="B8672" t="s">
        <v>27</v>
      </c>
      <c r="C8672" t="s">
        <v>29</v>
      </c>
      <c r="D8672" t="s">
        <v>12</v>
      </c>
      <c r="E8672" s="68"/>
      <c r="F8672" s="68">
        <v>5</v>
      </c>
      <c r="G8672" s="68">
        <v>5</v>
      </c>
    </row>
    <row r="8673" spans="1:7" x14ac:dyDescent="0.3">
      <c r="A8673" t="s">
        <v>1567</v>
      </c>
      <c r="B8673" t="s">
        <v>27</v>
      </c>
      <c r="C8673" t="s">
        <v>29</v>
      </c>
      <c r="D8673" t="s">
        <v>13</v>
      </c>
      <c r="E8673" s="68"/>
      <c r="F8673" s="68">
        <v>10</v>
      </c>
      <c r="G8673" s="68">
        <v>10</v>
      </c>
    </row>
    <row r="8674" spans="1:7" x14ac:dyDescent="0.3">
      <c r="A8674" t="s">
        <v>1567</v>
      </c>
      <c r="B8674" t="s">
        <v>27</v>
      </c>
      <c r="C8674" t="s">
        <v>29</v>
      </c>
      <c r="D8674" t="s">
        <v>14</v>
      </c>
      <c r="E8674" s="68">
        <v>2</v>
      </c>
      <c r="F8674" s="68">
        <v>6</v>
      </c>
      <c r="G8674" s="68">
        <v>8</v>
      </c>
    </row>
    <row r="8675" spans="1:7" x14ac:dyDescent="0.3">
      <c r="A8675" t="s">
        <v>1567</v>
      </c>
      <c r="B8675" t="s">
        <v>27</v>
      </c>
      <c r="C8675" t="s">
        <v>29</v>
      </c>
      <c r="D8675" t="s">
        <v>15</v>
      </c>
      <c r="E8675" s="68"/>
      <c r="F8675" s="68">
        <v>4</v>
      </c>
      <c r="G8675" s="68">
        <v>4</v>
      </c>
    </row>
    <row r="8676" spans="1:7" x14ac:dyDescent="0.3">
      <c r="A8676" t="s">
        <v>1567</v>
      </c>
      <c r="B8676" t="s">
        <v>27</v>
      </c>
      <c r="C8676" t="s">
        <v>29</v>
      </c>
      <c r="D8676" t="s">
        <v>16</v>
      </c>
      <c r="E8676" s="68"/>
      <c r="F8676" s="68">
        <v>9</v>
      </c>
      <c r="G8676" s="68">
        <v>9</v>
      </c>
    </row>
    <row r="8677" spans="1:7" x14ac:dyDescent="0.3">
      <c r="A8677" t="s">
        <v>1567</v>
      </c>
      <c r="B8677" t="s">
        <v>27</v>
      </c>
      <c r="C8677" t="s">
        <v>29</v>
      </c>
      <c r="D8677" t="s">
        <v>17</v>
      </c>
      <c r="E8677" s="68"/>
      <c r="F8677" s="68">
        <v>3</v>
      </c>
      <c r="G8677" s="68">
        <v>3</v>
      </c>
    </row>
    <row r="8678" spans="1:7" x14ac:dyDescent="0.3">
      <c r="A8678" t="s">
        <v>1567</v>
      </c>
      <c r="B8678" t="s">
        <v>27</v>
      </c>
      <c r="C8678" t="s">
        <v>29</v>
      </c>
      <c r="D8678" t="s">
        <v>18</v>
      </c>
      <c r="E8678" s="68"/>
      <c r="F8678" s="68">
        <v>2</v>
      </c>
      <c r="G8678" s="68">
        <v>2</v>
      </c>
    </row>
    <row r="8679" spans="1:7" x14ac:dyDescent="0.3">
      <c r="A8679" t="s">
        <v>1567</v>
      </c>
      <c r="B8679" t="s">
        <v>27</v>
      </c>
      <c r="C8679" t="s">
        <v>29</v>
      </c>
      <c r="D8679" t="s">
        <v>19</v>
      </c>
      <c r="E8679" s="68"/>
      <c r="F8679" s="68">
        <v>2</v>
      </c>
      <c r="G8679" s="68">
        <v>2</v>
      </c>
    </row>
    <row r="8680" spans="1:7" x14ac:dyDescent="0.3">
      <c r="A8680" t="s">
        <v>1567</v>
      </c>
      <c r="B8680" t="s">
        <v>27</v>
      </c>
      <c r="C8680" t="s">
        <v>29</v>
      </c>
      <c r="D8680" t="s">
        <v>20</v>
      </c>
      <c r="E8680" s="68"/>
      <c r="F8680" s="68">
        <v>1</v>
      </c>
      <c r="G8680" s="68">
        <v>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5FA2-E8D5-4DF9-886B-CC9DD137A954}">
  <dimension ref="A1:H14"/>
  <sheetViews>
    <sheetView zoomScale="111" workbookViewId="0">
      <selection activeCell="C18" sqref="C18"/>
    </sheetView>
  </sheetViews>
  <sheetFormatPr baseColWidth="10" defaultRowHeight="14.4" x14ac:dyDescent="0.3"/>
  <sheetData>
    <row r="1" spans="1:8" x14ac:dyDescent="0.3">
      <c r="A1" t="s">
        <v>1</v>
      </c>
      <c r="B1" t="s">
        <v>98</v>
      </c>
      <c r="C1" t="s">
        <v>97</v>
      </c>
      <c r="D1" t="s">
        <v>96</v>
      </c>
      <c r="E1" t="s">
        <v>95</v>
      </c>
      <c r="F1" t="s">
        <v>94</v>
      </c>
      <c r="G1" t="s">
        <v>93</v>
      </c>
      <c r="H1" t="s">
        <v>1662</v>
      </c>
    </row>
    <row r="2" spans="1:8" x14ac:dyDescent="0.3">
      <c r="A2" s="69" t="s">
        <v>38</v>
      </c>
      <c r="B2" s="68">
        <v>1881317</v>
      </c>
      <c r="C2" s="68">
        <v>1910642</v>
      </c>
      <c r="D2" s="68">
        <v>1953343</v>
      </c>
      <c r="E2" s="68">
        <v>2026190</v>
      </c>
      <c r="F2" s="68">
        <v>1654696</v>
      </c>
      <c r="G2" s="68">
        <v>1569739</v>
      </c>
      <c r="H2" s="68">
        <v>1587009</v>
      </c>
    </row>
    <row r="3" spans="1:8" x14ac:dyDescent="0.3">
      <c r="A3" s="69" t="s">
        <v>41</v>
      </c>
      <c r="B3" s="68">
        <v>241526</v>
      </c>
      <c r="C3" s="68">
        <v>257538</v>
      </c>
      <c r="D3" s="68">
        <v>260295</v>
      </c>
      <c r="E3" s="68">
        <v>294852</v>
      </c>
      <c r="F3" s="68">
        <v>293336</v>
      </c>
      <c r="G3" s="68">
        <v>294879</v>
      </c>
      <c r="H3" s="68">
        <v>296570</v>
      </c>
    </row>
    <row r="4" spans="1:8" x14ac:dyDescent="0.3">
      <c r="A4" s="69" t="s">
        <v>31</v>
      </c>
      <c r="B4" s="68">
        <v>2531232</v>
      </c>
      <c r="C4" s="68">
        <v>2783064</v>
      </c>
      <c r="D4" s="68">
        <v>3129925</v>
      </c>
      <c r="E4" s="68">
        <v>3363292</v>
      </c>
      <c r="F4" s="68">
        <v>3335266</v>
      </c>
      <c r="G4" s="68">
        <v>3272671</v>
      </c>
      <c r="H4" s="68">
        <v>3357788</v>
      </c>
    </row>
    <row r="5" spans="1:8" x14ac:dyDescent="0.3">
      <c r="A5" s="69" t="s">
        <v>40</v>
      </c>
      <c r="B5" s="68">
        <v>1911258</v>
      </c>
      <c r="C5" s="68">
        <v>1927917</v>
      </c>
      <c r="D5" s="68">
        <v>1954587</v>
      </c>
      <c r="E5" s="68">
        <v>1906842</v>
      </c>
      <c r="F5" s="68">
        <v>1798398</v>
      </c>
      <c r="G5" s="68">
        <v>1689250</v>
      </c>
      <c r="H5" s="68">
        <v>1673150</v>
      </c>
    </row>
    <row r="6" spans="1:8" x14ac:dyDescent="0.3">
      <c r="A6" s="69" t="s">
        <v>5</v>
      </c>
      <c r="B6" s="68">
        <v>3353647</v>
      </c>
      <c r="C6" s="68">
        <v>3923516</v>
      </c>
      <c r="D6" s="68">
        <v>4741271</v>
      </c>
      <c r="E6" s="68">
        <v>5751861</v>
      </c>
      <c r="F6" s="68">
        <v>5810012</v>
      </c>
      <c r="G6" s="68">
        <v>5819205</v>
      </c>
      <c r="H6" s="68">
        <v>6011209</v>
      </c>
    </row>
    <row r="7" spans="1:8" x14ac:dyDescent="0.3">
      <c r="A7" s="69" t="s">
        <v>33</v>
      </c>
      <c r="B7" s="68">
        <v>835834</v>
      </c>
      <c r="C7" s="68">
        <v>839726</v>
      </c>
      <c r="D7" s="68">
        <v>809158</v>
      </c>
      <c r="E7" s="68">
        <v>761203</v>
      </c>
      <c r="F7" s="68">
        <v>751059</v>
      </c>
      <c r="G7" s="68">
        <v>753480</v>
      </c>
      <c r="H7" s="68">
        <v>746287</v>
      </c>
    </row>
    <row r="8" spans="1:8" x14ac:dyDescent="0.3">
      <c r="A8" s="69" t="s">
        <v>34</v>
      </c>
      <c r="B8" s="68">
        <v>3718738</v>
      </c>
      <c r="C8" s="68">
        <v>4222142</v>
      </c>
      <c r="D8" s="68">
        <v>4714923</v>
      </c>
      <c r="E8" s="68">
        <v>5183766</v>
      </c>
      <c r="F8" s="68">
        <v>5407580</v>
      </c>
      <c r="G8" s="68">
        <v>5373664</v>
      </c>
      <c r="H8" s="68">
        <v>5500762</v>
      </c>
    </row>
    <row r="9" spans="1:8" x14ac:dyDescent="0.3">
      <c r="A9" s="69" t="s">
        <v>37</v>
      </c>
      <c r="B9" s="68">
        <v>2373669</v>
      </c>
      <c r="C9" s="68">
        <v>2626608</v>
      </c>
      <c r="D9" s="68">
        <v>2757039</v>
      </c>
      <c r="E9" s="68">
        <v>3035160</v>
      </c>
      <c r="F9" s="68">
        <v>2936330</v>
      </c>
      <c r="G9" s="68">
        <v>2745600</v>
      </c>
      <c r="H9" s="68">
        <v>2620047</v>
      </c>
    </row>
    <row r="10" spans="1:8" x14ac:dyDescent="0.3">
      <c r="A10" s="69" t="s">
        <v>35</v>
      </c>
      <c r="B10" s="68">
        <v>38078</v>
      </c>
      <c r="C10" s="68">
        <v>36433</v>
      </c>
      <c r="D10" s="68">
        <v>34383</v>
      </c>
      <c r="E10" s="68">
        <v>32480</v>
      </c>
      <c r="F10" s="68">
        <v>31154</v>
      </c>
      <c r="G10" s="68">
        <v>29776</v>
      </c>
      <c r="H10" s="68">
        <v>28569</v>
      </c>
    </row>
    <row r="11" spans="1:8" x14ac:dyDescent="0.3">
      <c r="A11" s="69" t="s">
        <v>25</v>
      </c>
      <c r="B11" s="68">
        <v>329363</v>
      </c>
      <c r="C11" s="68">
        <v>331965</v>
      </c>
      <c r="D11" s="68">
        <v>352743</v>
      </c>
      <c r="E11" s="68">
        <v>379879</v>
      </c>
      <c r="F11" s="68">
        <v>401045</v>
      </c>
      <c r="G11" s="68">
        <v>410883</v>
      </c>
      <c r="H11" s="68">
        <v>446184</v>
      </c>
    </row>
    <row r="12" spans="1:8" x14ac:dyDescent="0.3">
      <c r="A12" s="69" t="s">
        <v>26</v>
      </c>
      <c r="B12" s="68">
        <v>6213678</v>
      </c>
      <c r="C12" s="68">
        <v>7346756</v>
      </c>
      <c r="D12" s="68">
        <v>8531553</v>
      </c>
      <c r="E12" s="68">
        <v>10073905</v>
      </c>
      <c r="F12" s="68">
        <v>10906542</v>
      </c>
      <c r="G12" s="68">
        <v>11546853</v>
      </c>
      <c r="H12" s="68">
        <v>11648980</v>
      </c>
    </row>
    <row r="13" spans="1:8" x14ac:dyDescent="0.3">
      <c r="A13" s="69" t="s">
        <v>27</v>
      </c>
      <c r="B13" s="68">
        <v>2127827</v>
      </c>
      <c r="C13" s="68">
        <v>2195331</v>
      </c>
      <c r="D13" s="68">
        <v>2153469</v>
      </c>
      <c r="E13" s="68">
        <v>2131651</v>
      </c>
      <c r="F13" s="68">
        <v>2219895</v>
      </c>
      <c r="G13" s="68">
        <v>2243361</v>
      </c>
      <c r="H13" s="68">
        <v>2254381</v>
      </c>
    </row>
    <row r="14" spans="1:8" x14ac:dyDescent="0.3">
      <c r="A14" s="69" t="s">
        <v>36</v>
      </c>
      <c r="B14" s="68">
        <v>3292652</v>
      </c>
      <c r="C14" s="68">
        <v>3719670</v>
      </c>
      <c r="D14" s="68">
        <v>4193187</v>
      </c>
      <c r="E14" s="68">
        <v>4586119</v>
      </c>
      <c r="F14" s="68">
        <v>4812653</v>
      </c>
      <c r="G14" s="68">
        <v>5047878</v>
      </c>
      <c r="H14" s="68">
        <v>5349595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C2D9-25FC-4A55-A72A-DCF544F33D0E}">
  <dimension ref="A1:BI29"/>
  <sheetViews>
    <sheetView zoomScale="86" workbookViewId="0">
      <selection activeCell="G52" sqref="G52"/>
    </sheetView>
  </sheetViews>
  <sheetFormatPr baseColWidth="10" defaultRowHeight="14.4" x14ac:dyDescent="0.3"/>
  <cols>
    <col min="1" max="1" width="28.6640625" bestFit="1" customWidth="1"/>
  </cols>
  <sheetData>
    <row r="1" spans="1:61" ht="46.8" x14ac:dyDescent="0.3">
      <c r="A1" s="16" t="s">
        <v>396</v>
      </c>
      <c r="B1" s="17">
        <v>44197</v>
      </c>
      <c r="C1" s="17">
        <v>44228</v>
      </c>
      <c r="D1" s="17">
        <v>44256</v>
      </c>
      <c r="E1" s="17">
        <v>44287</v>
      </c>
      <c r="F1" s="17">
        <v>44317</v>
      </c>
      <c r="G1" s="17">
        <v>44348</v>
      </c>
      <c r="H1" s="17">
        <v>44378</v>
      </c>
      <c r="I1" s="17">
        <v>44409</v>
      </c>
      <c r="J1" s="17">
        <v>44440</v>
      </c>
      <c r="K1" s="17">
        <v>44470</v>
      </c>
      <c r="L1" s="17">
        <v>44501</v>
      </c>
      <c r="M1" s="17">
        <v>44531</v>
      </c>
      <c r="N1" s="18">
        <v>44562</v>
      </c>
      <c r="O1" s="18">
        <v>44593</v>
      </c>
      <c r="P1" s="18">
        <v>44621</v>
      </c>
      <c r="Q1" s="18">
        <v>44652</v>
      </c>
      <c r="R1" s="18">
        <v>44682</v>
      </c>
      <c r="S1" s="18">
        <v>44713</v>
      </c>
      <c r="T1" s="18">
        <v>44743</v>
      </c>
      <c r="U1" s="18">
        <v>44774</v>
      </c>
      <c r="V1" s="18">
        <v>44805</v>
      </c>
      <c r="W1" s="18">
        <v>44835</v>
      </c>
      <c r="X1" s="18">
        <v>44866</v>
      </c>
      <c r="Y1" s="18">
        <v>44896</v>
      </c>
      <c r="Z1" s="19">
        <v>44927</v>
      </c>
      <c r="AA1" s="19">
        <v>44958</v>
      </c>
      <c r="AB1" s="19">
        <v>44986</v>
      </c>
      <c r="AC1" s="19">
        <v>45017</v>
      </c>
      <c r="AD1" s="19">
        <v>45047</v>
      </c>
      <c r="AE1" s="19">
        <v>45078</v>
      </c>
      <c r="AF1" s="19">
        <v>45108</v>
      </c>
      <c r="AG1" s="19">
        <v>45139</v>
      </c>
      <c r="AH1" s="19">
        <v>45170</v>
      </c>
      <c r="AI1" s="19">
        <v>45200</v>
      </c>
      <c r="AJ1" s="19">
        <v>45231</v>
      </c>
      <c r="AK1" s="20">
        <v>45261</v>
      </c>
      <c r="AL1" s="21">
        <v>45292</v>
      </c>
      <c r="AM1" s="21">
        <v>45323</v>
      </c>
      <c r="AN1" s="21">
        <v>45352</v>
      </c>
      <c r="AO1" s="21">
        <v>45383</v>
      </c>
      <c r="AP1" s="21">
        <v>45413</v>
      </c>
      <c r="AQ1" s="21">
        <v>45444</v>
      </c>
      <c r="AR1" s="21">
        <v>45474</v>
      </c>
      <c r="AS1" s="21">
        <v>45505</v>
      </c>
      <c r="AT1" s="21">
        <v>45536</v>
      </c>
      <c r="AU1" s="21">
        <v>45566</v>
      </c>
      <c r="AV1" s="21">
        <v>45597</v>
      </c>
      <c r="AW1" s="21">
        <v>45627</v>
      </c>
      <c r="AX1" s="22">
        <v>45658</v>
      </c>
      <c r="AY1" s="22">
        <v>45689</v>
      </c>
      <c r="AZ1" s="22">
        <v>45717</v>
      </c>
      <c r="BA1" s="22">
        <v>45748</v>
      </c>
      <c r="BB1" s="22">
        <v>45778</v>
      </c>
      <c r="BC1" s="22">
        <v>45809</v>
      </c>
      <c r="BD1" s="22">
        <v>45839</v>
      </c>
      <c r="BE1" s="22">
        <v>45870</v>
      </c>
      <c r="BF1" s="22">
        <v>45901</v>
      </c>
      <c r="BG1" s="22">
        <v>45931</v>
      </c>
      <c r="BH1" s="22">
        <v>45962</v>
      </c>
      <c r="BI1" s="22">
        <v>45992</v>
      </c>
    </row>
    <row r="2" spans="1:61" x14ac:dyDescent="0.3">
      <c r="A2" s="23" t="s">
        <v>397</v>
      </c>
      <c r="B2" s="24">
        <v>2541.6201809999998</v>
      </c>
      <c r="C2" s="24">
        <v>2853.2238930000003</v>
      </c>
      <c r="D2" s="24">
        <v>3582.1970970000002</v>
      </c>
      <c r="E2" s="24">
        <v>3380.4897059999998</v>
      </c>
      <c r="F2" s="24">
        <v>2073.4054809999998</v>
      </c>
      <c r="G2" s="24">
        <v>2673.7740739999999</v>
      </c>
      <c r="H2" s="24">
        <v>3230.1782369999996</v>
      </c>
      <c r="I2" s="24">
        <v>3334.3394780000003</v>
      </c>
      <c r="J2" s="24">
        <v>3750.2018689999995</v>
      </c>
      <c r="K2" s="24">
        <v>3388.686290000001</v>
      </c>
      <c r="L2" s="24">
        <v>3829.0298199999993</v>
      </c>
      <c r="M2" s="24">
        <v>3394.5646030000003</v>
      </c>
      <c r="N2" s="24">
        <v>2721.6361799999995</v>
      </c>
      <c r="O2" s="24">
        <v>3157.7965250000002</v>
      </c>
      <c r="P2" s="24">
        <v>3728.1185850000002</v>
      </c>
      <c r="Q2" s="24">
        <v>2977.9388009999998</v>
      </c>
      <c r="R2" s="24">
        <v>3739.7985099999996</v>
      </c>
      <c r="S2" s="24">
        <v>3055.7266179999988</v>
      </c>
      <c r="T2" s="24">
        <v>2942.9303300000001</v>
      </c>
      <c r="U2" s="24">
        <v>3174.2189301799999</v>
      </c>
      <c r="V2" s="24">
        <v>2764.1117787500002</v>
      </c>
      <c r="W2" s="24">
        <v>2316.3618140000008</v>
      </c>
      <c r="X2" s="24">
        <v>2083.14927485</v>
      </c>
      <c r="Y2" s="24">
        <v>2635.3398274000001</v>
      </c>
      <c r="Z2" s="24">
        <v>2401.6324190999999</v>
      </c>
      <c r="AA2" s="24">
        <v>2075.6987782499996</v>
      </c>
      <c r="AB2" s="24">
        <v>2628.8482355800002</v>
      </c>
      <c r="AC2" s="24">
        <v>1813.2789488000001</v>
      </c>
      <c r="AD2" s="24">
        <v>2200.22784</v>
      </c>
      <c r="AE2" s="24">
        <v>2306.58021405</v>
      </c>
      <c r="AF2" s="24">
        <v>2221.8606552500005</v>
      </c>
      <c r="AG2" s="24">
        <v>2366.3302810399996</v>
      </c>
      <c r="AH2" s="24">
        <v>1923.0617642999998</v>
      </c>
      <c r="AI2" s="24">
        <v>2105.6643414</v>
      </c>
      <c r="AJ2" s="24">
        <v>2580.1679199400005</v>
      </c>
      <c r="AK2" s="25">
        <v>2676.3580369000001</v>
      </c>
      <c r="AL2" s="24">
        <v>2661.54331615</v>
      </c>
      <c r="AM2" s="24">
        <v>2887.4064081900015</v>
      </c>
      <c r="AN2" s="24">
        <v>2050.0720000000001</v>
      </c>
      <c r="AO2" s="24">
        <v>3098.2129912599999</v>
      </c>
      <c r="AP2" s="24">
        <v>2742.9007563499995</v>
      </c>
      <c r="AQ2" s="24">
        <v>2526.1247214799996</v>
      </c>
      <c r="AR2" s="24">
        <v>3465.5067249999997</v>
      </c>
      <c r="AS2" s="24">
        <v>3465.1917065100001</v>
      </c>
      <c r="AT2" s="24">
        <v>3362.9942510000001</v>
      </c>
      <c r="AU2" s="24">
        <v>3510.4625121200006</v>
      </c>
      <c r="AV2" s="24">
        <v>2715.07239037</v>
      </c>
      <c r="AW2" s="24">
        <v>2495.8949345399992</v>
      </c>
      <c r="AX2" s="24">
        <v>2953.9540000000002</v>
      </c>
      <c r="AY2" s="24">
        <v>2862.3549499999999</v>
      </c>
      <c r="AZ2" s="24">
        <v>3155.1969589999994</v>
      </c>
      <c r="BA2" s="24">
        <v>3386.1473600000008</v>
      </c>
      <c r="BB2" s="24">
        <v>3919.2771230000003</v>
      </c>
      <c r="BC2" s="24">
        <v>3114.8409999999999</v>
      </c>
      <c r="BD2" s="24">
        <v>3764.4850000000001</v>
      </c>
      <c r="BE2" s="24">
        <v>3650.2860000000001</v>
      </c>
      <c r="BF2" s="24">
        <v>3786.6489999999999</v>
      </c>
      <c r="BG2" s="24">
        <v>3686.5320000000002</v>
      </c>
      <c r="BH2" s="24">
        <v>3475.9250000000002</v>
      </c>
      <c r="BI2" s="24">
        <v>3652.7420000000002</v>
      </c>
    </row>
    <row r="3" spans="1:61" x14ac:dyDescent="0.3">
      <c r="A3" s="23" t="s">
        <v>398</v>
      </c>
      <c r="B3" s="26">
        <v>1885.201965</v>
      </c>
      <c r="C3" s="26">
        <v>2222.2981680000003</v>
      </c>
      <c r="D3" s="26">
        <v>2371.0415800000001</v>
      </c>
      <c r="E3" s="26">
        <v>2431.3118769999996</v>
      </c>
      <c r="F3" s="26">
        <v>1767.7415930000002</v>
      </c>
      <c r="G3" s="26">
        <v>1999.2929790000001</v>
      </c>
      <c r="H3" s="26">
        <v>2139.0306770000002</v>
      </c>
      <c r="I3" s="26">
        <v>2275.4613439999998</v>
      </c>
      <c r="J3" s="26">
        <v>2359.807229</v>
      </c>
      <c r="K3" s="26">
        <v>2420.272457</v>
      </c>
      <c r="L3" s="26">
        <v>2428.6231290000001</v>
      </c>
      <c r="M3" s="26">
        <v>2023.9477124399998</v>
      </c>
      <c r="N3" s="26">
        <v>2147.7489519999999</v>
      </c>
      <c r="O3" s="26">
        <v>2302.651069</v>
      </c>
      <c r="P3" s="26">
        <v>2357.1951009999998</v>
      </c>
      <c r="Q3" s="26">
        <v>2392.7545690000002</v>
      </c>
      <c r="R3" s="26">
        <v>2644.6807080000003</v>
      </c>
      <c r="S3" s="26">
        <v>2392.8305399999999</v>
      </c>
      <c r="T3" s="26">
        <v>2193.2497360000002</v>
      </c>
      <c r="U3" s="26">
        <v>2477.1180406100002</v>
      </c>
      <c r="V3" s="26">
        <v>2237.3710576800004</v>
      </c>
      <c r="W3" s="26">
        <v>2096.9630115099985</v>
      </c>
      <c r="X3" s="26">
        <v>2042.3783616400019</v>
      </c>
      <c r="Y3" s="26">
        <v>2221.1752633800056</v>
      </c>
      <c r="Z3" s="26">
        <v>1991.1257261899991</v>
      </c>
      <c r="AA3" s="26">
        <v>1946.2380211800009</v>
      </c>
      <c r="AB3" s="26">
        <v>2143.8547448900026</v>
      </c>
      <c r="AC3" s="26">
        <v>1788.1877273300008</v>
      </c>
      <c r="AD3" s="26">
        <v>1966.530894209995</v>
      </c>
      <c r="AE3" s="26">
        <v>2035.1762800000033</v>
      </c>
      <c r="AF3" s="26">
        <v>2026.1411855799979</v>
      </c>
      <c r="AG3" s="26">
        <v>2111.1711588499966</v>
      </c>
      <c r="AH3" s="26">
        <v>1916.8687212499999</v>
      </c>
      <c r="AI3" s="26">
        <v>1789.62312726</v>
      </c>
      <c r="AJ3" s="26">
        <v>1973.84239379</v>
      </c>
      <c r="AK3" s="27">
        <v>2010.8517058499999</v>
      </c>
      <c r="AL3" s="26">
        <v>1957.1239547600001</v>
      </c>
      <c r="AM3" s="26">
        <v>2066.1104901099998</v>
      </c>
      <c r="AN3" s="26">
        <v>2006.75</v>
      </c>
      <c r="AO3" s="26">
        <v>2393.4985609300002</v>
      </c>
      <c r="AP3" s="26">
        <v>2220.68278710001</v>
      </c>
      <c r="AQ3" s="26">
        <v>1965.7291761500001</v>
      </c>
      <c r="AR3" s="26">
        <v>2435.0378020500057</v>
      </c>
      <c r="AS3" s="26">
        <v>2329.1443456799998</v>
      </c>
      <c r="AT3" s="26">
        <v>2379.9495484700201</v>
      </c>
      <c r="AU3" s="26">
        <v>2408.9850119500002</v>
      </c>
      <c r="AV3" s="26">
        <v>2121.2541961799998</v>
      </c>
      <c r="AW3" s="26">
        <v>2159.2654271599999</v>
      </c>
      <c r="AX3" s="26">
        <v>2150.3975830899999</v>
      </c>
      <c r="AY3" s="26">
        <v>2245.9400610799898</v>
      </c>
      <c r="AZ3" s="26">
        <v>2141.5058228100002</v>
      </c>
      <c r="BA3" s="26">
        <v>2315.6285275099999</v>
      </c>
      <c r="BB3" s="26">
        <v>2467.97992105</v>
      </c>
      <c r="BC3" s="24">
        <v>2367.2080000000001</v>
      </c>
      <c r="BD3" s="26">
        <v>2853.3040000000001</v>
      </c>
      <c r="BE3" s="26">
        <v>2513.15</v>
      </c>
      <c r="BF3" s="26">
        <v>2591.9989999999998</v>
      </c>
      <c r="BG3" s="26">
        <v>2470.9580000000001</v>
      </c>
      <c r="BH3" s="26">
        <v>2561.3510000000001</v>
      </c>
      <c r="BI3" s="26">
        <v>2729.1480000000001</v>
      </c>
    </row>
    <row r="4" spans="1:61" x14ac:dyDescent="0.3">
      <c r="A4" s="28" t="s">
        <v>399</v>
      </c>
      <c r="B4" s="29">
        <v>656.4182159999998</v>
      </c>
      <c r="C4" s="29">
        <v>630.92572500000006</v>
      </c>
      <c r="D4" s="29">
        <v>1211.1555170000001</v>
      </c>
      <c r="E4" s="29">
        <v>949.1778290000002</v>
      </c>
      <c r="F4" s="29">
        <v>305.66388799999959</v>
      </c>
      <c r="G4" s="29">
        <v>674.48109499999987</v>
      </c>
      <c r="H4" s="29">
        <v>1091.1475599999994</v>
      </c>
      <c r="I4" s="29">
        <v>1058.8781340000005</v>
      </c>
      <c r="J4" s="29">
        <v>1390.3946399999995</v>
      </c>
      <c r="K4" s="29">
        <v>968.41383300000098</v>
      </c>
      <c r="L4" s="29">
        <v>1400.4066909999992</v>
      </c>
      <c r="M4" s="29">
        <v>1370.6168905600005</v>
      </c>
      <c r="N4" s="29">
        <v>573.8872279999996</v>
      </c>
      <c r="O4" s="29">
        <v>855.14545600000019</v>
      </c>
      <c r="P4" s="29">
        <v>1370.9234840000004</v>
      </c>
      <c r="Q4" s="29">
        <v>585.18423199999961</v>
      </c>
      <c r="R4" s="29">
        <v>1095.1178019999993</v>
      </c>
      <c r="S4" s="29">
        <v>662.89607799999885</v>
      </c>
      <c r="T4" s="29">
        <v>749.68059399999993</v>
      </c>
      <c r="U4" s="29">
        <v>697.10088956999971</v>
      </c>
      <c r="V4" s="29">
        <v>526.74072106999984</v>
      </c>
      <c r="W4" s="29">
        <v>219.39880249000225</v>
      </c>
      <c r="X4" s="29">
        <v>40.770913209998071</v>
      </c>
      <c r="Y4" s="29">
        <v>414.16456401999449</v>
      </c>
      <c r="Z4" s="29">
        <v>410.50669291000077</v>
      </c>
      <c r="AA4" s="29">
        <v>129.46075706999864</v>
      </c>
      <c r="AB4" s="29">
        <v>484.99349068999754</v>
      </c>
      <c r="AC4" s="29">
        <v>25.091221469999255</v>
      </c>
      <c r="AD4" s="29">
        <v>233.69694579000497</v>
      </c>
      <c r="AE4" s="29">
        <v>271.40393404999668</v>
      </c>
      <c r="AF4" s="29">
        <v>195.71946967000258</v>
      </c>
      <c r="AG4" s="29">
        <v>255.15912219000302</v>
      </c>
      <c r="AH4" s="29">
        <v>6.1930430499999147</v>
      </c>
      <c r="AI4" s="29">
        <v>316.04121413999997</v>
      </c>
      <c r="AJ4" s="29">
        <v>606.32552615000054</v>
      </c>
      <c r="AK4" s="30">
        <v>665.5063310500002</v>
      </c>
      <c r="AL4" s="29">
        <v>704.41936138999995</v>
      </c>
      <c r="AM4" s="29">
        <v>821.29591808000168</v>
      </c>
      <c r="AN4" s="29">
        <v>43.322000000000116</v>
      </c>
      <c r="AO4" s="29">
        <v>704.71443032999969</v>
      </c>
      <c r="AP4" s="29">
        <v>522.21796924998944</v>
      </c>
      <c r="AQ4" s="29">
        <v>560.39554532999955</v>
      </c>
      <c r="AR4" s="29">
        <v>1030.4689229499941</v>
      </c>
      <c r="AS4" s="29">
        <v>1136.0473608300003</v>
      </c>
      <c r="AT4" s="29">
        <v>983.04470252997999</v>
      </c>
      <c r="AU4" s="29">
        <v>1101.4775001700004</v>
      </c>
      <c r="AV4" s="29">
        <v>593.81819419000021</v>
      </c>
      <c r="AW4" s="29">
        <v>336.62950737999927</v>
      </c>
      <c r="AX4" s="31">
        <v>803.55641691000028</v>
      </c>
      <c r="AY4" s="31">
        <v>616.41488892001007</v>
      </c>
      <c r="AZ4" s="31">
        <v>1013.6911361899993</v>
      </c>
      <c r="BA4" s="31">
        <v>1070.5188324900009</v>
      </c>
      <c r="BB4" s="31">
        <v>1451.2972019500003</v>
      </c>
      <c r="BC4" s="31">
        <v>747.63299999999981</v>
      </c>
      <c r="BD4" s="31">
        <v>911.18100000000004</v>
      </c>
      <c r="BE4" s="31">
        <v>1137.136</v>
      </c>
      <c r="BF4" s="31">
        <v>1194.6500000000001</v>
      </c>
      <c r="BG4" s="31">
        <v>1215.5740000000001</v>
      </c>
      <c r="BH4" s="31">
        <v>914.57400000000007</v>
      </c>
      <c r="BI4" s="31">
        <v>923.59400000000005</v>
      </c>
    </row>
    <row r="5" spans="1:61" x14ac:dyDescent="0.3">
      <c r="A5" s="23" t="s">
        <v>400</v>
      </c>
      <c r="B5" s="24">
        <v>219.41839610170013</v>
      </c>
      <c r="C5" s="24">
        <v>445.63757299999997</v>
      </c>
      <c r="D5" s="24">
        <v>241.155473</v>
      </c>
      <c r="E5" s="24">
        <v>269.87877399999996</v>
      </c>
      <c r="F5" s="24">
        <v>260.42957000000001</v>
      </c>
      <c r="G5" s="24">
        <v>-90.191337000000004</v>
      </c>
      <c r="H5" s="24">
        <v>331.21014183</v>
      </c>
      <c r="I5" s="24">
        <v>255.91438429000002</v>
      </c>
      <c r="J5" s="24">
        <v>-94.800501110000013</v>
      </c>
      <c r="K5" s="24">
        <v>86.136185999999995</v>
      </c>
      <c r="L5" s="24">
        <v>271.00341499999996</v>
      </c>
      <c r="M5" s="24">
        <v>252.88938258000005</v>
      </c>
      <c r="N5" s="26">
        <v>91.064111000000011</v>
      </c>
      <c r="O5" s="26">
        <v>57.787386000000005</v>
      </c>
      <c r="P5" s="26">
        <v>843.46615605</v>
      </c>
      <c r="Q5" s="26">
        <v>133.85701197</v>
      </c>
      <c r="R5" s="26">
        <v>-6.342214700000004</v>
      </c>
      <c r="S5" s="26">
        <v>-1.2339733799999999</v>
      </c>
      <c r="T5" s="26">
        <v>493.85245877999995</v>
      </c>
      <c r="U5" s="26">
        <v>66.185598049999996</v>
      </c>
      <c r="V5" s="26">
        <v>134.41535911999998</v>
      </c>
      <c r="W5" s="26">
        <v>33.787341870000006</v>
      </c>
      <c r="X5" s="26">
        <v>-46.04426514</v>
      </c>
      <c r="Y5" s="26">
        <v>3669.2170142</v>
      </c>
      <c r="Z5" s="26">
        <v>2490.0258758800001</v>
      </c>
      <c r="AA5" s="26">
        <v>42.146618060000002</v>
      </c>
      <c r="AB5" s="26">
        <v>-51.582598570000002</v>
      </c>
      <c r="AC5" s="26">
        <v>143.82397340000003</v>
      </c>
      <c r="AD5" s="26">
        <v>59.460185059999993</v>
      </c>
      <c r="AE5" s="26">
        <v>-5.9233523699999999</v>
      </c>
      <c r="AF5" s="26">
        <v>-16.607679260000001</v>
      </c>
      <c r="AG5" s="26">
        <v>73.684259209999993</v>
      </c>
      <c r="AH5" s="26">
        <v>15.82156691</v>
      </c>
      <c r="AI5" s="26">
        <v>-11.302039360000002</v>
      </c>
      <c r="AJ5" s="26">
        <v>103.42927998</v>
      </c>
      <c r="AK5" s="27">
        <v>234.29212636999998</v>
      </c>
      <c r="AL5" s="26">
        <v>125.44912803999999</v>
      </c>
      <c r="AM5" s="26">
        <v>209.47025467999975</v>
      </c>
      <c r="AN5" s="26">
        <v>1142.09744546</v>
      </c>
      <c r="AO5" s="26">
        <v>131.89321951000002</v>
      </c>
      <c r="AP5" s="26">
        <v>41.457441210000006</v>
      </c>
      <c r="AQ5" s="26">
        <v>372.94676199000003</v>
      </c>
      <c r="AR5" s="26">
        <v>-95.659568109999995</v>
      </c>
      <c r="AS5" s="26">
        <v>32.304733040000002</v>
      </c>
      <c r="AT5" s="26">
        <v>-107.67212257999999</v>
      </c>
      <c r="AU5" s="26">
        <v>322.07638304000005</v>
      </c>
      <c r="AV5" s="26">
        <v>580.986402</v>
      </c>
      <c r="AW5" s="26">
        <v>202.5999697</v>
      </c>
      <c r="AX5" s="26">
        <v>375.87134900000001</v>
      </c>
      <c r="AY5" s="26">
        <v>139.14873300000002</v>
      </c>
      <c r="AZ5" s="26">
        <v>59.756731000000002</v>
      </c>
      <c r="BA5" s="26">
        <v>-57.491921000000005</v>
      </c>
      <c r="BB5" s="26">
        <v>-79.408439000000001</v>
      </c>
      <c r="BC5" s="26">
        <v>-11.080112999999999</v>
      </c>
      <c r="BD5" s="26">
        <v>54.760775000000002</v>
      </c>
      <c r="BE5" s="26">
        <v>208.867164</v>
      </c>
      <c r="BF5" s="26">
        <v>854.11157300000002</v>
      </c>
      <c r="BG5" s="26">
        <v>130.03041099999999</v>
      </c>
      <c r="BH5" s="26">
        <v>602.85075699999993</v>
      </c>
      <c r="BI5" s="26">
        <v>1107.9910460000001</v>
      </c>
    </row>
    <row r="6" spans="1:61" x14ac:dyDescent="0.3">
      <c r="A6" s="23" t="s">
        <v>401</v>
      </c>
      <c r="B6" s="26">
        <v>729.78719615610021</v>
      </c>
      <c r="C6" s="26">
        <v>580.4925137378001</v>
      </c>
      <c r="D6" s="26">
        <v>267.82917999999995</v>
      </c>
      <c r="E6" s="26">
        <v>391.97066699999999</v>
      </c>
      <c r="F6" s="26">
        <v>421.90136000000001</v>
      </c>
      <c r="G6" s="26">
        <v>534.90492900000004</v>
      </c>
      <c r="H6" s="26">
        <v>410.501015</v>
      </c>
      <c r="I6" s="26">
        <v>463.39072099999998</v>
      </c>
      <c r="J6" s="26">
        <v>419.29546799999997</v>
      </c>
      <c r="K6" s="26">
        <v>594.72489699999994</v>
      </c>
      <c r="L6" s="26">
        <v>689.64258499999994</v>
      </c>
      <c r="M6" s="26">
        <v>4986.4468429999997</v>
      </c>
      <c r="N6" s="26">
        <v>754.99348399999997</v>
      </c>
      <c r="O6" s="26">
        <v>457.54356199999995</v>
      </c>
      <c r="P6" s="26">
        <v>787.90828799999997</v>
      </c>
      <c r="Q6" s="26">
        <v>702.44753900000001</v>
      </c>
      <c r="R6" s="26">
        <v>-78.882277000000059</v>
      </c>
      <c r="S6" s="26">
        <v>559.18445599999995</v>
      </c>
      <c r="T6" s="26">
        <v>740.24023199999999</v>
      </c>
      <c r="U6" s="26">
        <v>435.85507402000007</v>
      </c>
      <c r="V6" s="26">
        <v>181.17732601</v>
      </c>
      <c r="W6" s="26">
        <v>821.49130610999998</v>
      </c>
      <c r="X6" s="26">
        <v>361.15106672000007</v>
      </c>
      <c r="Y6" s="26">
        <v>1025.69026057</v>
      </c>
      <c r="Z6" s="24">
        <v>1464.8190178100001</v>
      </c>
      <c r="AA6" s="24">
        <v>794.04419111999994</v>
      </c>
      <c r="AB6" s="24">
        <v>604.14323879999995</v>
      </c>
      <c r="AC6" s="24">
        <v>891.12699978000001</v>
      </c>
      <c r="AD6" s="24">
        <v>499.76995989000005</v>
      </c>
      <c r="AE6" s="24">
        <v>789.54865507</v>
      </c>
      <c r="AF6" s="24">
        <v>494.25364577999994</v>
      </c>
      <c r="AG6" s="24">
        <v>-246.80859668999997</v>
      </c>
      <c r="AH6" s="24">
        <v>425.06926546</v>
      </c>
      <c r="AI6" s="24">
        <v>474.16782056</v>
      </c>
      <c r="AJ6" s="24">
        <v>759.28836352999997</v>
      </c>
      <c r="AK6" s="25">
        <v>267.61442285999999</v>
      </c>
      <c r="AL6" s="24">
        <v>596.73208735000003</v>
      </c>
      <c r="AM6" s="24">
        <v>231.92661928000001</v>
      </c>
      <c r="AN6" s="24">
        <v>559.60239821000005</v>
      </c>
      <c r="AO6" s="24">
        <v>385.62269029999999</v>
      </c>
      <c r="AP6" s="24">
        <v>827.54783927000005</v>
      </c>
      <c r="AQ6" s="24">
        <v>558.99385986000004</v>
      </c>
      <c r="AR6" s="24">
        <v>309.50501130999999</v>
      </c>
      <c r="AS6" s="24">
        <v>649.68928223</v>
      </c>
      <c r="AT6" s="24">
        <v>672.20328333999998</v>
      </c>
      <c r="AU6" s="24">
        <v>87.727614799999998</v>
      </c>
      <c r="AV6" s="24">
        <v>417.37544016999999</v>
      </c>
      <c r="AW6" s="24">
        <v>459.13796774000002</v>
      </c>
      <c r="AX6" s="24">
        <v>593.08699999999999</v>
      </c>
      <c r="AY6" s="24">
        <v>323.488</v>
      </c>
      <c r="AZ6" s="24">
        <v>494.74299999999999</v>
      </c>
      <c r="BA6" s="24">
        <v>385.00700000000001</v>
      </c>
      <c r="BB6" s="24">
        <v>336.62</v>
      </c>
      <c r="BC6" s="24">
        <v>427.44400000000002</v>
      </c>
      <c r="BD6" s="24">
        <v>365.60899999999998</v>
      </c>
      <c r="BE6" s="24">
        <v>845.11099999999999</v>
      </c>
      <c r="BF6" s="24">
        <v>568.57399999999996</v>
      </c>
      <c r="BG6" s="24">
        <v>834.75199999999995</v>
      </c>
      <c r="BH6" s="24">
        <v>742.423</v>
      </c>
      <c r="BI6" s="24">
        <v>399.26600000000002</v>
      </c>
    </row>
    <row r="7" spans="1:61" x14ac:dyDescent="0.3">
      <c r="A7" s="23" t="s">
        <v>402</v>
      </c>
      <c r="B7" s="26">
        <v>3.0212150000000002</v>
      </c>
      <c r="C7" s="26">
        <v>0.35</v>
      </c>
      <c r="D7" s="26">
        <v>0.36049999999999999</v>
      </c>
      <c r="E7" s="26">
        <v>0.36049999999999999</v>
      </c>
      <c r="F7" s="26">
        <v>0.36049999999999999</v>
      </c>
      <c r="G7" s="26">
        <v>0.47860900000000001</v>
      </c>
      <c r="H7" s="26">
        <v>2.3972570000000002</v>
      </c>
      <c r="I7" s="26">
        <v>0.6855</v>
      </c>
      <c r="J7" s="26">
        <v>1.8605</v>
      </c>
      <c r="K7" s="26">
        <v>4.4809920000000005</v>
      </c>
      <c r="L7" s="26">
        <v>5.3005000000000004</v>
      </c>
      <c r="M7" s="26">
        <v>3.6204999999999998</v>
      </c>
      <c r="N7" s="26">
        <v>3.3605</v>
      </c>
      <c r="O7" s="26">
        <v>1.931789</v>
      </c>
      <c r="P7" s="26">
        <v>1.7404359999999999</v>
      </c>
      <c r="Q7" s="26">
        <v>4.1681409999999994</v>
      </c>
      <c r="R7" s="26">
        <v>4.5444319999999996</v>
      </c>
      <c r="S7" s="26">
        <v>4.0849169999999999</v>
      </c>
      <c r="T7" s="26">
        <v>2.444585</v>
      </c>
      <c r="U7" s="26">
        <v>0.378525</v>
      </c>
      <c r="V7" s="26">
        <v>1.68</v>
      </c>
      <c r="W7" s="26">
        <v>0</v>
      </c>
      <c r="X7" s="26">
        <v>2.2974000000000001</v>
      </c>
      <c r="Y7" s="26">
        <v>0</v>
      </c>
      <c r="Z7" s="24">
        <v>0.378525</v>
      </c>
      <c r="AA7" s="24">
        <v>0.378525</v>
      </c>
      <c r="AB7" s="24">
        <v>0.40880700000000003</v>
      </c>
      <c r="AC7" s="24">
        <v>0.78733200000000003</v>
      </c>
      <c r="AD7" s="24">
        <v>0.40880700000000003</v>
      </c>
      <c r="AE7" s="24">
        <v>1.508807</v>
      </c>
      <c r="AF7" s="24">
        <v>0.40880700000000003</v>
      </c>
      <c r="AG7" s="24">
        <v>0.40880700000000003</v>
      </c>
      <c r="AH7" s="24">
        <v>0.40880699999999998</v>
      </c>
      <c r="AI7" s="24">
        <v>0.40880699999999998</v>
      </c>
      <c r="AJ7" s="24">
        <v>0.40880700000000003</v>
      </c>
      <c r="AK7" s="25">
        <v>0.40880699999999998</v>
      </c>
      <c r="AL7" s="24">
        <v>0.40880699999999998</v>
      </c>
      <c r="AM7" s="24">
        <v>0.40880699999999998</v>
      </c>
      <c r="AN7" s="24">
        <v>0.44151200000000002</v>
      </c>
      <c r="AO7" s="24">
        <v>0.40880699999999998</v>
      </c>
      <c r="AP7" s="24">
        <v>0.40880699999999998</v>
      </c>
      <c r="AQ7" s="24">
        <v>7.4088070000000004</v>
      </c>
      <c r="AR7" s="24">
        <v>0.40880699999999998</v>
      </c>
      <c r="AS7" s="24">
        <v>0.40880699999999998</v>
      </c>
      <c r="AT7" s="24">
        <v>0.40880699999999998</v>
      </c>
      <c r="AU7" s="24">
        <v>0.54450699999999996</v>
      </c>
      <c r="AV7" s="24">
        <v>0.40880699999999998</v>
      </c>
      <c r="AW7" s="24">
        <v>0.44151200000000002</v>
      </c>
      <c r="AX7" s="24">
        <v>0.44151200000000002</v>
      </c>
      <c r="AY7" s="24">
        <v>0.44151200000000002</v>
      </c>
      <c r="AZ7" s="24">
        <v>0.46447100000000002</v>
      </c>
      <c r="BA7" s="24">
        <v>0.46447100000000002</v>
      </c>
      <c r="BB7" s="24">
        <v>0.97960199999999997</v>
      </c>
      <c r="BC7" s="24">
        <v>0.46447100000000002</v>
      </c>
      <c r="BD7" s="24">
        <v>0.46447100000000002</v>
      </c>
      <c r="BE7" s="24">
        <v>0.46447100000000002</v>
      </c>
      <c r="BF7" s="24">
        <v>0.46447100000000002</v>
      </c>
      <c r="BG7" s="24">
        <v>0.46447100000000002</v>
      </c>
      <c r="BH7" s="24">
        <v>0.46447100000000002</v>
      </c>
      <c r="BI7" s="24">
        <v>0.46447100000000002</v>
      </c>
    </row>
    <row r="8" spans="1:61" x14ac:dyDescent="0.3">
      <c r="A8" s="23" t="s">
        <v>403</v>
      </c>
      <c r="B8" s="26">
        <v>1.191675</v>
      </c>
      <c r="C8" s="26">
        <v>2.5188860000000002</v>
      </c>
      <c r="D8" s="26">
        <v>1.2621260000000001</v>
      </c>
      <c r="E8" s="26">
        <v>2.3223220000000002</v>
      </c>
      <c r="F8" s="26">
        <v>-0.51042100000000001</v>
      </c>
      <c r="G8" s="26">
        <v>-1.3768030000000002</v>
      </c>
      <c r="H8" s="26">
        <v>7.0180024599999999</v>
      </c>
      <c r="I8" s="26">
        <v>8.8276130000000008E-2</v>
      </c>
      <c r="J8" s="26">
        <v>92.154494</v>
      </c>
      <c r="K8" s="26">
        <v>4.4891399999999999</v>
      </c>
      <c r="L8" s="26">
        <v>15.063527000000001</v>
      </c>
      <c r="M8" s="26">
        <v>184.81960671999997</v>
      </c>
      <c r="N8" s="26">
        <v>0.70689674999999996</v>
      </c>
      <c r="O8" s="26">
        <v>3.0185882499999996</v>
      </c>
      <c r="P8" s="26">
        <v>0.21587590000000001</v>
      </c>
      <c r="Q8" s="26">
        <v>11.99359727</v>
      </c>
      <c r="R8" s="26">
        <v>0.17144526999999998</v>
      </c>
      <c r="S8" s="26">
        <v>1.733175E-2</v>
      </c>
      <c r="T8" s="26">
        <v>20.41076413</v>
      </c>
      <c r="U8" s="26">
        <v>1.2362E-2</v>
      </c>
      <c r="V8" s="26">
        <v>11.069075659999999</v>
      </c>
      <c r="W8" s="26">
        <v>99.264065489999993</v>
      </c>
      <c r="X8" s="26">
        <v>6.2478569199999994</v>
      </c>
      <c r="Y8" s="26">
        <v>275.92796344000004</v>
      </c>
      <c r="Z8" s="24">
        <v>-12.207483069999972</v>
      </c>
      <c r="AA8" s="24">
        <v>-6.3890373399999971</v>
      </c>
      <c r="AB8" s="24">
        <v>3.2515193499999806</v>
      </c>
      <c r="AC8" s="24">
        <v>-8.3010120899999702</v>
      </c>
      <c r="AD8" s="24">
        <v>-24.17025323</v>
      </c>
      <c r="AE8" s="24">
        <v>22.633743360000004</v>
      </c>
      <c r="AF8" s="24">
        <v>-96.38074395999999</v>
      </c>
      <c r="AG8" s="24">
        <v>17.26536261</v>
      </c>
      <c r="AH8" s="24">
        <v>6.1645855399999903</v>
      </c>
      <c r="AI8" s="24">
        <v>20.74343949</v>
      </c>
      <c r="AJ8" s="24">
        <v>118.59441820000001</v>
      </c>
      <c r="AK8" s="25">
        <v>705.84764341000005</v>
      </c>
      <c r="AL8" s="24">
        <v>-41.837031580000001</v>
      </c>
      <c r="AM8" s="24">
        <v>384.70551062999999</v>
      </c>
      <c r="AN8" s="24">
        <v>-365.12284966999999</v>
      </c>
      <c r="AO8" s="24">
        <v>26.316700489999999</v>
      </c>
      <c r="AP8" s="24">
        <v>40.902154520000003</v>
      </c>
      <c r="AQ8" s="24">
        <v>49.119266330000002</v>
      </c>
      <c r="AR8" s="24">
        <v>22.14821744</v>
      </c>
      <c r="AS8" s="24">
        <v>31.93702961</v>
      </c>
      <c r="AT8" s="24">
        <v>13.6090666</v>
      </c>
      <c r="AU8" s="24">
        <v>31.754375960000001</v>
      </c>
      <c r="AV8" s="24">
        <v>24.41999405</v>
      </c>
      <c r="AW8" s="24">
        <v>195.66681657999999</v>
      </c>
      <c r="AX8" s="24">
        <v>17.4381726999999</v>
      </c>
      <c r="AY8" s="24">
        <v>6.5714310300000598</v>
      </c>
      <c r="AZ8" s="24">
        <v>18.7279278</v>
      </c>
      <c r="BA8" s="24">
        <v>3.6449253499999701</v>
      </c>
      <c r="BB8" s="24">
        <v>17.86477889</v>
      </c>
      <c r="BC8" s="24">
        <v>17.3059958199999</v>
      </c>
      <c r="BD8" s="24">
        <v>29.17521309</v>
      </c>
      <c r="BE8" s="24">
        <v>13.609780369999999</v>
      </c>
      <c r="BF8" s="24">
        <v>19.65778911</v>
      </c>
      <c r="BG8" s="24">
        <v>18.893143970000001</v>
      </c>
      <c r="BH8" s="24">
        <v>-58.036477759999997</v>
      </c>
      <c r="BI8" s="24">
        <v>168.24667466</v>
      </c>
    </row>
    <row r="9" spans="1:61" x14ac:dyDescent="0.3">
      <c r="A9" s="23" t="s">
        <v>404</v>
      </c>
      <c r="B9" s="26">
        <v>20.328084999999998</v>
      </c>
      <c r="C9" s="26">
        <v>24.045545999999998</v>
      </c>
      <c r="D9" s="26">
        <v>23.840204</v>
      </c>
      <c r="E9" s="26">
        <v>23.766466000000001</v>
      </c>
      <c r="F9" s="26">
        <v>24.275945</v>
      </c>
      <c r="G9" s="26">
        <v>25.405836000000001</v>
      </c>
      <c r="H9" s="26">
        <v>24.2551378</v>
      </c>
      <c r="I9" s="26">
        <v>24.798222000000003</v>
      </c>
      <c r="J9" s="26">
        <v>24.660278999999999</v>
      </c>
      <c r="K9" s="26">
        <v>28.395797999999999</v>
      </c>
      <c r="L9" s="26">
        <v>30.858238</v>
      </c>
      <c r="M9" s="26">
        <v>53.790624000000001</v>
      </c>
      <c r="N9" s="26">
        <v>19.367249000000001</v>
      </c>
      <c r="O9" s="26">
        <v>21.985153999999998</v>
      </c>
      <c r="P9" s="26">
        <v>20.691043000000001</v>
      </c>
      <c r="Q9" s="26">
        <v>19.516345000000001</v>
      </c>
      <c r="R9" s="26">
        <v>9.7522780000000004</v>
      </c>
      <c r="S9" s="26">
        <v>22.855912</v>
      </c>
      <c r="T9" s="26">
        <v>19.746300999999999</v>
      </c>
      <c r="U9" s="26">
        <v>11.853374000000001</v>
      </c>
      <c r="V9" s="26">
        <v>23.877852999999998</v>
      </c>
      <c r="W9" s="26">
        <v>24.892014</v>
      </c>
      <c r="X9" s="26">
        <v>28.183327000000002</v>
      </c>
      <c r="Y9" s="26">
        <v>31.975626999999999</v>
      </c>
      <c r="Z9" s="24">
        <v>21.386465000000001</v>
      </c>
      <c r="AA9" s="24">
        <v>23.548668499999998</v>
      </c>
      <c r="AB9" s="24">
        <v>21.953133000000001</v>
      </c>
      <c r="AC9" s="24">
        <v>22.315555</v>
      </c>
      <c r="AD9" s="24">
        <v>22.366152</v>
      </c>
      <c r="AE9" s="24">
        <v>22.587361000000001</v>
      </c>
      <c r="AF9" s="24">
        <v>22.918526999999997</v>
      </c>
      <c r="AG9" s="24">
        <v>23.430178000000002</v>
      </c>
      <c r="AH9" s="24">
        <v>23.478247</v>
      </c>
      <c r="AI9" s="24">
        <v>23.475594000000001</v>
      </c>
      <c r="AJ9" s="24">
        <v>23.376635910000001</v>
      </c>
      <c r="AK9" s="25">
        <v>29.999375010000001</v>
      </c>
      <c r="AL9" s="24">
        <v>21.222814830000001</v>
      </c>
      <c r="AM9" s="24">
        <v>21.222812999999999</v>
      </c>
      <c r="AN9" s="24">
        <v>21.200237999999999</v>
      </c>
      <c r="AO9" s="24">
        <v>21.092349840000001</v>
      </c>
      <c r="AP9" s="24">
        <v>21.917687000000001</v>
      </c>
      <c r="AQ9" s="24">
        <v>22.248598999999999</v>
      </c>
      <c r="AR9" s="24">
        <v>22.182496220000001</v>
      </c>
      <c r="AS9" s="24">
        <v>22.065007000000001</v>
      </c>
      <c r="AT9" s="24">
        <v>22.995337500000002</v>
      </c>
      <c r="AU9" s="24">
        <v>23.89583</v>
      </c>
      <c r="AV9" s="24">
        <v>23.871506</v>
      </c>
      <c r="AW9" s="24">
        <v>29.460730999999999</v>
      </c>
      <c r="AX9" s="24">
        <v>15.256171999999999</v>
      </c>
      <c r="AY9" s="24">
        <v>20.316075999999999</v>
      </c>
      <c r="AZ9" s="24">
        <v>20.423041000000001</v>
      </c>
      <c r="BA9" s="24">
        <v>22.541128</v>
      </c>
      <c r="BB9" s="24">
        <v>22.163525</v>
      </c>
      <c r="BC9" s="24">
        <v>30.369102999999999</v>
      </c>
      <c r="BD9" s="24">
        <v>20.884627999999999</v>
      </c>
      <c r="BE9" s="24">
        <v>20.067920999999998</v>
      </c>
      <c r="BF9" s="24">
        <v>20.384536000000001</v>
      </c>
      <c r="BG9" s="24">
        <v>18.289919000000001</v>
      </c>
      <c r="BH9" s="24">
        <v>20.324677000000001</v>
      </c>
      <c r="BI9" s="24">
        <v>27.044799999999999</v>
      </c>
    </row>
    <row r="10" spans="1:61" x14ac:dyDescent="0.3">
      <c r="A10" s="23" t="s">
        <v>405</v>
      </c>
      <c r="B10" s="26">
        <v>4.1387539999999996</v>
      </c>
      <c r="C10" s="26">
        <v>4.6084319999999996</v>
      </c>
      <c r="D10" s="26">
        <v>1.9701359999999999</v>
      </c>
      <c r="E10" s="26">
        <v>3.3532689999999996</v>
      </c>
      <c r="F10" s="26">
        <v>3.4195090000000001</v>
      </c>
      <c r="G10" s="26">
        <v>3.4195090000000001</v>
      </c>
      <c r="H10" s="26">
        <v>3.4195090000000001</v>
      </c>
      <c r="I10" s="26">
        <v>3.4195090000000001</v>
      </c>
      <c r="J10" s="26">
        <v>3.4336899999999999</v>
      </c>
      <c r="K10" s="26">
        <v>3.3526570000000002</v>
      </c>
      <c r="L10" s="26">
        <v>4.3370699999999998</v>
      </c>
      <c r="M10" s="26">
        <v>5.9840780000000002</v>
      </c>
      <c r="N10" s="26">
        <v>1.43615</v>
      </c>
      <c r="O10" s="26">
        <v>1.4641520000000001</v>
      </c>
      <c r="P10" s="26">
        <v>12.68971</v>
      </c>
      <c r="Q10" s="26">
        <v>11.148871999999999</v>
      </c>
      <c r="R10" s="26">
        <v>-18.280026000000003</v>
      </c>
      <c r="S10" s="26">
        <v>2.267954</v>
      </c>
      <c r="T10" s="26">
        <v>3.9728859999999999</v>
      </c>
      <c r="U10" s="26">
        <v>2.714855</v>
      </c>
      <c r="V10" s="26">
        <v>1.6927380000000001</v>
      </c>
      <c r="W10" s="26">
        <v>7.3290190000000006</v>
      </c>
      <c r="X10" s="26">
        <v>7.7378270000000002</v>
      </c>
      <c r="Y10" s="26">
        <v>7.9013500000000008</v>
      </c>
      <c r="Z10" s="24">
        <v>7.112876</v>
      </c>
      <c r="AA10" s="24">
        <v>7.1128779999999994</v>
      </c>
      <c r="AB10" s="24">
        <v>7.9119640000000002</v>
      </c>
      <c r="AC10" s="24">
        <v>7.9119640000000002</v>
      </c>
      <c r="AD10" s="24">
        <v>7.9119640000000002</v>
      </c>
      <c r="AE10" s="24">
        <v>7.9119640000000002</v>
      </c>
      <c r="AF10" s="24">
        <v>8.7522279999999988</v>
      </c>
      <c r="AG10" s="24">
        <v>7.9119640000000002</v>
      </c>
      <c r="AH10" s="24">
        <v>7.9119640000000002</v>
      </c>
      <c r="AI10" s="24">
        <v>8.7319639999999996</v>
      </c>
      <c r="AJ10" s="24">
        <v>9.4075249999999997</v>
      </c>
      <c r="AK10" s="25">
        <v>12.26407</v>
      </c>
      <c r="AL10" s="24">
        <v>8.2788972199999993</v>
      </c>
      <c r="AM10" s="24">
        <v>8.4578959999999999</v>
      </c>
      <c r="AN10" s="24">
        <v>17.626715999999998</v>
      </c>
      <c r="AO10" s="24">
        <v>17.626715999999998</v>
      </c>
      <c r="AP10" s="24">
        <v>17.821553000000002</v>
      </c>
      <c r="AQ10" s="24">
        <v>17.821553000000002</v>
      </c>
      <c r="AR10" s="24">
        <v>17.821553000000002</v>
      </c>
      <c r="AS10" s="24">
        <v>17.912113000000002</v>
      </c>
      <c r="AT10" s="24">
        <v>18.198260000000001</v>
      </c>
      <c r="AU10" s="24">
        <v>17.236291999999999</v>
      </c>
      <c r="AV10" s="24">
        <v>17.717275999999998</v>
      </c>
      <c r="AW10" s="24">
        <v>-168.01310871999999</v>
      </c>
      <c r="AX10" s="24">
        <v>7.399343</v>
      </c>
      <c r="AY10" s="24">
        <v>7.7493429999999996</v>
      </c>
      <c r="AZ10" s="24">
        <v>15.694399000000001</v>
      </c>
      <c r="BA10" s="24">
        <v>-0.100259</v>
      </c>
      <c r="BB10" s="24">
        <v>10.327420999999999</v>
      </c>
      <c r="BC10" s="24">
        <v>10.327420999999999</v>
      </c>
      <c r="BD10" s="24">
        <v>12.023073</v>
      </c>
      <c r="BE10" s="24">
        <v>11.909020999999999</v>
      </c>
      <c r="BF10" s="24">
        <v>10.327420500000001</v>
      </c>
      <c r="BG10" s="24">
        <v>11.2864805</v>
      </c>
      <c r="BH10" s="24">
        <v>-15.913130000000001</v>
      </c>
      <c r="BI10" s="24">
        <v>7.308783</v>
      </c>
    </row>
    <row r="11" spans="1:61" x14ac:dyDescent="0.3">
      <c r="A11" s="28" t="s">
        <v>406</v>
      </c>
      <c r="B11" s="29">
        <v>117.36968694559975</v>
      </c>
      <c r="C11" s="29">
        <v>464.54792026219991</v>
      </c>
      <c r="D11" s="29">
        <v>1157.0488440000001</v>
      </c>
      <c r="E11" s="29">
        <v>797.2833790000002</v>
      </c>
      <c r="F11" s="29">
        <v>116.64656499999958</v>
      </c>
      <c r="G11" s="29">
        <v>21.457677999999856</v>
      </c>
      <c r="H11" s="29">
        <v>974.76678056999924</v>
      </c>
      <c r="I11" s="29">
        <v>822.4102901600005</v>
      </c>
      <c r="J11" s="29">
        <v>754.18970788999968</v>
      </c>
      <c r="K11" s="29">
        <v>419.10653500000092</v>
      </c>
      <c r="L11" s="29">
        <v>926.20818599999905</v>
      </c>
      <c r="M11" s="29">
        <v>-3611.1553785799997</v>
      </c>
      <c r="N11" s="29">
        <v>-114.91294075000035</v>
      </c>
      <c r="O11" s="29">
        <v>426.9895967500002</v>
      </c>
      <c r="P11" s="29">
        <v>1391.1442871500001</v>
      </c>
      <c r="Q11" s="29">
        <v>-30.233250300000364</v>
      </c>
      <c r="R11" s="29">
        <v>1171.4697350299994</v>
      </c>
      <c r="S11" s="29">
        <v>73.251533869998937</v>
      </c>
      <c r="T11" s="29">
        <v>456.71828464999987</v>
      </c>
      <c r="U11" s="29">
        <v>312.47229759999959</v>
      </c>
      <c r="V11" s="29">
        <v>441.65908751999973</v>
      </c>
      <c r="W11" s="29">
        <v>-699.79026023999779</v>
      </c>
      <c r="X11" s="29">
        <v>-410.89082957000198</v>
      </c>
      <c r="Y11" s="29">
        <v>2741.8863772099949</v>
      </c>
      <c r="Z11" s="29">
        <v>1419.0431680500008</v>
      </c>
      <c r="AA11" s="29">
        <v>-647.08785015000126</v>
      </c>
      <c r="AB11" s="29">
        <v>-204.2577700300024</v>
      </c>
      <c r="AC11" s="29">
        <v>-744.9256438200008</v>
      </c>
      <c r="AD11" s="29">
        <v>-213.12949880999508</v>
      </c>
      <c r="AE11" s="29">
        <v>-578.70994875000338</v>
      </c>
      <c r="AF11" s="29">
        <v>-250.84067340999741</v>
      </c>
      <c r="AG11" s="29">
        <v>526.63566648000301</v>
      </c>
      <c r="AH11" s="29">
        <v>-441.01825904000009</v>
      </c>
      <c r="AI11" s="29">
        <v>-222.78845027</v>
      </c>
      <c r="AJ11" s="29">
        <v>-201.32094350999938</v>
      </c>
      <c r="AK11" s="30">
        <v>-116.33586085999985</v>
      </c>
      <c r="AL11" s="29">
        <v>245.06291460999992</v>
      </c>
      <c r="AM11" s="29">
        <v>384.04452685000132</v>
      </c>
      <c r="AN11" s="29">
        <v>951.67143092000003</v>
      </c>
      <c r="AO11" s="29">
        <v>385.54038620999967</v>
      </c>
      <c r="AP11" s="29">
        <v>-344.92263033001069</v>
      </c>
      <c r="AQ11" s="29">
        <v>277.75022212999949</v>
      </c>
      <c r="AR11" s="29">
        <v>562.74326986999404</v>
      </c>
      <c r="AS11" s="29">
        <v>446.33985503000031</v>
      </c>
      <c r="AT11" s="29">
        <v>147.95782550998004</v>
      </c>
      <c r="AU11" s="29">
        <v>1262.3952634500004</v>
      </c>
      <c r="AV11" s="29">
        <v>691.0115729700002</v>
      </c>
      <c r="AW11" s="29">
        <v>22.535558479999224</v>
      </c>
      <c r="AX11" s="31">
        <v>545.80556621000039</v>
      </c>
      <c r="AY11" s="31">
        <v>396.99725989001001</v>
      </c>
      <c r="AZ11" s="31">
        <v>523.39502838999931</v>
      </c>
      <c r="BA11" s="31">
        <v>601.46964614000092</v>
      </c>
      <c r="BB11" s="31">
        <v>983.93343605999996</v>
      </c>
      <c r="BC11" s="31">
        <v>250.64189617999992</v>
      </c>
      <c r="BD11" s="31">
        <v>537.78538991000016</v>
      </c>
      <c r="BE11" s="31">
        <v>454.84097062999996</v>
      </c>
      <c r="BF11" s="31">
        <v>1429.35335639</v>
      </c>
      <c r="BG11" s="31">
        <v>461.91839653000011</v>
      </c>
      <c r="BH11" s="31">
        <v>828.16221676000009</v>
      </c>
      <c r="BI11" s="31">
        <v>1429.2543173400002</v>
      </c>
    </row>
    <row r="12" spans="1:61" x14ac:dyDescent="0.3">
      <c r="A12" s="28" t="s">
        <v>407</v>
      </c>
      <c r="B12" s="32">
        <v>238.59102194559992</v>
      </c>
      <c r="C12" s="32">
        <v>590.18468526219988</v>
      </c>
      <c r="D12" s="32">
        <v>1280.7450040000001</v>
      </c>
      <c r="E12" s="32">
        <v>922.34822999999938</v>
      </c>
      <c r="F12" s="32">
        <v>243.25978699999985</v>
      </c>
      <c r="G12" s="32">
        <v>151.61923200000012</v>
      </c>
      <c r="H12" s="32">
        <v>1103.7776113700002</v>
      </c>
      <c r="I12" s="32">
        <v>951.94442016000062</v>
      </c>
      <c r="J12" s="32">
        <v>883.23536588999912</v>
      </c>
      <c r="K12" s="32">
        <v>551.79385200000104</v>
      </c>
      <c r="L12" s="32">
        <v>1063.4305159999994</v>
      </c>
      <c r="M12" s="32">
        <v>-3390.84158514</v>
      </c>
      <c r="N12" s="32">
        <v>11.729769250000041</v>
      </c>
      <c r="O12" s="32">
        <v>554.38698975000091</v>
      </c>
      <c r="P12" s="32">
        <v>1529.7884931499993</v>
      </c>
      <c r="Q12" s="32">
        <v>107.70694269999937</v>
      </c>
      <c r="R12" s="32">
        <v>1284.67462703</v>
      </c>
      <c r="S12" s="32">
        <v>214.42065086999884</v>
      </c>
      <c r="T12" s="32">
        <v>601.46934465000004</v>
      </c>
      <c r="U12" s="32">
        <v>458.7687406</v>
      </c>
      <c r="V12" s="32">
        <v>585.20585851999954</v>
      </c>
      <c r="W12" s="32">
        <v>-546.08283223999797</v>
      </c>
      <c r="X12" s="32">
        <v>-163.74159757000203</v>
      </c>
      <c r="Y12" s="32">
        <v>2919.4625732099948</v>
      </c>
      <c r="Z12" s="32">
        <v>1575.3891628900001</v>
      </c>
      <c r="AA12" s="32">
        <v>-493.369704810001</v>
      </c>
      <c r="AB12" s="32">
        <v>-51.467401190002398</v>
      </c>
      <c r="AC12" s="32">
        <v>-594.14366298000095</v>
      </c>
      <c r="AD12" s="32">
        <v>-62.600154969995202</v>
      </c>
      <c r="AE12" s="32">
        <v>-424.25867691000201</v>
      </c>
      <c r="AF12" s="32">
        <v>-98.223224569997399</v>
      </c>
      <c r="AG12" s="32">
        <v>678.70021132000306</v>
      </c>
      <c r="AH12" s="32">
        <v>-289.75650319999528</v>
      </c>
      <c r="AI12" s="32">
        <v>-71.059946430002967</v>
      </c>
      <c r="AJ12" s="32">
        <v>835.40015863999793</v>
      </c>
      <c r="AK12" s="33">
        <v>15.26448999000095</v>
      </c>
      <c r="AL12" s="32">
        <v>363.67058170000104</v>
      </c>
      <c r="AM12" s="32">
        <v>502.49460168999832</v>
      </c>
      <c r="AN12" s="32">
        <v>1079.19367876</v>
      </c>
      <c r="AO12" s="32">
        <v>512.84928489000038</v>
      </c>
      <c r="AP12" s="32">
        <v>-216.62871449000596</v>
      </c>
      <c r="AQ12" s="32">
        <v>403.5350959699951</v>
      </c>
      <c r="AR12" s="32">
        <v>688.39851314999407</v>
      </c>
      <c r="AS12" s="32">
        <v>576.93057786999623</v>
      </c>
      <c r="AT12" s="32">
        <v>279.10950795998508</v>
      </c>
      <c r="AU12" s="32">
        <v>1404.794779290002</v>
      </c>
      <c r="AV12" s="32">
        <v>835.40015863999793</v>
      </c>
      <c r="AW12" s="32">
        <v>-59.115848160000823</v>
      </c>
      <c r="AX12" s="31">
        <v>651.74204102999829</v>
      </c>
      <c r="AY12" s="31">
        <v>503.00430971000628</v>
      </c>
      <c r="AZ12" s="31">
        <v>636.74163120999845</v>
      </c>
      <c r="BA12" s="31">
        <v>703.16150295999819</v>
      </c>
      <c r="BB12" s="31">
        <v>1094.101623060001</v>
      </c>
      <c r="BC12" s="31">
        <v>369.13530517999993</v>
      </c>
      <c r="BD12" s="31">
        <v>652.62242990999994</v>
      </c>
      <c r="BE12" s="31">
        <v>567.52021062999984</v>
      </c>
      <c r="BF12" s="31">
        <v>1540.8886168899999</v>
      </c>
      <c r="BG12" s="31">
        <v>572.98500703000013</v>
      </c>
      <c r="BH12" s="31">
        <v>891.35019376000002</v>
      </c>
      <c r="BI12" s="31">
        <v>1542.5793126400001</v>
      </c>
    </row>
    <row r="13" spans="1:61" x14ac:dyDescent="0.3">
      <c r="A13" s="23" t="s">
        <v>408</v>
      </c>
      <c r="B13" s="26">
        <v>26.053342430000001</v>
      </c>
      <c r="C13" s="26">
        <v>91.818747000000002</v>
      </c>
      <c r="D13" s="26">
        <v>79.227554999999995</v>
      </c>
      <c r="E13" s="26">
        <v>53.483283</v>
      </c>
      <c r="F13" s="26">
        <v>40.270262000000002</v>
      </c>
      <c r="G13" s="26">
        <v>38.751313789999998</v>
      </c>
      <c r="H13" s="26">
        <v>44.834351120000008</v>
      </c>
      <c r="I13" s="26">
        <v>24.308392980000001</v>
      </c>
      <c r="J13" s="26">
        <v>50.125165710000005</v>
      </c>
      <c r="K13" s="26">
        <v>39.458866999999998</v>
      </c>
      <c r="L13" s="26">
        <v>37.83192176</v>
      </c>
      <c r="M13" s="26">
        <v>39.483918079999995</v>
      </c>
      <c r="N13" s="26">
        <v>6.90374453</v>
      </c>
      <c r="O13" s="26">
        <v>57.153634420000003</v>
      </c>
      <c r="P13" s="26">
        <v>58.198371189999996</v>
      </c>
      <c r="Q13" s="26">
        <v>35.491363210000003</v>
      </c>
      <c r="R13" s="26">
        <v>35.294330789999997</v>
      </c>
      <c r="S13" s="26">
        <v>33.406539109999997</v>
      </c>
      <c r="T13" s="26">
        <v>23.101141920000003</v>
      </c>
      <c r="U13" s="26">
        <v>23.722817129999999</v>
      </c>
      <c r="V13" s="26">
        <v>65.067109099999996</v>
      </c>
      <c r="W13" s="26">
        <v>76.929912079999994</v>
      </c>
      <c r="X13" s="26">
        <v>42.421889149999998</v>
      </c>
      <c r="Y13" s="26">
        <v>74.206528199999994</v>
      </c>
      <c r="Z13" s="26">
        <v>38.008199999999995</v>
      </c>
      <c r="AA13" s="26">
        <v>24.940682000000002</v>
      </c>
      <c r="AB13" s="26">
        <v>27.811325</v>
      </c>
      <c r="AC13" s="26">
        <v>9.6279369999999993</v>
      </c>
      <c r="AD13" s="26">
        <v>12.211602999999998</v>
      </c>
      <c r="AE13" s="26">
        <v>4.5770870000000006</v>
      </c>
      <c r="AF13" s="26">
        <v>2.8819029999999999</v>
      </c>
      <c r="AG13" s="26">
        <v>14.652147999999999</v>
      </c>
      <c r="AH13" s="26">
        <v>6.2992987916892442</v>
      </c>
      <c r="AI13" s="26">
        <v>3.1379422719889707</v>
      </c>
      <c r="AJ13" s="26">
        <v>7.4846123598431165</v>
      </c>
      <c r="AK13" s="27">
        <v>15.273529248949998</v>
      </c>
      <c r="AL13" s="26">
        <v>11.3431719961371</v>
      </c>
      <c r="AM13" s="26">
        <v>34.421694250000002</v>
      </c>
      <c r="AN13" s="26">
        <v>15.929738653453171</v>
      </c>
      <c r="AO13" s="26">
        <v>34.359681977999998</v>
      </c>
      <c r="AP13" s="26">
        <v>23.67861010775</v>
      </c>
      <c r="AQ13" s="26">
        <v>20.8840546777672</v>
      </c>
      <c r="AR13" s="26">
        <v>29.746510798192574</v>
      </c>
      <c r="AS13" s="26">
        <v>71.735882536629589</v>
      </c>
      <c r="AT13" s="26">
        <v>50.292936449999999</v>
      </c>
      <c r="AU13" s="26">
        <v>54.043654183103705</v>
      </c>
      <c r="AV13" s="26">
        <v>61.799519020493896</v>
      </c>
      <c r="AW13" s="26">
        <v>45.752808189843201</v>
      </c>
      <c r="AX13" s="26">
        <v>24.159933010958699</v>
      </c>
      <c r="AY13" s="26">
        <v>31.79812888</v>
      </c>
      <c r="AZ13" s="26">
        <v>30.731000000000002</v>
      </c>
      <c r="BA13" s="26">
        <v>19.914000000000001</v>
      </c>
      <c r="BB13" s="26">
        <v>70.707999999999998</v>
      </c>
      <c r="BC13" s="26">
        <v>34.546999999999997</v>
      </c>
      <c r="BD13" s="26">
        <v>33.707999999999998</v>
      </c>
      <c r="BE13" s="26">
        <v>32.550501019999999</v>
      </c>
      <c r="BF13" s="26">
        <v>60.809890010000004</v>
      </c>
      <c r="BG13" s="26">
        <v>42.882599070000005</v>
      </c>
      <c r="BH13" s="26">
        <v>38.398641439999999</v>
      </c>
      <c r="BI13" s="26">
        <v>38.38924978</v>
      </c>
    </row>
    <row r="14" spans="1:61" x14ac:dyDescent="0.3">
      <c r="A14" s="23" t="s">
        <v>409</v>
      </c>
      <c r="B14" s="26">
        <v>75.939520930000015</v>
      </c>
      <c r="C14" s="26">
        <v>53.771678999999999</v>
      </c>
      <c r="D14" s="26">
        <v>65.384765000000002</v>
      </c>
      <c r="E14" s="26">
        <v>54.946589999999993</v>
      </c>
      <c r="F14" s="26">
        <v>123.86180325999999</v>
      </c>
      <c r="G14" s="26">
        <v>52.113489179999995</v>
      </c>
      <c r="H14" s="26">
        <v>49.321993090000007</v>
      </c>
      <c r="I14" s="26">
        <v>49.127062799999997</v>
      </c>
      <c r="J14" s="26">
        <v>50.081107379999999</v>
      </c>
      <c r="K14" s="26">
        <v>55.738135</v>
      </c>
      <c r="L14" s="26">
        <v>166.81867441</v>
      </c>
      <c r="M14" s="26">
        <v>51.355545619999994</v>
      </c>
      <c r="N14" s="26">
        <v>51.415526010000008</v>
      </c>
      <c r="O14" s="26">
        <v>62.465621130000002</v>
      </c>
      <c r="P14" s="26">
        <v>84.453791719999998</v>
      </c>
      <c r="Q14" s="26">
        <v>89.32411347999998</v>
      </c>
      <c r="R14" s="26">
        <v>100.77497629000001</v>
      </c>
      <c r="S14" s="26">
        <v>107.18361005000001</v>
      </c>
      <c r="T14" s="26">
        <v>112.86040917</v>
      </c>
      <c r="U14" s="26">
        <v>47.060686009999998</v>
      </c>
      <c r="V14" s="26">
        <v>141.83189345000002</v>
      </c>
      <c r="W14" s="26">
        <v>153.36585013000001</v>
      </c>
      <c r="X14" s="26">
        <v>170.85467644000002</v>
      </c>
      <c r="Y14" s="26">
        <v>790.96662806999996</v>
      </c>
      <c r="Z14" s="26">
        <v>195.86635699999999</v>
      </c>
      <c r="AA14" s="26">
        <v>105.426001</v>
      </c>
      <c r="AB14" s="26">
        <v>164.45448500000001</v>
      </c>
      <c r="AC14" s="26">
        <v>154.73284170930799</v>
      </c>
      <c r="AD14" s="26">
        <v>203.261672</v>
      </c>
      <c r="AE14" s="26">
        <v>126.259016</v>
      </c>
      <c r="AF14" s="26">
        <v>121.945352</v>
      </c>
      <c r="AG14" s="26">
        <v>125.958984</v>
      </c>
      <c r="AH14" s="26">
        <v>166.75800078750001</v>
      </c>
      <c r="AI14" s="26">
        <v>132.06368769703801</v>
      </c>
      <c r="AJ14" s="26">
        <v>138.29426048900001</v>
      </c>
      <c r="AK14" s="27">
        <v>84.936284247999993</v>
      </c>
      <c r="AL14" s="26">
        <v>131.85030638000001</v>
      </c>
      <c r="AM14" s="26">
        <v>125.9011412</v>
      </c>
      <c r="AN14" s="26">
        <v>103.91697176</v>
      </c>
      <c r="AO14" s="26">
        <v>120.46663417000001</v>
      </c>
      <c r="AP14" s="26">
        <v>102.47917621000001</v>
      </c>
      <c r="AQ14" s="26">
        <v>94.546974849999998</v>
      </c>
      <c r="AR14" s="26">
        <v>102.61115692</v>
      </c>
      <c r="AS14" s="26">
        <v>103.23142223000001</v>
      </c>
      <c r="AT14" s="26">
        <v>95.518903690000002</v>
      </c>
      <c r="AU14" s="26">
        <v>85.293629879999997</v>
      </c>
      <c r="AV14" s="26">
        <v>78.475531770000003</v>
      </c>
      <c r="AW14" s="26">
        <v>109.52775539</v>
      </c>
      <c r="AX14" s="26">
        <v>71.162900320000006</v>
      </c>
      <c r="AY14" s="26">
        <v>70.992000000000004</v>
      </c>
      <c r="AZ14" s="26">
        <v>71.771000000000001</v>
      </c>
      <c r="BA14" s="26">
        <v>69.415361790000006</v>
      </c>
      <c r="BB14" s="26">
        <v>68.672081009999999</v>
      </c>
      <c r="BC14" s="26">
        <v>65.416313639999998</v>
      </c>
      <c r="BD14" s="26">
        <v>77.516337129999997</v>
      </c>
      <c r="BE14" s="26">
        <v>65.3</v>
      </c>
      <c r="BF14" s="26">
        <v>68.531298680000006</v>
      </c>
      <c r="BG14" s="26">
        <v>66.585464200000004</v>
      </c>
      <c r="BH14" s="26">
        <v>61.729206869999999</v>
      </c>
      <c r="BI14" s="26">
        <v>81.161206100000001</v>
      </c>
    </row>
    <row r="15" spans="1:61" x14ac:dyDescent="0.3">
      <c r="A15" s="28" t="s">
        <v>410</v>
      </c>
      <c r="B15" s="29">
        <v>67.483508445599739</v>
      </c>
      <c r="C15" s="29">
        <v>502.59498826219993</v>
      </c>
      <c r="D15" s="29">
        <v>1170.8916340000001</v>
      </c>
      <c r="E15" s="29">
        <v>795.82007200000021</v>
      </c>
      <c r="F15" s="29">
        <v>33.055023739999598</v>
      </c>
      <c r="G15" s="29">
        <v>8.0955026099998619</v>
      </c>
      <c r="H15" s="29">
        <v>970.27913859999921</v>
      </c>
      <c r="I15" s="29">
        <v>797.59162034000053</v>
      </c>
      <c r="J15" s="29">
        <v>754.23376621999967</v>
      </c>
      <c r="K15" s="29">
        <v>402.82726700000092</v>
      </c>
      <c r="L15" s="29">
        <v>797.22143334999907</v>
      </c>
      <c r="M15" s="29">
        <v>-3623.0270061199999</v>
      </c>
      <c r="N15" s="29">
        <v>-159.42472223000036</v>
      </c>
      <c r="O15" s="29">
        <v>421.67761004000022</v>
      </c>
      <c r="P15" s="29">
        <v>1364.88886662</v>
      </c>
      <c r="Q15" s="29">
        <v>-84.066000570000341</v>
      </c>
      <c r="R15" s="29">
        <v>1105.9890895299993</v>
      </c>
      <c r="S15" s="29">
        <v>-0.52553707000107863</v>
      </c>
      <c r="T15" s="29">
        <v>366.95901739999988</v>
      </c>
      <c r="U15" s="29">
        <v>289.13442871999962</v>
      </c>
      <c r="V15" s="29">
        <v>364.89430316999972</v>
      </c>
      <c r="W15" s="29">
        <v>-776.2261982899978</v>
      </c>
      <c r="X15" s="29">
        <v>-539.32361686000206</v>
      </c>
      <c r="Y15" s="29">
        <v>2025.1262773399949</v>
      </c>
      <c r="Z15" s="29">
        <v>1261.1850110500009</v>
      </c>
      <c r="AA15" s="29">
        <v>-727.57316915000126</v>
      </c>
      <c r="AB15" s="29">
        <v>-340.90093003000243</v>
      </c>
      <c r="AC15" s="29">
        <v>-890.03054852930882</v>
      </c>
      <c r="AD15" s="29">
        <v>-404.17956780999509</v>
      </c>
      <c r="AE15" s="29">
        <v>-700.39187775000335</v>
      </c>
      <c r="AF15" s="29">
        <v>-369.9041224099974</v>
      </c>
      <c r="AG15" s="29">
        <v>415.32883048000303</v>
      </c>
      <c r="AH15" s="29">
        <v>-601.47696103581086</v>
      </c>
      <c r="AI15" s="29">
        <v>-351.71419569504906</v>
      </c>
      <c r="AJ15" s="29">
        <v>-332.13059163915625</v>
      </c>
      <c r="AK15" s="30">
        <v>-185.99861585904983</v>
      </c>
      <c r="AL15" s="29">
        <v>124.55578022613702</v>
      </c>
      <c r="AM15" s="29">
        <v>292.56507990000136</v>
      </c>
      <c r="AN15" s="29">
        <v>863.68419781345324</v>
      </c>
      <c r="AO15" s="29">
        <v>299.43343401799962</v>
      </c>
      <c r="AP15" s="29">
        <v>-423.72319643226069</v>
      </c>
      <c r="AQ15" s="29">
        <v>204.0873019577667</v>
      </c>
      <c r="AR15" s="29">
        <v>489.87862374818667</v>
      </c>
      <c r="AS15" s="29">
        <v>414.84431533662985</v>
      </c>
      <c r="AT15" s="29">
        <v>102.73185826998002</v>
      </c>
      <c r="AU15" s="29">
        <v>1231.145287753104</v>
      </c>
      <c r="AV15" s="29">
        <v>674.33556022049413</v>
      </c>
      <c r="AW15" s="29">
        <v>-41.239388720157578</v>
      </c>
      <c r="AX15" s="31">
        <v>498.80259890095914</v>
      </c>
      <c r="AY15" s="31">
        <v>357.80338877000997</v>
      </c>
      <c r="AZ15" s="31">
        <v>482.35502838999929</v>
      </c>
      <c r="BA15" s="31">
        <v>551.96828435000089</v>
      </c>
      <c r="BB15" s="31">
        <v>985.96935504999988</v>
      </c>
      <c r="BC15" s="31">
        <v>219.77258253999992</v>
      </c>
      <c r="BD15" s="31">
        <v>493.97705278000012</v>
      </c>
      <c r="BE15" s="31">
        <v>422.09147164999996</v>
      </c>
      <c r="BF15" s="31">
        <v>1421.63194772</v>
      </c>
      <c r="BG15" s="31">
        <v>438.21553140000015</v>
      </c>
      <c r="BH15" s="31">
        <v>804.83165133000011</v>
      </c>
      <c r="BI15" s="31">
        <v>1386.4823610200001</v>
      </c>
    </row>
    <row r="16" spans="1:61" x14ac:dyDescent="0.3">
      <c r="A16" s="23" t="s">
        <v>411</v>
      </c>
      <c r="B16" s="26">
        <v>20.919890383753799</v>
      </c>
      <c r="C16" s="26">
        <v>131.85441555254621</v>
      </c>
      <c r="D16" s="26">
        <v>362.97609599765298</v>
      </c>
      <c r="E16" s="26">
        <v>246.70422200999997</v>
      </c>
      <c r="F16" s="26">
        <v>10.246437049399965</v>
      </c>
      <c r="G16" s="26">
        <v>2.5093045954530599</v>
      </c>
      <c r="H16" s="26">
        <v>300.78637352041204</v>
      </c>
      <c r="I16" s="26">
        <v>247.25340207487699</v>
      </c>
      <c r="J16" s="26">
        <v>233.81247594235001</v>
      </c>
      <c r="K16" s="26">
        <v>124.876612559658</v>
      </c>
      <c r="L16" s="26">
        <v>247.13954606850001</v>
      </c>
      <c r="M16" s="26">
        <v>-5.4684534683177599</v>
      </c>
      <c r="N16" s="26">
        <v>0</v>
      </c>
      <c r="O16" s="26">
        <v>13.71</v>
      </c>
      <c r="P16" s="26">
        <v>417.79399999999998</v>
      </c>
      <c r="Q16" s="26">
        <v>21.056000000000001</v>
      </c>
      <c r="R16" s="26">
        <v>165.881</v>
      </c>
      <c r="S16" s="26">
        <v>-33.656999999999996</v>
      </c>
      <c r="T16" s="26">
        <v>13.715999999999999</v>
      </c>
      <c r="U16" s="26">
        <v>69.942999999999998</v>
      </c>
      <c r="V16" s="26">
        <v>0</v>
      </c>
      <c r="W16" s="26">
        <v>-376.25351699999999</v>
      </c>
      <c r="X16" s="26">
        <v>-282.34146600000003</v>
      </c>
      <c r="Y16" s="26">
        <v>505.31400000000002</v>
      </c>
      <c r="Z16" s="26">
        <v>-412.93599999999998</v>
      </c>
      <c r="AA16" s="26">
        <v>288.577</v>
      </c>
      <c r="AB16" s="26">
        <v>124.361</v>
      </c>
      <c r="AC16" s="26">
        <v>0</v>
      </c>
      <c r="AD16" s="26">
        <v>0</v>
      </c>
      <c r="AE16" s="26">
        <v>0</v>
      </c>
      <c r="AF16" s="26">
        <v>0</v>
      </c>
      <c r="AG16" s="26">
        <v>0</v>
      </c>
      <c r="AH16" s="26">
        <v>0</v>
      </c>
      <c r="AI16" s="26">
        <v>0</v>
      </c>
      <c r="AJ16" s="26">
        <v>0</v>
      </c>
      <c r="AK16" s="27">
        <v>47.187623536208797</v>
      </c>
      <c r="AL16" s="26">
        <v>43.594586773975095</v>
      </c>
      <c r="AM16" s="26">
        <v>102.39802278899199</v>
      </c>
      <c r="AN16" s="26">
        <v>302.28856392450399</v>
      </c>
      <c r="AO16" s="26">
        <v>104.80166224148</v>
      </c>
      <c r="AP16" s="26">
        <v>-148.30332718972599</v>
      </c>
      <c r="AQ16" s="26">
        <v>71.430225100154601</v>
      </c>
      <c r="AR16" s="26">
        <v>238.09404693105299</v>
      </c>
      <c r="AS16" s="26">
        <v>-264.90628703868799</v>
      </c>
      <c r="AT16" s="26">
        <v>37.996392067627497</v>
      </c>
      <c r="AU16" s="26">
        <v>378.30115060945099</v>
      </c>
      <c r="AV16" s="26">
        <v>260.72634443438</v>
      </c>
      <c r="AW16" s="26">
        <v>2.35573271447437</v>
      </c>
      <c r="AX16" s="26">
        <v>174.20500000000001</v>
      </c>
      <c r="AY16" s="26">
        <v>118.397113073073</v>
      </c>
      <c r="AZ16" s="26">
        <v>141.719948627153</v>
      </c>
      <c r="BA16" s="26">
        <v>203.03</v>
      </c>
      <c r="BB16" s="26">
        <v>356.11500000000001</v>
      </c>
      <c r="BC16" s="26">
        <v>89.075730927217407</v>
      </c>
      <c r="BD16" s="26">
        <v>171.80600000000001</v>
      </c>
      <c r="BE16" s="26">
        <v>183.11631116298199</v>
      </c>
      <c r="BF16" s="26">
        <v>418.13</v>
      </c>
      <c r="BG16" s="26">
        <v>169.75</v>
      </c>
      <c r="BH16" s="26">
        <v>223.22300000000001</v>
      </c>
      <c r="BI16" s="26">
        <v>222.77099999999999</v>
      </c>
    </row>
    <row r="17" spans="1:61" x14ac:dyDescent="0.3">
      <c r="A17" s="23" t="s">
        <v>412</v>
      </c>
      <c r="B17" s="26">
        <v>0</v>
      </c>
      <c r="C17" s="26">
        <v>0</v>
      </c>
      <c r="D17" s="26">
        <v>0</v>
      </c>
      <c r="E17" s="26">
        <v>0</v>
      </c>
      <c r="F17" s="26">
        <v>0</v>
      </c>
      <c r="G17" s="26">
        <v>0</v>
      </c>
      <c r="H17" s="26">
        <v>0</v>
      </c>
      <c r="I17" s="26">
        <v>0</v>
      </c>
      <c r="J17" s="26">
        <v>0</v>
      </c>
      <c r="K17" s="26">
        <v>0</v>
      </c>
      <c r="L17" s="26">
        <v>0</v>
      </c>
      <c r="M17" s="26">
        <v>-880.14360157784597</v>
      </c>
      <c r="N17" s="26">
        <v>0</v>
      </c>
      <c r="O17" s="26">
        <v>0</v>
      </c>
      <c r="P17" s="26">
        <v>0</v>
      </c>
      <c r="Q17" s="26">
        <v>0</v>
      </c>
      <c r="R17" s="26">
        <v>0</v>
      </c>
      <c r="S17" s="26">
        <v>0</v>
      </c>
      <c r="T17" s="26">
        <v>0</v>
      </c>
      <c r="U17" s="26">
        <v>0</v>
      </c>
      <c r="V17" s="26">
        <v>0</v>
      </c>
      <c r="W17" s="26">
        <v>0</v>
      </c>
      <c r="X17" s="26">
        <v>0</v>
      </c>
      <c r="Y17" s="26">
        <v>-216.21</v>
      </c>
      <c r="Z17" s="26">
        <v>0</v>
      </c>
      <c r="AA17" s="26">
        <v>0</v>
      </c>
      <c r="AB17" s="26">
        <v>0</v>
      </c>
      <c r="AC17" s="26">
        <v>0</v>
      </c>
      <c r="AD17" s="26">
        <v>0</v>
      </c>
      <c r="AE17" s="26">
        <v>0</v>
      </c>
      <c r="AF17" s="26">
        <v>0</v>
      </c>
      <c r="AG17" s="26">
        <v>0</v>
      </c>
      <c r="AH17" s="26">
        <v>0</v>
      </c>
      <c r="AI17" s="26">
        <v>0</v>
      </c>
      <c r="AJ17" s="26">
        <v>0</v>
      </c>
      <c r="AK17" s="27">
        <v>160.784486592181</v>
      </c>
      <c r="AL17" s="26">
        <v>0</v>
      </c>
      <c r="AM17" s="26">
        <v>0</v>
      </c>
      <c r="AN17" s="26">
        <v>0</v>
      </c>
      <c r="AO17" s="26">
        <v>0</v>
      </c>
      <c r="AP17" s="26">
        <v>0</v>
      </c>
      <c r="AQ17" s="26">
        <v>0</v>
      </c>
      <c r="AR17" s="26">
        <v>0</v>
      </c>
      <c r="AS17" s="26">
        <v>469.10880971385097</v>
      </c>
      <c r="AT17" s="26">
        <v>0.85901927545721002</v>
      </c>
      <c r="AU17" s="26">
        <v>86.851260349316107</v>
      </c>
      <c r="AV17" s="26">
        <v>24.297887043965702</v>
      </c>
      <c r="AW17" s="26">
        <v>-14.0852993216408</v>
      </c>
      <c r="AX17" s="26">
        <v>0</v>
      </c>
      <c r="AY17" s="26">
        <v>18.170999999999999</v>
      </c>
      <c r="AZ17" s="26">
        <v>28.58</v>
      </c>
      <c r="BA17" s="26">
        <v>-8.2889999999999997</v>
      </c>
      <c r="BB17" s="26">
        <v>-7.2</v>
      </c>
      <c r="BC17" s="26">
        <v>-11.142054682052899</v>
      </c>
      <c r="BD17" s="26">
        <v>10.468999999999999</v>
      </c>
      <c r="BE17" s="26">
        <v>-39.307000000000002</v>
      </c>
      <c r="BF17" s="26">
        <v>82.474545612166395</v>
      </c>
      <c r="BG17" s="26">
        <v>-25.6522695010731</v>
      </c>
      <c r="BH17" s="26">
        <v>18.673999999999999</v>
      </c>
      <c r="BI17" s="26">
        <v>74.31</v>
      </c>
    </row>
    <row r="18" spans="1:61" x14ac:dyDescent="0.3">
      <c r="A18" s="28" t="s">
        <v>413</v>
      </c>
      <c r="B18" s="29">
        <v>46.563618061845943</v>
      </c>
      <c r="C18" s="29">
        <v>370.74057270965375</v>
      </c>
      <c r="D18" s="29">
        <v>807.91553800234715</v>
      </c>
      <c r="E18" s="29">
        <v>549.11584999000024</v>
      </c>
      <c r="F18" s="29">
        <v>22.808586690599633</v>
      </c>
      <c r="G18" s="29">
        <v>5.5861980145468024</v>
      </c>
      <c r="H18" s="29">
        <v>669.49276507958712</v>
      </c>
      <c r="I18" s="29">
        <v>550.33821826512349</v>
      </c>
      <c r="J18" s="29">
        <v>520.42129027764963</v>
      </c>
      <c r="K18" s="29">
        <v>277.95065444034293</v>
      </c>
      <c r="L18" s="29">
        <v>550.08188728149912</v>
      </c>
      <c r="M18" s="29">
        <v>-2737.4149510738362</v>
      </c>
      <c r="N18" s="29">
        <v>-159.42472223000036</v>
      </c>
      <c r="O18" s="29">
        <v>407.96761004000024</v>
      </c>
      <c r="P18" s="29">
        <v>947.09486662000006</v>
      </c>
      <c r="Q18" s="29">
        <v>-105.12200057000034</v>
      </c>
      <c r="R18" s="29">
        <v>940.10808952999935</v>
      </c>
      <c r="S18" s="29">
        <v>33.131462929998918</v>
      </c>
      <c r="T18" s="29">
        <v>353.24301739999987</v>
      </c>
      <c r="U18" s="29">
        <v>219.19142871999964</v>
      </c>
      <c r="V18" s="29">
        <v>364.89430316999972</v>
      </c>
      <c r="W18" s="29">
        <v>-399.97268128999781</v>
      </c>
      <c r="X18" s="29">
        <v>-256.98215086000204</v>
      </c>
      <c r="Y18" s="29">
        <v>1736.0222773399948</v>
      </c>
      <c r="Z18" s="29">
        <v>848.24901105000095</v>
      </c>
      <c r="AA18" s="29">
        <v>-438.99616915000126</v>
      </c>
      <c r="AB18" s="29">
        <v>-216.53993003000244</v>
      </c>
      <c r="AC18" s="29">
        <v>-890.03054852930882</v>
      </c>
      <c r="AD18" s="29">
        <v>-404.17956780999509</v>
      </c>
      <c r="AE18" s="29">
        <v>-700.39187775000335</v>
      </c>
      <c r="AF18" s="29">
        <v>-369.9041224099974</v>
      </c>
      <c r="AG18" s="29">
        <v>415.32883048000303</v>
      </c>
      <c r="AH18" s="29">
        <v>-601.47696103581086</v>
      </c>
      <c r="AI18" s="29">
        <v>-351.71419569504906</v>
      </c>
      <c r="AJ18" s="29">
        <v>-332.13059163915625</v>
      </c>
      <c r="AK18" s="30">
        <v>-393.97072598743966</v>
      </c>
      <c r="AL18" s="34">
        <v>80.961193452161922</v>
      </c>
      <c r="AM18" s="34">
        <v>190.16705711100937</v>
      </c>
      <c r="AN18" s="34">
        <v>561.39563388894931</v>
      </c>
      <c r="AO18" s="34">
        <v>194.6317717765196</v>
      </c>
      <c r="AP18" s="34">
        <v>-275.41986924253467</v>
      </c>
      <c r="AQ18" s="34">
        <v>132.65707685761208</v>
      </c>
      <c r="AR18" s="34">
        <v>251.78457681713368</v>
      </c>
      <c r="AS18" s="34">
        <v>210.64179266146687</v>
      </c>
      <c r="AT18" s="34">
        <v>63.876446926895319</v>
      </c>
      <c r="AU18" s="29">
        <v>765.99287679433678</v>
      </c>
      <c r="AV18" s="29">
        <v>389.31132874214842</v>
      </c>
      <c r="AW18" s="29">
        <v>-29.509822112991149</v>
      </c>
      <c r="AX18" s="31">
        <v>324.59759890095916</v>
      </c>
      <c r="AY18" s="31">
        <v>221.23527569693698</v>
      </c>
      <c r="AZ18" s="31">
        <v>312.05507976284633</v>
      </c>
      <c r="BA18" s="31">
        <v>357.2272843500009</v>
      </c>
      <c r="BB18" s="31">
        <v>637.05435504999991</v>
      </c>
      <c r="BC18" s="31">
        <v>141.8389062948354</v>
      </c>
      <c r="BD18" s="31">
        <v>311.70205278000009</v>
      </c>
      <c r="BE18" s="31">
        <v>278.28216048701796</v>
      </c>
      <c r="BF18" s="31">
        <v>921.02740210783361</v>
      </c>
      <c r="BG18" s="31">
        <v>294.11780090107322</v>
      </c>
      <c r="BH18" s="31">
        <v>562.93465133000018</v>
      </c>
      <c r="BI18" s="31">
        <v>1089.4013610200002</v>
      </c>
    </row>
    <row r="19" spans="1:61" x14ac:dyDescent="0.3">
      <c r="A19" s="23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7"/>
      <c r="AL19" s="36"/>
      <c r="AM19" s="36"/>
      <c r="AN19" s="36"/>
      <c r="AO19" s="36"/>
      <c r="AP19" s="36"/>
      <c r="AQ19" s="36"/>
      <c r="AR19" s="38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</row>
    <row r="20" spans="1:61" x14ac:dyDescent="0.3">
      <c r="A20" s="28" t="s">
        <v>414</v>
      </c>
      <c r="B20" s="39">
        <v>0.74173237177329454</v>
      </c>
      <c r="C20" s="39">
        <v>0.77887268975004342</v>
      </c>
      <c r="D20" s="39">
        <v>0.66189590237390561</v>
      </c>
      <c r="E20" s="39">
        <v>0.71921883763902217</v>
      </c>
      <c r="F20" s="39">
        <v>0.85257881740884645</v>
      </c>
      <c r="G20" s="39">
        <v>0.74774192720368193</v>
      </c>
      <c r="H20" s="39">
        <v>0.66220205823273903</v>
      </c>
      <c r="I20" s="39">
        <v>0.68243241547944133</v>
      </c>
      <c r="J20" s="39">
        <v>0.62924805421987817</v>
      </c>
      <c r="K20" s="39">
        <v>0.71422145630364597</v>
      </c>
      <c r="L20" s="39">
        <v>0.63426592196140186</v>
      </c>
      <c r="M20" s="39">
        <v>0.59623190280464955</v>
      </c>
      <c r="N20" s="39">
        <v>0.78913888923978082</v>
      </c>
      <c r="O20" s="39">
        <v>0.72919551680107064</v>
      </c>
      <c r="P20" s="39">
        <v>0.63227471102558819</v>
      </c>
      <c r="Q20" s="39">
        <v>0.80349353324403672</v>
      </c>
      <c r="R20" s="39">
        <v>0.70717197756196781</v>
      </c>
      <c r="S20" s="39">
        <v>0.78306433759644689</v>
      </c>
      <c r="T20" s="39">
        <v>0.74526050231029428</v>
      </c>
      <c r="U20" s="39">
        <v>0.78038663844447886</v>
      </c>
      <c r="V20" s="39">
        <v>0.80943581040409118</v>
      </c>
      <c r="W20" s="39">
        <v>0.90528301702956571</v>
      </c>
      <c r="X20" s="39">
        <v>0.98042823253127942</v>
      </c>
      <c r="Y20" s="39">
        <v>0.84284206548473672</v>
      </c>
      <c r="Z20" s="39">
        <v>0.82907180564133287</v>
      </c>
      <c r="AA20" s="39">
        <v>0.93763027736657167</v>
      </c>
      <c r="AB20" s="39">
        <v>0.81551103478478515</v>
      </c>
      <c r="AC20" s="39">
        <v>0.98616251432985302</v>
      </c>
      <c r="AD20" s="39">
        <v>0.89378511554966733</v>
      </c>
      <c r="AE20" s="39">
        <v>0.88233492492617327</v>
      </c>
      <c r="AF20" s="39">
        <v>0.91191190626309526</v>
      </c>
      <c r="AG20" s="39">
        <v>0.89217096014261332</v>
      </c>
      <c r="AH20" s="39">
        <v>0.99677959222892965</v>
      </c>
      <c r="AI20" s="39">
        <v>0.84990902494465348</v>
      </c>
      <c r="AJ20" s="39">
        <v>0.7650054008251912</v>
      </c>
      <c r="AK20" s="40">
        <v>0.75133882616809755</v>
      </c>
      <c r="AL20" s="39">
        <v>0.73533424869862229</v>
      </c>
      <c r="AM20" s="39">
        <v>0.71555929371409865</v>
      </c>
      <c r="AN20" s="39">
        <v>0.97886805926816223</v>
      </c>
      <c r="AO20" s="39">
        <v>0.77254164503280254</v>
      </c>
      <c r="AP20" s="39">
        <v>0.80961105937171818</v>
      </c>
      <c r="AQ20" s="39">
        <v>0.77815998530679187</v>
      </c>
      <c r="AR20" s="39">
        <v>0.70264985621980169</v>
      </c>
      <c r="AS20" s="39">
        <v>0.67215454236031835</v>
      </c>
      <c r="AT20" s="39">
        <v>0.70768766487255585</v>
      </c>
      <c r="AU20" s="39">
        <v>0.68623009179926886</v>
      </c>
      <c r="AV20" s="39">
        <v>0.78128826461637113</v>
      </c>
      <c r="AW20" s="39">
        <v>0.86512673160978182</v>
      </c>
      <c r="AX20" s="41">
        <v>0.72797260319219592</v>
      </c>
      <c r="AY20" s="41">
        <v>0.78464764164905187</v>
      </c>
      <c r="AZ20" s="41">
        <v>0.6787233414071</v>
      </c>
      <c r="BA20" s="41">
        <v>0.68385344207524368</v>
      </c>
      <c r="BB20" s="41">
        <v>0.62970283641512226</v>
      </c>
      <c r="BC20" s="41">
        <v>0.75997715453212544</v>
      </c>
      <c r="BD20" s="41">
        <v>0.75795334554394556</v>
      </c>
      <c r="BE20" s="41">
        <v>0.68848029989978865</v>
      </c>
      <c r="BF20" s="41">
        <v>0.68450997174546668</v>
      </c>
      <c r="BG20" s="41">
        <v>0.6702662556570782</v>
      </c>
      <c r="BH20" s="41">
        <v>0.73688327567482037</v>
      </c>
      <c r="BI20" s="41">
        <v>0.747150496804866</v>
      </c>
    </row>
    <row r="21" spans="1:61" x14ac:dyDescent="0.3">
      <c r="A21" s="28" t="s">
        <v>415</v>
      </c>
      <c r="B21" s="39">
        <v>0.25826762822670546</v>
      </c>
      <c r="C21" s="39">
        <v>0.2211273102499566</v>
      </c>
      <c r="D21" s="39">
        <v>0.33810409762609445</v>
      </c>
      <c r="E21" s="39">
        <v>0.28078116236097783</v>
      </c>
      <c r="F21" s="39">
        <v>0.14742118259115358</v>
      </c>
      <c r="G21" s="39">
        <v>0.25225807279631807</v>
      </c>
      <c r="H21" s="39">
        <v>0.33779794176726091</v>
      </c>
      <c r="I21" s="39">
        <v>0.31756758452055867</v>
      </c>
      <c r="J21" s="39">
        <v>0.37075194578012188</v>
      </c>
      <c r="K21" s="39">
        <v>0.28577854369635397</v>
      </c>
      <c r="L21" s="39">
        <v>0.36573407803859814</v>
      </c>
      <c r="M21" s="39">
        <v>0.40376809719535051</v>
      </c>
      <c r="N21" s="39">
        <v>0.21086111076021913</v>
      </c>
      <c r="O21" s="39">
        <v>0.27080448319892941</v>
      </c>
      <c r="P21" s="39">
        <v>0.36772528897441181</v>
      </c>
      <c r="Q21" s="39">
        <v>0.19650646675596328</v>
      </c>
      <c r="R21" s="39">
        <v>0.29282802243803219</v>
      </c>
      <c r="S21" s="39">
        <v>0.21693566240355311</v>
      </c>
      <c r="T21" s="39">
        <v>0.25473949768970572</v>
      </c>
      <c r="U21" s="39">
        <v>0.21961336155552111</v>
      </c>
      <c r="V21" s="39">
        <v>0.19056418959590882</v>
      </c>
      <c r="W21" s="39">
        <v>9.4716982970434252E-2</v>
      </c>
      <c r="X21" s="39">
        <v>1.9571767468720566E-2</v>
      </c>
      <c r="Y21" s="39">
        <v>0.1571579345152633</v>
      </c>
      <c r="Z21" s="39">
        <v>0.17092819435866716</v>
      </c>
      <c r="AA21" s="39">
        <v>6.2369722633428382E-2</v>
      </c>
      <c r="AB21" s="39">
        <v>0.18448896521521482</v>
      </c>
      <c r="AC21" s="39">
        <v>1.3837485670147021E-2</v>
      </c>
      <c r="AD21" s="39">
        <v>0.10621488445033264</v>
      </c>
      <c r="AE21" s="39">
        <v>0.11766507507382677</v>
      </c>
      <c r="AF21" s="39">
        <v>8.8088093736904724E-2</v>
      </c>
      <c r="AG21" s="39">
        <v>0.10782903985738662</v>
      </c>
      <c r="AH21" s="39">
        <v>3.2204077710703176E-3</v>
      </c>
      <c r="AI21" s="39">
        <v>0.15009097505534646</v>
      </c>
      <c r="AJ21" s="39">
        <v>0.23499459917480878</v>
      </c>
      <c r="AK21" s="40">
        <v>0.24866117383190248</v>
      </c>
      <c r="AL21" s="39">
        <v>0.26466575130137771</v>
      </c>
      <c r="AM21" s="39">
        <v>0.2844407062859014</v>
      </c>
      <c r="AN21" s="39">
        <v>2.1131940731837766E-2</v>
      </c>
      <c r="AO21" s="39">
        <v>0.22745835496719746</v>
      </c>
      <c r="AP21" s="39">
        <v>0.19038894062828185</v>
      </c>
      <c r="AQ21" s="39">
        <v>0.22184001469320819</v>
      </c>
      <c r="AR21" s="39">
        <v>0.29735014378019831</v>
      </c>
      <c r="AS21" s="39">
        <v>0.32784545763968165</v>
      </c>
      <c r="AT21" s="39">
        <v>0.29231233512744415</v>
      </c>
      <c r="AU21" s="39">
        <v>0.31376990820073108</v>
      </c>
      <c r="AV21" s="39">
        <v>0.2187117353836289</v>
      </c>
      <c r="AW21" s="39">
        <v>0.13487326839021815</v>
      </c>
      <c r="AX21" s="41">
        <v>0.27202739680780413</v>
      </c>
      <c r="AY21" s="41">
        <v>0.2153523583509481</v>
      </c>
      <c r="AZ21" s="41">
        <v>0.32127665859290006</v>
      </c>
      <c r="BA21" s="41">
        <v>0.31614655792475632</v>
      </c>
      <c r="BB21" s="41">
        <v>0.3702971635848778</v>
      </c>
      <c r="BC21" s="41">
        <v>0.24002284546787456</v>
      </c>
      <c r="BD21" s="41">
        <v>0.24204665445605442</v>
      </c>
      <c r="BE21" s="41">
        <v>0.31151970010021129</v>
      </c>
      <c r="BF21" s="41">
        <v>0.31549002825453326</v>
      </c>
      <c r="BG21" s="41">
        <v>0.32973374434292174</v>
      </c>
      <c r="BH21" s="41">
        <v>0.26311672432517963</v>
      </c>
      <c r="BI21" s="41">
        <v>0.25284950319513394</v>
      </c>
    </row>
    <row r="22" spans="1:61" x14ac:dyDescent="0.3">
      <c r="A22" s="28" t="s">
        <v>416</v>
      </c>
      <c r="B22" s="39">
        <v>1.8320447095098804E-2</v>
      </c>
      <c r="C22" s="39">
        <v>0.12993742749008086</v>
      </c>
      <c r="D22" s="39">
        <v>0.22553631643522798</v>
      </c>
      <c r="E22" s="39">
        <v>0.16243677625031061</v>
      </c>
      <c r="F22" s="39">
        <v>1.1000543260645328E-2</v>
      </c>
      <c r="G22" s="39">
        <v>2.0892558084347713E-3</v>
      </c>
      <c r="H22" s="39">
        <v>0.20726186481318529</v>
      </c>
      <c r="I22" s="39">
        <v>0.16505164572961442</v>
      </c>
      <c r="J22" s="39">
        <v>0.13877154042814799</v>
      </c>
      <c r="K22" s="39">
        <v>8.2023129512039564E-2</v>
      </c>
      <c r="L22" s="39">
        <v>0.14366090449551505</v>
      </c>
      <c r="M22" s="39">
        <v>-0.80641121063202104</v>
      </c>
      <c r="N22" s="39">
        <v>-5.8576794136386147E-2</v>
      </c>
      <c r="O22" s="39">
        <v>0.12919376115913619</v>
      </c>
      <c r="P22" s="39">
        <v>0.25404097134426318</v>
      </c>
      <c r="Q22" s="39">
        <v>-3.5300255510522946E-2</v>
      </c>
      <c r="R22" s="39">
        <v>0.25137934223360053</v>
      </c>
      <c r="S22" s="39">
        <v>1.0842417228961327E-2</v>
      </c>
      <c r="T22" s="39">
        <v>0.12003104993654398</v>
      </c>
      <c r="U22" s="39">
        <v>6.9053658093951947E-2</v>
      </c>
      <c r="V22" s="39">
        <v>0.1320114135670063</v>
      </c>
      <c r="W22" s="39">
        <v>-0.17267280045482467</v>
      </c>
      <c r="X22" s="39">
        <v>-0.12336233123692318</v>
      </c>
      <c r="Y22" s="39">
        <v>0.65874702734361856</v>
      </c>
      <c r="Z22" s="39">
        <v>0.35319685240086746</v>
      </c>
      <c r="AA22" s="39">
        <v>-0.21149319629128194</v>
      </c>
      <c r="AB22" s="39">
        <v>-8.2370647000178557E-2</v>
      </c>
      <c r="AC22" s="39">
        <v>-0.49084039116999467</v>
      </c>
      <c r="AD22" s="39">
        <v>-0.1836989608357992</v>
      </c>
      <c r="AE22" s="39">
        <v>-0.30364947790834595</v>
      </c>
      <c r="AF22" s="39">
        <v>-0.16648394287731619</v>
      </c>
      <c r="AG22" s="39">
        <v>0.17551600205930107</v>
      </c>
      <c r="AH22" s="39">
        <v>-0.31277048517198835</v>
      </c>
      <c r="AI22" s="39">
        <v>-0.1670324128969215</v>
      </c>
      <c r="AJ22" s="39">
        <v>-0.12872440939692004</v>
      </c>
      <c r="AK22" s="40">
        <v>-0.14720404391176756</v>
      </c>
      <c r="AL22" s="39">
        <v>3.0418890033048436E-2</v>
      </c>
      <c r="AM22" s="39">
        <v>6.5860855808731619E-2</v>
      </c>
      <c r="AN22" s="39">
        <v>0.27384191086408149</v>
      </c>
      <c r="AO22" s="39">
        <v>6.2820655754001462E-2</v>
      </c>
      <c r="AP22" s="39">
        <v>-0.10041189736993553</v>
      </c>
      <c r="AQ22" s="39">
        <v>5.2514064618270823E-2</v>
      </c>
      <c r="AR22" s="39">
        <v>7.2654476472595417E-2</v>
      </c>
      <c r="AS22" s="39">
        <v>6.0787918967293353E-2</v>
      </c>
      <c r="AT22" s="39">
        <v>1.899392094051347E-2</v>
      </c>
      <c r="AU22" s="39">
        <v>0.21820283627861523</v>
      </c>
      <c r="AV22" s="39">
        <v>0.14338893140491718</v>
      </c>
      <c r="AW22" s="39">
        <v>-1.1823343084123009E-2</v>
      </c>
      <c r="AX22" s="41">
        <v>0.10988580015157959</v>
      </c>
      <c r="AY22" s="41">
        <v>7.7291349102925538E-2</v>
      </c>
      <c r="AZ22" s="41">
        <v>9.8901933482386573E-2</v>
      </c>
      <c r="BA22" s="41">
        <v>0.10549667405791838</v>
      </c>
      <c r="BB22" s="41">
        <v>0.16254384037084071</v>
      </c>
      <c r="BC22" s="41">
        <v>4.5536483658342564E-2</v>
      </c>
      <c r="BD22" s="41">
        <v>8.280071584293737E-2</v>
      </c>
      <c r="BE22" s="41">
        <v>7.6235714266503496E-2</v>
      </c>
      <c r="BF22" s="41">
        <v>0.24323020224685035</v>
      </c>
      <c r="BG22" s="41">
        <v>7.9781702939530491E-2</v>
      </c>
      <c r="BH22" s="41">
        <v>0.16195247346533662</v>
      </c>
      <c r="BI22" s="41">
        <v>0.29824207705334793</v>
      </c>
    </row>
    <row r="23" spans="1:61" x14ac:dyDescent="0.3">
      <c r="A23" s="28" t="s">
        <v>417</v>
      </c>
      <c r="B23" s="39">
        <v>9.3873594382511694E-2</v>
      </c>
      <c r="C23" s="39">
        <v>0.2068483607999142</v>
      </c>
      <c r="D23" s="39">
        <v>0.35753057950736206</v>
      </c>
      <c r="E23" s="39">
        <v>0.27284456105958022</v>
      </c>
      <c r="F23" s="39">
        <v>0.11732378892076435</v>
      </c>
      <c r="G23" s="39">
        <v>5.670607456118229E-2</v>
      </c>
      <c r="H23" s="39">
        <v>0.34170795862804282</v>
      </c>
      <c r="I23" s="39">
        <v>0.28549715061736752</v>
      </c>
      <c r="J23" s="39">
        <v>0.23551675262897673</v>
      </c>
      <c r="K23" s="39">
        <v>0.16283415010363822</v>
      </c>
      <c r="L23" s="39">
        <v>0.27772844976172051</v>
      </c>
      <c r="M23" s="39">
        <v>-0.99890324141814535</v>
      </c>
      <c r="N23" s="39">
        <v>4.3098226486686557E-3</v>
      </c>
      <c r="O23" s="39">
        <v>0.17556134011832852</v>
      </c>
      <c r="P23" s="39">
        <v>0.41033793809699842</v>
      </c>
      <c r="Q23" s="39">
        <v>3.6168286152768181E-2</v>
      </c>
      <c r="R23" s="39">
        <v>0.34351439618868668</v>
      </c>
      <c r="S23" s="39">
        <v>7.01701027856802E-2</v>
      </c>
      <c r="T23" s="39">
        <v>0.20437770426254026</v>
      </c>
      <c r="U23" s="39">
        <v>0.14452964672288204</v>
      </c>
      <c r="V23" s="39">
        <v>0.21171569942249011</v>
      </c>
      <c r="W23" s="39">
        <v>-0.2357502307884263</v>
      </c>
      <c r="X23" s="39">
        <v>-7.8602911249263427E-2</v>
      </c>
      <c r="Y23" s="39">
        <v>1.1078125647614514</v>
      </c>
      <c r="Z23" s="39">
        <v>0.65596597978985038</v>
      </c>
      <c r="AA23" s="39">
        <v>-0.23768848832004225</v>
      </c>
      <c r="AB23" s="39">
        <v>-1.9577927890024126E-2</v>
      </c>
      <c r="AC23" s="39">
        <v>-0.32766258240255647</v>
      </c>
      <c r="AD23" s="39">
        <v>-2.8451669337115196E-2</v>
      </c>
      <c r="AE23" s="39">
        <v>-0.1839340658199218</v>
      </c>
      <c r="AF23" s="39">
        <v>-4.4207643867272793E-2</v>
      </c>
      <c r="AG23" s="39">
        <v>0.28681550363363267</v>
      </c>
      <c r="AH23" s="39">
        <v>-0.15067456936593376</v>
      </c>
      <c r="AI23" s="39">
        <v>-3.3747043644552152E-2</v>
      </c>
      <c r="AJ23" s="39">
        <v>0.32377743796590741</v>
      </c>
      <c r="AK23" s="40">
        <v>5.7034558827867669E-3</v>
      </c>
      <c r="AL23" s="39">
        <v>0.13663898667110974</v>
      </c>
      <c r="AM23" s="39">
        <v>0.17402974526367138</v>
      </c>
      <c r="AN23" s="39">
        <v>0.52641745205046453</v>
      </c>
      <c r="AO23" s="39">
        <v>0.16553067408107142</v>
      </c>
      <c r="AP23" s="39">
        <v>-7.8977963015430266E-2</v>
      </c>
      <c r="AQ23" s="39">
        <v>0.15974472382090976</v>
      </c>
      <c r="AR23" s="39">
        <v>0.19864295982573635</v>
      </c>
      <c r="AS23" s="39">
        <v>0.16649311978501102</v>
      </c>
      <c r="AT23" s="39">
        <v>8.2994345850276346E-2</v>
      </c>
      <c r="AU23" s="39">
        <v>0.40017370202356428</v>
      </c>
      <c r="AV23" s="39">
        <v>0.30768982867751554</v>
      </c>
      <c r="AW23" s="39">
        <v>-2.3685231033531484E-2</v>
      </c>
      <c r="AX23" s="41">
        <v>0.22063378137574188</v>
      </c>
      <c r="AY23" s="41">
        <v>0.17573093431686601</v>
      </c>
      <c r="AZ23" s="41">
        <v>0.20180725307614578</v>
      </c>
      <c r="BA23" s="41">
        <v>0.20765827006418233</v>
      </c>
      <c r="BB23" s="41">
        <v>0.27915903589448754</v>
      </c>
      <c r="BC23" s="41">
        <v>0.11850855474805935</v>
      </c>
      <c r="BD23" s="41">
        <v>0.17336300447737205</v>
      </c>
      <c r="BE23" s="41">
        <v>0.15547280696087917</v>
      </c>
      <c r="BF23" s="41">
        <v>0.40692670931211211</v>
      </c>
      <c r="BG23" s="41">
        <v>0.15542656540889924</v>
      </c>
      <c r="BH23" s="41">
        <v>0.2564353930996785</v>
      </c>
      <c r="BI23" s="41">
        <v>0.42230721815009109</v>
      </c>
    </row>
    <row r="24" spans="1:61" x14ac:dyDescent="0.3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8"/>
      <c r="S24" s="38"/>
      <c r="T24" s="42"/>
      <c r="U24" s="43"/>
      <c r="V24" s="38"/>
      <c r="W24" s="42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7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</row>
    <row r="25" spans="1:61" x14ac:dyDescent="0.3">
      <c r="A25" s="28" t="s">
        <v>418</v>
      </c>
      <c r="B25" s="26">
        <v>350.1258391561002</v>
      </c>
      <c r="C25" s="26">
        <v>164.06639200000001</v>
      </c>
      <c r="D25" s="26">
        <v>-150.20970800000001</v>
      </c>
      <c r="E25" s="26">
        <v>-7.6354990000000003</v>
      </c>
      <c r="F25" s="26">
        <v>11.183728</v>
      </c>
      <c r="G25" s="26">
        <v>111.093536</v>
      </c>
      <c r="H25" s="26">
        <v>9.4194820000000004</v>
      </c>
      <c r="I25" s="26">
        <v>2.1289199999999999</v>
      </c>
      <c r="J25" s="26">
        <v>54.996907999999998</v>
      </c>
      <c r="K25" s="26">
        <v>120.255369</v>
      </c>
      <c r="L25" s="26">
        <v>195.73487499999999</v>
      </c>
      <c r="M25" s="26">
        <v>4307.5576279999996</v>
      </c>
      <c r="N25" s="26">
        <v>383.97163899999998</v>
      </c>
      <c r="O25" s="26">
        <v>94.995692000000005</v>
      </c>
      <c r="P25" s="26">
        <v>382.15191299999998</v>
      </c>
      <c r="Q25" s="26">
        <v>303.62035800000001</v>
      </c>
      <c r="R25" s="26">
        <v>-542.88030500000002</v>
      </c>
      <c r="S25" s="26">
        <v>164.55909299999999</v>
      </c>
      <c r="T25" s="26">
        <v>220.270062</v>
      </c>
      <c r="U25" s="26">
        <v>104.75847899999999</v>
      </c>
      <c r="V25" s="26">
        <v>-153.084057</v>
      </c>
      <c r="W25" s="26">
        <v>461.717758</v>
      </c>
      <c r="X25" s="26">
        <v>-35.451399000000002</v>
      </c>
      <c r="Y25" s="26">
        <v>709.69921699999998</v>
      </c>
      <c r="Z25" s="26">
        <v>892.98560599999996</v>
      </c>
      <c r="AA25" s="26">
        <v>472.93437699999998</v>
      </c>
      <c r="AB25" s="26">
        <v>268.090056</v>
      </c>
      <c r="AC25" s="26">
        <v>537.92203600000005</v>
      </c>
      <c r="AD25" s="26">
        <v>147.320311</v>
      </c>
      <c r="AE25" s="26">
        <v>385.37171999999998</v>
      </c>
      <c r="AF25" s="26">
        <v>224.76177200000001</v>
      </c>
      <c r="AG25" s="26">
        <v>-618.40036099999998</v>
      </c>
      <c r="AH25" s="26">
        <v>115.213897</v>
      </c>
      <c r="AI25" s="26">
        <v>159.77251000000001</v>
      </c>
      <c r="AJ25" s="26">
        <v>369.07803100000001</v>
      </c>
      <c r="AK25" s="25">
        <v>-301.13506000000001</v>
      </c>
      <c r="AL25" s="24">
        <v>293.88264199999998</v>
      </c>
      <c r="AM25" s="24">
        <v>-53.408191759999873</v>
      </c>
      <c r="AN25" s="24">
        <v>111.48500199999999</v>
      </c>
      <c r="AO25" s="24">
        <v>56.020368920000003</v>
      </c>
      <c r="AP25" s="24">
        <v>529.50782362999996</v>
      </c>
      <c r="AQ25" s="24">
        <v>261.44709699999999</v>
      </c>
      <c r="AR25" s="24">
        <v>-30.807306199999989</v>
      </c>
      <c r="AS25" s="24">
        <v>294.08680361</v>
      </c>
      <c r="AT25" s="24">
        <v>346.92376300000001</v>
      </c>
      <c r="AU25" s="24">
        <v>-255.32326499999999</v>
      </c>
      <c r="AV25" s="24">
        <v>78.627804780000005</v>
      </c>
      <c r="AW25" s="24">
        <v>-220.87517903</v>
      </c>
      <c r="AX25" s="44">
        <v>301.81830095000004</v>
      </c>
      <c r="AY25" s="44">
        <v>-32.181548999999997</v>
      </c>
      <c r="AZ25" s="44">
        <v>152.03018671999999</v>
      </c>
      <c r="BA25" s="44">
        <v>42.792895999999999</v>
      </c>
      <c r="BB25" s="44">
        <v>-12.336166029999999</v>
      </c>
      <c r="BC25" s="44">
        <v>98.488567000000003</v>
      </c>
      <c r="BD25" s="44">
        <v>-5.9357458799999998</v>
      </c>
      <c r="BE25" s="44">
        <v>472.18903950999993</v>
      </c>
      <c r="BF25" s="44">
        <v>221.30982563999999</v>
      </c>
      <c r="BG25" s="44">
        <v>456.00259399999999</v>
      </c>
      <c r="BH25" s="44">
        <v>293.40300030000003</v>
      </c>
      <c r="BI25" s="44">
        <v>-248.88937671000002</v>
      </c>
    </row>
    <row r="26" spans="1:61" x14ac:dyDescent="0.3">
      <c r="A26" s="28" t="s">
        <v>419</v>
      </c>
      <c r="B26" s="26">
        <v>145.9166720517</v>
      </c>
      <c r="C26" s="26">
        <v>143.615073</v>
      </c>
      <c r="D26" s="26">
        <v>173.90971999999999</v>
      </c>
      <c r="E26" s="26">
        <v>162.38142199999999</v>
      </c>
      <c r="F26" s="26">
        <v>239.30216300000001</v>
      </c>
      <c r="G26" s="26">
        <v>-119.22912100000001</v>
      </c>
      <c r="H26" s="26">
        <v>228.65879699999999</v>
      </c>
      <c r="I26" s="26">
        <v>251.42571699999999</v>
      </c>
      <c r="J26" s="26">
        <v>-142.63272699999999</v>
      </c>
      <c r="K26" s="26">
        <v>82.892335000000003</v>
      </c>
      <c r="L26" s="26">
        <v>246.15649300000001</v>
      </c>
      <c r="M26" s="26">
        <v>82.024113</v>
      </c>
      <c r="N26" s="26">
        <v>61.287531999999999</v>
      </c>
      <c r="O26" s="26">
        <v>57.516834000000003</v>
      </c>
      <c r="P26" s="26">
        <v>853.07891900000004</v>
      </c>
      <c r="Q26" s="26">
        <v>79.933789000000004</v>
      </c>
      <c r="R26" s="26">
        <v>-51.347031000000001</v>
      </c>
      <c r="S26" s="26">
        <v>-1.237889</v>
      </c>
      <c r="T26" s="26">
        <v>-7.6480999999999993E-2</v>
      </c>
      <c r="U26" s="26">
        <v>65.958543000000006</v>
      </c>
      <c r="V26" s="26">
        <v>81.064865999999995</v>
      </c>
      <c r="W26" s="26">
        <v>0.80825199999999997</v>
      </c>
      <c r="X26" s="26">
        <v>-52.674475000000001</v>
      </c>
      <c r="Y26" s="26">
        <v>4212.2476260000003</v>
      </c>
      <c r="Z26" s="26">
        <v>2480.2600523800002</v>
      </c>
      <c r="AA26" s="26">
        <v>36.259216000000002</v>
      </c>
      <c r="AB26" s="26">
        <v>-52.520153000000001</v>
      </c>
      <c r="AC26" s="26">
        <v>61.279561999999999</v>
      </c>
      <c r="AD26" s="26">
        <v>59.434170000000002</v>
      </c>
      <c r="AE26" s="26">
        <v>-7.6785277699999996</v>
      </c>
      <c r="AF26" s="26">
        <v>-48.480165999999997</v>
      </c>
      <c r="AG26" s="26">
        <v>70.829593000000003</v>
      </c>
      <c r="AH26" s="26">
        <v>-2.3859050000000002</v>
      </c>
      <c r="AI26" s="26">
        <v>-17.710452</v>
      </c>
      <c r="AJ26" s="26">
        <v>18.983242000000001</v>
      </c>
      <c r="AK26" s="25">
        <v>-16.028047000000001</v>
      </c>
      <c r="AL26" s="24">
        <v>124.48371886</v>
      </c>
      <c r="AM26" s="24">
        <v>209.19695539999975</v>
      </c>
      <c r="AN26" s="24">
        <v>1140.69535</v>
      </c>
      <c r="AO26" s="24">
        <v>130.54416184000002</v>
      </c>
      <c r="AP26" s="24">
        <v>40.420439000000002</v>
      </c>
      <c r="AQ26" s="24">
        <v>356.20275538999999</v>
      </c>
      <c r="AR26" s="24">
        <v>-98.266308200000012</v>
      </c>
      <c r="AS26" s="24">
        <v>22.607460579999998</v>
      </c>
      <c r="AT26" s="24">
        <v>-107.957823</v>
      </c>
      <c r="AU26" s="24">
        <v>320.93981413</v>
      </c>
      <c r="AV26" s="24">
        <v>484.30374950999999</v>
      </c>
      <c r="AW26" s="24">
        <v>129.50382665999999</v>
      </c>
      <c r="AX26" s="44">
        <v>374.09854407000017</v>
      </c>
      <c r="AY26" s="44">
        <v>137.73478700000001</v>
      </c>
      <c r="AZ26" s="44">
        <v>59.0965706</v>
      </c>
      <c r="BA26" s="44">
        <v>-57.610337570000006</v>
      </c>
      <c r="BB26" s="44">
        <v>-81.769488980000006</v>
      </c>
      <c r="BC26" s="44">
        <v>-22.973867819999999</v>
      </c>
      <c r="BD26" s="44">
        <v>45.974958669999999</v>
      </c>
      <c r="BE26" s="44">
        <v>208.83533995000002</v>
      </c>
      <c r="BF26" s="44">
        <v>843.86706499999991</v>
      </c>
      <c r="BG26" s="44">
        <v>-182.84361699999999</v>
      </c>
      <c r="BH26" s="44">
        <v>208.0364323</v>
      </c>
      <c r="BI26" s="44">
        <v>54.911748450000005</v>
      </c>
    </row>
    <row r="27" spans="1:61" x14ac:dyDescent="0.3">
      <c r="A27" s="35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8"/>
      <c r="S27" s="38"/>
      <c r="T27" s="42"/>
      <c r="U27" s="43"/>
      <c r="V27" s="38"/>
      <c r="W27" s="42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7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</row>
    <row r="28" spans="1:61" x14ac:dyDescent="0.3">
      <c r="A28" s="28" t="s">
        <v>420</v>
      </c>
      <c r="B28" s="26">
        <v>250.77278516624614</v>
      </c>
      <c r="C28" s="26">
        <v>391.19189170965382</v>
      </c>
      <c r="D28" s="26">
        <v>483.79611000234718</v>
      </c>
      <c r="E28" s="26">
        <v>379.09892899000027</v>
      </c>
      <c r="F28" s="26">
        <v>-205.30984830940037</v>
      </c>
      <c r="G28" s="26">
        <v>235.90885501454682</v>
      </c>
      <c r="H28" s="26">
        <v>450.25345007958714</v>
      </c>
      <c r="I28" s="26">
        <v>301.04142126512352</v>
      </c>
      <c r="J28" s="26">
        <v>718.05092527764964</v>
      </c>
      <c r="K28" s="26">
        <v>315.31368844034296</v>
      </c>
      <c r="L28" s="26">
        <v>499.6602692814991</v>
      </c>
      <c r="M28" s="26">
        <v>1488.1185639261635</v>
      </c>
      <c r="N28" s="26">
        <v>163.25938476999963</v>
      </c>
      <c r="O28" s="26">
        <v>445.44646804000024</v>
      </c>
      <c r="P28" s="26">
        <v>476.16786062000006</v>
      </c>
      <c r="Q28" s="26">
        <v>118.56456842999965</v>
      </c>
      <c r="R28" s="26">
        <v>448.57481552999934</v>
      </c>
      <c r="S28" s="26">
        <v>198.9284449299989</v>
      </c>
      <c r="T28" s="26">
        <v>573.58956039999987</v>
      </c>
      <c r="U28" s="26">
        <v>257.99136471999958</v>
      </c>
      <c r="V28" s="26">
        <v>130.74538016999972</v>
      </c>
      <c r="W28" s="26">
        <v>60.936824710002192</v>
      </c>
      <c r="X28" s="26">
        <v>-239.75907486000202</v>
      </c>
      <c r="Y28" s="26">
        <v>-1766.5261316600054</v>
      </c>
      <c r="Z28" s="26">
        <v>-739.02543532999925</v>
      </c>
      <c r="AA28" s="26">
        <v>-2.3210081500012834</v>
      </c>
      <c r="AB28" s="26">
        <v>104.07027896999756</v>
      </c>
      <c r="AC28" s="26">
        <v>-413.38807452930877</v>
      </c>
      <c r="AD28" s="26">
        <v>-316.29342680999508</v>
      </c>
      <c r="AE28" s="26">
        <v>-307.34162998000335</v>
      </c>
      <c r="AF28" s="26">
        <v>-96.662184409997394</v>
      </c>
      <c r="AG28" s="26">
        <v>-273.90112351999693</v>
      </c>
      <c r="AH28" s="26">
        <v>-483.87715903581091</v>
      </c>
      <c r="AI28" s="26">
        <v>-174.23123369504904</v>
      </c>
      <c r="AJ28" s="26">
        <v>17.964197360843759</v>
      </c>
      <c r="AK28" s="27">
        <v>-679.07773898743972</v>
      </c>
      <c r="AL28" s="26">
        <v>250.36011659216189</v>
      </c>
      <c r="AM28" s="26">
        <v>-72.438090048990261</v>
      </c>
      <c r="AN28" s="26">
        <v>-467.81471411105065</v>
      </c>
      <c r="AO28" s="26">
        <v>120.10797885651959</v>
      </c>
      <c r="AP28" s="26">
        <v>213.6675153874653</v>
      </c>
      <c r="AQ28" s="26">
        <v>37.901418467612075</v>
      </c>
      <c r="AR28" s="26">
        <v>319.24357881713371</v>
      </c>
      <c r="AS28" s="26">
        <v>482.12113569146686</v>
      </c>
      <c r="AT28" s="26">
        <v>518.75803292689534</v>
      </c>
      <c r="AU28" s="26">
        <v>189.72979766433679</v>
      </c>
      <c r="AV28" s="26">
        <v>-16.36461598785155</v>
      </c>
      <c r="AW28" s="26">
        <v>-379.88882780299116</v>
      </c>
      <c r="AX28" s="26">
        <v>252.31735578095908</v>
      </c>
      <c r="AY28" s="26">
        <v>51.31893969693698</v>
      </c>
      <c r="AZ28" s="26">
        <v>404.98869588284634</v>
      </c>
      <c r="BA28" s="26">
        <v>457.6305179200009</v>
      </c>
      <c r="BB28" s="26">
        <v>706.48767799999996</v>
      </c>
      <c r="BC28" s="26">
        <v>263.3013411148354</v>
      </c>
      <c r="BD28" s="26">
        <v>259.7913482300001</v>
      </c>
      <c r="BE28" s="26">
        <v>541.6358600470179</v>
      </c>
      <c r="BF28" s="26">
        <v>298.47016274783368</v>
      </c>
      <c r="BG28" s="26">
        <v>932.96401190107326</v>
      </c>
      <c r="BH28" s="26">
        <v>648.30121933000021</v>
      </c>
      <c r="BI28" s="26">
        <v>785.60023586000011</v>
      </c>
    </row>
    <row r="29" spans="1:61" x14ac:dyDescent="0.3">
      <c r="A29" s="28" t="s">
        <v>421</v>
      </c>
      <c r="B29" s="41">
        <v>9.8666506915907337E-2</v>
      </c>
      <c r="C29" s="41">
        <v>0.1371052207537552</v>
      </c>
      <c r="D29" s="41">
        <v>0.13505569261041336</v>
      </c>
      <c r="E29" s="41">
        <v>0.11214319875523984</v>
      </c>
      <c r="F29" s="41">
        <v>-9.9020596883143089E-2</v>
      </c>
      <c r="G29" s="41">
        <v>8.8230661411726599E-2</v>
      </c>
      <c r="H29" s="41">
        <v>0.13938966120264501</v>
      </c>
      <c r="I29" s="41">
        <v>9.0285174395527912E-2</v>
      </c>
      <c r="J29" s="41">
        <v>0.19146993958197767</v>
      </c>
      <c r="K29" s="41">
        <v>9.3048946245284592E-2</v>
      </c>
      <c r="L29" s="41">
        <v>0.13049265552115735</v>
      </c>
      <c r="M29" s="41">
        <v>0.43838274947279399</v>
      </c>
      <c r="N29" s="41">
        <v>5.9985749002645777E-2</v>
      </c>
      <c r="O29" s="41">
        <v>0.14106243531318099</v>
      </c>
      <c r="P29" s="41">
        <v>0.12772336763531358</v>
      </c>
      <c r="Q29" s="41">
        <v>3.9814306590244687E-2</v>
      </c>
      <c r="R29" s="41">
        <v>0.11994625227282615</v>
      </c>
      <c r="S29" s="41">
        <v>6.5100210129464861E-2</v>
      </c>
      <c r="T29" s="41">
        <v>0.19490422676774677</v>
      </c>
      <c r="U29" s="41">
        <v>8.1277117424717049E-2</v>
      </c>
      <c r="V29" s="41">
        <v>4.730104664187134E-2</v>
      </c>
      <c r="W29" s="41">
        <v>2.6307127125694437E-2</v>
      </c>
      <c r="X29" s="41">
        <v>-0.11509452431212171</v>
      </c>
      <c r="Y29" s="41">
        <v>-0.67032194986513083</v>
      </c>
      <c r="Z29" s="41">
        <v>-0.30771796277089958</v>
      </c>
      <c r="AA29" s="41">
        <v>-1.1181815850747389E-3</v>
      </c>
      <c r="AB29" s="41">
        <v>3.958778508453404E-2</v>
      </c>
      <c r="AC29" s="41">
        <v>-0.22797820203167449</v>
      </c>
      <c r="AD29" s="41">
        <v>-0.14375485168390337</v>
      </c>
      <c r="AE29" s="41">
        <v>-0.13324558500411252</v>
      </c>
      <c r="AF29" s="41">
        <v>-4.3505061481509115E-2</v>
      </c>
      <c r="AG29" s="41">
        <v>-0.11574932109630008</v>
      </c>
      <c r="AH29" s="41">
        <v>-0.25161810609444657</v>
      </c>
      <c r="AI29" s="41">
        <v>-8.2744068116387126E-2</v>
      </c>
      <c r="AJ29" s="41">
        <v>6.9624140436803433E-3</v>
      </c>
      <c r="AK29" s="45">
        <v>-0.25373202300466829</v>
      </c>
      <c r="AL29" s="41">
        <v>9.4065768185323057E-2</v>
      </c>
      <c r="AM29" s="41">
        <v>-2.5087597590530659E-2</v>
      </c>
      <c r="AN29" s="41">
        <v>-0.22819428493782201</v>
      </c>
      <c r="AO29" s="41">
        <v>3.8766856634886604E-2</v>
      </c>
      <c r="AP29" s="41">
        <v>7.7898376342202924E-2</v>
      </c>
      <c r="AQ29" s="41">
        <v>1.5003779562161319E-2</v>
      </c>
      <c r="AR29" s="41">
        <v>9.2120317214832048E-2</v>
      </c>
      <c r="AS29" s="41">
        <v>0.1391326011734686</v>
      </c>
      <c r="AT29" s="41">
        <v>0.15425480812898817</v>
      </c>
      <c r="AU29" s="41">
        <v>5.4046951650754765E-2</v>
      </c>
      <c r="AV29" s="41">
        <v>-6.0273221612413223E-3</v>
      </c>
      <c r="AW29" s="41">
        <v>-0.15220545646606146</v>
      </c>
      <c r="AX29" s="41">
        <v>8.541681955134002E-2</v>
      </c>
      <c r="AY29" s="41">
        <v>1.7928922371048699E-2</v>
      </c>
      <c r="AZ29" s="41">
        <v>0.12835607448455533</v>
      </c>
      <c r="BA29" s="41">
        <v>0.13514784481204645</v>
      </c>
      <c r="BB29" s="41">
        <v>0.18025968968972034</v>
      </c>
      <c r="BC29" s="41">
        <v>8.4531230041865829E-2</v>
      </c>
      <c r="BD29" s="41">
        <v>6.9011125885745345E-2</v>
      </c>
      <c r="BE29" s="41">
        <v>0.1483817596886978</v>
      </c>
      <c r="BF29" s="41">
        <v>7.8821713538232266E-2</v>
      </c>
      <c r="BG29" s="41">
        <v>0.25307362363898461</v>
      </c>
      <c r="BH29" s="41">
        <v>0.1865118549249481</v>
      </c>
      <c r="BI29" s="41">
        <v>0.21507137264553589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956-606F-4640-B191-85DCF79B3C00}">
  <dimension ref="A1:D57"/>
  <sheetViews>
    <sheetView topLeftCell="A24" workbookViewId="0">
      <selection activeCell="C41" sqref="C41"/>
    </sheetView>
  </sheetViews>
  <sheetFormatPr baseColWidth="10" defaultRowHeight="14.4" x14ac:dyDescent="0.3"/>
  <cols>
    <col min="1" max="1" width="97.44140625" bestFit="1" customWidth="1"/>
    <col min="2" max="2" width="22.33203125" bestFit="1" customWidth="1"/>
    <col min="3" max="3" width="19" bestFit="1" customWidth="1"/>
    <col min="4" max="4" width="15.33203125" bestFit="1" customWidth="1"/>
    <col min="5" max="5" width="17.77734375" bestFit="1" customWidth="1"/>
    <col min="6" max="6" width="33.21875" bestFit="1" customWidth="1"/>
    <col min="7" max="7" width="13.109375" bestFit="1" customWidth="1"/>
  </cols>
  <sheetData>
    <row r="1" spans="1:4" x14ac:dyDescent="0.3">
      <c r="A1" s="88" t="s">
        <v>422</v>
      </c>
      <c r="B1" s="88" t="s">
        <v>465</v>
      </c>
      <c r="C1" s="88" t="s">
        <v>466</v>
      </c>
      <c r="D1" s="89" t="s">
        <v>423</v>
      </c>
    </row>
    <row r="2" spans="1:4" x14ac:dyDescent="0.3">
      <c r="A2" s="35" t="s">
        <v>431</v>
      </c>
      <c r="B2" s="90">
        <v>728000</v>
      </c>
      <c r="C2" s="90">
        <v>0</v>
      </c>
      <c r="D2" s="91">
        <v>2201125</v>
      </c>
    </row>
    <row r="3" spans="1:4" x14ac:dyDescent="0.3">
      <c r="A3" s="35" t="s">
        <v>432</v>
      </c>
      <c r="B3" s="90">
        <v>479952.76</v>
      </c>
      <c r="C3" s="90">
        <v>483781.46</v>
      </c>
      <c r="D3" s="91" t="s">
        <v>1690</v>
      </c>
    </row>
    <row r="4" spans="1:4" x14ac:dyDescent="0.3">
      <c r="A4" s="35" t="s">
        <v>433</v>
      </c>
      <c r="B4" s="90">
        <v>252682.9</v>
      </c>
      <c r="C4" s="90">
        <v>290709.89</v>
      </c>
      <c r="D4" s="91">
        <v>400041.25</v>
      </c>
    </row>
    <row r="5" spans="1:4" x14ac:dyDescent="0.3">
      <c r="A5" s="35" t="s">
        <v>434</v>
      </c>
      <c r="B5" s="90">
        <v>326615.84999999998</v>
      </c>
      <c r="C5" s="90">
        <v>347569.73</v>
      </c>
      <c r="D5" s="91">
        <v>387600</v>
      </c>
    </row>
    <row r="6" spans="1:4" x14ac:dyDescent="0.3">
      <c r="A6" s="35" t="s">
        <v>436</v>
      </c>
      <c r="B6" s="90">
        <v>184663.55</v>
      </c>
      <c r="C6" s="90">
        <v>199860.3</v>
      </c>
      <c r="D6" s="91">
        <v>404500</v>
      </c>
    </row>
    <row r="7" spans="1:4" x14ac:dyDescent="0.3">
      <c r="A7" s="35" t="s">
        <v>437</v>
      </c>
      <c r="B7" s="90">
        <v>27587.4</v>
      </c>
      <c r="C7" s="90">
        <v>27210.799999999999</v>
      </c>
      <c r="D7" s="91">
        <v>62200</v>
      </c>
    </row>
    <row r="8" spans="1:4" x14ac:dyDescent="0.3">
      <c r="A8" s="35" t="s">
        <v>438</v>
      </c>
      <c r="B8" s="90">
        <v>190161.85</v>
      </c>
      <c r="C8" s="90">
        <v>219982.79</v>
      </c>
      <c r="D8" s="91" t="s">
        <v>1690</v>
      </c>
    </row>
    <row r="9" spans="1:4" x14ac:dyDescent="0.3">
      <c r="A9" s="35" t="s">
        <v>439</v>
      </c>
      <c r="B9" s="90">
        <v>128663.74</v>
      </c>
      <c r="C9" s="90">
        <v>141737.98000000001</v>
      </c>
      <c r="D9" s="91" t="s">
        <v>1690</v>
      </c>
    </row>
    <row r="10" spans="1:4" x14ac:dyDescent="0.3">
      <c r="A10" s="35" t="s">
        <v>440</v>
      </c>
      <c r="B10" s="90">
        <v>55465.61</v>
      </c>
      <c r="C10" s="90">
        <v>63623.83</v>
      </c>
      <c r="D10" s="91">
        <v>210000</v>
      </c>
    </row>
    <row r="11" spans="1:4" x14ac:dyDescent="0.3">
      <c r="A11" s="35" t="s">
        <v>441</v>
      </c>
      <c r="B11" s="90">
        <v>100887.67</v>
      </c>
      <c r="C11" s="90">
        <v>135917.75</v>
      </c>
      <c r="D11" s="91" t="s">
        <v>1690</v>
      </c>
    </row>
    <row r="12" spans="1:4" x14ac:dyDescent="0.3">
      <c r="A12" s="35" t="s">
        <v>442</v>
      </c>
      <c r="B12" s="90">
        <v>3960557</v>
      </c>
      <c r="C12" s="90">
        <v>2250362</v>
      </c>
      <c r="D12" s="91">
        <v>4513615.5</v>
      </c>
    </row>
    <row r="13" spans="1:4" x14ac:dyDescent="0.3">
      <c r="A13" s="35" t="s">
        <v>383</v>
      </c>
      <c r="B13" s="90"/>
      <c r="C13" s="90">
        <v>3762965</v>
      </c>
      <c r="D13" s="91">
        <v>3664752</v>
      </c>
    </row>
    <row r="14" spans="1:4" x14ac:dyDescent="0.3">
      <c r="A14" s="35" t="s">
        <v>384</v>
      </c>
      <c r="B14" s="90">
        <v>614431</v>
      </c>
      <c r="C14" s="90">
        <v>363377</v>
      </c>
      <c r="D14" s="91" t="s">
        <v>1690</v>
      </c>
    </row>
    <row r="15" spans="1:4" x14ac:dyDescent="0.3">
      <c r="A15" s="35" t="s">
        <v>386</v>
      </c>
      <c r="B15" s="90">
        <v>15214272</v>
      </c>
      <c r="C15" s="90">
        <v>17189076</v>
      </c>
      <c r="D15" s="91" t="s">
        <v>1690</v>
      </c>
    </row>
    <row r="16" spans="1:4" x14ac:dyDescent="0.3">
      <c r="A16" s="35" t="s">
        <v>388</v>
      </c>
      <c r="B16" s="90">
        <v>9300736</v>
      </c>
      <c r="C16" s="90">
        <v>14263353</v>
      </c>
      <c r="D16" s="91" t="s">
        <v>1690</v>
      </c>
    </row>
    <row r="17" spans="1:4" x14ac:dyDescent="0.3">
      <c r="A17" s="35" t="s">
        <v>387</v>
      </c>
      <c r="B17" s="90">
        <v>38433206</v>
      </c>
      <c r="C17" s="90">
        <v>47480202</v>
      </c>
      <c r="D17" s="91" t="s">
        <v>1690</v>
      </c>
    </row>
    <row r="18" spans="1:4" x14ac:dyDescent="0.3">
      <c r="A18" s="35" t="s">
        <v>390</v>
      </c>
      <c r="B18" s="90">
        <v>46276070</v>
      </c>
      <c r="C18" s="90">
        <v>56753850</v>
      </c>
      <c r="D18" s="91" t="s">
        <v>1690</v>
      </c>
    </row>
    <row r="19" spans="1:4" x14ac:dyDescent="0.3">
      <c r="A19" s="35" t="s">
        <v>389</v>
      </c>
      <c r="B19" s="90">
        <v>1616650</v>
      </c>
      <c r="C19" s="90">
        <v>1484544</v>
      </c>
      <c r="D19" s="91" t="s">
        <v>1690</v>
      </c>
    </row>
    <row r="20" spans="1:4" x14ac:dyDescent="0.3">
      <c r="A20" s="35" t="s">
        <v>443</v>
      </c>
      <c r="B20" s="90">
        <v>0</v>
      </c>
      <c r="C20" s="90">
        <v>35808054</v>
      </c>
      <c r="D20" s="91" t="s">
        <v>1690</v>
      </c>
    </row>
    <row r="21" spans="1:4" x14ac:dyDescent="0.3">
      <c r="A21" s="35" t="s">
        <v>473</v>
      </c>
      <c r="B21" s="90">
        <v>28600000</v>
      </c>
      <c r="C21" s="90">
        <v>20101250</v>
      </c>
      <c r="D21" s="91" t="s">
        <v>1690</v>
      </c>
    </row>
    <row r="22" spans="1:4" x14ac:dyDescent="0.3">
      <c r="A22" s="35" t="s">
        <v>444</v>
      </c>
      <c r="B22" s="90">
        <v>31757141</v>
      </c>
      <c r="C22" s="90">
        <v>13721955</v>
      </c>
      <c r="D22" s="91" t="s">
        <v>1690</v>
      </c>
    </row>
    <row r="23" spans="1:4" x14ac:dyDescent="0.3">
      <c r="A23" s="35" t="s">
        <v>445</v>
      </c>
      <c r="B23" s="90">
        <v>0</v>
      </c>
      <c r="C23" s="90">
        <v>14348</v>
      </c>
      <c r="D23" s="91">
        <v>29200</v>
      </c>
    </row>
    <row r="24" spans="1:4" x14ac:dyDescent="0.3">
      <c r="A24" s="35" t="s">
        <v>446</v>
      </c>
      <c r="B24" s="90">
        <v>26500</v>
      </c>
      <c r="C24" s="90">
        <v>55000</v>
      </c>
      <c r="D24" s="91">
        <v>77000</v>
      </c>
    </row>
    <row r="25" spans="1:4" x14ac:dyDescent="0.3">
      <c r="A25" s="35" t="s">
        <v>447</v>
      </c>
      <c r="B25" s="90">
        <v>0</v>
      </c>
      <c r="C25" s="90">
        <v>0</v>
      </c>
      <c r="D25" s="91">
        <v>81200</v>
      </c>
    </row>
    <row r="26" spans="1:4" x14ac:dyDescent="0.3">
      <c r="A26" s="35" t="s">
        <v>448</v>
      </c>
      <c r="B26" s="90">
        <v>43329</v>
      </c>
      <c r="C26" s="90">
        <v>134190</v>
      </c>
      <c r="D26" s="91">
        <v>72863.5</v>
      </c>
    </row>
    <row r="27" spans="1:4" x14ac:dyDescent="0.3">
      <c r="A27" s="35" t="s">
        <v>449</v>
      </c>
      <c r="B27" s="90">
        <v>0</v>
      </c>
      <c r="C27" s="90">
        <v>26645</v>
      </c>
      <c r="D27" s="91">
        <v>45500</v>
      </c>
    </row>
    <row r="28" spans="1:4" x14ac:dyDescent="0.3">
      <c r="A28" s="35" t="s">
        <v>450</v>
      </c>
      <c r="B28" s="90">
        <v>0</v>
      </c>
      <c r="C28" s="90">
        <v>26583</v>
      </c>
      <c r="D28" s="91">
        <v>45500</v>
      </c>
    </row>
    <row r="29" spans="1:4" x14ac:dyDescent="0.3">
      <c r="A29" s="35" t="s">
        <v>451</v>
      </c>
      <c r="B29" s="90">
        <v>0</v>
      </c>
      <c r="C29" s="90">
        <v>26165</v>
      </c>
      <c r="D29" s="91">
        <v>32200</v>
      </c>
    </row>
    <row r="30" spans="1:4" x14ac:dyDescent="0.3">
      <c r="A30" s="35" t="s">
        <v>452</v>
      </c>
      <c r="B30" s="90">
        <v>125000</v>
      </c>
      <c r="C30" s="90">
        <v>153720</v>
      </c>
      <c r="D30" s="91">
        <v>104500</v>
      </c>
    </row>
    <row r="31" spans="1:4" x14ac:dyDescent="0.3">
      <c r="A31" s="35" t="s">
        <v>453</v>
      </c>
      <c r="B31" s="90"/>
      <c r="C31" s="90">
        <v>172428</v>
      </c>
      <c r="D31" s="91">
        <v>168100</v>
      </c>
    </row>
    <row r="32" spans="1:4" x14ac:dyDescent="0.3">
      <c r="A32" s="35" t="s">
        <v>454</v>
      </c>
      <c r="B32" s="90">
        <v>113674</v>
      </c>
      <c r="C32" s="90">
        <v>0</v>
      </c>
      <c r="D32" s="91">
        <v>216000</v>
      </c>
    </row>
    <row r="33" spans="1:4" x14ac:dyDescent="0.3">
      <c r="A33" s="35" t="s">
        <v>455</v>
      </c>
      <c r="B33" s="90">
        <v>153740</v>
      </c>
      <c r="C33" s="90">
        <v>128759</v>
      </c>
      <c r="D33" s="91">
        <v>556700</v>
      </c>
    </row>
    <row r="34" spans="1:4" x14ac:dyDescent="0.3">
      <c r="A34" s="35" t="s">
        <v>456</v>
      </c>
      <c r="B34" s="90">
        <v>0</v>
      </c>
      <c r="C34" s="90">
        <v>79887</v>
      </c>
      <c r="D34" s="91">
        <v>295000</v>
      </c>
    </row>
    <row r="35" spans="1:4" x14ac:dyDescent="0.3">
      <c r="A35" s="35" t="s">
        <v>457</v>
      </c>
      <c r="B35" s="90">
        <v>0</v>
      </c>
      <c r="C35" s="90">
        <v>60903</v>
      </c>
      <c r="D35" s="91">
        <v>91100</v>
      </c>
    </row>
    <row r="36" spans="1:4" x14ac:dyDescent="0.3">
      <c r="A36" s="35" t="s">
        <v>458</v>
      </c>
      <c r="B36" s="90">
        <v>0</v>
      </c>
      <c r="C36" s="90">
        <v>642720</v>
      </c>
      <c r="D36" s="91">
        <v>394200</v>
      </c>
    </row>
    <row r="37" spans="1:4" x14ac:dyDescent="0.3">
      <c r="A37" s="35" t="s">
        <v>459</v>
      </c>
      <c r="B37" s="35"/>
      <c r="C37" s="35"/>
      <c r="D37" s="91">
        <v>1668900</v>
      </c>
    </row>
    <row r="38" spans="1:4" x14ac:dyDescent="0.3">
      <c r="A38" s="35" t="s">
        <v>460</v>
      </c>
      <c r="B38" s="35"/>
      <c r="C38" s="92"/>
      <c r="D38" s="91">
        <v>1728900</v>
      </c>
    </row>
    <row r="39" spans="1:4" x14ac:dyDescent="0.3">
      <c r="A39" s="35" t="s">
        <v>461</v>
      </c>
      <c r="B39" s="90">
        <v>0</v>
      </c>
      <c r="C39" s="90">
        <v>1418204</v>
      </c>
      <c r="D39" s="91">
        <v>1580300</v>
      </c>
    </row>
    <row r="40" spans="1:4" x14ac:dyDescent="0.3">
      <c r="A40" s="35" t="s">
        <v>462</v>
      </c>
      <c r="B40" s="90">
        <v>0</v>
      </c>
      <c r="C40" s="90">
        <v>842084</v>
      </c>
      <c r="D40" s="91">
        <v>932700</v>
      </c>
    </row>
    <row r="41" spans="1:4" x14ac:dyDescent="0.3">
      <c r="A41" s="35" t="s">
        <v>463</v>
      </c>
      <c r="B41" s="90">
        <v>0</v>
      </c>
      <c r="C41" s="90">
        <v>675000</v>
      </c>
      <c r="D41" s="91">
        <v>710300</v>
      </c>
    </row>
    <row r="42" spans="1:4" x14ac:dyDescent="0.3">
      <c r="A42" s="35" t="s">
        <v>474</v>
      </c>
      <c r="B42" s="90">
        <v>0</v>
      </c>
      <c r="C42" s="90">
        <v>1476595.5</v>
      </c>
      <c r="D42" s="91">
        <v>1575100</v>
      </c>
    </row>
    <row r="43" spans="1:4" x14ac:dyDescent="0.3">
      <c r="A43" s="35" t="s">
        <v>464</v>
      </c>
      <c r="B43" s="90">
        <v>0</v>
      </c>
      <c r="C43" s="90">
        <v>2463645</v>
      </c>
      <c r="D43" s="91">
        <v>4512191</v>
      </c>
    </row>
    <row r="44" spans="1:4" x14ac:dyDescent="0.3">
      <c r="A44" s="35" t="s">
        <v>475</v>
      </c>
      <c r="B44" s="90">
        <v>0</v>
      </c>
      <c r="C44" s="90">
        <v>13151</v>
      </c>
      <c r="D44" s="91">
        <v>49300</v>
      </c>
    </row>
    <row r="45" spans="1:4" x14ac:dyDescent="0.3">
      <c r="A45" s="35" t="s">
        <v>476</v>
      </c>
      <c r="B45" s="90">
        <v>0</v>
      </c>
      <c r="C45" s="90">
        <v>15783</v>
      </c>
      <c r="D45" s="91">
        <v>48000</v>
      </c>
    </row>
    <row r="46" spans="1:4" x14ac:dyDescent="0.3">
      <c r="A46" s="35" t="s">
        <v>477</v>
      </c>
      <c r="B46" s="90">
        <v>0</v>
      </c>
      <c r="C46" s="90">
        <v>29160</v>
      </c>
      <c r="D46" s="91">
        <v>229100</v>
      </c>
    </row>
    <row r="47" spans="1:4" x14ac:dyDescent="0.3">
      <c r="A47" s="35" t="s">
        <v>478</v>
      </c>
      <c r="B47" s="90">
        <v>16602</v>
      </c>
      <c r="C47" s="90">
        <v>17507</v>
      </c>
      <c r="D47" s="91">
        <v>38200</v>
      </c>
    </row>
    <row r="48" spans="1:4" x14ac:dyDescent="0.3">
      <c r="A48" s="35" t="s">
        <v>479</v>
      </c>
      <c r="B48" s="90">
        <v>0</v>
      </c>
      <c r="C48" s="90">
        <v>90426</v>
      </c>
      <c r="D48" s="91">
        <v>165000</v>
      </c>
    </row>
    <row r="49" spans="1:4" x14ac:dyDescent="0.3">
      <c r="A49" s="35" t="s">
        <v>480</v>
      </c>
      <c r="B49" s="90">
        <v>185797</v>
      </c>
      <c r="C49" s="90">
        <v>48670</v>
      </c>
      <c r="D49" s="91">
        <v>158900</v>
      </c>
    </row>
    <row r="50" spans="1:4" x14ac:dyDescent="0.3">
      <c r="A50" s="35" t="s">
        <v>481</v>
      </c>
      <c r="B50" s="90">
        <v>0</v>
      </c>
      <c r="C50" s="90">
        <v>15192</v>
      </c>
      <c r="D50" s="91">
        <v>36600</v>
      </c>
    </row>
    <row r="51" spans="1:4" x14ac:dyDescent="0.3">
      <c r="A51" s="35" t="s">
        <v>482</v>
      </c>
      <c r="B51" s="90">
        <v>112748</v>
      </c>
      <c r="C51" s="90">
        <v>65302</v>
      </c>
      <c r="D51" s="91">
        <v>70600</v>
      </c>
    </row>
    <row r="52" spans="1:4" x14ac:dyDescent="0.3">
      <c r="A52" s="35" t="s">
        <v>483</v>
      </c>
      <c r="B52" s="90">
        <v>49005</v>
      </c>
      <c r="C52" s="90">
        <v>14518</v>
      </c>
      <c r="D52" s="91">
        <v>45200</v>
      </c>
    </row>
    <row r="53" spans="1:4" x14ac:dyDescent="0.3">
      <c r="A53" s="35" t="s">
        <v>484</v>
      </c>
      <c r="B53" s="90">
        <v>36175</v>
      </c>
      <c r="C53" s="90">
        <v>20034</v>
      </c>
      <c r="D53" s="91">
        <v>37200</v>
      </c>
    </row>
    <row r="54" spans="1:4" x14ac:dyDescent="0.3">
      <c r="A54" s="35" t="s">
        <v>485</v>
      </c>
      <c r="B54" s="90">
        <v>16602</v>
      </c>
      <c r="C54" s="90">
        <v>5447</v>
      </c>
      <c r="D54" s="91">
        <v>18200</v>
      </c>
    </row>
    <row r="55" spans="1:4" x14ac:dyDescent="0.3">
      <c r="A55" s="35" t="s">
        <v>486</v>
      </c>
      <c r="B55" s="90">
        <v>0</v>
      </c>
      <c r="C55" s="90">
        <v>9145</v>
      </c>
      <c r="D55" s="91">
        <v>43100</v>
      </c>
    </row>
    <row r="56" spans="1:4" x14ac:dyDescent="0.3">
      <c r="A56" s="35" t="s">
        <v>487</v>
      </c>
      <c r="B56" s="90">
        <v>0</v>
      </c>
      <c r="C56" s="90">
        <v>18488</v>
      </c>
      <c r="D56" s="91">
        <v>49400</v>
      </c>
    </row>
    <row r="57" spans="1:4" x14ac:dyDescent="0.3">
      <c r="A57" s="35" t="s">
        <v>488</v>
      </c>
      <c r="B57" s="35"/>
      <c r="C57" s="35"/>
      <c r="D57" s="91">
        <v>368400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588A-FF57-4C15-B43F-E5FE49E14447}">
  <dimension ref="A1:D42"/>
  <sheetViews>
    <sheetView topLeftCell="J37" workbookViewId="0">
      <selection activeCell="A45" sqref="A45"/>
    </sheetView>
  </sheetViews>
  <sheetFormatPr baseColWidth="10" defaultRowHeight="14.4" x14ac:dyDescent="0.3"/>
  <cols>
    <col min="1" max="1" width="24.88671875" bestFit="1" customWidth="1"/>
  </cols>
  <sheetData>
    <row r="1" spans="1:4" x14ac:dyDescent="0.3">
      <c r="A1" s="117" t="s">
        <v>359</v>
      </c>
      <c r="B1" s="3"/>
      <c r="C1" s="119" t="s">
        <v>360</v>
      </c>
      <c r="D1" s="119"/>
    </row>
    <row r="2" spans="1:4" x14ac:dyDescent="0.3">
      <c r="A2" s="118"/>
      <c r="B2" s="5" t="s">
        <v>42</v>
      </c>
      <c r="C2" s="4" t="s">
        <v>361</v>
      </c>
      <c r="D2" s="6" t="s">
        <v>362</v>
      </c>
    </row>
    <row r="3" spans="1:4" x14ac:dyDescent="0.3">
      <c r="A3" s="7" t="s">
        <v>26</v>
      </c>
      <c r="B3" s="9">
        <v>955949</v>
      </c>
      <c r="C3" s="8">
        <v>7534</v>
      </c>
      <c r="D3" s="8">
        <v>12693</v>
      </c>
    </row>
    <row r="4" spans="1:4" x14ac:dyDescent="0.3">
      <c r="A4" s="7" t="s">
        <v>40</v>
      </c>
      <c r="B4" s="9">
        <v>811240</v>
      </c>
      <c r="C4" s="8">
        <v>0</v>
      </c>
      <c r="D4" s="8">
        <v>0</v>
      </c>
    </row>
    <row r="5" spans="1:4" x14ac:dyDescent="0.3">
      <c r="A5" s="7" t="s">
        <v>33</v>
      </c>
      <c r="B5" s="9">
        <v>589706</v>
      </c>
      <c r="C5" s="8">
        <v>0</v>
      </c>
      <c r="D5" s="8">
        <v>0</v>
      </c>
    </row>
    <row r="6" spans="1:4" x14ac:dyDescent="0.3">
      <c r="A6" s="7" t="s">
        <v>34</v>
      </c>
      <c r="B6" s="9">
        <v>578178</v>
      </c>
      <c r="C6" s="8">
        <v>4552</v>
      </c>
      <c r="D6" s="8">
        <v>71</v>
      </c>
    </row>
    <row r="7" spans="1:4" x14ac:dyDescent="0.3">
      <c r="A7" s="7" t="s">
        <v>363</v>
      </c>
      <c r="B7" s="9">
        <v>491723</v>
      </c>
      <c r="C7" s="8">
        <v>1</v>
      </c>
      <c r="D7" s="8">
        <v>846</v>
      </c>
    </row>
    <row r="8" spans="1:4" x14ac:dyDescent="0.3">
      <c r="A8" s="7" t="s">
        <v>5</v>
      </c>
      <c r="B8" s="9">
        <v>480235</v>
      </c>
      <c r="C8" s="8">
        <v>1518</v>
      </c>
      <c r="D8" s="8">
        <v>86</v>
      </c>
    </row>
    <row r="9" spans="1:4" x14ac:dyDescent="0.3">
      <c r="A9" s="7" t="s">
        <v>41</v>
      </c>
      <c r="B9" s="9">
        <v>284331</v>
      </c>
      <c r="C9" s="8">
        <v>0</v>
      </c>
      <c r="D9" s="8">
        <v>0</v>
      </c>
    </row>
    <row r="10" spans="1:4" x14ac:dyDescent="0.3">
      <c r="A10" s="7" t="s">
        <v>36</v>
      </c>
      <c r="B10" s="9">
        <v>258274</v>
      </c>
      <c r="C10" s="8">
        <v>4041</v>
      </c>
      <c r="D10" s="8">
        <v>26</v>
      </c>
    </row>
    <row r="11" spans="1:4" x14ac:dyDescent="0.3">
      <c r="A11" s="7" t="s">
        <v>364</v>
      </c>
      <c r="B11" s="9">
        <v>152039</v>
      </c>
      <c r="C11" s="8">
        <v>0</v>
      </c>
      <c r="D11" s="8">
        <v>0</v>
      </c>
    </row>
    <row r="12" spans="1:4" x14ac:dyDescent="0.3">
      <c r="A12" s="7" t="s">
        <v>37</v>
      </c>
      <c r="B12" s="9">
        <v>14605</v>
      </c>
      <c r="C12" s="8">
        <v>0</v>
      </c>
      <c r="D12" s="8">
        <v>2</v>
      </c>
    </row>
    <row r="13" spans="1:4" x14ac:dyDescent="0.3">
      <c r="A13" s="7" t="s">
        <v>365</v>
      </c>
      <c r="B13" s="9">
        <v>0</v>
      </c>
      <c r="C13" s="8">
        <v>0</v>
      </c>
      <c r="D13" s="8">
        <v>0</v>
      </c>
    </row>
    <row r="14" spans="1:4" x14ac:dyDescent="0.3">
      <c r="A14" s="7" t="s">
        <v>366</v>
      </c>
      <c r="B14" s="9">
        <v>70842</v>
      </c>
      <c r="C14" s="8">
        <v>3442</v>
      </c>
      <c r="D14" s="8">
        <f>234+6279+2176+2</f>
        <v>8691</v>
      </c>
    </row>
    <row r="15" spans="1:4" x14ac:dyDescent="0.3">
      <c r="A15" s="7" t="s">
        <v>35</v>
      </c>
      <c r="B15" s="9">
        <v>6989</v>
      </c>
      <c r="C15" s="8">
        <v>0</v>
      </c>
      <c r="D15" s="8">
        <v>0</v>
      </c>
    </row>
    <row r="16" spans="1:4" x14ac:dyDescent="0.3">
      <c r="A16" s="7" t="s">
        <v>25</v>
      </c>
      <c r="B16" s="9">
        <v>6204</v>
      </c>
      <c r="C16" s="8">
        <v>0</v>
      </c>
      <c r="D16" s="8">
        <v>0</v>
      </c>
    </row>
    <row r="17" spans="1:4" x14ac:dyDescent="0.3">
      <c r="A17" s="10" t="s">
        <v>367</v>
      </c>
      <c r="B17" s="12">
        <f>6+1</f>
        <v>7</v>
      </c>
      <c r="C17" s="11">
        <v>2751</v>
      </c>
      <c r="D17" s="11">
        <v>534</v>
      </c>
    </row>
    <row r="18" spans="1:4" x14ac:dyDescent="0.3">
      <c r="A18" s="13" t="s">
        <v>368</v>
      </c>
      <c r="B18" s="14">
        <f t="shared" ref="B18" si="0">SUM(B3:B17)</f>
        <v>4700322</v>
      </c>
      <c r="C18" s="14">
        <f>SUM(C3:C17)</f>
        <v>23839</v>
      </c>
      <c r="D18" s="14">
        <f>SUM(D3:D17)</f>
        <v>22949</v>
      </c>
    </row>
    <row r="37" spans="1:2" x14ac:dyDescent="0.3">
      <c r="A37" t="s">
        <v>369</v>
      </c>
      <c r="B37" t="s">
        <v>370</v>
      </c>
    </row>
    <row r="38" spans="1:2" x14ac:dyDescent="0.3">
      <c r="A38" t="s">
        <v>374</v>
      </c>
      <c r="B38" s="15">
        <v>1.38E-2</v>
      </c>
    </row>
    <row r="39" spans="1:2" x14ac:dyDescent="0.3">
      <c r="A39" t="s">
        <v>373</v>
      </c>
      <c r="B39" s="15">
        <v>0.1</v>
      </c>
    </row>
    <row r="40" spans="1:2" x14ac:dyDescent="0.3">
      <c r="A40" t="s">
        <v>372</v>
      </c>
      <c r="B40" s="15">
        <v>0.4</v>
      </c>
    </row>
    <row r="41" spans="1:2" x14ac:dyDescent="0.3">
      <c r="A41" t="s">
        <v>371</v>
      </c>
      <c r="B41" s="15">
        <v>0.78500000000000003</v>
      </c>
    </row>
    <row r="42" spans="1:2" x14ac:dyDescent="0.3">
      <c r="A42" t="s">
        <v>375</v>
      </c>
      <c r="B42" s="15">
        <v>0.85</v>
      </c>
    </row>
  </sheetData>
  <mergeCells count="2">
    <mergeCell ref="A1:A2"/>
    <mergeCell ref="C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4AEC7-096F-4A0D-80EA-B470122B4175}">
  <dimension ref="A1:E17"/>
  <sheetViews>
    <sheetView zoomScale="134" workbookViewId="0">
      <selection activeCell="D26" sqref="D26"/>
    </sheetView>
  </sheetViews>
  <sheetFormatPr baseColWidth="10" defaultRowHeight="14.4" x14ac:dyDescent="0.3"/>
  <cols>
    <col min="1" max="1" width="24.88671875" bestFit="1" customWidth="1"/>
    <col min="2" max="2" width="20.88671875" bestFit="1" customWidth="1"/>
    <col min="3" max="3" width="25.77734375" bestFit="1" customWidth="1"/>
    <col min="4" max="4" width="14.109375" bestFit="1" customWidth="1"/>
    <col min="5" max="5" width="24.5546875" bestFit="1" customWidth="1"/>
  </cols>
  <sheetData>
    <row r="1" spans="1:5" x14ac:dyDescent="0.3">
      <c r="A1" s="3" t="s">
        <v>359</v>
      </c>
      <c r="B1" s="4" t="s">
        <v>376</v>
      </c>
      <c r="C1" s="5" t="s">
        <v>377</v>
      </c>
      <c r="D1" s="4" t="s">
        <v>378</v>
      </c>
      <c r="E1" s="6" t="s">
        <v>379</v>
      </c>
    </row>
    <row r="2" spans="1:5" x14ac:dyDescent="0.3">
      <c r="A2" s="7" t="s">
        <v>26</v>
      </c>
      <c r="B2" s="8">
        <v>920566</v>
      </c>
      <c r="C2" s="9">
        <v>955949</v>
      </c>
      <c r="D2" s="8">
        <v>7534</v>
      </c>
      <c r="E2" s="8">
        <v>12693</v>
      </c>
    </row>
    <row r="3" spans="1:5" x14ac:dyDescent="0.3">
      <c r="A3" s="7" t="s">
        <v>40</v>
      </c>
      <c r="B3" s="8">
        <v>0</v>
      </c>
      <c r="C3" s="9">
        <v>811240</v>
      </c>
      <c r="D3" s="8">
        <v>0</v>
      </c>
      <c r="E3" s="8">
        <v>0</v>
      </c>
    </row>
    <row r="4" spans="1:5" x14ac:dyDescent="0.3">
      <c r="A4" s="7" t="s">
        <v>33</v>
      </c>
      <c r="B4" s="8">
        <v>1</v>
      </c>
      <c r="C4" s="9">
        <v>589706</v>
      </c>
      <c r="D4" s="8">
        <v>0</v>
      </c>
      <c r="E4" s="8">
        <v>0</v>
      </c>
    </row>
    <row r="5" spans="1:5" x14ac:dyDescent="0.3">
      <c r="A5" s="7" t="s">
        <v>34</v>
      </c>
      <c r="B5" s="8">
        <v>154139</v>
      </c>
      <c r="C5" s="9">
        <v>578178</v>
      </c>
      <c r="D5" s="8">
        <v>4552</v>
      </c>
      <c r="E5" s="8">
        <v>71</v>
      </c>
    </row>
    <row r="6" spans="1:5" x14ac:dyDescent="0.3">
      <c r="A6" s="7" t="s">
        <v>363</v>
      </c>
      <c r="B6" s="8">
        <v>342553</v>
      </c>
      <c r="C6" s="9">
        <v>491723</v>
      </c>
      <c r="D6" s="8">
        <v>1</v>
      </c>
      <c r="E6" s="8">
        <v>846</v>
      </c>
    </row>
    <row r="7" spans="1:5" x14ac:dyDescent="0.3">
      <c r="A7" s="7" t="s">
        <v>5</v>
      </c>
      <c r="B7" s="8">
        <v>383821</v>
      </c>
      <c r="C7" s="9">
        <v>480235</v>
      </c>
      <c r="D7" s="8">
        <v>1518</v>
      </c>
      <c r="E7" s="8">
        <v>86</v>
      </c>
    </row>
    <row r="8" spans="1:5" x14ac:dyDescent="0.3">
      <c r="A8" s="7" t="s">
        <v>41</v>
      </c>
      <c r="B8" s="8">
        <v>0</v>
      </c>
      <c r="C8" s="9">
        <v>284331</v>
      </c>
      <c r="D8" s="8">
        <v>0</v>
      </c>
      <c r="E8" s="8">
        <v>0</v>
      </c>
    </row>
    <row r="9" spans="1:5" x14ac:dyDescent="0.3">
      <c r="A9" s="7" t="s">
        <v>36</v>
      </c>
      <c r="B9" s="8">
        <v>283927</v>
      </c>
      <c r="C9" s="9">
        <v>258274</v>
      </c>
      <c r="D9" s="8">
        <v>4041</v>
      </c>
      <c r="E9" s="8">
        <v>26</v>
      </c>
    </row>
    <row r="10" spans="1:5" x14ac:dyDescent="0.3">
      <c r="A10" s="7" t="s">
        <v>364</v>
      </c>
      <c r="B10" s="8">
        <v>0</v>
      </c>
      <c r="C10" s="9">
        <v>152039</v>
      </c>
      <c r="D10" s="8">
        <v>0</v>
      </c>
      <c r="E10" s="8">
        <v>0</v>
      </c>
    </row>
    <row r="11" spans="1:5" x14ac:dyDescent="0.3">
      <c r="A11" s="7" t="s">
        <v>37</v>
      </c>
      <c r="B11" s="8">
        <v>103890</v>
      </c>
      <c r="C11" s="9">
        <v>14605</v>
      </c>
      <c r="D11" s="8">
        <v>0</v>
      </c>
      <c r="E11" s="8">
        <v>2</v>
      </c>
    </row>
    <row r="12" spans="1:5" x14ac:dyDescent="0.3">
      <c r="A12" s="7" t="s">
        <v>365</v>
      </c>
      <c r="B12" s="8">
        <v>76664</v>
      </c>
      <c r="C12" s="9">
        <v>0</v>
      </c>
      <c r="D12" s="8">
        <v>0</v>
      </c>
      <c r="E12" s="8">
        <v>0</v>
      </c>
    </row>
    <row r="13" spans="1:5" x14ac:dyDescent="0.3">
      <c r="A13" s="7" t="s">
        <v>366</v>
      </c>
      <c r="B13" s="8">
        <v>72866</v>
      </c>
      <c r="C13" s="9">
        <v>70842</v>
      </c>
      <c r="D13" s="8">
        <v>3442</v>
      </c>
      <c r="E13" s="8">
        <f>234+6279+2176+2</f>
        <v>8691</v>
      </c>
    </row>
    <row r="14" spans="1:5" x14ac:dyDescent="0.3">
      <c r="A14" s="7" t="s">
        <v>35</v>
      </c>
      <c r="B14" s="8">
        <v>1378</v>
      </c>
      <c r="C14" s="9">
        <v>6989</v>
      </c>
      <c r="D14" s="8">
        <v>0</v>
      </c>
      <c r="E14" s="8">
        <v>0</v>
      </c>
    </row>
    <row r="15" spans="1:5" x14ac:dyDescent="0.3">
      <c r="A15" s="7" t="s">
        <v>25</v>
      </c>
      <c r="B15" s="8">
        <v>0</v>
      </c>
      <c r="C15" s="9">
        <v>6204</v>
      </c>
      <c r="D15" s="8">
        <v>0</v>
      </c>
      <c r="E15" s="8">
        <v>0</v>
      </c>
    </row>
    <row r="16" spans="1:5" x14ac:dyDescent="0.3">
      <c r="A16" s="10" t="s">
        <v>367</v>
      </c>
      <c r="B16" s="11">
        <f>5+3+1+1</f>
        <v>10</v>
      </c>
      <c r="C16" s="12">
        <f>6+1</f>
        <v>7</v>
      </c>
      <c r="D16" s="11">
        <v>2751</v>
      </c>
      <c r="E16" s="11">
        <v>534</v>
      </c>
    </row>
    <row r="17" spans="1:5" x14ac:dyDescent="0.3">
      <c r="A17" s="13" t="s">
        <v>368</v>
      </c>
      <c r="B17" s="14">
        <f t="shared" ref="B17:C17" si="0">SUM(B2:B16)</f>
        <v>2339815</v>
      </c>
      <c r="C17" s="14">
        <f t="shared" si="0"/>
        <v>4700322</v>
      </c>
      <c r="D17" s="14">
        <f>SUM(D2:D16)</f>
        <v>23839</v>
      </c>
      <c r="E17" s="14">
        <f>SUM(E2:E16)</f>
        <v>22949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330-589F-4330-BAE6-3F512D59C472}">
  <dimension ref="A1:N57"/>
  <sheetViews>
    <sheetView workbookViewId="0">
      <selection activeCell="P37" sqref="P37"/>
    </sheetView>
  </sheetViews>
  <sheetFormatPr baseColWidth="10" defaultRowHeight="14.4" x14ac:dyDescent="0.3"/>
  <sheetData>
    <row r="1" spans="1:14" ht="43.2" x14ac:dyDescent="0.3">
      <c r="A1" s="47" t="s">
        <v>422</v>
      </c>
      <c r="B1" s="47" t="s">
        <v>465</v>
      </c>
      <c r="C1" s="47" t="s">
        <v>466</v>
      </c>
      <c r="D1" s="48" t="s">
        <v>423</v>
      </c>
      <c r="E1" s="49" t="s">
        <v>467</v>
      </c>
      <c r="F1" s="49" t="s">
        <v>468</v>
      </c>
      <c r="G1" s="50" t="s">
        <v>424</v>
      </c>
      <c r="H1" s="50" t="s">
        <v>425</v>
      </c>
      <c r="I1" s="50" t="s">
        <v>426</v>
      </c>
      <c r="J1" s="50" t="s">
        <v>469</v>
      </c>
      <c r="K1" s="50" t="s">
        <v>427</v>
      </c>
      <c r="L1" s="50" t="s">
        <v>428</v>
      </c>
      <c r="M1" s="50" t="s">
        <v>429</v>
      </c>
      <c r="N1" s="50" t="s">
        <v>430</v>
      </c>
    </row>
    <row r="2" spans="1:14" x14ac:dyDescent="0.3">
      <c r="A2" s="51" t="s">
        <v>431</v>
      </c>
      <c r="B2" s="52">
        <v>728000</v>
      </c>
      <c r="C2" s="51" t="s">
        <v>470</v>
      </c>
      <c r="D2" s="53">
        <v>2201125</v>
      </c>
      <c r="E2" s="54">
        <v>2.02</v>
      </c>
      <c r="F2" s="54">
        <v>0</v>
      </c>
      <c r="G2" s="51"/>
      <c r="H2" s="55">
        <v>2724800</v>
      </c>
      <c r="I2" s="51"/>
      <c r="J2" s="55">
        <v>1677450</v>
      </c>
      <c r="K2" s="51"/>
      <c r="L2" s="51"/>
      <c r="M2" s="51"/>
      <c r="N2" s="51"/>
    </row>
    <row r="3" spans="1:14" x14ac:dyDescent="0.3">
      <c r="A3" s="51" t="s">
        <v>432</v>
      </c>
      <c r="B3" s="52">
        <v>479953</v>
      </c>
      <c r="C3" s="52">
        <v>483781</v>
      </c>
      <c r="D3" s="51" t="s">
        <v>471</v>
      </c>
      <c r="E3" s="54">
        <v>0</v>
      </c>
      <c r="F3" s="54">
        <v>0</v>
      </c>
      <c r="G3" s="51"/>
      <c r="H3" s="51"/>
      <c r="I3" s="51"/>
      <c r="J3" s="51"/>
      <c r="K3" s="51"/>
      <c r="L3" s="51"/>
      <c r="M3" s="51"/>
      <c r="N3" s="51"/>
    </row>
    <row r="4" spans="1:14" x14ac:dyDescent="0.3">
      <c r="A4" s="51" t="s">
        <v>433</v>
      </c>
      <c r="B4" s="52">
        <v>252683</v>
      </c>
      <c r="C4" s="52">
        <v>290710</v>
      </c>
      <c r="D4" s="53">
        <v>400041.25</v>
      </c>
      <c r="E4" s="54">
        <v>0.57999999999999996</v>
      </c>
      <c r="F4" s="54">
        <v>0.38</v>
      </c>
      <c r="G4" s="56">
        <v>782700</v>
      </c>
      <c r="H4" s="51"/>
      <c r="I4" s="56">
        <v>303665</v>
      </c>
      <c r="J4" s="55">
        <v>183800</v>
      </c>
      <c r="K4" s="55">
        <v>330000</v>
      </c>
      <c r="L4" s="51"/>
      <c r="M4" s="51"/>
      <c r="N4" s="51"/>
    </row>
    <row r="5" spans="1:14" x14ac:dyDescent="0.3">
      <c r="A5" s="51" t="s">
        <v>434</v>
      </c>
      <c r="B5" s="52">
        <v>326616</v>
      </c>
      <c r="C5" s="52">
        <v>347570</v>
      </c>
      <c r="D5" s="53">
        <v>387600</v>
      </c>
      <c r="E5" s="54">
        <v>0.19</v>
      </c>
      <c r="F5" s="54">
        <v>0.12</v>
      </c>
      <c r="G5" s="51"/>
      <c r="H5" s="51"/>
      <c r="I5" s="51"/>
      <c r="J5" s="55">
        <v>387600</v>
      </c>
      <c r="K5" s="57" t="s">
        <v>435</v>
      </c>
      <c r="L5" s="51"/>
      <c r="M5" s="51"/>
      <c r="N5" s="51"/>
    </row>
    <row r="6" spans="1:14" x14ac:dyDescent="0.3">
      <c r="A6" s="51" t="s">
        <v>436</v>
      </c>
      <c r="B6" s="52">
        <v>184664</v>
      </c>
      <c r="C6" s="52">
        <v>199860</v>
      </c>
      <c r="D6" s="53">
        <v>404500</v>
      </c>
      <c r="E6" s="54">
        <v>1.19</v>
      </c>
      <c r="F6" s="54">
        <v>1.02</v>
      </c>
      <c r="G6" s="56">
        <v>602100</v>
      </c>
      <c r="H6" s="55">
        <v>628000</v>
      </c>
      <c r="I6" s="51"/>
      <c r="J6" s="55">
        <v>207900</v>
      </c>
      <c r="K6" s="55">
        <v>180000</v>
      </c>
      <c r="L6" s="51"/>
      <c r="M6" s="51"/>
      <c r="N6" s="51"/>
    </row>
    <row r="7" spans="1:14" x14ac:dyDescent="0.3">
      <c r="A7" s="51" t="s">
        <v>437</v>
      </c>
      <c r="B7" s="52">
        <v>27587</v>
      </c>
      <c r="C7" s="52">
        <v>27211</v>
      </c>
      <c r="D7" s="53">
        <v>62200</v>
      </c>
      <c r="E7" s="54">
        <v>1.25</v>
      </c>
      <c r="F7" s="54">
        <v>1.29</v>
      </c>
      <c r="G7" s="56">
        <v>62200</v>
      </c>
      <c r="H7" s="51"/>
      <c r="I7" s="51"/>
      <c r="J7" s="51"/>
      <c r="K7" s="51"/>
      <c r="L7" s="51"/>
      <c r="M7" s="51"/>
      <c r="N7" s="51"/>
    </row>
    <row r="8" spans="1:14" x14ac:dyDescent="0.3">
      <c r="A8" s="51" t="s">
        <v>438</v>
      </c>
      <c r="B8" s="52">
        <v>190162</v>
      </c>
      <c r="C8" s="52">
        <v>219983</v>
      </c>
      <c r="D8" s="51" t="s">
        <v>471</v>
      </c>
      <c r="E8" s="54">
        <v>0</v>
      </c>
      <c r="F8" s="54">
        <v>0</v>
      </c>
      <c r="G8" s="51"/>
      <c r="H8" s="51"/>
      <c r="I8" s="51"/>
      <c r="J8" s="51"/>
      <c r="K8" s="51"/>
      <c r="L8" s="51"/>
      <c r="M8" s="51"/>
      <c r="N8" s="51"/>
    </row>
    <row r="9" spans="1:14" x14ac:dyDescent="0.3">
      <c r="A9" s="51" t="s">
        <v>439</v>
      </c>
      <c r="B9" s="52">
        <v>128664</v>
      </c>
      <c r="C9" s="52">
        <v>141738</v>
      </c>
      <c r="D9" s="51" t="s">
        <v>471</v>
      </c>
      <c r="E9" s="54">
        <v>0</v>
      </c>
      <c r="F9" s="54">
        <v>0</v>
      </c>
      <c r="G9" s="51"/>
      <c r="H9" s="51"/>
      <c r="I9" s="51"/>
      <c r="J9" s="51"/>
      <c r="K9" s="51"/>
      <c r="L9" s="51"/>
      <c r="M9" s="51"/>
      <c r="N9" s="51"/>
    </row>
    <row r="10" spans="1:14" x14ac:dyDescent="0.3">
      <c r="A10" s="51" t="s">
        <v>440</v>
      </c>
      <c r="B10" s="52">
        <v>55466</v>
      </c>
      <c r="C10" s="52">
        <v>63624</v>
      </c>
      <c r="D10" s="53">
        <v>210000</v>
      </c>
      <c r="E10" s="54">
        <v>2.79</v>
      </c>
      <c r="F10" s="54">
        <v>2.2999999999999998</v>
      </c>
      <c r="G10" s="51"/>
      <c r="H10" s="55">
        <v>200000</v>
      </c>
      <c r="I10" s="51"/>
      <c r="J10" s="51"/>
      <c r="K10" s="55">
        <v>220000</v>
      </c>
      <c r="L10" s="51"/>
      <c r="M10" s="51"/>
      <c r="N10" s="51"/>
    </row>
    <row r="11" spans="1:14" x14ac:dyDescent="0.3">
      <c r="A11" s="51" t="s">
        <v>441</v>
      </c>
      <c r="B11" s="52">
        <v>100888</v>
      </c>
      <c r="C11" s="52">
        <v>135918</v>
      </c>
      <c r="D11" s="51" t="s">
        <v>471</v>
      </c>
      <c r="E11" s="54">
        <v>0</v>
      </c>
      <c r="F11" s="54">
        <v>0</v>
      </c>
      <c r="G11" s="51"/>
      <c r="H11" s="51"/>
      <c r="I11" s="51"/>
      <c r="J11" s="51"/>
      <c r="K11" s="51"/>
      <c r="L11" s="51"/>
      <c r="M11" s="51"/>
      <c r="N11" s="51"/>
    </row>
    <row r="12" spans="1:14" x14ac:dyDescent="0.3">
      <c r="A12" s="51" t="s">
        <v>442</v>
      </c>
      <c r="B12" s="52">
        <v>3960557</v>
      </c>
      <c r="C12" s="52">
        <v>2250362</v>
      </c>
      <c r="D12" s="53">
        <v>4513615.5</v>
      </c>
      <c r="E12" s="54">
        <v>0.14000000000000001</v>
      </c>
      <c r="F12" s="54">
        <v>1.01</v>
      </c>
      <c r="G12" s="56">
        <v>4557423</v>
      </c>
      <c r="H12" s="51"/>
      <c r="I12" s="56">
        <v>4469808</v>
      </c>
      <c r="J12" s="51"/>
      <c r="K12" s="51"/>
      <c r="L12" s="51"/>
      <c r="M12" s="51"/>
      <c r="N12" s="51"/>
    </row>
    <row r="13" spans="1:14" x14ac:dyDescent="0.3">
      <c r="A13" s="51" t="s">
        <v>383</v>
      </c>
      <c r="B13" s="51"/>
      <c r="C13" s="52">
        <v>3762965</v>
      </c>
      <c r="D13" s="53">
        <v>3664752</v>
      </c>
      <c r="E13" s="54">
        <v>0</v>
      </c>
      <c r="F13" s="54">
        <v>-0.03</v>
      </c>
      <c r="G13" s="51"/>
      <c r="H13" s="51"/>
      <c r="I13" s="56">
        <v>3664752</v>
      </c>
      <c r="J13" s="51"/>
      <c r="K13" s="51"/>
      <c r="L13" s="51"/>
      <c r="M13" s="51"/>
      <c r="N13" s="51"/>
    </row>
    <row r="14" spans="1:14" x14ac:dyDescent="0.3">
      <c r="A14" s="51" t="s">
        <v>384</v>
      </c>
      <c r="B14" s="52">
        <v>614431</v>
      </c>
      <c r="C14" s="52">
        <v>363377</v>
      </c>
      <c r="D14" s="51" t="s">
        <v>471</v>
      </c>
      <c r="E14" s="54">
        <v>0</v>
      </c>
      <c r="F14" s="54">
        <v>0</v>
      </c>
      <c r="G14" s="51"/>
      <c r="H14" s="51"/>
      <c r="I14" s="51"/>
      <c r="J14" s="51"/>
      <c r="K14" s="51"/>
      <c r="L14" s="51"/>
      <c r="M14" s="51"/>
      <c r="N14" s="51"/>
    </row>
    <row r="15" spans="1:14" x14ac:dyDescent="0.3">
      <c r="A15" s="51" t="s">
        <v>386</v>
      </c>
      <c r="B15" s="52">
        <v>15214272</v>
      </c>
      <c r="C15" s="52">
        <v>17189076</v>
      </c>
      <c r="D15" s="51" t="s">
        <v>471</v>
      </c>
      <c r="E15" s="54">
        <v>0</v>
      </c>
      <c r="F15" s="54">
        <v>0</v>
      </c>
      <c r="G15" s="51"/>
      <c r="H15" s="51"/>
      <c r="I15" s="51"/>
      <c r="J15" s="51"/>
      <c r="K15" s="51"/>
      <c r="L15" s="51"/>
      <c r="M15" s="51"/>
      <c r="N15" s="51"/>
    </row>
    <row r="16" spans="1:14" x14ac:dyDescent="0.3">
      <c r="A16" s="51" t="s">
        <v>388</v>
      </c>
      <c r="B16" s="52">
        <v>9300736</v>
      </c>
      <c r="C16" s="52">
        <v>14263353</v>
      </c>
      <c r="D16" s="51" t="s">
        <v>471</v>
      </c>
      <c r="E16" s="54">
        <v>0</v>
      </c>
      <c r="F16" s="54">
        <v>0</v>
      </c>
      <c r="G16" s="51"/>
      <c r="H16" s="51"/>
      <c r="I16" s="51"/>
      <c r="J16" s="51"/>
      <c r="K16" s="51"/>
      <c r="L16" s="51"/>
      <c r="M16" s="51"/>
      <c r="N16" s="51"/>
    </row>
    <row r="17" spans="1:14" x14ac:dyDescent="0.3">
      <c r="A17" s="51" t="s">
        <v>387</v>
      </c>
      <c r="B17" s="52">
        <v>38433206</v>
      </c>
      <c r="C17" s="52">
        <v>47480202</v>
      </c>
      <c r="D17" s="51" t="s">
        <v>471</v>
      </c>
      <c r="E17" s="54">
        <v>0</v>
      </c>
      <c r="F17" s="54">
        <v>0</v>
      </c>
      <c r="G17" s="51"/>
      <c r="H17" s="51"/>
      <c r="I17" s="51"/>
      <c r="J17" s="51"/>
      <c r="K17" s="51"/>
      <c r="L17" s="51"/>
      <c r="M17" s="51"/>
      <c r="N17" s="51"/>
    </row>
    <row r="18" spans="1:14" x14ac:dyDescent="0.3">
      <c r="A18" s="51" t="s">
        <v>390</v>
      </c>
      <c r="B18" s="52">
        <v>46276070</v>
      </c>
      <c r="C18" s="52">
        <v>56753850</v>
      </c>
      <c r="D18" s="51" t="s">
        <v>471</v>
      </c>
      <c r="E18" s="54">
        <v>0</v>
      </c>
      <c r="F18" s="54">
        <v>0</v>
      </c>
      <c r="G18" s="51"/>
      <c r="H18" s="51"/>
      <c r="I18" s="51"/>
      <c r="J18" s="51"/>
      <c r="K18" s="51"/>
      <c r="L18" s="51"/>
      <c r="M18" s="51"/>
      <c r="N18" s="51"/>
    </row>
    <row r="19" spans="1:14" x14ac:dyDescent="0.3">
      <c r="A19" s="51" t="s">
        <v>389</v>
      </c>
      <c r="B19" s="52">
        <v>1616650</v>
      </c>
      <c r="C19" s="52">
        <v>1484544</v>
      </c>
      <c r="D19" s="51" t="s">
        <v>471</v>
      </c>
      <c r="E19" s="54">
        <v>0</v>
      </c>
      <c r="F19" s="54">
        <v>0</v>
      </c>
      <c r="G19" s="51"/>
      <c r="H19" s="51"/>
      <c r="I19" s="51"/>
      <c r="J19" s="51"/>
      <c r="K19" s="51"/>
      <c r="L19" s="51"/>
      <c r="M19" s="51"/>
      <c r="N19" s="51"/>
    </row>
    <row r="20" spans="1:14" x14ac:dyDescent="0.3">
      <c r="A20" s="51" t="s">
        <v>443</v>
      </c>
      <c r="B20" s="51" t="s">
        <v>472</v>
      </c>
      <c r="C20" s="52">
        <v>35808054</v>
      </c>
      <c r="D20" s="51" t="s">
        <v>471</v>
      </c>
      <c r="E20" s="54">
        <v>0</v>
      </c>
      <c r="F20" s="54">
        <v>0</v>
      </c>
      <c r="G20" s="51"/>
      <c r="H20" s="51"/>
      <c r="I20" s="51"/>
      <c r="J20" s="51"/>
      <c r="K20" s="51"/>
      <c r="L20" s="51"/>
      <c r="M20" s="51"/>
      <c r="N20" s="51"/>
    </row>
    <row r="21" spans="1:14" x14ac:dyDescent="0.3">
      <c r="A21" s="51" t="s">
        <v>473</v>
      </c>
      <c r="B21" s="52">
        <v>28600000</v>
      </c>
      <c r="C21" s="52">
        <v>20101250</v>
      </c>
      <c r="D21" s="51" t="s">
        <v>471</v>
      </c>
      <c r="E21" s="54">
        <v>0</v>
      </c>
      <c r="F21" s="54">
        <v>0</v>
      </c>
      <c r="G21" s="51"/>
      <c r="H21" s="51"/>
      <c r="I21" s="51"/>
      <c r="J21" s="51"/>
      <c r="K21" s="51"/>
      <c r="L21" s="51"/>
      <c r="M21" s="51"/>
      <c r="N21" s="51"/>
    </row>
    <row r="22" spans="1:14" x14ac:dyDescent="0.3">
      <c r="A22" s="51" t="s">
        <v>444</v>
      </c>
      <c r="B22" s="52">
        <v>31757141</v>
      </c>
      <c r="C22" s="52">
        <v>13721955</v>
      </c>
      <c r="D22" s="51" t="s">
        <v>471</v>
      </c>
      <c r="E22" s="54">
        <v>0</v>
      </c>
      <c r="F22" s="54">
        <v>0</v>
      </c>
      <c r="G22" s="51"/>
      <c r="H22" s="51"/>
      <c r="I22" s="51"/>
      <c r="J22" s="51"/>
      <c r="K22" s="51"/>
      <c r="L22" s="51"/>
      <c r="M22" s="51"/>
      <c r="N22" s="51"/>
    </row>
    <row r="23" spans="1:14" x14ac:dyDescent="0.3">
      <c r="A23" s="51" t="s">
        <v>445</v>
      </c>
      <c r="B23" s="51" t="s">
        <v>472</v>
      </c>
      <c r="C23" s="52">
        <v>14348</v>
      </c>
      <c r="D23" s="53">
        <v>29200</v>
      </c>
      <c r="E23" s="54">
        <v>0</v>
      </c>
      <c r="F23" s="54">
        <v>1.04</v>
      </c>
      <c r="G23" s="56">
        <v>29200</v>
      </c>
      <c r="H23" s="51"/>
      <c r="I23" s="51"/>
      <c r="J23" s="51"/>
      <c r="K23" s="51"/>
      <c r="L23" s="51"/>
      <c r="M23" s="51"/>
      <c r="N23" s="51"/>
    </row>
    <row r="24" spans="1:14" x14ac:dyDescent="0.3">
      <c r="A24" s="51" t="s">
        <v>446</v>
      </c>
      <c r="B24" s="52">
        <v>26500</v>
      </c>
      <c r="C24" s="52">
        <v>55000</v>
      </c>
      <c r="D24" s="53">
        <v>77000</v>
      </c>
      <c r="E24" s="54">
        <v>1.91</v>
      </c>
      <c r="F24" s="54">
        <v>0.4</v>
      </c>
      <c r="G24" s="56">
        <v>77000</v>
      </c>
      <c r="H24" s="51"/>
      <c r="I24" s="51"/>
      <c r="J24" s="51"/>
      <c r="K24" s="51"/>
      <c r="L24" s="51"/>
      <c r="M24" s="51"/>
      <c r="N24" s="51"/>
    </row>
    <row r="25" spans="1:14" x14ac:dyDescent="0.3">
      <c r="A25" s="51" t="s">
        <v>447</v>
      </c>
      <c r="B25" s="51" t="s">
        <v>472</v>
      </c>
      <c r="C25" s="51" t="s">
        <v>470</v>
      </c>
      <c r="D25" s="53">
        <v>81200</v>
      </c>
      <c r="E25" s="54">
        <v>0</v>
      </c>
      <c r="F25" s="54">
        <v>0</v>
      </c>
      <c r="G25" s="56">
        <v>81200</v>
      </c>
      <c r="H25" s="51"/>
      <c r="I25" s="51"/>
      <c r="J25" s="51"/>
      <c r="K25" s="51"/>
      <c r="L25" s="51"/>
      <c r="M25" s="51"/>
      <c r="N25" s="51"/>
    </row>
    <row r="26" spans="1:14" x14ac:dyDescent="0.3">
      <c r="A26" s="51" t="s">
        <v>448</v>
      </c>
      <c r="B26" s="52">
        <v>43329</v>
      </c>
      <c r="C26" s="52">
        <v>134190</v>
      </c>
      <c r="D26" s="53">
        <v>72863.5</v>
      </c>
      <c r="E26" s="54">
        <v>0.68</v>
      </c>
      <c r="F26" s="54">
        <v>-0.46</v>
      </c>
      <c r="G26" s="56">
        <v>81200</v>
      </c>
      <c r="H26" s="51"/>
      <c r="I26" s="56">
        <v>64527</v>
      </c>
      <c r="J26" s="51"/>
      <c r="K26" s="51"/>
      <c r="L26" s="51"/>
      <c r="M26" s="51"/>
      <c r="N26" s="51"/>
    </row>
    <row r="27" spans="1:14" x14ac:dyDescent="0.3">
      <c r="A27" s="51" t="s">
        <v>449</v>
      </c>
      <c r="B27" s="51" t="s">
        <v>472</v>
      </c>
      <c r="C27" s="52">
        <v>26645</v>
      </c>
      <c r="D27" s="53">
        <v>45500</v>
      </c>
      <c r="E27" s="54">
        <v>0</v>
      </c>
      <c r="F27" s="54">
        <v>0.71</v>
      </c>
      <c r="G27" s="56">
        <v>45500</v>
      </c>
      <c r="H27" s="51"/>
      <c r="I27" s="51"/>
      <c r="J27" s="51"/>
      <c r="K27" s="51"/>
      <c r="L27" s="51"/>
      <c r="M27" s="51"/>
      <c r="N27" s="51"/>
    </row>
    <row r="28" spans="1:14" x14ac:dyDescent="0.3">
      <c r="A28" s="51" t="s">
        <v>450</v>
      </c>
      <c r="B28" s="51" t="s">
        <v>472</v>
      </c>
      <c r="C28" s="52">
        <v>26583</v>
      </c>
      <c r="D28" s="53">
        <v>45500</v>
      </c>
      <c r="E28" s="54">
        <v>0</v>
      </c>
      <c r="F28" s="54">
        <v>0.71</v>
      </c>
      <c r="G28" s="56">
        <v>45500</v>
      </c>
      <c r="H28" s="51"/>
      <c r="I28" s="51"/>
      <c r="J28" s="51"/>
      <c r="K28" s="51"/>
      <c r="L28" s="51"/>
      <c r="M28" s="51"/>
      <c r="N28" s="51"/>
    </row>
    <row r="29" spans="1:14" x14ac:dyDescent="0.3">
      <c r="A29" s="51" t="s">
        <v>451</v>
      </c>
      <c r="B29" s="51" t="s">
        <v>472</v>
      </c>
      <c r="C29" s="52">
        <v>26165</v>
      </c>
      <c r="D29" s="53">
        <v>32200</v>
      </c>
      <c r="E29" s="54">
        <v>0</v>
      </c>
      <c r="F29" s="54">
        <v>0.23</v>
      </c>
      <c r="G29" s="56">
        <v>32200</v>
      </c>
      <c r="H29" s="51"/>
      <c r="I29" s="51"/>
      <c r="J29" s="51"/>
      <c r="K29" s="51"/>
      <c r="L29" s="51"/>
      <c r="M29" s="51"/>
      <c r="N29" s="51"/>
    </row>
    <row r="30" spans="1:14" x14ac:dyDescent="0.3">
      <c r="A30" s="51" t="s">
        <v>452</v>
      </c>
      <c r="B30" s="52">
        <v>125000</v>
      </c>
      <c r="C30" s="52">
        <v>153720</v>
      </c>
      <c r="D30" s="53">
        <v>104500</v>
      </c>
      <c r="E30" s="54">
        <v>-0.16</v>
      </c>
      <c r="F30" s="54">
        <v>-0.32</v>
      </c>
      <c r="G30" s="56">
        <v>104500</v>
      </c>
      <c r="H30" s="51"/>
      <c r="I30" s="51"/>
      <c r="J30" s="51"/>
      <c r="K30" s="51"/>
      <c r="L30" s="51"/>
      <c r="M30" s="51"/>
      <c r="N30" s="51"/>
    </row>
    <row r="31" spans="1:14" x14ac:dyDescent="0.3">
      <c r="A31" s="51" t="s">
        <v>453</v>
      </c>
      <c r="B31" s="51"/>
      <c r="C31" s="52">
        <v>172428</v>
      </c>
      <c r="D31" s="53">
        <v>168100</v>
      </c>
      <c r="E31" s="54">
        <v>0</v>
      </c>
      <c r="F31" s="54">
        <v>-0.03</v>
      </c>
      <c r="G31" s="56">
        <v>168100</v>
      </c>
      <c r="H31" s="51"/>
      <c r="I31" s="51"/>
      <c r="J31" s="51"/>
      <c r="K31" s="51"/>
      <c r="L31" s="51"/>
      <c r="M31" s="51"/>
      <c r="N31" s="51"/>
    </row>
    <row r="32" spans="1:14" x14ac:dyDescent="0.3">
      <c r="A32" s="51" t="s">
        <v>454</v>
      </c>
      <c r="B32" s="52">
        <v>113674</v>
      </c>
      <c r="C32" s="51" t="s">
        <v>470</v>
      </c>
      <c r="D32" s="53">
        <v>216000</v>
      </c>
      <c r="E32" s="54">
        <v>0.9</v>
      </c>
      <c r="F32" s="54">
        <v>0</v>
      </c>
      <c r="G32" s="56">
        <v>216000</v>
      </c>
      <c r="H32" s="51"/>
      <c r="I32" s="51"/>
      <c r="J32" s="51"/>
      <c r="K32" s="51"/>
      <c r="L32" s="51"/>
      <c r="M32" s="51"/>
      <c r="N32" s="51"/>
    </row>
    <row r="33" spans="1:14" x14ac:dyDescent="0.3">
      <c r="A33" s="51" t="s">
        <v>455</v>
      </c>
      <c r="B33" s="52">
        <v>153740</v>
      </c>
      <c r="C33" s="52">
        <v>128759</v>
      </c>
      <c r="D33" s="53">
        <v>556700</v>
      </c>
      <c r="E33" s="54">
        <v>2.62</v>
      </c>
      <c r="F33" s="54">
        <v>3.32</v>
      </c>
      <c r="G33" s="56">
        <v>556700</v>
      </c>
      <c r="H33" s="51"/>
      <c r="I33" s="51"/>
      <c r="J33" s="51"/>
      <c r="K33" s="51"/>
      <c r="L33" s="51"/>
      <c r="M33" s="51"/>
      <c r="N33" s="51"/>
    </row>
    <row r="34" spans="1:14" x14ac:dyDescent="0.3">
      <c r="A34" s="51" t="s">
        <v>456</v>
      </c>
      <c r="B34" s="51" t="s">
        <v>472</v>
      </c>
      <c r="C34" s="52">
        <v>79887</v>
      </c>
      <c r="D34" s="53">
        <v>295000</v>
      </c>
      <c r="E34" s="54">
        <v>0</v>
      </c>
      <c r="F34" s="54">
        <v>2.69</v>
      </c>
      <c r="G34" s="56">
        <v>295000</v>
      </c>
      <c r="H34" s="51"/>
      <c r="I34" s="51"/>
      <c r="J34" s="51"/>
      <c r="K34" s="51"/>
      <c r="L34" s="51"/>
      <c r="M34" s="51"/>
      <c r="N34" s="51"/>
    </row>
    <row r="35" spans="1:14" x14ac:dyDescent="0.3">
      <c r="A35" s="51" t="s">
        <v>457</v>
      </c>
      <c r="B35" s="51" t="s">
        <v>472</v>
      </c>
      <c r="C35" s="52">
        <v>60903</v>
      </c>
      <c r="D35" s="53">
        <v>91100</v>
      </c>
      <c r="E35" s="54">
        <v>0</v>
      </c>
      <c r="F35" s="54">
        <v>0.5</v>
      </c>
      <c r="G35" s="56">
        <v>91100</v>
      </c>
      <c r="H35" s="51"/>
      <c r="I35" s="51"/>
      <c r="J35" s="51"/>
      <c r="K35" s="51"/>
      <c r="L35" s="51"/>
      <c r="M35" s="51"/>
      <c r="N35" s="51"/>
    </row>
    <row r="36" spans="1:14" x14ac:dyDescent="0.3">
      <c r="A36" s="51" t="s">
        <v>458</v>
      </c>
      <c r="B36" s="51" t="s">
        <v>472</v>
      </c>
      <c r="C36" s="52">
        <v>642720</v>
      </c>
      <c r="D36" s="53">
        <v>394200</v>
      </c>
      <c r="E36" s="54">
        <v>0</v>
      </c>
      <c r="F36" s="54">
        <v>-0.39</v>
      </c>
      <c r="G36" s="56">
        <v>428900</v>
      </c>
      <c r="H36" s="51"/>
      <c r="I36" s="56">
        <v>359500</v>
      </c>
      <c r="J36" s="51"/>
      <c r="K36" s="51"/>
      <c r="L36" s="51"/>
      <c r="M36" s="51"/>
      <c r="N36" s="51"/>
    </row>
    <row r="37" spans="1:14" x14ac:dyDescent="0.3">
      <c r="A37" s="51" t="s">
        <v>459</v>
      </c>
      <c r="B37" s="51"/>
      <c r="C37" s="51"/>
      <c r="D37" s="53">
        <v>1668900</v>
      </c>
      <c r="E37" s="54">
        <v>0</v>
      </c>
      <c r="F37" s="54">
        <v>0</v>
      </c>
      <c r="G37" s="56">
        <v>1668900</v>
      </c>
      <c r="H37" s="51"/>
      <c r="I37" s="51"/>
      <c r="J37" s="51"/>
      <c r="K37" s="51"/>
      <c r="L37" s="51"/>
      <c r="M37" s="51"/>
      <c r="N37" s="51"/>
    </row>
    <row r="38" spans="1:14" x14ac:dyDescent="0.3">
      <c r="A38" s="51" t="s">
        <v>460</v>
      </c>
      <c r="B38" s="51"/>
      <c r="C38" s="58"/>
      <c r="D38" s="53">
        <v>1728900</v>
      </c>
      <c r="E38" s="54">
        <v>0</v>
      </c>
      <c r="F38" s="54">
        <v>0</v>
      </c>
      <c r="G38" s="56">
        <v>1728900</v>
      </c>
      <c r="H38" s="51"/>
      <c r="I38" s="51"/>
      <c r="J38" s="51"/>
      <c r="K38" s="51"/>
      <c r="L38" s="51"/>
      <c r="M38" s="51"/>
      <c r="N38" s="51"/>
    </row>
    <row r="39" spans="1:14" x14ac:dyDescent="0.3">
      <c r="A39" s="51" t="s">
        <v>461</v>
      </c>
      <c r="B39" s="51" t="s">
        <v>472</v>
      </c>
      <c r="C39" s="52">
        <v>1418204</v>
      </c>
      <c r="D39" s="53">
        <v>1580300</v>
      </c>
      <c r="E39" s="54">
        <v>0</v>
      </c>
      <c r="F39" s="54">
        <v>0.11</v>
      </c>
      <c r="G39" s="56">
        <v>1580300</v>
      </c>
      <c r="H39" s="51"/>
      <c r="I39" s="51"/>
      <c r="J39" s="51"/>
      <c r="K39" s="51"/>
      <c r="L39" s="51"/>
      <c r="M39" s="51"/>
      <c r="N39" s="51"/>
    </row>
    <row r="40" spans="1:14" x14ac:dyDescent="0.3">
      <c r="A40" s="51" t="s">
        <v>462</v>
      </c>
      <c r="B40" s="51" t="s">
        <v>472</v>
      </c>
      <c r="C40" s="52">
        <v>842084</v>
      </c>
      <c r="D40" s="53">
        <v>932700</v>
      </c>
      <c r="E40" s="54">
        <v>0</v>
      </c>
      <c r="F40" s="54">
        <v>0.11</v>
      </c>
      <c r="G40" s="56">
        <v>932700</v>
      </c>
      <c r="H40" s="51"/>
      <c r="I40" s="51"/>
      <c r="J40" s="51"/>
      <c r="K40" s="51"/>
      <c r="L40" s="51"/>
      <c r="M40" s="51"/>
      <c r="N40" s="51"/>
    </row>
    <row r="41" spans="1:14" x14ac:dyDescent="0.3">
      <c r="A41" s="51" t="s">
        <v>463</v>
      </c>
      <c r="B41" s="51" t="s">
        <v>472</v>
      </c>
      <c r="C41" s="52">
        <v>675000</v>
      </c>
      <c r="D41" s="53">
        <v>710300</v>
      </c>
      <c r="E41" s="54">
        <v>0</v>
      </c>
      <c r="F41" s="54">
        <v>0.05</v>
      </c>
      <c r="G41" s="56">
        <v>710300</v>
      </c>
      <c r="H41" s="51"/>
      <c r="I41" s="51"/>
      <c r="J41" s="51"/>
      <c r="K41" s="51"/>
      <c r="L41" s="51"/>
      <c r="M41" s="51"/>
      <c r="N41" s="51"/>
    </row>
    <row r="42" spans="1:14" x14ac:dyDescent="0.3">
      <c r="A42" s="51" t="s">
        <v>474</v>
      </c>
      <c r="B42" s="51" t="s">
        <v>472</v>
      </c>
      <c r="C42" s="52">
        <v>1476596</v>
      </c>
      <c r="D42" s="53">
        <v>1575100</v>
      </c>
      <c r="E42" s="54">
        <v>0</v>
      </c>
      <c r="F42" s="54">
        <v>7.0000000000000007E-2</v>
      </c>
      <c r="G42" s="56">
        <v>1575100</v>
      </c>
      <c r="H42" s="51"/>
      <c r="I42" s="51"/>
      <c r="J42" s="51"/>
      <c r="K42" s="51"/>
      <c r="L42" s="51"/>
      <c r="M42" s="51"/>
      <c r="N42" s="51"/>
    </row>
    <row r="43" spans="1:14" x14ac:dyDescent="0.3">
      <c r="A43" s="51" t="s">
        <v>464</v>
      </c>
      <c r="B43" s="51" t="s">
        <v>472</v>
      </c>
      <c r="C43" s="52">
        <v>2463645</v>
      </c>
      <c r="D43" s="53">
        <v>4512191</v>
      </c>
      <c r="E43" s="54">
        <v>0</v>
      </c>
      <c r="F43" s="54">
        <v>0.83</v>
      </c>
      <c r="G43" s="56">
        <v>4512191</v>
      </c>
      <c r="H43" s="51"/>
      <c r="I43" s="51"/>
      <c r="J43" s="51"/>
      <c r="K43" s="51"/>
      <c r="L43" s="51"/>
      <c r="M43" s="51"/>
      <c r="N43" s="51"/>
    </row>
    <row r="44" spans="1:14" x14ac:dyDescent="0.3">
      <c r="A44" s="51" t="s">
        <v>475</v>
      </c>
      <c r="B44" s="51" t="s">
        <v>472</v>
      </c>
      <c r="C44" s="52">
        <v>13151</v>
      </c>
      <c r="D44" s="53">
        <v>49300</v>
      </c>
      <c r="E44" s="54">
        <v>0</v>
      </c>
      <c r="F44" s="54">
        <v>2.75</v>
      </c>
      <c r="G44" s="56">
        <v>45900</v>
      </c>
      <c r="H44" s="51"/>
      <c r="I44" s="56">
        <v>52700</v>
      </c>
      <c r="J44" s="51"/>
      <c r="K44" s="51"/>
      <c r="L44" s="51"/>
      <c r="M44" s="51"/>
      <c r="N44" s="51"/>
    </row>
    <row r="45" spans="1:14" x14ac:dyDescent="0.3">
      <c r="A45" s="51" t="s">
        <v>476</v>
      </c>
      <c r="B45" s="51" t="s">
        <v>472</v>
      </c>
      <c r="C45" s="52">
        <v>15783</v>
      </c>
      <c r="D45" s="53">
        <v>48000</v>
      </c>
      <c r="E45" s="54">
        <v>0</v>
      </c>
      <c r="F45" s="54">
        <v>2.04</v>
      </c>
      <c r="G45" s="56">
        <v>44800</v>
      </c>
      <c r="H45" s="51"/>
      <c r="I45" s="56">
        <v>51200</v>
      </c>
      <c r="J45" s="51"/>
      <c r="K45" s="51"/>
      <c r="L45" s="51"/>
      <c r="M45" s="51"/>
      <c r="N45" s="51"/>
    </row>
    <row r="46" spans="1:14" x14ac:dyDescent="0.3">
      <c r="A46" s="51" t="s">
        <v>477</v>
      </c>
      <c r="B46" s="51" t="s">
        <v>472</v>
      </c>
      <c r="C46" s="52">
        <v>29160</v>
      </c>
      <c r="D46" s="53">
        <v>229100</v>
      </c>
      <c r="E46" s="54">
        <v>0</v>
      </c>
      <c r="F46" s="54">
        <v>6.86</v>
      </c>
      <c r="G46" s="56">
        <v>229100</v>
      </c>
      <c r="H46" s="51"/>
      <c r="I46" s="51"/>
      <c r="J46" s="51"/>
      <c r="K46" s="51"/>
      <c r="L46" s="51"/>
      <c r="M46" s="51"/>
      <c r="N46" s="51"/>
    </row>
    <row r="47" spans="1:14" x14ac:dyDescent="0.3">
      <c r="A47" s="51" t="s">
        <v>478</v>
      </c>
      <c r="B47" s="52">
        <v>16602</v>
      </c>
      <c r="C47" s="52">
        <v>17507</v>
      </c>
      <c r="D47" s="53">
        <v>38200</v>
      </c>
      <c r="E47" s="54">
        <v>1.3</v>
      </c>
      <c r="F47" s="54">
        <v>1.18</v>
      </c>
      <c r="G47" s="56">
        <v>40200</v>
      </c>
      <c r="H47" s="51"/>
      <c r="I47" s="56">
        <v>36200</v>
      </c>
      <c r="J47" s="51"/>
      <c r="K47" s="51"/>
      <c r="L47" s="51"/>
      <c r="M47" s="51"/>
      <c r="N47" s="51"/>
    </row>
    <row r="48" spans="1:14" x14ac:dyDescent="0.3">
      <c r="A48" s="51" t="s">
        <v>479</v>
      </c>
      <c r="B48" s="51" t="s">
        <v>472</v>
      </c>
      <c r="C48" s="52">
        <v>90426</v>
      </c>
      <c r="D48" s="53">
        <v>165000</v>
      </c>
      <c r="E48" s="54">
        <v>0</v>
      </c>
      <c r="F48" s="54">
        <v>0.82</v>
      </c>
      <c r="G48" s="56">
        <v>165000</v>
      </c>
      <c r="H48" s="51"/>
      <c r="I48" s="51"/>
      <c r="J48" s="51"/>
      <c r="K48" s="51"/>
      <c r="L48" s="51"/>
      <c r="M48" s="51"/>
      <c r="N48" s="51"/>
    </row>
    <row r="49" spans="1:14" x14ac:dyDescent="0.3">
      <c r="A49" s="51" t="s">
        <v>480</v>
      </c>
      <c r="B49" s="52">
        <v>185797</v>
      </c>
      <c r="C49" s="52">
        <v>48670</v>
      </c>
      <c r="D49" s="53">
        <v>158900</v>
      </c>
      <c r="E49" s="54">
        <v>-0.14000000000000001</v>
      </c>
      <c r="F49" s="54">
        <v>2.2599999999999998</v>
      </c>
      <c r="G49" s="56">
        <v>158900</v>
      </c>
      <c r="H49" s="51"/>
      <c r="I49" s="51"/>
      <c r="J49" s="51"/>
      <c r="K49" s="51"/>
      <c r="L49" s="51"/>
      <c r="M49" s="51"/>
      <c r="N49" s="51"/>
    </row>
    <row r="50" spans="1:14" x14ac:dyDescent="0.3">
      <c r="A50" s="51" t="s">
        <v>481</v>
      </c>
      <c r="B50" s="51" t="s">
        <v>472</v>
      </c>
      <c r="C50" s="52">
        <v>15192</v>
      </c>
      <c r="D50" s="53">
        <v>36600</v>
      </c>
      <c r="E50" s="54">
        <v>0</v>
      </c>
      <c r="F50" s="54">
        <v>1.41</v>
      </c>
      <c r="G50" s="56">
        <v>36600</v>
      </c>
      <c r="H50" s="51"/>
      <c r="I50" s="51"/>
      <c r="J50" s="51"/>
      <c r="K50" s="51"/>
      <c r="L50" s="51"/>
      <c r="M50" s="51"/>
      <c r="N50" s="51"/>
    </row>
    <row r="51" spans="1:14" x14ac:dyDescent="0.3">
      <c r="A51" s="51" t="s">
        <v>482</v>
      </c>
      <c r="B51" s="52">
        <v>112748</v>
      </c>
      <c r="C51" s="52">
        <v>65302</v>
      </c>
      <c r="D51" s="53">
        <v>70600</v>
      </c>
      <c r="E51" s="54">
        <v>-0.37</v>
      </c>
      <c r="F51" s="54">
        <v>0.08</v>
      </c>
      <c r="G51" s="56">
        <v>70600</v>
      </c>
      <c r="H51" s="51"/>
      <c r="I51" s="51"/>
      <c r="J51" s="51"/>
      <c r="K51" s="51"/>
      <c r="L51" s="51"/>
      <c r="M51" s="51"/>
      <c r="N51" s="51"/>
    </row>
    <row r="52" spans="1:14" x14ac:dyDescent="0.3">
      <c r="A52" s="51" t="s">
        <v>483</v>
      </c>
      <c r="B52" s="52">
        <v>49005</v>
      </c>
      <c r="C52" s="52">
        <v>14518</v>
      </c>
      <c r="D52" s="53">
        <v>45200</v>
      </c>
      <c r="E52" s="54">
        <v>-0.08</v>
      </c>
      <c r="F52" s="54">
        <v>2.11</v>
      </c>
      <c r="G52" s="56">
        <v>45200</v>
      </c>
      <c r="H52" s="51"/>
      <c r="I52" s="51"/>
      <c r="J52" s="51"/>
      <c r="K52" s="51"/>
      <c r="L52" s="51"/>
      <c r="M52" s="51"/>
      <c r="N52" s="51"/>
    </row>
    <row r="53" spans="1:14" x14ac:dyDescent="0.3">
      <c r="A53" s="51" t="s">
        <v>484</v>
      </c>
      <c r="B53" s="52">
        <v>36175</v>
      </c>
      <c r="C53" s="52">
        <v>20034</v>
      </c>
      <c r="D53" s="53">
        <v>37200</v>
      </c>
      <c r="E53" s="54">
        <v>0.03</v>
      </c>
      <c r="F53" s="54">
        <v>0.86</v>
      </c>
      <c r="G53" s="56">
        <v>37200</v>
      </c>
      <c r="H53" s="51"/>
      <c r="I53" s="51"/>
      <c r="J53" s="51"/>
      <c r="K53" s="51"/>
      <c r="L53" s="51"/>
      <c r="M53" s="51"/>
      <c r="N53" s="51"/>
    </row>
    <row r="54" spans="1:14" x14ac:dyDescent="0.3">
      <c r="A54" s="51" t="s">
        <v>485</v>
      </c>
      <c r="B54" s="52">
        <v>16602</v>
      </c>
      <c r="C54" s="52">
        <v>5447</v>
      </c>
      <c r="D54" s="53">
        <v>18200</v>
      </c>
      <c r="E54" s="54">
        <v>0.1</v>
      </c>
      <c r="F54" s="54">
        <v>2.34</v>
      </c>
      <c r="G54" s="56">
        <v>18200</v>
      </c>
      <c r="H54" s="51"/>
      <c r="I54" s="51"/>
      <c r="J54" s="51"/>
      <c r="K54" s="51"/>
      <c r="L54" s="51"/>
      <c r="M54" s="51"/>
      <c r="N54" s="51"/>
    </row>
    <row r="55" spans="1:14" x14ac:dyDescent="0.3">
      <c r="A55" s="51" t="s">
        <v>486</v>
      </c>
      <c r="B55" s="51" t="s">
        <v>472</v>
      </c>
      <c r="C55" s="52">
        <v>9145</v>
      </c>
      <c r="D55" s="53">
        <v>43100</v>
      </c>
      <c r="E55" s="54">
        <v>0</v>
      </c>
      <c r="F55" s="54">
        <v>3.71</v>
      </c>
      <c r="G55" s="56">
        <v>43100</v>
      </c>
      <c r="H55" s="51"/>
      <c r="I55" s="51"/>
      <c r="J55" s="51"/>
      <c r="K55" s="51"/>
      <c r="L55" s="51"/>
      <c r="M55" s="51"/>
      <c r="N55" s="51"/>
    </row>
    <row r="56" spans="1:14" x14ac:dyDescent="0.3">
      <c r="A56" s="51" t="s">
        <v>487</v>
      </c>
      <c r="B56" s="51" t="s">
        <v>472</v>
      </c>
      <c r="C56" s="52">
        <v>18488</v>
      </c>
      <c r="D56" s="53">
        <v>49400</v>
      </c>
      <c r="E56" s="54">
        <v>0</v>
      </c>
      <c r="F56" s="54">
        <v>1.67</v>
      </c>
      <c r="G56" s="56">
        <v>49400</v>
      </c>
      <c r="H56" s="51"/>
      <c r="I56" s="51"/>
      <c r="J56" s="51"/>
      <c r="K56" s="51"/>
      <c r="L56" s="51"/>
      <c r="M56" s="51"/>
      <c r="N56" s="51"/>
    </row>
    <row r="57" spans="1:14" x14ac:dyDescent="0.3">
      <c r="A57" s="51" t="s">
        <v>488</v>
      </c>
      <c r="B57" s="51"/>
      <c r="C57" s="51"/>
      <c r="D57" s="53">
        <v>368400</v>
      </c>
      <c r="E57" s="54">
        <v>0</v>
      </c>
      <c r="F57" s="54">
        <v>0</v>
      </c>
      <c r="G57" s="56">
        <v>368400</v>
      </c>
      <c r="H57" s="51"/>
      <c r="I57" s="51"/>
      <c r="J57" s="51"/>
      <c r="K57" s="51"/>
      <c r="L57" s="51"/>
      <c r="M57" s="51"/>
      <c r="N57" s="51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862FA-DEFE-4B4F-BE57-242DA546FF1D}">
  <dimension ref="A1:B48"/>
  <sheetViews>
    <sheetView workbookViewId="0">
      <selection sqref="A1:B48"/>
    </sheetView>
  </sheetViews>
  <sheetFormatPr baseColWidth="10" defaultRowHeight="14.4" x14ac:dyDescent="0.3"/>
  <cols>
    <col min="1" max="1" width="80.109375" bestFit="1" customWidth="1"/>
    <col min="2" max="2" width="133.6640625" bestFit="1" customWidth="1"/>
  </cols>
  <sheetData>
    <row r="1" spans="1:2" x14ac:dyDescent="0.3">
      <c r="A1" s="59" t="s">
        <v>489</v>
      </c>
    </row>
    <row r="2" spans="1:2" x14ac:dyDescent="0.3">
      <c r="A2" t="s">
        <v>490</v>
      </c>
    </row>
    <row r="3" spans="1:2" x14ac:dyDescent="0.3">
      <c r="A3" s="13" t="s">
        <v>491</v>
      </c>
      <c r="B3" s="60" t="s">
        <v>492</v>
      </c>
    </row>
    <row r="4" spans="1:2" x14ac:dyDescent="0.3">
      <c r="A4" s="61" t="s">
        <v>493</v>
      </c>
      <c r="B4" s="61" t="s">
        <v>494</v>
      </c>
    </row>
    <row r="5" spans="1:2" x14ac:dyDescent="0.3">
      <c r="A5" s="61" t="s">
        <v>495</v>
      </c>
      <c r="B5" s="61" t="s">
        <v>496</v>
      </c>
    </row>
    <row r="6" spans="1:2" x14ac:dyDescent="0.3">
      <c r="A6" s="61" t="s">
        <v>497</v>
      </c>
      <c r="B6" s="61" t="s">
        <v>496</v>
      </c>
    </row>
    <row r="7" spans="1:2" x14ac:dyDescent="0.3">
      <c r="A7" s="61" t="s">
        <v>498</v>
      </c>
      <c r="B7" s="61" t="s">
        <v>496</v>
      </c>
    </row>
    <row r="8" spans="1:2" x14ac:dyDescent="0.3">
      <c r="A8" s="61" t="s">
        <v>499</v>
      </c>
      <c r="B8" s="61" t="s">
        <v>496</v>
      </c>
    </row>
    <row r="9" spans="1:2" x14ac:dyDescent="0.3">
      <c r="A9" s="61" t="s">
        <v>500</v>
      </c>
      <c r="B9" s="61" t="s">
        <v>496</v>
      </c>
    </row>
    <row r="10" spans="1:2" x14ac:dyDescent="0.3">
      <c r="A10" s="61" t="s">
        <v>501</v>
      </c>
      <c r="B10" s="61" t="s">
        <v>496</v>
      </c>
    </row>
    <row r="11" spans="1:2" x14ac:dyDescent="0.3">
      <c r="A11" s="61" t="s">
        <v>502</v>
      </c>
      <c r="B11" s="61" t="s">
        <v>496</v>
      </c>
    </row>
    <row r="13" spans="1:2" x14ac:dyDescent="0.3">
      <c r="A13" s="13" t="s">
        <v>503</v>
      </c>
      <c r="B13" s="62" t="s">
        <v>504</v>
      </c>
    </row>
    <row r="14" spans="1:2" x14ac:dyDescent="0.3">
      <c r="A14" s="61" t="s">
        <v>493</v>
      </c>
      <c r="B14" s="61" t="s">
        <v>494</v>
      </c>
    </row>
    <row r="15" spans="1:2" x14ac:dyDescent="0.3">
      <c r="A15" s="61" t="s">
        <v>495</v>
      </c>
      <c r="B15" s="61" t="s">
        <v>496</v>
      </c>
    </row>
    <row r="16" spans="1:2" x14ac:dyDescent="0.3">
      <c r="A16" s="61" t="s">
        <v>505</v>
      </c>
      <c r="B16" s="61" t="s">
        <v>496</v>
      </c>
    </row>
    <row r="17" spans="1:2" x14ac:dyDescent="0.3">
      <c r="A17" s="61" t="s">
        <v>506</v>
      </c>
      <c r="B17" s="61" t="s">
        <v>496</v>
      </c>
    </row>
    <row r="18" spans="1:2" x14ac:dyDescent="0.3">
      <c r="A18" s="61" t="s">
        <v>498</v>
      </c>
      <c r="B18" s="61" t="s">
        <v>496</v>
      </c>
    </row>
    <row r="19" spans="1:2" x14ac:dyDescent="0.3">
      <c r="A19" s="61" t="s">
        <v>507</v>
      </c>
      <c r="B19" s="61" t="s">
        <v>496</v>
      </c>
    </row>
    <row r="20" spans="1:2" x14ac:dyDescent="0.3">
      <c r="A20" s="61" t="s">
        <v>500</v>
      </c>
      <c r="B20" s="61" t="s">
        <v>496</v>
      </c>
    </row>
    <row r="21" spans="1:2" x14ac:dyDescent="0.3">
      <c r="A21" s="61" t="s">
        <v>501</v>
      </c>
      <c r="B21" s="61" t="s">
        <v>496</v>
      </c>
    </row>
    <row r="22" spans="1:2" x14ac:dyDescent="0.3">
      <c r="A22" s="61" t="s">
        <v>502</v>
      </c>
      <c r="B22" s="61" t="s">
        <v>496</v>
      </c>
    </row>
    <row r="24" spans="1:2" x14ac:dyDescent="0.3">
      <c r="A24" s="13" t="s">
        <v>508</v>
      </c>
      <c r="B24" s="60" t="s">
        <v>509</v>
      </c>
    </row>
    <row r="25" spans="1:2" x14ac:dyDescent="0.3">
      <c r="A25" s="61" t="s">
        <v>493</v>
      </c>
      <c r="B25" s="61" t="s">
        <v>494</v>
      </c>
    </row>
    <row r="26" spans="1:2" x14ac:dyDescent="0.3">
      <c r="A26" s="61" t="s">
        <v>501</v>
      </c>
      <c r="B26" s="61" t="s">
        <v>496</v>
      </c>
    </row>
    <row r="27" spans="1:2" x14ac:dyDescent="0.3">
      <c r="A27" s="61"/>
    </row>
    <row r="28" spans="1:2" x14ac:dyDescent="0.3">
      <c r="A28" s="13" t="s">
        <v>510</v>
      </c>
      <c r="B28" s="60" t="s">
        <v>511</v>
      </c>
    </row>
    <row r="29" spans="1:2" x14ac:dyDescent="0.3">
      <c r="A29" s="61" t="s">
        <v>493</v>
      </c>
      <c r="B29" s="61" t="s">
        <v>494</v>
      </c>
    </row>
    <row r="30" spans="1:2" x14ac:dyDescent="0.3">
      <c r="A30" s="61" t="s">
        <v>499</v>
      </c>
      <c r="B30" s="61" t="s">
        <v>496</v>
      </c>
    </row>
    <row r="31" spans="1:2" x14ac:dyDescent="0.3">
      <c r="A31" s="61" t="s">
        <v>500</v>
      </c>
      <c r="B31" s="61" t="s">
        <v>496</v>
      </c>
    </row>
    <row r="32" spans="1:2" x14ac:dyDescent="0.3">
      <c r="A32" s="61"/>
    </row>
    <row r="33" spans="1:2" x14ac:dyDescent="0.3">
      <c r="A33" s="13" t="s">
        <v>512</v>
      </c>
      <c r="B33" s="60" t="s">
        <v>513</v>
      </c>
    </row>
    <row r="34" spans="1:2" x14ac:dyDescent="0.3">
      <c r="A34" s="61" t="s">
        <v>493</v>
      </c>
      <c r="B34" s="61" t="s">
        <v>494</v>
      </c>
    </row>
    <row r="35" spans="1:2" x14ac:dyDescent="0.3">
      <c r="A35" s="61" t="s">
        <v>501</v>
      </c>
      <c r="B35" s="61" t="s">
        <v>496</v>
      </c>
    </row>
    <row r="36" spans="1:2" x14ac:dyDescent="0.3">
      <c r="A36" s="61" t="s">
        <v>514</v>
      </c>
      <c r="B36" s="61" t="s">
        <v>496</v>
      </c>
    </row>
    <row r="37" spans="1:2" x14ac:dyDescent="0.3">
      <c r="A37" s="61"/>
    </row>
    <row r="38" spans="1:2" x14ac:dyDescent="0.3">
      <c r="A38" t="s">
        <v>515</v>
      </c>
    </row>
    <row r="39" spans="1:2" x14ac:dyDescent="0.3">
      <c r="A39" s="13" t="s">
        <v>516</v>
      </c>
    </row>
    <row r="40" spans="1:2" x14ac:dyDescent="0.3">
      <c r="A40" s="61" t="s">
        <v>517</v>
      </c>
    </row>
    <row r="41" spans="1:2" x14ac:dyDescent="0.3">
      <c r="A41" s="61" t="s">
        <v>518</v>
      </c>
    </row>
    <row r="42" spans="1:2" x14ac:dyDescent="0.3">
      <c r="A42" s="61" t="s">
        <v>519</v>
      </c>
    </row>
    <row r="43" spans="1:2" x14ac:dyDescent="0.3">
      <c r="A43" s="61" t="s">
        <v>520</v>
      </c>
    </row>
    <row r="44" spans="1:2" x14ac:dyDescent="0.3">
      <c r="A44" s="61" t="s">
        <v>521</v>
      </c>
    </row>
    <row r="45" spans="1:2" x14ac:dyDescent="0.3">
      <c r="A45" s="61" t="s">
        <v>522</v>
      </c>
    </row>
    <row r="47" spans="1:2" x14ac:dyDescent="0.3">
      <c r="A47" s="13" t="s">
        <v>523</v>
      </c>
    </row>
    <row r="48" spans="1:2" x14ac:dyDescent="0.3">
      <c r="A48" s="61" t="s">
        <v>524</v>
      </c>
    </row>
  </sheetData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39D3D-DAB2-42A0-A0FD-453D1C65B506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A2C6D0-1A7A-43BC-A26D-0617A82B64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23</vt:i4>
      </vt:variant>
      <vt:variant>
        <vt:lpstr>Rangos con nombre</vt:lpstr>
      </vt:variant>
      <vt:variant>
        <vt:i4>1</vt:i4>
      </vt:variant>
    </vt:vector>
  </HeadingPairs>
  <TitlesOfParts>
    <vt:vector size="24" baseType="lpstr">
      <vt:lpstr>SANTANDER_DESGLOSE</vt:lpstr>
      <vt:lpstr>BOGOTA_DESGLOSE</vt:lpstr>
      <vt:lpstr>EPS_EEFF</vt:lpstr>
      <vt:lpstr>RECLAMOS</vt:lpstr>
      <vt:lpstr>IPS_EEFF</vt:lpstr>
      <vt:lpstr>UPC</vt:lpstr>
      <vt:lpstr>Inflacion</vt:lpstr>
      <vt:lpstr>Serv_IPS</vt:lpstr>
      <vt:lpstr>Servicios</vt:lpstr>
      <vt:lpstr>CI_IPS</vt:lpstr>
      <vt:lpstr>Tarifas_Escenarios</vt:lpstr>
      <vt:lpstr>Pacientes_EDAD</vt:lpstr>
      <vt:lpstr>Capacidad</vt:lpstr>
      <vt:lpstr>EPS_Afiliados</vt:lpstr>
      <vt:lpstr>EPS_Edad</vt:lpstr>
      <vt:lpstr>EPS_Años</vt:lpstr>
      <vt:lpstr>EEFF_Santander</vt:lpstr>
      <vt:lpstr>TarifasCompetencia</vt:lpstr>
      <vt:lpstr>Prevalencia</vt:lpstr>
      <vt:lpstr>Comparacion</vt:lpstr>
      <vt:lpstr>Tarifas_Desglose</vt:lpstr>
      <vt:lpstr>TH</vt:lpstr>
      <vt:lpstr>Hoja1</vt:lpstr>
      <vt:lpstr>Serv_IPS!Criterios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Ochoa Alvarez - Analista de Gerencia</dc:creator>
  <cp:lastModifiedBy>Juan David Ochoa Alvarez - Analista de Gerencia</cp:lastModifiedBy>
  <dcterms:created xsi:type="dcterms:W3CDTF">2026-02-07T23:30:35Z</dcterms:created>
  <dcterms:modified xsi:type="dcterms:W3CDTF">2026-02-18T13:20:33Z</dcterms:modified>
</cp:coreProperties>
</file>